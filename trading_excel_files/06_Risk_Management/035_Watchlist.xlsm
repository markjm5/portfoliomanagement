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6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5_Placing_The_Trade/"/>
    </mc:Choice>
  </mc:AlternateContent>
  <xr:revisionPtr revIDLastSave="0" documentId="13_ncr:1_{BC38E2AF-2ED1-2846-9915-0CA5DA19AF73}" xr6:coauthVersionLast="47" xr6:coauthVersionMax="47" xr10:uidLastSave="{00000000-0000-0000-0000-000000000000}"/>
  <bookViews>
    <workbookView xWindow="-64580" yWindow="620" windowWidth="64040" windowHeight="28180" tabRatio="779" activeTab="1" xr2:uid="{00000000-000D-0000-FFFF-FFFF00000000}"/>
  </bookViews>
  <sheets>
    <sheet name="Note" sheetId="24" r:id="rId1"/>
    <sheet name="Watchlist" sheetId="1"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4" i="1" l="1"/>
  <c r="G11" i="1"/>
  <c r="L16" i="1"/>
  <c r="L15" i="1"/>
  <c r="L13" i="1"/>
  <c r="L12" i="1"/>
  <c r="K56" i="1" l="1"/>
  <c r="K40" i="1"/>
  <c r="K24" i="1"/>
  <c r="G10" i="1" l="1"/>
  <c r="J9" i="1"/>
  <c r="J10" i="1"/>
  <c r="J11" i="1"/>
  <c r="J12" i="1"/>
  <c r="J8" i="1" l="1"/>
  <c r="G8" i="1"/>
  <c r="K10" i="1"/>
  <c r="L11" i="1" l="1"/>
  <c r="L14" i="1"/>
  <c r="L7" i="1"/>
  <c r="L10" i="1"/>
  <c r="L9" i="1"/>
  <c r="L8" i="1"/>
  <c r="W65" i="1" l="1"/>
  <c r="K65" i="1"/>
  <c r="W64" i="1"/>
  <c r="K64" i="1"/>
  <c r="W63" i="1"/>
  <c r="K63" i="1"/>
  <c r="W62" i="1"/>
  <c r="K62" i="1"/>
  <c r="W61" i="1"/>
  <c r="K61" i="1"/>
  <c r="W60" i="1"/>
  <c r="K60" i="1"/>
  <c r="W59" i="1"/>
  <c r="K59" i="1"/>
  <c r="W58" i="1"/>
  <c r="K58" i="1"/>
  <c r="W57" i="1"/>
  <c r="K57" i="1"/>
  <c r="W56" i="1"/>
  <c r="W49" i="1" l="1"/>
  <c r="K49" i="1"/>
  <c r="W48" i="1"/>
  <c r="W47" i="1"/>
  <c r="W46" i="1"/>
  <c r="W45" i="1"/>
  <c r="K45" i="1"/>
  <c r="W44" i="1"/>
  <c r="W43" i="1"/>
  <c r="W42" i="1"/>
  <c r="W41" i="1"/>
  <c r="W40" i="1"/>
  <c r="W33" i="1"/>
  <c r="J33" i="1"/>
  <c r="G33" i="1"/>
  <c r="W32" i="1"/>
  <c r="J32" i="1"/>
  <c r="W31" i="1"/>
  <c r="J31" i="1"/>
  <c r="K31" i="1" s="1"/>
  <c r="W30" i="1"/>
  <c r="J30" i="1"/>
  <c r="W29" i="1"/>
  <c r="J29" i="1"/>
  <c r="W28" i="1"/>
  <c r="J28" i="1"/>
  <c r="W27" i="1"/>
  <c r="J27" i="1"/>
  <c r="K27" i="1" s="1"/>
  <c r="W26" i="1"/>
  <c r="J26" i="1"/>
  <c r="W25" i="1"/>
  <c r="J25" i="1"/>
  <c r="W24" i="1"/>
  <c r="W8" i="1"/>
  <c r="W9" i="1"/>
  <c r="W10" i="1"/>
  <c r="W11" i="1"/>
  <c r="W12" i="1"/>
  <c r="W13" i="1"/>
  <c r="W14" i="1"/>
  <c r="W15" i="1"/>
  <c r="W16" i="1"/>
  <c r="W7" i="1"/>
  <c r="J13" i="1"/>
  <c r="J15" i="1"/>
  <c r="J16" i="1"/>
  <c r="K16" i="1" s="1"/>
  <c r="J7" i="1"/>
  <c r="G9" i="1"/>
  <c r="K11" i="1"/>
  <c r="G12" i="1"/>
  <c r="G13" i="1"/>
  <c r="G14" i="1"/>
  <c r="G15" i="1"/>
  <c r="G16" i="1"/>
  <c r="G7" i="1"/>
  <c r="K32" i="1" l="1"/>
  <c r="K47" i="1"/>
  <c r="K48" i="1"/>
  <c r="K42" i="1"/>
  <c r="K33" i="1"/>
  <c r="K30" i="1"/>
  <c r="K28" i="1"/>
  <c r="K46" i="1"/>
  <c r="K29" i="1"/>
  <c r="K43" i="1"/>
  <c r="K26" i="1"/>
  <c r="K44" i="1"/>
  <c r="K41" i="1"/>
  <c r="K25" i="1"/>
  <c r="K8" i="1"/>
  <c r="K15" i="1"/>
  <c r="K9" i="1"/>
  <c r="K7" i="1"/>
</calcChain>
</file>

<file path=xl/sharedStrings.xml><?xml version="1.0" encoding="utf-8"?>
<sst xmlns="http://schemas.openxmlformats.org/spreadsheetml/2006/main" count="120" uniqueCount="67">
  <si>
    <t>Long</t>
  </si>
  <si>
    <t>Short</t>
  </si>
  <si>
    <t>Ticker</t>
  </si>
  <si>
    <t>Spread</t>
  </si>
  <si>
    <t>Forex</t>
  </si>
  <si>
    <t>Entry Price</t>
  </si>
  <si>
    <t>Commodities</t>
  </si>
  <si>
    <t>Performance</t>
  </si>
  <si>
    <t>Last Price</t>
  </si>
  <si>
    <t xml:space="preserve">Long </t>
  </si>
  <si>
    <t xml:space="preserve">% Var. </t>
  </si>
  <si>
    <t>Since inception</t>
  </si>
  <si>
    <t>Weeks on</t>
  </si>
  <si>
    <t>Watchlist</t>
  </si>
  <si>
    <t>% week</t>
  </si>
  <si>
    <t>Total</t>
  </si>
  <si>
    <t>Equities</t>
  </si>
  <si>
    <t>Comments</t>
  </si>
  <si>
    <t>AGR</t>
  </si>
  <si>
    <t>Bonds</t>
  </si>
  <si>
    <t>Recent Price Action</t>
  </si>
  <si>
    <t>F</t>
  </si>
  <si>
    <t>GM</t>
  </si>
  <si>
    <t>Entry Date</t>
  </si>
  <si>
    <t>Weeks</t>
  </si>
  <si>
    <t xml:space="preserve">WEN </t>
  </si>
  <si>
    <t>MCD</t>
  </si>
  <si>
    <t>Qualitative Analysis</t>
  </si>
  <si>
    <t xml:space="preserve">JPM </t>
  </si>
  <si>
    <t>C</t>
  </si>
  <si>
    <t>EPAM</t>
  </si>
  <si>
    <t>CTSH</t>
  </si>
  <si>
    <t>GBP</t>
  </si>
  <si>
    <t>Put option</t>
  </si>
  <si>
    <t>AGR vs put option</t>
  </si>
  <si>
    <t>IYT</t>
  </si>
  <si>
    <t>USD</t>
  </si>
  <si>
    <t xml:space="preserve">Long = + / Short = - </t>
  </si>
  <si>
    <t>WTI</t>
  </si>
  <si>
    <t>TLT</t>
  </si>
  <si>
    <t>XLU</t>
  </si>
  <si>
    <t>ISM + U.S. Consumers slowdown from UMCIS -Wait for close above 0.26</t>
  </si>
  <si>
    <t>MCD fundamentals deteriorating with bad Balance Sheet</t>
  </si>
  <si>
    <t>Pair Trade U.S. bank - intra sector</t>
  </si>
  <si>
    <t>MSFT</t>
  </si>
  <si>
    <t>SAP</t>
  </si>
  <si>
    <t>Intra sector long best in class</t>
  </si>
  <si>
    <t>Software best in class - make sure not too much exposure in the sector</t>
  </si>
  <si>
    <t>Put Option - 12 months - End Economic Cycle</t>
  </si>
  <si>
    <t>High Valuation - High Regulation</t>
  </si>
  <si>
    <t>Brexit Priced In</t>
  </si>
  <si>
    <t>World Consumption Holding</t>
  </si>
  <si>
    <t>Fed meeting and ECB as trigger</t>
  </si>
  <si>
    <t>Inception</t>
  </si>
  <si>
    <t>% Var since</t>
  </si>
  <si>
    <t>NVDA</t>
  </si>
  <si>
    <t>INTC</t>
  </si>
  <si>
    <t>Definition</t>
  </si>
  <si>
    <t>Process / TO DO LIST</t>
  </si>
  <si>
    <t>TO DO LIST</t>
  </si>
  <si>
    <t>The watchlist is the cornerstone of the investment process.
You want to generate a watchlist as clean as possible.
A clean watchlist will allow us to generate above average ideas.
Successful portfolio managers are able to quickly get the relevant information.
What you want is to be able to rely on your past generated ideas as well.
After the idea generation, Technical Analysis and Price Actions are required firewalls. By forcing the trade, we will be facing losses and be losing confidence in our process.</t>
  </si>
  <si>
    <t>Generate ideas across asset classes.</t>
  </si>
  <si>
    <t>Generate ideas across strategies</t>
  </si>
  <si>
    <t>Update Price Action</t>
  </si>
  <si>
    <t>Quantitative Analysis</t>
  </si>
  <si>
    <t>Technical Analysis</t>
  </si>
  <si>
    <t>Risk Management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</si>
</sst>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0.0000"/>
  </numFmts>
  <fonts count="14" x14ac:knownFonts="1">
    <font>
      <sz val="11"/>
      <color theme="1"/>
      <name val="Calibri"/>
      <family val="2"/>
      <scheme val="minor"/>
    </font>
    <font>
      <sz val="11"/>
      <color rgb="FFFF0000"/>
      <name val="Calibri"/>
      <family val="2"/>
      <scheme val="minor"/>
    </font>
    <font>
      <b/>
      <sz val="11"/>
      <color theme="1"/>
      <name val="Calibri"/>
      <family val="2"/>
      <scheme val="minor"/>
    </font>
    <font>
      <sz val="11"/>
      <color rgb="FF92D050"/>
      <name val="Calibri"/>
      <family val="2"/>
      <scheme val="minor"/>
    </font>
    <font>
      <b/>
      <sz val="11"/>
      <color theme="4" tint="-0.499984740745262"/>
      <name val="Calibri"/>
      <family val="2"/>
      <scheme val="minor"/>
    </font>
    <font>
      <b/>
      <sz val="14"/>
      <color theme="1"/>
      <name val="Calibri"/>
      <family val="2"/>
      <scheme val="minor"/>
    </font>
    <font>
      <b/>
      <sz val="18"/>
      <color theme="1"/>
      <name val="Calibri"/>
      <family val="2"/>
      <scheme val="minor"/>
    </font>
    <font>
      <b/>
      <sz val="11"/>
      <color indexed="9"/>
      <name val="Calibri"/>
      <family val="2"/>
    </font>
    <font>
      <sz val="11"/>
      <color theme="1"/>
      <name val="Calibri"/>
      <family val="2"/>
      <scheme val="minor"/>
    </font>
    <font>
      <b/>
      <sz val="11"/>
      <color theme="0"/>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0"/>
      <name val="Arial"/>
      <family val="2"/>
    </font>
  </fonts>
  <fills count="7">
    <fill>
      <patternFill patternType="none"/>
    </fill>
    <fill>
      <patternFill patternType="gray125"/>
    </fill>
    <fill>
      <patternFill patternType="solid">
        <fgColor theme="0"/>
        <bgColor indexed="64"/>
      </patternFill>
    </fill>
    <fill>
      <patternFill patternType="solid">
        <fgColor theme="4" tint="0.39997558519241921"/>
        <bgColor indexed="64"/>
      </patternFill>
    </fill>
    <fill>
      <patternFill patternType="solid">
        <fgColor rgb="FF4F81BD"/>
        <bgColor indexed="64"/>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ck">
        <color auto="1"/>
      </left>
      <right/>
      <top/>
      <bottom style="thin">
        <color indexed="64"/>
      </bottom>
      <diagonal/>
    </border>
    <border>
      <left/>
      <right/>
      <top/>
      <bottom style="thin">
        <color indexed="64"/>
      </bottom>
      <diagonal/>
    </border>
    <border>
      <left/>
      <right style="thick">
        <color auto="1"/>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7" fillId="4" borderId="0"/>
    <xf numFmtId="9" fontId="8" fillId="0" borderId="0" applyFont="0" applyFill="0" applyBorder="0" applyAlignment="0" applyProtection="0"/>
    <xf numFmtId="0" fontId="10" fillId="0" borderId="0" applyNumberFormat="0" applyFill="0" applyBorder="0" applyAlignment="0" applyProtection="0"/>
    <xf numFmtId="0" fontId="13" fillId="0" borderId="0"/>
  </cellStyleXfs>
  <cellXfs count="94">
    <xf numFmtId="0" fontId="0" fillId="0" borderId="0" xfId="0"/>
    <xf numFmtId="0" fontId="0" fillId="2" borderId="0" xfId="0" applyFill="1"/>
    <xf numFmtId="2" fontId="0" fillId="2" borderId="0" xfId="0" applyNumberFormat="1" applyFill="1"/>
    <xf numFmtId="0" fontId="0" fillId="2" borderId="0" xfId="0" applyFill="1" applyAlignment="1">
      <alignment horizontal="center" vertical="center" wrapText="1"/>
    </xf>
    <xf numFmtId="0" fontId="0" fillId="2" borderId="0" xfId="0" applyFill="1" applyAlignment="1">
      <alignment horizontal="center"/>
    </xf>
    <xf numFmtId="0" fontId="2" fillId="2" borderId="1" xfId="0" applyFont="1" applyFill="1" applyBorder="1"/>
    <xf numFmtId="0" fontId="0" fillId="2" borderId="1" xfId="0" applyFill="1" applyBorder="1"/>
    <xf numFmtId="0" fontId="0" fillId="2" borderId="2" xfId="0" applyFill="1" applyBorder="1"/>
    <xf numFmtId="0" fontId="0" fillId="2" borderId="3" xfId="0" applyFill="1" applyBorder="1"/>
    <xf numFmtId="0" fontId="3" fillId="2" borderId="0" xfId="0" applyFont="1" applyFill="1" applyBorder="1"/>
    <xf numFmtId="0" fontId="1" fillId="2" borderId="0" xfId="0" applyFont="1" applyFill="1" applyBorder="1"/>
    <xf numFmtId="0" fontId="4" fillId="2" borderId="0" xfId="0" applyFont="1" applyFill="1" applyBorder="1"/>
    <xf numFmtId="0" fontId="0" fillId="2" borderId="0" xfId="0" applyFill="1" applyBorder="1"/>
    <xf numFmtId="0" fontId="0" fillId="2" borderId="0" xfId="0" applyFill="1" applyBorder="1" applyAlignment="1">
      <alignment horizontal="center" vertical="center" wrapText="1"/>
    </xf>
    <xf numFmtId="0" fontId="0" fillId="2" borderId="4" xfId="0" applyFill="1" applyBorder="1"/>
    <xf numFmtId="0" fontId="0" fillId="2" borderId="3" xfId="0" applyFill="1" applyBorder="1" applyAlignment="1">
      <alignment horizontal="center"/>
    </xf>
    <xf numFmtId="10" fontId="0" fillId="2" borderId="0" xfId="0" applyNumberFormat="1" applyFill="1" applyBorder="1" applyAlignment="1">
      <alignment horizontal="center"/>
    </xf>
    <xf numFmtId="0" fontId="0" fillId="2" borderId="5" xfId="0" applyFill="1" applyBorder="1" applyAlignment="1">
      <alignment horizontal="center"/>
    </xf>
    <xf numFmtId="0" fontId="0" fillId="2" borderId="6" xfId="0" applyFill="1" applyBorder="1"/>
    <xf numFmtId="10" fontId="0" fillId="2" borderId="6" xfId="0" applyNumberFormat="1" applyFill="1" applyBorder="1" applyAlignment="1">
      <alignment horizontal="center"/>
    </xf>
    <xf numFmtId="0" fontId="0" fillId="2" borderId="6" xfId="0" applyFill="1" applyBorder="1" applyAlignment="1">
      <alignment horizontal="center" vertical="center" wrapText="1"/>
    </xf>
    <xf numFmtId="0" fontId="2" fillId="2" borderId="0" xfId="0" applyFont="1" applyFill="1" applyBorder="1"/>
    <xf numFmtId="0" fontId="0" fillId="2" borderId="0" xfId="0" applyFill="1" applyBorder="1" applyAlignment="1">
      <alignment horizontal="center"/>
    </xf>
    <xf numFmtId="2" fontId="0" fillId="2" borderId="0" xfId="0" applyNumberFormat="1" applyFill="1" applyBorder="1" applyAlignment="1">
      <alignment horizontal="center"/>
    </xf>
    <xf numFmtId="0" fontId="0" fillId="2" borderId="6" xfId="0" applyFill="1" applyBorder="1" applyAlignment="1">
      <alignment horizontal="center"/>
    </xf>
    <xf numFmtId="2" fontId="0" fillId="2" borderId="6" xfId="0" applyNumberFormat="1" applyFill="1" applyBorder="1" applyAlignment="1">
      <alignment horizontal="center"/>
    </xf>
    <xf numFmtId="0" fontId="2" fillId="2" borderId="0" xfId="0" applyFont="1" applyFill="1" applyBorder="1" applyAlignment="1">
      <alignment horizontal="center"/>
    </xf>
    <xf numFmtId="0" fontId="2" fillId="2" borderId="1"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2" borderId="3" xfId="0" applyFont="1" applyFill="1" applyBorder="1"/>
    <xf numFmtId="0" fontId="0" fillId="2" borderId="7" xfId="0" applyFill="1" applyBorder="1"/>
    <xf numFmtId="10" fontId="0" fillId="0" borderId="0" xfId="2" applyNumberFormat="1" applyFont="1"/>
    <xf numFmtId="0" fontId="0" fillId="2" borderId="10" xfId="0" applyFill="1" applyBorder="1"/>
    <xf numFmtId="0" fontId="3" fillId="2" borderId="11" xfId="0" applyFont="1" applyFill="1" applyBorder="1"/>
    <xf numFmtId="0" fontId="1" fillId="2" borderId="11" xfId="0" applyFont="1" applyFill="1" applyBorder="1"/>
    <xf numFmtId="0" fontId="4" fillId="2" borderId="11" xfId="0" applyFont="1" applyFill="1" applyBorder="1"/>
    <xf numFmtId="0" fontId="0" fillId="2" borderId="11" xfId="0" applyFill="1" applyBorder="1"/>
    <xf numFmtId="0" fontId="0" fillId="2" borderId="11" xfId="0" applyFill="1" applyBorder="1" applyAlignment="1">
      <alignment horizontal="center" vertical="center" wrapText="1"/>
    </xf>
    <xf numFmtId="0" fontId="2" fillId="2" borderId="11" xfId="0" applyFont="1" applyFill="1" applyBorder="1" applyAlignment="1">
      <alignment horizontal="center"/>
    </xf>
    <xf numFmtId="0" fontId="0" fillId="2" borderId="12" xfId="0" applyFill="1" applyBorder="1"/>
    <xf numFmtId="0" fontId="2" fillId="2" borderId="11" xfId="0" applyFont="1" applyFill="1" applyBorder="1"/>
    <xf numFmtId="0" fontId="2" fillId="2" borderId="11" xfId="0" applyFont="1" applyFill="1" applyBorder="1" applyAlignment="1">
      <alignment horizontal="center" vertical="center" wrapText="1"/>
    </xf>
    <xf numFmtId="0" fontId="6" fillId="3" borderId="9" xfId="0" applyFont="1" applyFill="1" applyBorder="1"/>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4" fontId="0" fillId="2" borderId="0" xfId="0" applyNumberFormat="1" applyFill="1" applyBorder="1" applyAlignment="1">
      <alignment horizontal="center"/>
    </xf>
    <xf numFmtId="165" fontId="0" fillId="2" borderId="0" xfId="0" applyNumberFormat="1" applyFill="1" applyBorder="1" applyAlignment="1">
      <alignment horizontal="center"/>
    </xf>
    <xf numFmtId="0" fontId="0" fillId="2" borderId="0" xfId="0" applyFont="1" applyFill="1" applyBorder="1"/>
    <xf numFmtId="0" fontId="3" fillId="2" borderId="24" xfId="0" applyFont="1" applyFill="1" applyBorder="1"/>
    <xf numFmtId="0" fontId="4" fillId="2" borderId="25" xfId="0" applyFont="1" applyFill="1" applyBorder="1"/>
    <xf numFmtId="0" fontId="2" fillId="2" borderId="17" xfId="0" applyFont="1" applyFill="1" applyBorder="1"/>
    <xf numFmtId="0" fontId="1" fillId="2" borderId="18" xfId="0" applyFont="1" applyFill="1" applyBorder="1"/>
    <xf numFmtId="0" fontId="1" fillId="2" borderId="25" xfId="0" applyFont="1" applyFill="1" applyBorder="1"/>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7" xfId="0" applyFont="1" applyFill="1" applyBorder="1" applyAlignment="1">
      <alignment horizontal="center" vertical="center" wrapText="1"/>
    </xf>
    <xf numFmtId="0" fontId="0" fillId="2" borderId="18" xfId="0" applyFill="1" applyBorder="1" applyAlignment="1">
      <alignment horizontal="center" vertical="center" wrapText="1"/>
    </xf>
    <xf numFmtId="0" fontId="2" fillId="2" borderId="24" xfId="0" applyFont="1" applyFill="1" applyBorder="1" applyAlignment="1">
      <alignment horizontal="center"/>
    </xf>
    <xf numFmtId="0" fontId="2" fillId="2" borderId="25" xfId="0" applyFont="1" applyFill="1" applyBorder="1" applyAlignment="1">
      <alignment horizontal="center"/>
    </xf>
    <xf numFmtId="1" fontId="0" fillId="2" borderId="0" xfId="0" applyNumberFormat="1" applyFill="1" applyBorder="1" applyAlignment="1">
      <alignment horizontal="center"/>
    </xf>
    <xf numFmtId="1" fontId="0" fillId="2" borderId="0" xfId="0" applyNumberFormat="1" applyFill="1" applyBorder="1" applyAlignment="1">
      <alignment horizontal="center" vertical="center" wrapText="1"/>
    </xf>
    <xf numFmtId="1" fontId="0" fillId="2" borderId="6" xfId="0" applyNumberFormat="1" applyFill="1" applyBorder="1" applyAlignment="1">
      <alignment horizontal="center" vertical="center" wrapText="1"/>
    </xf>
    <xf numFmtId="0" fontId="0" fillId="2" borderId="0" xfId="0" applyFill="1" applyAlignment="1">
      <alignment wrapText="1"/>
    </xf>
    <xf numFmtId="0" fontId="12" fillId="0" borderId="0" xfId="0" applyFont="1"/>
    <xf numFmtId="0" fontId="0" fillId="2" borderId="0" xfId="0" applyFill="1" applyAlignment="1">
      <alignment vertical="center"/>
    </xf>
    <xf numFmtId="0" fontId="10" fillId="2" borderId="0" xfId="3" applyFill="1"/>
    <xf numFmtId="0" fontId="2" fillId="2" borderId="0" xfId="0" applyFont="1" applyFill="1" applyAlignment="1">
      <alignment horizontal="center" vertical="center"/>
    </xf>
    <xf numFmtId="0" fontId="2" fillId="2" borderId="16" xfId="0" applyFont="1" applyFill="1" applyBorder="1" applyAlignment="1">
      <alignment horizontal="center" vertical="center"/>
    </xf>
    <xf numFmtId="0" fontId="9" fillId="5" borderId="8" xfId="0" applyFont="1" applyFill="1" applyBorder="1" applyAlignment="1">
      <alignment horizontal="center"/>
    </xf>
    <xf numFmtId="0" fontId="0" fillId="0" borderId="20" xfId="0" applyBorder="1" applyAlignment="1">
      <alignment horizontal="center"/>
    </xf>
    <xf numFmtId="0" fontId="0" fillId="0" borderId="19" xfId="0" applyBorder="1" applyAlignment="1">
      <alignment horizontal="center"/>
    </xf>
    <xf numFmtId="0" fontId="2" fillId="6" borderId="26" xfId="0" applyFont="1" applyFill="1"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11" fillId="2" borderId="0" xfId="0" applyFont="1" applyFill="1" applyAlignment="1">
      <alignment wrapText="1"/>
    </xf>
    <xf numFmtId="0" fontId="2" fillId="2" borderId="0" xfId="0" applyFont="1" applyFill="1" applyAlignment="1">
      <alignment wrapText="1"/>
    </xf>
    <xf numFmtId="0" fontId="0" fillId="6" borderId="27" xfId="0" applyFill="1" applyBorder="1" applyAlignment="1">
      <alignment horizontal="center"/>
    </xf>
    <xf numFmtId="0" fontId="0" fillId="6" borderId="28" xfId="0" applyFill="1" applyBorder="1" applyAlignment="1">
      <alignment horizontal="center"/>
    </xf>
    <xf numFmtId="0" fontId="2" fillId="6" borderId="27" xfId="0" applyFont="1" applyFill="1" applyBorder="1" applyAlignment="1">
      <alignment horizontal="center"/>
    </xf>
    <xf numFmtId="0" fontId="2" fillId="6" borderId="28" xfId="0" applyFont="1" applyFill="1" applyBorder="1" applyAlignment="1">
      <alignment horizontal="center"/>
    </xf>
    <xf numFmtId="0" fontId="0" fillId="2" borderId="0" xfId="0" applyFill="1"/>
    <xf numFmtId="0" fontId="0" fillId="0" borderId="0" xfId="0"/>
    <xf numFmtId="0" fontId="0" fillId="2" borderId="0" xfId="0" applyFill="1" applyAlignment="1">
      <alignment wrapText="1"/>
    </xf>
    <xf numFmtId="0" fontId="0" fillId="0" borderId="0" xfId="0" applyAlignment="1">
      <alignment wrapText="1"/>
    </xf>
    <xf numFmtId="0" fontId="2" fillId="2" borderId="0" xfId="0" applyFont="1" applyFill="1"/>
    <xf numFmtId="0" fontId="0" fillId="0" borderId="0" xfId="0" applyAlignment="1">
      <alignment vertical="center"/>
    </xf>
    <xf numFmtId="0" fontId="2" fillId="2" borderId="13" xfId="0" applyFont="1" applyFill="1" applyBorder="1" applyAlignment="1">
      <alignment horizontal="center"/>
    </xf>
    <xf numFmtId="0" fontId="2" fillId="2" borderId="14" xfId="0" applyFont="1" applyFill="1" applyBorder="1" applyAlignment="1">
      <alignment horizontal="center"/>
    </xf>
    <xf numFmtId="0" fontId="2" fillId="2" borderId="15" xfId="0" applyFont="1" applyFill="1" applyBorder="1" applyAlignment="1">
      <alignment horizontal="center"/>
    </xf>
    <xf numFmtId="0" fontId="2" fillId="2" borderId="21" xfId="0" applyFont="1" applyFill="1" applyBorder="1" applyAlignment="1">
      <alignment horizontal="center"/>
    </xf>
    <xf numFmtId="0" fontId="0" fillId="0" borderId="22" xfId="0" applyBorder="1" applyAlignment="1">
      <alignment horizontal="center"/>
    </xf>
    <xf numFmtId="0" fontId="0" fillId="0" borderId="23" xfId="0" applyBorder="1" applyAlignment="1"/>
    <xf numFmtId="0" fontId="0" fillId="0" borderId="23" xfId="0" applyBorder="1" applyAlignment="1">
      <alignment horizontal="center"/>
    </xf>
  </cellXfs>
  <cellStyles count="5">
    <cellStyle name="blp_column_header" xfId="1" xr:uid="{00000000-0005-0000-0000-000000000000}"/>
    <cellStyle name="Hyperlink" xfId="3" builtinId="8"/>
    <cellStyle name="Normal" xfId="0" builtinId="0"/>
    <cellStyle name="Normal 3" xfId="4" xr:uid="{7A5AAFCA-6395-4ABF-977F-D57ADCBD9599}"/>
    <cellStyle name="Per cent" xfId="2" builtinId="5"/>
  </cellStyles>
  <dxfs count="72">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
      <font>
        <b/>
        <i val="0"/>
        <color rgb="FF00B050"/>
      </font>
    </dxf>
    <dxf>
      <font>
        <color theme="1"/>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5B804-B322-4DC1-91A0-54AF8B412BB8}">
  <sheetPr>
    <tabColor rgb="FFFFFF00"/>
  </sheetPr>
  <dimension ref="B1:M27"/>
  <sheetViews>
    <sheetView zoomScale="150" zoomScaleNormal="150" workbookViewId="0">
      <selection activeCell="B27" sqref="B27:M27"/>
    </sheetView>
  </sheetViews>
  <sheetFormatPr baseColWidth="10" defaultColWidth="9.1640625" defaultRowHeight="15" x14ac:dyDescent="0.2"/>
  <cols>
    <col min="1" max="1" width="4" style="1" customWidth="1"/>
    <col min="2" max="5" width="12.83203125" style="1" customWidth="1"/>
    <col min="6" max="6" width="13.6640625" style="1" customWidth="1"/>
    <col min="7" max="10" width="12.83203125" style="1" customWidth="1"/>
    <col min="11" max="13" width="2" style="1" customWidth="1"/>
    <col min="14" max="16384" width="9.1640625" style="1"/>
  </cols>
  <sheetData>
    <row r="1" spans="2:10" x14ac:dyDescent="0.2">
      <c r="B1" s="67"/>
      <c r="C1" s="67"/>
      <c r="D1" s="67"/>
      <c r="E1" s="67"/>
      <c r="F1" s="67"/>
      <c r="G1" s="67"/>
      <c r="H1" s="67"/>
      <c r="I1" s="67"/>
      <c r="J1" s="67"/>
    </row>
    <row r="2" spans="2:10" ht="16" thickBot="1" x14ac:dyDescent="0.25">
      <c r="B2" s="68"/>
      <c r="C2" s="68"/>
      <c r="D2" s="68"/>
      <c r="E2" s="68"/>
      <c r="F2" s="68"/>
      <c r="G2" s="68"/>
      <c r="H2" s="68"/>
      <c r="I2" s="68"/>
      <c r="J2" s="68"/>
    </row>
    <row r="3" spans="2:10" ht="16" thickBot="1" x14ac:dyDescent="0.25">
      <c r="B3" s="69" t="s">
        <v>13</v>
      </c>
      <c r="C3" s="70"/>
      <c r="D3" s="70"/>
      <c r="E3" s="70"/>
      <c r="F3" s="70"/>
      <c r="G3" s="70"/>
      <c r="H3" s="70"/>
      <c r="I3" s="70"/>
      <c r="J3" s="71"/>
    </row>
    <row r="5" spans="2:10" x14ac:dyDescent="0.2">
      <c r="B5" s="72" t="s">
        <v>57</v>
      </c>
      <c r="C5" s="73"/>
      <c r="D5" s="73"/>
      <c r="E5" s="73"/>
      <c r="F5" s="73"/>
      <c r="G5" s="73"/>
      <c r="H5" s="73"/>
      <c r="I5" s="73"/>
      <c r="J5" s="74"/>
    </row>
    <row r="7" spans="2:10" ht="118.5" customHeight="1" x14ac:dyDescent="0.2">
      <c r="B7" s="75" t="s">
        <v>60</v>
      </c>
      <c r="C7" s="76"/>
      <c r="D7" s="76"/>
      <c r="E7" s="76"/>
      <c r="F7" s="76"/>
      <c r="G7" s="76"/>
      <c r="H7" s="76"/>
      <c r="I7" s="76"/>
      <c r="J7" s="76"/>
    </row>
    <row r="8" spans="2:10" ht="24" customHeight="1" x14ac:dyDescent="0.2">
      <c r="B8" s="66"/>
      <c r="C8" s="63"/>
      <c r="D8" s="63"/>
      <c r="E8" s="63"/>
      <c r="F8" s="63"/>
      <c r="G8" s="63"/>
      <c r="H8" s="63"/>
      <c r="I8" s="63"/>
      <c r="J8" s="63"/>
    </row>
    <row r="9" spans="2:10" x14ac:dyDescent="0.2">
      <c r="B9" s="64"/>
      <c r="C9" s="65"/>
      <c r="D9" s="65"/>
      <c r="E9" s="65"/>
    </row>
    <row r="10" spans="2:10" x14ac:dyDescent="0.2">
      <c r="B10" s="72" t="s">
        <v>58</v>
      </c>
      <c r="C10" s="77"/>
      <c r="D10" s="77"/>
      <c r="E10" s="77"/>
      <c r="F10" s="77"/>
      <c r="G10" s="77"/>
      <c r="H10" s="77"/>
      <c r="I10" s="77"/>
      <c r="J10" s="78"/>
    </row>
    <row r="12" spans="2:10" x14ac:dyDescent="0.2">
      <c r="B12" s="72" t="s">
        <v>59</v>
      </c>
      <c r="C12" s="79"/>
      <c r="D12" s="79"/>
      <c r="E12" s="79"/>
      <c r="F12" s="80"/>
      <c r="G12" s="72" t="s">
        <v>17</v>
      </c>
      <c r="H12" s="79"/>
      <c r="I12" s="79"/>
      <c r="J12" s="80"/>
    </row>
    <row r="14" spans="2:10" ht="15" customHeight="1" x14ac:dyDescent="0.2">
      <c r="B14" s="81" t="s">
        <v>61</v>
      </c>
      <c r="C14" s="82"/>
      <c r="D14" s="82"/>
      <c r="E14" s="82"/>
      <c r="F14" s="82"/>
      <c r="G14" s="81"/>
      <c r="H14" s="82"/>
      <c r="I14" s="82"/>
      <c r="J14" s="82"/>
    </row>
    <row r="15" spans="2:10" ht="15" customHeight="1" x14ac:dyDescent="0.2">
      <c r="B15" s="81" t="s">
        <v>62</v>
      </c>
      <c r="C15" s="82"/>
      <c r="D15" s="82"/>
      <c r="E15" s="82"/>
      <c r="F15" s="82"/>
      <c r="G15" s="83"/>
      <c r="H15" s="84"/>
      <c r="I15" s="84"/>
      <c r="J15" s="84"/>
    </row>
    <row r="16" spans="2:10" ht="15" customHeight="1" x14ac:dyDescent="0.2">
      <c r="B16" s="83" t="s">
        <v>63</v>
      </c>
      <c r="C16" s="84"/>
      <c r="D16" s="84"/>
      <c r="E16" s="84"/>
      <c r="F16" s="84"/>
      <c r="G16" s="81"/>
      <c r="H16" s="82"/>
      <c r="I16" s="82"/>
      <c r="J16" s="82"/>
    </row>
    <row r="17" spans="2:13" ht="15" customHeight="1" x14ac:dyDescent="0.2">
      <c r="B17" s="81" t="s">
        <v>64</v>
      </c>
      <c r="C17" s="82"/>
      <c r="D17" s="82"/>
      <c r="E17" s="82"/>
      <c r="F17" s="82"/>
    </row>
    <row r="18" spans="2:13" ht="15" customHeight="1" x14ac:dyDescent="0.2">
      <c r="B18" s="81" t="s">
        <v>27</v>
      </c>
      <c r="C18" s="82"/>
      <c r="D18" s="82"/>
      <c r="E18" s="82"/>
      <c r="F18" s="82"/>
    </row>
    <row r="19" spans="2:13" ht="15" customHeight="1" x14ac:dyDescent="0.2">
      <c r="B19" s="1" t="s">
        <v>65</v>
      </c>
    </row>
    <row r="20" spans="2:13" ht="15" customHeight="1" x14ac:dyDescent="0.2">
      <c r="B20" s="81" t="s">
        <v>66</v>
      </c>
      <c r="C20" s="82"/>
      <c r="D20" s="82"/>
      <c r="E20" s="82"/>
      <c r="F20" s="82"/>
      <c r="G20" s="81"/>
      <c r="H20" s="82"/>
      <c r="I20" s="82"/>
      <c r="J20" s="82"/>
    </row>
    <row r="21" spans="2:13" ht="15" customHeight="1" x14ac:dyDescent="0.2">
      <c r="B21" s="81"/>
      <c r="C21" s="82"/>
      <c r="D21" s="82"/>
      <c r="E21" s="82"/>
      <c r="F21" s="82"/>
      <c r="G21" s="81"/>
      <c r="H21" s="82"/>
      <c r="I21" s="82"/>
      <c r="J21" s="82"/>
    </row>
    <row r="22" spans="2:13" ht="15" customHeight="1" x14ac:dyDescent="0.2">
      <c r="B22" s="81"/>
      <c r="C22" s="82"/>
      <c r="D22" s="82"/>
      <c r="E22" s="82"/>
      <c r="F22" s="82"/>
      <c r="G22" s="81"/>
      <c r="H22" s="82"/>
      <c r="I22" s="82"/>
      <c r="J22" s="82"/>
    </row>
    <row r="25" spans="2:13" x14ac:dyDescent="0.2">
      <c r="B25" s="85"/>
      <c r="C25" s="82"/>
      <c r="D25" s="82"/>
      <c r="E25" s="82"/>
      <c r="F25" s="82"/>
      <c r="G25" s="82"/>
      <c r="H25" s="82"/>
      <c r="I25" s="82"/>
      <c r="J25" s="82"/>
      <c r="K25" s="82"/>
      <c r="L25" s="82"/>
      <c r="M25" s="82"/>
    </row>
    <row r="26" spans="2:13" x14ac:dyDescent="0.2">
      <c r="B26" s="83"/>
      <c r="C26" s="84"/>
      <c r="D26" s="84"/>
      <c r="E26" s="84"/>
      <c r="F26" s="84"/>
      <c r="G26" s="84"/>
      <c r="H26" s="84"/>
      <c r="I26" s="84"/>
      <c r="J26" s="84"/>
      <c r="K26" s="82"/>
      <c r="L26" s="82"/>
      <c r="M26" s="82"/>
    </row>
    <row r="27" spans="2:13" x14ac:dyDescent="0.2">
      <c r="B27" s="86"/>
      <c r="C27" s="82"/>
      <c r="D27" s="82"/>
      <c r="E27" s="82"/>
      <c r="F27" s="82"/>
      <c r="G27" s="82"/>
      <c r="H27" s="82"/>
      <c r="I27" s="82"/>
      <c r="J27" s="82"/>
      <c r="K27" s="82"/>
      <c r="L27" s="82"/>
      <c r="M27" s="82"/>
    </row>
  </sheetData>
  <mergeCells count="24">
    <mergeCell ref="B25:M25"/>
    <mergeCell ref="B26:M26"/>
    <mergeCell ref="B27:M27"/>
    <mergeCell ref="B15:F15"/>
    <mergeCell ref="B22:F22"/>
    <mergeCell ref="G22:J22"/>
    <mergeCell ref="B20:F20"/>
    <mergeCell ref="G20:J20"/>
    <mergeCell ref="B21:F21"/>
    <mergeCell ref="G21:J21"/>
    <mergeCell ref="B16:F16"/>
    <mergeCell ref="G16:J16"/>
    <mergeCell ref="B17:F17"/>
    <mergeCell ref="B18:F18"/>
    <mergeCell ref="B12:F12"/>
    <mergeCell ref="G12:J12"/>
    <mergeCell ref="B14:F14"/>
    <mergeCell ref="G14:J14"/>
    <mergeCell ref="G15:J15"/>
    <mergeCell ref="B1:J2"/>
    <mergeCell ref="B3:J3"/>
    <mergeCell ref="B5:J5"/>
    <mergeCell ref="B7:J7"/>
    <mergeCell ref="B10:J1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C66"/>
  <sheetViews>
    <sheetView tabSelected="1" zoomScale="140" zoomScaleNormal="140" workbookViewId="0">
      <selection activeCell="Y3" sqref="Y3"/>
    </sheetView>
  </sheetViews>
  <sheetFormatPr baseColWidth="10" defaultColWidth="9.1640625" defaultRowHeight="15" x14ac:dyDescent="0.2"/>
  <cols>
    <col min="1" max="1" width="19.33203125" style="1" customWidth="1"/>
    <col min="2" max="2" width="13" style="1" customWidth="1"/>
    <col min="3" max="3" width="10.33203125" style="1" customWidth="1"/>
    <col min="4" max="4" width="14" style="1" customWidth="1"/>
    <col min="5" max="10" width="10.33203125" style="1" customWidth="1"/>
    <col min="11" max="11" width="13.33203125" style="1" customWidth="1"/>
    <col min="12" max="12" width="10.33203125" style="3" customWidth="1"/>
    <col min="13" max="24" width="10.33203125" style="1" customWidth="1"/>
    <col min="25" max="25" width="101.33203125" style="1" customWidth="1"/>
    <col min="26" max="26" width="10.33203125" style="1" customWidth="1"/>
    <col min="27" max="16384" width="9.1640625" style="1"/>
  </cols>
  <sheetData>
    <row r="1" spans="1:29" ht="16" thickBot="1" x14ac:dyDescent="0.25">
      <c r="A1" s="43">
        <v>43707</v>
      </c>
      <c r="B1" s="43"/>
    </row>
    <row r="2" spans="1:29" ht="17" thickTop="1" thickBot="1" x14ac:dyDescent="0.25">
      <c r="M2" s="87" t="s">
        <v>20</v>
      </c>
      <c r="N2" s="88"/>
      <c r="O2" s="88"/>
      <c r="P2" s="88"/>
      <c r="Q2" s="88"/>
      <c r="R2" s="88"/>
      <c r="S2" s="88"/>
      <c r="T2" s="88"/>
      <c r="U2" s="88"/>
      <c r="V2" s="89"/>
    </row>
    <row r="3" spans="1:29" ht="26" thickTop="1" thickBot="1" x14ac:dyDescent="0.35">
      <c r="A3" s="42" t="s">
        <v>16</v>
      </c>
      <c r="B3" s="6"/>
      <c r="C3" s="6"/>
      <c r="D3" s="6"/>
      <c r="E3" s="6"/>
      <c r="F3" s="6"/>
      <c r="G3" s="6"/>
      <c r="H3" s="5" t="s">
        <v>7</v>
      </c>
      <c r="I3" s="6"/>
      <c r="J3" s="6"/>
      <c r="K3" s="5"/>
      <c r="L3" s="27"/>
      <c r="M3" s="21"/>
      <c r="N3" s="12"/>
      <c r="O3" s="12"/>
      <c r="P3" s="12"/>
      <c r="Q3" s="12"/>
      <c r="R3" s="12"/>
      <c r="S3" s="12"/>
      <c r="T3" s="12"/>
      <c r="U3" s="12"/>
      <c r="V3" s="12"/>
      <c r="W3" s="6"/>
      <c r="X3" s="6"/>
      <c r="Y3" s="5" t="s">
        <v>17</v>
      </c>
      <c r="Z3" s="7"/>
    </row>
    <row r="4" spans="1:29" ht="19" x14ac:dyDescent="0.25">
      <c r="A4" s="29"/>
      <c r="B4" s="12"/>
      <c r="C4" s="12"/>
      <c r="D4" s="12"/>
      <c r="E4" s="12"/>
      <c r="F4" s="12"/>
      <c r="G4" s="12"/>
      <c r="H4" s="21"/>
      <c r="I4" s="12"/>
      <c r="J4" s="12"/>
      <c r="K4" s="26"/>
      <c r="L4" s="28"/>
      <c r="M4" s="21"/>
      <c r="N4" s="12"/>
      <c r="O4" s="12"/>
      <c r="P4" s="12"/>
      <c r="Q4" s="12"/>
      <c r="R4" s="12"/>
      <c r="S4" s="12"/>
      <c r="T4" s="12"/>
      <c r="U4" s="12"/>
      <c r="V4" s="12"/>
      <c r="W4" s="12"/>
      <c r="X4" s="12"/>
      <c r="Y4" s="12"/>
      <c r="Z4" s="14"/>
    </row>
    <row r="5" spans="1:29" ht="31.5" customHeight="1" x14ac:dyDescent="0.2">
      <c r="A5" s="8"/>
      <c r="B5" s="90" t="s">
        <v>2</v>
      </c>
      <c r="C5" s="93"/>
      <c r="D5" s="51" t="s">
        <v>23</v>
      </c>
      <c r="E5" s="90" t="s">
        <v>5</v>
      </c>
      <c r="F5" s="91"/>
      <c r="G5" s="92"/>
      <c r="H5" s="90" t="s">
        <v>8</v>
      </c>
      <c r="I5" s="91"/>
      <c r="J5" s="93"/>
      <c r="K5" s="54" t="s">
        <v>54</v>
      </c>
      <c r="L5" s="56" t="s">
        <v>24</v>
      </c>
      <c r="M5" s="90" t="s">
        <v>14</v>
      </c>
      <c r="N5" s="91"/>
      <c r="O5" s="91"/>
      <c r="P5" s="91"/>
      <c r="Q5" s="91"/>
      <c r="R5" s="91"/>
      <c r="S5" s="91"/>
      <c r="T5" s="91"/>
      <c r="U5" s="91"/>
      <c r="V5" s="91"/>
      <c r="W5" s="93"/>
      <c r="X5" s="12"/>
      <c r="Y5" s="12"/>
      <c r="Z5" s="14"/>
    </row>
    <row r="6" spans="1:29" ht="16" x14ac:dyDescent="0.2">
      <c r="A6" s="32"/>
      <c r="B6" s="49" t="s">
        <v>0</v>
      </c>
      <c r="C6" s="53" t="s">
        <v>1</v>
      </c>
      <c r="D6" s="52"/>
      <c r="E6" s="49" t="s">
        <v>0</v>
      </c>
      <c r="F6" s="34" t="s">
        <v>1</v>
      </c>
      <c r="G6" s="50" t="s">
        <v>3</v>
      </c>
      <c r="H6" s="49" t="s">
        <v>9</v>
      </c>
      <c r="I6" s="34" t="s">
        <v>1</v>
      </c>
      <c r="J6" s="50" t="s">
        <v>3</v>
      </c>
      <c r="K6" s="55" t="s">
        <v>53</v>
      </c>
      <c r="L6" s="57"/>
      <c r="M6" s="58">
        <v>1</v>
      </c>
      <c r="N6" s="38">
        <v>2</v>
      </c>
      <c r="O6" s="38">
        <v>3</v>
      </c>
      <c r="P6" s="38">
        <v>4</v>
      </c>
      <c r="Q6" s="38">
        <v>5</v>
      </c>
      <c r="R6" s="38">
        <v>6</v>
      </c>
      <c r="S6" s="38">
        <v>7</v>
      </c>
      <c r="T6" s="38">
        <v>8</v>
      </c>
      <c r="U6" s="38">
        <v>9</v>
      </c>
      <c r="V6" s="38">
        <v>10</v>
      </c>
      <c r="W6" s="59" t="s">
        <v>15</v>
      </c>
      <c r="X6" s="36"/>
      <c r="Y6" s="36"/>
      <c r="Z6" s="39"/>
    </row>
    <row r="7" spans="1:29" x14ac:dyDescent="0.2">
      <c r="A7" s="15">
        <v>1</v>
      </c>
      <c r="B7" s="22" t="s">
        <v>21</v>
      </c>
      <c r="C7" s="22" t="s">
        <v>22</v>
      </c>
      <c r="D7" s="46">
        <v>43671</v>
      </c>
      <c r="E7" s="22"/>
      <c r="F7" s="22"/>
      <c r="G7" s="23" t="str">
        <f>IF(E7="","",E7/F7)</f>
        <v/>
      </c>
      <c r="H7" s="22"/>
      <c r="I7" s="22"/>
      <c r="J7" s="23" t="str">
        <f>IF(H7="","",H7/I7)</f>
        <v/>
      </c>
      <c r="K7" s="16" t="str">
        <f>IF(OR(J7="",G7=""),"",(J7/G7)-1)</f>
        <v/>
      </c>
      <c r="L7" s="60">
        <f t="shared" ref="L7:L16" si="0">IF(D7&gt;0,NETWORKDAYS(D7,$A$1,)/5,"")</f>
        <v>5.4</v>
      </c>
      <c r="M7" s="16">
        <v>1.8415944068686796E-2</v>
      </c>
      <c r="N7" s="16">
        <v>-1.3170014604750571E-3</v>
      </c>
      <c r="O7" s="16">
        <v>1.9023982966829625E-2</v>
      </c>
      <c r="P7" s="16">
        <v>2.8133314039933254E-2</v>
      </c>
      <c r="Q7" s="16">
        <v>-1.1597510638076881E-2</v>
      </c>
      <c r="R7" s="16"/>
      <c r="S7" s="16"/>
      <c r="T7" s="16"/>
      <c r="U7" s="16"/>
      <c r="V7" s="16"/>
      <c r="W7" s="16">
        <f>IF(M7="","",SUM(M7:V7))</f>
        <v>5.2658728976897738E-2</v>
      </c>
      <c r="X7" s="12"/>
      <c r="Y7" s="12" t="s">
        <v>41</v>
      </c>
      <c r="Z7" s="14"/>
    </row>
    <row r="8" spans="1:29" x14ac:dyDescent="0.2">
      <c r="A8" s="15">
        <v>2</v>
      </c>
      <c r="B8" s="22" t="s">
        <v>25</v>
      </c>
      <c r="C8" s="22" t="s">
        <v>26</v>
      </c>
      <c r="D8" s="46">
        <v>43675</v>
      </c>
      <c r="E8" s="44"/>
      <c r="F8" s="23"/>
      <c r="G8" s="23" t="str">
        <f>IF(E8="","",E8/F8)</f>
        <v/>
      </c>
      <c r="H8" s="22"/>
      <c r="I8" s="22"/>
      <c r="J8" s="23" t="str">
        <f t="shared" ref="J8:J16" si="1">IF(H8="","",H8/I8)</f>
        <v/>
      </c>
      <c r="K8" s="16" t="str">
        <f>IF(OR(J8="",G8=""),"",(J8/G8)-1)</f>
        <v/>
      </c>
      <c r="L8" s="61">
        <f t="shared" si="0"/>
        <v>5</v>
      </c>
      <c r="M8" s="16">
        <v>6.2927670903499267E-2</v>
      </c>
      <c r="N8" s="16">
        <v>3.9934429435083144E-2</v>
      </c>
      <c r="O8" s="16">
        <v>6.9466438421828314E-2</v>
      </c>
      <c r="P8" s="16">
        <v>-2.9550960101268026E-2</v>
      </c>
      <c r="Q8" s="16"/>
      <c r="R8" s="16"/>
      <c r="S8" s="16"/>
      <c r="T8" s="16"/>
      <c r="U8" s="16"/>
      <c r="V8" s="16"/>
      <c r="W8" s="16">
        <f t="shared" ref="W8:W16" si="2">IF(M8="","",SUM(M8:V8))</f>
        <v>0.14277757865914267</v>
      </c>
      <c r="X8" s="12"/>
      <c r="Y8" s="12" t="s">
        <v>42</v>
      </c>
      <c r="Z8" s="14"/>
    </row>
    <row r="9" spans="1:29" x14ac:dyDescent="0.2">
      <c r="A9" s="15">
        <v>3</v>
      </c>
      <c r="B9" s="22" t="s">
        <v>28</v>
      </c>
      <c r="C9" s="22" t="s">
        <v>29</v>
      </c>
      <c r="D9" s="46">
        <v>43656</v>
      </c>
      <c r="E9" s="4">
        <v>113.02</v>
      </c>
      <c r="F9" s="4">
        <v>71.13</v>
      </c>
      <c r="G9" s="23">
        <f t="shared" ref="G9:G16" si="3">IF(E9="","",E9/F9)</f>
        <v>1.5889216926753831</v>
      </c>
      <c r="H9" s="4">
        <v>109.86</v>
      </c>
      <c r="I9" s="4">
        <v>64.349999999999994</v>
      </c>
      <c r="J9" s="23">
        <f t="shared" si="1"/>
        <v>1.7072261072261075</v>
      </c>
      <c r="K9" s="16">
        <f>IF(OR(J9="",G9=""),"",(J9/G9)-1)</f>
        <v>7.4455786648319089E-2</v>
      </c>
      <c r="L9" s="61">
        <f t="shared" si="0"/>
        <v>7.6</v>
      </c>
      <c r="M9" s="45">
        <v>-2.4272185209146266E-3</v>
      </c>
      <c r="N9" s="16">
        <v>8.5258613628997251E-3</v>
      </c>
      <c r="O9" s="16">
        <v>2.1332905742844292E-2</v>
      </c>
      <c r="P9" s="16">
        <v>-5.2963295512704093E-3</v>
      </c>
      <c r="Q9" s="16">
        <v>2.934597828381064E-2</v>
      </c>
      <c r="R9" s="16">
        <v>6.0143206597761505E-3</v>
      </c>
      <c r="S9" s="16">
        <v>-3.4622522007756039E-3</v>
      </c>
      <c r="T9" s="16">
        <v>1.1076226555816223E-2</v>
      </c>
      <c r="U9" s="16"/>
      <c r="V9" s="16"/>
      <c r="W9" s="16">
        <f t="shared" si="2"/>
        <v>6.5109492332186394E-2</v>
      </c>
      <c r="X9" s="12"/>
      <c r="Y9" s="12" t="s">
        <v>43</v>
      </c>
      <c r="Z9" s="14"/>
    </row>
    <row r="10" spans="1:29" x14ac:dyDescent="0.2">
      <c r="A10" s="15">
        <v>4</v>
      </c>
      <c r="B10" s="4" t="s">
        <v>44</v>
      </c>
      <c r="C10" s="4" t="s">
        <v>45</v>
      </c>
      <c r="D10" s="46">
        <v>43686</v>
      </c>
      <c r="E10" s="44"/>
      <c r="F10" s="23"/>
      <c r="G10" s="23" t="str">
        <f t="shared" si="3"/>
        <v/>
      </c>
      <c r="H10" s="22">
        <v>137.86000100000001</v>
      </c>
      <c r="I10" s="22">
        <v>119.150002</v>
      </c>
      <c r="J10" s="23">
        <f t="shared" si="1"/>
        <v>1.1570289440700137</v>
      </c>
      <c r="K10" s="16" t="str">
        <f>IF(OR(J10="",G10=""),"",(J10/G10)-1)</f>
        <v/>
      </c>
      <c r="L10" s="61">
        <f t="shared" si="0"/>
        <v>3.2</v>
      </c>
      <c r="M10" s="45">
        <v>1.9372059790038615E-2</v>
      </c>
      <c r="N10" s="45">
        <v>-7.9544515367644727E-3</v>
      </c>
      <c r="O10" s="45">
        <v>-1.7629432574088634E-3</v>
      </c>
      <c r="P10" s="16"/>
      <c r="Q10" s="16"/>
      <c r="R10" s="16"/>
      <c r="S10" s="16"/>
      <c r="T10" s="16"/>
      <c r="U10" s="16"/>
      <c r="V10" s="16"/>
      <c r="W10" s="16">
        <f t="shared" si="2"/>
        <v>9.6546649958652794E-3</v>
      </c>
      <c r="X10" s="12"/>
      <c r="Y10" s="12" t="s">
        <v>46</v>
      </c>
      <c r="Z10" s="14"/>
    </row>
    <row r="11" spans="1:29" x14ac:dyDescent="0.2">
      <c r="A11" s="15">
        <v>5</v>
      </c>
      <c r="B11" s="4" t="s">
        <v>30</v>
      </c>
      <c r="C11" s="4" t="s">
        <v>31</v>
      </c>
      <c r="D11" s="46">
        <v>43690</v>
      </c>
      <c r="E11" s="4">
        <v>189.61</v>
      </c>
      <c r="F11" s="4">
        <v>61.54</v>
      </c>
      <c r="G11" s="23">
        <f t="shared" si="3"/>
        <v>3.0810854728631787</v>
      </c>
      <c r="H11" s="4">
        <v>191.33</v>
      </c>
      <c r="I11" s="4">
        <v>61.39</v>
      </c>
      <c r="J11" s="23">
        <f t="shared" si="1"/>
        <v>3.1166313731878157</v>
      </c>
      <c r="K11" s="16">
        <f>IF(OR(J11="",G11=""),"",(J11/G11)-1)</f>
        <v>1.1536810853742807E-2</v>
      </c>
      <c r="L11" s="61">
        <f t="shared" si="0"/>
        <v>2.8</v>
      </c>
      <c r="M11" s="45">
        <v>-6.598584652348409E-3</v>
      </c>
      <c r="N11" s="45">
        <v>1.8209541362228309E-2</v>
      </c>
      <c r="O11" s="45">
        <v>3.7092439939226511E-5</v>
      </c>
      <c r="P11" s="16"/>
      <c r="Q11" s="16"/>
      <c r="R11" s="16"/>
      <c r="S11" s="16"/>
      <c r="T11" s="16"/>
      <c r="U11" s="16"/>
      <c r="V11" s="16"/>
      <c r="W11" s="16">
        <f t="shared" si="2"/>
        <v>1.1648049149819126E-2</v>
      </c>
      <c r="X11" s="12"/>
      <c r="Y11" s="12" t="s">
        <v>47</v>
      </c>
      <c r="Z11" s="14"/>
      <c r="AC11" s="1">
        <v>-7.0123258372280931E-3</v>
      </c>
    </row>
    <row r="12" spans="1:29" ht="16" x14ac:dyDescent="0.2">
      <c r="A12" s="15">
        <v>6</v>
      </c>
      <c r="B12" s="4" t="s">
        <v>18</v>
      </c>
      <c r="C12" s="4" t="s">
        <v>33</v>
      </c>
      <c r="D12" s="22"/>
      <c r="E12" s="4"/>
      <c r="F12" s="4"/>
      <c r="G12" s="23" t="str">
        <f t="shared" si="3"/>
        <v/>
      </c>
      <c r="H12" s="4"/>
      <c r="I12" s="4"/>
      <c r="J12" s="23" t="str">
        <f t="shared" si="1"/>
        <v/>
      </c>
      <c r="K12" s="16">
        <v>-4.3200000000000002E-2</v>
      </c>
      <c r="L12" s="61" t="str">
        <f t="shared" si="0"/>
        <v/>
      </c>
      <c r="M12" s="45">
        <v>-4.3200000000000002E-2</v>
      </c>
      <c r="N12" s="45"/>
      <c r="O12" s="45"/>
      <c r="P12" s="16"/>
      <c r="Q12" s="16"/>
      <c r="R12" s="16"/>
      <c r="S12" s="16"/>
      <c r="T12" s="16"/>
      <c r="U12" s="16"/>
      <c r="V12" s="16"/>
      <c r="W12" s="16">
        <f t="shared" si="2"/>
        <v>-4.3200000000000002E-2</v>
      </c>
      <c r="X12" s="12"/>
      <c r="Y12" s="12" t="s">
        <v>34</v>
      </c>
      <c r="Z12" s="14"/>
    </row>
    <row r="13" spans="1:29" ht="16" x14ac:dyDescent="0.2">
      <c r="A13" s="15">
        <v>7</v>
      </c>
      <c r="B13" s="4"/>
      <c r="C13" s="4" t="s">
        <v>35</v>
      </c>
      <c r="D13" s="22"/>
      <c r="E13" s="22"/>
      <c r="F13" s="22"/>
      <c r="G13" s="23" t="str">
        <f t="shared" si="3"/>
        <v/>
      </c>
      <c r="H13" s="22"/>
      <c r="I13" s="22"/>
      <c r="J13" s="23" t="str">
        <f t="shared" si="1"/>
        <v/>
      </c>
      <c r="K13" s="16">
        <v>8.1199999999999994E-2</v>
      </c>
      <c r="L13" s="61" t="str">
        <f t="shared" si="0"/>
        <v/>
      </c>
      <c r="M13" s="16">
        <v>8.1199999999999994E-2</v>
      </c>
      <c r="N13" s="16"/>
      <c r="O13" s="16"/>
      <c r="P13" s="16"/>
      <c r="Q13" s="16"/>
      <c r="R13" s="16"/>
      <c r="S13" s="16"/>
      <c r="T13" s="16"/>
      <c r="U13" s="16"/>
      <c r="V13" s="16"/>
      <c r="W13" s="16">
        <f t="shared" si="2"/>
        <v>8.1199999999999994E-2</v>
      </c>
      <c r="X13" s="12"/>
      <c r="Y13" s="12" t="s">
        <v>48</v>
      </c>
      <c r="Z13" s="14"/>
    </row>
    <row r="14" spans="1:29" x14ac:dyDescent="0.2">
      <c r="A14" s="15">
        <v>8</v>
      </c>
      <c r="B14" s="22"/>
      <c r="C14" s="22" t="s">
        <v>40</v>
      </c>
      <c r="D14" s="46">
        <v>43661</v>
      </c>
      <c r="E14" s="22"/>
      <c r="F14" s="22">
        <v>60.37</v>
      </c>
      <c r="G14" s="23" t="str">
        <f t="shared" si="3"/>
        <v/>
      </c>
      <c r="H14" s="22">
        <v>-62.58</v>
      </c>
      <c r="I14" s="22"/>
      <c r="J14" s="23"/>
      <c r="K14" s="16">
        <f>(H14+F14)/F14</f>
        <v>-3.660758654961075E-2</v>
      </c>
      <c r="L14" s="61">
        <f t="shared" si="0"/>
        <v>7</v>
      </c>
      <c r="M14" s="16">
        <v>-1.7892029928432068E-2</v>
      </c>
      <c r="N14" s="16">
        <v>-1.6291788590879436E-3</v>
      </c>
      <c r="O14" s="16">
        <v>-8.3785445766148287E-3</v>
      </c>
      <c r="P14" s="16">
        <v>-1.1970024539650046E-2</v>
      </c>
      <c r="Q14" s="16">
        <v>-2.8343114371457783E-3</v>
      </c>
      <c r="R14" s="16">
        <v>6.4601458747747054E-3</v>
      </c>
      <c r="S14" s="16">
        <v>7.8882336199912351E-3</v>
      </c>
      <c r="T14" s="16"/>
      <c r="U14" s="16"/>
      <c r="V14" s="16"/>
      <c r="W14" s="16">
        <f t="shared" si="2"/>
        <v>-2.8355709846164728E-2</v>
      </c>
      <c r="X14" s="12"/>
      <c r="Y14" s="12" t="s">
        <v>49</v>
      </c>
      <c r="Z14" s="14"/>
    </row>
    <row r="15" spans="1:29" x14ac:dyDescent="0.2">
      <c r="A15" s="15">
        <v>9</v>
      </c>
      <c r="B15" s="22" t="s">
        <v>55</v>
      </c>
      <c r="C15" s="22" t="s">
        <v>56</v>
      </c>
      <c r="D15" s="46">
        <v>43692</v>
      </c>
      <c r="E15" s="22">
        <v>148.63</v>
      </c>
      <c r="F15" s="22">
        <v>45.7</v>
      </c>
      <c r="G15" s="23">
        <f t="shared" si="3"/>
        <v>3.2522975929978113</v>
      </c>
      <c r="H15" s="22">
        <v>184.33</v>
      </c>
      <c r="I15" s="22">
        <v>52.79</v>
      </c>
      <c r="J15" s="23">
        <f t="shared" si="1"/>
        <v>3.4917598029929913</v>
      </c>
      <c r="K15" s="16">
        <f>IF(OR(J15="",G15=""),"",(J15/G15)-1)</f>
        <v>7.3628628115318007E-2</v>
      </c>
      <c r="L15" s="61">
        <f t="shared" si="0"/>
        <v>2.4</v>
      </c>
      <c r="M15" s="16">
        <v>-7.0123258372280931E-3</v>
      </c>
      <c r="N15" s="16">
        <v>-2.111024700735804E-2</v>
      </c>
      <c r="O15" s="16">
        <v>5.2920577990668509E-2</v>
      </c>
      <c r="P15" s="16">
        <v>5.4075973618559807E-2</v>
      </c>
      <c r="Q15" s="16"/>
      <c r="R15" s="16"/>
      <c r="S15" s="16"/>
      <c r="T15" s="16"/>
      <c r="U15" s="16"/>
      <c r="V15" s="16"/>
      <c r="W15" s="16">
        <f t="shared" si="2"/>
        <v>7.887397876464218E-2</v>
      </c>
      <c r="X15" s="12"/>
      <c r="Y15" s="12"/>
      <c r="Z15" s="14"/>
      <c r="AC15" s="1">
        <v>-2.111024700735804E-2</v>
      </c>
    </row>
    <row r="16" spans="1:29" ht="17" thickBot="1" x14ac:dyDescent="0.25">
      <c r="A16" s="17">
        <v>10</v>
      </c>
      <c r="B16" s="24"/>
      <c r="C16" s="24"/>
      <c r="D16" s="24"/>
      <c r="E16" s="24"/>
      <c r="F16" s="24"/>
      <c r="G16" s="25" t="str">
        <f t="shared" si="3"/>
        <v/>
      </c>
      <c r="H16" s="24"/>
      <c r="I16" s="24"/>
      <c r="J16" s="25" t="str">
        <f t="shared" si="1"/>
        <v/>
      </c>
      <c r="K16" s="19" t="str">
        <f>IF(OR(J16="",G16=""),"",(J16/G16)-1)</f>
        <v/>
      </c>
      <c r="L16" s="62" t="str">
        <f t="shared" si="0"/>
        <v/>
      </c>
      <c r="M16" s="19"/>
      <c r="N16" s="19"/>
      <c r="O16" s="19"/>
      <c r="P16" s="19"/>
      <c r="Q16" s="19"/>
      <c r="R16" s="19"/>
      <c r="S16" s="19"/>
      <c r="T16" s="19"/>
      <c r="U16" s="19"/>
      <c r="V16" s="19"/>
      <c r="W16" s="19" t="str">
        <f t="shared" si="2"/>
        <v/>
      </c>
      <c r="X16" s="18"/>
      <c r="Y16" s="18"/>
      <c r="Z16" s="30"/>
    </row>
    <row r="17" spans="1:29" ht="16" thickTop="1" x14ac:dyDescent="0.2">
      <c r="J17" s="2"/>
    </row>
    <row r="19" spans="1:29" ht="16" thickBot="1" x14ac:dyDescent="0.25"/>
    <row r="20" spans="1:29" ht="26" thickTop="1" thickBot="1" x14ac:dyDescent="0.35">
      <c r="A20" s="42" t="s">
        <v>4</v>
      </c>
      <c r="B20" s="6"/>
      <c r="C20" s="6"/>
      <c r="D20" s="6"/>
      <c r="E20" s="6"/>
      <c r="F20" s="6"/>
      <c r="G20" s="6"/>
      <c r="H20" s="5" t="s">
        <v>7</v>
      </c>
      <c r="I20" s="6"/>
      <c r="J20" s="6"/>
      <c r="K20" s="5"/>
      <c r="L20" s="27"/>
      <c r="M20" s="5"/>
      <c r="N20" s="6"/>
      <c r="O20" s="6"/>
      <c r="P20" s="6"/>
      <c r="Q20" s="6"/>
      <c r="R20" s="6"/>
      <c r="S20" s="6"/>
      <c r="T20" s="6"/>
      <c r="U20" s="6"/>
      <c r="V20" s="6"/>
      <c r="W20" s="6"/>
      <c r="X20" s="6"/>
      <c r="Y20" s="5" t="s">
        <v>17</v>
      </c>
      <c r="Z20" s="7"/>
      <c r="AC20" s="1">
        <v>5.2920577990668509E-2</v>
      </c>
    </row>
    <row r="21" spans="1:29" ht="19" x14ac:dyDescent="0.25">
      <c r="A21" s="29"/>
      <c r="B21" s="12"/>
      <c r="C21" s="12"/>
      <c r="D21" s="12"/>
      <c r="E21" s="12"/>
      <c r="F21" s="12"/>
      <c r="G21" s="12"/>
      <c r="H21" s="21"/>
      <c r="I21" s="12"/>
      <c r="J21" s="12"/>
      <c r="K21" s="21" t="s">
        <v>10</v>
      </c>
      <c r="L21" s="28" t="s">
        <v>12</v>
      </c>
      <c r="M21" s="21"/>
      <c r="N21" s="12"/>
      <c r="O21" s="12"/>
      <c r="P21" s="12"/>
      <c r="Q21" s="12"/>
      <c r="R21" s="12"/>
      <c r="S21" s="12"/>
      <c r="T21" s="12"/>
      <c r="U21" s="12"/>
      <c r="V21" s="12"/>
      <c r="W21" s="12"/>
      <c r="X21" s="12"/>
      <c r="Y21" s="12"/>
      <c r="Z21" s="14"/>
    </row>
    <row r="22" spans="1:29" ht="16" x14ac:dyDescent="0.2">
      <c r="A22" s="32"/>
      <c r="B22" s="40" t="s">
        <v>2</v>
      </c>
      <c r="C22" s="36"/>
      <c r="D22" s="36"/>
      <c r="E22" s="40" t="s">
        <v>5</v>
      </c>
      <c r="F22" s="36"/>
      <c r="G22" s="36"/>
      <c r="H22" s="40" t="s">
        <v>8</v>
      </c>
      <c r="I22" s="36"/>
      <c r="J22" s="36"/>
      <c r="K22" s="40" t="s">
        <v>11</v>
      </c>
      <c r="L22" s="41" t="s">
        <v>13</v>
      </c>
      <c r="M22" s="40" t="s">
        <v>14</v>
      </c>
      <c r="N22" s="36"/>
      <c r="O22" s="36"/>
      <c r="P22" s="36"/>
      <c r="Q22" s="36"/>
      <c r="R22" s="36"/>
      <c r="S22" s="36"/>
      <c r="T22" s="36"/>
      <c r="U22" s="36"/>
      <c r="V22" s="36"/>
      <c r="W22" s="36"/>
      <c r="X22" s="36"/>
      <c r="Y22" s="36"/>
      <c r="Z22" s="39"/>
    </row>
    <row r="23" spans="1:29" x14ac:dyDescent="0.2">
      <c r="A23" s="8"/>
      <c r="B23" s="9" t="s">
        <v>0</v>
      </c>
      <c r="C23" s="10" t="s">
        <v>1</v>
      </c>
      <c r="D23" s="10"/>
      <c r="E23" s="48" t="s">
        <v>37</v>
      </c>
      <c r="F23" s="10"/>
      <c r="G23" s="11"/>
      <c r="H23" s="9"/>
      <c r="I23" s="10"/>
      <c r="J23" s="11"/>
      <c r="K23" s="12"/>
      <c r="L23" s="13"/>
      <c r="M23" s="26">
        <v>1</v>
      </c>
      <c r="N23" s="26">
        <v>2</v>
      </c>
      <c r="O23" s="26">
        <v>3</v>
      </c>
      <c r="P23" s="26">
        <v>4</v>
      </c>
      <c r="Q23" s="26">
        <v>5</v>
      </c>
      <c r="R23" s="26">
        <v>6</v>
      </c>
      <c r="S23" s="26">
        <v>7</v>
      </c>
      <c r="T23" s="26">
        <v>8</v>
      </c>
      <c r="U23" s="26">
        <v>9</v>
      </c>
      <c r="V23" s="26">
        <v>10</v>
      </c>
      <c r="W23" s="26" t="s">
        <v>15</v>
      </c>
      <c r="X23" s="12"/>
      <c r="Y23" s="12"/>
      <c r="Z23" s="14"/>
    </row>
    <row r="24" spans="1:29" x14ac:dyDescent="0.2">
      <c r="A24" s="15">
        <v>1</v>
      </c>
      <c r="B24" s="22" t="s">
        <v>32</v>
      </c>
      <c r="C24" s="22" t="s">
        <v>36</v>
      </c>
      <c r="D24" s="22"/>
      <c r="E24" s="47">
        <v>1.2502</v>
      </c>
      <c r="F24" s="22"/>
      <c r="G24" s="47"/>
      <c r="H24" s="47">
        <v>1.2156</v>
      </c>
      <c r="I24" s="22"/>
      <c r="J24" s="23"/>
      <c r="K24" s="16">
        <f>IF(E24&gt;0,(H24-E24)/E24,(E24+H24)/E24)</f>
        <v>-2.7675571908494612E-2</v>
      </c>
      <c r="L24" s="13">
        <v>10</v>
      </c>
      <c r="M24" s="31">
        <v>-9.8542226565681238E-3</v>
      </c>
      <c r="N24" s="31">
        <v>1.061728395061721E-2</v>
      </c>
      <c r="O24" s="31">
        <v>9.3877211929883596E-3</v>
      </c>
      <c r="P24" s="31">
        <v>-9.7079391197038515E-3</v>
      </c>
      <c r="Q24" s="31">
        <v>-1.8412339497698403E-2</v>
      </c>
      <c r="R24" s="31">
        <v>-9.5184770436730296E-3</v>
      </c>
      <c r="S24" s="31">
        <v>-5.8051689860835658E-3</v>
      </c>
      <c r="T24" s="16"/>
      <c r="U24" s="16"/>
      <c r="V24" s="16"/>
      <c r="W24" s="16">
        <f>IF(M24="","",SUM(M24:V24))</f>
        <v>-3.3293142160121407E-2</v>
      </c>
      <c r="X24" s="12"/>
      <c r="Y24" s="12" t="s">
        <v>50</v>
      </c>
      <c r="Z24" s="14"/>
    </row>
    <row r="25" spans="1:29" x14ac:dyDescent="0.2">
      <c r="A25" s="15">
        <v>2</v>
      </c>
      <c r="B25" s="22"/>
      <c r="C25" s="22"/>
      <c r="D25" s="22"/>
      <c r="E25" s="47"/>
      <c r="F25" s="22"/>
      <c r="G25" s="47"/>
      <c r="H25" s="47"/>
      <c r="I25" s="22"/>
      <c r="J25" s="23" t="str">
        <f t="shared" ref="J25:J33" si="4">IF(H25="","",H25/I25)</f>
        <v/>
      </c>
      <c r="K25" s="16" t="str">
        <f t="shared" ref="K25:K33" si="5">IF(OR(J25="",G25=""),"",(J25/G25)-1)</f>
        <v/>
      </c>
      <c r="L25" s="13">
        <v>5</v>
      </c>
      <c r="M25" s="16"/>
      <c r="N25" s="16"/>
      <c r="O25" s="16"/>
      <c r="P25" s="16"/>
      <c r="Q25" s="16"/>
      <c r="R25" s="16"/>
      <c r="S25" s="16"/>
      <c r="T25" s="16"/>
      <c r="U25" s="16"/>
      <c r="V25" s="16"/>
      <c r="W25" s="16" t="str">
        <f t="shared" ref="W25:W33" si="6">IF(M25="","",SUM(M25:V25))</f>
        <v/>
      </c>
      <c r="X25" s="12"/>
      <c r="Y25" s="12"/>
      <c r="Z25" s="14"/>
      <c r="AC25" s="1">
        <v>5.4075973618559807E-2</v>
      </c>
    </row>
    <row r="26" spans="1:29" x14ac:dyDescent="0.2">
      <c r="A26" s="15">
        <v>3</v>
      </c>
      <c r="B26" s="22"/>
      <c r="C26" s="22"/>
      <c r="D26" s="22"/>
      <c r="E26" s="47"/>
      <c r="F26" s="22"/>
      <c r="G26" s="47"/>
      <c r="H26" s="47"/>
      <c r="I26" s="22"/>
      <c r="J26" s="23" t="str">
        <f t="shared" si="4"/>
        <v/>
      </c>
      <c r="K26" s="16" t="str">
        <f t="shared" si="5"/>
        <v/>
      </c>
      <c r="L26" s="13">
        <v>0</v>
      </c>
      <c r="M26" s="16"/>
      <c r="N26" s="16"/>
      <c r="O26" s="16"/>
      <c r="P26" s="16"/>
      <c r="Q26" s="16"/>
      <c r="R26" s="16"/>
      <c r="S26" s="16"/>
      <c r="T26" s="16"/>
      <c r="U26" s="16"/>
      <c r="V26" s="16"/>
      <c r="W26" s="16" t="str">
        <f t="shared" si="6"/>
        <v/>
      </c>
      <c r="X26" s="12"/>
      <c r="Y26" s="12"/>
      <c r="Z26" s="14"/>
    </row>
    <row r="27" spans="1:29" x14ac:dyDescent="0.2">
      <c r="A27" s="15">
        <v>4</v>
      </c>
      <c r="B27" s="22"/>
      <c r="C27" s="22"/>
      <c r="D27" s="22"/>
      <c r="E27" s="47"/>
      <c r="F27" s="22"/>
      <c r="G27" s="47"/>
      <c r="H27" s="47"/>
      <c r="I27" s="22"/>
      <c r="J27" s="23" t="str">
        <f t="shared" si="4"/>
        <v/>
      </c>
      <c r="K27" s="16" t="str">
        <f t="shared" si="5"/>
        <v/>
      </c>
      <c r="L27" s="13">
        <v>0</v>
      </c>
      <c r="M27" s="16"/>
      <c r="N27" s="16"/>
      <c r="O27" s="16"/>
      <c r="P27" s="16"/>
      <c r="Q27" s="16"/>
      <c r="R27" s="16"/>
      <c r="S27" s="16"/>
      <c r="T27" s="16"/>
      <c r="U27" s="16"/>
      <c r="V27" s="16"/>
      <c r="W27" s="16" t="str">
        <f t="shared" si="6"/>
        <v/>
      </c>
      <c r="X27" s="12"/>
      <c r="Y27" s="12"/>
      <c r="Z27" s="14"/>
    </row>
    <row r="28" spans="1:29" x14ac:dyDescent="0.2">
      <c r="A28" s="15">
        <v>5</v>
      </c>
      <c r="B28" s="22"/>
      <c r="C28" s="22"/>
      <c r="D28" s="22"/>
      <c r="E28" s="47"/>
      <c r="F28" s="22"/>
      <c r="G28" s="47"/>
      <c r="H28" s="47"/>
      <c r="I28" s="22"/>
      <c r="J28" s="23" t="str">
        <f t="shared" si="4"/>
        <v/>
      </c>
      <c r="K28" s="16" t="str">
        <f t="shared" si="5"/>
        <v/>
      </c>
      <c r="L28" s="13">
        <v>0</v>
      </c>
      <c r="M28" s="16"/>
      <c r="N28" s="16"/>
      <c r="O28" s="16"/>
      <c r="P28" s="16"/>
      <c r="Q28" s="16"/>
      <c r="R28" s="16"/>
      <c r="S28" s="16"/>
      <c r="T28" s="16"/>
      <c r="U28" s="16"/>
      <c r="V28" s="16"/>
      <c r="W28" s="16" t="str">
        <f t="shared" si="6"/>
        <v/>
      </c>
      <c r="X28" s="12"/>
      <c r="Y28" s="12"/>
      <c r="Z28" s="14"/>
    </row>
    <row r="29" spans="1:29" x14ac:dyDescent="0.2">
      <c r="A29" s="15">
        <v>6</v>
      </c>
      <c r="B29" s="22"/>
      <c r="C29" s="22"/>
      <c r="D29" s="22"/>
      <c r="E29" s="47"/>
      <c r="F29" s="22"/>
      <c r="G29" s="47"/>
      <c r="H29" s="47"/>
      <c r="I29" s="22"/>
      <c r="J29" s="23" t="str">
        <f t="shared" si="4"/>
        <v/>
      </c>
      <c r="K29" s="16" t="str">
        <f t="shared" si="5"/>
        <v/>
      </c>
      <c r="L29" s="13">
        <v>0</v>
      </c>
      <c r="M29" s="16"/>
      <c r="N29" s="16"/>
      <c r="O29" s="16"/>
      <c r="P29" s="16"/>
      <c r="Q29" s="16"/>
      <c r="R29" s="16"/>
      <c r="S29" s="16"/>
      <c r="T29" s="16"/>
      <c r="U29" s="16"/>
      <c r="V29" s="16"/>
      <c r="W29" s="16" t="str">
        <f t="shared" si="6"/>
        <v/>
      </c>
      <c r="X29" s="12"/>
      <c r="Y29" s="12"/>
      <c r="Z29" s="14"/>
    </row>
    <row r="30" spans="1:29" x14ac:dyDescent="0.2">
      <c r="A30" s="15">
        <v>7</v>
      </c>
      <c r="B30" s="22"/>
      <c r="C30" s="22"/>
      <c r="D30" s="22"/>
      <c r="E30" s="47"/>
      <c r="F30" s="22"/>
      <c r="G30" s="47"/>
      <c r="H30" s="47"/>
      <c r="I30" s="22"/>
      <c r="J30" s="23" t="str">
        <f t="shared" si="4"/>
        <v/>
      </c>
      <c r="K30" s="16" t="str">
        <f t="shared" si="5"/>
        <v/>
      </c>
      <c r="L30" s="13">
        <v>0</v>
      </c>
      <c r="M30" s="16"/>
      <c r="N30" s="16"/>
      <c r="O30" s="16"/>
      <c r="P30" s="16"/>
      <c r="Q30" s="16"/>
      <c r="R30" s="16"/>
      <c r="S30" s="16"/>
      <c r="T30" s="16"/>
      <c r="U30" s="16"/>
      <c r="V30" s="16"/>
      <c r="W30" s="16" t="str">
        <f t="shared" si="6"/>
        <v/>
      </c>
      <c r="X30" s="12"/>
      <c r="Y30" s="12"/>
      <c r="Z30" s="14"/>
    </row>
    <row r="31" spans="1:29" x14ac:dyDescent="0.2">
      <c r="A31" s="15">
        <v>8</v>
      </c>
      <c r="B31" s="22"/>
      <c r="C31" s="22"/>
      <c r="D31" s="22"/>
      <c r="E31" s="47"/>
      <c r="F31" s="22"/>
      <c r="G31" s="47"/>
      <c r="H31" s="47"/>
      <c r="I31" s="22"/>
      <c r="J31" s="23" t="str">
        <f t="shared" si="4"/>
        <v/>
      </c>
      <c r="K31" s="16" t="str">
        <f t="shared" si="5"/>
        <v/>
      </c>
      <c r="L31" s="13">
        <v>0</v>
      </c>
      <c r="M31" s="16"/>
      <c r="N31" s="16"/>
      <c r="O31" s="16"/>
      <c r="P31" s="16"/>
      <c r="Q31" s="16"/>
      <c r="R31" s="16"/>
      <c r="S31" s="16"/>
      <c r="T31" s="16"/>
      <c r="U31" s="16"/>
      <c r="V31" s="16"/>
      <c r="W31" s="16" t="str">
        <f t="shared" si="6"/>
        <v/>
      </c>
      <c r="X31" s="12"/>
      <c r="Y31" s="12"/>
      <c r="Z31" s="14"/>
    </row>
    <row r="32" spans="1:29" x14ac:dyDescent="0.2">
      <c r="A32" s="15">
        <v>9</v>
      </c>
      <c r="B32" s="22"/>
      <c r="C32" s="22"/>
      <c r="D32" s="22"/>
      <c r="E32" s="47"/>
      <c r="F32" s="22"/>
      <c r="G32" s="47"/>
      <c r="H32" s="47"/>
      <c r="I32" s="22"/>
      <c r="J32" s="23" t="str">
        <f t="shared" si="4"/>
        <v/>
      </c>
      <c r="K32" s="16" t="str">
        <f t="shared" si="5"/>
        <v/>
      </c>
      <c r="L32" s="13">
        <v>0</v>
      </c>
      <c r="M32" s="16"/>
      <c r="N32" s="16"/>
      <c r="O32" s="16"/>
      <c r="P32" s="16"/>
      <c r="Q32" s="16"/>
      <c r="R32" s="16"/>
      <c r="S32" s="16"/>
      <c r="T32" s="16"/>
      <c r="U32" s="16"/>
      <c r="V32" s="16"/>
      <c r="W32" s="16" t="str">
        <f t="shared" si="6"/>
        <v/>
      </c>
      <c r="X32" s="12"/>
      <c r="Y32" s="12"/>
      <c r="Z32" s="14"/>
    </row>
    <row r="33" spans="1:26" ht="16" thickBot="1" x14ac:dyDescent="0.25">
      <c r="A33" s="17">
        <v>10</v>
      </c>
      <c r="B33" s="24"/>
      <c r="C33" s="24"/>
      <c r="D33" s="24"/>
      <c r="E33" s="24"/>
      <c r="F33" s="24"/>
      <c r="G33" s="25" t="str">
        <f t="shared" ref="G33" si="7">IF(E33="","",E33/F33)</f>
        <v/>
      </c>
      <c r="H33" s="24"/>
      <c r="I33" s="24"/>
      <c r="J33" s="25" t="str">
        <f t="shared" si="4"/>
        <v/>
      </c>
      <c r="K33" s="19" t="str">
        <f t="shared" si="5"/>
        <v/>
      </c>
      <c r="L33" s="20">
        <v>0</v>
      </c>
      <c r="M33" s="19"/>
      <c r="N33" s="19"/>
      <c r="O33" s="19"/>
      <c r="P33" s="19"/>
      <c r="Q33" s="19"/>
      <c r="R33" s="19"/>
      <c r="S33" s="19"/>
      <c r="T33" s="19"/>
      <c r="U33" s="19"/>
      <c r="V33" s="19"/>
      <c r="W33" s="19" t="str">
        <f t="shared" si="6"/>
        <v/>
      </c>
      <c r="X33" s="18"/>
      <c r="Y33" s="18"/>
      <c r="Z33" s="30"/>
    </row>
    <row r="34" spans="1:26" ht="16" thickTop="1" x14ac:dyDescent="0.2">
      <c r="A34" s="4"/>
    </row>
    <row r="35" spans="1:26" ht="16" thickBot="1" x14ac:dyDescent="0.25">
      <c r="A35" s="4"/>
    </row>
    <row r="36" spans="1:26" ht="26" thickTop="1" thickBot="1" x14ac:dyDescent="0.35">
      <c r="A36" s="42" t="s">
        <v>6</v>
      </c>
      <c r="B36" s="6"/>
      <c r="C36" s="6"/>
      <c r="D36" s="6"/>
      <c r="E36" s="6"/>
      <c r="F36" s="6"/>
      <c r="G36" s="6"/>
      <c r="H36" s="5" t="s">
        <v>7</v>
      </c>
      <c r="I36" s="6"/>
      <c r="J36" s="6"/>
      <c r="K36" s="5"/>
      <c r="L36" s="27"/>
      <c r="M36" s="5"/>
      <c r="N36" s="6"/>
      <c r="O36" s="6"/>
      <c r="P36" s="6"/>
      <c r="Q36" s="6"/>
      <c r="R36" s="6"/>
      <c r="S36" s="6"/>
      <c r="T36" s="6"/>
      <c r="U36" s="6"/>
      <c r="V36" s="6"/>
      <c r="W36" s="6"/>
      <c r="X36" s="6"/>
      <c r="Y36" s="5" t="s">
        <v>17</v>
      </c>
      <c r="Z36" s="7"/>
    </row>
    <row r="37" spans="1:26" ht="19" x14ac:dyDescent="0.25">
      <c r="A37" s="29"/>
      <c r="B37" s="12"/>
      <c r="C37" s="12"/>
      <c r="D37" s="12"/>
      <c r="E37" s="12"/>
      <c r="F37" s="12"/>
      <c r="G37" s="12"/>
      <c r="H37" s="21"/>
      <c r="I37" s="12"/>
      <c r="J37" s="12"/>
      <c r="K37" s="21" t="s">
        <v>10</v>
      </c>
      <c r="L37" s="28" t="s">
        <v>12</v>
      </c>
      <c r="M37" s="21"/>
      <c r="N37" s="12"/>
      <c r="O37" s="12"/>
      <c r="P37" s="12"/>
      <c r="Q37" s="12"/>
      <c r="R37" s="12"/>
      <c r="S37" s="12"/>
      <c r="T37" s="12"/>
      <c r="U37" s="12"/>
      <c r="V37" s="12"/>
      <c r="W37" s="12"/>
      <c r="X37" s="12"/>
      <c r="Y37" s="12"/>
      <c r="Z37" s="14"/>
    </row>
    <row r="38" spans="1:26" ht="16" x14ac:dyDescent="0.2">
      <c r="A38" s="8"/>
      <c r="B38" s="21" t="s">
        <v>2</v>
      </c>
      <c r="C38" s="12"/>
      <c r="D38" s="12"/>
      <c r="E38" s="21" t="s">
        <v>5</v>
      </c>
      <c r="F38" s="12"/>
      <c r="G38" s="12"/>
      <c r="H38" s="21" t="s">
        <v>8</v>
      </c>
      <c r="I38" s="12"/>
      <c r="J38" s="12"/>
      <c r="K38" s="21" t="s">
        <v>11</v>
      </c>
      <c r="L38" s="28" t="s">
        <v>13</v>
      </c>
      <c r="M38" s="21" t="s">
        <v>14</v>
      </c>
      <c r="N38" s="12"/>
      <c r="O38" s="12"/>
      <c r="P38" s="12"/>
      <c r="Q38" s="12"/>
      <c r="R38" s="12"/>
      <c r="S38" s="12"/>
      <c r="T38" s="12"/>
      <c r="U38" s="12"/>
      <c r="V38" s="12"/>
      <c r="W38" s="12"/>
      <c r="X38" s="12"/>
      <c r="Y38" s="12"/>
      <c r="Z38" s="14"/>
    </row>
    <row r="39" spans="1:26" x14ac:dyDescent="0.2">
      <c r="A39" s="32"/>
      <c r="B39" s="33" t="s">
        <v>0</v>
      </c>
      <c r="C39" s="34" t="s">
        <v>1</v>
      </c>
      <c r="D39" s="34"/>
      <c r="E39" s="33" t="s">
        <v>0</v>
      </c>
      <c r="F39" s="34" t="s">
        <v>1</v>
      </c>
      <c r="G39" s="35" t="s">
        <v>3</v>
      </c>
      <c r="H39" s="33" t="s">
        <v>9</v>
      </c>
      <c r="I39" s="34" t="s">
        <v>1</v>
      </c>
      <c r="J39" s="35" t="s">
        <v>3</v>
      </c>
      <c r="K39" s="36"/>
      <c r="L39" s="37"/>
      <c r="M39" s="38">
        <v>1</v>
      </c>
      <c r="N39" s="38">
        <v>2</v>
      </c>
      <c r="O39" s="38">
        <v>3</v>
      </c>
      <c r="P39" s="38">
        <v>4</v>
      </c>
      <c r="Q39" s="38">
        <v>5</v>
      </c>
      <c r="R39" s="38">
        <v>6</v>
      </c>
      <c r="S39" s="38">
        <v>7</v>
      </c>
      <c r="T39" s="38">
        <v>8</v>
      </c>
      <c r="U39" s="38">
        <v>9</v>
      </c>
      <c r="V39" s="38">
        <v>10</v>
      </c>
      <c r="W39" s="38" t="s">
        <v>15</v>
      </c>
      <c r="X39" s="36"/>
      <c r="Y39" s="36"/>
      <c r="Z39" s="39"/>
    </row>
    <row r="40" spans="1:26" x14ac:dyDescent="0.2">
      <c r="A40" s="15">
        <v>1</v>
      </c>
      <c r="B40" s="22" t="s">
        <v>38</v>
      </c>
      <c r="C40" s="22"/>
      <c r="D40" s="22"/>
      <c r="E40" s="22">
        <v>54.87</v>
      </c>
      <c r="F40" s="22"/>
      <c r="G40" s="23"/>
      <c r="H40" s="22">
        <v>55.1</v>
      </c>
      <c r="I40" s="22"/>
      <c r="J40" s="23"/>
      <c r="K40" s="16">
        <f>(H40-E40)/E40</f>
        <v>4.1917258975761613E-3</v>
      </c>
      <c r="L40" s="13">
        <v>10</v>
      </c>
      <c r="M40" s="16">
        <v>1.7168174266198998E-2</v>
      </c>
      <c r="N40" s="16">
        <v>-1.2757426644796715E-2</v>
      </c>
      <c r="O40" s="16"/>
      <c r="P40" s="16"/>
      <c r="Q40" s="16"/>
      <c r="R40" s="16"/>
      <c r="S40" s="16"/>
      <c r="T40" s="16"/>
      <c r="U40" s="16"/>
      <c r="V40" s="16"/>
      <c r="W40" s="16">
        <f>IF(M40="","",SUM(M40:V40))</f>
        <v>4.4107476214022834E-3</v>
      </c>
      <c r="X40" s="12"/>
      <c r="Y40" s="12" t="s">
        <v>51</v>
      </c>
      <c r="Z40" s="14"/>
    </row>
    <row r="41" spans="1:26" x14ac:dyDescent="0.2">
      <c r="A41" s="15">
        <v>2</v>
      </c>
      <c r="B41" s="22"/>
      <c r="C41" s="22"/>
      <c r="D41" s="22"/>
      <c r="E41" s="22"/>
      <c r="F41" s="22"/>
      <c r="G41" s="23"/>
      <c r="H41" s="22"/>
      <c r="I41" s="22"/>
      <c r="J41" s="23"/>
      <c r="K41" s="16" t="str">
        <f t="shared" ref="K41:K49" si="8">IF(OR(J41="",G41=""),"",(J41/G41)-1)</f>
        <v/>
      </c>
      <c r="L41" s="13">
        <v>5</v>
      </c>
      <c r="M41" s="16"/>
      <c r="N41" s="16"/>
      <c r="O41" s="16"/>
      <c r="P41" s="16"/>
      <c r="Q41" s="16"/>
      <c r="R41" s="16"/>
      <c r="S41" s="16"/>
      <c r="T41" s="16"/>
      <c r="U41" s="16"/>
      <c r="V41" s="16"/>
      <c r="W41" s="16" t="str">
        <f t="shared" ref="W41:W49" si="9">IF(M41="","",SUM(M41:V41))</f>
        <v/>
      </c>
      <c r="X41" s="12"/>
      <c r="Y41" s="12"/>
      <c r="Z41" s="14"/>
    </row>
    <row r="42" spans="1:26" x14ac:dyDescent="0.2">
      <c r="A42" s="15">
        <v>3</v>
      </c>
      <c r="B42" s="22"/>
      <c r="C42" s="22"/>
      <c r="D42" s="22"/>
      <c r="E42" s="22"/>
      <c r="F42" s="22"/>
      <c r="G42" s="23"/>
      <c r="H42" s="22"/>
      <c r="I42" s="22"/>
      <c r="J42" s="23"/>
      <c r="K42" s="16" t="str">
        <f t="shared" si="8"/>
        <v/>
      </c>
      <c r="L42" s="13">
        <v>0</v>
      </c>
      <c r="M42" s="16"/>
      <c r="N42" s="16"/>
      <c r="O42" s="16"/>
      <c r="P42" s="16"/>
      <c r="Q42" s="16"/>
      <c r="R42" s="16"/>
      <c r="S42" s="16"/>
      <c r="T42" s="16"/>
      <c r="U42" s="16"/>
      <c r="V42" s="16"/>
      <c r="W42" s="16" t="str">
        <f t="shared" si="9"/>
        <v/>
      </c>
      <c r="X42" s="12"/>
      <c r="Y42" s="12"/>
      <c r="Z42" s="14"/>
    </row>
    <row r="43" spans="1:26" x14ac:dyDescent="0.2">
      <c r="A43" s="15">
        <v>4</v>
      </c>
      <c r="B43" s="22"/>
      <c r="C43" s="22"/>
      <c r="D43" s="22"/>
      <c r="E43" s="22"/>
      <c r="F43" s="22"/>
      <c r="G43" s="23"/>
      <c r="H43" s="22"/>
      <c r="I43" s="22"/>
      <c r="J43" s="23"/>
      <c r="K43" s="16" t="str">
        <f t="shared" si="8"/>
        <v/>
      </c>
      <c r="L43" s="13">
        <v>0</v>
      </c>
      <c r="M43" s="16"/>
      <c r="N43" s="16"/>
      <c r="O43" s="16"/>
      <c r="P43" s="16"/>
      <c r="Q43" s="16"/>
      <c r="R43" s="16"/>
      <c r="S43" s="16"/>
      <c r="T43" s="16"/>
      <c r="U43" s="16"/>
      <c r="V43" s="16"/>
      <c r="W43" s="16" t="str">
        <f t="shared" si="9"/>
        <v/>
      </c>
      <c r="X43" s="12"/>
      <c r="Y43" s="12"/>
      <c r="Z43" s="14"/>
    </row>
    <row r="44" spans="1:26" x14ac:dyDescent="0.2">
      <c r="A44" s="15">
        <v>5</v>
      </c>
      <c r="B44" s="22"/>
      <c r="C44" s="22"/>
      <c r="D44" s="22"/>
      <c r="E44" s="22"/>
      <c r="F44" s="22"/>
      <c r="G44" s="23"/>
      <c r="H44" s="22"/>
      <c r="I44" s="22"/>
      <c r="J44" s="23"/>
      <c r="K44" s="16" t="str">
        <f t="shared" si="8"/>
        <v/>
      </c>
      <c r="L44" s="13">
        <v>0</v>
      </c>
      <c r="M44" s="16"/>
      <c r="N44" s="16"/>
      <c r="O44" s="16"/>
      <c r="P44" s="16"/>
      <c r="Q44" s="16"/>
      <c r="R44" s="16"/>
      <c r="S44" s="16"/>
      <c r="T44" s="16"/>
      <c r="U44" s="16"/>
      <c r="V44" s="16"/>
      <c r="W44" s="16" t="str">
        <f t="shared" si="9"/>
        <v/>
      </c>
      <c r="X44" s="12"/>
      <c r="Y44" s="12"/>
      <c r="Z44" s="14"/>
    </row>
    <row r="45" spans="1:26" x14ac:dyDescent="0.2">
      <c r="A45" s="15">
        <v>6</v>
      </c>
      <c r="B45" s="22"/>
      <c r="C45" s="22"/>
      <c r="D45" s="22"/>
      <c r="E45" s="22"/>
      <c r="F45" s="22"/>
      <c r="G45" s="23"/>
      <c r="H45" s="22"/>
      <c r="I45" s="22"/>
      <c r="J45" s="23"/>
      <c r="K45" s="16" t="str">
        <f t="shared" si="8"/>
        <v/>
      </c>
      <c r="L45" s="13">
        <v>0</v>
      </c>
      <c r="M45" s="16"/>
      <c r="N45" s="16"/>
      <c r="O45" s="16"/>
      <c r="P45" s="16"/>
      <c r="Q45" s="16"/>
      <c r="R45" s="16"/>
      <c r="S45" s="16"/>
      <c r="T45" s="16"/>
      <c r="U45" s="16"/>
      <c r="V45" s="16"/>
      <c r="W45" s="16" t="str">
        <f t="shared" si="9"/>
        <v/>
      </c>
      <c r="X45" s="12"/>
      <c r="Y45" s="12"/>
      <c r="Z45" s="14"/>
    </row>
    <row r="46" spans="1:26" x14ac:dyDescent="0.2">
      <c r="A46" s="15">
        <v>7</v>
      </c>
      <c r="B46" s="22"/>
      <c r="C46" s="22"/>
      <c r="D46" s="22"/>
      <c r="E46" s="22"/>
      <c r="F46" s="22"/>
      <c r="G46" s="23"/>
      <c r="H46" s="22"/>
      <c r="I46" s="22"/>
      <c r="J46" s="23"/>
      <c r="K46" s="16" t="str">
        <f t="shared" si="8"/>
        <v/>
      </c>
      <c r="L46" s="13">
        <v>0</v>
      </c>
      <c r="M46" s="16"/>
      <c r="N46" s="16"/>
      <c r="O46" s="16"/>
      <c r="P46" s="16"/>
      <c r="Q46" s="16"/>
      <c r="R46" s="16"/>
      <c r="S46" s="16"/>
      <c r="T46" s="16"/>
      <c r="U46" s="16"/>
      <c r="V46" s="16"/>
      <c r="W46" s="16" t="str">
        <f t="shared" si="9"/>
        <v/>
      </c>
      <c r="X46" s="12"/>
      <c r="Y46" s="12"/>
      <c r="Z46" s="14"/>
    </row>
    <row r="47" spans="1:26" x14ac:dyDescent="0.2">
      <c r="A47" s="15">
        <v>8</v>
      </c>
      <c r="B47" s="22"/>
      <c r="C47" s="22"/>
      <c r="D47" s="22"/>
      <c r="E47" s="22"/>
      <c r="F47" s="22"/>
      <c r="G47" s="23"/>
      <c r="H47" s="22"/>
      <c r="I47" s="22"/>
      <c r="J47" s="23"/>
      <c r="K47" s="16" t="str">
        <f t="shared" si="8"/>
        <v/>
      </c>
      <c r="L47" s="13">
        <v>0</v>
      </c>
      <c r="M47" s="16"/>
      <c r="N47" s="16"/>
      <c r="O47" s="16"/>
      <c r="P47" s="16"/>
      <c r="Q47" s="16"/>
      <c r="R47" s="16"/>
      <c r="S47" s="16"/>
      <c r="T47" s="16"/>
      <c r="U47" s="16"/>
      <c r="V47" s="16"/>
      <c r="W47" s="16" t="str">
        <f t="shared" si="9"/>
        <v/>
      </c>
      <c r="X47" s="12"/>
      <c r="Y47" s="12"/>
      <c r="Z47" s="14"/>
    </row>
    <row r="48" spans="1:26" x14ac:dyDescent="0.2">
      <c r="A48" s="15">
        <v>9</v>
      </c>
      <c r="B48" s="22"/>
      <c r="C48" s="22"/>
      <c r="D48" s="22"/>
      <c r="E48" s="22"/>
      <c r="F48" s="22"/>
      <c r="G48" s="23"/>
      <c r="H48" s="22"/>
      <c r="I48" s="22"/>
      <c r="J48" s="23"/>
      <c r="K48" s="16" t="str">
        <f t="shared" si="8"/>
        <v/>
      </c>
      <c r="L48" s="13">
        <v>0</v>
      </c>
      <c r="M48" s="16"/>
      <c r="N48" s="16"/>
      <c r="O48" s="16"/>
      <c r="P48" s="16"/>
      <c r="Q48" s="16"/>
      <c r="R48" s="16"/>
      <c r="S48" s="16"/>
      <c r="T48" s="16"/>
      <c r="U48" s="16"/>
      <c r="V48" s="16"/>
      <c r="W48" s="16" t="str">
        <f t="shared" si="9"/>
        <v/>
      </c>
      <c r="X48" s="12"/>
      <c r="Y48" s="12"/>
      <c r="Z48" s="14"/>
    </row>
    <row r="49" spans="1:26" ht="16" thickBot="1" x14ac:dyDescent="0.25">
      <c r="A49" s="17">
        <v>10</v>
      </c>
      <c r="B49" s="24"/>
      <c r="C49" s="24"/>
      <c r="D49" s="24"/>
      <c r="E49" s="24"/>
      <c r="F49" s="24"/>
      <c r="G49" s="25"/>
      <c r="H49" s="24"/>
      <c r="I49" s="24"/>
      <c r="J49" s="25"/>
      <c r="K49" s="19" t="str">
        <f t="shared" si="8"/>
        <v/>
      </c>
      <c r="L49" s="20">
        <v>0</v>
      </c>
      <c r="M49" s="19"/>
      <c r="N49" s="19"/>
      <c r="O49" s="19"/>
      <c r="P49" s="19"/>
      <c r="Q49" s="19"/>
      <c r="R49" s="19"/>
      <c r="S49" s="19"/>
      <c r="T49" s="19"/>
      <c r="U49" s="19"/>
      <c r="V49" s="19"/>
      <c r="W49" s="19" t="str">
        <f t="shared" si="9"/>
        <v/>
      </c>
      <c r="X49" s="18"/>
      <c r="Y49" s="18"/>
      <c r="Z49" s="30"/>
    </row>
    <row r="50" spans="1:26" ht="16" thickTop="1" x14ac:dyDescent="0.2"/>
    <row r="51" spans="1:26" ht="16" thickBot="1" x14ac:dyDescent="0.25"/>
    <row r="52" spans="1:26" ht="26" thickTop="1" thickBot="1" x14ac:dyDescent="0.35">
      <c r="A52" s="42" t="s">
        <v>19</v>
      </c>
      <c r="B52" s="6"/>
      <c r="C52" s="6"/>
      <c r="D52" s="6"/>
      <c r="E52" s="6"/>
      <c r="F52" s="6"/>
      <c r="G52" s="6"/>
      <c r="H52" s="5" t="s">
        <v>7</v>
      </c>
      <c r="I52" s="6"/>
      <c r="J52" s="6"/>
      <c r="K52" s="5"/>
      <c r="L52" s="27"/>
      <c r="M52" s="5"/>
      <c r="N52" s="6"/>
      <c r="O52" s="6"/>
      <c r="P52" s="6"/>
      <c r="Q52" s="6"/>
      <c r="R52" s="6"/>
      <c r="S52" s="6"/>
      <c r="T52" s="6"/>
      <c r="U52" s="6"/>
      <c r="V52" s="6"/>
      <c r="W52" s="6"/>
      <c r="X52" s="6"/>
      <c r="Y52" s="5" t="s">
        <v>17</v>
      </c>
      <c r="Z52" s="7"/>
    </row>
    <row r="53" spans="1:26" ht="19" x14ac:dyDescent="0.25">
      <c r="A53" s="29"/>
      <c r="B53" s="12"/>
      <c r="C53" s="12"/>
      <c r="D53" s="12"/>
      <c r="E53" s="12"/>
      <c r="F53" s="12"/>
      <c r="G53" s="12"/>
      <c r="H53" s="21"/>
      <c r="I53" s="12"/>
      <c r="J53" s="12"/>
      <c r="K53" s="21" t="s">
        <v>10</v>
      </c>
      <c r="L53" s="28" t="s">
        <v>12</v>
      </c>
      <c r="M53" s="21"/>
      <c r="N53" s="12"/>
      <c r="O53" s="12"/>
      <c r="P53" s="12"/>
      <c r="Q53" s="12"/>
      <c r="R53" s="12"/>
      <c r="S53" s="12"/>
      <c r="T53" s="12"/>
      <c r="U53" s="12"/>
      <c r="V53" s="12"/>
      <c r="W53" s="12"/>
      <c r="X53" s="12"/>
      <c r="Y53" s="12"/>
      <c r="Z53" s="14"/>
    </row>
    <row r="54" spans="1:26" ht="16" x14ac:dyDescent="0.2">
      <c r="A54" s="8"/>
      <c r="B54" s="21" t="s">
        <v>2</v>
      </c>
      <c r="C54" s="12"/>
      <c r="D54" s="12"/>
      <c r="E54" s="21" t="s">
        <v>5</v>
      </c>
      <c r="F54" s="12"/>
      <c r="G54" s="12"/>
      <c r="H54" s="21" t="s">
        <v>8</v>
      </c>
      <c r="I54" s="12"/>
      <c r="J54" s="12"/>
      <c r="K54" s="21" t="s">
        <v>11</v>
      </c>
      <c r="L54" s="28" t="s">
        <v>13</v>
      </c>
      <c r="M54" s="21" t="s">
        <v>14</v>
      </c>
      <c r="N54" s="12"/>
      <c r="O54" s="12"/>
      <c r="P54" s="12"/>
      <c r="Q54" s="12"/>
      <c r="R54" s="12"/>
      <c r="S54" s="12"/>
      <c r="T54" s="12"/>
      <c r="U54" s="12"/>
      <c r="V54" s="12"/>
      <c r="W54" s="12"/>
      <c r="X54" s="12"/>
      <c r="Y54" s="12"/>
      <c r="Z54" s="14"/>
    </row>
    <row r="55" spans="1:26" x14ac:dyDescent="0.2">
      <c r="A55" s="32"/>
      <c r="B55" s="33" t="s">
        <v>0</v>
      </c>
      <c r="C55" s="34" t="s">
        <v>1</v>
      </c>
      <c r="D55" s="34"/>
      <c r="E55" s="33" t="s">
        <v>0</v>
      </c>
      <c r="F55" s="34" t="s">
        <v>1</v>
      </c>
      <c r="G55" s="35" t="s">
        <v>3</v>
      </c>
      <c r="H55" s="33" t="s">
        <v>9</v>
      </c>
      <c r="I55" s="34" t="s">
        <v>1</v>
      </c>
      <c r="J55" s="35" t="s">
        <v>3</v>
      </c>
      <c r="K55" s="36"/>
      <c r="L55" s="37"/>
      <c r="M55" s="38">
        <v>1</v>
      </c>
      <c r="N55" s="38">
        <v>2</v>
      </c>
      <c r="O55" s="38">
        <v>3</v>
      </c>
      <c r="P55" s="38">
        <v>4</v>
      </c>
      <c r="Q55" s="38">
        <v>5</v>
      </c>
      <c r="R55" s="38">
        <v>6</v>
      </c>
      <c r="S55" s="38">
        <v>7</v>
      </c>
      <c r="T55" s="38">
        <v>8</v>
      </c>
      <c r="U55" s="38">
        <v>9</v>
      </c>
      <c r="V55" s="38">
        <v>10</v>
      </c>
      <c r="W55" s="38" t="s">
        <v>15</v>
      </c>
      <c r="X55" s="36"/>
      <c r="Y55" s="36"/>
      <c r="Z55" s="39"/>
    </row>
    <row r="56" spans="1:26" x14ac:dyDescent="0.2">
      <c r="A56" s="15">
        <v>1</v>
      </c>
      <c r="B56" s="22"/>
      <c r="C56" s="22" t="s">
        <v>39</v>
      </c>
      <c r="D56" s="22"/>
      <c r="E56" s="22"/>
      <c r="F56" s="22">
        <v>-146.13</v>
      </c>
      <c r="G56" s="23"/>
      <c r="H56" s="22"/>
      <c r="I56" s="22">
        <v>147.28</v>
      </c>
      <c r="J56" s="23"/>
      <c r="K56" s="16">
        <f>(I56+F56)/F56</f>
        <v>-7.8697050571409407E-3</v>
      </c>
      <c r="L56" s="13">
        <v>10</v>
      </c>
      <c r="M56" s="16">
        <v>-9.0435735818031864E-3</v>
      </c>
      <c r="N56" s="16">
        <v>1.1633477040990043E-3</v>
      </c>
      <c r="O56" s="16"/>
      <c r="P56" s="16"/>
      <c r="Q56" s="16"/>
      <c r="R56" s="16"/>
      <c r="S56" s="16"/>
      <c r="T56" s="16"/>
      <c r="U56" s="16"/>
      <c r="V56" s="16"/>
      <c r="W56" s="16">
        <f>IF(M56="","",SUM(M56:V56))</f>
        <v>-7.8802258777041813E-3</v>
      </c>
      <c r="X56" s="12"/>
      <c r="Y56" s="12" t="s">
        <v>52</v>
      </c>
      <c r="Z56" s="14"/>
    </row>
    <row r="57" spans="1:26" x14ac:dyDescent="0.2">
      <c r="A57" s="15">
        <v>2</v>
      </c>
      <c r="B57" s="22"/>
      <c r="C57" s="22"/>
      <c r="D57" s="22"/>
      <c r="E57" s="22"/>
      <c r="F57" s="22"/>
      <c r="G57" s="23"/>
      <c r="H57" s="22"/>
      <c r="I57" s="22"/>
      <c r="J57" s="23"/>
      <c r="K57" s="16" t="str">
        <f t="shared" ref="K57:K65" si="10">IF(OR(J57="",G57=""),"",(J57/G57)-1)</f>
        <v/>
      </c>
      <c r="L57" s="13">
        <v>5</v>
      </c>
      <c r="M57" s="16"/>
      <c r="N57" s="16"/>
      <c r="O57" s="16"/>
      <c r="P57" s="16"/>
      <c r="Q57" s="16"/>
      <c r="R57" s="16"/>
      <c r="S57" s="16"/>
      <c r="T57" s="16"/>
      <c r="U57" s="16"/>
      <c r="V57" s="16"/>
      <c r="W57" s="16" t="str">
        <f t="shared" ref="W57:W65" si="11">IF(M57="","",SUM(M57:V57))</f>
        <v/>
      </c>
      <c r="X57" s="12"/>
      <c r="Y57" s="12"/>
      <c r="Z57" s="14"/>
    </row>
    <row r="58" spans="1:26" x14ac:dyDescent="0.2">
      <c r="A58" s="15">
        <v>3</v>
      </c>
      <c r="B58" s="22"/>
      <c r="C58" s="22"/>
      <c r="D58" s="22"/>
      <c r="E58" s="22"/>
      <c r="F58" s="22"/>
      <c r="G58" s="23"/>
      <c r="H58" s="22"/>
      <c r="I58" s="22"/>
      <c r="J58" s="23"/>
      <c r="K58" s="16" t="str">
        <f t="shared" si="10"/>
        <v/>
      </c>
      <c r="L58" s="13">
        <v>0</v>
      </c>
      <c r="M58" s="16"/>
      <c r="N58" s="16"/>
      <c r="O58" s="16"/>
      <c r="P58" s="16"/>
      <c r="Q58" s="16"/>
      <c r="R58" s="16"/>
      <c r="S58" s="16"/>
      <c r="T58" s="16"/>
      <c r="U58" s="16"/>
      <c r="V58" s="16"/>
      <c r="W58" s="16" t="str">
        <f t="shared" si="11"/>
        <v/>
      </c>
      <c r="X58" s="12"/>
      <c r="Y58" s="12"/>
      <c r="Z58" s="14"/>
    </row>
    <row r="59" spans="1:26" x14ac:dyDescent="0.2">
      <c r="A59" s="15">
        <v>4</v>
      </c>
      <c r="B59" s="22"/>
      <c r="C59" s="22"/>
      <c r="D59" s="22"/>
      <c r="E59" s="22"/>
      <c r="F59" s="22"/>
      <c r="G59" s="23"/>
      <c r="H59" s="22"/>
      <c r="I59" s="22"/>
      <c r="J59" s="23"/>
      <c r="K59" s="16" t="str">
        <f t="shared" si="10"/>
        <v/>
      </c>
      <c r="L59" s="13">
        <v>0</v>
      </c>
      <c r="M59" s="16"/>
      <c r="N59" s="16"/>
      <c r="O59" s="16"/>
      <c r="P59" s="16"/>
      <c r="Q59" s="16"/>
      <c r="R59" s="16"/>
      <c r="S59" s="16"/>
      <c r="T59" s="16"/>
      <c r="U59" s="16"/>
      <c r="V59" s="16"/>
      <c r="W59" s="16" t="str">
        <f t="shared" si="11"/>
        <v/>
      </c>
      <c r="X59" s="12"/>
      <c r="Y59" s="12"/>
      <c r="Z59" s="14"/>
    </row>
    <row r="60" spans="1:26" x14ac:dyDescent="0.2">
      <c r="A60" s="15">
        <v>5</v>
      </c>
      <c r="B60" s="22"/>
      <c r="C60" s="22"/>
      <c r="D60" s="22"/>
      <c r="E60" s="22"/>
      <c r="F60" s="22"/>
      <c r="G60" s="23"/>
      <c r="H60" s="22"/>
      <c r="I60" s="22"/>
      <c r="J60" s="23"/>
      <c r="K60" s="16" t="str">
        <f t="shared" si="10"/>
        <v/>
      </c>
      <c r="L60" s="13">
        <v>0</v>
      </c>
      <c r="M60" s="16"/>
      <c r="N60" s="16"/>
      <c r="O60" s="16"/>
      <c r="P60" s="16"/>
      <c r="Q60" s="16"/>
      <c r="R60" s="16"/>
      <c r="S60" s="16"/>
      <c r="T60" s="16"/>
      <c r="U60" s="16"/>
      <c r="V60" s="16"/>
      <c r="W60" s="16" t="str">
        <f t="shared" si="11"/>
        <v/>
      </c>
      <c r="X60" s="12"/>
      <c r="Y60" s="12"/>
      <c r="Z60" s="14"/>
    </row>
    <row r="61" spans="1:26" x14ac:dyDescent="0.2">
      <c r="A61" s="15">
        <v>6</v>
      </c>
      <c r="B61" s="22"/>
      <c r="C61" s="22"/>
      <c r="D61" s="22"/>
      <c r="E61" s="22"/>
      <c r="F61" s="22"/>
      <c r="G61" s="23"/>
      <c r="H61" s="22"/>
      <c r="I61" s="22"/>
      <c r="J61" s="23"/>
      <c r="K61" s="16" t="str">
        <f t="shared" si="10"/>
        <v/>
      </c>
      <c r="L61" s="13">
        <v>0</v>
      </c>
      <c r="M61" s="16"/>
      <c r="N61" s="16"/>
      <c r="O61" s="16"/>
      <c r="P61" s="16"/>
      <c r="Q61" s="16"/>
      <c r="R61" s="16"/>
      <c r="S61" s="16"/>
      <c r="T61" s="16"/>
      <c r="U61" s="16"/>
      <c r="V61" s="16"/>
      <c r="W61" s="16" t="str">
        <f t="shared" si="11"/>
        <v/>
      </c>
      <c r="X61" s="12"/>
      <c r="Y61" s="12"/>
      <c r="Z61" s="14"/>
    </row>
    <row r="62" spans="1:26" x14ac:dyDescent="0.2">
      <c r="A62" s="15">
        <v>7</v>
      </c>
      <c r="B62" s="22"/>
      <c r="C62" s="22"/>
      <c r="D62" s="22"/>
      <c r="E62" s="22"/>
      <c r="F62" s="22"/>
      <c r="G62" s="23"/>
      <c r="H62" s="22"/>
      <c r="I62" s="22"/>
      <c r="J62" s="23"/>
      <c r="K62" s="16" t="str">
        <f t="shared" si="10"/>
        <v/>
      </c>
      <c r="L62" s="13">
        <v>0</v>
      </c>
      <c r="M62" s="16"/>
      <c r="N62" s="16"/>
      <c r="O62" s="16"/>
      <c r="P62" s="16"/>
      <c r="Q62" s="16"/>
      <c r="R62" s="16"/>
      <c r="S62" s="16"/>
      <c r="T62" s="16"/>
      <c r="U62" s="16"/>
      <c r="V62" s="16"/>
      <c r="W62" s="16" t="str">
        <f t="shared" si="11"/>
        <v/>
      </c>
      <c r="X62" s="12"/>
      <c r="Y62" s="12"/>
      <c r="Z62" s="14"/>
    </row>
    <row r="63" spans="1:26" x14ac:dyDescent="0.2">
      <c r="A63" s="15">
        <v>8</v>
      </c>
      <c r="B63" s="22"/>
      <c r="C63" s="22"/>
      <c r="D63" s="22"/>
      <c r="E63" s="22"/>
      <c r="F63" s="22"/>
      <c r="G63" s="23"/>
      <c r="H63" s="22"/>
      <c r="I63" s="22"/>
      <c r="J63" s="23"/>
      <c r="K63" s="16" t="str">
        <f t="shared" si="10"/>
        <v/>
      </c>
      <c r="L63" s="13">
        <v>0</v>
      </c>
      <c r="M63" s="16"/>
      <c r="N63" s="16"/>
      <c r="O63" s="16"/>
      <c r="P63" s="16"/>
      <c r="Q63" s="16"/>
      <c r="R63" s="16"/>
      <c r="S63" s="16"/>
      <c r="T63" s="16"/>
      <c r="U63" s="16"/>
      <c r="V63" s="16"/>
      <c r="W63" s="16" t="str">
        <f t="shared" si="11"/>
        <v/>
      </c>
      <c r="X63" s="12"/>
      <c r="Y63" s="12"/>
      <c r="Z63" s="14"/>
    </row>
    <row r="64" spans="1:26" x14ac:dyDescent="0.2">
      <c r="A64" s="15">
        <v>9</v>
      </c>
      <c r="B64" s="22"/>
      <c r="C64" s="22"/>
      <c r="D64" s="22"/>
      <c r="E64" s="22"/>
      <c r="F64" s="22"/>
      <c r="G64" s="23"/>
      <c r="H64" s="22"/>
      <c r="I64" s="22"/>
      <c r="J64" s="23"/>
      <c r="K64" s="16" t="str">
        <f t="shared" si="10"/>
        <v/>
      </c>
      <c r="L64" s="13">
        <v>0</v>
      </c>
      <c r="M64" s="16"/>
      <c r="N64" s="16"/>
      <c r="O64" s="16"/>
      <c r="P64" s="16"/>
      <c r="Q64" s="16"/>
      <c r="R64" s="16"/>
      <c r="S64" s="16"/>
      <c r="T64" s="16"/>
      <c r="U64" s="16"/>
      <c r="V64" s="16"/>
      <c r="W64" s="16" t="str">
        <f t="shared" si="11"/>
        <v/>
      </c>
      <c r="X64" s="12"/>
      <c r="Y64" s="12"/>
      <c r="Z64" s="14"/>
    </row>
    <row r="65" spans="1:26" ht="16" thickBot="1" x14ac:dyDescent="0.25">
      <c r="A65" s="17">
        <v>10</v>
      </c>
      <c r="B65" s="24"/>
      <c r="C65" s="24"/>
      <c r="D65" s="24"/>
      <c r="E65" s="24"/>
      <c r="F65" s="24"/>
      <c r="G65" s="25"/>
      <c r="H65" s="24"/>
      <c r="I65" s="24"/>
      <c r="J65" s="25"/>
      <c r="K65" s="19" t="str">
        <f t="shared" si="10"/>
        <v/>
      </c>
      <c r="L65" s="20">
        <v>0</v>
      </c>
      <c r="M65" s="19"/>
      <c r="N65" s="19"/>
      <c r="O65" s="19"/>
      <c r="P65" s="19"/>
      <c r="Q65" s="19"/>
      <c r="R65" s="19"/>
      <c r="S65" s="19"/>
      <c r="T65" s="19"/>
      <c r="U65" s="19"/>
      <c r="V65" s="19"/>
      <c r="W65" s="19" t="str">
        <f t="shared" si="11"/>
        <v/>
      </c>
      <c r="X65" s="18"/>
      <c r="Y65" s="18"/>
      <c r="Z65" s="30"/>
    </row>
    <row r="66" spans="1:26" ht="16" thickTop="1" x14ac:dyDescent="0.2"/>
  </sheetData>
  <mergeCells count="5">
    <mergeCell ref="M2:V2"/>
    <mergeCell ref="E5:G5"/>
    <mergeCell ref="B5:C5"/>
    <mergeCell ref="H5:J5"/>
    <mergeCell ref="M5:W5"/>
  </mergeCells>
  <conditionalFormatting sqref="K7:K16">
    <cfRule type="cellIs" dxfId="71" priority="100" operator="lessThan">
      <formula>0</formula>
    </cfRule>
    <cfRule type="cellIs" dxfId="70" priority="101" operator="equal">
      <formula>0</formula>
    </cfRule>
    <cfRule type="cellIs" dxfId="69" priority="102" operator="greaterThan">
      <formula>0</formula>
    </cfRule>
  </conditionalFormatting>
  <conditionalFormatting sqref="N7:U9 M8:P8 N13:U16 P10:U12">
    <cfRule type="cellIs" dxfId="68" priority="97" operator="lessThan">
      <formula>0</formula>
    </cfRule>
    <cfRule type="cellIs" dxfId="67" priority="98" operator="equal">
      <formula>0</formula>
    </cfRule>
    <cfRule type="cellIs" dxfId="66" priority="99" operator="greaterThan">
      <formula>0</formula>
    </cfRule>
  </conditionalFormatting>
  <conditionalFormatting sqref="M7:M8 M13:M16">
    <cfRule type="cellIs" dxfId="65" priority="94" operator="lessThan">
      <formula>0</formula>
    </cfRule>
    <cfRule type="cellIs" dxfId="64" priority="95" operator="equal">
      <formula>0</formula>
    </cfRule>
    <cfRule type="cellIs" dxfId="63" priority="96" operator="greaterThan">
      <formula>0</formula>
    </cfRule>
  </conditionalFormatting>
  <conditionalFormatting sqref="V7:V16">
    <cfRule type="cellIs" dxfId="62" priority="91" operator="lessThan">
      <formula>0</formula>
    </cfRule>
    <cfRule type="cellIs" dxfId="61" priority="92" operator="equal">
      <formula>0</formula>
    </cfRule>
    <cfRule type="cellIs" dxfId="60" priority="93" operator="greaterThan">
      <formula>0</formula>
    </cfRule>
  </conditionalFormatting>
  <conditionalFormatting sqref="W7:W16">
    <cfRule type="cellIs" dxfId="59" priority="88" operator="lessThan">
      <formula>0</formula>
    </cfRule>
    <cfRule type="cellIs" dxfId="58" priority="89" operator="equal">
      <formula>0</formula>
    </cfRule>
    <cfRule type="cellIs" dxfId="57" priority="90" operator="greaterThan">
      <formula>0</formula>
    </cfRule>
  </conditionalFormatting>
  <conditionalFormatting sqref="K24:K33">
    <cfRule type="cellIs" dxfId="56" priority="55" operator="lessThan">
      <formula>0</formula>
    </cfRule>
    <cfRule type="cellIs" dxfId="55" priority="56" operator="equal">
      <formula>0</formula>
    </cfRule>
    <cfRule type="cellIs" dxfId="54" priority="57" operator="greaterThan">
      <formula>0</formula>
    </cfRule>
  </conditionalFormatting>
  <conditionalFormatting sqref="N24:U33">
    <cfRule type="cellIs" dxfId="53" priority="52" operator="lessThan">
      <formula>0</formula>
    </cfRule>
    <cfRule type="cellIs" dxfId="52" priority="53" operator="equal">
      <formula>0</formula>
    </cfRule>
    <cfRule type="cellIs" dxfId="51" priority="54" operator="greaterThan">
      <formula>0</formula>
    </cfRule>
  </conditionalFormatting>
  <conditionalFormatting sqref="M24:M33">
    <cfRule type="cellIs" dxfId="50" priority="49" operator="lessThan">
      <formula>0</formula>
    </cfRule>
    <cfRule type="cellIs" dxfId="49" priority="50" operator="equal">
      <formula>0</formula>
    </cfRule>
    <cfRule type="cellIs" dxfId="48" priority="51" operator="greaterThan">
      <formula>0</formula>
    </cfRule>
  </conditionalFormatting>
  <conditionalFormatting sqref="V24:V33">
    <cfRule type="cellIs" dxfId="47" priority="46" operator="lessThan">
      <formula>0</formula>
    </cfRule>
    <cfRule type="cellIs" dxfId="46" priority="47" operator="equal">
      <formula>0</formula>
    </cfRule>
    <cfRule type="cellIs" dxfId="45" priority="48" operator="greaterThan">
      <formula>0</formula>
    </cfRule>
  </conditionalFormatting>
  <conditionalFormatting sqref="W24:W33">
    <cfRule type="cellIs" dxfId="44" priority="43" operator="lessThan">
      <formula>0</formula>
    </cfRule>
    <cfRule type="cellIs" dxfId="43" priority="44" operator="equal">
      <formula>0</formula>
    </cfRule>
    <cfRule type="cellIs" dxfId="42" priority="45" operator="greaterThan">
      <formula>0</formula>
    </cfRule>
  </conditionalFormatting>
  <conditionalFormatting sqref="K40:K49">
    <cfRule type="cellIs" dxfId="41" priority="40" operator="lessThan">
      <formula>0</formula>
    </cfRule>
    <cfRule type="cellIs" dxfId="40" priority="41" operator="equal">
      <formula>0</formula>
    </cfRule>
    <cfRule type="cellIs" dxfId="39" priority="42" operator="greaterThan">
      <formula>0</formula>
    </cfRule>
  </conditionalFormatting>
  <conditionalFormatting sqref="N40:U49">
    <cfRule type="cellIs" dxfId="38" priority="37" operator="lessThan">
      <formula>0</formula>
    </cfRule>
    <cfRule type="cellIs" dxfId="37" priority="38" operator="equal">
      <formula>0</formula>
    </cfRule>
    <cfRule type="cellIs" dxfId="36" priority="39" operator="greaterThan">
      <formula>0</formula>
    </cfRule>
  </conditionalFormatting>
  <conditionalFormatting sqref="M40:M49">
    <cfRule type="cellIs" dxfId="35" priority="34" operator="lessThan">
      <formula>0</formula>
    </cfRule>
    <cfRule type="cellIs" dxfId="34" priority="35" operator="equal">
      <formula>0</formula>
    </cfRule>
    <cfRule type="cellIs" dxfId="33" priority="36" operator="greaterThan">
      <formula>0</formula>
    </cfRule>
  </conditionalFormatting>
  <conditionalFormatting sqref="V40:V49">
    <cfRule type="cellIs" dxfId="32" priority="31" operator="lessThan">
      <formula>0</formula>
    </cfRule>
    <cfRule type="cellIs" dxfId="31" priority="32" operator="equal">
      <formula>0</formula>
    </cfRule>
    <cfRule type="cellIs" dxfId="30" priority="33" operator="greaterThan">
      <formula>0</formula>
    </cfRule>
  </conditionalFormatting>
  <conditionalFormatting sqref="W40:W49">
    <cfRule type="cellIs" dxfId="29" priority="28" operator="lessThan">
      <formula>0</formula>
    </cfRule>
    <cfRule type="cellIs" dxfId="28" priority="29" operator="equal">
      <formula>0</formula>
    </cfRule>
    <cfRule type="cellIs" dxfId="27" priority="30" operator="greaterThan">
      <formula>0</formula>
    </cfRule>
  </conditionalFormatting>
  <conditionalFormatting sqref="K56:K65">
    <cfRule type="cellIs" dxfId="26" priority="25" operator="lessThan">
      <formula>0</formula>
    </cfRule>
    <cfRule type="cellIs" dxfId="25" priority="26" operator="equal">
      <formula>0</formula>
    </cfRule>
    <cfRule type="cellIs" dxfId="24" priority="27" operator="greaterThan">
      <formula>0</formula>
    </cfRule>
  </conditionalFormatting>
  <conditionalFormatting sqref="N56:U65">
    <cfRule type="cellIs" dxfId="23" priority="22" operator="lessThan">
      <formula>0</formula>
    </cfRule>
    <cfRule type="cellIs" dxfId="22" priority="23" operator="equal">
      <formula>0</formula>
    </cfRule>
    <cfRule type="cellIs" dxfId="21" priority="24" operator="greaterThan">
      <formula>0</formula>
    </cfRule>
  </conditionalFormatting>
  <conditionalFormatting sqref="M56:M65">
    <cfRule type="cellIs" dxfId="20" priority="19" operator="lessThan">
      <formula>0</formula>
    </cfRule>
    <cfRule type="cellIs" dxfId="19" priority="20" operator="equal">
      <formula>0</formula>
    </cfRule>
    <cfRule type="cellIs" dxfId="18" priority="21" operator="greaterThan">
      <formula>0</formula>
    </cfRule>
  </conditionalFormatting>
  <conditionalFormatting sqref="V56:V65">
    <cfRule type="cellIs" dxfId="17" priority="16" operator="lessThan">
      <formula>0</formula>
    </cfRule>
    <cfRule type="cellIs" dxfId="16" priority="17" operator="equal">
      <formula>0</formula>
    </cfRule>
    <cfRule type="cellIs" dxfId="15" priority="18" operator="greaterThan">
      <formula>0</formula>
    </cfRule>
  </conditionalFormatting>
  <conditionalFormatting sqref="W56:W65">
    <cfRule type="cellIs" dxfId="14" priority="13" operator="lessThan">
      <formula>0</formula>
    </cfRule>
    <cfRule type="cellIs" dxfId="13" priority="14" operator="equal">
      <formula>0</formula>
    </cfRule>
    <cfRule type="cellIs" dxfId="12" priority="15" operator="greaterThan">
      <formula>0</formula>
    </cfRule>
  </conditionalFormatting>
  <conditionalFormatting sqref="M9">
    <cfRule type="cellIs" dxfId="11" priority="10" operator="lessThan">
      <formula>0</formula>
    </cfRule>
    <cfRule type="cellIs" dxfId="10" priority="11" operator="equal">
      <formula>0</formula>
    </cfRule>
    <cfRule type="cellIs" dxfId="9" priority="12" operator="greaterThan">
      <formula>0</formula>
    </cfRule>
  </conditionalFormatting>
  <conditionalFormatting sqref="N10:O10 N12:O12 N11">
    <cfRule type="cellIs" dxfId="8" priority="7" operator="lessThan">
      <formula>0</formula>
    </cfRule>
    <cfRule type="cellIs" dxfId="7" priority="8" operator="equal">
      <formula>0</formula>
    </cfRule>
    <cfRule type="cellIs" dxfId="6" priority="9" operator="greaterThan">
      <formula>0</formula>
    </cfRule>
  </conditionalFormatting>
  <conditionalFormatting sqref="M10:M12">
    <cfRule type="cellIs" dxfId="5" priority="4" operator="lessThan">
      <formula>0</formula>
    </cfRule>
    <cfRule type="cellIs" dxfId="4" priority="5" operator="equal">
      <formula>0</formula>
    </cfRule>
    <cfRule type="cellIs" dxfId="3" priority="6" operator="greaterThan">
      <formula>0</formula>
    </cfRule>
  </conditionalFormatting>
  <conditionalFormatting sqref="O11">
    <cfRule type="cellIs" dxfId="2" priority="1" operator="lessThan">
      <formula>0</formula>
    </cfRule>
    <cfRule type="cellIs" dxfId="1" priority="2" operator="equal">
      <formula>0</formula>
    </cfRule>
    <cfRule type="cellIs" dxfId="0" priority="3" operator="greaterThan">
      <formula>0</formula>
    </cfRule>
  </conditionalFormatting>
  <pageMargins left="0.7" right="0.7" top="0.75" bottom="0.75" header="0.3" footer="0.3"/>
  <ignoredErrors>
    <ignoredError sqref="W7:W16 W24:W33 W40:W49 W56:W65" formulaRange="1"/>
  </ignoredError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Note</vt:lpstr>
      <vt:lpstr>Watchlist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2018-01-11T11:47:02Z</dcterms:created>
  <dcterms:modified xsi:type="dcterms:W3CDTF">2022-07-03T14:53:37Z</dcterms:modified>
</cp:coreProperties>
</file>