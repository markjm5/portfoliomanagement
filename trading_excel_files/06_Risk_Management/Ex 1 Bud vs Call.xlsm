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esktop\Trading Excel Files\New folder\"/>
    </mc:Choice>
  </mc:AlternateContent>
  <xr:revisionPtr revIDLastSave="0" documentId="13_ncr:1_{9F0F951C-9737-4A1E-A0CD-1C4E31D346B0}" xr6:coauthVersionLast="47" xr6:coauthVersionMax="47" xr10:uidLastSave="{00000000-0000-0000-0000-000000000000}"/>
  <bookViews>
    <workbookView xWindow="3353" yWindow="915" windowWidth="21997" windowHeight="9285" activeTab="3" xr2:uid="{3E2947DB-DD62-425C-A2A9-02A3A22ACF67}"/>
  </bookViews>
  <sheets>
    <sheet name="BUD data" sheetId="1" r:id="rId1"/>
    <sheet name="Bud vs Call" sheetId="4" r:id="rId2"/>
    <sheet name="ATR monthly BUD" sheetId="6" r:id="rId3"/>
    <sheet name="ATR quarterly BUD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4" l="1"/>
  <c r="T14" i="4"/>
  <c r="Q58" i="4" s="1"/>
  <c r="S14" i="4"/>
  <c r="Q56" i="4"/>
  <c r="Q57" i="4" s="1"/>
  <c r="Q60" i="4" l="1"/>
  <c r="P44" i="4"/>
  <c r="P46" i="4" s="1"/>
  <c r="Q28" i="4"/>
  <c r="Q26" i="4"/>
  <c r="AK4" i="4"/>
  <c r="AD4" i="4"/>
  <c r="AG4" i="4" s="1"/>
  <c r="AC4" i="4"/>
  <c r="AF4" i="4" s="1"/>
  <c r="B6" i="4" l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J221" i="7" l="1"/>
  <c r="P221" i="7" s="1"/>
  <c r="I221" i="7"/>
  <c r="O221" i="7" s="1"/>
  <c r="J220" i="7"/>
  <c r="P220" i="7" s="1"/>
  <c r="I220" i="7"/>
  <c r="O220" i="7" s="1"/>
  <c r="J219" i="7"/>
  <c r="I219" i="7"/>
  <c r="O219" i="7" s="1"/>
  <c r="J218" i="7"/>
  <c r="P218" i="7" s="1"/>
  <c r="I218" i="7"/>
  <c r="O218" i="7" s="1"/>
  <c r="J217" i="7"/>
  <c r="P217" i="7" s="1"/>
  <c r="I217" i="7"/>
  <c r="O217" i="7" s="1"/>
  <c r="J216" i="7"/>
  <c r="I216" i="7"/>
  <c r="O216" i="7" s="1"/>
  <c r="J215" i="7"/>
  <c r="P215" i="7" s="1"/>
  <c r="I215" i="7"/>
  <c r="O215" i="7" s="1"/>
  <c r="J214" i="7"/>
  <c r="P214" i="7" s="1"/>
  <c r="I214" i="7"/>
  <c r="O214" i="7" s="1"/>
  <c r="J213" i="7"/>
  <c r="I213" i="7"/>
  <c r="O213" i="7" s="1"/>
  <c r="J212" i="7"/>
  <c r="P212" i="7" s="1"/>
  <c r="I212" i="7"/>
  <c r="O212" i="7" s="1"/>
  <c r="J211" i="7"/>
  <c r="P211" i="7" s="1"/>
  <c r="I211" i="7"/>
  <c r="O211" i="7" s="1"/>
  <c r="J210" i="7"/>
  <c r="I210" i="7"/>
  <c r="O210" i="7" s="1"/>
  <c r="J209" i="7"/>
  <c r="P209" i="7" s="1"/>
  <c r="I209" i="7"/>
  <c r="O209" i="7" s="1"/>
  <c r="J208" i="7"/>
  <c r="P208" i="7" s="1"/>
  <c r="I208" i="7"/>
  <c r="O208" i="7" s="1"/>
  <c r="J207" i="7"/>
  <c r="I207" i="7"/>
  <c r="O207" i="7" s="1"/>
  <c r="J206" i="7"/>
  <c r="P206" i="7" s="1"/>
  <c r="I206" i="7"/>
  <c r="O206" i="7" s="1"/>
  <c r="J205" i="7"/>
  <c r="P205" i="7" s="1"/>
  <c r="I205" i="7"/>
  <c r="O205" i="7" s="1"/>
  <c r="J204" i="7"/>
  <c r="I204" i="7"/>
  <c r="O204" i="7" s="1"/>
  <c r="J203" i="7"/>
  <c r="P203" i="7" s="1"/>
  <c r="I203" i="7"/>
  <c r="O203" i="7" s="1"/>
  <c r="J202" i="7"/>
  <c r="P202" i="7" s="1"/>
  <c r="I202" i="7"/>
  <c r="O202" i="7" s="1"/>
  <c r="J201" i="7"/>
  <c r="I201" i="7"/>
  <c r="O201" i="7" s="1"/>
  <c r="J200" i="7"/>
  <c r="P200" i="7" s="1"/>
  <c r="I200" i="7"/>
  <c r="O200" i="7" s="1"/>
  <c r="J199" i="7"/>
  <c r="P199" i="7" s="1"/>
  <c r="I199" i="7"/>
  <c r="O199" i="7" s="1"/>
  <c r="J198" i="7"/>
  <c r="I198" i="7"/>
  <c r="O198" i="7" s="1"/>
  <c r="J197" i="7"/>
  <c r="P197" i="7" s="1"/>
  <c r="I197" i="7"/>
  <c r="O197" i="7" s="1"/>
  <c r="J196" i="7"/>
  <c r="I196" i="7"/>
  <c r="O196" i="7" s="1"/>
  <c r="J195" i="7"/>
  <c r="I195" i="7"/>
  <c r="O195" i="7" s="1"/>
  <c r="J194" i="7"/>
  <c r="P194" i="7" s="1"/>
  <c r="I194" i="7"/>
  <c r="O194" i="7" s="1"/>
  <c r="J193" i="7"/>
  <c r="I193" i="7"/>
  <c r="O193" i="7" s="1"/>
  <c r="J192" i="7"/>
  <c r="P192" i="7" s="1"/>
  <c r="I192" i="7"/>
  <c r="O192" i="7" s="1"/>
  <c r="J191" i="7"/>
  <c r="P191" i="7" s="1"/>
  <c r="I191" i="7"/>
  <c r="O191" i="7" s="1"/>
  <c r="J190" i="7"/>
  <c r="P190" i="7" s="1"/>
  <c r="I190" i="7"/>
  <c r="O190" i="7" s="1"/>
  <c r="J189" i="7"/>
  <c r="P189" i="7" s="1"/>
  <c r="I189" i="7"/>
  <c r="O189" i="7" s="1"/>
  <c r="J188" i="7"/>
  <c r="P188" i="7" s="1"/>
  <c r="I188" i="7"/>
  <c r="O188" i="7" s="1"/>
  <c r="J187" i="7"/>
  <c r="P187" i="7" s="1"/>
  <c r="I187" i="7"/>
  <c r="O187" i="7" s="1"/>
  <c r="J186" i="7"/>
  <c r="I186" i="7"/>
  <c r="O186" i="7" s="1"/>
  <c r="J185" i="7"/>
  <c r="P185" i="7" s="1"/>
  <c r="I185" i="7"/>
  <c r="O185" i="7" s="1"/>
  <c r="J184" i="7"/>
  <c r="P184" i="7" s="1"/>
  <c r="I184" i="7"/>
  <c r="O184" i="7" s="1"/>
  <c r="J183" i="7"/>
  <c r="P183" i="7" s="1"/>
  <c r="I183" i="7"/>
  <c r="O183" i="7" s="1"/>
  <c r="J182" i="7"/>
  <c r="P182" i="7" s="1"/>
  <c r="I182" i="7"/>
  <c r="O182" i="7" s="1"/>
  <c r="J181" i="7"/>
  <c r="P181" i="7" s="1"/>
  <c r="I181" i="7"/>
  <c r="O181" i="7" s="1"/>
  <c r="J180" i="7"/>
  <c r="P180" i="7" s="1"/>
  <c r="I180" i="7"/>
  <c r="O180" i="7" s="1"/>
  <c r="J179" i="7"/>
  <c r="P179" i="7" s="1"/>
  <c r="I179" i="7"/>
  <c r="O179" i="7" s="1"/>
  <c r="J178" i="7"/>
  <c r="P178" i="7" s="1"/>
  <c r="I178" i="7"/>
  <c r="O178" i="7" s="1"/>
  <c r="J177" i="7"/>
  <c r="P177" i="7" s="1"/>
  <c r="I177" i="7"/>
  <c r="O177" i="7" s="1"/>
  <c r="J176" i="7"/>
  <c r="P176" i="7" s="1"/>
  <c r="I176" i="7"/>
  <c r="O176" i="7" s="1"/>
  <c r="J175" i="7"/>
  <c r="P175" i="7" s="1"/>
  <c r="I175" i="7"/>
  <c r="O175" i="7" s="1"/>
  <c r="J174" i="7"/>
  <c r="P174" i="7" s="1"/>
  <c r="I174" i="7"/>
  <c r="O174" i="7" s="1"/>
  <c r="J173" i="7"/>
  <c r="P173" i="7" s="1"/>
  <c r="I173" i="7"/>
  <c r="O173" i="7" s="1"/>
  <c r="J172" i="7"/>
  <c r="P172" i="7" s="1"/>
  <c r="I172" i="7"/>
  <c r="O172" i="7" s="1"/>
  <c r="J171" i="7"/>
  <c r="P171" i="7" s="1"/>
  <c r="I171" i="7"/>
  <c r="O171" i="7" s="1"/>
  <c r="J170" i="7"/>
  <c r="P170" i="7" s="1"/>
  <c r="I170" i="7"/>
  <c r="O170" i="7" s="1"/>
  <c r="J169" i="7"/>
  <c r="P169" i="7" s="1"/>
  <c r="I169" i="7"/>
  <c r="O169" i="7" s="1"/>
  <c r="J168" i="7"/>
  <c r="P168" i="7" s="1"/>
  <c r="I168" i="7"/>
  <c r="J167" i="7"/>
  <c r="P167" i="7" s="1"/>
  <c r="I167" i="7"/>
  <c r="O167" i="7" s="1"/>
  <c r="J166" i="7"/>
  <c r="P166" i="7" s="1"/>
  <c r="I166" i="7"/>
  <c r="O166" i="7" s="1"/>
  <c r="J165" i="7"/>
  <c r="P165" i="7" s="1"/>
  <c r="I165" i="7"/>
  <c r="O165" i="7" s="1"/>
  <c r="J164" i="7"/>
  <c r="P164" i="7" s="1"/>
  <c r="I164" i="7"/>
  <c r="O164" i="7" s="1"/>
  <c r="J163" i="7"/>
  <c r="P163" i="7" s="1"/>
  <c r="I163" i="7"/>
  <c r="O163" i="7" s="1"/>
  <c r="J162" i="7"/>
  <c r="P162" i="7" s="1"/>
  <c r="I162" i="7"/>
  <c r="J161" i="7"/>
  <c r="P161" i="7" s="1"/>
  <c r="I161" i="7"/>
  <c r="O161" i="7" s="1"/>
  <c r="J160" i="7"/>
  <c r="P160" i="7" s="1"/>
  <c r="I160" i="7"/>
  <c r="O160" i="7" s="1"/>
  <c r="J159" i="7"/>
  <c r="P159" i="7" s="1"/>
  <c r="I159" i="7"/>
  <c r="O159" i="7" s="1"/>
  <c r="J158" i="7"/>
  <c r="P158" i="7" s="1"/>
  <c r="I158" i="7"/>
  <c r="O158" i="7" s="1"/>
  <c r="J157" i="7"/>
  <c r="P157" i="7" s="1"/>
  <c r="I157" i="7"/>
  <c r="O157" i="7" s="1"/>
  <c r="J156" i="7"/>
  <c r="I156" i="7"/>
  <c r="O156" i="7" s="1"/>
  <c r="J155" i="7"/>
  <c r="P155" i="7" s="1"/>
  <c r="I155" i="7"/>
  <c r="O155" i="7" s="1"/>
  <c r="J154" i="7"/>
  <c r="P154" i="7" s="1"/>
  <c r="I154" i="7"/>
  <c r="O154" i="7" s="1"/>
  <c r="J153" i="7"/>
  <c r="P153" i="7" s="1"/>
  <c r="I153" i="7"/>
  <c r="O153" i="7" s="1"/>
  <c r="J152" i="7"/>
  <c r="P152" i="7" s="1"/>
  <c r="I152" i="7"/>
  <c r="O152" i="7" s="1"/>
  <c r="J151" i="7"/>
  <c r="P151" i="7" s="1"/>
  <c r="I151" i="7"/>
  <c r="O151" i="7" s="1"/>
  <c r="J150" i="7"/>
  <c r="P150" i="7" s="1"/>
  <c r="I150" i="7"/>
  <c r="O150" i="7" s="1"/>
  <c r="J149" i="7"/>
  <c r="P149" i="7" s="1"/>
  <c r="I149" i="7"/>
  <c r="O149" i="7" s="1"/>
  <c r="J148" i="7"/>
  <c r="P148" i="7" s="1"/>
  <c r="I148" i="7"/>
  <c r="O148" i="7" s="1"/>
  <c r="J147" i="7"/>
  <c r="P147" i="7" s="1"/>
  <c r="I147" i="7"/>
  <c r="J146" i="7"/>
  <c r="P146" i="7" s="1"/>
  <c r="I146" i="7"/>
  <c r="O146" i="7" s="1"/>
  <c r="J145" i="7"/>
  <c r="P145" i="7" s="1"/>
  <c r="I145" i="7"/>
  <c r="O145" i="7" s="1"/>
  <c r="J144" i="7"/>
  <c r="P144" i="7" s="1"/>
  <c r="I144" i="7"/>
  <c r="O144" i="7" s="1"/>
  <c r="J143" i="7"/>
  <c r="P143" i="7" s="1"/>
  <c r="I143" i="7"/>
  <c r="O143" i="7" s="1"/>
  <c r="J142" i="7"/>
  <c r="P142" i="7" s="1"/>
  <c r="I142" i="7"/>
  <c r="O142" i="7" s="1"/>
  <c r="J141" i="7"/>
  <c r="P141" i="7" s="1"/>
  <c r="I141" i="7"/>
  <c r="J140" i="7"/>
  <c r="P140" i="7" s="1"/>
  <c r="I140" i="7"/>
  <c r="N140" i="7" s="1"/>
  <c r="J139" i="7"/>
  <c r="P139" i="7" s="1"/>
  <c r="I139" i="7"/>
  <c r="J138" i="7"/>
  <c r="P138" i="7" s="1"/>
  <c r="I138" i="7"/>
  <c r="J137" i="7"/>
  <c r="P137" i="7" s="1"/>
  <c r="I137" i="7"/>
  <c r="O137" i="7" s="1"/>
  <c r="J136" i="7"/>
  <c r="P136" i="7" s="1"/>
  <c r="I136" i="7"/>
  <c r="O136" i="7" s="1"/>
  <c r="J135" i="7"/>
  <c r="P135" i="7" s="1"/>
  <c r="I135" i="7"/>
  <c r="O135" i="7" s="1"/>
  <c r="J134" i="7"/>
  <c r="P134" i="7" s="1"/>
  <c r="I134" i="7"/>
  <c r="O134" i="7" s="1"/>
  <c r="J133" i="7"/>
  <c r="P133" i="7" s="1"/>
  <c r="I133" i="7"/>
  <c r="J132" i="7"/>
  <c r="P132" i="7" s="1"/>
  <c r="I132" i="7"/>
  <c r="O132" i="7" s="1"/>
  <c r="J131" i="7"/>
  <c r="P131" i="7" s="1"/>
  <c r="I131" i="7"/>
  <c r="J130" i="7"/>
  <c r="P130" i="7" s="1"/>
  <c r="I130" i="7"/>
  <c r="O130" i="7" s="1"/>
  <c r="J129" i="7"/>
  <c r="P129" i="7" s="1"/>
  <c r="I129" i="7"/>
  <c r="O129" i="7" s="1"/>
  <c r="J128" i="7"/>
  <c r="P128" i="7" s="1"/>
  <c r="I128" i="7"/>
  <c r="O128" i="7" s="1"/>
  <c r="J127" i="7"/>
  <c r="P127" i="7" s="1"/>
  <c r="I127" i="7"/>
  <c r="O127" i="7" s="1"/>
  <c r="J126" i="7"/>
  <c r="P126" i="7" s="1"/>
  <c r="I126" i="7"/>
  <c r="O126" i="7" s="1"/>
  <c r="J125" i="7"/>
  <c r="P125" i="7" s="1"/>
  <c r="I125" i="7"/>
  <c r="J124" i="7"/>
  <c r="P124" i="7" s="1"/>
  <c r="I124" i="7"/>
  <c r="O124" i="7" s="1"/>
  <c r="J123" i="7"/>
  <c r="P123" i="7" s="1"/>
  <c r="I123" i="7"/>
  <c r="J122" i="7"/>
  <c r="P122" i="7" s="1"/>
  <c r="I122" i="7"/>
  <c r="O122" i="7" s="1"/>
  <c r="J121" i="7"/>
  <c r="P121" i="7" s="1"/>
  <c r="I121" i="7"/>
  <c r="O121" i="7" s="1"/>
  <c r="J120" i="7"/>
  <c r="P120" i="7" s="1"/>
  <c r="I120" i="7"/>
  <c r="J119" i="7"/>
  <c r="P119" i="7" s="1"/>
  <c r="I119" i="7"/>
  <c r="O119" i="7" s="1"/>
  <c r="J118" i="7"/>
  <c r="P118" i="7" s="1"/>
  <c r="I118" i="7"/>
  <c r="O118" i="7" s="1"/>
  <c r="J117" i="7"/>
  <c r="P117" i="7" s="1"/>
  <c r="I117" i="7"/>
  <c r="O117" i="7" s="1"/>
  <c r="J116" i="7"/>
  <c r="P116" i="7" s="1"/>
  <c r="I116" i="7"/>
  <c r="O116" i="7" s="1"/>
  <c r="J115" i="7"/>
  <c r="P115" i="7" s="1"/>
  <c r="I115" i="7"/>
  <c r="J114" i="7"/>
  <c r="P114" i="7" s="1"/>
  <c r="I114" i="7"/>
  <c r="J113" i="7"/>
  <c r="P113" i="7" s="1"/>
  <c r="I113" i="7"/>
  <c r="O113" i="7" s="1"/>
  <c r="J112" i="7"/>
  <c r="P112" i="7" s="1"/>
  <c r="I112" i="7"/>
  <c r="O112" i="7" s="1"/>
  <c r="J111" i="7"/>
  <c r="P111" i="7" s="1"/>
  <c r="I111" i="7"/>
  <c r="O111" i="7" s="1"/>
  <c r="J110" i="7"/>
  <c r="P110" i="7" s="1"/>
  <c r="I110" i="7"/>
  <c r="O110" i="7" s="1"/>
  <c r="J109" i="7"/>
  <c r="P109" i="7" s="1"/>
  <c r="I109" i="7"/>
  <c r="O109" i="7" s="1"/>
  <c r="J108" i="7"/>
  <c r="P108" i="7" s="1"/>
  <c r="I108" i="7"/>
  <c r="O108" i="7" s="1"/>
  <c r="J107" i="7"/>
  <c r="P107" i="7" s="1"/>
  <c r="I107" i="7"/>
  <c r="J106" i="7"/>
  <c r="P106" i="7" s="1"/>
  <c r="I106" i="7"/>
  <c r="O106" i="7" s="1"/>
  <c r="J105" i="7"/>
  <c r="P105" i="7" s="1"/>
  <c r="I105" i="7"/>
  <c r="O105" i="7" s="1"/>
  <c r="J104" i="7"/>
  <c r="I104" i="7"/>
  <c r="O104" i="7" s="1"/>
  <c r="J103" i="7"/>
  <c r="P103" i="7" s="1"/>
  <c r="I103" i="7"/>
  <c r="O103" i="7" s="1"/>
  <c r="J102" i="7"/>
  <c r="P102" i="7" s="1"/>
  <c r="I102" i="7"/>
  <c r="J101" i="7"/>
  <c r="P101" i="7" s="1"/>
  <c r="I101" i="7"/>
  <c r="O101" i="7" s="1"/>
  <c r="J100" i="7"/>
  <c r="P100" i="7" s="1"/>
  <c r="I100" i="7"/>
  <c r="O100" i="7" s="1"/>
  <c r="J99" i="7"/>
  <c r="P99" i="7" s="1"/>
  <c r="I99" i="7"/>
  <c r="O99" i="7" s="1"/>
  <c r="J98" i="7"/>
  <c r="P98" i="7" s="1"/>
  <c r="I98" i="7"/>
  <c r="O98" i="7" s="1"/>
  <c r="J97" i="7"/>
  <c r="P97" i="7" s="1"/>
  <c r="I97" i="7"/>
  <c r="J96" i="7"/>
  <c r="P96" i="7" s="1"/>
  <c r="I96" i="7"/>
  <c r="J95" i="7"/>
  <c r="P95" i="7" s="1"/>
  <c r="I95" i="7"/>
  <c r="N95" i="7" s="1"/>
  <c r="J94" i="7"/>
  <c r="P94" i="7" s="1"/>
  <c r="I94" i="7"/>
  <c r="J93" i="7"/>
  <c r="P93" i="7" s="1"/>
  <c r="I93" i="7"/>
  <c r="O93" i="7" s="1"/>
  <c r="J92" i="7"/>
  <c r="P92" i="7" s="1"/>
  <c r="I92" i="7"/>
  <c r="O92" i="7" s="1"/>
  <c r="J91" i="7"/>
  <c r="P91" i="7" s="1"/>
  <c r="I91" i="7"/>
  <c r="J90" i="7"/>
  <c r="P90" i="7" s="1"/>
  <c r="I90" i="7"/>
  <c r="O90" i="7" s="1"/>
  <c r="J89" i="7"/>
  <c r="P89" i="7" s="1"/>
  <c r="I89" i="7"/>
  <c r="J88" i="7"/>
  <c r="P88" i="7" s="1"/>
  <c r="I88" i="7"/>
  <c r="J87" i="7"/>
  <c r="P87" i="7" s="1"/>
  <c r="I87" i="7"/>
  <c r="O87" i="7" s="1"/>
  <c r="J86" i="7"/>
  <c r="P86" i="7" s="1"/>
  <c r="I86" i="7"/>
  <c r="O86" i="7" s="1"/>
  <c r="J85" i="7"/>
  <c r="P85" i="7" s="1"/>
  <c r="I85" i="7"/>
  <c r="J84" i="7"/>
  <c r="P84" i="7" s="1"/>
  <c r="I84" i="7"/>
  <c r="O84" i="7" s="1"/>
  <c r="J83" i="7"/>
  <c r="P83" i="7" s="1"/>
  <c r="I83" i="7"/>
  <c r="J82" i="7"/>
  <c r="P82" i="7" s="1"/>
  <c r="I82" i="7"/>
  <c r="J81" i="7"/>
  <c r="P81" i="7" s="1"/>
  <c r="I81" i="7"/>
  <c r="O81" i="7" s="1"/>
  <c r="J80" i="7"/>
  <c r="P80" i="7" s="1"/>
  <c r="I80" i="7"/>
  <c r="O80" i="7" s="1"/>
  <c r="J79" i="7"/>
  <c r="P79" i="7" s="1"/>
  <c r="I79" i="7"/>
  <c r="J78" i="7"/>
  <c r="P78" i="7" s="1"/>
  <c r="I78" i="7"/>
  <c r="O78" i="7" s="1"/>
  <c r="J77" i="7"/>
  <c r="P77" i="7" s="1"/>
  <c r="I77" i="7"/>
  <c r="J76" i="7"/>
  <c r="P76" i="7" s="1"/>
  <c r="I76" i="7"/>
  <c r="J75" i="7"/>
  <c r="P75" i="7" s="1"/>
  <c r="I75" i="7"/>
  <c r="O75" i="7" s="1"/>
  <c r="J74" i="7"/>
  <c r="P74" i="7" s="1"/>
  <c r="I74" i="7"/>
  <c r="O74" i="7" s="1"/>
  <c r="J73" i="7"/>
  <c r="P73" i="7" s="1"/>
  <c r="I73" i="7"/>
  <c r="J72" i="7"/>
  <c r="P72" i="7" s="1"/>
  <c r="I72" i="7"/>
  <c r="O72" i="7" s="1"/>
  <c r="J71" i="7"/>
  <c r="P71" i="7" s="1"/>
  <c r="I71" i="7"/>
  <c r="J70" i="7"/>
  <c r="P70" i="7" s="1"/>
  <c r="I70" i="7"/>
  <c r="J69" i="7"/>
  <c r="P69" i="7" s="1"/>
  <c r="I69" i="7"/>
  <c r="O69" i="7" s="1"/>
  <c r="J68" i="7"/>
  <c r="P68" i="7" s="1"/>
  <c r="I68" i="7"/>
  <c r="O68" i="7" s="1"/>
  <c r="J67" i="7"/>
  <c r="P67" i="7" s="1"/>
  <c r="I67" i="7"/>
  <c r="J66" i="7"/>
  <c r="P66" i="7" s="1"/>
  <c r="I66" i="7"/>
  <c r="O66" i="7" s="1"/>
  <c r="J65" i="7"/>
  <c r="P65" i="7" s="1"/>
  <c r="I65" i="7"/>
  <c r="J64" i="7"/>
  <c r="P64" i="7" s="1"/>
  <c r="I64" i="7"/>
  <c r="J63" i="7"/>
  <c r="P63" i="7" s="1"/>
  <c r="I63" i="7"/>
  <c r="J62" i="7"/>
  <c r="P62" i="7" s="1"/>
  <c r="I62" i="7"/>
  <c r="O62" i="7" s="1"/>
  <c r="J61" i="7"/>
  <c r="P61" i="7" s="1"/>
  <c r="I61" i="7"/>
  <c r="J60" i="7"/>
  <c r="P60" i="7" s="1"/>
  <c r="I60" i="7"/>
  <c r="O60" i="7" s="1"/>
  <c r="J59" i="7"/>
  <c r="P59" i="7" s="1"/>
  <c r="I59" i="7"/>
  <c r="J58" i="7"/>
  <c r="P58" i="7" s="1"/>
  <c r="I58" i="7"/>
  <c r="J57" i="7"/>
  <c r="P57" i="7" s="1"/>
  <c r="I57" i="7"/>
  <c r="O57" i="7" s="1"/>
  <c r="J56" i="7"/>
  <c r="P56" i="7" s="1"/>
  <c r="I56" i="7"/>
  <c r="O56" i="7" s="1"/>
  <c r="J55" i="7"/>
  <c r="P55" i="7" s="1"/>
  <c r="I55" i="7"/>
  <c r="J54" i="7"/>
  <c r="P54" i="7" s="1"/>
  <c r="I54" i="7"/>
  <c r="O54" i="7" s="1"/>
  <c r="J53" i="7"/>
  <c r="P53" i="7" s="1"/>
  <c r="I53" i="7"/>
  <c r="O53" i="7" s="1"/>
  <c r="J52" i="7"/>
  <c r="P52" i="7" s="1"/>
  <c r="I52" i="7"/>
  <c r="J51" i="7"/>
  <c r="P51" i="7" s="1"/>
  <c r="I51" i="7"/>
  <c r="O51" i="7" s="1"/>
  <c r="J50" i="7"/>
  <c r="P50" i="7" s="1"/>
  <c r="I50" i="7"/>
  <c r="O50" i="7" s="1"/>
  <c r="J49" i="7"/>
  <c r="P49" i="7" s="1"/>
  <c r="I49" i="7"/>
  <c r="J48" i="7"/>
  <c r="P48" i="7" s="1"/>
  <c r="I48" i="7"/>
  <c r="J47" i="7"/>
  <c r="P47" i="7" s="1"/>
  <c r="I47" i="7"/>
  <c r="O47" i="7" s="1"/>
  <c r="J46" i="7"/>
  <c r="P46" i="7" s="1"/>
  <c r="I46" i="7"/>
  <c r="J45" i="7"/>
  <c r="P45" i="7" s="1"/>
  <c r="I45" i="7"/>
  <c r="O45" i="7" s="1"/>
  <c r="J44" i="7"/>
  <c r="P44" i="7" s="1"/>
  <c r="I44" i="7"/>
  <c r="O44" i="7" s="1"/>
  <c r="J43" i="7"/>
  <c r="P43" i="7" s="1"/>
  <c r="I43" i="7"/>
  <c r="J42" i="7"/>
  <c r="P42" i="7" s="1"/>
  <c r="I42" i="7"/>
  <c r="O42" i="7" s="1"/>
  <c r="J41" i="7"/>
  <c r="P41" i="7" s="1"/>
  <c r="I41" i="7"/>
  <c r="J40" i="7"/>
  <c r="P40" i="7" s="1"/>
  <c r="I40" i="7"/>
  <c r="J39" i="7"/>
  <c r="P39" i="7" s="1"/>
  <c r="I39" i="7"/>
  <c r="O39" i="7" s="1"/>
  <c r="J38" i="7"/>
  <c r="P38" i="7" s="1"/>
  <c r="I38" i="7"/>
  <c r="O38" i="7" s="1"/>
  <c r="J37" i="7"/>
  <c r="P37" i="7" s="1"/>
  <c r="I37" i="7"/>
  <c r="J36" i="7"/>
  <c r="P36" i="7" s="1"/>
  <c r="I36" i="7"/>
  <c r="O36" i="7" s="1"/>
  <c r="J35" i="7"/>
  <c r="P35" i="7" s="1"/>
  <c r="I35" i="7"/>
  <c r="O35" i="7" s="1"/>
  <c r="J34" i="7"/>
  <c r="P34" i="7" s="1"/>
  <c r="I34" i="7"/>
  <c r="J33" i="7"/>
  <c r="P33" i="7" s="1"/>
  <c r="I33" i="7"/>
  <c r="O33" i="7" s="1"/>
  <c r="J32" i="7"/>
  <c r="P32" i="7" s="1"/>
  <c r="I32" i="7"/>
  <c r="O32" i="7" s="1"/>
  <c r="J31" i="7"/>
  <c r="P31" i="7" s="1"/>
  <c r="I31" i="7"/>
  <c r="O31" i="7" s="1"/>
  <c r="J30" i="7"/>
  <c r="P30" i="7" s="1"/>
  <c r="I30" i="7"/>
  <c r="O30" i="7" s="1"/>
  <c r="J29" i="7"/>
  <c r="P29" i="7" s="1"/>
  <c r="I29" i="7"/>
  <c r="O29" i="7" s="1"/>
  <c r="J28" i="7"/>
  <c r="P28" i="7" s="1"/>
  <c r="I28" i="7"/>
  <c r="J27" i="7"/>
  <c r="P27" i="7" s="1"/>
  <c r="I27" i="7"/>
  <c r="O27" i="7" s="1"/>
  <c r="J26" i="7"/>
  <c r="P26" i="7" s="1"/>
  <c r="I26" i="7"/>
  <c r="O26" i="7" s="1"/>
  <c r="J25" i="7"/>
  <c r="P25" i="7" s="1"/>
  <c r="I25" i="7"/>
  <c r="O25" i="7" s="1"/>
  <c r="J24" i="7"/>
  <c r="P24" i="7" s="1"/>
  <c r="I24" i="7"/>
  <c r="O24" i="7" s="1"/>
  <c r="J23" i="7"/>
  <c r="P23" i="7" s="1"/>
  <c r="I23" i="7"/>
  <c r="O23" i="7" s="1"/>
  <c r="J22" i="7"/>
  <c r="P22" i="7" s="1"/>
  <c r="I22" i="7"/>
  <c r="O22" i="7" s="1"/>
  <c r="J21" i="7"/>
  <c r="P21" i="7" s="1"/>
  <c r="I21" i="7"/>
  <c r="O21" i="7" s="1"/>
  <c r="J20" i="7"/>
  <c r="P20" i="7" s="1"/>
  <c r="I20" i="7"/>
  <c r="O20" i="7" s="1"/>
  <c r="J19" i="7"/>
  <c r="P19" i="7" s="1"/>
  <c r="I19" i="7"/>
  <c r="O19" i="7" s="1"/>
  <c r="J18" i="7"/>
  <c r="P18" i="7" s="1"/>
  <c r="I18" i="7"/>
  <c r="O18" i="7" s="1"/>
  <c r="J17" i="7"/>
  <c r="P17" i="7" s="1"/>
  <c r="I17" i="7"/>
  <c r="O17" i="7" s="1"/>
  <c r="J16" i="7"/>
  <c r="P16" i="7" s="1"/>
  <c r="I16" i="7"/>
  <c r="O16" i="7" s="1"/>
  <c r="J15" i="7"/>
  <c r="P15" i="7" s="1"/>
  <c r="I15" i="7"/>
  <c r="O15" i="7" s="1"/>
  <c r="J14" i="7"/>
  <c r="P14" i="7" s="1"/>
  <c r="I14" i="7"/>
  <c r="O14" i="7" s="1"/>
  <c r="J13" i="7"/>
  <c r="P13" i="7" s="1"/>
  <c r="I13" i="7"/>
  <c r="O13" i="7" s="1"/>
  <c r="J12" i="7"/>
  <c r="P12" i="7" s="1"/>
  <c r="I12" i="7"/>
  <c r="O12" i="7" s="1"/>
  <c r="J11" i="7"/>
  <c r="P11" i="7" s="1"/>
  <c r="I11" i="7"/>
  <c r="O11" i="7" s="1"/>
  <c r="J10" i="7"/>
  <c r="P10" i="7" s="1"/>
  <c r="I10" i="7"/>
  <c r="J9" i="7"/>
  <c r="P9" i="7" s="1"/>
  <c r="I9" i="7"/>
  <c r="O9" i="7" s="1"/>
  <c r="J8" i="7"/>
  <c r="P8" i="7" s="1"/>
  <c r="I8" i="7"/>
  <c r="O8" i="7" s="1"/>
  <c r="P7" i="7"/>
  <c r="J7" i="7"/>
  <c r="I7" i="7"/>
  <c r="O7" i="7" s="1"/>
  <c r="J6" i="7"/>
  <c r="P6" i="7" s="1"/>
  <c r="I6" i="7"/>
  <c r="O6" i="7" s="1"/>
  <c r="J5" i="7"/>
  <c r="P5" i="7" s="1"/>
  <c r="I5" i="7"/>
  <c r="O5" i="7" s="1"/>
  <c r="J4" i="7"/>
  <c r="P4" i="7" s="1"/>
  <c r="I4" i="7"/>
  <c r="N4" i="7" s="1"/>
  <c r="J3" i="7"/>
  <c r="P3" i="7" s="1"/>
  <c r="I3" i="7"/>
  <c r="O3" i="7" s="1"/>
  <c r="J2" i="7"/>
  <c r="P2" i="7" s="1"/>
  <c r="I2" i="7"/>
  <c r="N2" i="7" s="1"/>
  <c r="K302" i="6"/>
  <c r="J302" i="6"/>
  <c r="I302" i="6"/>
  <c r="K301" i="6"/>
  <c r="J301" i="6"/>
  <c r="I301" i="6"/>
  <c r="K300" i="6"/>
  <c r="J300" i="6"/>
  <c r="I300" i="6"/>
  <c r="K299" i="6"/>
  <c r="J299" i="6"/>
  <c r="I299" i="6"/>
  <c r="K298" i="6"/>
  <c r="J298" i="6"/>
  <c r="I298" i="6"/>
  <c r="K297" i="6"/>
  <c r="J297" i="6"/>
  <c r="I297" i="6"/>
  <c r="L297" i="6" s="1"/>
  <c r="K296" i="6"/>
  <c r="J296" i="6"/>
  <c r="I296" i="6"/>
  <c r="L296" i="6" s="1"/>
  <c r="K295" i="6"/>
  <c r="J295" i="6"/>
  <c r="I295" i="6"/>
  <c r="K294" i="6"/>
  <c r="J294" i="6"/>
  <c r="I294" i="6"/>
  <c r="K293" i="6"/>
  <c r="J293" i="6"/>
  <c r="I293" i="6"/>
  <c r="K292" i="6"/>
  <c r="J292" i="6"/>
  <c r="I292" i="6"/>
  <c r="L292" i="6" s="1"/>
  <c r="O292" i="6" s="1"/>
  <c r="K291" i="6"/>
  <c r="J291" i="6"/>
  <c r="I291" i="6"/>
  <c r="K290" i="6"/>
  <c r="J290" i="6"/>
  <c r="I290" i="6"/>
  <c r="K289" i="6"/>
  <c r="J289" i="6"/>
  <c r="I289" i="6"/>
  <c r="K288" i="6"/>
  <c r="J288" i="6"/>
  <c r="I288" i="6"/>
  <c r="K287" i="6"/>
  <c r="J287" i="6"/>
  <c r="I287" i="6"/>
  <c r="K286" i="6"/>
  <c r="J286" i="6"/>
  <c r="I286" i="6"/>
  <c r="K285" i="6"/>
  <c r="J285" i="6"/>
  <c r="I285" i="6"/>
  <c r="K284" i="6"/>
  <c r="J284" i="6"/>
  <c r="I284" i="6"/>
  <c r="K283" i="6"/>
  <c r="J283" i="6"/>
  <c r="I283" i="6"/>
  <c r="K282" i="6"/>
  <c r="J282" i="6"/>
  <c r="I282" i="6"/>
  <c r="K281" i="6"/>
  <c r="J281" i="6"/>
  <c r="I281" i="6"/>
  <c r="K280" i="6"/>
  <c r="J280" i="6"/>
  <c r="I280" i="6"/>
  <c r="L280" i="6" s="1"/>
  <c r="O280" i="6" s="1"/>
  <c r="K279" i="6"/>
  <c r="J279" i="6"/>
  <c r="I279" i="6"/>
  <c r="K278" i="6"/>
  <c r="J278" i="6"/>
  <c r="I278" i="6"/>
  <c r="K277" i="6"/>
  <c r="J277" i="6"/>
  <c r="I277" i="6"/>
  <c r="K276" i="6"/>
  <c r="J276" i="6"/>
  <c r="I276" i="6"/>
  <c r="L276" i="6" s="1"/>
  <c r="K275" i="6"/>
  <c r="J275" i="6"/>
  <c r="I275" i="6"/>
  <c r="K274" i="6"/>
  <c r="J274" i="6"/>
  <c r="I274" i="6"/>
  <c r="K273" i="6"/>
  <c r="J273" i="6"/>
  <c r="I273" i="6"/>
  <c r="L273" i="6" s="1"/>
  <c r="K272" i="6"/>
  <c r="J272" i="6"/>
  <c r="I272" i="6"/>
  <c r="K271" i="6"/>
  <c r="J271" i="6"/>
  <c r="I271" i="6"/>
  <c r="K270" i="6"/>
  <c r="J270" i="6"/>
  <c r="I270" i="6"/>
  <c r="K269" i="6"/>
  <c r="J269" i="6"/>
  <c r="I269" i="6"/>
  <c r="L269" i="6" s="1"/>
  <c r="K268" i="6"/>
  <c r="J268" i="6"/>
  <c r="I268" i="6"/>
  <c r="L268" i="6" s="1"/>
  <c r="O268" i="6" s="1"/>
  <c r="K267" i="6"/>
  <c r="J267" i="6"/>
  <c r="I267" i="6"/>
  <c r="K266" i="6"/>
  <c r="J266" i="6"/>
  <c r="I266" i="6"/>
  <c r="K265" i="6"/>
  <c r="J265" i="6"/>
  <c r="I265" i="6"/>
  <c r="L265" i="6" s="1"/>
  <c r="K264" i="6"/>
  <c r="J264" i="6"/>
  <c r="I264" i="6"/>
  <c r="K263" i="6"/>
  <c r="J263" i="6"/>
  <c r="I263" i="6"/>
  <c r="K262" i="6"/>
  <c r="J262" i="6"/>
  <c r="I262" i="6"/>
  <c r="K261" i="6"/>
  <c r="J261" i="6"/>
  <c r="I261" i="6"/>
  <c r="K260" i="6"/>
  <c r="J260" i="6"/>
  <c r="I260" i="6"/>
  <c r="L260" i="6" s="1"/>
  <c r="K259" i="6"/>
  <c r="J259" i="6"/>
  <c r="I259" i="6"/>
  <c r="K258" i="6"/>
  <c r="J258" i="6"/>
  <c r="I258" i="6"/>
  <c r="K257" i="6"/>
  <c r="J257" i="6"/>
  <c r="I257" i="6"/>
  <c r="K256" i="6"/>
  <c r="J256" i="6"/>
  <c r="I256" i="6"/>
  <c r="L256" i="6" s="1"/>
  <c r="O256" i="6" s="1"/>
  <c r="K255" i="6"/>
  <c r="J255" i="6"/>
  <c r="I255" i="6"/>
  <c r="K254" i="6"/>
  <c r="J254" i="6"/>
  <c r="I254" i="6"/>
  <c r="K253" i="6"/>
  <c r="J253" i="6"/>
  <c r="I253" i="6"/>
  <c r="K252" i="6"/>
  <c r="J252" i="6"/>
  <c r="I252" i="6"/>
  <c r="L252" i="6" s="1"/>
  <c r="K251" i="6"/>
  <c r="J251" i="6"/>
  <c r="I251" i="6"/>
  <c r="K250" i="6"/>
  <c r="J250" i="6"/>
  <c r="I250" i="6"/>
  <c r="K249" i="6"/>
  <c r="J249" i="6"/>
  <c r="I249" i="6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L244" i="6" s="1"/>
  <c r="O244" i="6" s="1"/>
  <c r="K243" i="6"/>
  <c r="J243" i="6"/>
  <c r="I243" i="6"/>
  <c r="K242" i="6"/>
  <c r="J242" i="6"/>
  <c r="I242" i="6"/>
  <c r="K241" i="6"/>
  <c r="J241" i="6"/>
  <c r="I241" i="6"/>
  <c r="K240" i="6"/>
  <c r="J240" i="6"/>
  <c r="I240" i="6"/>
  <c r="K239" i="6"/>
  <c r="J239" i="6"/>
  <c r="I239" i="6"/>
  <c r="K238" i="6"/>
  <c r="J238" i="6"/>
  <c r="I238" i="6"/>
  <c r="K237" i="6"/>
  <c r="J237" i="6"/>
  <c r="I237" i="6"/>
  <c r="K236" i="6"/>
  <c r="J236" i="6"/>
  <c r="I236" i="6"/>
  <c r="K235" i="6"/>
  <c r="J235" i="6"/>
  <c r="I235" i="6"/>
  <c r="K234" i="6"/>
  <c r="J234" i="6"/>
  <c r="I234" i="6"/>
  <c r="K233" i="6"/>
  <c r="J233" i="6"/>
  <c r="I233" i="6"/>
  <c r="K232" i="6"/>
  <c r="J232" i="6"/>
  <c r="I232" i="6"/>
  <c r="L232" i="6" s="1"/>
  <c r="O232" i="6" s="1"/>
  <c r="K231" i="6"/>
  <c r="J231" i="6"/>
  <c r="I231" i="6"/>
  <c r="K230" i="6"/>
  <c r="J230" i="6"/>
  <c r="I230" i="6"/>
  <c r="K229" i="6"/>
  <c r="J229" i="6"/>
  <c r="I229" i="6"/>
  <c r="K228" i="6"/>
  <c r="J228" i="6"/>
  <c r="I228" i="6"/>
  <c r="K227" i="6"/>
  <c r="J227" i="6"/>
  <c r="I227" i="6"/>
  <c r="K226" i="6"/>
  <c r="J226" i="6"/>
  <c r="I226" i="6"/>
  <c r="K225" i="6"/>
  <c r="J225" i="6"/>
  <c r="I225" i="6"/>
  <c r="K224" i="6"/>
  <c r="J224" i="6"/>
  <c r="I224" i="6"/>
  <c r="L224" i="6" s="1"/>
  <c r="O224" i="6" s="1"/>
  <c r="K223" i="6"/>
  <c r="J223" i="6"/>
  <c r="I223" i="6"/>
  <c r="K222" i="6"/>
  <c r="J222" i="6"/>
  <c r="I222" i="6"/>
  <c r="K221" i="6"/>
  <c r="J221" i="6"/>
  <c r="I221" i="6"/>
  <c r="K220" i="6"/>
  <c r="J220" i="6"/>
  <c r="I220" i="6"/>
  <c r="L220" i="6" s="1"/>
  <c r="O220" i="6" s="1"/>
  <c r="K219" i="6"/>
  <c r="J219" i="6"/>
  <c r="I219" i="6"/>
  <c r="K218" i="6"/>
  <c r="J218" i="6"/>
  <c r="I218" i="6"/>
  <c r="K217" i="6"/>
  <c r="J217" i="6"/>
  <c r="I217" i="6"/>
  <c r="K216" i="6"/>
  <c r="J216" i="6"/>
  <c r="I216" i="6"/>
  <c r="K215" i="6"/>
  <c r="J215" i="6"/>
  <c r="I215" i="6"/>
  <c r="K214" i="6"/>
  <c r="J214" i="6"/>
  <c r="I214" i="6"/>
  <c r="K213" i="6"/>
  <c r="J213" i="6"/>
  <c r="I213" i="6"/>
  <c r="K212" i="6"/>
  <c r="J212" i="6"/>
  <c r="I212" i="6"/>
  <c r="K211" i="6"/>
  <c r="J211" i="6"/>
  <c r="I211" i="6"/>
  <c r="K210" i="6"/>
  <c r="J210" i="6"/>
  <c r="I210" i="6"/>
  <c r="K209" i="6"/>
  <c r="J209" i="6"/>
  <c r="I209" i="6"/>
  <c r="K208" i="6"/>
  <c r="J208" i="6"/>
  <c r="I208" i="6"/>
  <c r="K207" i="6"/>
  <c r="J207" i="6"/>
  <c r="I207" i="6"/>
  <c r="K206" i="6"/>
  <c r="J206" i="6"/>
  <c r="I206" i="6"/>
  <c r="K205" i="6"/>
  <c r="J205" i="6"/>
  <c r="I205" i="6"/>
  <c r="K204" i="6"/>
  <c r="J204" i="6"/>
  <c r="I204" i="6"/>
  <c r="K203" i="6"/>
  <c r="J203" i="6"/>
  <c r="I203" i="6"/>
  <c r="K202" i="6"/>
  <c r="J202" i="6"/>
  <c r="I202" i="6"/>
  <c r="K201" i="6"/>
  <c r="J201" i="6"/>
  <c r="I201" i="6"/>
  <c r="K200" i="6"/>
  <c r="J200" i="6"/>
  <c r="I200" i="6"/>
  <c r="K199" i="6"/>
  <c r="J199" i="6"/>
  <c r="I199" i="6"/>
  <c r="K198" i="6"/>
  <c r="J198" i="6"/>
  <c r="I198" i="6"/>
  <c r="K197" i="6"/>
  <c r="J197" i="6"/>
  <c r="I197" i="6"/>
  <c r="K196" i="6"/>
  <c r="J196" i="6"/>
  <c r="I196" i="6"/>
  <c r="L196" i="6" s="1"/>
  <c r="O196" i="6" s="1"/>
  <c r="K195" i="6"/>
  <c r="J195" i="6"/>
  <c r="I195" i="6"/>
  <c r="K194" i="6"/>
  <c r="J194" i="6"/>
  <c r="I194" i="6"/>
  <c r="K193" i="6"/>
  <c r="J193" i="6"/>
  <c r="I193" i="6"/>
  <c r="K192" i="6"/>
  <c r="J192" i="6"/>
  <c r="I192" i="6"/>
  <c r="K191" i="6"/>
  <c r="J191" i="6"/>
  <c r="I191" i="6"/>
  <c r="K190" i="6"/>
  <c r="J190" i="6"/>
  <c r="I190" i="6"/>
  <c r="K189" i="6"/>
  <c r="J189" i="6"/>
  <c r="I189" i="6"/>
  <c r="K188" i="6"/>
  <c r="J188" i="6"/>
  <c r="I188" i="6"/>
  <c r="K187" i="6"/>
  <c r="J187" i="6"/>
  <c r="I187" i="6"/>
  <c r="K186" i="6"/>
  <c r="J186" i="6"/>
  <c r="I186" i="6"/>
  <c r="K185" i="6"/>
  <c r="J185" i="6"/>
  <c r="I185" i="6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I179" i="6"/>
  <c r="K178" i="6"/>
  <c r="J178" i="6"/>
  <c r="I178" i="6"/>
  <c r="K177" i="6"/>
  <c r="J177" i="6"/>
  <c r="I177" i="6"/>
  <c r="K176" i="6"/>
  <c r="J176" i="6"/>
  <c r="I176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K171" i="6"/>
  <c r="J171" i="6"/>
  <c r="I171" i="6"/>
  <c r="K170" i="6"/>
  <c r="J170" i="6"/>
  <c r="I170" i="6"/>
  <c r="K169" i="6"/>
  <c r="J169" i="6"/>
  <c r="I169" i="6"/>
  <c r="K168" i="6"/>
  <c r="J168" i="6"/>
  <c r="I168" i="6"/>
  <c r="K167" i="6"/>
  <c r="J167" i="6"/>
  <c r="I167" i="6"/>
  <c r="K166" i="6"/>
  <c r="J166" i="6"/>
  <c r="I166" i="6"/>
  <c r="K165" i="6"/>
  <c r="J165" i="6"/>
  <c r="I165" i="6"/>
  <c r="K164" i="6"/>
  <c r="J164" i="6"/>
  <c r="I164" i="6"/>
  <c r="K163" i="6"/>
  <c r="J163" i="6"/>
  <c r="I163" i="6"/>
  <c r="K162" i="6"/>
  <c r="J162" i="6"/>
  <c r="I162" i="6"/>
  <c r="K161" i="6"/>
  <c r="J161" i="6"/>
  <c r="I161" i="6"/>
  <c r="K160" i="6"/>
  <c r="J160" i="6"/>
  <c r="I160" i="6"/>
  <c r="K159" i="6"/>
  <c r="J159" i="6"/>
  <c r="I159" i="6"/>
  <c r="K158" i="6"/>
  <c r="J158" i="6"/>
  <c r="I158" i="6"/>
  <c r="K157" i="6"/>
  <c r="J157" i="6"/>
  <c r="I157" i="6"/>
  <c r="K156" i="6"/>
  <c r="J156" i="6"/>
  <c r="I156" i="6"/>
  <c r="K155" i="6"/>
  <c r="J155" i="6"/>
  <c r="I155" i="6"/>
  <c r="K154" i="6"/>
  <c r="J154" i="6"/>
  <c r="I154" i="6"/>
  <c r="K153" i="6"/>
  <c r="J153" i="6"/>
  <c r="I153" i="6"/>
  <c r="K152" i="6"/>
  <c r="J152" i="6"/>
  <c r="I152" i="6"/>
  <c r="K151" i="6"/>
  <c r="J151" i="6"/>
  <c r="I151" i="6"/>
  <c r="K150" i="6"/>
  <c r="J150" i="6"/>
  <c r="I150" i="6"/>
  <c r="K149" i="6"/>
  <c r="J149" i="6"/>
  <c r="I149" i="6"/>
  <c r="K148" i="6"/>
  <c r="J148" i="6"/>
  <c r="I148" i="6"/>
  <c r="K147" i="6"/>
  <c r="J147" i="6"/>
  <c r="I147" i="6"/>
  <c r="K146" i="6"/>
  <c r="J146" i="6"/>
  <c r="I146" i="6"/>
  <c r="K145" i="6"/>
  <c r="J145" i="6"/>
  <c r="I145" i="6"/>
  <c r="K144" i="6"/>
  <c r="J144" i="6"/>
  <c r="I144" i="6"/>
  <c r="K143" i="6"/>
  <c r="J143" i="6"/>
  <c r="I143" i="6"/>
  <c r="K142" i="6"/>
  <c r="J142" i="6"/>
  <c r="I142" i="6"/>
  <c r="K141" i="6"/>
  <c r="J141" i="6"/>
  <c r="I141" i="6"/>
  <c r="K140" i="6"/>
  <c r="J140" i="6"/>
  <c r="I140" i="6"/>
  <c r="K139" i="6"/>
  <c r="J139" i="6"/>
  <c r="I139" i="6"/>
  <c r="K138" i="6"/>
  <c r="J138" i="6"/>
  <c r="I138" i="6"/>
  <c r="K137" i="6"/>
  <c r="J137" i="6"/>
  <c r="I137" i="6"/>
  <c r="K136" i="6"/>
  <c r="J136" i="6"/>
  <c r="I136" i="6"/>
  <c r="L136" i="6" s="1"/>
  <c r="O136" i="6" s="1"/>
  <c r="K135" i="6"/>
  <c r="J135" i="6"/>
  <c r="I135" i="6"/>
  <c r="K134" i="6"/>
  <c r="J134" i="6"/>
  <c r="I134" i="6"/>
  <c r="K133" i="6"/>
  <c r="J133" i="6"/>
  <c r="I133" i="6"/>
  <c r="K132" i="6"/>
  <c r="J132" i="6"/>
  <c r="I132" i="6"/>
  <c r="L132" i="6" s="1"/>
  <c r="K131" i="6"/>
  <c r="J131" i="6"/>
  <c r="I131" i="6"/>
  <c r="K130" i="6"/>
  <c r="J130" i="6"/>
  <c r="I130" i="6"/>
  <c r="K129" i="6"/>
  <c r="J129" i="6"/>
  <c r="I129" i="6"/>
  <c r="K128" i="6"/>
  <c r="J128" i="6"/>
  <c r="I128" i="6"/>
  <c r="L128" i="6" s="1"/>
  <c r="K127" i="6"/>
  <c r="J127" i="6"/>
  <c r="I127" i="6"/>
  <c r="K126" i="6"/>
  <c r="J126" i="6"/>
  <c r="I126" i="6"/>
  <c r="K125" i="6"/>
  <c r="J125" i="6"/>
  <c r="I125" i="6"/>
  <c r="K124" i="6"/>
  <c r="J124" i="6"/>
  <c r="I124" i="6"/>
  <c r="L124" i="6" s="1"/>
  <c r="O124" i="6" s="1"/>
  <c r="K123" i="6"/>
  <c r="J123" i="6"/>
  <c r="I123" i="6"/>
  <c r="K122" i="6"/>
  <c r="J122" i="6"/>
  <c r="I122" i="6"/>
  <c r="K121" i="6"/>
  <c r="J121" i="6"/>
  <c r="I121" i="6"/>
  <c r="K120" i="6"/>
  <c r="J120" i="6"/>
  <c r="I120" i="6"/>
  <c r="L120" i="6" s="1"/>
  <c r="K119" i="6"/>
  <c r="J119" i="6"/>
  <c r="I119" i="6"/>
  <c r="K118" i="6"/>
  <c r="J118" i="6"/>
  <c r="I118" i="6"/>
  <c r="K117" i="6"/>
  <c r="J117" i="6"/>
  <c r="I117" i="6"/>
  <c r="K116" i="6"/>
  <c r="J116" i="6"/>
  <c r="I116" i="6"/>
  <c r="L116" i="6" s="1"/>
  <c r="K115" i="6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L108" i="6" s="1"/>
  <c r="O108" i="6" s="1"/>
  <c r="K107" i="6"/>
  <c r="J107" i="6"/>
  <c r="I107" i="6"/>
  <c r="K106" i="6"/>
  <c r="J106" i="6"/>
  <c r="I106" i="6"/>
  <c r="K105" i="6"/>
  <c r="J105" i="6"/>
  <c r="I105" i="6"/>
  <c r="K104" i="6"/>
  <c r="J104" i="6"/>
  <c r="I104" i="6"/>
  <c r="K103" i="6"/>
  <c r="J103" i="6"/>
  <c r="I103" i="6"/>
  <c r="K102" i="6"/>
  <c r="J102" i="6"/>
  <c r="I102" i="6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8" i="6"/>
  <c r="J88" i="6"/>
  <c r="I88" i="6"/>
  <c r="K87" i="6"/>
  <c r="J87" i="6"/>
  <c r="I87" i="6"/>
  <c r="K86" i="6"/>
  <c r="J86" i="6"/>
  <c r="I86" i="6"/>
  <c r="K85" i="6"/>
  <c r="J85" i="6"/>
  <c r="I85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L76" i="6" s="1"/>
  <c r="O76" i="6" s="1"/>
  <c r="K75" i="6"/>
  <c r="J75" i="6"/>
  <c r="I75" i="6"/>
  <c r="K74" i="6"/>
  <c r="J74" i="6"/>
  <c r="I74" i="6"/>
  <c r="K73" i="6"/>
  <c r="J73" i="6"/>
  <c r="I73" i="6"/>
  <c r="K72" i="6"/>
  <c r="J72" i="6"/>
  <c r="I72" i="6"/>
  <c r="L72" i="6" s="1"/>
  <c r="O72" i="6" s="1"/>
  <c r="K71" i="6"/>
  <c r="J71" i="6"/>
  <c r="I71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5" i="6"/>
  <c r="J65" i="6"/>
  <c r="I65" i="6"/>
  <c r="K64" i="6"/>
  <c r="J64" i="6"/>
  <c r="I64" i="6"/>
  <c r="L64" i="6" s="1"/>
  <c r="O64" i="6" s="1"/>
  <c r="K63" i="6"/>
  <c r="J63" i="6"/>
  <c r="I63" i="6"/>
  <c r="K62" i="6"/>
  <c r="J62" i="6"/>
  <c r="I62" i="6"/>
  <c r="K61" i="6"/>
  <c r="J61" i="6"/>
  <c r="I61" i="6"/>
  <c r="K60" i="6"/>
  <c r="J60" i="6"/>
  <c r="I60" i="6"/>
  <c r="L60" i="6" s="1"/>
  <c r="K59" i="6"/>
  <c r="J59" i="6"/>
  <c r="I59" i="6"/>
  <c r="K58" i="6"/>
  <c r="J58" i="6"/>
  <c r="I58" i="6"/>
  <c r="K57" i="6"/>
  <c r="J57" i="6"/>
  <c r="I57" i="6"/>
  <c r="K56" i="6"/>
  <c r="J56" i="6"/>
  <c r="I56" i="6"/>
  <c r="L56" i="6" s="1"/>
  <c r="K55" i="6"/>
  <c r="J55" i="6"/>
  <c r="I55" i="6"/>
  <c r="K54" i="6"/>
  <c r="J54" i="6"/>
  <c r="I54" i="6"/>
  <c r="K53" i="6"/>
  <c r="J53" i="6"/>
  <c r="I53" i="6"/>
  <c r="K52" i="6"/>
  <c r="J52" i="6"/>
  <c r="I52" i="6"/>
  <c r="L52" i="6" s="1"/>
  <c r="K51" i="6"/>
  <c r="J51" i="6"/>
  <c r="I51" i="6"/>
  <c r="K50" i="6"/>
  <c r="J50" i="6"/>
  <c r="I50" i="6"/>
  <c r="K49" i="6"/>
  <c r="J49" i="6"/>
  <c r="I49" i="6"/>
  <c r="K48" i="6"/>
  <c r="J48" i="6"/>
  <c r="I48" i="6"/>
  <c r="L48" i="6" s="1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K42" i="6"/>
  <c r="J42" i="6"/>
  <c r="I42" i="6"/>
  <c r="K41" i="6"/>
  <c r="J41" i="6"/>
  <c r="I41" i="6"/>
  <c r="K40" i="6"/>
  <c r="J40" i="6"/>
  <c r="I40" i="6"/>
  <c r="L40" i="6" s="1"/>
  <c r="O40" i="6" s="1"/>
  <c r="K39" i="6"/>
  <c r="J39" i="6"/>
  <c r="I39" i="6"/>
  <c r="K38" i="6"/>
  <c r="J38" i="6"/>
  <c r="I38" i="6"/>
  <c r="K37" i="6"/>
  <c r="J37" i="6"/>
  <c r="I37" i="6"/>
  <c r="K36" i="6"/>
  <c r="J36" i="6"/>
  <c r="I36" i="6"/>
  <c r="K35" i="6"/>
  <c r="J35" i="6"/>
  <c r="I35" i="6"/>
  <c r="K34" i="6"/>
  <c r="J34" i="6"/>
  <c r="I34" i="6"/>
  <c r="K33" i="6"/>
  <c r="J33" i="6"/>
  <c r="I33" i="6"/>
  <c r="K32" i="6"/>
  <c r="J32" i="6"/>
  <c r="I32" i="6"/>
  <c r="K31" i="6"/>
  <c r="J31" i="6"/>
  <c r="I31" i="6"/>
  <c r="K30" i="6"/>
  <c r="J30" i="6"/>
  <c r="I30" i="6"/>
  <c r="K29" i="6"/>
  <c r="J29" i="6"/>
  <c r="I29" i="6"/>
  <c r="K28" i="6"/>
  <c r="J28" i="6"/>
  <c r="I28" i="6"/>
  <c r="K27" i="6"/>
  <c r="J27" i="6"/>
  <c r="I27" i="6"/>
  <c r="K26" i="6"/>
  <c r="J26" i="6"/>
  <c r="I26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7" i="6"/>
  <c r="J17" i="6"/>
  <c r="I17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T7" i="6"/>
  <c r="K7" i="6"/>
  <c r="J7" i="6"/>
  <c r="I7" i="6"/>
  <c r="K6" i="6"/>
  <c r="J6" i="6"/>
  <c r="I6" i="6"/>
  <c r="K5" i="6"/>
  <c r="J5" i="6"/>
  <c r="I5" i="6"/>
  <c r="K4" i="6"/>
  <c r="J4" i="6"/>
  <c r="I4" i="6"/>
  <c r="L4" i="6" s="1"/>
  <c r="K3" i="6"/>
  <c r="J3" i="6"/>
  <c r="I3" i="6"/>
  <c r="K2" i="6"/>
  <c r="J2" i="6"/>
  <c r="I2" i="6"/>
  <c r="N10" i="7" l="1"/>
  <c r="N28" i="7"/>
  <c r="N34" i="7"/>
  <c r="L189" i="6"/>
  <c r="L193" i="6"/>
  <c r="L197" i="6"/>
  <c r="L233" i="6"/>
  <c r="L237" i="6"/>
  <c r="L249" i="6"/>
  <c r="O249" i="6" s="1"/>
  <c r="L285" i="6"/>
  <c r="O285" i="6" s="1"/>
  <c r="L7" i="6"/>
  <c r="N41" i="7"/>
  <c r="Q41" i="7" s="1"/>
  <c r="N63" i="7"/>
  <c r="L155" i="6"/>
  <c r="O155" i="6" s="1"/>
  <c r="L167" i="6"/>
  <c r="O167" i="6" s="1"/>
  <c r="L171" i="6"/>
  <c r="O171" i="6" s="1"/>
  <c r="L179" i="6"/>
  <c r="O179" i="6" s="1"/>
  <c r="L183" i="6"/>
  <c r="L195" i="6"/>
  <c r="O195" i="6" s="1"/>
  <c r="L223" i="6"/>
  <c r="L227" i="6"/>
  <c r="O227" i="6" s="1"/>
  <c r="L6" i="6"/>
  <c r="L73" i="6"/>
  <c r="L121" i="6"/>
  <c r="O121" i="6" s="1"/>
  <c r="L125" i="6"/>
  <c r="N114" i="7"/>
  <c r="N37" i="7"/>
  <c r="N43" i="7"/>
  <c r="N168" i="7"/>
  <c r="N48" i="7"/>
  <c r="N83" i="7"/>
  <c r="N89" i="7"/>
  <c r="Q89" i="7" s="1"/>
  <c r="N152" i="7"/>
  <c r="Q152" i="7" s="1"/>
  <c r="N96" i="7"/>
  <c r="N156" i="7"/>
  <c r="N123" i="7"/>
  <c r="L11" i="6"/>
  <c r="L23" i="6"/>
  <c r="L27" i="6"/>
  <c r="O27" i="6" s="1"/>
  <c r="L31" i="6"/>
  <c r="O31" i="6" s="1"/>
  <c r="L35" i="6"/>
  <c r="O35" i="6" s="1"/>
  <c r="L43" i="6"/>
  <c r="L63" i="6"/>
  <c r="O63" i="6" s="1"/>
  <c r="L67" i="6"/>
  <c r="O67" i="6" s="1"/>
  <c r="L71" i="6"/>
  <c r="O71" i="6" s="1"/>
  <c r="L75" i="6"/>
  <c r="O75" i="6" s="1"/>
  <c r="L83" i="6"/>
  <c r="O83" i="6" s="1"/>
  <c r="L87" i="6"/>
  <c r="O87" i="6" s="1"/>
  <c r="L91" i="6"/>
  <c r="L95" i="6"/>
  <c r="O95" i="6" s="1"/>
  <c r="L119" i="6"/>
  <c r="O119" i="6" s="1"/>
  <c r="L282" i="6"/>
  <c r="O282" i="6" s="1"/>
  <c r="L243" i="6"/>
  <c r="O243" i="6" s="1"/>
  <c r="L275" i="6"/>
  <c r="O275" i="6" s="1"/>
  <c r="L215" i="6"/>
  <c r="O215" i="6" s="1"/>
  <c r="L13" i="6"/>
  <c r="O13" i="6" s="1"/>
  <c r="L138" i="6"/>
  <c r="O138" i="6" s="1"/>
  <c r="L146" i="6"/>
  <c r="O146" i="6" s="1"/>
  <c r="L154" i="6"/>
  <c r="L158" i="6"/>
  <c r="O158" i="6" s="1"/>
  <c r="L206" i="6"/>
  <c r="L222" i="6"/>
  <c r="L230" i="6"/>
  <c r="O230" i="6" s="1"/>
  <c r="L141" i="6"/>
  <c r="O141" i="6" s="1"/>
  <c r="L149" i="6"/>
  <c r="O149" i="6" s="1"/>
  <c r="L188" i="6"/>
  <c r="O188" i="6" s="1"/>
  <c r="L200" i="6"/>
  <c r="O200" i="6" s="1"/>
  <c r="L251" i="6"/>
  <c r="O251" i="6" s="1"/>
  <c r="L255" i="6"/>
  <c r="O255" i="6" s="1"/>
  <c r="L259" i="6"/>
  <c r="O259" i="6" s="1"/>
  <c r="L263" i="6"/>
  <c r="O263" i="6" s="1"/>
  <c r="L279" i="6"/>
  <c r="O279" i="6" s="1"/>
  <c r="L287" i="6"/>
  <c r="O287" i="6" s="1"/>
  <c r="L291" i="6"/>
  <c r="O291" i="6" s="1"/>
  <c r="L295" i="6"/>
  <c r="L10" i="6"/>
  <c r="O10" i="6" s="1"/>
  <c r="L14" i="6"/>
  <c r="O14" i="6" s="1"/>
  <c r="L22" i="6"/>
  <c r="O22" i="6" s="1"/>
  <c r="L26" i="6"/>
  <c r="O26" i="6" s="1"/>
  <c r="L34" i="6"/>
  <c r="O34" i="6" s="1"/>
  <c r="L38" i="6"/>
  <c r="O38" i="6" s="1"/>
  <c r="L46" i="6"/>
  <c r="O46" i="6" s="1"/>
  <c r="L50" i="6"/>
  <c r="O50" i="6" s="1"/>
  <c r="L58" i="6"/>
  <c r="L66" i="6"/>
  <c r="O66" i="6" s="1"/>
  <c r="L70" i="6"/>
  <c r="L74" i="6"/>
  <c r="O74" i="6" s="1"/>
  <c r="L82" i="6"/>
  <c r="O82" i="6" s="1"/>
  <c r="L86" i="6"/>
  <c r="O86" i="6" s="1"/>
  <c r="L94" i="6"/>
  <c r="O94" i="6" s="1"/>
  <c r="L102" i="6"/>
  <c r="O102" i="6" s="1"/>
  <c r="L122" i="6"/>
  <c r="O122" i="6" s="1"/>
  <c r="L165" i="6"/>
  <c r="O165" i="6" s="1"/>
  <c r="L177" i="6"/>
  <c r="O177" i="6" s="1"/>
  <c r="L239" i="6"/>
  <c r="O239" i="6" s="1"/>
  <c r="L299" i="6"/>
  <c r="O299" i="6" s="1"/>
  <c r="L51" i="6"/>
  <c r="O51" i="6" s="1"/>
  <c r="L59" i="6"/>
  <c r="O59" i="6" s="1"/>
  <c r="L127" i="6"/>
  <c r="L131" i="6"/>
  <c r="O131" i="6" s="1"/>
  <c r="L186" i="6"/>
  <c r="O186" i="6" s="1"/>
  <c r="L190" i="6"/>
  <c r="O190" i="6" s="1"/>
  <c r="L221" i="6"/>
  <c r="O221" i="6" s="1"/>
  <c r="L264" i="6"/>
  <c r="O264" i="6" s="1"/>
  <c r="L229" i="6"/>
  <c r="O229" i="6" s="1"/>
  <c r="L253" i="6"/>
  <c r="O253" i="6" s="1"/>
  <c r="L96" i="6"/>
  <c r="O96" i="6" s="1"/>
  <c r="L163" i="6"/>
  <c r="O163" i="6" s="1"/>
  <c r="L47" i="6"/>
  <c r="O47" i="6" s="1"/>
  <c r="L5" i="6"/>
  <c r="O5" i="6" s="1"/>
  <c r="L152" i="6"/>
  <c r="O152" i="6" s="1"/>
  <c r="L159" i="6"/>
  <c r="O159" i="6" s="1"/>
  <c r="L191" i="6"/>
  <c r="O191" i="6" s="1"/>
  <c r="L199" i="6"/>
  <c r="L203" i="6"/>
  <c r="O203" i="6" s="1"/>
  <c r="L207" i="6"/>
  <c r="O207" i="6" s="1"/>
  <c r="L226" i="6"/>
  <c r="O226" i="6" s="1"/>
  <c r="L238" i="6"/>
  <c r="O238" i="6" s="1"/>
  <c r="L242" i="6"/>
  <c r="O242" i="6" s="1"/>
  <c r="L258" i="6"/>
  <c r="O258" i="6" s="1"/>
  <c r="L262" i="6"/>
  <c r="O262" i="6" s="1"/>
  <c r="L266" i="6"/>
  <c r="O266" i="6" s="1"/>
  <c r="L274" i="6"/>
  <c r="O274" i="6" s="1"/>
  <c r="L294" i="6"/>
  <c r="O294" i="6" s="1"/>
  <c r="L162" i="6"/>
  <c r="L9" i="6"/>
  <c r="L45" i="6"/>
  <c r="O45" i="6" s="1"/>
  <c r="L53" i="6"/>
  <c r="O53" i="6" s="1"/>
  <c r="L57" i="6"/>
  <c r="O57" i="6" s="1"/>
  <c r="L61" i="6"/>
  <c r="L65" i="6"/>
  <c r="O65" i="6" s="1"/>
  <c r="L97" i="6"/>
  <c r="L101" i="6"/>
  <c r="O101" i="6" s="1"/>
  <c r="L105" i="6"/>
  <c r="O105" i="6" s="1"/>
  <c r="L113" i="6"/>
  <c r="O113" i="6" s="1"/>
  <c r="L140" i="6"/>
  <c r="L160" i="6"/>
  <c r="O160" i="6" s="1"/>
  <c r="L164" i="6"/>
  <c r="L168" i="6"/>
  <c r="O168" i="6" s="1"/>
  <c r="L172" i="6"/>
  <c r="O172" i="6" s="1"/>
  <c r="L286" i="6"/>
  <c r="O286" i="6" s="1"/>
  <c r="L298" i="6"/>
  <c r="O298" i="6" s="1"/>
  <c r="L302" i="6"/>
  <c r="M302" i="6" s="1"/>
  <c r="N302" i="6" s="1"/>
  <c r="N22" i="7"/>
  <c r="Q22" i="7" s="1"/>
  <c r="N162" i="7"/>
  <c r="O96" i="7"/>
  <c r="P156" i="7"/>
  <c r="N167" i="7"/>
  <c r="Q167" i="7" s="1"/>
  <c r="N19" i="7"/>
  <c r="Q19" i="7" s="1"/>
  <c r="N93" i="7"/>
  <c r="Q93" i="7" s="1"/>
  <c r="N179" i="7"/>
  <c r="Q179" i="7" s="1"/>
  <c r="N149" i="7"/>
  <c r="Q149" i="7" s="1"/>
  <c r="N196" i="7"/>
  <c r="O89" i="7"/>
  <c r="O10" i="7"/>
  <c r="Q10" i="7" s="1"/>
  <c r="N59" i="7"/>
  <c r="N65" i="7"/>
  <c r="O114" i="7"/>
  <c r="Q114" i="7" s="1"/>
  <c r="N191" i="7"/>
  <c r="Q191" i="7" s="1"/>
  <c r="N7" i="7"/>
  <c r="Q7" i="7" s="1"/>
  <c r="O2" i="7"/>
  <c r="N71" i="7"/>
  <c r="N81" i="7"/>
  <c r="Q81" i="7" s="1"/>
  <c r="N40" i="7"/>
  <c r="N170" i="7"/>
  <c r="Q170" i="7" s="1"/>
  <c r="P196" i="7"/>
  <c r="N75" i="7"/>
  <c r="Q75" i="7" s="1"/>
  <c r="N150" i="7"/>
  <c r="Q150" i="7" s="1"/>
  <c r="O4" i="7"/>
  <c r="Q4" i="7" s="1"/>
  <c r="N16" i="7"/>
  <c r="Q16" i="7" s="1"/>
  <c r="O28" i="7"/>
  <c r="Q28" i="7" s="1"/>
  <c r="O41" i="7"/>
  <c r="O59" i="7"/>
  <c r="O63" i="7"/>
  <c r="Q63" i="7" s="1"/>
  <c r="O71" i="7"/>
  <c r="O83" i="7"/>
  <c r="Q83" i="7" s="1"/>
  <c r="N87" i="7"/>
  <c r="Q87" i="7" s="1"/>
  <c r="O123" i="7"/>
  <c r="N132" i="7"/>
  <c r="Q132" i="7" s="1"/>
  <c r="N136" i="7"/>
  <c r="Q136" i="7" s="1"/>
  <c r="N164" i="7"/>
  <c r="Q164" i="7" s="1"/>
  <c r="N189" i="7"/>
  <c r="Q189" i="7" s="1"/>
  <c r="N193" i="7"/>
  <c r="O140" i="7"/>
  <c r="Q140" i="7" s="1"/>
  <c r="N161" i="7"/>
  <c r="O168" i="7"/>
  <c r="Q168" i="7" s="1"/>
  <c r="N185" i="7"/>
  <c r="Q185" i="7" s="1"/>
  <c r="P193" i="7"/>
  <c r="N143" i="7"/>
  <c r="Q143" i="7" s="1"/>
  <c r="N33" i="7"/>
  <c r="Q33" i="7" s="1"/>
  <c r="O95" i="7"/>
  <c r="Q95" i="7" s="1"/>
  <c r="N104" i="7"/>
  <c r="N108" i="7"/>
  <c r="Q108" i="7" s="1"/>
  <c r="N144" i="7"/>
  <c r="Q144" i="7" s="1"/>
  <c r="N177" i="7"/>
  <c r="Q177" i="7" s="1"/>
  <c r="N127" i="7"/>
  <c r="Q127" i="7" s="1"/>
  <c r="N13" i="7"/>
  <c r="Q13" i="7" s="1"/>
  <c r="N25" i="7"/>
  <c r="Q25" i="7" s="1"/>
  <c r="N57" i="7"/>
  <c r="Q57" i="7" s="1"/>
  <c r="N121" i="7"/>
  <c r="Q121" i="7" s="1"/>
  <c r="N186" i="7"/>
  <c r="N146" i="7"/>
  <c r="Q146" i="7" s="1"/>
  <c r="N192" i="7"/>
  <c r="N77" i="7"/>
  <c r="P104" i="7"/>
  <c r="N137" i="7"/>
  <c r="Q137" i="7" s="1"/>
  <c r="N155" i="7"/>
  <c r="Q155" i="7" s="1"/>
  <c r="N158" i="7"/>
  <c r="Q158" i="7" s="1"/>
  <c r="P186" i="7"/>
  <c r="N36" i="7"/>
  <c r="Q36" i="7" s="1"/>
  <c r="O48" i="7"/>
  <c r="Q48" i="7" s="1"/>
  <c r="N69" i="7"/>
  <c r="Q69" i="7" s="1"/>
  <c r="O162" i="7"/>
  <c r="Q162" i="7" s="1"/>
  <c r="O65" i="7"/>
  <c r="O77" i="7"/>
  <c r="N109" i="7"/>
  <c r="Q109" i="7" s="1"/>
  <c r="N122" i="7"/>
  <c r="Q122" i="7" s="1"/>
  <c r="L25" i="6"/>
  <c r="O25" i="6" s="1"/>
  <c r="L29" i="6"/>
  <c r="O29" i="6" s="1"/>
  <c r="L33" i="6"/>
  <c r="O33" i="6" s="1"/>
  <c r="L62" i="6"/>
  <c r="O62" i="6" s="1"/>
  <c r="L85" i="6"/>
  <c r="O85" i="6" s="1"/>
  <c r="L93" i="6"/>
  <c r="O93" i="6" s="1"/>
  <c r="L100" i="6"/>
  <c r="O100" i="6" s="1"/>
  <c r="L103" i="6"/>
  <c r="L107" i="6"/>
  <c r="O107" i="6" s="1"/>
  <c r="L111" i="6"/>
  <c r="O111" i="6" s="1"/>
  <c r="L114" i="6"/>
  <c r="O114" i="6" s="1"/>
  <c r="L130" i="6"/>
  <c r="O130" i="6" s="1"/>
  <c r="L137" i="6"/>
  <c r="O137" i="6" s="1"/>
  <c r="L144" i="6"/>
  <c r="O144" i="6" s="1"/>
  <c r="L156" i="6"/>
  <c r="O156" i="6" s="1"/>
  <c r="L178" i="6"/>
  <c r="O178" i="6" s="1"/>
  <c r="L181" i="6"/>
  <c r="O181" i="6" s="1"/>
  <c r="L185" i="6"/>
  <c r="O185" i="6" s="1"/>
  <c r="L202" i="6"/>
  <c r="O202" i="6" s="1"/>
  <c r="L213" i="6"/>
  <c r="O213" i="6" s="1"/>
  <c r="L216" i="6"/>
  <c r="O216" i="6" s="1"/>
  <c r="L240" i="6"/>
  <c r="O240" i="6" s="1"/>
  <c r="L272" i="6"/>
  <c r="O272" i="6" s="1"/>
  <c r="L300" i="6"/>
  <c r="O300" i="6" s="1"/>
  <c r="L133" i="6"/>
  <c r="O133" i="6" s="1"/>
  <c r="L174" i="6"/>
  <c r="L198" i="6"/>
  <c r="L301" i="6"/>
  <c r="L145" i="6"/>
  <c r="O145" i="6" s="1"/>
  <c r="L217" i="6"/>
  <c r="O217" i="6" s="1"/>
  <c r="L284" i="6"/>
  <c r="O284" i="6" s="1"/>
  <c r="L209" i="6"/>
  <c r="O209" i="6" s="1"/>
  <c r="L157" i="6"/>
  <c r="O157" i="6" s="1"/>
  <c r="L210" i="6"/>
  <c r="O210" i="6" s="1"/>
  <c r="L214" i="6"/>
  <c r="O214" i="6" s="1"/>
  <c r="L241" i="6"/>
  <c r="O241" i="6" s="1"/>
  <c r="L18" i="6"/>
  <c r="O18" i="6" s="1"/>
  <c r="L231" i="6"/>
  <c r="O231" i="6" s="1"/>
  <c r="L234" i="6"/>
  <c r="O234" i="6" s="1"/>
  <c r="L245" i="6"/>
  <c r="O245" i="6" s="1"/>
  <c r="L44" i="6"/>
  <c r="L89" i="6"/>
  <c r="L126" i="6"/>
  <c r="L142" i="6"/>
  <c r="L161" i="6"/>
  <c r="O161" i="6" s="1"/>
  <c r="L8" i="6"/>
  <c r="O8" i="6" s="1"/>
  <c r="L12" i="6"/>
  <c r="L16" i="6"/>
  <c r="O16" i="6" s="1"/>
  <c r="L20" i="6"/>
  <c r="O20" i="6" s="1"/>
  <c r="L42" i="6"/>
  <c r="O42" i="6" s="1"/>
  <c r="L68" i="6"/>
  <c r="L80" i="6"/>
  <c r="O80" i="6" s="1"/>
  <c r="L109" i="6"/>
  <c r="O109" i="6" s="1"/>
  <c r="L139" i="6"/>
  <c r="L150" i="6"/>
  <c r="O150" i="6" s="1"/>
  <c r="L187" i="6"/>
  <c r="O187" i="6" s="1"/>
  <c r="L225" i="6"/>
  <c r="L235" i="6"/>
  <c r="L277" i="6"/>
  <c r="O277" i="6" s="1"/>
  <c r="L205" i="6"/>
  <c r="O205" i="6" s="1"/>
  <c r="L123" i="6"/>
  <c r="O123" i="6" s="1"/>
  <c r="L41" i="6"/>
  <c r="O41" i="6" s="1"/>
  <c r="L134" i="6"/>
  <c r="O134" i="6" s="1"/>
  <c r="L49" i="6"/>
  <c r="L90" i="6"/>
  <c r="O90" i="6" s="1"/>
  <c r="L28" i="6"/>
  <c r="O28" i="6" s="1"/>
  <c r="L84" i="6"/>
  <c r="L98" i="6"/>
  <c r="O98" i="6" s="1"/>
  <c r="L143" i="6"/>
  <c r="O143" i="6" s="1"/>
  <c r="L147" i="6"/>
  <c r="O147" i="6" s="1"/>
  <c r="L180" i="6"/>
  <c r="O180" i="6" s="1"/>
  <c r="L204" i="6"/>
  <c r="O204" i="6" s="1"/>
  <c r="L228" i="6"/>
  <c r="O228" i="6" s="1"/>
  <c r="L257" i="6"/>
  <c r="O257" i="6" s="1"/>
  <c r="L270" i="6"/>
  <c r="L278" i="6"/>
  <c r="L281" i="6"/>
  <c r="O281" i="6" s="1"/>
  <c r="L248" i="6"/>
  <c r="O248" i="6" s="1"/>
  <c r="L115" i="6"/>
  <c r="O115" i="6" s="1"/>
  <c r="L79" i="6"/>
  <c r="O79" i="6" s="1"/>
  <c r="L2" i="6"/>
  <c r="O2" i="6" s="1"/>
  <c r="L32" i="6"/>
  <c r="O32" i="6" s="1"/>
  <c r="L54" i="6"/>
  <c r="O54" i="6" s="1"/>
  <c r="L69" i="6"/>
  <c r="O69" i="6" s="1"/>
  <c r="L88" i="6"/>
  <c r="O88" i="6" s="1"/>
  <c r="L92" i="6"/>
  <c r="L99" i="6"/>
  <c r="O99" i="6" s="1"/>
  <c r="L110" i="6"/>
  <c r="O110" i="6" s="1"/>
  <c r="L166" i="6"/>
  <c r="O166" i="6" s="1"/>
  <c r="L169" i="6"/>
  <c r="O169" i="6" s="1"/>
  <c r="L184" i="6"/>
  <c r="O184" i="6" s="1"/>
  <c r="L194" i="6"/>
  <c r="O194" i="6" s="1"/>
  <c r="L201" i="6"/>
  <c r="O201" i="6" s="1"/>
  <c r="L208" i="6"/>
  <c r="O208" i="6" s="1"/>
  <c r="L246" i="6"/>
  <c r="O246" i="6" s="1"/>
  <c r="L250" i="6"/>
  <c r="O250" i="6" s="1"/>
  <c r="L267" i="6"/>
  <c r="O267" i="6" s="1"/>
  <c r="L271" i="6"/>
  <c r="O271" i="6" s="1"/>
  <c r="L293" i="6"/>
  <c r="L3" i="6"/>
  <c r="O3" i="6" s="1"/>
  <c r="L37" i="6"/>
  <c r="O37" i="6" s="1"/>
  <c r="L78" i="6"/>
  <c r="L104" i="6"/>
  <c r="O104" i="6" s="1"/>
  <c r="L192" i="6"/>
  <c r="O192" i="6" s="1"/>
  <c r="L30" i="6"/>
  <c r="O30" i="6" s="1"/>
  <c r="L17" i="6"/>
  <c r="L21" i="6"/>
  <c r="O21" i="6" s="1"/>
  <c r="L36" i="6"/>
  <c r="O36" i="6" s="1"/>
  <c r="L55" i="6"/>
  <c r="O55" i="6" s="1"/>
  <c r="L77" i="6"/>
  <c r="O77" i="6" s="1"/>
  <c r="L106" i="6"/>
  <c r="O106" i="6" s="1"/>
  <c r="L118" i="6"/>
  <c r="O118" i="6" s="1"/>
  <c r="L151" i="6"/>
  <c r="O151" i="6" s="1"/>
  <c r="L170" i="6"/>
  <c r="L173" i="6"/>
  <c r="O173" i="6" s="1"/>
  <c r="L212" i="6"/>
  <c r="O212" i="6" s="1"/>
  <c r="L219" i="6"/>
  <c r="L236" i="6"/>
  <c r="O236" i="6" s="1"/>
  <c r="L261" i="6"/>
  <c r="L289" i="6"/>
  <c r="O289" i="6" s="1"/>
  <c r="Q2" i="7"/>
  <c r="N5" i="7"/>
  <c r="Q5" i="7" s="1"/>
  <c r="N38" i="7"/>
  <c r="Q38" i="7" s="1"/>
  <c r="N50" i="7"/>
  <c r="Q50" i="7" s="1"/>
  <c r="O52" i="7"/>
  <c r="N52" i="7"/>
  <c r="O102" i="7"/>
  <c r="N102" i="7"/>
  <c r="N119" i="7"/>
  <c r="Q119" i="7" s="1"/>
  <c r="N3" i="7"/>
  <c r="Q3" i="7" s="1"/>
  <c r="N30" i="7"/>
  <c r="Q30" i="7" s="1"/>
  <c r="O43" i="7"/>
  <c r="Q43" i="7" s="1"/>
  <c r="N54" i="7"/>
  <c r="Q54" i="7" s="1"/>
  <c r="N111" i="7"/>
  <c r="Q111" i="7" s="1"/>
  <c r="N35" i="7"/>
  <c r="Q35" i="7" s="1"/>
  <c r="N45" i="7"/>
  <c r="Q45" i="7" s="1"/>
  <c r="N56" i="7"/>
  <c r="Q56" i="7" s="1"/>
  <c r="O58" i="7"/>
  <c r="N58" i="7"/>
  <c r="N98" i="7"/>
  <c r="Q98" i="7" s="1"/>
  <c r="O115" i="7"/>
  <c r="N115" i="7"/>
  <c r="N126" i="7"/>
  <c r="Q126" i="7" s="1"/>
  <c r="O138" i="7"/>
  <c r="N138" i="7"/>
  <c r="Q192" i="7"/>
  <c r="N6" i="7"/>
  <c r="Q6" i="7" s="1"/>
  <c r="N9" i="7"/>
  <c r="Q9" i="7" s="1"/>
  <c r="N12" i="7"/>
  <c r="Q12" i="7" s="1"/>
  <c r="N15" i="7"/>
  <c r="Q15" i="7" s="1"/>
  <c r="N18" i="7"/>
  <c r="Q18" i="7" s="1"/>
  <c r="N21" i="7"/>
  <c r="Q21" i="7" s="1"/>
  <c r="N24" i="7"/>
  <c r="Q24" i="7" s="1"/>
  <c r="N27" i="7"/>
  <c r="Q27" i="7" s="1"/>
  <c r="O40" i="7"/>
  <c r="N60" i="7"/>
  <c r="Q60" i="7" s="1"/>
  <c r="O64" i="7"/>
  <c r="N64" i="7"/>
  <c r="N66" i="7"/>
  <c r="Q66" i="7" s="1"/>
  <c r="O70" i="7"/>
  <c r="N70" i="7"/>
  <c r="N72" i="7"/>
  <c r="Q72" i="7" s="1"/>
  <c r="O76" i="7"/>
  <c r="N76" i="7"/>
  <c r="Q76" i="7" s="1"/>
  <c r="N78" i="7"/>
  <c r="Q78" i="7" s="1"/>
  <c r="O82" i="7"/>
  <c r="N82" i="7"/>
  <c r="Q82" i="7" s="1"/>
  <c r="N84" i="7"/>
  <c r="Q84" i="7" s="1"/>
  <c r="O88" i="7"/>
  <c r="N88" i="7"/>
  <c r="N90" i="7"/>
  <c r="Q90" i="7" s="1"/>
  <c r="O94" i="7"/>
  <c r="N94" i="7"/>
  <c r="N100" i="7"/>
  <c r="Q100" i="7" s="1"/>
  <c r="O107" i="7"/>
  <c r="N107" i="7"/>
  <c r="Q107" i="7" s="1"/>
  <c r="N113" i="7"/>
  <c r="Q113" i="7" s="1"/>
  <c r="N124" i="7"/>
  <c r="Q124" i="7" s="1"/>
  <c r="N128" i="7"/>
  <c r="Q128" i="7" s="1"/>
  <c r="O133" i="7"/>
  <c r="N133" i="7"/>
  <c r="O141" i="7"/>
  <c r="N141" i="7"/>
  <c r="N32" i="7"/>
  <c r="Q32" i="7" s="1"/>
  <c r="N47" i="7"/>
  <c r="Q47" i="7" s="1"/>
  <c r="O49" i="7"/>
  <c r="N49" i="7"/>
  <c r="N62" i="7"/>
  <c r="Q62" i="7" s="1"/>
  <c r="N68" i="7"/>
  <c r="Q68" i="7" s="1"/>
  <c r="N74" i="7"/>
  <c r="Q74" i="7" s="1"/>
  <c r="N80" i="7"/>
  <c r="Q80" i="7" s="1"/>
  <c r="N86" i="7"/>
  <c r="Q86" i="7" s="1"/>
  <c r="N92" i="7"/>
  <c r="Q92" i="7" s="1"/>
  <c r="O37" i="7"/>
  <c r="Q37" i="7" s="1"/>
  <c r="N42" i="7"/>
  <c r="Q42" i="7" s="1"/>
  <c r="O120" i="7"/>
  <c r="N120" i="7"/>
  <c r="N131" i="7"/>
  <c r="N29" i="7"/>
  <c r="Q29" i="7" s="1"/>
  <c r="N51" i="7"/>
  <c r="Q51" i="7" s="1"/>
  <c r="N103" i="7"/>
  <c r="Q103" i="7" s="1"/>
  <c r="N105" i="7"/>
  <c r="Q105" i="7" s="1"/>
  <c r="N129" i="7"/>
  <c r="Q129" i="7" s="1"/>
  <c r="O139" i="7"/>
  <c r="N139" i="7"/>
  <c r="N8" i="7"/>
  <c r="Q8" i="7" s="1"/>
  <c r="N11" i="7"/>
  <c r="Q11" i="7" s="1"/>
  <c r="N14" i="7"/>
  <c r="Q14" i="7" s="1"/>
  <c r="N17" i="7"/>
  <c r="Q17" i="7" s="1"/>
  <c r="N20" i="7"/>
  <c r="Q20" i="7" s="1"/>
  <c r="N23" i="7"/>
  <c r="Q23" i="7" s="1"/>
  <c r="N26" i="7"/>
  <c r="Q26" i="7" s="1"/>
  <c r="N31" i="7"/>
  <c r="Q31" i="7" s="1"/>
  <c r="O34" i="7"/>
  <c r="Q34" i="7" s="1"/>
  <c r="N39" i="7"/>
  <c r="Q39" i="7" s="1"/>
  <c r="N53" i="7"/>
  <c r="Q53" i="7" s="1"/>
  <c r="O55" i="7"/>
  <c r="N55" i="7"/>
  <c r="N101" i="7"/>
  <c r="Q101" i="7" s="1"/>
  <c r="N116" i="7"/>
  <c r="Q116" i="7" s="1"/>
  <c r="O131" i="7"/>
  <c r="N44" i="7"/>
  <c r="Q44" i="7" s="1"/>
  <c r="O46" i="7"/>
  <c r="N46" i="7"/>
  <c r="N118" i="7"/>
  <c r="Q118" i="7" s="1"/>
  <c r="O125" i="7"/>
  <c r="N125" i="7"/>
  <c r="N134" i="7"/>
  <c r="Q134" i="7" s="1"/>
  <c r="O147" i="7"/>
  <c r="N147" i="7"/>
  <c r="O61" i="7"/>
  <c r="N61" i="7"/>
  <c r="O67" i="7"/>
  <c r="N67" i="7"/>
  <c r="O73" i="7"/>
  <c r="N73" i="7"/>
  <c r="Q73" i="7" s="1"/>
  <c r="O79" i="7"/>
  <c r="N79" i="7"/>
  <c r="O85" i="7"/>
  <c r="N85" i="7"/>
  <c r="O91" i="7"/>
  <c r="N91" i="7"/>
  <c r="O97" i="7"/>
  <c r="N97" i="7"/>
  <c r="N106" i="7"/>
  <c r="Q106" i="7" s="1"/>
  <c r="N110" i="7"/>
  <c r="Q110" i="7" s="1"/>
  <c r="P195" i="7"/>
  <c r="N195" i="7"/>
  <c r="P204" i="7"/>
  <c r="N204" i="7"/>
  <c r="P213" i="7"/>
  <c r="N213" i="7"/>
  <c r="Q213" i="7" s="1"/>
  <c r="N153" i="7"/>
  <c r="Q153" i="7" s="1"/>
  <c r="N159" i="7"/>
  <c r="Q159" i="7" s="1"/>
  <c r="N165" i="7"/>
  <c r="Q165" i="7" s="1"/>
  <c r="N171" i="7"/>
  <c r="Q171" i="7" s="1"/>
  <c r="N173" i="7"/>
  <c r="Q173" i="7" s="1"/>
  <c r="N180" i="7"/>
  <c r="Q180" i="7" s="1"/>
  <c r="N182" i="7"/>
  <c r="Q182" i="7" s="1"/>
  <c r="P201" i="7"/>
  <c r="N201" i="7"/>
  <c r="P210" i="7"/>
  <c r="N210" i="7"/>
  <c r="P219" i="7"/>
  <c r="N219" i="7"/>
  <c r="Q161" i="7"/>
  <c r="N174" i="7"/>
  <c r="Q174" i="7" s="1"/>
  <c r="N176" i="7"/>
  <c r="Q176" i="7" s="1"/>
  <c r="N183" i="7"/>
  <c r="Q183" i="7" s="1"/>
  <c r="N188" i="7"/>
  <c r="Q188" i="7" s="1"/>
  <c r="P198" i="7"/>
  <c r="N198" i="7"/>
  <c r="P207" i="7"/>
  <c r="N207" i="7"/>
  <c r="Q207" i="7" s="1"/>
  <c r="P216" i="7"/>
  <c r="N216" i="7"/>
  <c r="N99" i="7"/>
  <c r="Q99" i="7" s="1"/>
  <c r="N112" i="7"/>
  <c r="Q112" i="7" s="1"/>
  <c r="N117" i="7"/>
  <c r="Q117" i="7" s="1"/>
  <c r="N130" i="7"/>
  <c r="Q130" i="7" s="1"/>
  <c r="N135" i="7"/>
  <c r="Q135" i="7" s="1"/>
  <c r="N194" i="7"/>
  <c r="Q194" i="7" s="1"/>
  <c r="N197" i="7"/>
  <c r="Q197" i="7" s="1"/>
  <c r="N200" i="7"/>
  <c r="Q200" i="7" s="1"/>
  <c r="N203" i="7"/>
  <c r="Q203" i="7" s="1"/>
  <c r="N206" i="7"/>
  <c r="Q206" i="7" s="1"/>
  <c r="N209" i="7"/>
  <c r="Q209" i="7" s="1"/>
  <c r="N212" i="7"/>
  <c r="Q212" i="7" s="1"/>
  <c r="N215" i="7"/>
  <c r="Q215" i="7" s="1"/>
  <c r="N218" i="7"/>
  <c r="Q218" i="7" s="1"/>
  <c r="N221" i="7"/>
  <c r="Q221" i="7" s="1"/>
  <c r="R221" i="7" s="1"/>
  <c r="S221" i="7" s="1"/>
  <c r="N142" i="7"/>
  <c r="Q142" i="7" s="1"/>
  <c r="N145" i="7"/>
  <c r="Q145" i="7" s="1"/>
  <c r="N148" i="7"/>
  <c r="Q148" i="7" s="1"/>
  <c r="N151" i="7"/>
  <c r="Q151" i="7" s="1"/>
  <c r="N154" i="7"/>
  <c r="Q154" i="7" s="1"/>
  <c r="N157" i="7"/>
  <c r="Q157" i="7" s="1"/>
  <c r="N160" i="7"/>
  <c r="Q160" i="7" s="1"/>
  <c r="N163" i="7"/>
  <c r="Q163" i="7" s="1"/>
  <c r="N166" i="7"/>
  <c r="Q166" i="7" s="1"/>
  <c r="N169" i="7"/>
  <c r="Q169" i="7" s="1"/>
  <c r="N172" i="7"/>
  <c r="Q172" i="7" s="1"/>
  <c r="N175" i="7"/>
  <c r="Q175" i="7" s="1"/>
  <c r="N178" i="7"/>
  <c r="Q178" i="7" s="1"/>
  <c r="N181" i="7"/>
  <c r="Q181" i="7" s="1"/>
  <c r="N184" i="7"/>
  <c r="Q184" i="7" s="1"/>
  <c r="N187" i="7"/>
  <c r="Q187" i="7" s="1"/>
  <c r="N190" i="7"/>
  <c r="Q190" i="7" s="1"/>
  <c r="N199" i="7"/>
  <c r="Q199" i="7" s="1"/>
  <c r="N202" i="7"/>
  <c r="Q202" i="7" s="1"/>
  <c r="N205" i="7"/>
  <c r="Q205" i="7" s="1"/>
  <c r="N208" i="7"/>
  <c r="Q208" i="7" s="1"/>
  <c r="N211" i="7"/>
  <c r="Q211" i="7" s="1"/>
  <c r="N214" i="7"/>
  <c r="Q214" i="7" s="1"/>
  <c r="N217" i="7"/>
  <c r="Q217" i="7" s="1"/>
  <c r="N220" i="7"/>
  <c r="Q220" i="7" s="1"/>
  <c r="R220" i="7" s="1"/>
  <c r="S220" i="7" s="1"/>
  <c r="O89" i="6"/>
  <c r="O269" i="6"/>
  <c r="O252" i="6"/>
  <c r="O91" i="6"/>
  <c r="O164" i="6"/>
  <c r="O170" i="6"/>
  <c r="O206" i="6"/>
  <c r="L39" i="6"/>
  <c r="O52" i="6"/>
  <c r="L129" i="6"/>
  <c r="L135" i="6"/>
  <c r="O296" i="6"/>
  <c r="O23" i="6"/>
  <c r="O140" i="6"/>
  <c r="L19" i="6"/>
  <c r="L24" i="6"/>
  <c r="L112" i="6"/>
  <c r="O183" i="6"/>
  <c r="O237" i="6"/>
  <c r="O273" i="6"/>
  <c r="O125" i="6"/>
  <c r="O73" i="6"/>
  <c r="O233" i="6"/>
  <c r="O260" i="6"/>
  <c r="O276" i="6"/>
  <c r="L288" i="6"/>
  <c r="O120" i="6"/>
  <c r="O193" i="6"/>
  <c r="O197" i="6"/>
  <c r="O48" i="6"/>
  <c r="O56" i="6"/>
  <c r="O116" i="6"/>
  <c r="O154" i="6"/>
  <c r="O162" i="6"/>
  <c r="O222" i="6"/>
  <c r="O6" i="6"/>
  <c r="O7" i="6"/>
  <c r="O11" i="6"/>
  <c r="O174" i="6"/>
  <c r="O12" i="6"/>
  <c r="O43" i="6"/>
  <c r="L15" i="6"/>
  <c r="L148" i="6"/>
  <c r="O265" i="6"/>
  <c r="O128" i="6"/>
  <c r="O199" i="6"/>
  <c r="O4" i="6"/>
  <c r="O9" i="6"/>
  <c r="O60" i="6"/>
  <c r="O132" i="6"/>
  <c r="O61" i="6"/>
  <c r="L176" i="6"/>
  <c r="L182" i="6"/>
  <c r="L218" i="6"/>
  <c r="L254" i="6"/>
  <c r="L290" i="6"/>
  <c r="O223" i="6"/>
  <c r="O295" i="6"/>
  <c r="O189" i="6"/>
  <c r="O297" i="6"/>
  <c r="L81" i="6"/>
  <c r="L117" i="6"/>
  <c r="L153" i="6"/>
  <c r="L175" i="6"/>
  <c r="L211" i="6"/>
  <c r="L247" i="6"/>
  <c r="L283" i="6"/>
  <c r="Q123" i="7" l="1"/>
  <c r="Q156" i="7"/>
  <c r="Q67" i="7"/>
  <c r="Q196" i="7"/>
  <c r="Q139" i="7"/>
  <c r="M97" i="6"/>
  <c r="N97" i="6" s="1"/>
  <c r="M58" i="6"/>
  <c r="N58" i="6" s="1"/>
  <c r="M257" i="6"/>
  <c r="N257" i="6" s="1"/>
  <c r="Q40" i="7"/>
  <c r="Q204" i="7"/>
  <c r="Q79" i="7"/>
  <c r="Q201" i="7"/>
  <c r="Q96" i="7"/>
  <c r="Q94" i="7"/>
  <c r="Q59" i="7"/>
  <c r="Q65" i="7"/>
  <c r="Q71" i="7"/>
  <c r="O97" i="6"/>
  <c r="M113" i="6"/>
  <c r="N113" i="6" s="1"/>
  <c r="M259" i="6"/>
  <c r="N259" i="6" s="1"/>
  <c r="M300" i="6"/>
  <c r="N300" i="6" s="1"/>
  <c r="M119" i="6"/>
  <c r="N119" i="6" s="1"/>
  <c r="M267" i="6"/>
  <c r="N267" i="6" s="1"/>
  <c r="M45" i="6"/>
  <c r="N45" i="6" s="1"/>
  <c r="M124" i="6"/>
  <c r="N124" i="6" s="1"/>
  <c r="M295" i="6"/>
  <c r="N295" i="6" s="1"/>
  <c r="M260" i="6"/>
  <c r="N260" i="6" s="1"/>
  <c r="M46" i="6"/>
  <c r="N46" i="6" s="1"/>
  <c r="M292" i="6"/>
  <c r="N292" i="6" s="1"/>
  <c r="M195" i="6"/>
  <c r="N195" i="6" s="1"/>
  <c r="M70" i="6"/>
  <c r="N70" i="6" s="1"/>
  <c r="M83" i="6"/>
  <c r="N83" i="6" s="1"/>
  <c r="M90" i="6"/>
  <c r="N90" i="6" s="1"/>
  <c r="M40" i="6"/>
  <c r="N40" i="6" s="1"/>
  <c r="M294" i="6"/>
  <c r="N294" i="6" s="1"/>
  <c r="O127" i="6"/>
  <c r="M68" i="6"/>
  <c r="N68" i="6" s="1"/>
  <c r="M125" i="6"/>
  <c r="N125" i="6" s="1"/>
  <c r="M256" i="6"/>
  <c r="N256" i="6" s="1"/>
  <c r="M62" i="6"/>
  <c r="N62" i="6" s="1"/>
  <c r="M51" i="6"/>
  <c r="N51" i="6" s="1"/>
  <c r="M87" i="6"/>
  <c r="N87" i="6" s="1"/>
  <c r="M301" i="6"/>
  <c r="N301" i="6" s="1"/>
  <c r="M48" i="6"/>
  <c r="N48" i="6" s="1"/>
  <c r="M255" i="6"/>
  <c r="N255" i="6" s="1"/>
  <c r="M89" i="6"/>
  <c r="N89" i="6" s="1"/>
  <c r="M79" i="6"/>
  <c r="N79" i="6" s="1"/>
  <c r="M230" i="6"/>
  <c r="N230" i="6" s="1"/>
  <c r="M54" i="6"/>
  <c r="N54" i="6" s="1"/>
  <c r="M55" i="6"/>
  <c r="N55" i="6" s="1"/>
  <c r="M269" i="6"/>
  <c r="N269" i="6" s="1"/>
  <c r="M59" i="6"/>
  <c r="N59" i="6" s="1"/>
  <c r="M262" i="6"/>
  <c r="N262" i="6" s="1"/>
  <c r="M194" i="6"/>
  <c r="N194" i="6" s="1"/>
  <c r="O293" i="6"/>
  <c r="M291" i="6"/>
  <c r="N291" i="6" s="1"/>
  <c r="M231" i="6"/>
  <c r="N231" i="6" s="1"/>
  <c r="O58" i="6"/>
  <c r="M16" i="6"/>
  <c r="N16" i="6" s="1"/>
  <c r="O261" i="6"/>
  <c r="M191" i="6"/>
  <c r="N191" i="6" s="1"/>
  <c r="M43" i="6"/>
  <c r="N43" i="6" s="1"/>
  <c r="M65" i="6"/>
  <c r="N65" i="6" s="1"/>
  <c r="M108" i="6"/>
  <c r="N108" i="6" s="1"/>
  <c r="O70" i="6"/>
  <c r="M49" i="6"/>
  <c r="N49" i="6" s="1"/>
  <c r="M77" i="6"/>
  <c r="N77" i="6" s="1"/>
  <c r="M137" i="6"/>
  <c r="N137" i="6" s="1"/>
  <c r="M88" i="6"/>
  <c r="N88" i="6" s="1"/>
  <c r="M73" i="6"/>
  <c r="N73" i="6" s="1"/>
  <c r="M61" i="6"/>
  <c r="N61" i="6" s="1"/>
  <c r="M92" i="6"/>
  <c r="N92" i="6" s="1"/>
  <c r="O270" i="6"/>
  <c r="M189" i="6"/>
  <c r="N189" i="6" s="1"/>
  <c r="M293" i="6"/>
  <c r="N293" i="6" s="1"/>
  <c r="M57" i="6"/>
  <c r="N57" i="6" s="1"/>
  <c r="M221" i="6"/>
  <c r="N221" i="6" s="1"/>
  <c r="M249" i="6"/>
  <c r="N249" i="6" s="1"/>
  <c r="M215" i="6"/>
  <c r="N215" i="6" s="1"/>
  <c r="M229" i="6"/>
  <c r="N229" i="6" s="1"/>
  <c r="M217" i="6"/>
  <c r="N217" i="6" s="1"/>
  <c r="M235" i="6"/>
  <c r="N235" i="6" s="1"/>
  <c r="M298" i="6"/>
  <c r="N298" i="6" s="1"/>
  <c r="M212" i="6"/>
  <c r="N212" i="6" s="1"/>
  <c r="M219" i="6"/>
  <c r="N219" i="6" s="1"/>
  <c r="M222" i="6"/>
  <c r="N222" i="6" s="1"/>
  <c r="M180" i="6"/>
  <c r="N180" i="6" s="1"/>
  <c r="M201" i="6"/>
  <c r="N201" i="6" s="1"/>
  <c r="M132" i="6"/>
  <c r="N132" i="6" s="1"/>
  <c r="M187" i="6"/>
  <c r="N187" i="6" s="1"/>
  <c r="M141" i="6"/>
  <c r="N141" i="6" s="1"/>
  <c r="M101" i="6"/>
  <c r="N101" i="6" s="1"/>
  <c r="M208" i="6"/>
  <c r="N208" i="6" s="1"/>
  <c r="O198" i="6"/>
  <c r="M64" i="6"/>
  <c r="N64" i="6" s="1"/>
  <c r="M183" i="6"/>
  <c r="N183" i="6" s="1"/>
  <c r="M127" i="6"/>
  <c r="N127" i="6" s="1"/>
  <c r="M63" i="6"/>
  <c r="N63" i="6" s="1"/>
  <c r="M84" i="6"/>
  <c r="N84" i="6" s="1"/>
  <c r="M126" i="6"/>
  <c r="N126" i="6" s="1"/>
  <c r="M128" i="6"/>
  <c r="N128" i="6" s="1"/>
  <c r="O84" i="6"/>
  <c r="M210" i="6"/>
  <c r="N210" i="6" s="1"/>
  <c r="O142" i="6"/>
  <c r="O49" i="6"/>
  <c r="M44" i="6"/>
  <c r="N44" i="6" s="1"/>
  <c r="Q147" i="7"/>
  <c r="R146" i="7" s="1"/>
  <c r="S146" i="7" s="1"/>
  <c r="Q55" i="7"/>
  <c r="Q88" i="7"/>
  <c r="Q64" i="7"/>
  <c r="Q138" i="7"/>
  <c r="Q125" i="7"/>
  <c r="Q58" i="7"/>
  <c r="Q104" i="7"/>
  <c r="Q141" i="7"/>
  <c r="R140" i="7" s="1"/>
  <c r="S140" i="7" s="1"/>
  <c r="Q186" i="7"/>
  <c r="R178" i="7" s="1"/>
  <c r="S178" i="7" s="1"/>
  <c r="R25" i="7"/>
  <c r="S25" i="7" s="1"/>
  <c r="Q49" i="7"/>
  <c r="Q77" i="7"/>
  <c r="R19" i="7"/>
  <c r="S19" i="7" s="1"/>
  <c r="Q131" i="7"/>
  <c r="Q52" i="7"/>
  <c r="R158" i="7"/>
  <c r="S158" i="7" s="1"/>
  <c r="R168" i="7"/>
  <c r="S168" i="7" s="1"/>
  <c r="R156" i="7"/>
  <c r="S156" i="7" s="1"/>
  <c r="Q193" i="7"/>
  <c r="R152" i="7"/>
  <c r="S152" i="7" s="1"/>
  <c r="R150" i="7"/>
  <c r="S150" i="7" s="1"/>
  <c r="R148" i="7"/>
  <c r="S148" i="7" s="1"/>
  <c r="R164" i="7"/>
  <c r="S164" i="7" s="1"/>
  <c r="Q216" i="7"/>
  <c r="Q97" i="7"/>
  <c r="Q61" i="7"/>
  <c r="R14" i="7"/>
  <c r="S14" i="7" s="1"/>
  <c r="O235" i="6"/>
  <c r="M233" i="6"/>
  <c r="N233" i="6" s="1"/>
  <c r="M160" i="6"/>
  <c r="N160" i="6" s="1"/>
  <c r="M142" i="6"/>
  <c r="N142" i="6" s="1"/>
  <c r="M185" i="6"/>
  <c r="N185" i="6" s="1"/>
  <c r="M69" i="6"/>
  <c r="N69" i="6" s="1"/>
  <c r="M197" i="6"/>
  <c r="N197" i="6" s="1"/>
  <c r="M91" i="6"/>
  <c r="N91" i="6" s="1"/>
  <c r="M213" i="6"/>
  <c r="N213" i="6" s="1"/>
  <c r="M154" i="6"/>
  <c r="N154" i="6" s="1"/>
  <c r="M228" i="6"/>
  <c r="N228" i="6" s="1"/>
  <c r="M226" i="6"/>
  <c r="N226" i="6" s="1"/>
  <c r="M220" i="6"/>
  <c r="N220" i="6" s="1"/>
  <c r="M27" i="6"/>
  <c r="N27" i="6" s="1"/>
  <c r="M98" i="6"/>
  <c r="N98" i="6" s="1"/>
  <c r="M96" i="6"/>
  <c r="N96" i="6" s="1"/>
  <c r="M95" i="6"/>
  <c r="N95" i="6" s="1"/>
  <c r="M206" i="6"/>
  <c r="N206" i="6" s="1"/>
  <c r="M203" i="6"/>
  <c r="N203" i="6" s="1"/>
  <c r="M275" i="6"/>
  <c r="N275" i="6" s="1"/>
  <c r="M214" i="6"/>
  <c r="N214" i="6" s="1"/>
  <c r="M150" i="6"/>
  <c r="N150" i="6" s="1"/>
  <c r="M138" i="6"/>
  <c r="N138" i="6" s="1"/>
  <c r="M242" i="6"/>
  <c r="N242" i="6" s="1"/>
  <c r="O225" i="6"/>
  <c r="M122" i="6"/>
  <c r="N122" i="6" s="1"/>
  <c r="M82" i="6"/>
  <c r="N82" i="6" s="1"/>
  <c r="M268" i="6"/>
  <c r="N268" i="6" s="1"/>
  <c r="M74" i="6"/>
  <c r="N74" i="6" s="1"/>
  <c r="M60" i="6"/>
  <c r="N60" i="6" s="1"/>
  <c r="M116" i="6"/>
  <c r="N116" i="6" s="1"/>
  <c r="M52" i="6"/>
  <c r="N52" i="6" s="1"/>
  <c r="M299" i="6"/>
  <c r="N299" i="6" s="1"/>
  <c r="M159" i="6"/>
  <c r="N159" i="6" s="1"/>
  <c r="M232" i="6"/>
  <c r="N232" i="6" s="1"/>
  <c r="M147" i="6"/>
  <c r="N147" i="6" s="1"/>
  <c r="M115" i="6"/>
  <c r="N115" i="6" s="1"/>
  <c r="M263" i="6"/>
  <c r="N263" i="6" s="1"/>
  <c r="M297" i="6"/>
  <c r="N297" i="6" s="1"/>
  <c r="M167" i="6"/>
  <c r="N167" i="6" s="1"/>
  <c r="M139" i="6"/>
  <c r="N139" i="6" s="1"/>
  <c r="M136" i="6"/>
  <c r="N136" i="6" s="1"/>
  <c r="M72" i="6"/>
  <c r="N72" i="6" s="1"/>
  <c r="M75" i="6"/>
  <c r="N75" i="6" s="1"/>
  <c r="M93" i="6"/>
  <c r="N93" i="6" s="1"/>
  <c r="M192" i="6"/>
  <c r="N192" i="6" s="1"/>
  <c r="M258" i="6"/>
  <c r="N258" i="6" s="1"/>
  <c r="M120" i="6"/>
  <c r="N120" i="6" s="1"/>
  <c r="M285" i="6"/>
  <c r="N285" i="6" s="1"/>
  <c r="O219" i="6"/>
  <c r="M118" i="6"/>
  <c r="N118" i="6" s="1"/>
  <c r="M287" i="6"/>
  <c r="N287" i="6" s="1"/>
  <c r="M32" i="6"/>
  <c r="N32" i="6" s="1"/>
  <c r="O92" i="6"/>
  <c r="M216" i="6"/>
  <c r="N216" i="6" s="1"/>
  <c r="M78" i="6"/>
  <c r="N78" i="6" s="1"/>
  <c r="O68" i="6"/>
  <c r="M296" i="6"/>
  <c r="N296" i="6" s="1"/>
  <c r="M25" i="6"/>
  <c r="N25" i="6" s="1"/>
  <c r="M146" i="6"/>
  <c r="N146" i="6" s="1"/>
  <c r="M21" i="6"/>
  <c r="N21" i="6" s="1"/>
  <c r="M161" i="6"/>
  <c r="N161" i="6" s="1"/>
  <c r="M202" i="6"/>
  <c r="N202" i="6" s="1"/>
  <c r="M156" i="6"/>
  <c r="N156" i="6" s="1"/>
  <c r="M224" i="6"/>
  <c r="N224" i="6" s="1"/>
  <c r="O103" i="6"/>
  <c r="M277" i="6"/>
  <c r="N277" i="6" s="1"/>
  <c r="M184" i="6"/>
  <c r="N184" i="6" s="1"/>
  <c r="M270" i="6"/>
  <c r="N270" i="6" s="1"/>
  <c r="M144" i="6"/>
  <c r="N144" i="6" s="1"/>
  <c r="M188" i="6"/>
  <c r="N188" i="6" s="1"/>
  <c r="M241" i="6"/>
  <c r="N241" i="6" s="1"/>
  <c r="M198" i="6"/>
  <c r="N198" i="6" s="1"/>
  <c r="M193" i="6"/>
  <c r="N193" i="6" s="1"/>
  <c r="M104" i="6"/>
  <c r="N104" i="6" s="1"/>
  <c r="M205" i="6"/>
  <c r="N205" i="6" s="1"/>
  <c r="M145" i="6"/>
  <c r="N145" i="6" s="1"/>
  <c r="M264" i="6"/>
  <c r="N264" i="6" s="1"/>
  <c r="M76" i="6"/>
  <c r="N76" i="6" s="1"/>
  <c r="O17" i="6"/>
  <c r="M244" i="6"/>
  <c r="N244" i="6" s="1"/>
  <c r="M261" i="6"/>
  <c r="N261" i="6" s="1"/>
  <c r="M157" i="6"/>
  <c r="N157" i="6" s="1"/>
  <c r="O139" i="6"/>
  <c r="M50" i="6"/>
  <c r="N50" i="6" s="1"/>
  <c r="M253" i="6"/>
  <c r="N253" i="6" s="1"/>
  <c r="M279" i="6"/>
  <c r="N279" i="6" s="1"/>
  <c r="M196" i="6"/>
  <c r="N196" i="6" s="1"/>
  <c r="M67" i="6"/>
  <c r="N67" i="6" s="1"/>
  <c r="M130" i="6"/>
  <c r="N130" i="6" s="1"/>
  <c r="M47" i="6"/>
  <c r="N47" i="6" s="1"/>
  <c r="M246" i="6"/>
  <c r="N246" i="6" s="1"/>
  <c r="M209" i="6"/>
  <c r="N209" i="6" s="1"/>
  <c r="M251" i="6"/>
  <c r="N251" i="6" s="1"/>
  <c r="O278" i="6"/>
  <c r="M53" i="6"/>
  <c r="N53" i="6" s="1"/>
  <c r="O78" i="6"/>
  <c r="M85" i="6"/>
  <c r="N85" i="6" s="1"/>
  <c r="M121" i="6"/>
  <c r="N121" i="6" s="1"/>
  <c r="M186" i="6"/>
  <c r="N186" i="6" s="1"/>
  <c r="M190" i="6"/>
  <c r="N190" i="6" s="1"/>
  <c r="M179" i="6"/>
  <c r="N179" i="6" s="1"/>
  <c r="M71" i="6"/>
  <c r="N71" i="6" s="1"/>
  <c r="M66" i="6"/>
  <c r="N66" i="6" s="1"/>
  <c r="M42" i="6"/>
  <c r="N42" i="6" s="1"/>
  <c r="O126" i="6"/>
  <c r="M41" i="6"/>
  <c r="N41" i="6" s="1"/>
  <c r="M94" i="6"/>
  <c r="N94" i="6" s="1"/>
  <c r="M80" i="6"/>
  <c r="N80" i="6" s="1"/>
  <c r="M223" i="6"/>
  <c r="N223" i="6" s="1"/>
  <c r="O301" i="6"/>
  <c r="M155" i="6"/>
  <c r="N155" i="6" s="1"/>
  <c r="M158" i="6"/>
  <c r="N158" i="6" s="1"/>
  <c r="O44" i="6"/>
  <c r="M86" i="6"/>
  <c r="N86" i="6" s="1"/>
  <c r="M266" i="6"/>
  <c r="N266" i="6" s="1"/>
  <c r="M227" i="6"/>
  <c r="N227" i="6" s="1"/>
  <c r="M225" i="6"/>
  <c r="N225" i="6" s="1"/>
  <c r="M250" i="6"/>
  <c r="N250" i="6" s="1"/>
  <c r="M265" i="6"/>
  <c r="N265" i="6" s="1"/>
  <c r="M56" i="6"/>
  <c r="N56" i="6" s="1"/>
  <c r="M18" i="6"/>
  <c r="N18" i="6" s="1"/>
  <c r="M248" i="6"/>
  <c r="N248" i="6" s="1"/>
  <c r="R28" i="7"/>
  <c r="S28" i="7" s="1"/>
  <c r="Q210" i="7"/>
  <c r="R200" i="7" s="1"/>
  <c r="S200" i="7" s="1"/>
  <c r="Q85" i="7"/>
  <c r="R73" i="7" s="1"/>
  <c r="S73" i="7" s="1"/>
  <c r="R11" i="7"/>
  <c r="S11" i="7" s="1"/>
  <c r="T33" i="4" s="1"/>
  <c r="Q120" i="7"/>
  <c r="R27" i="7"/>
  <c r="S27" i="7" s="1"/>
  <c r="Q115" i="7"/>
  <c r="R111" i="7" s="1"/>
  <c r="S111" i="7" s="1"/>
  <c r="R30" i="7"/>
  <c r="S30" i="7" s="1"/>
  <c r="R8" i="7"/>
  <c r="S8" i="7" s="1"/>
  <c r="T30" i="4" s="1"/>
  <c r="R24" i="7"/>
  <c r="S24" i="7" s="1"/>
  <c r="R3" i="7"/>
  <c r="S3" i="7" s="1"/>
  <c r="T25" i="4" s="1"/>
  <c r="R21" i="7"/>
  <c r="S21" i="7" s="1"/>
  <c r="R172" i="7"/>
  <c r="S172" i="7" s="1"/>
  <c r="Q195" i="7"/>
  <c r="R18" i="7"/>
  <c r="S18" i="7" s="1"/>
  <c r="R169" i="7"/>
  <c r="S169" i="7" s="1"/>
  <c r="R15" i="7"/>
  <c r="S15" i="7" s="1"/>
  <c r="Q102" i="7"/>
  <c r="R4" i="7"/>
  <c r="S4" i="7" s="1"/>
  <c r="T26" i="4" s="1"/>
  <c r="R166" i="7"/>
  <c r="S166" i="7" s="1"/>
  <c r="R167" i="7"/>
  <c r="S167" i="7" s="1"/>
  <c r="Q46" i="7"/>
  <c r="R32" i="7"/>
  <c r="S32" i="7" s="1"/>
  <c r="Q70" i="7"/>
  <c r="R12" i="7"/>
  <c r="S12" i="7" s="1"/>
  <c r="T34" i="4" s="1"/>
  <c r="R163" i="7"/>
  <c r="S163" i="7" s="1"/>
  <c r="R161" i="7"/>
  <c r="S161" i="7" s="1"/>
  <c r="R31" i="7"/>
  <c r="S31" i="7" s="1"/>
  <c r="R162" i="7"/>
  <c r="S162" i="7" s="1"/>
  <c r="R9" i="7"/>
  <c r="S9" i="7" s="1"/>
  <c r="T31" i="4" s="1"/>
  <c r="R22" i="7"/>
  <c r="S22" i="7" s="1"/>
  <c r="R160" i="7"/>
  <c r="S160" i="7" s="1"/>
  <c r="R155" i="7"/>
  <c r="S155" i="7" s="1"/>
  <c r="R171" i="7"/>
  <c r="S171" i="7" s="1"/>
  <c r="R26" i="7"/>
  <c r="S26" i="7" s="1"/>
  <c r="R6" i="7"/>
  <c r="S6" i="7" s="1"/>
  <c r="T28" i="4" s="1"/>
  <c r="R10" i="7"/>
  <c r="S10" i="7" s="1"/>
  <c r="T32" i="4" s="1"/>
  <c r="R13" i="7"/>
  <c r="S13" i="7" s="1"/>
  <c r="T35" i="4" s="1"/>
  <c r="R157" i="7"/>
  <c r="S157" i="7" s="1"/>
  <c r="R149" i="7"/>
  <c r="S149" i="7" s="1"/>
  <c r="R165" i="7"/>
  <c r="S165" i="7" s="1"/>
  <c r="R23" i="7"/>
  <c r="S23" i="7" s="1"/>
  <c r="R7" i="7"/>
  <c r="S7" i="7" s="1"/>
  <c r="T29" i="4" s="1"/>
  <c r="R154" i="7"/>
  <c r="S154" i="7" s="1"/>
  <c r="R159" i="7"/>
  <c r="S159" i="7" s="1"/>
  <c r="R20" i="7"/>
  <c r="S20" i="7" s="1"/>
  <c r="Q133" i="7"/>
  <c r="R104" i="7"/>
  <c r="S104" i="7" s="1"/>
  <c r="R151" i="7"/>
  <c r="S151" i="7" s="1"/>
  <c r="Q198" i="7"/>
  <c r="Q219" i="7"/>
  <c r="R219" i="7" s="1"/>
  <c r="S219" i="7" s="1"/>
  <c r="R153" i="7"/>
  <c r="S153" i="7" s="1"/>
  <c r="Q91" i="7"/>
  <c r="R170" i="7"/>
  <c r="S170" i="7" s="1"/>
  <c r="R17" i="7"/>
  <c r="S17" i="7" s="1"/>
  <c r="R29" i="7"/>
  <c r="S29" i="7" s="1"/>
  <c r="R5" i="7"/>
  <c r="S5" i="7" s="1"/>
  <c r="T27" i="4" s="1"/>
  <c r="R2" i="7"/>
  <c r="R16" i="7"/>
  <c r="S16" i="7" s="1"/>
  <c r="O15" i="6"/>
  <c r="M15" i="6"/>
  <c r="N15" i="6" s="1"/>
  <c r="M280" i="6"/>
  <c r="N280" i="6" s="1"/>
  <c r="M30" i="6"/>
  <c r="N30" i="6" s="1"/>
  <c r="M168" i="6"/>
  <c r="N168" i="6" s="1"/>
  <c r="O112" i="6"/>
  <c r="M112" i="6"/>
  <c r="N112" i="6" s="1"/>
  <c r="M284" i="6"/>
  <c r="N284" i="6" s="1"/>
  <c r="M102" i="6"/>
  <c r="N102" i="6" s="1"/>
  <c r="M239" i="6"/>
  <c r="N239" i="6" s="1"/>
  <c r="M17" i="6"/>
  <c r="N17" i="6" s="1"/>
  <c r="O283" i="6"/>
  <c r="M283" i="6"/>
  <c r="N283" i="6" s="1"/>
  <c r="M169" i="6"/>
  <c r="N169" i="6" s="1"/>
  <c r="M109" i="6"/>
  <c r="N109" i="6" s="1"/>
  <c r="M276" i="6"/>
  <c r="N276" i="6" s="1"/>
  <c r="M281" i="6"/>
  <c r="N281" i="6" s="1"/>
  <c r="O24" i="6"/>
  <c r="M24" i="6"/>
  <c r="N24" i="6" s="1"/>
  <c r="M170" i="6"/>
  <c r="N170" i="6" s="1"/>
  <c r="M163" i="6"/>
  <c r="N163" i="6" s="1"/>
  <c r="M238" i="6"/>
  <c r="N238" i="6" s="1"/>
  <c r="O19" i="6"/>
  <c r="M19" i="6"/>
  <c r="N19" i="6" s="1"/>
  <c r="M5" i="6"/>
  <c r="N5" i="6" s="1"/>
  <c r="S27" i="4" s="1"/>
  <c r="M164" i="6"/>
  <c r="N164" i="6" s="1"/>
  <c r="O211" i="6"/>
  <c r="M211" i="6"/>
  <c r="N211" i="6" s="1"/>
  <c r="M207" i="6"/>
  <c r="N207" i="6" s="1"/>
  <c r="M14" i="6"/>
  <c r="N14" i="6" s="1"/>
  <c r="M171" i="6"/>
  <c r="N171" i="6" s="1"/>
  <c r="M273" i="6"/>
  <c r="N273" i="6" s="1"/>
  <c r="M6" i="6"/>
  <c r="N6" i="6" s="1"/>
  <c r="S28" i="4" s="1"/>
  <c r="M23" i="6"/>
  <c r="N23" i="6" s="1"/>
  <c r="M278" i="6"/>
  <c r="N278" i="6" s="1"/>
  <c r="M110" i="6"/>
  <c r="N110" i="6" s="1"/>
  <c r="O288" i="6"/>
  <c r="M288" i="6"/>
  <c r="N288" i="6" s="1"/>
  <c r="M243" i="6"/>
  <c r="N243" i="6" s="1"/>
  <c r="O175" i="6"/>
  <c r="M175" i="6"/>
  <c r="N175" i="6" s="1"/>
  <c r="M172" i="6"/>
  <c r="N172" i="6" s="1"/>
  <c r="M290" i="6"/>
  <c r="N290" i="6" s="1"/>
  <c r="O290" i="6"/>
  <c r="M199" i="6"/>
  <c r="N199" i="6" s="1"/>
  <c r="M174" i="6"/>
  <c r="N174" i="6" s="1"/>
  <c r="M26" i="6"/>
  <c r="N26" i="6" s="1"/>
  <c r="M200" i="6"/>
  <c r="N200" i="6" s="1"/>
  <c r="M240" i="6"/>
  <c r="N240" i="6" s="1"/>
  <c r="M173" i="6"/>
  <c r="N173" i="6" s="1"/>
  <c r="M140" i="6"/>
  <c r="N140" i="6" s="1"/>
  <c r="M272" i="6"/>
  <c r="N272" i="6" s="1"/>
  <c r="M28" i="6"/>
  <c r="N28" i="6" s="1"/>
  <c r="M99" i="6"/>
  <c r="N99" i="6" s="1"/>
  <c r="M165" i="6"/>
  <c r="N165" i="6" s="1"/>
  <c r="M105" i="6"/>
  <c r="N105" i="6" s="1"/>
  <c r="O148" i="6"/>
  <c r="M148" i="6"/>
  <c r="N148" i="6" s="1"/>
  <c r="M38" i="6"/>
  <c r="N38" i="6" s="1"/>
  <c r="M234" i="6"/>
  <c r="N234" i="6" s="1"/>
  <c r="M107" i="6"/>
  <c r="N107" i="6" s="1"/>
  <c r="M111" i="6"/>
  <c r="N111" i="6" s="1"/>
  <c r="M10" i="6"/>
  <c r="N10" i="6" s="1"/>
  <c r="S32" i="4" s="1"/>
  <c r="O135" i="6"/>
  <c r="M135" i="6"/>
  <c r="N135" i="6" s="1"/>
  <c r="M123" i="6"/>
  <c r="N123" i="6" s="1"/>
  <c r="M29" i="6"/>
  <c r="N29" i="6" s="1"/>
  <c r="M286" i="6"/>
  <c r="N286" i="6" s="1"/>
  <c r="M153" i="6"/>
  <c r="N153" i="6" s="1"/>
  <c r="O153" i="6"/>
  <c r="M151" i="6"/>
  <c r="N151" i="6" s="1"/>
  <c r="M218" i="6"/>
  <c r="N218" i="6" s="1"/>
  <c r="O218" i="6"/>
  <c r="M271" i="6"/>
  <c r="N271" i="6" s="1"/>
  <c r="M133" i="6"/>
  <c r="N133" i="6" s="1"/>
  <c r="M35" i="6"/>
  <c r="N35" i="6" s="1"/>
  <c r="M166" i="6"/>
  <c r="N166" i="6" s="1"/>
  <c r="M31" i="6"/>
  <c r="N31" i="6" s="1"/>
  <c r="M11" i="6"/>
  <c r="N11" i="6" s="1"/>
  <c r="S33" i="4" s="1"/>
  <c r="M245" i="6"/>
  <c r="N245" i="6" s="1"/>
  <c r="M149" i="6"/>
  <c r="N149" i="6" s="1"/>
  <c r="M134" i="6"/>
  <c r="N134" i="6" s="1"/>
  <c r="M36" i="6"/>
  <c r="N36" i="6" s="1"/>
  <c r="M129" i="6"/>
  <c r="N129" i="6" s="1"/>
  <c r="O129" i="6"/>
  <c r="M152" i="6"/>
  <c r="N152" i="6" s="1"/>
  <c r="M20" i="6"/>
  <c r="N20" i="6" s="1"/>
  <c r="M37" i="6"/>
  <c r="N37" i="6" s="1"/>
  <c r="M254" i="6"/>
  <c r="N254" i="6" s="1"/>
  <c r="O254" i="6"/>
  <c r="M117" i="6"/>
  <c r="N117" i="6" s="1"/>
  <c r="O117" i="6"/>
  <c r="M182" i="6"/>
  <c r="N182" i="6" s="1"/>
  <c r="O182" i="6"/>
  <c r="M9" i="6"/>
  <c r="N9" i="6" s="1"/>
  <c r="S31" i="4" s="1"/>
  <c r="M181" i="6"/>
  <c r="N181" i="6" s="1"/>
  <c r="M274" i="6"/>
  <c r="N274" i="6" s="1"/>
  <c r="M114" i="6"/>
  <c r="N114" i="6" s="1"/>
  <c r="M103" i="6"/>
  <c r="N103" i="6" s="1"/>
  <c r="M13" i="6"/>
  <c r="N13" i="6" s="1"/>
  <c r="S35" i="4" s="1"/>
  <c r="M34" i="6"/>
  <c r="N34" i="6" s="1"/>
  <c r="M106" i="6"/>
  <c r="N106" i="6" s="1"/>
  <c r="O176" i="6"/>
  <c r="M176" i="6"/>
  <c r="N176" i="6" s="1"/>
  <c r="M12" i="6"/>
  <c r="N12" i="6" s="1"/>
  <c r="S34" i="4" s="1"/>
  <c r="O39" i="6"/>
  <c r="M39" i="6"/>
  <c r="N39" i="6" s="1"/>
  <c r="O247" i="6"/>
  <c r="M247" i="6"/>
  <c r="N247" i="6" s="1"/>
  <c r="M3" i="6"/>
  <c r="N3" i="6" s="1"/>
  <c r="S25" i="4" s="1"/>
  <c r="M81" i="6"/>
  <c r="N81" i="6" s="1"/>
  <c r="O81" i="6"/>
  <c r="M177" i="6"/>
  <c r="N177" i="6" s="1"/>
  <c r="M4" i="6"/>
  <c r="N4" i="6" s="1"/>
  <c r="S26" i="4" s="1"/>
  <c r="M178" i="6"/>
  <c r="N178" i="6" s="1"/>
  <c r="M289" i="6"/>
  <c r="N289" i="6" s="1"/>
  <c r="M33" i="6"/>
  <c r="N33" i="6" s="1"/>
  <c r="M7" i="6"/>
  <c r="N7" i="6" s="1"/>
  <c r="S29" i="4" s="1"/>
  <c r="M100" i="6"/>
  <c r="N100" i="6" s="1"/>
  <c r="M162" i="6"/>
  <c r="N162" i="6" s="1"/>
  <c r="M282" i="6"/>
  <c r="N282" i="6" s="1"/>
  <c r="M204" i="6"/>
  <c r="N204" i="6" s="1"/>
  <c r="M131" i="6"/>
  <c r="N131" i="6" s="1"/>
  <c r="M237" i="6"/>
  <c r="N237" i="6" s="1"/>
  <c r="M236" i="6"/>
  <c r="N236" i="6" s="1"/>
  <c r="M143" i="6"/>
  <c r="N143" i="6" s="1"/>
  <c r="M252" i="6"/>
  <c r="N252" i="6" s="1"/>
  <c r="M22" i="6"/>
  <c r="N22" i="6" s="1"/>
  <c r="M2" i="6"/>
  <c r="M8" i="6"/>
  <c r="N8" i="6" s="1"/>
  <c r="S30" i="4" s="1"/>
  <c r="Q14" i="4"/>
  <c r="Q13" i="4"/>
  <c r="R97" i="7" l="1"/>
  <c r="S97" i="7" s="1"/>
  <c r="R76" i="7"/>
  <c r="S76" i="7" s="1"/>
  <c r="R71" i="7"/>
  <c r="S71" i="7" s="1"/>
  <c r="R192" i="7"/>
  <c r="S192" i="7" s="1"/>
  <c r="R116" i="7"/>
  <c r="S116" i="7" s="1"/>
  <c r="R47" i="7"/>
  <c r="S47" i="7" s="1"/>
  <c r="R145" i="7"/>
  <c r="S145" i="7" s="1"/>
  <c r="R147" i="7"/>
  <c r="S147" i="7" s="1"/>
  <c r="R181" i="7"/>
  <c r="S181" i="7" s="1"/>
  <c r="R188" i="7"/>
  <c r="S188" i="7" s="1"/>
  <c r="R138" i="7"/>
  <c r="S138" i="7" s="1"/>
  <c r="R139" i="7"/>
  <c r="S139" i="7" s="1"/>
  <c r="R142" i="7"/>
  <c r="S142" i="7" s="1"/>
  <c r="R144" i="7"/>
  <c r="S144" i="7" s="1"/>
  <c r="R99" i="7"/>
  <c r="S99" i="7" s="1"/>
  <c r="R143" i="7"/>
  <c r="S143" i="7" s="1"/>
  <c r="R65" i="7"/>
  <c r="S65" i="7" s="1"/>
  <c r="R44" i="7"/>
  <c r="S44" i="7" s="1"/>
  <c r="R137" i="7"/>
  <c r="S137" i="7" s="1"/>
  <c r="R189" i="7"/>
  <c r="S189" i="7" s="1"/>
  <c r="R185" i="7"/>
  <c r="S185" i="7" s="1"/>
  <c r="R112" i="7"/>
  <c r="S112" i="7" s="1"/>
  <c r="R175" i="7"/>
  <c r="S175" i="7" s="1"/>
  <c r="R93" i="7"/>
  <c r="S93" i="7" s="1"/>
  <c r="R136" i="7"/>
  <c r="S136" i="7" s="1"/>
  <c r="R179" i="7"/>
  <c r="S179" i="7" s="1"/>
  <c r="R176" i="7"/>
  <c r="S176" i="7" s="1"/>
  <c r="R46" i="7"/>
  <c r="S46" i="7" s="1"/>
  <c r="R107" i="7"/>
  <c r="S107" i="7" s="1"/>
  <c r="R180" i="7"/>
  <c r="S180" i="7" s="1"/>
  <c r="R177" i="7"/>
  <c r="S177" i="7" s="1"/>
  <c r="R91" i="7"/>
  <c r="S91" i="7" s="1"/>
  <c r="R141" i="7"/>
  <c r="S141" i="7" s="1"/>
  <c r="R110" i="7"/>
  <c r="S110" i="7" s="1"/>
  <c r="R134" i="7"/>
  <c r="S134" i="7" s="1"/>
  <c r="R105" i="7"/>
  <c r="S105" i="7" s="1"/>
  <c r="R173" i="7"/>
  <c r="S173" i="7" s="1"/>
  <c r="R174" i="7"/>
  <c r="S174" i="7" s="1"/>
  <c r="R135" i="7"/>
  <c r="S135" i="7" s="1"/>
  <c r="R48" i="7"/>
  <c r="S48" i="7" s="1"/>
  <c r="R51" i="7"/>
  <c r="S51" i="7" s="1"/>
  <c r="R72" i="7"/>
  <c r="S72" i="7" s="1"/>
  <c r="R117" i="7"/>
  <c r="S117" i="7" s="1"/>
  <c r="R203" i="7"/>
  <c r="S203" i="7" s="1"/>
  <c r="R95" i="7"/>
  <c r="S95" i="7" s="1"/>
  <c r="R205" i="7"/>
  <c r="S205" i="7" s="1"/>
  <c r="R41" i="7"/>
  <c r="S41" i="7" s="1"/>
  <c r="R75" i="7"/>
  <c r="S75" i="7" s="1"/>
  <c r="R207" i="7"/>
  <c r="S207" i="7" s="1"/>
  <c r="R199" i="7"/>
  <c r="S199" i="7" s="1"/>
  <c r="R202" i="7"/>
  <c r="S202" i="7" s="1"/>
  <c r="R54" i="7"/>
  <c r="S54" i="7" s="1"/>
  <c r="R84" i="7"/>
  <c r="S84" i="7" s="1"/>
  <c r="R53" i="7"/>
  <c r="S53" i="7" s="1"/>
  <c r="R55" i="7"/>
  <c r="S55" i="7" s="1"/>
  <c r="R49" i="7"/>
  <c r="S49" i="7" s="1"/>
  <c r="R190" i="7"/>
  <c r="S190" i="7" s="1"/>
  <c r="R74" i="7"/>
  <c r="S74" i="7" s="1"/>
  <c r="R123" i="7"/>
  <c r="S123" i="7" s="1"/>
  <c r="R50" i="7"/>
  <c r="S50" i="7" s="1"/>
  <c r="R35" i="7"/>
  <c r="S35" i="7" s="1"/>
  <c r="R52" i="7"/>
  <c r="S52" i="7" s="1"/>
  <c r="R56" i="7"/>
  <c r="S56" i="7" s="1"/>
  <c r="R102" i="7"/>
  <c r="S102" i="7" s="1"/>
  <c r="R195" i="7"/>
  <c r="S195" i="7" s="1"/>
  <c r="R201" i="7"/>
  <c r="S201" i="7" s="1"/>
  <c r="R38" i="7"/>
  <c r="S38" i="7" s="1"/>
  <c r="R45" i="7"/>
  <c r="S45" i="7" s="1"/>
  <c r="R204" i="7"/>
  <c r="S204" i="7" s="1"/>
  <c r="R37" i="7"/>
  <c r="S37" i="7" s="1"/>
  <c r="R57" i="7"/>
  <c r="S57" i="7" s="1"/>
  <c r="R77" i="7"/>
  <c r="S77" i="7" s="1"/>
  <c r="R80" i="7"/>
  <c r="S80" i="7" s="1"/>
  <c r="R61" i="7"/>
  <c r="S61" i="7" s="1"/>
  <c r="R94" i="7"/>
  <c r="S94" i="7" s="1"/>
  <c r="R182" i="7"/>
  <c r="S182" i="7" s="1"/>
  <c r="R191" i="7"/>
  <c r="S191" i="7" s="1"/>
  <c r="R59" i="7"/>
  <c r="S59" i="7" s="1"/>
  <c r="R66" i="7"/>
  <c r="S66" i="7" s="1"/>
  <c r="R121" i="7"/>
  <c r="S121" i="7" s="1"/>
  <c r="R42" i="7"/>
  <c r="S42" i="7" s="1"/>
  <c r="R96" i="7"/>
  <c r="S96" i="7" s="1"/>
  <c r="R90" i="7"/>
  <c r="S90" i="7" s="1"/>
  <c r="R216" i="7"/>
  <c r="S216" i="7" s="1"/>
  <c r="R78" i="7"/>
  <c r="S78" i="7" s="1"/>
  <c r="R115" i="7"/>
  <c r="S115" i="7" s="1"/>
  <c r="R114" i="7"/>
  <c r="S114" i="7" s="1"/>
  <c r="R63" i="7"/>
  <c r="S63" i="7" s="1"/>
  <c r="R133" i="7"/>
  <c r="S133" i="7" s="1"/>
  <c r="R132" i="7"/>
  <c r="S132" i="7" s="1"/>
  <c r="R209" i="7"/>
  <c r="S209" i="7" s="1"/>
  <c r="R215" i="7"/>
  <c r="S215" i="7" s="1"/>
  <c r="R125" i="7"/>
  <c r="S125" i="7" s="1"/>
  <c r="R113" i="7"/>
  <c r="S113" i="7" s="1"/>
  <c r="R109" i="7"/>
  <c r="S109" i="7" s="1"/>
  <c r="R86" i="7"/>
  <c r="S86" i="7" s="1"/>
  <c r="R89" i="7"/>
  <c r="S89" i="7" s="1"/>
  <c r="R218" i="7"/>
  <c r="S218" i="7" s="1"/>
  <c r="R79" i="7"/>
  <c r="S79" i="7" s="1"/>
  <c r="R62" i="7"/>
  <c r="S62" i="7" s="1"/>
  <c r="R124" i="7"/>
  <c r="S124" i="7" s="1"/>
  <c r="R100" i="7"/>
  <c r="S100" i="7" s="1"/>
  <c r="R211" i="7"/>
  <c r="S211" i="7" s="1"/>
  <c r="R68" i="7"/>
  <c r="S68" i="7" s="1"/>
  <c r="R213" i="7"/>
  <c r="S213" i="7" s="1"/>
  <c r="R40" i="7"/>
  <c r="S40" i="7" s="1"/>
  <c r="R81" i="7"/>
  <c r="S81" i="7" s="1"/>
  <c r="R128" i="7"/>
  <c r="S128" i="7" s="1"/>
  <c r="R214" i="7"/>
  <c r="S214" i="7" s="1"/>
  <c r="R120" i="7"/>
  <c r="S120" i="7" s="1"/>
  <c r="R194" i="7"/>
  <c r="S194" i="7" s="1"/>
  <c r="S2" i="7"/>
  <c r="T24" i="4" s="1"/>
  <c r="AA4" i="7"/>
  <c r="Z4" i="7"/>
  <c r="Y4" i="7"/>
  <c r="X4" i="7"/>
  <c r="W4" i="7"/>
  <c r="V4" i="7"/>
  <c r="R198" i="7"/>
  <c r="S198" i="7" s="1"/>
  <c r="R196" i="7"/>
  <c r="S196" i="7" s="1"/>
  <c r="R64" i="7"/>
  <c r="S64" i="7" s="1"/>
  <c r="R106" i="7"/>
  <c r="S106" i="7" s="1"/>
  <c r="R212" i="7"/>
  <c r="S212" i="7" s="1"/>
  <c r="R193" i="7"/>
  <c r="S193" i="7" s="1"/>
  <c r="R122" i="7"/>
  <c r="S122" i="7" s="1"/>
  <c r="R131" i="7"/>
  <c r="S131" i="7" s="1"/>
  <c r="R130" i="7"/>
  <c r="S130" i="7" s="1"/>
  <c r="R184" i="7"/>
  <c r="S184" i="7" s="1"/>
  <c r="R197" i="7"/>
  <c r="S197" i="7" s="1"/>
  <c r="R88" i="7"/>
  <c r="S88" i="7" s="1"/>
  <c r="R108" i="7"/>
  <c r="S108" i="7" s="1"/>
  <c r="R129" i="7"/>
  <c r="S129" i="7" s="1"/>
  <c r="R119" i="7"/>
  <c r="S119" i="7" s="1"/>
  <c r="R98" i="7"/>
  <c r="S98" i="7" s="1"/>
  <c r="R183" i="7"/>
  <c r="S183" i="7" s="1"/>
  <c r="R101" i="7"/>
  <c r="S101" i="7" s="1"/>
  <c r="R43" i="7"/>
  <c r="S43" i="7" s="1"/>
  <c r="R33" i="7"/>
  <c r="S33" i="7" s="1"/>
  <c r="R70" i="7"/>
  <c r="S70" i="7" s="1"/>
  <c r="R69" i="7"/>
  <c r="S69" i="7" s="1"/>
  <c r="R87" i="7"/>
  <c r="S87" i="7" s="1"/>
  <c r="R92" i="7"/>
  <c r="S92" i="7" s="1"/>
  <c r="R208" i="7"/>
  <c r="S208" i="7" s="1"/>
  <c r="R39" i="7"/>
  <c r="S39" i="7" s="1"/>
  <c r="R58" i="7"/>
  <c r="S58" i="7" s="1"/>
  <c r="R217" i="7"/>
  <c r="S217" i="7" s="1"/>
  <c r="R85" i="7"/>
  <c r="S85" i="7" s="1"/>
  <c r="R83" i="7"/>
  <c r="S83" i="7" s="1"/>
  <c r="R127" i="7"/>
  <c r="S127" i="7" s="1"/>
  <c r="R34" i="7"/>
  <c r="S34" i="7" s="1"/>
  <c r="R60" i="7"/>
  <c r="S60" i="7" s="1"/>
  <c r="R187" i="7"/>
  <c r="S187" i="7" s="1"/>
  <c r="R103" i="7"/>
  <c r="S103" i="7" s="1"/>
  <c r="R206" i="7"/>
  <c r="S206" i="7" s="1"/>
  <c r="R67" i="7"/>
  <c r="S67" i="7" s="1"/>
  <c r="R82" i="7"/>
  <c r="S82" i="7" s="1"/>
  <c r="R118" i="7"/>
  <c r="S118" i="7" s="1"/>
  <c r="R126" i="7"/>
  <c r="S126" i="7" s="1"/>
  <c r="R210" i="7"/>
  <c r="S210" i="7" s="1"/>
  <c r="R36" i="7"/>
  <c r="S36" i="7" s="1"/>
  <c r="R186" i="7"/>
  <c r="S186" i="7" s="1"/>
  <c r="N2" i="6"/>
  <c r="S24" i="4" s="1"/>
  <c r="T4" i="6"/>
  <c r="S4" i="6"/>
  <c r="V4" i="6"/>
  <c r="R4" i="6"/>
  <c r="Q4" i="6"/>
  <c r="U4" i="6"/>
  <c r="W4" i="6"/>
  <c r="AB4" i="7" l="1"/>
  <c r="Z5" i="7"/>
  <c r="Y5" i="7"/>
  <c r="AA5" i="7"/>
  <c r="X5" i="7"/>
  <c r="W5" i="7"/>
  <c r="V5" i="7"/>
  <c r="AB5" i="7"/>
  <c r="W5" i="6"/>
  <c r="V5" i="6"/>
  <c r="T5" i="6"/>
  <c r="S5" i="6"/>
  <c r="Q5" i="6"/>
  <c r="U5" i="6"/>
  <c r="R5" i="6"/>
  <c r="T22" i="4" l="1"/>
  <c r="S22" i="4"/>
  <c r="G3" i="4" l="1"/>
  <c r="G2" i="4"/>
</calcChain>
</file>

<file path=xl/sharedStrings.xml><?xml version="1.0" encoding="utf-8"?>
<sst xmlns="http://schemas.openxmlformats.org/spreadsheetml/2006/main" count="107" uniqueCount="74">
  <si>
    <t>Date</t>
  </si>
  <si>
    <t>Open</t>
  </si>
  <si>
    <t>High</t>
  </si>
  <si>
    <t>Low</t>
  </si>
  <si>
    <t>Close</t>
  </si>
  <si>
    <t>Adj Close</t>
  </si>
  <si>
    <t>Volume</t>
  </si>
  <si>
    <t>Long</t>
  </si>
  <si>
    <t>Short</t>
  </si>
  <si>
    <t>Last</t>
  </si>
  <si>
    <t>Entry Price</t>
  </si>
  <si>
    <t>Stop-Loss</t>
  </si>
  <si>
    <t>Target</t>
  </si>
  <si>
    <t>Timeframe</t>
  </si>
  <si>
    <t>Theoretical Stop</t>
  </si>
  <si>
    <t>Risk Reward</t>
  </si>
  <si>
    <t>Beta</t>
  </si>
  <si>
    <t>Stock</t>
  </si>
  <si>
    <t>Capital</t>
  </si>
  <si>
    <t>Shares</t>
  </si>
  <si>
    <t>high - low</t>
  </si>
  <si>
    <t>high - previous close</t>
  </si>
  <si>
    <t>low - previous close</t>
  </si>
  <si>
    <t>True Range</t>
  </si>
  <si>
    <t>Average True Range</t>
  </si>
  <si>
    <t>Average True Range Monthly %</t>
  </si>
  <si>
    <t>True Range Monthly %</t>
  </si>
  <si>
    <t>in c</t>
  </si>
  <si>
    <t>in %</t>
  </si>
  <si>
    <t xml:space="preserve">ATR monthly 14 </t>
  </si>
  <si>
    <t xml:space="preserve">Stock: </t>
  </si>
  <si>
    <t>Average True Range %</t>
  </si>
  <si>
    <t>Cf. Video 32 - beta.xlsm</t>
  </si>
  <si>
    <t>BUD</t>
  </si>
  <si>
    <t>Company Name</t>
  </si>
  <si>
    <t>Ticker</t>
  </si>
  <si>
    <t>Exchange</t>
  </si>
  <si>
    <t>Sector</t>
  </si>
  <si>
    <t>Industry</t>
  </si>
  <si>
    <t>Month of Fiscal Yr End</t>
  </si>
  <si>
    <t xml:space="preserve">Market Cap </t>
  </si>
  <si>
    <t>F0 Consensus Est.</t>
  </si>
  <si>
    <t>F1 Consensus Est.</t>
  </si>
  <si>
    <t>F2 Consensus Est.</t>
  </si>
  <si>
    <t>P/E (Trailing 12 Months)</t>
  </si>
  <si>
    <t>P/E (F1)</t>
  </si>
  <si>
    <t>P/E (F2)</t>
  </si>
  <si>
    <t>EPS Growth F1</t>
  </si>
  <si>
    <t>EPS Growth F2</t>
  </si>
  <si>
    <t>PEG Ratio</t>
  </si>
  <si>
    <t>PEG F1</t>
  </si>
  <si>
    <t>PEG F2</t>
  </si>
  <si>
    <t>Current ROE (TTM)</t>
  </si>
  <si>
    <t>F(1) Consensus Sales Est. (Mil.)</t>
  </si>
  <si>
    <t>5 Yr Historical Sales Growth</t>
  </si>
  <si>
    <t>Sales Growth F1</t>
  </si>
  <si>
    <t>Last EPS Surprise (%)</t>
  </si>
  <si>
    <t>Div. Yield %</t>
  </si>
  <si>
    <t>Sales F0</t>
  </si>
  <si>
    <t xml:space="preserve">Next EPS Report Date </t>
  </si>
  <si>
    <t>NYSE</t>
  </si>
  <si>
    <t>Anheuser-Busch InBev SA/NV</t>
  </si>
  <si>
    <t>Consumer Staples</t>
  </si>
  <si>
    <t>Beverages - Alcohol</t>
  </si>
  <si>
    <t>Call BUD</t>
  </si>
  <si>
    <t>4-5 months</t>
  </si>
  <si>
    <t>Earnings on the 10/25/2019</t>
  </si>
  <si>
    <t>Want to be hedge on earnings</t>
  </si>
  <si>
    <t>Buying Call 100 11/15/2019 at 1.95</t>
  </si>
  <si>
    <t>Max Loss</t>
  </si>
  <si>
    <t>Calculation Delta</t>
  </si>
  <si>
    <t>Delta net adjusted</t>
  </si>
  <si>
    <t>Short Stocks</t>
  </si>
  <si>
    <t>Position Delta Adjusted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</si>
</sst>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4" tint="0.7999511703848384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84">
    <xf numFmtId="0" fontId="0" fillId="0" borderId="0" xfId="0"/>
    <xf numFmtId="14" fontId="0" fillId="0" borderId="0" xfId="0" applyNumberFormat="1"/>
    <xf numFmtId="0" fontId="2" fillId="0" borderId="0" xfId="2"/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14" fontId="0" fillId="2" borderId="0" xfId="0" applyNumberFormat="1" applyFill="1" applyAlignment="1">
      <alignment horizontal="center"/>
    </xf>
    <xf numFmtId="1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/>
    <xf numFmtId="0" fontId="5" fillId="2" borderId="0" xfId="0" applyFont="1" applyFill="1"/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164" fontId="0" fillId="2" borderId="1" xfId="1" applyNumberFormat="1" applyFont="1" applyFill="1" applyBorder="1" applyAlignment="1">
      <alignment horizontal="center"/>
    </xf>
    <xf numFmtId="0" fontId="6" fillId="2" borderId="2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horizontal="center"/>
    </xf>
    <xf numFmtId="164" fontId="6" fillId="2" borderId="5" xfId="1" applyNumberFormat="1" applyFont="1" applyFill="1" applyBorder="1" applyAlignment="1">
      <alignment horizontal="center"/>
    </xf>
    <xf numFmtId="0" fontId="6" fillId="2" borderId="6" xfId="0" applyFont="1" applyFill="1" applyBorder="1"/>
    <xf numFmtId="0" fontId="6" fillId="2" borderId="7" xfId="0" applyFont="1" applyFill="1" applyBorder="1"/>
    <xf numFmtId="0" fontId="0" fillId="2" borderId="1" xfId="0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9" fillId="2" borderId="8" xfId="0" applyFont="1" applyFill="1" applyBorder="1"/>
    <xf numFmtId="0" fontId="9" fillId="2" borderId="8" xfId="0" applyFont="1" applyFill="1" applyBorder="1" applyAlignment="1">
      <alignment horizontal="center"/>
    </xf>
    <xf numFmtId="0" fontId="10" fillId="2" borderId="1" xfId="0" applyFont="1" applyFill="1" applyBorder="1"/>
    <xf numFmtId="0" fontId="11" fillId="2" borderId="1" xfId="0" applyFont="1" applyFill="1" applyBorder="1" applyAlignment="1">
      <alignment horizontal="center"/>
    </xf>
    <xf numFmtId="3" fontId="11" fillId="2" borderId="1" xfId="0" applyNumberFormat="1" applyFont="1" applyFill="1" applyBorder="1" applyAlignment="1">
      <alignment horizontal="center"/>
    </xf>
    <xf numFmtId="0" fontId="12" fillId="2" borderId="1" xfId="0" applyFont="1" applyFill="1" applyBorder="1"/>
    <xf numFmtId="0" fontId="7" fillId="2" borderId="1" xfId="0" applyFont="1" applyFill="1" applyBorder="1" applyAlignment="1">
      <alignment horizontal="center"/>
    </xf>
    <xf numFmtId="3" fontId="7" fillId="2" borderId="1" xfId="0" applyNumberFormat="1" applyFont="1" applyFill="1" applyBorder="1" applyAlignment="1">
      <alignment horizontal="center"/>
    </xf>
    <xf numFmtId="4" fontId="0" fillId="2" borderId="9" xfId="0" applyNumberFormat="1" applyFill="1" applyBorder="1" applyAlignment="1">
      <alignment horizontal="center"/>
    </xf>
    <xf numFmtId="2" fontId="11" fillId="2" borderId="1" xfId="0" applyNumberFormat="1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2" fontId="0" fillId="2" borderId="0" xfId="0" applyNumberFormat="1" applyFill="1"/>
    <xf numFmtId="0" fontId="0" fillId="2" borderId="0" xfId="0" applyFill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1" xfId="0" applyFont="1" applyFill="1" applyBorder="1" applyAlignment="1">
      <alignment horizontal="center" wrapText="1"/>
    </xf>
    <xf numFmtId="10" fontId="8" fillId="4" borderId="1" xfId="0" applyNumberFormat="1" applyFont="1" applyFill="1" applyBorder="1" applyAlignment="1">
      <alignment horizontal="center" wrapText="1"/>
    </xf>
    <xf numFmtId="10" fontId="0" fillId="2" borderId="0" xfId="0" applyNumberFormat="1" applyFill="1"/>
    <xf numFmtId="10" fontId="0" fillId="2" borderId="0" xfId="1" applyNumberFormat="1" applyFont="1" applyFill="1"/>
    <xf numFmtId="0" fontId="0" fillId="5" borderId="1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0" fontId="8" fillId="2" borderId="0" xfId="0" applyFont="1" applyFill="1"/>
    <xf numFmtId="0" fontId="8" fillId="4" borderId="0" xfId="0" applyFont="1" applyFill="1"/>
    <xf numFmtId="2" fontId="8" fillId="4" borderId="1" xfId="0" applyNumberFormat="1" applyFont="1" applyFill="1" applyBorder="1" applyAlignment="1">
      <alignment wrapText="1"/>
    </xf>
    <xf numFmtId="10" fontId="8" fillId="4" borderId="1" xfId="0" applyNumberFormat="1" applyFont="1" applyFill="1" applyBorder="1" applyAlignment="1">
      <alignment wrapText="1"/>
    </xf>
    <xf numFmtId="165" fontId="6" fillId="2" borderId="3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0" fillId="6" borderId="2" xfId="0" applyFill="1" applyBorder="1"/>
    <xf numFmtId="0" fontId="0" fillId="6" borderId="11" xfId="0" applyFill="1" applyBorder="1"/>
    <xf numFmtId="0" fontId="0" fillId="7" borderId="11" xfId="0" applyFill="1" applyBorder="1"/>
    <xf numFmtId="3" fontId="0" fillId="7" borderId="11" xfId="0" applyNumberFormat="1" applyFill="1" applyBorder="1"/>
    <xf numFmtId="0" fontId="0" fillId="5" borderId="11" xfId="0" applyFill="1" applyBorder="1"/>
    <xf numFmtId="0" fontId="0" fillId="8" borderId="11" xfId="0" applyFill="1" applyBorder="1"/>
    <xf numFmtId="0" fontId="0" fillId="9" borderId="11" xfId="0" applyFill="1" applyBorder="1"/>
    <xf numFmtId="0" fontId="0" fillId="10" borderId="11" xfId="0" applyFill="1" applyBorder="1"/>
    <xf numFmtId="0" fontId="0" fillId="11" borderId="11" xfId="0" applyFill="1" applyBorder="1"/>
    <xf numFmtId="1" fontId="0" fillId="11" borderId="11" xfId="0" applyNumberFormat="1" applyFill="1" applyBorder="1"/>
    <xf numFmtId="3" fontId="0" fillId="11" borderId="11" xfId="0" applyNumberFormat="1" applyFill="1" applyBorder="1"/>
    <xf numFmtId="0" fontId="0" fillId="12" borderId="11" xfId="0" applyFill="1" applyBorder="1"/>
    <xf numFmtId="0" fontId="0" fillId="12" borderId="3" xfId="0" applyFill="1" applyBorder="1"/>
    <xf numFmtId="0" fontId="0" fillId="6" borderId="6" xfId="0" applyFill="1" applyBorder="1"/>
    <xf numFmtId="0" fontId="0" fillId="6" borderId="12" xfId="0" applyFill="1" applyBorder="1"/>
    <xf numFmtId="0" fontId="0" fillId="7" borderId="12" xfId="0" applyFill="1" applyBorder="1"/>
    <xf numFmtId="3" fontId="0" fillId="7" borderId="12" xfId="0" applyNumberFormat="1" applyFill="1" applyBorder="1"/>
    <xf numFmtId="0" fontId="0" fillId="5" borderId="12" xfId="0" applyFill="1" applyBorder="1"/>
    <xf numFmtId="0" fontId="0" fillId="8" borderId="12" xfId="0" applyFill="1" applyBorder="1"/>
    <xf numFmtId="10" fontId="0" fillId="9" borderId="12" xfId="0" applyNumberFormat="1" applyFill="1" applyBorder="1"/>
    <xf numFmtId="0" fontId="0" fillId="10" borderId="12" xfId="0" applyFill="1" applyBorder="1"/>
    <xf numFmtId="2" fontId="0" fillId="10" borderId="12" xfId="0" applyNumberFormat="1" applyFill="1" applyBorder="1"/>
    <xf numFmtId="0" fontId="0" fillId="11" borderId="12" xfId="0" applyFill="1" applyBorder="1"/>
    <xf numFmtId="1" fontId="0" fillId="11" borderId="12" xfId="0" applyNumberFormat="1" applyFill="1" applyBorder="1"/>
    <xf numFmtId="3" fontId="0" fillId="11" borderId="12" xfId="0" applyNumberFormat="1" applyFill="1" applyBorder="1"/>
    <xf numFmtId="10" fontId="0" fillId="11" borderId="12" xfId="0" applyNumberFormat="1" applyFill="1" applyBorder="1"/>
    <xf numFmtId="0" fontId="0" fillId="12" borderId="12" xfId="0" applyFill="1" applyBorder="1"/>
    <xf numFmtId="0" fontId="0" fillId="12" borderId="7" xfId="0" applyFill="1" applyBorder="1"/>
    <xf numFmtId="165" fontId="0" fillId="2" borderId="0" xfId="0" applyNumberFormat="1" applyFill="1"/>
    <xf numFmtId="4" fontId="0" fillId="2" borderId="0" xfId="0" applyNumberFormat="1" applyFill="1" applyAlignment="1"/>
    <xf numFmtId="3" fontId="0" fillId="2" borderId="0" xfId="0" applyNumberFormat="1" applyFill="1" applyAlignment="1"/>
    <xf numFmtId="3" fontId="0" fillId="2" borderId="0" xfId="0" applyNumberFormat="1" applyFill="1"/>
  </cellXfs>
  <cellStyles count="3">
    <cellStyle name="Hyperlink" xfId="2" builtinId="8"/>
    <cellStyle name="Normal" xfId="0" builtinId="0"/>
    <cellStyle name="Percent" xfId="1" builtinId="5"/>
  </cellStyles>
  <dxfs count="4"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'Bud vs Call'!$B$3</c:f>
              <c:strCache>
                <c:ptCount val="1"/>
                <c:pt idx="0">
                  <c:v>BUD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'Bud vs Call'!$A$6:$A$2569</c:f>
              <c:numCache>
                <c:formatCode>m/d/yyyy</c:formatCode>
                <c:ptCount val="2564"/>
                <c:pt idx="0">
                  <c:v>39995</c:v>
                </c:pt>
                <c:pt idx="1">
                  <c:v>39996</c:v>
                </c:pt>
                <c:pt idx="2">
                  <c:v>40000</c:v>
                </c:pt>
                <c:pt idx="3">
                  <c:v>40001</c:v>
                </c:pt>
                <c:pt idx="4">
                  <c:v>40002</c:v>
                </c:pt>
                <c:pt idx="5">
                  <c:v>40003</c:v>
                </c:pt>
                <c:pt idx="6">
                  <c:v>40004</c:v>
                </c:pt>
                <c:pt idx="7">
                  <c:v>40007</c:v>
                </c:pt>
                <c:pt idx="8">
                  <c:v>40008</c:v>
                </c:pt>
                <c:pt idx="9">
                  <c:v>40009</c:v>
                </c:pt>
                <c:pt idx="10">
                  <c:v>40010</c:v>
                </c:pt>
                <c:pt idx="11">
                  <c:v>40011</c:v>
                </c:pt>
                <c:pt idx="12">
                  <c:v>40014</c:v>
                </c:pt>
                <c:pt idx="13">
                  <c:v>40015</c:v>
                </c:pt>
                <c:pt idx="14">
                  <c:v>40016</c:v>
                </c:pt>
                <c:pt idx="15">
                  <c:v>40017</c:v>
                </c:pt>
                <c:pt idx="16">
                  <c:v>40018</c:v>
                </c:pt>
                <c:pt idx="17">
                  <c:v>40021</c:v>
                </c:pt>
                <c:pt idx="18">
                  <c:v>40022</c:v>
                </c:pt>
                <c:pt idx="19">
                  <c:v>40023</c:v>
                </c:pt>
                <c:pt idx="20">
                  <c:v>40024</c:v>
                </c:pt>
                <c:pt idx="21">
                  <c:v>40025</c:v>
                </c:pt>
                <c:pt idx="22">
                  <c:v>40028</c:v>
                </c:pt>
                <c:pt idx="23">
                  <c:v>40029</c:v>
                </c:pt>
                <c:pt idx="24">
                  <c:v>40030</c:v>
                </c:pt>
                <c:pt idx="25">
                  <c:v>40031</c:v>
                </c:pt>
                <c:pt idx="26">
                  <c:v>40032</c:v>
                </c:pt>
                <c:pt idx="27">
                  <c:v>40035</c:v>
                </c:pt>
                <c:pt idx="28">
                  <c:v>40036</c:v>
                </c:pt>
                <c:pt idx="29">
                  <c:v>40037</c:v>
                </c:pt>
                <c:pt idx="30">
                  <c:v>40038</c:v>
                </c:pt>
                <c:pt idx="31">
                  <c:v>40039</c:v>
                </c:pt>
                <c:pt idx="32">
                  <c:v>40042</c:v>
                </c:pt>
                <c:pt idx="33">
                  <c:v>40043</c:v>
                </c:pt>
                <c:pt idx="34">
                  <c:v>40044</c:v>
                </c:pt>
                <c:pt idx="35">
                  <c:v>40045</c:v>
                </c:pt>
                <c:pt idx="36">
                  <c:v>40046</c:v>
                </c:pt>
                <c:pt idx="37">
                  <c:v>40049</c:v>
                </c:pt>
                <c:pt idx="38">
                  <c:v>40050</c:v>
                </c:pt>
                <c:pt idx="39">
                  <c:v>40051</c:v>
                </c:pt>
                <c:pt idx="40">
                  <c:v>40052</c:v>
                </c:pt>
                <c:pt idx="41">
                  <c:v>40053</c:v>
                </c:pt>
                <c:pt idx="42">
                  <c:v>40056</c:v>
                </c:pt>
                <c:pt idx="43">
                  <c:v>40057</c:v>
                </c:pt>
                <c:pt idx="44">
                  <c:v>40058</c:v>
                </c:pt>
                <c:pt idx="45">
                  <c:v>40059</c:v>
                </c:pt>
                <c:pt idx="46">
                  <c:v>40060</c:v>
                </c:pt>
                <c:pt idx="47">
                  <c:v>40064</c:v>
                </c:pt>
                <c:pt idx="48">
                  <c:v>40065</c:v>
                </c:pt>
                <c:pt idx="49">
                  <c:v>40066</c:v>
                </c:pt>
                <c:pt idx="50">
                  <c:v>40067</c:v>
                </c:pt>
                <c:pt idx="51">
                  <c:v>40070</c:v>
                </c:pt>
                <c:pt idx="52">
                  <c:v>40071</c:v>
                </c:pt>
                <c:pt idx="53">
                  <c:v>40072</c:v>
                </c:pt>
                <c:pt idx="54">
                  <c:v>40073</c:v>
                </c:pt>
                <c:pt idx="55">
                  <c:v>40074</c:v>
                </c:pt>
                <c:pt idx="56">
                  <c:v>40077</c:v>
                </c:pt>
                <c:pt idx="57">
                  <c:v>40078</c:v>
                </c:pt>
                <c:pt idx="58">
                  <c:v>40079</c:v>
                </c:pt>
                <c:pt idx="59">
                  <c:v>40080</c:v>
                </c:pt>
                <c:pt idx="60">
                  <c:v>40081</c:v>
                </c:pt>
                <c:pt idx="61">
                  <c:v>40084</c:v>
                </c:pt>
                <c:pt idx="62">
                  <c:v>40085</c:v>
                </c:pt>
                <c:pt idx="63">
                  <c:v>40086</c:v>
                </c:pt>
                <c:pt idx="64">
                  <c:v>40087</c:v>
                </c:pt>
                <c:pt idx="65">
                  <c:v>40088</c:v>
                </c:pt>
                <c:pt idx="66">
                  <c:v>40091</c:v>
                </c:pt>
                <c:pt idx="67">
                  <c:v>40092</c:v>
                </c:pt>
                <c:pt idx="68">
                  <c:v>40093</c:v>
                </c:pt>
                <c:pt idx="69">
                  <c:v>40094</c:v>
                </c:pt>
                <c:pt idx="70">
                  <c:v>40095</c:v>
                </c:pt>
                <c:pt idx="71">
                  <c:v>40098</c:v>
                </c:pt>
                <c:pt idx="72">
                  <c:v>40099</c:v>
                </c:pt>
                <c:pt idx="73">
                  <c:v>40100</c:v>
                </c:pt>
                <c:pt idx="74">
                  <c:v>40101</c:v>
                </c:pt>
                <c:pt idx="75">
                  <c:v>40102</c:v>
                </c:pt>
                <c:pt idx="76">
                  <c:v>40105</c:v>
                </c:pt>
                <c:pt idx="77">
                  <c:v>40106</c:v>
                </c:pt>
                <c:pt idx="78">
                  <c:v>40107</c:v>
                </c:pt>
                <c:pt idx="79">
                  <c:v>40108</c:v>
                </c:pt>
                <c:pt idx="80">
                  <c:v>40109</c:v>
                </c:pt>
                <c:pt idx="81">
                  <c:v>40112</c:v>
                </c:pt>
                <c:pt idx="82">
                  <c:v>40113</c:v>
                </c:pt>
                <c:pt idx="83">
                  <c:v>40114</c:v>
                </c:pt>
                <c:pt idx="84">
                  <c:v>40115</c:v>
                </c:pt>
                <c:pt idx="85">
                  <c:v>40116</c:v>
                </c:pt>
                <c:pt idx="86">
                  <c:v>40119</c:v>
                </c:pt>
                <c:pt idx="87">
                  <c:v>40120</c:v>
                </c:pt>
                <c:pt idx="88">
                  <c:v>40121</c:v>
                </c:pt>
                <c:pt idx="89">
                  <c:v>40122</c:v>
                </c:pt>
                <c:pt idx="90">
                  <c:v>40123</c:v>
                </c:pt>
                <c:pt idx="91">
                  <c:v>40126</c:v>
                </c:pt>
                <c:pt idx="92">
                  <c:v>40127</c:v>
                </c:pt>
                <c:pt idx="93">
                  <c:v>40128</c:v>
                </c:pt>
                <c:pt idx="94">
                  <c:v>40129</c:v>
                </c:pt>
                <c:pt idx="95">
                  <c:v>40130</c:v>
                </c:pt>
                <c:pt idx="96">
                  <c:v>40133</c:v>
                </c:pt>
                <c:pt idx="97">
                  <c:v>40134</c:v>
                </c:pt>
                <c:pt idx="98">
                  <c:v>40135</c:v>
                </c:pt>
                <c:pt idx="99">
                  <c:v>40136</c:v>
                </c:pt>
                <c:pt idx="100">
                  <c:v>40137</c:v>
                </c:pt>
                <c:pt idx="101">
                  <c:v>40140</c:v>
                </c:pt>
                <c:pt idx="102">
                  <c:v>40141</c:v>
                </c:pt>
                <c:pt idx="103">
                  <c:v>40142</c:v>
                </c:pt>
                <c:pt idx="104">
                  <c:v>40144</c:v>
                </c:pt>
                <c:pt idx="105">
                  <c:v>40147</c:v>
                </c:pt>
                <c:pt idx="106">
                  <c:v>40148</c:v>
                </c:pt>
                <c:pt idx="107">
                  <c:v>40149</c:v>
                </c:pt>
                <c:pt idx="108">
                  <c:v>40150</c:v>
                </c:pt>
                <c:pt idx="109">
                  <c:v>40151</c:v>
                </c:pt>
                <c:pt idx="110">
                  <c:v>40154</c:v>
                </c:pt>
                <c:pt idx="111">
                  <c:v>40155</c:v>
                </c:pt>
                <c:pt idx="112">
                  <c:v>40156</c:v>
                </c:pt>
                <c:pt idx="113">
                  <c:v>40157</c:v>
                </c:pt>
                <c:pt idx="114">
                  <c:v>40158</c:v>
                </c:pt>
                <c:pt idx="115">
                  <c:v>40161</c:v>
                </c:pt>
                <c:pt idx="116">
                  <c:v>40162</c:v>
                </c:pt>
                <c:pt idx="117">
                  <c:v>40163</c:v>
                </c:pt>
                <c:pt idx="118">
                  <c:v>40164</c:v>
                </c:pt>
                <c:pt idx="119">
                  <c:v>40165</c:v>
                </c:pt>
                <c:pt idx="120">
                  <c:v>40168</c:v>
                </c:pt>
                <c:pt idx="121">
                  <c:v>40169</c:v>
                </c:pt>
                <c:pt idx="122">
                  <c:v>40170</c:v>
                </c:pt>
                <c:pt idx="123">
                  <c:v>40171</c:v>
                </c:pt>
                <c:pt idx="124">
                  <c:v>40175</c:v>
                </c:pt>
                <c:pt idx="125">
                  <c:v>40176</c:v>
                </c:pt>
                <c:pt idx="126">
                  <c:v>40177</c:v>
                </c:pt>
                <c:pt idx="127">
                  <c:v>40178</c:v>
                </c:pt>
                <c:pt idx="128">
                  <c:v>40182</c:v>
                </c:pt>
                <c:pt idx="129">
                  <c:v>40183</c:v>
                </c:pt>
                <c:pt idx="130">
                  <c:v>40184</c:v>
                </c:pt>
                <c:pt idx="131">
                  <c:v>40185</c:v>
                </c:pt>
                <c:pt idx="132">
                  <c:v>40186</c:v>
                </c:pt>
                <c:pt idx="133">
                  <c:v>40189</c:v>
                </c:pt>
                <c:pt idx="134">
                  <c:v>40190</c:v>
                </c:pt>
                <c:pt idx="135">
                  <c:v>40191</c:v>
                </c:pt>
                <c:pt idx="136">
                  <c:v>40192</c:v>
                </c:pt>
                <c:pt idx="137">
                  <c:v>40193</c:v>
                </c:pt>
                <c:pt idx="138">
                  <c:v>40197</c:v>
                </c:pt>
                <c:pt idx="139">
                  <c:v>40198</c:v>
                </c:pt>
                <c:pt idx="140">
                  <c:v>40199</c:v>
                </c:pt>
                <c:pt idx="141">
                  <c:v>40200</c:v>
                </c:pt>
                <c:pt idx="142">
                  <c:v>40203</c:v>
                </c:pt>
                <c:pt idx="143">
                  <c:v>40204</c:v>
                </c:pt>
                <c:pt idx="144">
                  <c:v>40205</c:v>
                </c:pt>
                <c:pt idx="145">
                  <c:v>40206</c:v>
                </c:pt>
                <c:pt idx="146">
                  <c:v>40207</c:v>
                </c:pt>
                <c:pt idx="147">
                  <c:v>40210</c:v>
                </c:pt>
                <c:pt idx="148">
                  <c:v>40211</c:v>
                </c:pt>
                <c:pt idx="149">
                  <c:v>40212</c:v>
                </c:pt>
                <c:pt idx="150">
                  <c:v>40213</c:v>
                </c:pt>
                <c:pt idx="151">
                  <c:v>40214</c:v>
                </c:pt>
                <c:pt idx="152">
                  <c:v>40217</c:v>
                </c:pt>
                <c:pt idx="153">
                  <c:v>40218</c:v>
                </c:pt>
                <c:pt idx="154">
                  <c:v>40219</c:v>
                </c:pt>
                <c:pt idx="155">
                  <c:v>40220</c:v>
                </c:pt>
                <c:pt idx="156">
                  <c:v>40221</c:v>
                </c:pt>
                <c:pt idx="157">
                  <c:v>40225</c:v>
                </c:pt>
                <c:pt idx="158">
                  <c:v>40226</c:v>
                </c:pt>
                <c:pt idx="159">
                  <c:v>40227</c:v>
                </c:pt>
                <c:pt idx="160">
                  <c:v>40228</c:v>
                </c:pt>
                <c:pt idx="161">
                  <c:v>40231</c:v>
                </c:pt>
                <c:pt idx="162">
                  <c:v>40232</c:v>
                </c:pt>
                <c:pt idx="163">
                  <c:v>40233</c:v>
                </c:pt>
                <c:pt idx="164">
                  <c:v>40234</c:v>
                </c:pt>
                <c:pt idx="165">
                  <c:v>40235</c:v>
                </c:pt>
                <c:pt idx="166">
                  <c:v>40238</c:v>
                </c:pt>
                <c:pt idx="167">
                  <c:v>40239</c:v>
                </c:pt>
                <c:pt idx="168">
                  <c:v>40240</c:v>
                </c:pt>
                <c:pt idx="169">
                  <c:v>40241</c:v>
                </c:pt>
                <c:pt idx="170">
                  <c:v>40242</c:v>
                </c:pt>
                <c:pt idx="171">
                  <c:v>40245</c:v>
                </c:pt>
                <c:pt idx="172">
                  <c:v>40246</c:v>
                </c:pt>
                <c:pt idx="173">
                  <c:v>40247</c:v>
                </c:pt>
                <c:pt idx="174">
                  <c:v>40248</c:v>
                </c:pt>
                <c:pt idx="175">
                  <c:v>40249</c:v>
                </c:pt>
                <c:pt idx="176">
                  <c:v>40252</c:v>
                </c:pt>
                <c:pt idx="177">
                  <c:v>40253</c:v>
                </c:pt>
                <c:pt idx="178">
                  <c:v>40254</c:v>
                </c:pt>
                <c:pt idx="179">
                  <c:v>40255</c:v>
                </c:pt>
                <c:pt idx="180">
                  <c:v>40256</c:v>
                </c:pt>
                <c:pt idx="181">
                  <c:v>40259</c:v>
                </c:pt>
                <c:pt idx="182">
                  <c:v>40260</c:v>
                </c:pt>
                <c:pt idx="183">
                  <c:v>40261</c:v>
                </c:pt>
                <c:pt idx="184">
                  <c:v>40262</c:v>
                </c:pt>
                <c:pt idx="185">
                  <c:v>40263</c:v>
                </c:pt>
                <c:pt idx="186">
                  <c:v>40266</c:v>
                </c:pt>
                <c:pt idx="187">
                  <c:v>40267</c:v>
                </c:pt>
                <c:pt idx="188">
                  <c:v>40268</c:v>
                </c:pt>
                <c:pt idx="189">
                  <c:v>40269</c:v>
                </c:pt>
                <c:pt idx="190">
                  <c:v>40273</c:v>
                </c:pt>
                <c:pt idx="191">
                  <c:v>40274</c:v>
                </c:pt>
                <c:pt idx="192">
                  <c:v>40275</c:v>
                </c:pt>
                <c:pt idx="193">
                  <c:v>40276</c:v>
                </c:pt>
                <c:pt idx="194">
                  <c:v>40277</c:v>
                </c:pt>
                <c:pt idx="195">
                  <c:v>40280</c:v>
                </c:pt>
                <c:pt idx="196">
                  <c:v>40281</c:v>
                </c:pt>
                <c:pt idx="197">
                  <c:v>40282</c:v>
                </c:pt>
                <c:pt idx="198">
                  <c:v>40283</c:v>
                </c:pt>
                <c:pt idx="199">
                  <c:v>40284</c:v>
                </c:pt>
                <c:pt idx="200">
                  <c:v>40287</c:v>
                </c:pt>
                <c:pt idx="201">
                  <c:v>40288</c:v>
                </c:pt>
                <c:pt idx="202">
                  <c:v>40289</c:v>
                </c:pt>
                <c:pt idx="203">
                  <c:v>40290</c:v>
                </c:pt>
                <c:pt idx="204">
                  <c:v>40291</c:v>
                </c:pt>
                <c:pt idx="205">
                  <c:v>40294</c:v>
                </c:pt>
                <c:pt idx="206">
                  <c:v>40295</c:v>
                </c:pt>
                <c:pt idx="207">
                  <c:v>40296</c:v>
                </c:pt>
                <c:pt idx="208">
                  <c:v>40297</c:v>
                </c:pt>
                <c:pt idx="209">
                  <c:v>40298</c:v>
                </c:pt>
                <c:pt idx="210">
                  <c:v>40301</c:v>
                </c:pt>
                <c:pt idx="211">
                  <c:v>40302</c:v>
                </c:pt>
                <c:pt idx="212">
                  <c:v>40303</c:v>
                </c:pt>
                <c:pt idx="213">
                  <c:v>40304</c:v>
                </c:pt>
                <c:pt idx="214">
                  <c:v>40305</c:v>
                </c:pt>
                <c:pt idx="215">
                  <c:v>40308</c:v>
                </c:pt>
                <c:pt idx="216">
                  <c:v>40309</c:v>
                </c:pt>
                <c:pt idx="217">
                  <c:v>40310</c:v>
                </c:pt>
                <c:pt idx="218">
                  <c:v>40311</c:v>
                </c:pt>
                <c:pt idx="219">
                  <c:v>40312</c:v>
                </c:pt>
                <c:pt idx="220">
                  <c:v>40315</c:v>
                </c:pt>
                <c:pt idx="221">
                  <c:v>40316</c:v>
                </c:pt>
                <c:pt idx="222">
                  <c:v>40317</c:v>
                </c:pt>
                <c:pt idx="223">
                  <c:v>40318</c:v>
                </c:pt>
                <c:pt idx="224">
                  <c:v>40319</c:v>
                </c:pt>
                <c:pt idx="225">
                  <c:v>40322</c:v>
                </c:pt>
                <c:pt idx="226">
                  <c:v>40323</c:v>
                </c:pt>
                <c:pt idx="227">
                  <c:v>40324</c:v>
                </c:pt>
                <c:pt idx="228">
                  <c:v>40325</c:v>
                </c:pt>
                <c:pt idx="229">
                  <c:v>40326</c:v>
                </c:pt>
                <c:pt idx="230">
                  <c:v>40330</c:v>
                </c:pt>
                <c:pt idx="231">
                  <c:v>40331</c:v>
                </c:pt>
                <c:pt idx="232">
                  <c:v>40332</c:v>
                </c:pt>
                <c:pt idx="233">
                  <c:v>40333</c:v>
                </c:pt>
                <c:pt idx="234">
                  <c:v>40336</c:v>
                </c:pt>
                <c:pt idx="235">
                  <c:v>40337</c:v>
                </c:pt>
                <c:pt idx="236">
                  <c:v>40338</c:v>
                </c:pt>
                <c:pt idx="237">
                  <c:v>40339</c:v>
                </c:pt>
                <c:pt idx="238">
                  <c:v>40340</c:v>
                </c:pt>
                <c:pt idx="239">
                  <c:v>40343</c:v>
                </c:pt>
                <c:pt idx="240">
                  <c:v>40344</c:v>
                </c:pt>
                <c:pt idx="241">
                  <c:v>40345</c:v>
                </c:pt>
                <c:pt idx="242">
                  <c:v>40346</c:v>
                </c:pt>
                <c:pt idx="243">
                  <c:v>40347</c:v>
                </c:pt>
                <c:pt idx="244">
                  <c:v>40350</c:v>
                </c:pt>
                <c:pt idx="245">
                  <c:v>40351</c:v>
                </c:pt>
                <c:pt idx="246">
                  <c:v>40352</c:v>
                </c:pt>
                <c:pt idx="247">
                  <c:v>40353</c:v>
                </c:pt>
                <c:pt idx="248">
                  <c:v>40354</c:v>
                </c:pt>
                <c:pt idx="249">
                  <c:v>40357</c:v>
                </c:pt>
                <c:pt idx="250">
                  <c:v>40358</c:v>
                </c:pt>
                <c:pt idx="251">
                  <c:v>40359</c:v>
                </c:pt>
                <c:pt idx="252">
                  <c:v>40360</c:v>
                </c:pt>
                <c:pt idx="253">
                  <c:v>40361</c:v>
                </c:pt>
                <c:pt idx="254">
                  <c:v>40365</c:v>
                </c:pt>
                <c:pt idx="255">
                  <c:v>40366</c:v>
                </c:pt>
                <c:pt idx="256">
                  <c:v>40367</c:v>
                </c:pt>
                <c:pt idx="257">
                  <c:v>40368</c:v>
                </c:pt>
                <c:pt idx="258">
                  <c:v>40371</c:v>
                </c:pt>
                <c:pt idx="259">
                  <c:v>40372</c:v>
                </c:pt>
                <c:pt idx="260">
                  <c:v>40373</c:v>
                </c:pt>
                <c:pt idx="261">
                  <c:v>40374</c:v>
                </c:pt>
                <c:pt idx="262">
                  <c:v>40375</c:v>
                </c:pt>
                <c:pt idx="263">
                  <c:v>40378</c:v>
                </c:pt>
                <c:pt idx="264">
                  <c:v>40379</c:v>
                </c:pt>
                <c:pt idx="265">
                  <c:v>40380</c:v>
                </c:pt>
                <c:pt idx="266">
                  <c:v>40381</c:v>
                </c:pt>
                <c:pt idx="267">
                  <c:v>40382</c:v>
                </c:pt>
                <c:pt idx="268">
                  <c:v>40385</c:v>
                </c:pt>
                <c:pt idx="269">
                  <c:v>40386</c:v>
                </c:pt>
                <c:pt idx="270">
                  <c:v>40387</c:v>
                </c:pt>
                <c:pt idx="271">
                  <c:v>40388</c:v>
                </c:pt>
                <c:pt idx="272">
                  <c:v>40389</c:v>
                </c:pt>
                <c:pt idx="273">
                  <c:v>40392</c:v>
                </c:pt>
                <c:pt idx="274">
                  <c:v>40393</c:v>
                </c:pt>
                <c:pt idx="275">
                  <c:v>40394</c:v>
                </c:pt>
                <c:pt idx="276">
                  <c:v>40395</c:v>
                </c:pt>
                <c:pt idx="277">
                  <c:v>40396</c:v>
                </c:pt>
                <c:pt idx="278">
                  <c:v>40399</c:v>
                </c:pt>
                <c:pt idx="279">
                  <c:v>40400</c:v>
                </c:pt>
                <c:pt idx="280">
                  <c:v>40401</c:v>
                </c:pt>
                <c:pt idx="281">
                  <c:v>40402</c:v>
                </c:pt>
                <c:pt idx="282">
                  <c:v>40403</c:v>
                </c:pt>
                <c:pt idx="283">
                  <c:v>40406</c:v>
                </c:pt>
                <c:pt idx="284">
                  <c:v>40407</c:v>
                </c:pt>
                <c:pt idx="285">
                  <c:v>40408</c:v>
                </c:pt>
                <c:pt idx="286">
                  <c:v>40409</c:v>
                </c:pt>
                <c:pt idx="287">
                  <c:v>40410</c:v>
                </c:pt>
                <c:pt idx="288">
                  <c:v>40413</c:v>
                </c:pt>
                <c:pt idx="289">
                  <c:v>40414</c:v>
                </c:pt>
                <c:pt idx="290">
                  <c:v>40415</c:v>
                </c:pt>
                <c:pt idx="291">
                  <c:v>40416</c:v>
                </c:pt>
                <c:pt idx="292">
                  <c:v>40417</c:v>
                </c:pt>
                <c:pt idx="293">
                  <c:v>40420</c:v>
                </c:pt>
                <c:pt idx="294">
                  <c:v>40421</c:v>
                </c:pt>
                <c:pt idx="295">
                  <c:v>40422</c:v>
                </c:pt>
                <c:pt idx="296">
                  <c:v>40423</c:v>
                </c:pt>
                <c:pt idx="297">
                  <c:v>40424</c:v>
                </c:pt>
                <c:pt idx="298">
                  <c:v>40428</c:v>
                </c:pt>
                <c:pt idx="299">
                  <c:v>40429</c:v>
                </c:pt>
                <c:pt idx="300">
                  <c:v>40430</c:v>
                </c:pt>
                <c:pt idx="301">
                  <c:v>40431</c:v>
                </c:pt>
                <c:pt idx="302">
                  <c:v>40434</c:v>
                </c:pt>
                <c:pt idx="303">
                  <c:v>40435</c:v>
                </c:pt>
                <c:pt idx="304">
                  <c:v>40436</c:v>
                </c:pt>
                <c:pt idx="305">
                  <c:v>40437</c:v>
                </c:pt>
                <c:pt idx="306">
                  <c:v>40438</c:v>
                </c:pt>
                <c:pt idx="307">
                  <c:v>40441</c:v>
                </c:pt>
                <c:pt idx="308">
                  <c:v>40442</c:v>
                </c:pt>
                <c:pt idx="309">
                  <c:v>40443</c:v>
                </c:pt>
                <c:pt idx="310">
                  <c:v>40444</c:v>
                </c:pt>
                <c:pt idx="311">
                  <c:v>40445</c:v>
                </c:pt>
                <c:pt idx="312">
                  <c:v>40448</c:v>
                </c:pt>
                <c:pt idx="313">
                  <c:v>40449</c:v>
                </c:pt>
                <c:pt idx="314">
                  <c:v>40450</c:v>
                </c:pt>
                <c:pt idx="315">
                  <c:v>40451</c:v>
                </c:pt>
                <c:pt idx="316">
                  <c:v>40452</c:v>
                </c:pt>
                <c:pt idx="317">
                  <c:v>40455</c:v>
                </c:pt>
                <c:pt idx="318">
                  <c:v>40456</c:v>
                </c:pt>
                <c:pt idx="319">
                  <c:v>40457</c:v>
                </c:pt>
                <c:pt idx="320">
                  <c:v>40458</c:v>
                </c:pt>
                <c:pt idx="321">
                  <c:v>40459</c:v>
                </c:pt>
                <c:pt idx="322">
                  <c:v>40462</c:v>
                </c:pt>
                <c:pt idx="323">
                  <c:v>40463</c:v>
                </c:pt>
                <c:pt idx="324">
                  <c:v>40464</c:v>
                </c:pt>
                <c:pt idx="325">
                  <c:v>40465</c:v>
                </c:pt>
                <c:pt idx="326">
                  <c:v>40466</c:v>
                </c:pt>
                <c:pt idx="327">
                  <c:v>40469</c:v>
                </c:pt>
                <c:pt idx="328">
                  <c:v>40470</c:v>
                </c:pt>
                <c:pt idx="329">
                  <c:v>40471</c:v>
                </c:pt>
                <c:pt idx="330">
                  <c:v>40472</c:v>
                </c:pt>
                <c:pt idx="331">
                  <c:v>40473</c:v>
                </c:pt>
                <c:pt idx="332">
                  <c:v>40476</c:v>
                </c:pt>
                <c:pt idx="333">
                  <c:v>40477</c:v>
                </c:pt>
                <c:pt idx="334">
                  <c:v>40478</c:v>
                </c:pt>
                <c:pt idx="335">
                  <c:v>40479</c:v>
                </c:pt>
                <c:pt idx="336">
                  <c:v>40480</c:v>
                </c:pt>
                <c:pt idx="337">
                  <c:v>40483</c:v>
                </c:pt>
                <c:pt idx="338">
                  <c:v>40484</c:v>
                </c:pt>
                <c:pt idx="339">
                  <c:v>40485</c:v>
                </c:pt>
                <c:pt idx="340">
                  <c:v>40486</c:v>
                </c:pt>
                <c:pt idx="341">
                  <c:v>40487</c:v>
                </c:pt>
                <c:pt idx="342">
                  <c:v>40490</c:v>
                </c:pt>
                <c:pt idx="343">
                  <c:v>40491</c:v>
                </c:pt>
                <c:pt idx="344">
                  <c:v>40492</c:v>
                </c:pt>
                <c:pt idx="345">
                  <c:v>40493</c:v>
                </c:pt>
                <c:pt idx="346">
                  <c:v>40494</c:v>
                </c:pt>
                <c:pt idx="347">
                  <c:v>40497</c:v>
                </c:pt>
                <c:pt idx="348">
                  <c:v>40498</c:v>
                </c:pt>
                <c:pt idx="349">
                  <c:v>40499</c:v>
                </c:pt>
                <c:pt idx="350">
                  <c:v>40500</c:v>
                </c:pt>
                <c:pt idx="351">
                  <c:v>40501</c:v>
                </c:pt>
                <c:pt idx="352">
                  <c:v>40504</c:v>
                </c:pt>
                <c:pt idx="353">
                  <c:v>40505</c:v>
                </c:pt>
                <c:pt idx="354">
                  <c:v>40506</c:v>
                </c:pt>
                <c:pt idx="355">
                  <c:v>40508</c:v>
                </c:pt>
                <c:pt idx="356">
                  <c:v>40511</c:v>
                </c:pt>
                <c:pt idx="357">
                  <c:v>40512</c:v>
                </c:pt>
                <c:pt idx="358">
                  <c:v>40513</c:v>
                </c:pt>
                <c:pt idx="359">
                  <c:v>40514</c:v>
                </c:pt>
                <c:pt idx="360">
                  <c:v>40515</c:v>
                </c:pt>
                <c:pt idx="361">
                  <c:v>40518</c:v>
                </c:pt>
                <c:pt idx="362">
                  <c:v>40519</c:v>
                </c:pt>
                <c:pt idx="363">
                  <c:v>40520</c:v>
                </c:pt>
                <c:pt idx="364">
                  <c:v>40521</c:v>
                </c:pt>
                <c:pt idx="365">
                  <c:v>40522</c:v>
                </c:pt>
                <c:pt idx="366">
                  <c:v>40525</c:v>
                </c:pt>
                <c:pt idx="367">
                  <c:v>40526</c:v>
                </c:pt>
                <c:pt idx="368">
                  <c:v>40527</c:v>
                </c:pt>
                <c:pt idx="369">
                  <c:v>40528</c:v>
                </c:pt>
                <c:pt idx="370">
                  <c:v>40529</c:v>
                </c:pt>
                <c:pt idx="371">
                  <c:v>40532</c:v>
                </c:pt>
                <c:pt idx="372">
                  <c:v>40533</c:v>
                </c:pt>
                <c:pt idx="373">
                  <c:v>40534</c:v>
                </c:pt>
                <c:pt idx="374">
                  <c:v>40535</c:v>
                </c:pt>
                <c:pt idx="375">
                  <c:v>40539</c:v>
                </c:pt>
                <c:pt idx="376">
                  <c:v>40540</c:v>
                </c:pt>
                <c:pt idx="377">
                  <c:v>40541</c:v>
                </c:pt>
                <c:pt idx="378">
                  <c:v>40542</c:v>
                </c:pt>
                <c:pt idx="379">
                  <c:v>40543</c:v>
                </c:pt>
                <c:pt idx="380">
                  <c:v>40546</c:v>
                </c:pt>
                <c:pt idx="381">
                  <c:v>40547</c:v>
                </c:pt>
                <c:pt idx="382">
                  <c:v>40548</c:v>
                </c:pt>
                <c:pt idx="383">
                  <c:v>40549</c:v>
                </c:pt>
                <c:pt idx="384">
                  <c:v>40550</c:v>
                </c:pt>
                <c:pt idx="385">
                  <c:v>40553</c:v>
                </c:pt>
                <c:pt idx="386">
                  <c:v>40554</c:v>
                </c:pt>
                <c:pt idx="387">
                  <c:v>40555</c:v>
                </c:pt>
                <c:pt idx="388">
                  <c:v>40556</c:v>
                </c:pt>
                <c:pt idx="389">
                  <c:v>40557</c:v>
                </c:pt>
                <c:pt idx="390">
                  <c:v>40561</c:v>
                </c:pt>
                <c:pt idx="391">
                  <c:v>40562</c:v>
                </c:pt>
                <c:pt idx="392">
                  <c:v>40563</c:v>
                </c:pt>
                <c:pt idx="393">
                  <c:v>40564</c:v>
                </c:pt>
                <c:pt idx="394">
                  <c:v>40567</c:v>
                </c:pt>
                <c:pt idx="395">
                  <c:v>40568</c:v>
                </c:pt>
                <c:pt idx="396">
                  <c:v>40569</c:v>
                </c:pt>
                <c:pt idx="397">
                  <c:v>40570</c:v>
                </c:pt>
                <c:pt idx="398">
                  <c:v>40571</c:v>
                </c:pt>
                <c:pt idx="399">
                  <c:v>40574</c:v>
                </c:pt>
                <c:pt idx="400">
                  <c:v>40575</c:v>
                </c:pt>
                <c:pt idx="401">
                  <c:v>40576</c:v>
                </c:pt>
                <c:pt idx="402">
                  <c:v>40577</c:v>
                </c:pt>
                <c:pt idx="403">
                  <c:v>40578</c:v>
                </c:pt>
                <c:pt idx="404">
                  <c:v>40581</c:v>
                </c:pt>
                <c:pt idx="405">
                  <c:v>40582</c:v>
                </c:pt>
                <c:pt idx="406">
                  <c:v>40583</c:v>
                </c:pt>
                <c:pt idx="407">
                  <c:v>40584</c:v>
                </c:pt>
                <c:pt idx="408">
                  <c:v>40585</c:v>
                </c:pt>
                <c:pt idx="409">
                  <c:v>40588</c:v>
                </c:pt>
                <c:pt idx="410">
                  <c:v>40589</c:v>
                </c:pt>
                <c:pt idx="411">
                  <c:v>40590</c:v>
                </c:pt>
                <c:pt idx="412">
                  <c:v>40591</c:v>
                </c:pt>
                <c:pt idx="413">
                  <c:v>40592</c:v>
                </c:pt>
                <c:pt idx="414">
                  <c:v>40596</c:v>
                </c:pt>
                <c:pt idx="415">
                  <c:v>40597</c:v>
                </c:pt>
                <c:pt idx="416">
                  <c:v>40598</c:v>
                </c:pt>
                <c:pt idx="417">
                  <c:v>40599</c:v>
                </c:pt>
                <c:pt idx="418">
                  <c:v>40602</c:v>
                </c:pt>
                <c:pt idx="419">
                  <c:v>40603</c:v>
                </c:pt>
                <c:pt idx="420">
                  <c:v>40604</c:v>
                </c:pt>
                <c:pt idx="421">
                  <c:v>40605</c:v>
                </c:pt>
                <c:pt idx="422">
                  <c:v>40606</c:v>
                </c:pt>
                <c:pt idx="423">
                  <c:v>40609</c:v>
                </c:pt>
                <c:pt idx="424">
                  <c:v>40610</c:v>
                </c:pt>
                <c:pt idx="425">
                  <c:v>40611</c:v>
                </c:pt>
                <c:pt idx="426">
                  <c:v>40612</c:v>
                </c:pt>
                <c:pt idx="427">
                  <c:v>40613</c:v>
                </c:pt>
                <c:pt idx="428">
                  <c:v>40616</c:v>
                </c:pt>
                <c:pt idx="429">
                  <c:v>40617</c:v>
                </c:pt>
                <c:pt idx="430">
                  <c:v>40618</c:v>
                </c:pt>
                <c:pt idx="431">
                  <c:v>40619</c:v>
                </c:pt>
                <c:pt idx="432">
                  <c:v>40620</c:v>
                </c:pt>
                <c:pt idx="433">
                  <c:v>40623</c:v>
                </c:pt>
                <c:pt idx="434">
                  <c:v>40624</c:v>
                </c:pt>
                <c:pt idx="435">
                  <c:v>40625</c:v>
                </c:pt>
                <c:pt idx="436">
                  <c:v>40626</c:v>
                </c:pt>
                <c:pt idx="437">
                  <c:v>40627</c:v>
                </c:pt>
                <c:pt idx="438">
                  <c:v>40630</c:v>
                </c:pt>
                <c:pt idx="439">
                  <c:v>40631</c:v>
                </c:pt>
                <c:pt idx="440">
                  <c:v>40632</c:v>
                </c:pt>
                <c:pt idx="441">
                  <c:v>40633</c:v>
                </c:pt>
                <c:pt idx="442">
                  <c:v>40634</c:v>
                </c:pt>
                <c:pt idx="443">
                  <c:v>40637</c:v>
                </c:pt>
                <c:pt idx="444">
                  <c:v>40638</c:v>
                </c:pt>
                <c:pt idx="445">
                  <c:v>40639</c:v>
                </c:pt>
                <c:pt idx="446">
                  <c:v>40640</c:v>
                </c:pt>
                <c:pt idx="447">
                  <c:v>40641</c:v>
                </c:pt>
                <c:pt idx="448">
                  <c:v>40644</c:v>
                </c:pt>
                <c:pt idx="449">
                  <c:v>40645</c:v>
                </c:pt>
                <c:pt idx="450">
                  <c:v>40646</c:v>
                </c:pt>
                <c:pt idx="451">
                  <c:v>40647</c:v>
                </c:pt>
                <c:pt idx="452">
                  <c:v>40648</c:v>
                </c:pt>
                <c:pt idx="453">
                  <c:v>40651</c:v>
                </c:pt>
                <c:pt idx="454">
                  <c:v>40652</c:v>
                </c:pt>
                <c:pt idx="455">
                  <c:v>40653</c:v>
                </c:pt>
                <c:pt idx="456">
                  <c:v>40654</c:v>
                </c:pt>
                <c:pt idx="457">
                  <c:v>40658</c:v>
                </c:pt>
                <c:pt idx="458">
                  <c:v>40659</c:v>
                </c:pt>
                <c:pt idx="459">
                  <c:v>40660</c:v>
                </c:pt>
                <c:pt idx="460">
                  <c:v>40661</c:v>
                </c:pt>
                <c:pt idx="461">
                  <c:v>40662</c:v>
                </c:pt>
                <c:pt idx="462">
                  <c:v>40665</c:v>
                </c:pt>
                <c:pt idx="463">
                  <c:v>40666</c:v>
                </c:pt>
                <c:pt idx="464">
                  <c:v>40667</c:v>
                </c:pt>
                <c:pt idx="465">
                  <c:v>40668</c:v>
                </c:pt>
                <c:pt idx="466">
                  <c:v>40669</c:v>
                </c:pt>
                <c:pt idx="467">
                  <c:v>40672</c:v>
                </c:pt>
                <c:pt idx="468">
                  <c:v>40673</c:v>
                </c:pt>
                <c:pt idx="469">
                  <c:v>40674</c:v>
                </c:pt>
                <c:pt idx="470">
                  <c:v>40675</c:v>
                </c:pt>
                <c:pt idx="471">
                  <c:v>40676</c:v>
                </c:pt>
                <c:pt idx="472">
                  <c:v>40679</c:v>
                </c:pt>
                <c:pt idx="473">
                  <c:v>40680</c:v>
                </c:pt>
                <c:pt idx="474">
                  <c:v>40681</c:v>
                </c:pt>
                <c:pt idx="475">
                  <c:v>40682</c:v>
                </c:pt>
                <c:pt idx="476">
                  <c:v>40683</c:v>
                </c:pt>
                <c:pt idx="477">
                  <c:v>40686</c:v>
                </c:pt>
                <c:pt idx="478">
                  <c:v>40687</c:v>
                </c:pt>
                <c:pt idx="479">
                  <c:v>40688</c:v>
                </c:pt>
                <c:pt idx="480">
                  <c:v>40689</c:v>
                </c:pt>
                <c:pt idx="481">
                  <c:v>40690</c:v>
                </c:pt>
                <c:pt idx="482">
                  <c:v>40694</c:v>
                </c:pt>
                <c:pt idx="483">
                  <c:v>40695</c:v>
                </c:pt>
                <c:pt idx="484">
                  <c:v>40696</c:v>
                </c:pt>
                <c:pt idx="485">
                  <c:v>40697</c:v>
                </c:pt>
                <c:pt idx="486">
                  <c:v>40700</c:v>
                </c:pt>
                <c:pt idx="487">
                  <c:v>40701</c:v>
                </c:pt>
                <c:pt idx="488">
                  <c:v>40702</c:v>
                </c:pt>
                <c:pt idx="489">
                  <c:v>40703</c:v>
                </c:pt>
                <c:pt idx="490">
                  <c:v>40704</c:v>
                </c:pt>
                <c:pt idx="491">
                  <c:v>40707</c:v>
                </c:pt>
                <c:pt idx="492">
                  <c:v>40708</c:v>
                </c:pt>
                <c:pt idx="493">
                  <c:v>40709</c:v>
                </c:pt>
                <c:pt idx="494">
                  <c:v>40710</c:v>
                </c:pt>
                <c:pt idx="495">
                  <c:v>40711</c:v>
                </c:pt>
                <c:pt idx="496">
                  <c:v>40714</c:v>
                </c:pt>
                <c:pt idx="497">
                  <c:v>40715</c:v>
                </c:pt>
                <c:pt idx="498">
                  <c:v>40716</c:v>
                </c:pt>
                <c:pt idx="499">
                  <c:v>40717</c:v>
                </c:pt>
                <c:pt idx="500">
                  <c:v>40718</c:v>
                </c:pt>
                <c:pt idx="501">
                  <c:v>40721</c:v>
                </c:pt>
                <c:pt idx="502">
                  <c:v>40722</c:v>
                </c:pt>
                <c:pt idx="503">
                  <c:v>40723</c:v>
                </c:pt>
                <c:pt idx="504">
                  <c:v>40724</c:v>
                </c:pt>
                <c:pt idx="505">
                  <c:v>40725</c:v>
                </c:pt>
                <c:pt idx="506">
                  <c:v>40729</c:v>
                </c:pt>
                <c:pt idx="507">
                  <c:v>40730</c:v>
                </c:pt>
                <c:pt idx="508">
                  <c:v>40731</c:v>
                </c:pt>
                <c:pt idx="509">
                  <c:v>40732</c:v>
                </c:pt>
                <c:pt idx="510">
                  <c:v>40735</c:v>
                </c:pt>
                <c:pt idx="511">
                  <c:v>40736</c:v>
                </c:pt>
                <c:pt idx="512">
                  <c:v>40737</c:v>
                </c:pt>
                <c:pt idx="513">
                  <c:v>40738</c:v>
                </c:pt>
                <c:pt idx="514">
                  <c:v>40739</c:v>
                </c:pt>
                <c:pt idx="515">
                  <c:v>40742</c:v>
                </c:pt>
                <c:pt idx="516">
                  <c:v>40743</c:v>
                </c:pt>
                <c:pt idx="517">
                  <c:v>40744</c:v>
                </c:pt>
                <c:pt idx="518">
                  <c:v>40745</c:v>
                </c:pt>
                <c:pt idx="519">
                  <c:v>40746</c:v>
                </c:pt>
                <c:pt idx="520">
                  <c:v>40749</c:v>
                </c:pt>
                <c:pt idx="521">
                  <c:v>40750</c:v>
                </c:pt>
                <c:pt idx="522">
                  <c:v>40751</c:v>
                </c:pt>
                <c:pt idx="523">
                  <c:v>40752</c:v>
                </c:pt>
                <c:pt idx="524">
                  <c:v>40753</c:v>
                </c:pt>
                <c:pt idx="525">
                  <c:v>40756</c:v>
                </c:pt>
                <c:pt idx="526">
                  <c:v>40757</c:v>
                </c:pt>
                <c:pt idx="527">
                  <c:v>40758</c:v>
                </c:pt>
                <c:pt idx="528">
                  <c:v>40759</c:v>
                </c:pt>
                <c:pt idx="529">
                  <c:v>40760</c:v>
                </c:pt>
                <c:pt idx="530">
                  <c:v>40763</c:v>
                </c:pt>
                <c:pt idx="531">
                  <c:v>40764</c:v>
                </c:pt>
                <c:pt idx="532">
                  <c:v>40765</c:v>
                </c:pt>
                <c:pt idx="533">
                  <c:v>40766</c:v>
                </c:pt>
                <c:pt idx="534">
                  <c:v>40767</c:v>
                </c:pt>
                <c:pt idx="535">
                  <c:v>40770</c:v>
                </c:pt>
                <c:pt idx="536">
                  <c:v>40771</c:v>
                </c:pt>
                <c:pt idx="537">
                  <c:v>40772</c:v>
                </c:pt>
                <c:pt idx="538">
                  <c:v>40773</c:v>
                </c:pt>
                <c:pt idx="539">
                  <c:v>40774</c:v>
                </c:pt>
                <c:pt idx="540">
                  <c:v>40777</c:v>
                </c:pt>
                <c:pt idx="541">
                  <c:v>40778</c:v>
                </c:pt>
                <c:pt idx="542">
                  <c:v>40779</c:v>
                </c:pt>
                <c:pt idx="543">
                  <c:v>40780</c:v>
                </c:pt>
                <c:pt idx="544">
                  <c:v>40781</c:v>
                </c:pt>
                <c:pt idx="545">
                  <c:v>40784</c:v>
                </c:pt>
                <c:pt idx="546">
                  <c:v>40785</c:v>
                </c:pt>
                <c:pt idx="547">
                  <c:v>40786</c:v>
                </c:pt>
                <c:pt idx="548">
                  <c:v>40787</c:v>
                </c:pt>
                <c:pt idx="549">
                  <c:v>40788</c:v>
                </c:pt>
                <c:pt idx="550">
                  <c:v>40792</c:v>
                </c:pt>
                <c:pt idx="551">
                  <c:v>40793</c:v>
                </c:pt>
                <c:pt idx="552">
                  <c:v>40794</c:v>
                </c:pt>
                <c:pt idx="553">
                  <c:v>40795</c:v>
                </c:pt>
                <c:pt idx="554">
                  <c:v>40798</c:v>
                </c:pt>
                <c:pt idx="555">
                  <c:v>40799</c:v>
                </c:pt>
                <c:pt idx="556">
                  <c:v>40800</c:v>
                </c:pt>
                <c:pt idx="557">
                  <c:v>40801</c:v>
                </c:pt>
                <c:pt idx="558">
                  <c:v>40802</c:v>
                </c:pt>
                <c:pt idx="559">
                  <c:v>40805</c:v>
                </c:pt>
                <c:pt idx="560">
                  <c:v>40806</c:v>
                </c:pt>
                <c:pt idx="561">
                  <c:v>40807</c:v>
                </c:pt>
                <c:pt idx="562">
                  <c:v>40808</c:v>
                </c:pt>
                <c:pt idx="563">
                  <c:v>40809</c:v>
                </c:pt>
                <c:pt idx="564">
                  <c:v>40812</c:v>
                </c:pt>
                <c:pt idx="565">
                  <c:v>40813</c:v>
                </c:pt>
                <c:pt idx="566">
                  <c:v>40814</c:v>
                </c:pt>
                <c:pt idx="567">
                  <c:v>40815</c:v>
                </c:pt>
                <c:pt idx="568">
                  <c:v>40816</c:v>
                </c:pt>
                <c:pt idx="569">
                  <c:v>40819</c:v>
                </c:pt>
                <c:pt idx="570">
                  <c:v>40820</c:v>
                </c:pt>
                <c:pt idx="571">
                  <c:v>40821</c:v>
                </c:pt>
                <c:pt idx="572">
                  <c:v>40822</c:v>
                </c:pt>
                <c:pt idx="573">
                  <c:v>40823</c:v>
                </c:pt>
                <c:pt idx="574">
                  <c:v>40826</c:v>
                </c:pt>
                <c:pt idx="575">
                  <c:v>40827</c:v>
                </c:pt>
                <c:pt idx="576">
                  <c:v>40828</c:v>
                </c:pt>
                <c:pt idx="577">
                  <c:v>40829</c:v>
                </c:pt>
                <c:pt idx="578">
                  <c:v>40830</c:v>
                </c:pt>
                <c:pt idx="579">
                  <c:v>40833</c:v>
                </c:pt>
                <c:pt idx="580">
                  <c:v>40834</c:v>
                </c:pt>
                <c:pt idx="581">
                  <c:v>40835</c:v>
                </c:pt>
                <c:pt idx="582">
                  <c:v>40836</c:v>
                </c:pt>
                <c:pt idx="583">
                  <c:v>40837</c:v>
                </c:pt>
                <c:pt idx="584">
                  <c:v>40840</c:v>
                </c:pt>
                <c:pt idx="585">
                  <c:v>40841</c:v>
                </c:pt>
                <c:pt idx="586">
                  <c:v>40842</c:v>
                </c:pt>
                <c:pt idx="587">
                  <c:v>40843</c:v>
                </c:pt>
                <c:pt idx="588">
                  <c:v>40844</c:v>
                </c:pt>
                <c:pt idx="589">
                  <c:v>40847</c:v>
                </c:pt>
                <c:pt idx="590">
                  <c:v>40848</c:v>
                </c:pt>
                <c:pt idx="591">
                  <c:v>40849</c:v>
                </c:pt>
                <c:pt idx="592">
                  <c:v>40850</c:v>
                </c:pt>
                <c:pt idx="593">
                  <c:v>40851</c:v>
                </c:pt>
                <c:pt idx="594">
                  <c:v>40854</c:v>
                </c:pt>
                <c:pt idx="595">
                  <c:v>40855</c:v>
                </c:pt>
                <c:pt idx="596">
                  <c:v>40856</c:v>
                </c:pt>
                <c:pt idx="597">
                  <c:v>40857</c:v>
                </c:pt>
                <c:pt idx="598">
                  <c:v>40858</c:v>
                </c:pt>
                <c:pt idx="599">
                  <c:v>40861</c:v>
                </c:pt>
                <c:pt idx="600">
                  <c:v>40862</c:v>
                </c:pt>
                <c:pt idx="601">
                  <c:v>40863</c:v>
                </c:pt>
                <c:pt idx="602">
                  <c:v>40864</c:v>
                </c:pt>
                <c:pt idx="603">
                  <c:v>40865</c:v>
                </c:pt>
                <c:pt idx="604">
                  <c:v>40868</c:v>
                </c:pt>
                <c:pt idx="605">
                  <c:v>40869</c:v>
                </c:pt>
                <c:pt idx="606">
                  <c:v>40870</c:v>
                </c:pt>
                <c:pt idx="607">
                  <c:v>40872</c:v>
                </c:pt>
                <c:pt idx="608">
                  <c:v>40875</c:v>
                </c:pt>
                <c:pt idx="609">
                  <c:v>40876</c:v>
                </c:pt>
                <c:pt idx="610">
                  <c:v>40877</c:v>
                </c:pt>
                <c:pt idx="611">
                  <c:v>40878</c:v>
                </c:pt>
                <c:pt idx="612">
                  <c:v>40879</c:v>
                </c:pt>
                <c:pt idx="613">
                  <c:v>40882</c:v>
                </c:pt>
                <c:pt idx="614">
                  <c:v>40883</c:v>
                </c:pt>
                <c:pt idx="615">
                  <c:v>40884</c:v>
                </c:pt>
                <c:pt idx="616">
                  <c:v>40885</c:v>
                </c:pt>
                <c:pt idx="617">
                  <c:v>40886</c:v>
                </c:pt>
                <c:pt idx="618">
                  <c:v>40889</c:v>
                </c:pt>
                <c:pt idx="619">
                  <c:v>40890</c:v>
                </c:pt>
                <c:pt idx="620">
                  <c:v>40891</c:v>
                </c:pt>
                <c:pt idx="621">
                  <c:v>40892</c:v>
                </c:pt>
                <c:pt idx="622">
                  <c:v>40893</c:v>
                </c:pt>
                <c:pt idx="623">
                  <c:v>40896</c:v>
                </c:pt>
                <c:pt idx="624">
                  <c:v>40897</c:v>
                </c:pt>
                <c:pt idx="625">
                  <c:v>40898</c:v>
                </c:pt>
                <c:pt idx="626">
                  <c:v>40899</c:v>
                </c:pt>
                <c:pt idx="627">
                  <c:v>40900</c:v>
                </c:pt>
                <c:pt idx="628">
                  <c:v>40904</c:v>
                </c:pt>
                <c:pt idx="629">
                  <c:v>40905</c:v>
                </c:pt>
                <c:pt idx="630">
                  <c:v>40906</c:v>
                </c:pt>
                <c:pt idx="631">
                  <c:v>40907</c:v>
                </c:pt>
                <c:pt idx="632">
                  <c:v>40911</c:v>
                </c:pt>
                <c:pt idx="633">
                  <c:v>40912</c:v>
                </c:pt>
                <c:pt idx="634">
                  <c:v>40913</c:v>
                </c:pt>
                <c:pt idx="635">
                  <c:v>40914</c:v>
                </c:pt>
                <c:pt idx="636">
                  <c:v>40917</c:v>
                </c:pt>
                <c:pt idx="637">
                  <c:v>40918</c:v>
                </c:pt>
                <c:pt idx="638">
                  <c:v>40919</c:v>
                </c:pt>
                <c:pt idx="639">
                  <c:v>40920</c:v>
                </c:pt>
                <c:pt idx="640">
                  <c:v>40921</c:v>
                </c:pt>
                <c:pt idx="641">
                  <c:v>40925</c:v>
                </c:pt>
                <c:pt idx="642">
                  <c:v>40926</c:v>
                </c:pt>
                <c:pt idx="643">
                  <c:v>40927</c:v>
                </c:pt>
                <c:pt idx="644">
                  <c:v>40928</c:v>
                </c:pt>
                <c:pt idx="645">
                  <c:v>40931</c:v>
                </c:pt>
                <c:pt idx="646">
                  <c:v>40932</c:v>
                </c:pt>
                <c:pt idx="647">
                  <c:v>40933</c:v>
                </c:pt>
                <c:pt idx="648">
                  <c:v>40934</c:v>
                </c:pt>
                <c:pt idx="649">
                  <c:v>40935</c:v>
                </c:pt>
                <c:pt idx="650">
                  <c:v>40938</c:v>
                </c:pt>
                <c:pt idx="651">
                  <c:v>40939</c:v>
                </c:pt>
                <c:pt idx="652">
                  <c:v>40940</c:v>
                </c:pt>
                <c:pt idx="653">
                  <c:v>40941</c:v>
                </c:pt>
                <c:pt idx="654">
                  <c:v>40942</c:v>
                </c:pt>
                <c:pt idx="655">
                  <c:v>40945</c:v>
                </c:pt>
                <c:pt idx="656">
                  <c:v>40946</c:v>
                </c:pt>
                <c:pt idx="657">
                  <c:v>40947</c:v>
                </c:pt>
                <c:pt idx="658">
                  <c:v>40948</c:v>
                </c:pt>
                <c:pt idx="659">
                  <c:v>40949</c:v>
                </c:pt>
                <c:pt idx="660">
                  <c:v>40952</c:v>
                </c:pt>
                <c:pt idx="661">
                  <c:v>40953</c:v>
                </c:pt>
                <c:pt idx="662">
                  <c:v>40954</c:v>
                </c:pt>
                <c:pt idx="663">
                  <c:v>40955</c:v>
                </c:pt>
                <c:pt idx="664">
                  <c:v>40956</c:v>
                </c:pt>
                <c:pt idx="665">
                  <c:v>40960</c:v>
                </c:pt>
                <c:pt idx="666">
                  <c:v>40961</c:v>
                </c:pt>
                <c:pt idx="667">
                  <c:v>40962</c:v>
                </c:pt>
                <c:pt idx="668">
                  <c:v>40963</c:v>
                </c:pt>
                <c:pt idx="669">
                  <c:v>40966</c:v>
                </c:pt>
                <c:pt idx="670">
                  <c:v>40967</c:v>
                </c:pt>
                <c:pt idx="671">
                  <c:v>40968</c:v>
                </c:pt>
                <c:pt idx="672">
                  <c:v>40969</c:v>
                </c:pt>
                <c:pt idx="673">
                  <c:v>40970</c:v>
                </c:pt>
                <c:pt idx="674">
                  <c:v>40973</c:v>
                </c:pt>
                <c:pt idx="675">
                  <c:v>40974</c:v>
                </c:pt>
                <c:pt idx="676">
                  <c:v>40975</c:v>
                </c:pt>
                <c:pt idx="677">
                  <c:v>40976</c:v>
                </c:pt>
                <c:pt idx="678">
                  <c:v>40977</c:v>
                </c:pt>
                <c:pt idx="679">
                  <c:v>40980</c:v>
                </c:pt>
                <c:pt idx="680">
                  <c:v>40981</c:v>
                </c:pt>
                <c:pt idx="681">
                  <c:v>40982</c:v>
                </c:pt>
                <c:pt idx="682">
                  <c:v>40983</c:v>
                </c:pt>
                <c:pt idx="683">
                  <c:v>40984</c:v>
                </c:pt>
                <c:pt idx="684">
                  <c:v>40987</c:v>
                </c:pt>
                <c:pt idx="685">
                  <c:v>40988</c:v>
                </c:pt>
                <c:pt idx="686">
                  <c:v>40989</c:v>
                </c:pt>
                <c:pt idx="687">
                  <c:v>40990</c:v>
                </c:pt>
                <c:pt idx="688">
                  <c:v>40991</c:v>
                </c:pt>
                <c:pt idx="689">
                  <c:v>40994</c:v>
                </c:pt>
                <c:pt idx="690">
                  <c:v>40995</c:v>
                </c:pt>
                <c:pt idx="691">
                  <c:v>40996</c:v>
                </c:pt>
                <c:pt idx="692">
                  <c:v>40997</c:v>
                </c:pt>
                <c:pt idx="693">
                  <c:v>40998</c:v>
                </c:pt>
                <c:pt idx="694">
                  <c:v>41001</c:v>
                </c:pt>
                <c:pt idx="695">
                  <c:v>41002</c:v>
                </c:pt>
                <c:pt idx="696">
                  <c:v>41003</c:v>
                </c:pt>
                <c:pt idx="697">
                  <c:v>41004</c:v>
                </c:pt>
                <c:pt idx="698">
                  <c:v>41008</c:v>
                </c:pt>
                <c:pt idx="699">
                  <c:v>41009</c:v>
                </c:pt>
                <c:pt idx="700">
                  <c:v>41010</c:v>
                </c:pt>
                <c:pt idx="701">
                  <c:v>41011</c:v>
                </c:pt>
                <c:pt idx="702">
                  <c:v>41012</c:v>
                </c:pt>
                <c:pt idx="703">
                  <c:v>41015</c:v>
                </c:pt>
                <c:pt idx="704">
                  <c:v>41016</c:v>
                </c:pt>
                <c:pt idx="705">
                  <c:v>41017</c:v>
                </c:pt>
                <c:pt idx="706">
                  <c:v>41018</c:v>
                </c:pt>
                <c:pt idx="707">
                  <c:v>41019</c:v>
                </c:pt>
                <c:pt idx="708">
                  <c:v>41022</c:v>
                </c:pt>
                <c:pt idx="709">
                  <c:v>41023</c:v>
                </c:pt>
                <c:pt idx="710">
                  <c:v>41024</c:v>
                </c:pt>
                <c:pt idx="711">
                  <c:v>41025</c:v>
                </c:pt>
                <c:pt idx="712">
                  <c:v>41026</c:v>
                </c:pt>
                <c:pt idx="713">
                  <c:v>41029</c:v>
                </c:pt>
                <c:pt idx="714">
                  <c:v>41030</c:v>
                </c:pt>
                <c:pt idx="715">
                  <c:v>41031</c:v>
                </c:pt>
                <c:pt idx="716">
                  <c:v>41032</c:v>
                </c:pt>
                <c:pt idx="717">
                  <c:v>41033</c:v>
                </c:pt>
                <c:pt idx="718">
                  <c:v>41036</c:v>
                </c:pt>
                <c:pt idx="719">
                  <c:v>41037</c:v>
                </c:pt>
                <c:pt idx="720">
                  <c:v>41038</c:v>
                </c:pt>
                <c:pt idx="721">
                  <c:v>41039</c:v>
                </c:pt>
                <c:pt idx="722">
                  <c:v>41040</c:v>
                </c:pt>
                <c:pt idx="723">
                  <c:v>41043</c:v>
                </c:pt>
                <c:pt idx="724">
                  <c:v>41044</c:v>
                </c:pt>
                <c:pt idx="725">
                  <c:v>41045</c:v>
                </c:pt>
                <c:pt idx="726">
                  <c:v>41046</c:v>
                </c:pt>
                <c:pt idx="727">
                  <c:v>41047</c:v>
                </c:pt>
                <c:pt idx="728">
                  <c:v>41050</c:v>
                </c:pt>
                <c:pt idx="729">
                  <c:v>41051</c:v>
                </c:pt>
                <c:pt idx="730">
                  <c:v>41052</c:v>
                </c:pt>
                <c:pt idx="731">
                  <c:v>41053</c:v>
                </c:pt>
                <c:pt idx="732">
                  <c:v>41054</c:v>
                </c:pt>
                <c:pt idx="733">
                  <c:v>41058</c:v>
                </c:pt>
                <c:pt idx="734">
                  <c:v>41059</c:v>
                </c:pt>
                <c:pt idx="735">
                  <c:v>41060</c:v>
                </c:pt>
                <c:pt idx="736">
                  <c:v>41061</c:v>
                </c:pt>
                <c:pt idx="737">
                  <c:v>41064</c:v>
                </c:pt>
                <c:pt idx="738">
                  <c:v>41065</c:v>
                </c:pt>
                <c:pt idx="739">
                  <c:v>41066</c:v>
                </c:pt>
                <c:pt idx="740">
                  <c:v>41067</c:v>
                </c:pt>
                <c:pt idx="741">
                  <c:v>41068</c:v>
                </c:pt>
                <c:pt idx="742">
                  <c:v>41071</c:v>
                </c:pt>
                <c:pt idx="743">
                  <c:v>41072</c:v>
                </c:pt>
                <c:pt idx="744">
                  <c:v>41073</c:v>
                </c:pt>
                <c:pt idx="745">
                  <c:v>41074</c:v>
                </c:pt>
                <c:pt idx="746">
                  <c:v>41075</c:v>
                </c:pt>
                <c:pt idx="747">
                  <c:v>41078</c:v>
                </c:pt>
                <c:pt idx="748">
                  <c:v>41079</c:v>
                </c:pt>
                <c:pt idx="749">
                  <c:v>41080</c:v>
                </c:pt>
                <c:pt idx="750">
                  <c:v>41081</c:v>
                </c:pt>
                <c:pt idx="751">
                  <c:v>41082</c:v>
                </c:pt>
                <c:pt idx="752">
                  <c:v>41085</c:v>
                </c:pt>
                <c:pt idx="753">
                  <c:v>41086</c:v>
                </c:pt>
                <c:pt idx="754">
                  <c:v>41087</c:v>
                </c:pt>
                <c:pt idx="755">
                  <c:v>41088</c:v>
                </c:pt>
                <c:pt idx="756">
                  <c:v>41089</c:v>
                </c:pt>
                <c:pt idx="757">
                  <c:v>41092</c:v>
                </c:pt>
                <c:pt idx="758">
                  <c:v>41093</c:v>
                </c:pt>
                <c:pt idx="759">
                  <c:v>41095</c:v>
                </c:pt>
                <c:pt idx="760">
                  <c:v>41096</c:v>
                </c:pt>
                <c:pt idx="761">
                  <c:v>41099</c:v>
                </c:pt>
                <c:pt idx="762">
                  <c:v>41100</c:v>
                </c:pt>
                <c:pt idx="763">
                  <c:v>41101</c:v>
                </c:pt>
                <c:pt idx="764">
                  <c:v>41102</c:v>
                </c:pt>
                <c:pt idx="765">
                  <c:v>41103</c:v>
                </c:pt>
                <c:pt idx="766">
                  <c:v>41106</c:v>
                </c:pt>
                <c:pt idx="767">
                  <c:v>41107</c:v>
                </c:pt>
                <c:pt idx="768">
                  <c:v>41108</c:v>
                </c:pt>
                <c:pt idx="769">
                  <c:v>41109</c:v>
                </c:pt>
                <c:pt idx="770">
                  <c:v>41110</c:v>
                </c:pt>
                <c:pt idx="771">
                  <c:v>41113</c:v>
                </c:pt>
                <c:pt idx="772">
                  <c:v>41114</c:v>
                </c:pt>
                <c:pt idx="773">
                  <c:v>41115</c:v>
                </c:pt>
                <c:pt idx="774">
                  <c:v>41116</c:v>
                </c:pt>
                <c:pt idx="775">
                  <c:v>41117</c:v>
                </c:pt>
                <c:pt idx="776">
                  <c:v>41120</c:v>
                </c:pt>
                <c:pt idx="777">
                  <c:v>41121</c:v>
                </c:pt>
                <c:pt idx="778">
                  <c:v>41122</c:v>
                </c:pt>
                <c:pt idx="779">
                  <c:v>41123</c:v>
                </c:pt>
                <c:pt idx="780">
                  <c:v>41124</c:v>
                </c:pt>
                <c:pt idx="781">
                  <c:v>41127</c:v>
                </c:pt>
                <c:pt idx="782">
                  <c:v>41128</c:v>
                </c:pt>
                <c:pt idx="783">
                  <c:v>41129</c:v>
                </c:pt>
                <c:pt idx="784">
                  <c:v>41130</c:v>
                </c:pt>
                <c:pt idx="785">
                  <c:v>41131</c:v>
                </c:pt>
                <c:pt idx="786">
                  <c:v>41134</c:v>
                </c:pt>
                <c:pt idx="787">
                  <c:v>41135</c:v>
                </c:pt>
                <c:pt idx="788">
                  <c:v>41136</c:v>
                </c:pt>
                <c:pt idx="789">
                  <c:v>41137</c:v>
                </c:pt>
                <c:pt idx="790">
                  <c:v>41138</c:v>
                </c:pt>
                <c:pt idx="791">
                  <c:v>41141</c:v>
                </c:pt>
                <c:pt idx="792">
                  <c:v>41142</c:v>
                </c:pt>
                <c:pt idx="793">
                  <c:v>41143</c:v>
                </c:pt>
                <c:pt idx="794">
                  <c:v>41144</c:v>
                </c:pt>
                <c:pt idx="795">
                  <c:v>41145</c:v>
                </c:pt>
                <c:pt idx="796">
                  <c:v>41148</c:v>
                </c:pt>
                <c:pt idx="797">
                  <c:v>41149</c:v>
                </c:pt>
                <c:pt idx="798">
                  <c:v>41150</c:v>
                </c:pt>
                <c:pt idx="799">
                  <c:v>41151</c:v>
                </c:pt>
                <c:pt idx="800">
                  <c:v>41152</c:v>
                </c:pt>
                <c:pt idx="801">
                  <c:v>41156</c:v>
                </c:pt>
                <c:pt idx="802">
                  <c:v>41157</c:v>
                </c:pt>
                <c:pt idx="803">
                  <c:v>41158</c:v>
                </c:pt>
                <c:pt idx="804">
                  <c:v>41159</c:v>
                </c:pt>
                <c:pt idx="805">
                  <c:v>41162</c:v>
                </c:pt>
                <c:pt idx="806">
                  <c:v>41163</c:v>
                </c:pt>
                <c:pt idx="807">
                  <c:v>41164</c:v>
                </c:pt>
                <c:pt idx="808">
                  <c:v>41165</c:v>
                </c:pt>
                <c:pt idx="809">
                  <c:v>41166</c:v>
                </c:pt>
                <c:pt idx="810">
                  <c:v>41169</c:v>
                </c:pt>
                <c:pt idx="811">
                  <c:v>41170</c:v>
                </c:pt>
                <c:pt idx="812">
                  <c:v>41171</c:v>
                </c:pt>
                <c:pt idx="813">
                  <c:v>41172</c:v>
                </c:pt>
                <c:pt idx="814">
                  <c:v>41173</c:v>
                </c:pt>
                <c:pt idx="815">
                  <c:v>41176</c:v>
                </c:pt>
                <c:pt idx="816">
                  <c:v>41177</c:v>
                </c:pt>
                <c:pt idx="817">
                  <c:v>41178</c:v>
                </c:pt>
                <c:pt idx="818">
                  <c:v>41179</c:v>
                </c:pt>
                <c:pt idx="819">
                  <c:v>41180</c:v>
                </c:pt>
                <c:pt idx="820">
                  <c:v>41183</c:v>
                </c:pt>
                <c:pt idx="821">
                  <c:v>41184</c:v>
                </c:pt>
                <c:pt idx="822">
                  <c:v>41185</c:v>
                </c:pt>
                <c:pt idx="823">
                  <c:v>41186</c:v>
                </c:pt>
                <c:pt idx="824">
                  <c:v>41187</c:v>
                </c:pt>
                <c:pt idx="825">
                  <c:v>41190</c:v>
                </c:pt>
                <c:pt idx="826">
                  <c:v>41191</c:v>
                </c:pt>
                <c:pt idx="827">
                  <c:v>41192</c:v>
                </c:pt>
                <c:pt idx="828">
                  <c:v>41193</c:v>
                </c:pt>
                <c:pt idx="829">
                  <c:v>41194</c:v>
                </c:pt>
                <c:pt idx="830">
                  <c:v>41197</c:v>
                </c:pt>
                <c:pt idx="831">
                  <c:v>41198</c:v>
                </c:pt>
                <c:pt idx="832">
                  <c:v>41199</c:v>
                </c:pt>
                <c:pt idx="833">
                  <c:v>41200</c:v>
                </c:pt>
                <c:pt idx="834">
                  <c:v>41201</c:v>
                </c:pt>
                <c:pt idx="835">
                  <c:v>41204</c:v>
                </c:pt>
                <c:pt idx="836">
                  <c:v>41205</c:v>
                </c:pt>
                <c:pt idx="837">
                  <c:v>41206</c:v>
                </c:pt>
                <c:pt idx="838">
                  <c:v>41207</c:v>
                </c:pt>
                <c:pt idx="839">
                  <c:v>41208</c:v>
                </c:pt>
                <c:pt idx="840">
                  <c:v>41213</c:v>
                </c:pt>
                <c:pt idx="841">
                  <c:v>41214</c:v>
                </c:pt>
                <c:pt idx="842">
                  <c:v>41215</c:v>
                </c:pt>
                <c:pt idx="843">
                  <c:v>41218</c:v>
                </c:pt>
                <c:pt idx="844">
                  <c:v>41219</c:v>
                </c:pt>
                <c:pt idx="845">
                  <c:v>41220</c:v>
                </c:pt>
                <c:pt idx="846">
                  <c:v>41221</c:v>
                </c:pt>
                <c:pt idx="847">
                  <c:v>41222</c:v>
                </c:pt>
                <c:pt idx="848">
                  <c:v>41225</c:v>
                </c:pt>
                <c:pt idx="849">
                  <c:v>41226</c:v>
                </c:pt>
                <c:pt idx="850">
                  <c:v>41227</c:v>
                </c:pt>
                <c:pt idx="851">
                  <c:v>41228</c:v>
                </c:pt>
                <c:pt idx="852">
                  <c:v>41229</c:v>
                </c:pt>
                <c:pt idx="853">
                  <c:v>41232</c:v>
                </c:pt>
                <c:pt idx="854">
                  <c:v>41233</c:v>
                </c:pt>
                <c:pt idx="855">
                  <c:v>41234</c:v>
                </c:pt>
                <c:pt idx="856">
                  <c:v>41236</c:v>
                </c:pt>
                <c:pt idx="857">
                  <c:v>41239</c:v>
                </c:pt>
                <c:pt idx="858">
                  <c:v>41240</c:v>
                </c:pt>
                <c:pt idx="859">
                  <c:v>41241</c:v>
                </c:pt>
                <c:pt idx="860">
                  <c:v>41242</c:v>
                </c:pt>
                <c:pt idx="861">
                  <c:v>41243</c:v>
                </c:pt>
                <c:pt idx="862">
                  <c:v>41246</c:v>
                </c:pt>
                <c:pt idx="863">
                  <c:v>41247</c:v>
                </c:pt>
                <c:pt idx="864">
                  <c:v>41248</c:v>
                </c:pt>
                <c:pt idx="865">
                  <c:v>41249</c:v>
                </c:pt>
                <c:pt idx="866">
                  <c:v>41250</c:v>
                </c:pt>
                <c:pt idx="867">
                  <c:v>41253</c:v>
                </c:pt>
                <c:pt idx="868">
                  <c:v>41254</c:v>
                </c:pt>
                <c:pt idx="869">
                  <c:v>41255</c:v>
                </c:pt>
                <c:pt idx="870">
                  <c:v>41256</c:v>
                </c:pt>
                <c:pt idx="871">
                  <c:v>41257</c:v>
                </c:pt>
                <c:pt idx="872">
                  <c:v>41260</c:v>
                </c:pt>
                <c:pt idx="873">
                  <c:v>41261</c:v>
                </c:pt>
                <c:pt idx="874">
                  <c:v>41262</c:v>
                </c:pt>
                <c:pt idx="875">
                  <c:v>41263</c:v>
                </c:pt>
                <c:pt idx="876">
                  <c:v>41264</c:v>
                </c:pt>
                <c:pt idx="877">
                  <c:v>41267</c:v>
                </c:pt>
                <c:pt idx="878">
                  <c:v>41269</c:v>
                </c:pt>
                <c:pt idx="879">
                  <c:v>41270</c:v>
                </c:pt>
                <c:pt idx="880">
                  <c:v>41271</c:v>
                </c:pt>
                <c:pt idx="881">
                  <c:v>41274</c:v>
                </c:pt>
                <c:pt idx="882">
                  <c:v>41276</c:v>
                </c:pt>
                <c:pt idx="883">
                  <c:v>41277</c:v>
                </c:pt>
                <c:pt idx="884">
                  <c:v>41278</c:v>
                </c:pt>
                <c:pt idx="885">
                  <c:v>41281</c:v>
                </c:pt>
                <c:pt idx="886">
                  <c:v>41282</c:v>
                </c:pt>
                <c:pt idx="887">
                  <c:v>41283</c:v>
                </c:pt>
                <c:pt idx="888">
                  <c:v>41284</c:v>
                </c:pt>
                <c:pt idx="889">
                  <c:v>41285</c:v>
                </c:pt>
                <c:pt idx="890">
                  <c:v>41288</c:v>
                </c:pt>
                <c:pt idx="891">
                  <c:v>41289</c:v>
                </c:pt>
                <c:pt idx="892">
                  <c:v>41290</c:v>
                </c:pt>
                <c:pt idx="893">
                  <c:v>41291</c:v>
                </c:pt>
                <c:pt idx="894">
                  <c:v>41292</c:v>
                </c:pt>
                <c:pt idx="895">
                  <c:v>41296</c:v>
                </c:pt>
                <c:pt idx="896">
                  <c:v>41297</c:v>
                </c:pt>
                <c:pt idx="897">
                  <c:v>41298</c:v>
                </c:pt>
                <c:pt idx="898">
                  <c:v>41299</c:v>
                </c:pt>
                <c:pt idx="899">
                  <c:v>41302</c:v>
                </c:pt>
                <c:pt idx="900">
                  <c:v>41303</c:v>
                </c:pt>
                <c:pt idx="901">
                  <c:v>41304</c:v>
                </c:pt>
                <c:pt idx="902">
                  <c:v>41305</c:v>
                </c:pt>
                <c:pt idx="903">
                  <c:v>41306</c:v>
                </c:pt>
                <c:pt idx="904">
                  <c:v>41309</c:v>
                </c:pt>
                <c:pt idx="905">
                  <c:v>41310</c:v>
                </c:pt>
                <c:pt idx="906">
                  <c:v>41311</c:v>
                </c:pt>
                <c:pt idx="907">
                  <c:v>41312</c:v>
                </c:pt>
                <c:pt idx="908">
                  <c:v>41313</c:v>
                </c:pt>
                <c:pt idx="909">
                  <c:v>41316</c:v>
                </c:pt>
                <c:pt idx="910">
                  <c:v>41317</c:v>
                </c:pt>
                <c:pt idx="911">
                  <c:v>41318</c:v>
                </c:pt>
                <c:pt idx="912">
                  <c:v>41319</c:v>
                </c:pt>
                <c:pt idx="913">
                  <c:v>41320</c:v>
                </c:pt>
                <c:pt idx="914">
                  <c:v>41324</c:v>
                </c:pt>
                <c:pt idx="915">
                  <c:v>41325</c:v>
                </c:pt>
                <c:pt idx="916">
                  <c:v>41326</c:v>
                </c:pt>
                <c:pt idx="917">
                  <c:v>41327</c:v>
                </c:pt>
                <c:pt idx="918">
                  <c:v>41330</c:v>
                </c:pt>
                <c:pt idx="919">
                  <c:v>41331</c:v>
                </c:pt>
                <c:pt idx="920">
                  <c:v>41332</c:v>
                </c:pt>
                <c:pt idx="921">
                  <c:v>41333</c:v>
                </c:pt>
                <c:pt idx="922">
                  <c:v>41334</c:v>
                </c:pt>
                <c:pt idx="923">
                  <c:v>41337</c:v>
                </c:pt>
                <c:pt idx="924">
                  <c:v>41338</c:v>
                </c:pt>
                <c:pt idx="925">
                  <c:v>41339</c:v>
                </c:pt>
                <c:pt idx="926">
                  <c:v>41340</c:v>
                </c:pt>
                <c:pt idx="927">
                  <c:v>41341</c:v>
                </c:pt>
                <c:pt idx="928">
                  <c:v>41344</c:v>
                </c:pt>
                <c:pt idx="929">
                  <c:v>41345</c:v>
                </c:pt>
                <c:pt idx="930">
                  <c:v>41346</c:v>
                </c:pt>
                <c:pt idx="931">
                  <c:v>41347</c:v>
                </c:pt>
                <c:pt idx="932">
                  <c:v>41348</c:v>
                </c:pt>
                <c:pt idx="933">
                  <c:v>41351</c:v>
                </c:pt>
                <c:pt idx="934">
                  <c:v>41352</c:v>
                </c:pt>
                <c:pt idx="935">
                  <c:v>41353</c:v>
                </c:pt>
                <c:pt idx="936">
                  <c:v>41354</c:v>
                </c:pt>
                <c:pt idx="937">
                  <c:v>41355</c:v>
                </c:pt>
                <c:pt idx="938">
                  <c:v>41358</c:v>
                </c:pt>
                <c:pt idx="939">
                  <c:v>41359</c:v>
                </c:pt>
                <c:pt idx="940">
                  <c:v>41360</c:v>
                </c:pt>
                <c:pt idx="941">
                  <c:v>41361</c:v>
                </c:pt>
                <c:pt idx="942">
                  <c:v>41365</c:v>
                </c:pt>
                <c:pt idx="943">
                  <c:v>41366</c:v>
                </c:pt>
                <c:pt idx="944">
                  <c:v>41367</c:v>
                </c:pt>
                <c:pt idx="945">
                  <c:v>41368</c:v>
                </c:pt>
                <c:pt idx="946">
                  <c:v>41369</c:v>
                </c:pt>
                <c:pt idx="947">
                  <c:v>41372</c:v>
                </c:pt>
                <c:pt idx="948">
                  <c:v>41373</c:v>
                </c:pt>
                <c:pt idx="949">
                  <c:v>41374</c:v>
                </c:pt>
                <c:pt idx="950">
                  <c:v>41375</c:v>
                </c:pt>
                <c:pt idx="951">
                  <c:v>41376</c:v>
                </c:pt>
                <c:pt idx="952">
                  <c:v>41379</c:v>
                </c:pt>
                <c:pt idx="953">
                  <c:v>41380</c:v>
                </c:pt>
                <c:pt idx="954">
                  <c:v>41381</c:v>
                </c:pt>
                <c:pt idx="955">
                  <c:v>41382</c:v>
                </c:pt>
                <c:pt idx="956">
                  <c:v>41383</c:v>
                </c:pt>
                <c:pt idx="957">
                  <c:v>41386</c:v>
                </c:pt>
                <c:pt idx="958">
                  <c:v>41387</c:v>
                </c:pt>
                <c:pt idx="959">
                  <c:v>41388</c:v>
                </c:pt>
                <c:pt idx="960">
                  <c:v>41389</c:v>
                </c:pt>
                <c:pt idx="961">
                  <c:v>41390</c:v>
                </c:pt>
                <c:pt idx="962">
                  <c:v>41393</c:v>
                </c:pt>
                <c:pt idx="963">
                  <c:v>41394</c:v>
                </c:pt>
                <c:pt idx="964">
                  <c:v>41395</c:v>
                </c:pt>
                <c:pt idx="965">
                  <c:v>41396</c:v>
                </c:pt>
                <c:pt idx="966">
                  <c:v>41397</c:v>
                </c:pt>
                <c:pt idx="967">
                  <c:v>41400</c:v>
                </c:pt>
                <c:pt idx="968">
                  <c:v>41401</c:v>
                </c:pt>
                <c:pt idx="969">
                  <c:v>41402</c:v>
                </c:pt>
                <c:pt idx="970">
                  <c:v>41403</c:v>
                </c:pt>
                <c:pt idx="971">
                  <c:v>41404</c:v>
                </c:pt>
                <c:pt idx="972">
                  <c:v>41407</c:v>
                </c:pt>
                <c:pt idx="973">
                  <c:v>41408</c:v>
                </c:pt>
                <c:pt idx="974">
                  <c:v>41409</c:v>
                </c:pt>
                <c:pt idx="975">
                  <c:v>41410</c:v>
                </c:pt>
                <c:pt idx="976">
                  <c:v>41411</c:v>
                </c:pt>
                <c:pt idx="977">
                  <c:v>41414</c:v>
                </c:pt>
                <c:pt idx="978">
                  <c:v>41415</c:v>
                </c:pt>
                <c:pt idx="979">
                  <c:v>41416</c:v>
                </c:pt>
                <c:pt idx="980">
                  <c:v>41417</c:v>
                </c:pt>
                <c:pt idx="981">
                  <c:v>41418</c:v>
                </c:pt>
                <c:pt idx="982">
                  <c:v>41422</c:v>
                </c:pt>
                <c:pt idx="983">
                  <c:v>41423</c:v>
                </c:pt>
                <c:pt idx="984">
                  <c:v>41424</c:v>
                </c:pt>
                <c:pt idx="985">
                  <c:v>41425</c:v>
                </c:pt>
                <c:pt idx="986">
                  <c:v>41428</c:v>
                </c:pt>
                <c:pt idx="987">
                  <c:v>41429</c:v>
                </c:pt>
                <c:pt idx="988">
                  <c:v>41430</c:v>
                </c:pt>
                <c:pt idx="989">
                  <c:v>41431</c:v>
                </c:pt>
                <c:pt idx="990">
                  <c:v>41432</c:v>
                </c:pt>
                <c:pt idx="991">
                  <c:v>41435</c:v>
                </c:pt>
                <c:pt idx="992">
                  <c:v>41436</c:v>
                </c:pt>
                <c:pt idx="993">
                  <c:v>41437</c:v>
                </c:pt>
                <c:pt idx="994">
                  <c:v>41438</c:v>
                </c:pt>
                <c:pt idx="995">
                  <c:v>41439</c:v>
                </c:pt>
                <c:pt idx="996">
                  <c:v>41442</c:v>
                </c:pt>
                <c:pt idx="997">
                  <c:v>41443</c:v>
                </c:pt>
                <c:pt idx="998">
                  <c:v>41444</c:v>
                </c:pt>
                <c:pt idx="999">
                  <c:v>41445</c:v>
                </c:pt>
                <c:pt idx="1000">
                  <c:v>41446</c:v>
                </c:pt>
                <c:pt idx="1001">
                  <c:v>41449</c:v>
                </c:pt>
                <c:pt idx="1002">
                  <c:v>41450</c:v>
                </c:pt>
                <c:pt idx="1003">
                  <c:v>41451</c:v>
                </c:pt>
                <c:pt idx="1004">
                  <c:v>41452</c:v>
                </c:pt>
                <c:pt idx="1005">
                  <c:v>41453</c:v>
                </c:pt>
                <c:pt idx="1006">
                  <c:v>41456</c:v>
                </c:pt>
                <c:pt idx="1007">
                  <c:v>41457</c:v>
                </c:pt>
                <c:pt idx="1008">
                  <c:v>41458</c:v>
                </c:pt>
                <c:pt idx="1009">
                  <c:v>41460</c:v>
                </c:pt>
                <c:pt idx="1010">
                  <c:v>41463</c:v>
                </c:pt>
                <c:pt idx="1011">
                  <c:v>41464</c:v>
                </c:pt>
                <c:pt idx="1012">
                  <c:v>41465</c:v>
                </c:pt>
                <c:pt idx="1013">
                  <c:v>41466</c:v>
                </c:pt>
                <c:pt idx="1014">
                  <c:v>41467</c:v>
                </c:pt>
                <c:pt idx="1015">
                  <c:v>41470</c:v>
                </c:pt>
                <c:pt idx="1016">
                  <c:v>41471</c:v>
                </c:pt>
                <c:pt idx="1017">
                  <c:v>41472</c:v>
                </c:pt>
                <c:pt idx="1018">
                  <c:v>41473</c:v>
                </c:pt>
                <c:pt idx="1019">
                  <c:v>41474</c:v>
                </c:pt>
                <c:pt idx="1020">
                  <c:v>41477</c:v>
                </c:pt>
                <c:pt idx="1021">
                  <c:v>41478</c:v>
                </c:pt>
                <c:pt idx="1022">
                  <c:v>41479</c:v>
                </c:pt>
                <c:pt idx="1023">
                  <c:v>41480</c:v>
                </c:pt>
                <c:pt idx="1024">
                  <c:v>41481</c:v>
                </c:pt>
                <c:pt idx="1025">
                  <c:v>41484</c:v>
                </c:pt>
                <c:pt idx="1026">
                  <c:v>41485</c:v>
                </c:pt>
                <c:pt idx="1027">
                  <c:v>41486</c:v>
                </c:pt>
                <c:pt idx="1028">
                  <c:v>41487</c:v>
                </c:pt>
                <c:pt idx="1029">
                  <c:v>41488</c:v>
                </c:pt>
                <c:pt idx="1030">
                  <c:v>41491</c:v>
                </c:pt>
                <c:pt idx="1031">
                  <c:v>41492</c:v>
                </c:pt>
                <c:pt idx="1032">
                  <c:v>41493</c:v>
                </c:pt>
                <c:pt idx="1033">
                  <c:v>41494</c:v>
                </c:pt>
                <c:pt idx="1034">
                  <c:v>41495</c:v>
                </c:pt>
                <c:pt idx="1035">
                  <c:v>41498</c:v>
                </c:pt>
                <c:pt idx="1036">
                  <c:v>41499</c:v>
                </c:pt>
                <c:pt idx="1037">
                  <c:v>41500</c:v>
                </c:pt>
                <c:pt idx="1038">
                  <c:v>41501</c:v>
                </c:pt>
                <c:pt idx="1039">
                  <c:v>41502</c:v>
                </c:pt>
                <c:pt idx="1040">
                  <c:v>41505</c:v>
                </c:pt>
                <c:pt idx="1041">
                  <c:v>41506</c:v>
                </c:pt>
                <c:pt idx="1042">
                  <c:v>41507</c:v>
                </c:pt>
                <c:pt idx="1043">
                  <c:v>41508</c:v>
                </c:pt>
                <c:pt idx="1044">
                  <c:v>41509</c:v>
                </c:pt>
                <c:pt idx="1045">
                  <c:v>41512</c:v>
                </c:pt>
                <c:pt idx="1046">
                  <c:v>41513</c:v>
                </c:pt>
                <c:pt idx="1047">
                  <c:v>41514</c:v>
                </c:pt>
                <c:pt idx="1048">
                  <c:v>41515</c:v>
                </c:pt>
                <c:pt idx="1049">
                  <c:v>41516</c:v>
                </c:pt>
                <c:pt idx="1050">
                  <c:v>41520</c:v>
                </c:pt>
                <c:pt idx="1051">
                  <c:v>41521</c:v>
                </c:pt>
                <c:pt idx="1052">
                  <c:v>41522</c:v>
                </c:pt>
                <c:pt idx="1053">
                  <c:v>41523</c:v>
                </c:pt>
                <c:pt idx="1054">
                  <c:v>41526</c:v>
                </c:pt>
                <c:pt idx="1055">
                  <c:v>41527</c:v>
                </c:pt>
                <c:pt idx="1056">
                  <c:v>41528</c:v>
                </c:pt>
                <c:pt idx="1057">
                  <c:v>41529</c:v>
                </c:pt>
                <c:pt idx="1058">
                  <c:v>41530</c:v>
                </c:pt>
                <c:pt idx="1059">
                  <c:v>41533</c:v>
                </c:pt>
                <c:pt idx="1060">
                  <c:v>41534</c:v>
                </c:pt>
                <c:pt idx="1061">
                  <c:v>41535</c:v>
                </c:pt>
                <c:pt idx="1062">
                  <c:v>41536</c:v>
                </c:pt>
                <c:pt idx="1063">
                  <c:v>41537</c:v>
                </c:pt>
                <c:pt idx="1064">
                  <c:v>41540</c:v>
                </c:pt>
                <c:pt idx="1065">
                  <c:v>41541</c:v>
                </c:pt>
                <c:pt idx="1066">
                  <c:v>41542</c:v>
                </c:pt>
                <c:pt idx="1067">
                  <c:v>41543</c:v>
                </c:pt>
                <c:pt idx="1068">
                  <c:v>41544</c:v>
                </c:pt>
                <c:pt idx="1069">
                  <c:v>41547</c:v>
                </c:pt>
                <c:pt idx="1070">
                  <c:v>41548</c:v>
                </c:pt>
                <c:pt idx="1071">
                  <c:v>41549</c:v>
                </c:pt>
                <c:pt idx="1072">
                  <c:v>41550</c:v>
                </c:pt>
                <c:pt idx="1073">
                  <c:v>41551</c:v>
                </c:pt>
                <c:pt idx="1074">
                  <c:v>41554</c:v>
                </c:pt>
                <c:pt idx="1075">
                  <c:v>41555</c:v>
                </c:pt>
                <c:pt idx="1076">
                  <c:v>41556</c:v>
                </c:pt>
                <c:pt idx="1077">
                  <c:v>41557</c:v>
                </c:pt>
                <c:pt idx="1078">
                  <c:v>41558</c:v>
                </c:pt>
                <c:pt idx="1079">
                  <c:v>41561</c:v>
                </c:pt>
                <c:pt idx="1080">
                  <c:v>41562</c:v>
                </c:pt>
                <c:pt idx="1081">
                  <c:v>41563</c:v>
                </c:pt>
                <c:pt idx="1082">
                  <c:v>41564</c:v>
                </c:pt>
                <c:pt idx="1083">
                  <c:v>41565</c:v>
                </c:pt>
                <c:pt idx="1084">
                  <c:v>41568</c:v>
                </c:pt>
                <c:pt idx="1085">
                  <c:v>41569</c:v>
                </c:pt>
                <c:pt idx="1086">
                  <c:v>41570</c:v>
                </c:pt>
                <c:pt idx="1087">
                  <c:v>41571</c:v>
                </c:pt>
                <c:pt idx="1088">
                  <c:v>41572</c:v>
                </c:pt>
                <c:pt idx="1089">
                  <c:v>41575</c:v>
                </c:pt>
                <c:pt idx="1090">
                  <c:v>41576</c:v>
                </c:pt>
                <c:pt idx="1091">
                  <c:v>41577</c:v>
                </c:pt>
                <c:pt idx="1092">
                  <c:v>41578</c:v>
                </c:pt>
                <c:pt idx="1093">
                  <c:v>41579</c:v>
                </c:pt>
                <c:pt idx="1094">
                  <c:v>41582</c:v>
                </c:pt>
                <c:pt idx="1095">
                  <c:v>41583</c:v>
                </c:pt>
                <c:pt idx="1096">
                  <c:v>41584</c:v>
                </c:pt>
                <c:pt idx="1097">
                  <c:v>41585</c:v>
                </c:pt>
                <c:pt idx="1098">
                  <c:v>41586</c:v>
                </c:pt>
                <c:pt idx="1099">
                  <c:v>41589</c:v>
                </c:pt>
                <c:pt idx="1100">
                  <c:v>41590</c:v>
                </c:pt>
                <c:pt idx="1101">
                  <c:v>41591</c:v>
                </c:pt>
                <c:pt idx="1102">
                  <c:v>41592</c:v>
                </c:pt>
                <c:pt idx="1103">
                  <c:v>41593</c:v>
                </c:pt>
                <c:pt idx="1104">
                  <c:v>41596</c:v>
                </c:pt>
                <c:pt idx="1105">
                  <c:v>41597</c:v>
                </c:pt>
                <c:pt idx="1106">
                  <c:v>41598</c:v>
                </c:pt>
                <c:pt idx="1107">
                  <c:v>41599</c:v>
                </c:pt>
                <c:pt idx="1108">
                  <c:v>41600</c:v>
                </c:pt>
                <c:pt idx="1109">
                  <c:v>41603</c:v>
                </c:pt>
                <c:pt idx="1110">
                  <c:v>41604</c:v>
                </c:pt>
                <c:pt idx="1111">
                  <c:v>41605</c:v>
                </c:pt>
                <c:pt idx="1112">
                  <c:v>41607</c:v>
                </c:pt>
                <c:pt idx="1113">
                  <c:v>41610</c:v>
                </c:pt>
                <c:pt idx="1114">
                  <c:v>41611</c:v>
                </c:pt>
                <c:pt idx="1115">
                  <c:v>41612</c:v>
                </c:pt>
                <c:pt idx="1116">
                  <c:v>41613</c:v>
                </c:pt>
                <c:pt idx="1117">
                  <c:v>41614</c:v>
                </c:pt>
                <c:pt idx="1118">
                  <c:v>41617</c:v>
                </c:pt>
                <c:pt idx="1119">
                  <c:v>41618</c:v>
                </c:pt>
                <c:pt idx="1120">
                  <c:v>41619</c:v>
                </c:pt>
                <c:pt idx="1121">
                  <c:v>41620</c:v>
                </c:pt>
                <c:pt idx="1122">
                  <c:v>41621</c:v>
                </c:pt>
                <c:pt idx="1123">
                  <c:v>41624</c:v>
                </c:pt>
                <c:pt idx="1124">
                  <c:v>41625</c:v>
                </c:pt>
                <c:pt idx="1125">
                  <c:v>41626</c:v>
                </c:pt>
                <c:pt idx="1126">
                  <c:v>41627</c:v>
                </c:pt>
                <c:pt idx="1127">
                  <c:v>41628</c:v>
                </c:pt>
                <c:pt idx="1128">
                  <c:v>41631</c:v>
                </c:pt>
                <c:pt idx="1129">
                  <c:v>41632</c:v>
                </c:pt>
                <c:pt idx="1130">
                  <c:v>41634</c:v>
                </c:pt>
                <c:pt idx="1131">
                  <c:v>41635</c:v>
                </c:pt>
                <c:pt idx="1132">
                  <c:v>41638</c:v>
                </c:pt>
                <c:pt idx="1133">
                  <c:v>41639</c:v>
                </c:pt>
                <c:pt idx="1134">
                  <c:v>41641</c:v>
                </c:pt>
                <c:pt idx="1135">
                  <c:v>41642</c:v>
                </c:pt>
                <c:pt idx="1136">
                  <c:v>41645</c:v>
                </c:pt>
                <c:pt idx="1137">
                  <c:v>41646</c:v>
                </c:pt>
                <c:pt idx="1138">
                  <c:v>41647</c:v>
                </c:pt>
                <c:pt idx="1139">
                  <c:v>41648</c:v>
                </c:pt>
                <c:pt idx="1140">
                  <c:v>41649</c:v>
                </c:pt>
                <c:pt idx="1141">
                  <c:v>41652</c:v>
                </c:pt>
                <c:pt idx="1142">
                  <c:v>41653</c:v>
                </c:pt>
                <c:pt idx="1143">
                  <c:v>41654</c:v>
                </c:pt>
                <c:pt idx="1144">
                  <c:v>41655</c:v>
                </c:pt>
                <c:pt idx="1145">
                  <c:v>41656</c:v>
                </c:pt>
                <c:pt idx="1146">
                  <c:v>41660</c:v>
                </c:pt>
                <c:pt idx="1147">
                  <c:v>41661</c:v>
                </c:pt>
                <c:pt idx="1148">
                  <c:v>41662</c:v>
                </c:pt>
                <c:pt idx="1149">
                  <c:v>41663</c:v>
                </c:pt>
                <c:pt idx="1150">
                  <c:v>41666</c:v>
                </c:pt>
                <c:pt idx="1151">
                  <c:v>41667</c:v>
                </c:pt>
                <c:pt idx="1152">
                  <c:v>41668</c:v>
                </c:pt>
                <c:pt idx="1153">
                  <c:v>41669</c:v>
                </c:pt>
                <c:pt idx="1154">
                  <c:v>41670</c:v>
                </c:pt>
                <c:pt idx="1155">
                  <c:v>41673</c:v>
                </c:pt>
                <c:pt idx="1156">
                  <c:v>41674</c:v>
                </c:pt>
                <c:pt idx="1157">
                  <c:v>41675</c:v>
                </c:pt>
                <c:pt idx="1158">
                  <c:v>41676</c:v>
                </c:pt>
                <c:pt idx="1159">
                  <c:v>41677</c:v>
                </c:pt>
                <c:pt idx="1160">
                  <c:v>41680</c:v>
                </c:pt>
                <c:pt idx="1161">
                  <c:v>41681</c:v>
                </c:pt>
                <c:pt idx="1162">
                  <c:v>41682</c:v>
                </c:pt>
                <c:pt idx="1163">
                  <c:v>41683</c:v>
                </c:pt>
                <c:pt idx="1164">
                  <c:v>41684</c:v>
                </c:pt>
                <c:pt idx="1165">
                  <c:v>41688</c:v>
                </c:pt>
                <c:pt idx="1166">
                  <c:v>41689</c:v>
                </c:pt>
                <c:pt idx="1167">
                  <c:v>41690</c:v>
                </c:pt>
                <c:pt idx="1168">
                  <c:v>41691</c:v>
                </c:pt>
                <c:pt idx="1169">
                  <c:v>41694</c:v>
                </c:pt>
                <c:pt idx="1170">
                  <c:v>41695</c:v>
                </c:pt>
                <c:pt idx="1171">
                  <c:v>41696</c:v>
                </c:pt>
                <c:pt idx="1172">
                  <c:v>41697</c:v>
                </c:pt>
                <c:pt idx="1173">
                  <c:v>41698</c:v>
                </c:pt>
                <c:pt idx="1174">
                  <c:v>41701</c:v>
                </c:pt>
                <c:pt idx="1175">
                  <c:v>41702</c:v>
                </c:pt>
                <c:pt idx="1176">
                  <c:v>41703</c:v>
                </c:pt>
                <c:pt idx="1177">
                  <c:v>41704</c:v>
                </c:pt>
                <c:pt idx="1178">
                  <c:v>41705</c:v>
                </c:pt>
                <c:pt idx="1179">
                  <c:v>41708</c:v>
                </c:pt>
                <c:pt idx="1180">
                  <c:v>41709</c:v>
                </c:pt>
                <c:pt idx="1181">
                  <c:v>41710</c:v>
                </c:pt>
                <c:pt idx="1182">
                  <c:v>41711</c:v>
                </c:pt>
                <c:pt idx="1183">
                  <c:v>41712</c:v>
                </c:pt>
                <c:pt idx="1184">
                  <c:v>41715</c:v>
                </c:pt>
                <c:pt idx="1185">
                  <c:v>41716</c:v>
                </c:pt>
                <c:pt idx="1186">
                  <c:v>41717</c:v>
                </c:pt>
                <c:pt idx="1187">
                  <c:v>41718</c:v>
                </c:pt>
                <c:pt idx="1188">
                  <c:v>41719</c:v>
                </c:pt>
                <c:pt idx="1189">
                  <c:v>41722</c:v>
                </c:pt>
                <c:pt idx="1190">
                  <c:v>41723</c:v>
                </c:pt>
                <c:pt idx="1191">
                  <c:v>41724</c:v>
                </c:pt>
                <c:pt idx="1192">
                  <c:v>41725</c:v>
                </c:pt>
                <c:pt idx="1193">
                  <c:v>41726</c:v>
                </c:pt>
                <c:pt idx="1194">
                  <c:v>41729</c:v>
                </c:pt>
                <c:pt idx="1195">
                  <c:v>41730</c:v>
                </c:pt>
                <c:pt idx="1196">
                  <c:v>41731</c:v>
                </c:pt>
                <c:pt idx="1197">
                  <c:v>41732</c:v>
                </c:pt>
                <c:pt idx="1198">
                  <c:v>41733</c:v>
                </c:pt>
                <c:pt idx="1199">
                  <c:v>41736</c:v>
                </c:pt>
                <c:pt idx="1200">
                  <c:v>41737</c:v>
                </c:pt>
                <c:pt idx="1201">
                  <c:v>41738</c:v>
                </c:pt>
                <c:pt idx="1202">
                  <c:v>41739</c:v>
                </c:pt>
                <c:pt idx="1203">
                  <c:v>41740</c:v>
                </c:pt>
                <c:pt idx="1204">
                  <c:v>41743</c:v>
                </c:pt>
                <c:pt idx="1205">
                  <c:v>41744</c:v>
                </c:pt>
                <c:pt idx="1206">
                  <c:v>41745</c:v>
                </c:pt>
                <c:pt idx="1207">
                  <c:v>41746</c:v>
                </c:pt>
                <c:pt idx="1208">
                  <c:v>41750</c:v>
                </c:pt>
                <c:pt idx="1209">
                  <c:v>41751</c:v>
                </c:pt>
                <c:pt idx="1210">
                  <c:v>41752</c:v>
                </c:pt>
                <c:pt idx="1211">
                  <c:v>41753</c:v>
                </c:pt>
                <c:pt idx="1212">
                  <c:v>41754</c:v>
                </c:pt>
                <c:pt idx="1213">
                  <c:v>41757</c:v>
                </c:pt>
                <c:pt idx="1214">
                  <c:v>41758</c:v>
                </c:pt>
                <c:pt idx="1215">
                  <c:v>41759</c:v>
                </c:pt>
                <c:pt idx="1216">
                  <c:v>41760</c:v>
                </c:pt>
                <c:pt idx="1217">
                  <c:v>41761</c:v>
                </c:pt>
                <c:pt idx="1218">
                  <c:v>41764</c:v>
                </c:pt>
                <c:pt idx="1219">
                  <c:v>41765</c:v>
                </c:pt>
                <c:pt idx="1220">
                  <c:v>41766</c:v>
                </c:pt>
                <c:pt idx="1221">
                  <c:v>41767</c:v>
                </c:pt>
                <c:pt idx="1222">
                  <c:v>41768</c:v>
                </c:pt>
                <c:pt idx="1223">
                  <c:v>41771</c:v>
                </c:pt>
                <c:pt idx="1224">
                  <c:v>41772</c:v>
                </c:pt>
                <c:pt idx="1225">
                  <c:v>41773</c:v>
                </c:pt>
                <c:pt idx="1226">
                  <c:v>41774</c:v>
                </c:pt>
                <c:pt idx="1227">
                  <c:v>41775</c:v>
                </c:pt>
                <c:pt idx="1228">
                  <c:v>41778</c:v>
                </c:pt>
                <c:pt idx="1229">
                  <c:v>41779</c:v>
                </c:pt>
                <c:pt idx="1230">
                  <c:v>41780</c:v>
                </c:pt>
                <c:pt idx="1231">
                  <c:v>41781</c:v>
                </c:pt>
                <c:pt idx="1232">
                  <c:v>41782</c:v>
                </c:pt>
                <c:pt idx="1233">
                  <c:v>41786</c:v>
                </c:pt>
                <c:pt idx="1234">
                  <c:v>41787</c:v>
                </c:pt>
                <c:pt idx="1235">
                  <c:v>41788</c:v>
                </c:pt>
                <c:pt idx="1236">
                  <c:v>41789</c:v>
                </c:pt>
                <c:pt idx="1237">
                  <c:v>41792</c:v>
                </c:pt>
                <c:pt idx="1238">
                  <c:v>41793</c:v>
                </c:pt>
                <c:pt idx="1239">
                  <c:v>41794</c:v>
                </c:pt>
                <c:pt idx="1240">
                  <c:v>41795</c:v>
                </c:pt>
                <c:pt idx="1241">
                  <c:v>41796</c:v>
                </c:pt>
                <c:pt idx="1242">
                  <c:v>41799</c:v>
                </c:pt>
                <c:pt idx="1243">
                  <c:v>41800</c:v>
                </c:pt>
                <c:pt idx="1244">
                  <c:v>41801</c:v>
                </c:pt>
                <c:pt idx="1245">
                  <c:v>41802</c:v>
                </c:pt>
                <c:pt idx="1246">
                  <c:v>41803</c:v>
                </c:pt>
                <c:pt idx="1247">
                  <c:v>41806</c:v>
                </c:pt>
                <c:pt idx="1248">
                  <c:v>41807</c:v>
                </c:pt>
                <c:pt idx="1249">
                  <c:v>41808</c:v>
                </c:pt>
                <c:pt idx="1250">
                  <c:v>41809</c:v>
                </c:pt>
                <c:pt idx="1251">
                  <c:v>41810</c:v>
                </c:pt>
                <c:pt idx="1252">
                  <c:v>41813</c:v>
                </c:pt>
                <c:pt idx="1253">
                  <c:v>41814</c:v>
                </c:pt>
                <c:pt idx="1254">
                  <c:v>41815</c:v>
                </c:pt>
                <c:pt idx="1255">
                  <c:v>41816</c:v>
                </c:pt>
                <c:pt idx="1256">
                  <c:v>41817</c:v>
                </c:pt>
                <c:pt idx="1257">
                  <c:v>41820</c:v>
                </c:pt>
                <c:pt idx="1258">
                  <c:v>41821</c:v>
                </c:pt>
                <c:pt idx="1259">
                  <c:v>41822</c:v>
                </c:pt>
                <c:pt idx="1260">
                  <c:v>41823</c:v>
                </c:pt>
                <c:pt idx="1261">
                  <c:v>41827</c:v>
                </c:pt>
                <c:pt idx="1262">
                  <c:v>41828</c:v>
                </c:pt>
                <c:pt idx="1263">
                  <c:v>41829</c:v>
                </c:pt>
                <c:pt idx="1264">
                  <c:v>41830</c:v>
                </c:pt>
                <c:pt idx="1265">
                  <c:v>41831</c:v>
                </c:pt>
                <c:pt idx="1266">
                  <c:v>41834</c:v>
                </c:pt>
                <c:pt idx="1267">
                  <c:v>41835</c:v>
                </c:pt>
                <c:pt idx="1268">
                  <c:v>41836</c:v>
                </c:pt>
                <c:pt idx="1269">
                  <c:v>41837</c:v>
                </c:pt>
                <c:pt idx="1270">
                  <c:v>41838</c:v>
                </c:pt>
                <c:pt idx="1271">
                  <c:v>41841</c:v>
                </c:pt>
                <c:pt idx="1272">
                  <c:v>41842</c:v>
                </c:pt>
                <c:pt idx="1273">
                  <c:v>41843</c:v>
                </c:pt>
                <c:pt idx="1274">
                  <c:v>41844</c:v>
                </c:pt>
                <c:pt idx="1275">
                  <c:v>41845</c:v>
                </c:pt>
                <c:pt idx="1276">
                  <c:v>41848</c:v>
                </c:pt>
                <c:pt idx="1277">
                  <c:v>41849</c:v>
                </c:pt>
                <c:pt idx="1278">
                  <c:v>41850</c:v>
                </c:pt>
                <c:pt idx="1279">
                  <c:v>41851</c:v>
                </c:pt>
                <c:pt idx="1280">
                  <c:v>41852</c:v>
                </c:pt>
                <c:pt idx="1281">
                  <c:v>41855</c:v>
                </c:pt>
                <c:pt idx="1282">
                  <c:v>41856</c:v>
                </c:pt>
                <c:pt idx="1283">
                  <c:v>41857</c:v>
                </c:pt>
                <c:pt idx="1284">
                  <c:v>41858</c:v>
                </c:pt>
                <c:pt idx="1285">
                  <c:v>41859</c:v>
                </c:pt>
                <c:pt idx="1286">
                  <c:v>41862</c:v>
                </c:pt>
                <c:pt idx="1287">
                  <c:v>41863</c:v>
                </c:pt>
                <c:pt idx="1288">
                  <c:v>41864</c:v>
                </c:pt>
                <c:pt idx="1289">
                  <c:v>41865</c:v>
                </c:pt>
                <c:pt idx="1290">
                  <c:v>41866</c:v>
                </c:pt>
                <c:pt idx="1291">
                  <c:v>41869</c:v>
                </c:pt>
                <c:pt idx="1292">
                  <c:v>41870</c:v>
                </c:pt>
                <c:pt idx="1293">
                  <c:v>41871</c:v>
                </c:pt>
                <c:pt idx="1294">
                  <c:v>41872</c:v>
                </c:pt>
                <c:pt idx="1295">
                  <c:v>41873</c:v>
                </c:pt>
                <c:pt idx="1296">
                  <c:v>41876</c:v>
                </c:pt>
                <c:pt idx="1297">
                  <c:v>41877</c:v>
                </c:pt>
                <c:pt idx="1298">
                  <c:v>41878</c:v>
                </c:pt>
                <c:pt idx="1299">
                  <c:v>41879</c:v>
                </c:pt>
                <c:pt idx="1300">
                  <c:v>41880</c:v>
                </c:pt>
                <c:pt idx="1301">
                  <c:v>41884</c:v>
                </c:pt>
                <c:pt idx="1302">
                  <c:v>41885</c:v>
                </c:pt>
                <c:pt idx="1303">
                  <c:v>41886</c:v>
                </c:pt>
                <c:pt idx="1304">
                  <c:v>41887</c:v>
                </c:pt>
                <c:pt idx="1305">
                  <c:v>41890</c:v>
                </c:pt>
                <c:pt idx="1306">
                  <c:v>41891</c:v>
                </c:pt>
                <c:pt idx="1307">
                  <c:v>41892</c:v>
                </c:pt>
                <c:pt idx="1308">
                  <c:v>41893</c:v>
                </c:pt>
                <c:pt idx="1309">
                  <c:v>41894</c:v>
                </c:pt>
                <c:pt idx="1310">
                  <c:v>41897</c:v>
                </c:pt>
                <c:pt idx="1311">
                  <c:v>41898</c:v>
                </c:pt>
                <c:pt idx="1312">
                  <c:v>41899</c:v>
                </c:pt>
                <c:pt idx="1313">
                  <c:v>41900</c:v>
                </c:pt>
                <c:pt idx="1314">
                  <c:v>41901</c:v>
                </c:pt>
                <c:pt idx="1315">
                  <c:v>41904</c:v>
                </c:pt>
                <c:pt idx="1316">
                  <c:v>41905</c:v>
                </c:pt>
                <c:pt idx="1317">
                  <c:v>41906</c:v>
                </c:pt>
                <c:pt idx="1318">
                  <c:v>41907</c:v>
                </c:pt>
                <c:pt idx="1319">
                  <c:v>41908</c:v>
                </c:pt>
                <c:pt idx="1320">
                  <c:v>41911</c:v>
                </c:pt>
                <c:pt idx="1321">
                  <c:v>41912</c:v>
                </c:pt>
                <c:pt idx="1322">
                  <c:v>41913</c:v>
                </c:pt>
                <c:pt idx="1323">
                  <c:v>41914</c:v>
                </c:pt>
                <c:pt idx="1324">
                  <c:v>41915</c:v>
                </c:pt>
                <c:pt idx="1325">
                  <c:v>41918</c:v>
                </c:pt>
                <c:pt idx="1326">
                  <c:v>41919</c:v>
                </c:pt>
                <c:pt idx="1327">
                  <c:v>41920</c:v>
                </c:pt>
                <c:pt idx="1328">
                  <c:v>41921</c:v>
                </c:pt>
                <c:pt idx="1329">
                  <c:v>41922</c:v>
                </c:pt>
                <c:pt idx="1330">
                  <c:v>41925</c:v>
                </c:pt>
                <c:pt idx="1331">
                  <c:v>41926</c:v>
                </c:pt>
                <c:pt idx="1332">
                  <c:v>41927</c:v>
                </c:pt>
                <c:pt idx="1333">
                  <c:v>41928</c:v>
                </c:pt>
                <c:pt idx="1334">
                  <c:v>41929</c:v>
                </c:pt>
                <c:pt idx="1335">
                  <c:v>41932</c:v>
                </c:pt>
                <c:pt idx="1336">
                  <c:v>41933</c:v>
                </c:pt>
                <c:pt idx="1337">
                  <c:v>41934</c:v>
                </c:pt>
                <c:pt idx="1338">
                  <c:v>41935</c:v>
                </c:pt>
                <c:pt idx="1339">
                  <c:v>41936</c:v>
                </c:pt>
                <c:pt idx="1340">
                  <c:v>41939</c:v>
                </c:pt>
                <c:pt idx="1341">
                  <c:v>41940</c:v>
                </c:pt>
                <c:pt idx="1342">
                  <c:v>41941</c:v>
                </c:pt>
                <c:pt idx="1343">
                  <c:v>41942</c:v>
                </c:pt>
                <c:pt idx="1344">
                  <c:v>41943</c:v>
                </c:pt>
                <c:pt idx="1345">
                  <c:v>41946</c:v>
                </c:pt>
                <c:pt idx="1346">
                  <c:v>41947</c:v>
                </c:pt>
                <c:pt idx="1347">
                  <c:v>41948</c:v>
                </c:pt>
                <c:pt idx="1348">
                  <c:v>41949</c:v>
                </c:pt>
                <c:pt idx="1349">
                  <c:v>41950</c:v>
                </c:pt>
                <c:pt idx="1350">
                  <c:v>41953</c:v>
                </c:pt>
                <c:pt idx="1351">
                  <c:v>41954</c:v>
                </c:pt>
                <c:pt idx="1352">
                  <c:v>41955</c:v>
                </c:pt>
                <c:pt idx="1353">
                  <c:v>41956</c:v>
                </c:pt>
                <c:pt idx="1354">
                  <c:v>41957</c:v>
                </c:pt>
                <c:pt idx="1355">
                  <c:v>41960</c:v>
                </c:pt>
                <c:pt idx="1356">
                  <c:v>41961</c:v>
                </c:pt>
                <c:pt idx="1357">
                  <c:v>41962</c:v>
                </c:pt>
                <c:pt idx="1358">
                  <c:v>41963</c:v>
                </c:pt>
                <c:pt idx="1359">
                  <c:v>41964</c:v>
                </c:pt>
                <c:pt idx="1360">
                  <c:v>41967</c:v>
                </c:pt>
                <c:pt idx="1361">
                  <c:v>41968</c:v>
                </c:pt>
                <c:pt idx="1362">
                  <c:v>41969</c:v>
                </c:pt>
                <c:pt idx="1363">
                  <c:v>41971</c:v>
                </c:pt>
                <c:pt idx="1364">
                  <c:v>41974</c:v>
                </c:pt>
                <c:pt idx="1365">
                  <c:v>41975</c:v>
                </c:pt>
                <c:pt idx="1366">
                  <c:v>41976</c:v>
                </c:pt>
                <c:pt idx="1367">
                  <c:v>41977</c:v>
                </c:pt>
                <c:pt idx="1368">
                  <c:v>41978</c:v>
                </c:pt>
                <c:pt idx="1369">
                  <c:v>41981</c:v>
                </c:pt>
                <c:pt idx="1370">
                  <c:v>41982</c:v>
                </c:pt>
                <c:pt idx="1371">
                  <c:v>41983</c:v>
                </c:pt>
                <c:pt idx="1372">
                  <c:v>41984</c:v>
                </c:pt>
                <c:pt idx="1373">
                  <c:v>41985</c:v>
                </c:pt>
                <c:pt idx="1374">
                  <c:v>41988</c:v>
                </c:pt>
                <c:pt idx="1375">
                  <c:v>41989</c:v>
                </c:pt>
                <c:pt idx="1376">
                  <c:v>41990</c:v>
                </c:pt>
                <c:pt idx="1377">
                  <c:v>41991</c:v>
                </c:pt>
                <c:pt idx="1378">
                  <c:v>41992</c:v>
                </c:pt>
                <c:pt idx="1379">
                  <c:v>41995</c:v>
                </c:pt>
                <c:pt idx="1380">
                  <c:v>41996</c:v>
                </c:pt>
                <c:pt idx="1381">
                  <c:v>41997</c:v>
                </c:pt>
                <c:pt idx="1382">
                  <c:v>41999</c:v>
                </c:pt>
                <c:pt idx="1383">
                  <c:v>42002</c:v>
                </c:pt>
                <c:pt idx="1384">
                  <c:v>42003</c:v>
                </c:pt>
                <c:pt idx="1385">
                  <c:v>42004</c:v>
                </c:pt>
                <c:pt idx="1386">
                  <c:v>42006</c:v>
                </c:pt>
                <c:pt idx="1387">
                  <c:v>42009</c:v>
                </c:pt>
                <c:pt idx="1388">
                  <c:v>42010</c:v>
                </c:pt>
                <c:pt idx="1389">
                  <c:v>42011</c:v>
                </c:pt>
                <c:pt idx="1390">
                  <c:v>42012</c:v>
                </c:pt>
                <c:pt idx="1391">
                  <c:v>42013</c:v>
                </c:pt>
                <c:pt idx="1392">
                  <c:v>42016</c:v>
                </c:pt>
                <c:pt idx="1393">
                  <c:v>42017</c:v>
                </c:pt>
                <c:pt idx="1394">
                  <c:v>42018</c:v>
                </c:pt>
                <c:pt idx="1395">
                  <c:v>42019</c:v>
                </c:pt>
                <c:pt idx="1396">
                  <c:v>42020</c:v>
                </c:pt>
                <c:pt idx="1397">
                  <c:v>42024</c:v>
                </c:pt>
                <c:pt idx="1398">
                  <c:v>42025</c:v>
                </c:pt>
                <c:pt idx="1399">
                  <c:v>42026</c:v>
                </c:pt>
                <c:pt idx="1400">
                  <c:v>42027</c:v>
                </c:pt>
                <c:pt idx="1401">
                  <c:v>42030</c:v>
                </c:pt>
                <c:pt idx="1402">
                  <c:v>42031</c:v>
                </c:pt>
                <c:pt idx="1403">
                  <c:v>42032</c:v>
                </c:pt>
                <c:pt idx="1404">
                  <c:v>42033</c:v>
                </c:pt>
                <c:pt idx="1405">
                  <c:v>42034</c:v>
                </c:pt>
                <c:pt idx="1406">
                  <c:v>42037</c:v>
                </c:pt>
                <c:pt idx="1407">
                  <c:v>42038</c:v>
                </c:pt>
                <c:pt idx="1408">
                  <c:v>42039</c:v>
                </c:pt>
                <c:pt idx="1409">
                  <c:v>42040</c:v>
                </c:pt>
                <c:pt idx="1410">
                  <c:v>42041</c:v>
                </c:pt>
                <c:pt idx="1411">
                  <c:v>42044</c:v>
                </c:pt>
                <c:pt idx="1412">
                  <c:v>42045</c:v>
                </c:pt>
                <c:pt idx="1413">
                  <c:v>42046</c:v>
                </c:pt>
                <c:pt idx="1414">
                  <c:v>42047</c:v>
                </c:pt>
                <c:pt idx="1415">
                  <c:v>42048</c:v>
                </c:pt>
                <c:pt idx="1416">
                  <c:v>42052</c:v>
                </c:pt>
                <c:pt idx="1417">
                  <c:v>42053</c:v>
                </c:pt>
                <c:pt idx="1418">
                  <c:v>42054</c:v>
                </c:pt>
                <c:pt idx="1419">
                  <c:v>42055</c:v>
                </c:pt>
                <c:pt idx="1420">
                  <c:v>42058</c:v>
                </c:pt>
                <c:pt idx="1421">
                  <c:v>42059</c:v>
                </c:pt>
                <c:pt idx="1422">
                  <c:v>42060</c:v>
                </c:pt>
                <c:pt idx="1423">
                  <c:v>42061</c:v>
                </c:pt>
                <c:pt idx="1424">
                  <c:v>42062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42072</c:v>
                </c:pt>
                <c:pt idx="1431">
                  <c:v>42073</c:v>
                </c:pt>
                <c:pt idx="1432">
                  <c:v>42074</c:v>
                </c:pt>
                <c:pt idx="1433">
                  <c:v>42075</c:v>
                </c:pt>
                <c:pt idx="1434">
                  <c:v>42076</c:v>
                </c:pt>
                <c:pt idx="1435">
                  <c:v>42079</c:v>
                </c:pt>
                <c:pt idx="1436">
                  <c:v>42080</c:v>
                </c:pt>
                <c:pt idx="1437">
                  <c:v>42081</c:v>
                </c:pt>
                <c:pt idx="1438">
                  <c:v>42082</c:v>
                </c:pt>
                <c:pt idx="1439">
                  <c:v>42083</c:v>
                </c:pt>
                <c:pt idx="1440">
                  <c:v>42086</c:v>
                </c:pt>
                <c:pt idx="1441">
                  <c:v>42087</c:v>
                </c:pt>
                <c:pt idx="1442">
                  <c:v>42088</c:v>
                </c:pt>
                <c:pt idx="1443">
                  <c:v>42089</c:v>
                </c:pt>
                <c:pt idx="1444">
                  <c:v>42090</c:v>
                </c:pt>
                <c:pt idx="1445">
                  <c:v>42093</c:v>
                </c:pt>
                <c:pt idx="1446">
                  <c:v>42094</c:v>
                </c:pt>
                <c:pt idx="1447">
                  <c:v>42095</c:v>
                </c:pt>
                <c:pt idx="1448">
                  <c:v>42096</c:v>
                </c:pt>
                <c:pt idx="1449">
                  <c:v>42100</c:v>
                </c:pt>
                <c:pt idx="1450">
                  <c:v>42101</c:v>
                </c:pt>
                <c:pt idx="1451">
                  <c:v>42102</c:v>
                </c:pt>
                <c:pt idx="1452">
                  <c:v>42103</c:v>
                </c:pt>
                <c:pt idx="1453">
                  <c:v>42104</c:v>
                </c:pt>
                <c:pt idx="1454">
                  <c:v>42107</c:v>
                </c:pt>
                <c:pt idx="1455">
                  <c:v>42108</c:v>
                </c:pt>
                <c:pt idx="1456">
                  <c:v>42109</c:v>
                </c:pt>
                <c:pt idx="1457">
                  <c:v>42110</c:v>
                </c:pt>
                <c:pt idx="1458">
                  <c:v>42111</c:v>
                </c:pt>
                <c:pt idx="1459">
                  <c:v>42114</c:v>
                </c:pt>
                <c:pt idx="1460">
                  <c:v>42115</c:v>
                </c:pt>
                <c:pt idx="1461">
                  <c:v>42116</c:v>
                </c:pt>
                <c:pt idx="1462">
                  <c:v>42117</c:v>
                </c:pt>
                <c:pt idx="1463">
                  <c:v>42118</c:v>
                </c:pt>
                <c:pt idx="1464">
                  <c:v>42121</c:v>
                </c:pt>
                <c:pt idx="1465">
                  <c:v>42122</c:v>
                </c:pt>
                <c:pt idx="1466">
                  <c:v>42123</c:v>
                </c:pt>
                <c:pt idx="1467">
                  <c:v>42124</c:v>
                </c:pt>
                <c:pt idx="1468">
                  <c:v>42125</c:v>
                </c:pt>
                <c:pt idx="1469">
                  <c:v>42128</c:v>
                </c:pt>
                <c:pt idx="1470">
                  <c:v>42129</c:v>
                </c:pt>
                <c:pt idx="1471">
                  <c:v>42130</c:v>
                </c:pt>
                <c:pt idx="1472">
                  <c:v>42131</c:v>
                </c:pt>
                <c:pt idx="1473">
                  <c:v>42132</c:v>
                </c:pt>
                <c:pt idx="1474">
                  <c:v>42135</c:v>
                </c:pt>
                <c:pt idx="1475">
                  <c:v>42136</c:v>
                </c:pt>
                <c:pt idx="1476">
                  <c:v>42137</c:v>
                </c:pt>
                <c:pt idx="1477">
                  <c:v>42138</c:v>
                </c:pt>
                <c:pt idx="1478">
                  <c:v>42139</c:v>
                </c:pt>
                <c:pt idx="1479">
                  <c:v>42142</c:v>
                </c:pt>
                <c:pt idx="1480">
                  <c:v>42143</c:v>
                </c:pt>
                <c:pt idx="1481">
                  <c:v>42144</c:v>
                </c:pt>
                <c:pt idx="1482">
                  <c:v>42145</c:v>
                </c:pt>
                <c:pt idx="1483">
                  <c:v>42146</c:v>
                </c:pt>
                <c:pt idx="1484">
                  <c:v>42150</c:v>
                </c:pt>
                <c:pt idx="1485">
                  <c:v>42151</c:v>
                </c:pt>
                <c:pt idx="1486">
                  <c:v>42152</c:v>
                </c:pt>
                <c:pt idx="1487">
                  <c:v>42153</c:v>
                </c:pt>
                <c:pt idx="1488">
                  <c:v>42156</c:v>
                </c:pt>
                <c:pt idx="1489">
                  <c:v>42157</c:v>
                </c:pt>
                <c:pt idx="1490">
                  <c:v>42158</c:v>
                </c:pt>
                <c:pt idx="1491">
                  <c:v>42159</c:v>
                </c:pt>
                <c:pt idx="1492">
                  <c:v>42160</c:v>
                </c:pt>
                <c:pt idx="1493">
                  <c:v>42163</c:v>
                </c:pt>
                <c:pt idx="1494">
                  <c:v>42164</c:v>
                </c:pt>
                <c:pt idx="1495">
                  <c:v>42165</c:v>
                </c:pt>
                <c:pt idx="1496">
                  <c:v>42166</c:v>
                </c:pt>
                <c:pt idx="1497">
                  <c:v>42167</c:v>
                </c:pt>
                <c:pt idx="1498">
                  <c:v>42170</c:v>
                </c:pt>
                <c:pt idx="1499">
                  <c:v>42171</c:v>
                </c:pt>
                <c:pt idx="1500">
                  <c:v>42172</c:v>
                </c:pt>
                <c:pt idx="1501">
                  <c:v>42173</c:v>
                </c:pt>
                <c:pt idx="1502">
                  <c:v>42174</c:v>
                </c:pt>
                <c:pt idx="1503">
                  <c:v>42177</c:v>
                </c:pt>
                <c:pt idx="1504">
                  <c:v>42178</c:v>
                </c:pt>
                <c:pt idx="1505">
                  <c:v>42179</c:v>
                </c:pt>
                <c:pt idx="1506">
                  <c:v>42180</c:v>
                </c:pt>
                <c:pt idx="1507">
                  <c:v>42181</c:v>
                </c:pt>
                <c:pt idx="1508">
                  <c:v>42184</c:v>
                </c:pt>
                <c:pt idx="1509">
                  <c:v>42185</c:v>
                </c:pt>
                <c:pt idx="1510">
                  <c:v>42186</c:v>
                </c:pt>
                <c:pt idx="1511">
                  <c:v>42187</c:v>
                </c:pt>
                <c:pt idx="1512">
                  <c:v>42191</c:v>
                </c:pt>
                <c:pt idx="1513">
                  <c:v>42192</c:v>
                </c:pt>
                <c:pt idx="1514">
                  <c:v>42193</c:v>
                </c:pt>
                <c:pt idx="1515">
                  <c:v>42194</c:v>
                </c:pt>
                <c:pt idx="1516">
                  <c:v>42195</c:v>
                </c:pt>
                <c:pt idx="1517">
                  <c:v>42198</c:v>
                </c:pt>
                <c:pt idx="1518">
                  <c:v>42199</c:v>
                </c:pt>
                <c:pt idx="1519">
                  <c:v>42200</c:v>
                </c:pt>
                <c:pt idx="1520">
                  <c:v>42201</c:v>
                </c:pt>
                <c:pt idx="1521">
                  <c:v>42202</c:v>
                </c:pt>
                <c:pt idx="1522">
                  <c:v>42205</c:v>
                </c:pt>
                <c:pt idx="1523">
                  <c:v>42206</c:v>
                </c:pt>
                <c:pt idx="1524">
                  <c:v>42207</c:v>
                </c:pt>
                <c:pt idx="1525">
                  <c:v>42208</c:v>
                </c:pt>
                <c:pt idx="1526">
                  <c:v>42209</c:v>
                </c:pt>
                <c:pt idx="1527">
                  <c:v>42212</c:v>
                </c:pt>
                <c:pt idx="1528">
                  <c:v>42213</c:v>
                </c:pt>
                <c:pt idx="1529">
                  <c:v>42214</c:v>
                </c:pt>
                <c:pt idx="1530">
                  <c:v>42215</c:v>
                </c:pt>
                <c:pt idx="1531">
                  <c:v>42216</c:v>
                </c:pt>
                <c:pt idx="1532">
                  <c:v>42219</c:v>
                </c:pt>
                <c:pt idx="1533">
                  <c:v>42220</c:v>
                </c:pt>
                <c:pt idx="1534">
                  <c:v>42221</c:v>
                </c:pt>
                <c:pt idx="1535">
                  <c:v>42222</c:v>
                </c:pt>
                <c:pt idx="1536">
                  <c:v>42223</c:v>
                </c:pt>
                <c:pt idx="1537">
                  <c:v>42226</c:v>
                </c:pt>
                <c:pt idx="1538">
                  <c:v>42227</c:v>
                </c:pt>
                <c:pt idx="1539">
                  <c:v>42228</c:v>
                </c:pt>
                <c:pt idx="1540">
                  <c:v>42229</c:v>
                </c:pt>
                <c:pt idx="1541">
                  <c:v>42230</c:v>
                </c:pt>
                <c:pt idx="1542">
                  <c:v>42233</c:v>
                </c:pt>
                <c:pt idx="1543">
                  <c:v>42234</c:v>
                </c:pt>
                <c:pt idx="1544">
                  <c:v>42235</c:v>
                </c:pt>
                <c:pt idx="1545">
                  <c:v>42236</c:v>
                </c:pt>
                <c:pt idx="1546">
                  <c:v>42237</c:v>
                </c:pt>
                <c:pt idx="1547">
                  <c:v>42240</c:v>
                </c:pt>
                <c:pt idx="1548">
                  <c:v>42241</c:v>
                </c:pt>
                <c:pt idx="1549">
                  <c:v>42242</c:v>
                </c:pt>
                <c:pt idx="1550">
                  <c:v>42243</c:v>
                </c:pt>
                <c:pt idx="1551">
                  <c:v>42244</c:v>
                </c:pt>
                <c:pt idx="1552">
                  <c:v>42247</c:v>
                </c:pt>
                <c:pt idx="1553">
                  <c:v>42248</c:v>
                </c:pt>
                <c:pt idx="1554">
                  <c:v>42249</c:v>
                </c:pt>
                <c:pt idx="1555">
                  <c:v>42250</c:v>
                </c:pt>
                <c:pt idx="1556">
                  <c:v>42251</c:v>
                </c:pt>
                <c:pt idx="1557">
                  <c:v>42255</c:v>
                </c:pt>
                <c:pt idx="1558">
                  <c:v>42256</c:v>
                </c:pt>
                <c:pt idx="1559">
                  <c:v>42257</c:v>
                </c:pt>
                <c:pt idx="1560">
                  <c:v>42258</c:v>
                </c:pt>
                <c:pt idx="1561">
                  <c:v>42261</c:v>
                </c:pt>
                <c:pt idx="1562">
                  <c:v>42262</c:v>
                </c:pt>
                <c:pt idx="1563">
                  <c:v>42263</c:v>
                </c:pt>
                <c:pt idx="1564">
                  <c:v>42264</c:v>
                </c:pt>
                <c:pt idx="1565">
                  <c:v>42265</c:v>
                </c:pt>
                <c:pt idx="1566">
                  <c:v>42268</c:v>
                </c:pt>
                <c:pt idx="1567">
                  <c:v>42269</c:v>
                </c:pt>
                <c:pt idx="1568">
                  <c:v>42270</c:v>
                </c:pt>
                <c:pt idx="1569">
                  <c:v>42271</c:v>
                </c:pt>
                <c:pt idx="1570">
                  <c:v>42272</c:v>
                </c:pt>
                <c:pt idx="1571">
                  <c:v>42275</c:v>
                </c:pt>
                <c:pt idx="1572">
                  <c:v>42276</c:v>
                </c:pt>
                <c:pt idx="1573">
                  <c:v>42277</c:v>
                </c:pt>
                <c:pt idx="1574">
                  <c:v>42278</c:v>
                </c:pt>
                <c:pt idx="1575">
                  <c:v>42279</c:v>
                </c:pt>
                <c:pt idx="1576">
                  <c:v>42282</c:v>
                </c:pt>
                <c:pt idx="1577">
                  <c:v>42283</c:v>
                </c:pt>
                <c:pt idx="1578">
                  <c:v>42284</c:v>
                </c:pt>
                <c:pt idx="1579">
                  <c:v>42285</c:v>
                </c:pt>
                <c:pt idx="1580">
                  <c:v>42286</c:v>
                </c:pt>
                <c:pt idx="1581">
                  <c:v>42289</c:v>
                </c:pt>
                <c:pt idx="1582">
                  <c:v>42290</c:v>
                </c:pt>
                <c:pt idx="1583">
                  <c:v>42291</c:v>
                </c:pt>
                <c:pt idx="1584">
                  <c:v>42292</c:v>
                </c:pt>
                <c:pt idx="1585">
                  <c:v>42293</c:v>
                </c:pt>
                <c:pt idx="1586">
                  <c:v>42296</c:v>
                </c:pt>
                <c:pt idx="1587">
                  <c:v>42297</c:v>
                </c:pt>
                <c:pt idx="1588">
                  <c:v>42298</c:v>
                </c:pt>
                <c:pt idx="1589">
                  <c:v>42299</c:v>
                </c:pt>
                <c:pt idx="1590">
                  <c:v>42300</c:v>
                </c:pt>
                <c:pt idx="1591">
                  <c:v>42303</c:v>
                </c:pt>
                <c:pt idx="1592">
                  <c:v>42304</c:v>
                </c:pt>
                <c:pt idx="1593">
                  <c:v>42305</c:v>
                </c:pt>
                <c:pt idx="1594">
                  <c:v>42306</c:v>
                </c:pt>
                <c:pt idx="1595">
                  <c:v>42307</c:v>
                </c:pt>
                <c:pt idx="1596">
                  <c:v>42310</c:v>
                </c:pt>
                <c:pt idx="1597">
                  <c:v>42311</c:v>
                </c:pt>
                <c:pt idx="1598">
                  <c:v>42312</c:v>
                </c:pt>
                <c:pt idx="1599">
                  <c:v>42313</c:v>
                </c:pt>
                <c:pt idx="1600">
                  <c:v>42314</c:v>
                </c:pt>
                <c:pt idx="1601">
                  <c:v>42317</c:v>
                </c:pt>
                <c:pt idx="1602">
                  <c:v>42318</c:v>
                </c:pt>
                <c:pt idx="1603">
                  <c:v>42319</c:v>
                </c:pt>
                <c:pt idx="1604">
                  <c:v>42320</c:v>
                </c:pt>
                <c:pt idx="1605">
                  <c:v>42321</c:v>
                </c:pt>
                <c:pt idx="1606">
                  <c:v>42324</c:v>
                </c:pt>
                <c:pt idx="1607">
                  <c:v>42325</c:v>
                </c:pt>
                <c:pt idx="1608">
                  <c:v>42326</c:v>
                </c:pt>
                <c:pt idx="1609">
                  <c:v>42327</c:v>
                </c:pt>
                <c:pt idx="1610">
                  <c:v>42328</c:v>
                </c:pt>
                <c:pt idx="1611">
                  <c:v>42331</c:v>
                </c:pt>
                <c:pt idx="1612">
                  <c:v>42332</c:v>
                </c:pt>
                <c:pt idx="1613">
                  <c:v>42333</c:v>
                </c:pt>
                <c:pt idx="1614">
                  <c:v>42335</c:v>
                </c:pt>
                <c:pt idx="1615">
                  <c:v>42338</c:v>
                </c:pt>
                <c:pt idx="1616">
                  <c:v>42339</c:v>
                </c:pt>
                <c:pt idx="1617">
                  <c:v>42340</c:v>
                </c:pt>
                <c:pt idx="1618">
                  <c:v>42341</c:v>
                </c:pt>
                <c:pt idx="1619">
                  <c:v>42342</c:v>
                </c:pt>
                <c:pt idx="1620">
                  <c:v>42345</c:v>
                </c:pt>
                <c:pt idx="1621">
                  <c:v>42346</c:v>
                </c:pt>
                <c:pt idx="1622">
                  <c:v>42347</c:v>
                </c:pt>
                <c:pt idx="1623">
                  <c:v>42348</c:v>
                </c:pt>
                <c:pt idx="1624">
                  <c:v>42349</c:v>
                </c:pt>
                <c:pt idx="1625">
                  <c:v>42352</c:v>
                </c:pt>
                <c:pt idx="1626">
                  <c:v>42353</c:v>
                </c:pt>
                <c:pt idx="1627">
                  <c:v>42354</c:v>
                </c:pt>
                <c:pt idx="1628">
                  <c:v>42355</c:v>
                </c:pt>
                <c:pt idx="1629">
                  <c:v>42356</c:v>
                </c:pt>
                <c:pt idx="1630">
                  <c:v>42359</c:v>
                </c:pt>
                <c:pt idx="1631">
                  <c:v>42360</c:v>
                </c:pt>
                <c:pt idx="1632">
                  <c:v>42361</c:v>
                </c:pt>
                <c:pt idx="1633">
                  <c:v>42362</c:v>
                </c:pt>
                <c:pt idx="1634">
                  <c:v>42366</c:v>
                </c:pt>
                <c:pt idx="1635">
                  <c:v>42367</c:v>
                </c:pt>
                <c:pt idx="1636">
                  <c:v>42368</c:v>
                </c:pt>
                <c:pt idx="1637">
                  <c:v>42369</c:v>
                </c:pt>
                <c:pt idx="1638">
                  <c:v>42373</c:v>
                </c:pt>
                <c:pt idx="1639">
                  <c:v>42374</c:v>
                </c:pt>
                <c:pt idx="1640">
                  <c:v>42375</c:v>
                </c:pt>
                <c:pt idx="1641">
                  <c:v>42376</c:v>
                </c:pt>
                <c:pt idx="1642">
                  <c:v>42377</c:v>
                </c:pt>
                <c:pt idx="1643">
                  <c:v>42380</c:v>
                </c:pt>
                <c:pt idx="1644">
                  <c:v>42381</c:v>
                </c:pt>
                <c:pt idx="1645">
                  <c:v>42382</c:v>
                </c:pt>
                <c:pt idx="1646">
                  <c:v>42383</c:v>
                </c:pt>
                <c:pt idx="1647">
                  <c:v>42384</c:v>
                </c:pt>
                <c:pt idx="1648">
                  <c:v>42388</c:v>
                </c:pt>
                <c:pt idx="1649">
                  <c:v>42389</c:v>
                </c:pt>
                <c:pt idx="1650">
                  <c:v>42390</c:v>
                </c:pt>
                <c:pt idx="1651">
                  <c:v>42391</c:v>
                </c:pt>
                <c:pt idx="1652">
                  <c:v>42394</c:v>
                </c:pt>
                <c:pt idx="1653">
                  <c:v>42395</c:v>
                </c:pt>
                <c:pt idx="1654">
                  <c:v>42396</c:v>
                </c:pt>
                <c:pt idx="1655">
                  <c:v>42397</c:v>
                </c:pt>
                <c:pt idx="1656">
                  <c:v>42398</c:v>
                </c:pt>
                <c:pt idx="1657">
                  <c:v>42401</c:v>
                </c:pt>
                <c:pt idx="1658">
                  <c:v>42402</c:v>
                </c:pt>
                <c:pt idx="1659">
                  <c:v>42403</c:v>
                </c:pt>
                <c:pt idx="1660">
                  <c:v>42404</c:v>
                </c:pt>
                <c:pt idx="1661">
                  <c:v>42405</c:v>
                </c:pt>
                <c:pt idx="1662">
                  <c:v>42408</c:v>
                </c:pt>
                <c:pt idx="1663">
                  <c:v>42409</c:v>
                </c:pt>
                <c:pt idx="1664">
                  <c:v>42410</c:v>
                </c:pt>
                <c:pt idx="1665">
                  <c:v>42411</c:v>
                </c:pt>
                <c:pt idx="1666">
                  <c:v>42412</c:v>
                </c:pt>
                <c:pt idx="1667">
                  <c:v>42416</c:v>
                </c:pt>
                <c:pt idx="1668">
                  <c:v>42417</c:v>
                </c:pt>
                <c:pt idx="1669">
                  <c:v>42418</c:v>
                </c:pt>
                <c:pt idx="1670">
                  <c:v>42419</c:v>
                </c:pt>
                <c:pt idx="1671">
                  <c:v>42422</c:v>
                </c:pt>
                <c:pt idx="1672">
                  <c:v>42423</c:v>
                </c:pt>
                <c:pt idx="1673">
                  <c:v>42424</c:v>
                </c:pt>
                <c:pt idx="1674">
                  <c:v>42425</c:v>
                </c:pt>
                <c:pt idx="1675">
                  <c:v>42426</c:v>
                </c:pt>
                <c:pt idx="1676">
                  <c:v>42429</c:v>
                </c:pt>
                <c:pt idx="1677">
                  <c:v>42430</c:v>
                </c:pt>
                <c:pt idx="1678">
                  <c:v>42431</c:v>
                </c:pt>
                <c:pt idx="1679">
                  <c:v>42432</c:v>
                </c:pt>
                <c:pt idx="1680">
                  <c:v>42433</c:v>
                </c:pt>
                <c:pt idx="1681">
                  <c:v>42436</c:v>
                </c:pt>
                <c:pt idx="1682">
                  <c:v>42437</c:v>
                </c:pt>
                <c:pt idx="1683">
                  <c:v>42438</c:v>
                </c:pt>
                <c:pt idx="1684">
                  <c:v>42439</c:v>
                </c:pt>
                <c:pt idx="1685">
                  <c:v>42440</c:v>
                </c:pt>
                <c:pt idx="1686">
                  <c:v>42443</c:v>
                </c:pt>
                <c:pt idx="1687">
                  <c:v>42444</c:v>
                </c:pt>
                <c:pt idx="1688">
                  <c:v>42445</c:v>
                </c:pt>
                <c:pt idx="1689">
                  <c:v>42446</c:v>
                </c:pt>
                <c:pt idx="1690">
                  <c:v>42447</c:v>
                </c:pt>
                <c:pt idx="1691">
                  <c:v>42450</c:v>
                </c:pt>
                <c:pt idx="1692">
                  <c:v>42451</c:v>
                </c:pt>
                <c:pt idx="1693">
                  <c:v>42452</c:v>
                </c:pt>
                <c:pt idx="1694">
                  <c:v>42453</c:v>
                </c:pt>
                <c:pt idx="1695">
                  <c:v>42457</c:v>
                </c:pt>
                <c:pt idx="1696">
                  <c:v>42458</c:v>
                </c:pt>
                <c:pt idx="1697">
                  <c:v>42459</c:v>
                </c:pt>
                <c:pt idx="1698">
                  <c:v>42460</c:v>
                </c:pt>
                <c:pt idx="1699">
                  <c:v>42461</c:v>
                </c:pt>
                <c:pt idx="1700">
                  <c:v>42464</c:v>
                </c:pt>
                <c:pt idx="1701">
                  <c:v>42465</c:v>
                </c:pt>
                <c:pt idx="1702">
                  <c:v>42466</c:v>
                </c:pt>
                <c:pt idx="1703">
                  <c:v>42467</c:v>
                </c:pt>
                <c:pt idx="1704">
                  <c:v>42468</c:v>
                </c:pt>
                <c:pt idx="1705">
                  <c:v>42471</c:v>
                </c:pt>
                <c:pt idx="1706">
                  <c:v>42472</c:v>
                </c:pt>
                <c:pt idx="1707">
                  <c:v>42473</c:v>
                </c:pt>
                <c:pt idx="1708">
                  <c:v>42474</c:v>
                </c:pt>
                <c:pt idx="1709">
                  <c:v>42475</c:v>
                </c:pt>
                <c:pt idx="1710">
                  <c:v>42478</c:v>
                </c:pt>
                <c:pt idx="1711">
                  <c:v>42479</c:v>
                </c:pt>
                <c:pt idx="1712">
                  <c:v>42480</c:v>
                </c:pt>
                <c:pt idx="1713">
                  <c:v>42481</c:v>
                </c:pt>
                <c:pt idx="1714">
                  <c:v>42482</c:v>
                </c:pt>
                <c:pt idx="1715">
                  <c:v>42485</c:v>
                </c:pt>
                <c:pt idx="1716">
                  <c:v>42486</c:v>
                </c:pt>
                <c:pt idx="1717">
                  <c:v>42487</c:v>
                </c:pt>
                <c:pt idx="1718">
                  <c:v>42488</c:v>
                </c:pt>
                <c:pt idx="1719">
                  <c:v>42489</c:v>
                </c:pt>
                <c:pt idx="1720">
                  <c:v>42492</c:v>
                </c:pt>
                <c:pt idx="1721">
                  <c:v>42493</c:v>
                </c:pt>
                <c:pt idx="1722">
                  <c:v>42494</c:v>
                </c:pt>
                <c:pt idx="1723">
                  <c:v>42495</c:v>
                </c:pt>
                <c:pt idx="1724">
                  <c:v>42496</c:v>
                </c:pt>
                <c:pt idx="1725">
                  <c:v>42499</c:v>
                </c:pt>
                <c:pt idx="1726">
                  <c:v>42500</c:v>
                </c:pt>
                <c:pt idx="1727">
                  <c:v>42501</c:v>
                </c:pt>
                <c:pt idx="1728">
                  <c:v>42502</c:v>
                </c:pt>
                <c:pt idx="1729">
                  <c:v>42503</c:v>
                </c:pt>
                <c:pt idx="1730">
                  <c:v>42506</c:v>
                </c:pt>
                <c:pt idx="1731">
                  <c:v>42507</c:v>
                </c:pt>
                <c:pt idx="1732">
                  <c:v>42508</c:v>
                </c:pt>
                <c:pt idx="1733">
                  <c:v>42509</c:v>
                </c:pt>
                <c:pt idx="1734">
                  <c:v>42510</c:v>
                </c:pt>
                <c:pt idx="1735">
                  <c:v>42513</c:v>
                </c:pt>
                <c:pt idx="1736">
                  <c:v>42514</c:v>
                </c:pt>
                <c:pt idx="1737">
                  <c:v>42515</c:v>
                </c:pt>
                <c:pt idx="1738">
                  <c:v>42516</c:v>
                </c:pt>
                <c:pt idx="1739">
                  <c:v>42517</c:v>
                </c:pt>
                <c:pt idx="1740">
                  <c:v>42521</c:v>
                </c:pt>
                <c:pt idx="1741">
                  <c:v>42522</c:v>
                </c:pt>
                <c:pt idx="1742">
                  <c:v>42523</c:v>
                </c:pt>
                <c:pt idx="1743">
                  <c:v>42524</c:v>
                </c:pt>
                <c:pt idx="1744">
                  <c:v>42527</c:v>
                </c:pt>
                <c:pt idx="1745">
                  <c:v>42528</c:v>
                </c:pt>
                <c:pt idx="1746">
                  <c:v>42529</c:v>
                </c:pt>
                <c:pt idx="1747">
                  <c:v>42530</c:v>
                </c:pt>
                <c:pt idx="1748">
                  <c:v>42531</c:v>
                </c:pt>
                <c:pt idx="1749">
                  <c:v>42534</c:v>
                </c:pt>
                <c:pt idx="1750">
                  <c:v>42535</c:v>
                </c:pt>
                <c:pt idx="1751">
                  <c:v>42536</c:v>
                </c:pt>
                <c:pt idx="1752">
                  <c:v>42537</c:v>
                </c:pt>
                <c:pt idx="1753">
                  <c:v>42538</c:v>
                </c:pt>
                <c:pt idx="1754">
                  <c:v>42541</c:v>
                </c:pt>
                <c:pt idx="1755">
                  <c:v>42542</c:v>
                </c:pt>
                <c:pt idx="1756">
                  <c:v>42543</c:v>
                </c:pt>
                <c:pt idx="1757">
                  <c:v>42544</c:v>
                </c:pt>
                <c:pt idx="1758">
                  <c:v>42545</c:v>
                </c:pt>
                <c:pt idx="1759">
                  <c:v>42548</c:v>
                </c:pt>
                <c:pt idx="1760">
                  <c:v>42549</c:v>
                </c:pt>
                <c:pt idx="1761">
                  <c:v>42550</c:v>
                </c:pt>
                <c:pt idx="1762">
                  <c:v>42551</c:v>
                </c:pt>
                <c:pt idx="1763">
                  <c:v>42552</c:v>
                </c:pt>
                <c:pt idx="1764">
                  <c:v>42556</c:v>
                </c:pt>
                <c:pt idx="1765">
                  <c:v>42557</c:v>
                </c:pt>
                <c:pt idx="1766">
                  <c:v>42558</c:v>
                </c:pt>
                <c:pt idx="1767">
                  <c:v>42559</c:v>
                </c:pt>
                <c:pt idx="1768">
                  <c:v>42562</c:v>
                </c:pt>
                <c:pt idx="1769">
                  <c:v>42563</c:v>
                </c:pt>
                <c:pt idx="1770">
                  <c:v>42564</c:v>
                </c:pt>
                <c:pt idx="1771">
                  <c:v>42565</c:v>
                </c:pt>
                <c:pt idx="1772">
                  <c:v>42566</c:v>
                </c:pt>
                <c:pt idx="1773">
                  <c:v>42569</c:v>
                </c:pt>
                <c:pt idx="1774">
                  <c:v>42570</c:v>
                </c:pt>
                <c:pt idx="1775">
                  <c:v>42571</c:v>
                </c:pt>
                <c:pt idx="1776">
                  <c:v>42572</c:v>
                </c:pt>
                <c:pt idx="1777">
                  <c:v>42573</c:v>
                </c:pt>
                <c:pt idx="1778">
                  <c:v>42576</c:v>
                </c:pt>
                <c:pt idx="1779">
                  <c:v>42577</c:v>
                </c:pt>
                <c:pt idx="1780">
                  <c:v>42578</c:v>
                </c:pt>
                <c:pt idx="1781">
                  <c:v>42579</c:v>
                </c:pt>
                <c:pt idx="1782">
                  <c:v>42580</c:v>
                </c:pt>
                <c:pt idx="1783">
                  <c:v>42583</c:v>
                </c:pt>
                <c:pt idx="1784">
                  <c:v>42584</c:v>
                </c:pt>
                <c:pt idx="1785">
                  <c:v>42585</c:v>
                </c:pt>
                <c:pt idx="1786">
                  <c:v>42586</c:v>
                </c:pt>
                <c:pt idx="1787">
                  <c:v>42587</c:v>
                </c:pt>
                <c:pt idx="1788">
                  <c:v>42590</c:v>
                </c:pt>
                <c:pt idx="1789">
                  <c:v>42591</c:v>
                </c:pt>
                <c:pt idx="1790">
                  <c:v>42592</c:v>
                </c:pt>
                <c:pt idx="1791">
                  <c:v>42593</c:v>
                </c:pt>
                <c:pt idx="1792">
                  <c:v>42594</c:v>
                </c:pt>
                <c:pt idx="1793">
                  <c:v>42597</c:v>
                </c:pt>
                <c:pt idx="1794">
                  <c:v>42598</c:v>
                </c:pt>
                <c:pt idx="1795">
                  <c:v>42599</c:v>
                </c:pt>
                <c:pt idx="1796">
                  <c:v>42600</c:v>
                </c:pt>
                <c:pt idx="1797">
                  <c:v>42601</c:v>
                </c:pt>
                <c:pt idx="1798">
                  <c:v>42604</c:v>
                </c:pt>
                <c:pt idx="1799">
                  <c:v>42605</c:v>
                </c:pt>
                <c:pt idx="1800">
                  <c:v>42606</c:v>
                </c:pt>
                <c:pt idx="1801">
                  <c:v>42607</c:v>
                </c:pt>
                <c:pt idx="1802">
                  <c:v>42608</c:v>
                </c:pt>
                <c:pt idx="1803">
                  <c:v>42611</c:v>
                </c:pt>
                <c:pt idx="1804">
                  <c:v>42612</c:v>
                </c:pt>
                <c:pt idx="1805">
                  <c:v>42613</c:v>
                </c:pt>
                <c:pt idx="1806">
                  <c:v>42614</c:v>
                </c:pt>
                <c:pt idx="1807">
                  <c:v>42615</c:v>
                </c:pt>
                <c:pt idx="1808">
                  <c:v>42619</c:v>
                </c:pt>
                <c:pt idx="1809">
                  <c:v>42620</c:v>
                </c:pt>
                <c:pt idx="1810">
                  <c:v>42621</c:v>
                </c:pt>
                <c:pt idx="1811">
                  <c:v>42622</c:v>
                </c:pt>
                <c:pt idx="1812">
                  <c:v>42625</c:v>
                </c:pt>
                <c:pt idx="1813">
                  <c:v>42626</c:v>
                </c:pt>
                <c:pt idx="1814">
                  <c:v>42627</c:v>
                </c:pt>
                <c:pt idx="1815">
                  <c:v>42628</c:v>
                </c:pt>
                <c:pt idx="1816">
                  <c:v>42629</c:v>
                </c:pt>
                <c:pt idx="1817">
                  <c:v>42632</c:v>
                </c:pt>
                <c:pt idx="1818">
                  <c:v>42633</c:v>
                </c:pt>
                <c:pt idx="1819">
                  <c:v>42634</c:v>
                </c:pt>
                <c:pt idx="1820">
                  <c:v>42635</c:v>
                </c:pt>
                <c:pt idx="1821">
                  <c:v>42636</c:v>
                </c:pt>
                <c:pt idx="1822">
                  <c:v>42639</c:v>
                </c:pt>
                <c:pt idx="1823">
                  <c:v>42640</c:v>
                </c:pt>
                <c:pt idx="1824">
                  <c:v>42641</c:v>
                </c:pt>
                <c:pt idx="1825">
                  <c:v>42642</c:v>
                </c:pt>
                <c:pt idx="1826">
                  <c:v>42643</c:v>
                </c:pt>
                <c:pt idx="1827">
                  <c:v>42646</c:v>
                </c:pt>
                <c:pt idx="1828">
                  <c:v>42647</c:v>
                </c:pt>
                <c:pt idx="1829">
                  <c:v>42648</c:v>
                </c:pt>
                <c:pt idx="1830">
                  <c:v>42649</c:v>
                </c:pt>
                <c:pt idx="1831">
                  <c:v>42650</c:v>
                </c:pt>
                <c:pt idx="1832">
                  <c:v>42653</c:v>
                </c:pt>
                <c:pt idx="1833">
                  <c:v>42654</c:v>
                </c:pt>
                <c:pt idx="1834">
                  <c:v>42655</c:v>
                </c:pt>
                <c:pt idx="1835">
                  <c:v>42656</c:v>
                </c:pt>
                <c:pt idx="1836">
                  <c:v>42657</c:v>
                </c:pt>
                <c:pt idx="1837">
                  <c:v>42660</c:v>
                </c:pt>
                <c:pt idx="1838">
                  <c:v>42661</c:v>
                </c:pt>
                <c:pt idx="1839">
                  <c:v>42662</c:v>
                </c:pt>
                <c:pt idx="1840">
                  <c:v>42663</c:v>
                </c:pt>
                <c:pt idx="1841">
                  <c:v>42664</c:v>
                </c:pt>
                <c:pt idx="1842">
                  <c:v>42667</c:v>
                </c:pt>
                <c:pt idx="1843">
                  <c:v>42668</c:v>
                </c:pt>
                <c:pt idx="1844">
                  <c:v>42669</c:v>
                </c:pt>
                <c:pt idx="1845">
                  <c:v>42670</c:v>
                </c:pt>
                <c:pt idx="1846">
                  <c:v>42671</c:v>
                </c:pt>
                <c:pt idx="1847">
                  <c:v>42674</c:v>
                </c:pt>
                <c:pt idx="1848">
                  <c:v>42675</c:v>
                </c:pt>
                <c:pt idx="1849">
                  <c:v>42676</c:v>
                </c:pt>
                <c:pt idx="1850">
                  <c:v>42677</c:v>
                </c:pt>
                <c:pt idx="1851">
                  <c:v>42678</c:v>
                </c:pt>
                <c:pt idx="1852">
                  <c:v>42681</c:v>
                </c:pt>
                <c:pt idx="1853">
                  <c:v>42682</c:v>
                </c:pt>
                <c:pt idx="1854">
                  <c:v>42683</c:v>
                </c:pt>
                <c:pt idx="1855">
                  <c:v>42684</c:v>
                </c:pt>
                <c:pt idx="1856">
                  <c:v>42685</c:v>
                </c:pt>
                <c:pt idx="1857">
                  <c:v>42688</c:v>
                </c:pt>
                <c:pt idx="1858">
                  <c:v>42689</c:v>
                </c:pt>
                <c:pt idx="1859">
                  <c:v>42690</c:v>
                </c:pt>
                <c:pt idx="1860">
                  <c:v>42691</c:v>
                </c:pt>
                <c:pt idx="1861">
                  <c:v>42692</c:v>
                </c:pt>
                <c:pt idx="1862">
                  <c:v>42695</c:v>
                </c:pt>
                <c:pt idx="1863">
                  <c:v>42696</c:v>
                </c:pt>
                <c:pt idx="1864">
                  <c:v>42697</c:v>
                </c:pt>
                <c:pt idx="1865">
                  <c:v>42699</c:v>
                </c:pt>
                <c:pt idx="1866">
                  <c:v>42702</c:v>
                </c:pt>
                <c:pt idx="1867">
                  <c:v>42703</c:v>
                </c:pt>
                <c:pt idx="1868">
                  <c:v>42704</c:v>
                </c:pt>
                <c:pt idx="1869">
                  <c:v>42705</c:v>
                </c:pt>
                <c:pt idx="1870">
                  <c:v>42706</c:v>
                </c:pt>
                <c:pt idx="1871">
                  <c:v>42709</c:v>
                </c:pt>
                <c:pt idx="1872">
                  <c:v>42710</c:v>
                </c:pt>
                <c:pt idx="1873">
                  <c:v>42711</c:v>
                </c:pt>
                <c:pt idx="1874">
                  <c:v>42712</c:v>
                </c:pt>
                <c:pt idx="1875">
                  <c:v>42713</c:v>
                </c:pt>
                <c:pt idx="1876">
                  <c:v>42716</c:v>
                </c:pt>
                <c:pt idx="1877">
                  <c:v>42717</c:v>
                </c:pt>
                <c:pt idx="1878">
                  <c:v>42718</c:v>
                </c:pt>
                <c:pt idx="1879">
                  <c:v>42719</c:v>
                </c:pt>
                <c:pt idx="1880">
                  <c:v>42720</c:v>
                </c:pt>
                <c:pt idx="1881">
                  <c:v>42723</c:v>
                </c:pt>
                <c:pt idx="1882">
                  <c:v>42724</c:v>
                </c:pt>
                <c:pt idx="1883">
                  <c:v>42725</c:v>
                </c:pt>
                <c:pt idx="1884">
                  <c:v>42726</c:v>
                </c:pt>
                <c:pt idx="1885">
                  <c:v>42727</c:v>
                </c:pt>
                <c:pt idx="1886">
                  <c:v>42731</c:v>
                </c:pt>
                <c:pt idx="1887">
                  <c:v>42732</c:v>
                </c:pt>
                <c:pt idx="1888">
                  <c:v>42733</c:v>
                </c:pt>
                <c:pt idx="1889">
                  <c:v>42734</c:v>
                </c:pt>
                <c:pt idx="1890">
                  <c:v>42738</c:v>
                </c:pt>
                <c:pt idx="1891">
                  <c:v>42739</c:v>
                </c:pt>
                <c:pt idx="1892">
                  <c:v>42740</c:v>
                </c:pt>
                <c:pt idx="1893">
                  <c:v>42741</c:v>
                </c:pt>
                <c:pt idx="1894">
                  <c:v>42744</c:v>
                </c:pt>
                <c:pt idx="1895">
                  <c:v>42745</c:v>
                </c:pt>
                <c:pt idx="1896">
                  <c:v>42746</c:v>
                </c:pt>
                <c:pt idx="1897">
                  <c:v>42747</c:v>
                </c:pt>
                <c:pt idx="1898">
                  <c:v>42748</c:v>
                </c:pt>
                <c:pt idx="1899">
                  <c:v>42752</c:v>
                </c:pt>
                <c:pt idx="1900">
                  <c:v>42753</c:v>
                </c:pt>
                <c:pt idx="1901">
                  <c:v>42754</c:v>
                </c:pt>
                <c:pt idx="1902">
                  <c:v>42755</c:v>
                </c:pt>
                <c:pt idx="1903">
                  <c:v>42758</c:v>
                </c:pt>
                <c:pt idx="1904">
                  <c:v>42759</c:v>
                </c:pt>
                <c:pt idx="1905">
                  <c:v>42760</c:v>
                </c:pt>
                <c:pt idx="1906">
                  <c:v>42761</c:v>
                </c:pt>
                <c:pt idx="1907">
                  <c:v>42762</c:v>
                </c:pt>
                <c:pt idx="1908">
                  <c:v>42765</c:v>
                </c:pt>
                <c:pt idx="1909">
                  <c:v>42766</c:v>
                </c:pt>
                <c:pt idx="1910">
                  <c:v>42767</c:v>
                </c:pt>
                <c:pt idx="1911">
                  <c:v>42768</c:v>
                </c:pt>
                <c:pt idx="1912">
                  <c:v>42769</c:v>
                </c:pt>
                <c:pt idx="1913">
                  <c:v>42772</c:v>
                </c:pt>
                <c:pt idx="1914">
                  <c:v>42773</c:v>
                </c:pt>
                <c:pt idx="1915">
                  <c:v>42774</c:v>
                </c:pt>
                <c:pt idx="1916">
                  <c:v>42775</c:v>
                </c:pt>
                <c:pt idx="1917">
                  <c:v>42776</c:v>
                </c:pt>
                <c:pt idx="1918">
                  <c:v>42779</c:v>
                </c:pt>
                <c:pt idx="1919">
                  <c:v>42780</c:v>
                </c:pt>
                <c:pt idx="1920">
                  <c:v>42781</c:v>
                </c:pt>
                <c:pt idx="1921">
                  <c:v>42782</c:v>
                </c:pt>
                <c:pt idx="1922">
                  <c:v>42783</c:v>
                </c:pt>
                <c:pt idx="1923">
                  <c:v>42787</c:v>
                </c:pt>
                <c:pt idx="1924">
                  <c:v>42788</c:v>
                </c:pt>
                <c:pt idx="1925">
                  <c:v>42789</c:v>
                </c:pt>
                <c:pt idx="1926">
                  <c:v>42790</c:v>
                </c:pt>
                <c:pt idx="1927">
                  <c:v>42793</c:v>
                </c:pt>
                <c:pt idx="1928">
                  <c:v>42794</c:v>
                </c:pt>
                <c:pt idx="1929">
                  <c:v>42795</c:v>
                </c:pt>
                <c:pt idx="1930">
                  <c:v>42796</c:v>
                </c:pt>
                <c:pt idx="1931">
                  <c:v>42797</c:v>
                </c:pt>
                <c:pt idx="1932">
                  <c:v>42800</c:v>
                </c:pt>
                <c:pt idx="1933">
                  <c:v>42801</c:v>
                </c:pt>
                <c:pt idx="1934">
                  <c:v>42802</c:v>
                </c:pt>
                <c:pt idx="1935">
                  <c:v>42803</c:v>
                </c:pt>
                <c:pt idx="1936">
                  <c:v>42804</c:v>
                </c:pt>
                <c:pt idx="1937">
                  <c:v>42807</c:v>
                </c:pt>
                <c:pt idx="1938">
                  <c:v>42808</c:v>
                </c:pt>
                <c:pt idx="1939">
                  <c:v>42809</c:v>
                </c:pt>
                <c:pt idx="1940">
                  <c:v>42810</c:v>
                </c:pt>
                <c:pt idx="1941">
                  <c:v>42811</c:v>
                </c:pt>
                <c:pt idx="1942">
                  <c:v>42814</c:v>
                </c:pt>
                <c:pt idx="1943">
                  <c:v>42815</c:v>
                </c:pt>
                <c:pt idx="1944">
                  <c:v>42816</c:v>
                </c:pt>
                <c:pt idx="1945">
                  <c:v>42817</c:v>
                </c:pt>
                <c:pt idx="1946">
                  <c:v>42818</c:v>
                </c:pt>
                <c:pt idx="1947">
                  <c:v>42821</c:v>
                </c:pt>
                <c:pt idx="1948">
                  <c:v>42822</c:v>
                </c:pt>
                <c:pt idx="1949">
                  <c:v>42823</c:v>
                </c:pt>
                <c:pt idx="1950">
                  <c:v>42824</c:v>
                </c:pt>
                <c:pt idx="1951">
                  <c:v>42825</c:v>
                </c:pt>
                <c:pt idx="1952">
                  <c:v>42828</c:v>
                </c:pt>
                <c:pt idx="1953">
                  <c:v>42829</c:v>
                </c:pt>
                <c:pt idx="1954">
                  <c:v>42830</c:v>
                </c:pt>
                <c:pt idx="1955">
                  <c:v>42831</c:v>
                </c:pt>
                <c:pt idx="1956">
                  <c:v>42832</c:v>
                </c:pt>
                <c:pt idx="1957">
                  <c:v>42835</c:v>
                </c:pt>
                <c:pt idx="1958">
                  <c:v>42836</c:v>
                </c:pt>
                <c:pt idx="1959">
                  <c:v>42837</c:v>
                </c:pt>
                <c:pt idx="1960">
                  <c:v>42838</c:v>
                </c:pt>
                <c:pt idx="1961">
                  <c:v>42842</c:v>
                </c:pt>
                <c:pt idx="1962">
                  <c:v>42843</c:v>
                </c:pt>
                <c:pt idx="1963">
                  <c:v>42844</c:v>
                </c:pt>
                <c:pt idx="1964">
                  <c:v>42845</c:v>
                </c:pt>
                <c:pt idx="1965">
                  <c:v>42846</c:v>
                </c:pt>
                <c:pt idx="1966">
                  <c:v>42849</c:v>
                </c:pt>
                <c:pt idx="1967">
                  <c:v>42850</c:v>
                </c:pt>
                <c:pt idx="1968">
                  <c:v>42851</c:v>
                </c:pt>
                <c:pt idx="1969">
                  <c:v>42852</c:v>
                </c:pt>
                <c:pt idx="1970">
                  <c:v>42853</c:v>
                </c:pt>
                <c:pt idx="1971">
                  <c:v>42856</c:v>
                </c:pt>
                <c:pt idx="1972">
                  <c:v>42857</c:v>
                </c:pt>
                <c:pt idx="1973">
                  <c:v>42858</c:v>
                </c:pt>
                <c:pt idx="1974">
                  <c:v>42859</c:v>
                </c:pt>
                <c:pt idx="1975">
                  <c:v>42860</c:v>
                </c:pt>
                <c:pt idx="1976">
                  <c:v>42863</c:v>
                </c:pt>
                <c:pt idx="1977">
                  <c:v>42864</c:v>
                </c:pt>
                <c:pt idx="1978">
                  <c:v>42865</c:v>
                </c:pt>
                <c:pt idx="1979">
                  <c:v>42866</c:v>
                </c:pt>
                <c:pt idx="1980">
                  <c:v>42867</c:v>
                </c:pt>
                <c:pt idx="1981">
                  <c:v>42870</c:v>
                </c:pt>
                <c:pt idx="1982">
                  <c:v>42871</c:v>
                </c:pt>
                <c:pt idx="1983">
                  <c:v>42872</c:v>
                </c:pt>
                <c:pt idx="1984">
                  <c:v>42873</c:v>
                </c:pt>
                <c:pt idx="1985">
                  <c:v>42874</c:v>
                </c:pt>
                <c:pt idx="1986">
                  <c:v>42877</c:v>
                </c:pt>
                <c:pt idx="1987">
                  <c:v>42878</c:v>
                </c:pt>
                <c:pt idx="1988">
                  <c:v>42879</c:v>
                </c:pt>
                <c:pt idx="1989">
                  <c:v>42880</c:v>
                </c:pt>
                <c:pt idx="1990">
                  <c:v>42881</c:v>
                </c:pt>
                <c:pt idx="1991">
                  <c:v>42885</c:v>
                </c:pt>
                <c:pt idx="1992">
                  <c:v>42886</c:v>
                </c:pt>
                <c:pt idx="1993">
                  <c:v>42887</c:v>
                </c:pt>
                <c:pt idx="1994">
                  <c:v>42888</c:v>
                </c:pt>
                <c:pt idx="1995">
                  <c:v>42891</c:v>
                </c:pt>
                <c:pt idx="1996">
                  <c:v>42892</c:v>
                </c:pt>
                <c:pt idx="1997">
                  <c:v>42893</c:v>
                </c:pt>
                <c:pt idx="1998">
                  <c:v>42894</c:v>
                </c:pt>
                <c:pt idx="1999">
                  <c:v>42895</c:v>
                </c:pt>
                <c:pt idx="2000">
                  <c:v>42898</c:v>
                </c:pt>
                <c:pt idx="2001">
                  <c:v>42899</c:v>
                </c:pt>
                <c:pt idx="2002">
                  <c:v>42900</c:v>
                </c:pt>
                <c:pt idx="2003">
                  <c:v>42901</c:v>
                </c:pt>
                <c:pt idx="2004">
                  <c:v>42902</c:v>
                </c:pt>
                <c:pt idx="2005">
                  <c:v>42905</c:v>
                </c:pt>
                <c:pt idx="2006">
                  <c:v>42906</c:v>
                </c:pt>
                <c:pt idx="2007">
                  <c:v>42907</c:v>
                </c:pt>
                <c:pt idx="2008">
                  <c:v>42908</c:v>
                </c:pt>
                <c:pt idx="2009">
                  <c:v>42909</c:v>
                </c:pt>
                <c:pt idx="2010">
                  <c:v>42912</c:v>
                </c:pt>
                <c:pt idx="2011">
                  <c:v>42913</c:v>
                </c:pt>
                <c:pt idx="2012">
                  <c:v>42914</c:v>
                </c:pt>
                <c:pt idx="2013">
                  <c:v>42915</c:v>
                </c:pt>
                <c:pt idx="2014">
                  <c:v>42916</c:v>
                </c:pt>
                <c:pt idx="2015">
                  <c:v>42919</c:v>
                </c:pt>
                <c:pt idx="2016">
                  <c:v>42921</c:v>
                </c:pt>
                <c:pt idx="2017">
                  <c:v>42922</c:v>
                </c:pt>
                <c:pt idx="2018">
                  <c:v>42923</c:v>
                </c:pt>
                <c:pt idx="2019">
                  <c:v>42926</c:v>
                </c:pt>
                <c:pt idx="2020">
                  <c:v>42927</c:v>
                </c:pt>
                <c:pt idx="2021">
                  <c:v>42928</c:v>
                </c:pt>
                <c:pt idx="2022">
                  <c:v>42929</c:v>
                </c:pt>
                <c:pt idx="2023">
                  <c:v>42930</c:v>
                </c:pt>
                <c:pt idx="2024">
                  <c:v>42933</c:v>
                </c:pt>
                <c:pt idx="2025">
                  <c:v>42934</c:v>
                </c:pt>
                <c:pt idx="2026">
                  <c:v>42935</c:v>
                </c:pt>
                <c:pt idx="2027">
                  <c:v>42936</c:v>
                </c:pt>
                <c:pt idx="2028">
                  <c:v>42937</c:v>
                </c:pt>
                <c:pt idx="2029">
                  <c:v>42940</c:v>
                </c:pt>
                <c:pt idx="2030">
                  <c:v>42941</c:v>
                </c:pt>
                <c:pt idx="2031">
                  <c:v>42942</c:v>
                </c:pt>
                <c:pt idx="2032">
                  <c:v>42943</c:v>
                </c:pt>
                <c:pt idx="2033">
                  <c:v>42944</c:v>
                </c:pt>
                <c:pt idx="2034">
                  <c:v>42947</c:v>
                </c:pt>
                <c:pt idx="2035">
                  <c:v>42948</c:v>
                </c:pt>
                <c:pt idx="2036">
                  <c:v>42949</c:v>
                </c:pt>
                <c:pt idx="2037">
                  <c:v>42950</c:v>
                </c:pt>
                <c:pt idx="2038">
                  <c:v>42951</c:v>
                </c:pt>
                <c:pt idx="2039">
                  <c:v>42954</c:v>
                </c:pt>
                <c:pt idx="2040">
                  <c:v>42955</c:v>
                </c:pt>
                <c:pt idx="2041">
                  <c:v>42956</c:v>
                </c:pt>
                <c:pt idx="2042">
                  <c:v>42957</c:v>
                </c:pt>
                <c:pt idx="2043">
                  <c:v>42958</c:v>
                </c:pt>
                <c:pt idx="2044">
                  <c:v>42961</c:v>
                </c:pt>
                <c:pt idx="2045">
                  <c:v>42962</c:v>
                </c:pt>
                <c:pt idx="2046">
                  <c:v>42963</c:v>
                </c:pt>
                <c:pt idx="2047">
                  <c:v>42964</c:v>
                </c:pt>
                <c:pt idx="2048">
                  <c:v>42965</c:v>
                </c:pt>
                <c:pt idx="2049">
                  <c:v>42968</c:v>
                </c:pt>
                <c:pt idx="2050">
                  <c:v>42969</c:v>
                </c:pt>
                <c:pt idx="2051">
                  <c:v>42970</c:v>
                </c:pt>
                <c:pt idx="2052">
                  <c:v>42971</c:v>
                </c:pt>
                <c:pt idx="2053">
                  <c:v>42972</c:v>
                </c:pt>
                <c:pt idx="2054">
                  <c:v>42975</c:v>
                </c:pt>
                <c:pt idx="2055">
                  <c:v>42976</c:v>
                </c:pt>
                <c:pt idx="2056">
                  <c:v>42977</c:v>
                </c:pt>
                <c:pt idx="2057">
                  <c:v>42978</c:v>
                </c:pt>
                <c:pt idx="2058">
                  <c:v>42979</c:v>
                </c:pt>
                <c:pt idx="2059">
                  <c:v>42983</c:v>
                </c:pt>
                <c:pt idx="2060">
                  <c:v>42984</c:v>
                </c:pt>
                <c:pt idx="2061">
                  <c:v>42985</c:v>
                </c:pt>
                <c:pt idx="2062">
                  <c:v>42986</c:v>
                </c:pt>
                <c:pt idx="2063">
                  <c:v>42989</c:v>
                </c:pt>
                <c:pt idx="2064">
                  <c:v>42990</c:v>
                </c:pt>
                <c:pt idx="2065">
                  <c:v>42991</c:v>
                </c:pt>
                <c:pt idx="2066">
                  <c:v>42992</c:v>
                </c:pt>
                <c:pt idx="2067">
                  <c:v>42993</c:v>
                </c:pt>
                <c:pt idx="2068">
                  <c:v>42996</c:v>
                </c:pt>
                <c:pt idx="2069">
                  <c:v>42997</c:v>
                </c:pt>
                <c:pt idx="2070">
                  <c:v>42998</c:v>
                </c:pt>
                <c:pt idx="2071">
                  <c:v>42999</c:v>
                </c:pt>
                <c:pt idx="2072">
                  <c:v>43000</c:v>
                </c:pt>
                <c:pt idx="2073">
                  <c:v>43003</c:v>
                </c:pt>
                <c:pt idx="2074">
                  <c:v>43004</c:v>
                </c:pt>
                <c:pt idx="2075">
                  <c:v>43005</c:v>
                </c:pt>
                <c:pt idx="2076">
                  <c:v>43006</c:v>
                </c:pt>
                <c:pt idx="2077">
                  <c:v>43007</c:v>
                </c:pt>
                <c:pt idx="2078">
                  <c:v>43010</c:v>
                </c:pt>
                <c:pt idx="2079">
                  <c:v>43011</c:v>
                </c:pt>
                <c:pt idx="2080">
                  <c:v>43012</c:v>
                </c:pt>
                <c:pt idx="2081">
                  <c:v>43013</c:v>
                </c:pt>
                <c:pt idx="2082">
                  <c:v>43014</c:v>
                </c:pt>
                <c:pt idx="2083">
                  <c:v>43017</c:v>
                </c:pt>
                <c:pt idx="2084">
                  <c:v>43018</c:v>
                </c:pt>
                <c:pt idx="2085">
                  <c:v>43019</c:v>
                </c:pt>
                <c:pt idx="2086">
                  <c:v>43020</c:v>
                </c:pt>
                <c:pt idx="2087">
                  <c:v>43021</c:v>
                </c:pt>
                <c:pt idx="2088">
                  <c:v>43024</c:v>
                </c:pt>
                <c:pt idx="2089">
                  <c:v>43025</c:v>
                </c:pt>
                <c:pt idx="2090">
                  <c:v>43026</c:v>
                </c:pt>
                <c:pt idx="2091">
                  <c:v>43027</c:v>
                </c:pt>
                <c:pt idx="2092">
                  <c:v>43028</c:v>
                </c:pt>
                <c:pt idx="2093">
                  <c:v>43031</c:v>
                </c:pt>
                <c:pt idx="2094">
                  <c:v>43032</c:v>
                </c:pt>
                <c:pt idx="2095">
                  <c:v>43033</c:v>
                </c:pt>
                <c:pt idx="2096">
                  <c:v>43034</c:v>
                </c:pt>
                <c:pt idx="2097">
                  <c:v>43035</c:v>
                </c:pt>
                <c:pt idx="2098">
                  <c:v>43038</c:v>
                </c:pt>
                <c:pt idx="2099">
                  <c:v>43039</c:v>
                </c:pt>
                <c:pt idx="2100">
                  <c:v>43040</c:v>
                </c:pt>
                <c:pt idx="2101">
                  <c:v>43041</c:v>
                </c:pt>
                <c:pt idx="2102">
                  <c:v>43042</c:v>
                </c:pt>
                <c:pt idx="2103">
                  <c:v>43045</c:v>
                </c:pt>
                <c:pt idx="2104">
                  <c:v>43046</c:v>
                </c:pt>
                <c:pt idx="2105">
                  <c:v>43047</c:v>
                </c:pt>
                <c:pt idx="2106">
                  <c:v>43048</c:v>
                </c:pt>
                <c:pt idx="2107">
                  <c:v>43049</c:v>
                </c:pt>
                <c:pt idx="2108">
                  <c:v>43052</c:v>
                </c:pt>
                <c:pt idx="2109">
                  <c:v>43053</c:v>
                </c:pt>
                <c:pt idx="2110">
                  <c:v>43054</c:v>
                </c:pt>
                <c:pt idx="2111">
                  <c:v>43055</c:v>
                </c:pt>
                <c:pt idx="2112">
                  <c:v>43056</c:v>
                </c:pt>
                <c:pt idx="2113">
                  <c:v>43059</c:v>
                </c:pt>
                <c:pt idx="2114">
                  <c:v>43060</c:v>
                </c:pt>
                <c:pt idx="2115">
                  <c:v>43061</c:v>
                </c:pt>
                <c:pt idx="2116">
                  <c:v>43063</c:v>
                </c:pt>
                <c:pt idx="2117">
                  <c:v>43066</c:v>
                </c:pt>
                <c:pt idx="2118">
                  <c:v>43067</c:v>
                </c:pt>
                <c:pt idx="2119">
                  <c:v>43068</c:v>
                </c:pt>
                <c:pt idx="2120">
                  <c:v>43069</c:v>
                </c:pt>
                <c:pt idx="2121">
                  <c:v>43070</c:v>
                </c:pt>
                <c:pt idx="2122">
                  <c:v>43073</c:v>
                </c:pt>
                <c:pt idx="2123">
                  <c:v>43074</c:v>
                </c:pt>
                <c:pt idx="2124">
                  <c:v>43075</c:v>
                </c:pt>
                <c:pt idx="2125">
                  <c:v>43076</c:v>
                </c:pt>
                <c:pt idx="2126">
                  <c:v>43077</c:v>
                </c:pt>
                <c:pt idx="2127">
                  <c:v>43080</c:v>
                </c:pt>
                <c:pt idx="2128">
                  <c:v>43081</c:v>
                </c:pt>
                <c:pt idx="2129">
                  <c:v>43082</c:v>
                </c:pt>
                <c:pt idx="2130">
                  <c:v>43083</c:v>
                </c:pt>
                <c:pt idx="2131">
                  <c:v>43084</c:v>
                </c:pt>
                <c:pt idx="2132">
                  <c:v>43087</c:v>
                </c:pt>
                <c:pt idx="2133">
                  <c:v>43088</c:v>
                </c:pt>
                <c:pt idx="2134">
                  <c:v>43089</c:v>
                </c:pt>
                <c:pt idx="2135">
                  <c:v>43090</c:v>
                </c:pt>
                <c:pt idx="2136">
                  <c:v>43091</c:v>
                </c:pt>
                <c:pt idx="2137">
                  <c:v>43095</c:v>
                </c:pt>
                <c:pt idx="2138">
                  <c:v>43096</c:v>
                </c:pt>
                <c:pt idx="2139">
                  <c:v>43097</c:v>
                </c:pt>
                <c:pt idx="2140">
                  <c:v>43098</c:v>
                </c:pt>
                <c:pt idx="2141">
                  <c:v>43102</c:v>
                </c:pt>
                <c:pt idx="2142">
                  <c:v>43103</c:v>
                </c:pt>
                <c:pt idx="2143">
                  <c:v>43104</c:v>
                </c:pt>
                <c:pt idx="2144">
                  <c:v>43105</c:v>
                </c:pt>
                <c:pt idx="2145">
                  <c:v>43108</c:v>
                </c:pt>
                <c:pt idx="2146">
                  <c:v>43109</c:v>
                </c:pt>
                <c:pt idx="2147">
                  <c:v>43110</c:v>
                </c:pt>
                <c:pt idx="2148">
                  <c:v>43111</c:v>
                </c:pt>
                <c:pt idx="2149">
                  <c:v>43112</c:v>
                </c:pt>
                <c:pt idx="2150">
                  <c:v>43116</c:v>
                </c:pt>
                <c:pt idx="2151">
                  <c:v>43117</c:v>
                </c:pt>
                <c:pt idx="2152">
                  <c:v>43118</c:v>
                </c:pt>
                <c:pt idx="2153">
                  <c:v>43119</c:v>
                </c:pt>
                <c:pt idx="2154">
                  <c:v>43122</c:v>
                </c:pt>
                <c:pt idx="2155">
                  <c:v>43123</c:v>
                </c:pt>
                <c:pt idx="2156">
                  <c:v>43124</c:v>
                </c:pt>
                <c:pt idx="2157">
                  <c:v>43125</c:v>
                </c:pt>
                <c:pt idx="2158">
                  <c:v>43126</c:v>
                </c:pt>
                <c:pt idx="2159">
                  <c:v>43129</c:v>
                </c:pt>
                <c:pt idx="2160">
                  <c:v>43130</c:v>
                </c:pt>
                <c:pt idx="2161">
                  <c:v>43131</c:v>
                </c:pt>
                <c:pt idx="2162">
                  <c:v>43132</c:v>
                </c:pt>
                <c:pt idx="2163">
                  <c:v>43133</c:v>
                </c:pt>
                <c:pt idx="2164">
                  <c:v>43136</c:v>
                </c:pt>
                <c:pt idx="2165">
                  <c:v>43137</c:v>
                </c:pt>
                <c:pt idx="2166">
                  <c:v>43138</c:v>
                </c:pt>
                <c:pt idx="2167">
                  <c:v>43139</c:v>
                </c:pt>
                <c:pt idx="2168">
                  <c:v>43140</c:v>
                </c:pt>
                <c:pt idx="2169">
                  <c:v>43143</c:v>
                </c:pt>
                <c:pt idx="2170">
                  <c:v>43144</c:v>
                </c:pt>
                <c:pt idx="2171">
                  <c:v>43145</c:v>
                </c:pt>
                <c:pt idx="2172">
                  <c:v>43146</c:v>
                </c:pt>
                <c:pt idx="2173">
                  <c:v>43147</c:v>
                </c:pt>
                <c:pt idx="2174">
                  <c:v>43151</c:v>
                </c:pt>
                <c:pt idx="2175">
                  <c:v>43152</c:v>
                </c:pt>
                <c:pt idx="2176">
                  <c:v>43153</c:v>
                </c:pt>
                <c:pt idx="2177">
                  <c:v>43154</c:v>
                </c:pt>
                <c:pt idx="2178">
                  <c:v>43157</c:v>
                </c:pt>
                <c:pt idx="2179">
                  <c:v>43158</c:v>
                </c:pt>
                <c:pt idx="2180">
                  <c:v>43159</c:v>
                </c:pt>
                <c:pt idx="2181">
                  <c:v>43160</c:v>
                </c:pt>
                <c:pt idx="2182">
                  <c:v>43161</c:v>
                </c:pt>
                <c:pt idx="2183">
                  <c:v>43164</c:v>
                </c:pt>
                <c:pt idx="2184">
                  <c:v>43165</c:v>
                </c:pt>
                <c:pt idx="2185">
                  <c:v>43166</c:v>
                </c:pt>
                <c:pt idx="2186">
                  <c:v>43167</c:v>
                </c:pt>
                <c:pt idx="2187">
                  <c:v>43168</c:v>
                </c:pt>
                <c:pt idx="2188">
                  <c:v>43171</c:v>
                </c:pt>
                <c:pt idx="2189">
                  <c:v>43172</c:v>
                </c:pt>
                <c:pt idx="2190">
                  <c:v>43173</c:v>
                </c:pt>
                <c:pt idx="2191">
                  <c:v>43174</c:v>
                </c:pt>
                <c:pt idx="2192">
                  <c:v>43175</c:v>
                </c:pt>
                <c:pt idx="2193">
                  <c:v>43178</c:v>
                </c:pt>
                <c:pt idx="2194">
                  <c:v>43179</c:v>
                </c:pt>
                <c:pt idx="2195">
                  <c:v>43180</c:v>
                </c:pt>
                <c:pt idx="2196">
                  <c:v>43181</c:v>
                </c:pt>
                <c:pt idx="2197">
                  <c:v>43182</c:v>
                </c:pt>
                <c:pt idx="2198">
                  <c:v>43185</c:v>
                </c:pt>
                <c:pt idx="2199">
                  <c:v>43186</c:v>
                </c:pt>
                <c:pt idx="2200">
                  <c:v>43187</c:v>
                </c:pt>
                <c:pt idx="2201">
                  <c:v>43188</c:v>
                </c:pt>
                <c:pt idx="2202">
                  <c:v>43192</c:v>
                </c:pt>
                <c:pt idx="2203">
                  <c:v>43193</c:v>
                </c:pt>
                <c:pt idx="2204">
                  <c:v>43194</c:v>
                </c:pt>
                <c:pt idx="2205">
                  <c:v>43195</c:v>
                </c:pt>
                <c:pt idx="2206">
                  <c:v>43196</c:v>
                </c:pt>
                <c:pt idx="2207">
                  <c:v>43199</c:v>
                </c:pt>
                <c:pt idx="2208">
                  <c:v>43200</c:v>
                </c:pt>
                <c:pt idx="2209">
                  <c:v>43201</c:v>
                </c:pt>
                <c:pt idx="2210">
                  <c:v>43202</c:v>
                </c:pt>
                <c:pt idx="2211">
                  <c:v>43203</c:v>
                </c:pt>
                <c:pt idx="2212">
                  <c:v>43206</c:v>
                </c:pt>
                <c:pt idx="2213">
                  <c:v>43207</c:v>
                </c:pt>
                <c:pt idx="2214">
                  <c:v>43208</c:v>
                </c:pt>
                <c:pt idx="2215">
                  <c:v>43209</c:v>
                </c:pt>
                <c:pt idx="2216">
                  <c:v>43210</c:v>
                </c:pt>
                <c:pt idx="2217">
                  <c:v>43213</c:v>
                </c:pt>
                <c:pt idx="2218">
                  <c:v>43214</c:v>
                </c:pt>
                <c:pt idx="2219">
                  <c:v>43215</c:v>
                </c:pt>
                <c:pt idx="2220">
                  <c:v>43216</c:v>
                </c:pt>
                <c:pt idx="2221">
                  <c:v>43217</c:v>
                </c:pt>
                <c:pt idx="2222">
                  <c:v>43220</c:v>
                </c:pt>
                <c:pt idx="2223">
                  <c:v>43221</c:v>
                </c:pt>
                <c:pt idx="2224">
                  <c:v>43222</c:v>
                </c:pt>
                <c:pt idx="2225">
                  <c:v>43223</c:v>
                </c:pt>
                <c:pt idx="2226">
                  <c:v>43224</c:v>
                </c:pt>
                <c:pt idx="2227">
                  <c:v>43227</c:v>
                </c:pt>
                <c:pt idx="2228">
                  <c:v>43228</c:v>
                </c:pt>
                <c:pt idx="2229">
                  <c:v>43229</c:v>
                </c:pt>
                <c:pt idx="2230">
                  <c:v>43230</c:v>
                </c:pt>
                <c:pt idx="2231">
                  <c:v>43231</c:v>
                </c:pt>
                <c:pt idx="2232">
                  <c:v>43234</c:v>
                </c:pt>
                <c:pt idx="2233">
                  <c:v>43235</c:v>
                </c:pt>
                <c:pt idx="2234">
                  <c:v>43236</c:v>
                </c:pt>
                <c:pt idx="2235">
                  <c:v>43237</c:v>
                </c:pt>
                <c:pt idx="2236">
                  <c:v>43238</c:v>
                </c:pt>
                <c:pt idx="2237">
                  <c:v>43241</c:v>
                </c:pt>
                <c:pt idx="2238">
                  <c:v>43242</c:v>
                </c:pt>
                <c:pt idx="2239">
                  <c:v>43243</c:v>
                </c:pt>
                <c:pt idx="2240">
                  <c:v>43244</c:v>
                </c:pt>
                <c:pt idx="2241">
                  <c:v>43245</c:v>
                </c:pt>
                <c:pt idx="2242">
                  <c:v>43249</c:v>
                </c:pt>
                <c:pt idx="2243">
                  <c:v>43250</c:v>
                </c:pt>
                <c:pt idx="2244">
                  <c:v>43251</c:v>
                </c:pt>
                <c:pt idx="2245">
                  <c:v>43252</c:v>
                </c:pt>
                <c:pt idx="2246">
                  <c:v>43255</c:v>
                </c:pt>
                <c:pt idx="2247">
                  <c:v>43256</c:v>
                </c:pt>
                <c:pt idx="2248">
                  <c:v>43257</c:v>
                </c:pt>
                <c:pt idx="2249">
                  <c:v>43258</c:v>
                </c:pt>
                <c:pt idx="2250">
                  <c:v>43259</c:v>
                </c:pt>
                <c:pt idx="2251">
                  <c:v>43262</c:v>
                </c:pt>
                <c:pt idx="2252">
                  <c:v>43263</c:v>
                </c:pt>
                <c:pt idx="2253">
                  <c:v>43264</c:v>
                </c:pt>
                <c:pt idx="2254">
                  <c:v>43265</c:v>
                </c:pt>
                <c:pt idx="2255">
                  <c:v>43266</c:v>
                </c:pt>
                <c:pt idx="2256">
                  <c:v>43269</c:v>
                </c:pt>
                <c:pt idx="2257">
                  <c:v>43270</c:v>
                </c:pt>
                <c:pt idx="2258">
                  <c:v>43271</c:v>
                </c:pt>
                <c:pt idx="2259">
                  <c:v>43272</c:v>
                </c:pt>
                <c:pt idx="2260">
                  <c:v>43273</c:v>
                </c:pt>
                <c:pt idx="2261">
                  <c:v>43276</c:v>
                </c:pt>
                <c:pt idx="2262">
                  <c:v>43277</c:v>
                </c:pt>
                <c:pt idx="2263">
                  <c:v>43278</c:v>
                </c:pt>
                <c:pt idx="2264">
                  <c:v>43279</c:v>
                </c:pt>
                <c:pt idx="2265">
                  <c:v>43280</c:v>
                </c:pt>
                <c:pt idx="2266">
                  <c:v>43283</c:v>
                </c:pt>
                <c:pt idx="2267">
                  <c:v>43284</c:v>
                </c:pt>
                <c:pt idx="2268">
                  <c:v>43286</c:v>
                </c:pt>
                <c:pt idx="2269">
                  <c:v>43287</c:v>
                </c:pt>
                <c:pt idx="2270">
                  <c:v>43290</c:v>
                </c:pt>
                <c:pt idx="2271">
                  <c:v>43291</c:v>
                </c:pt>
                <c:pt idx="2272">
                  <c:v>43292</c:v>
                </c:pt>
                <c:pt idx="2273">
                  <c:v>43293</c:v>
                </c:pt>
                <c:pt idx="2274">
                  <c:v>43294</c:v>
                </c:pt>
                <c:pt idx="2275">
                  <c:v>43297</c:v>
                </c:pt>
                <c:pt idx="2276">
                  <c:v>43298</c:v>
                </c:pt>
                <c:pt idx="2277">
                  <c:v>43299</c:v>
                </c:pt>
                <c:pt idx="2278">
                  <c:v>43300</c:v>
                </c:pt>
                <c:pt idx="2279">
                  <c:v>43301</c:v>
                </c:pt>
                <c:pt idx="2280">
                  <c:v>43304</c:v>
                </c:pt>
                <c:pt idx="2281">
                  <c:v>43305</c:v>
                </c:pt>
                <c:pt idx="2282">
                  <c:v>43306</c:v>
                </c:pt>
                <c:pt idx="2283">
                  <c:v>43307</c:v>
                </c:pt>
                <c:pt idx="2284">
                  <c:v>43308</c:v>
                </c:pt>
                <c:pt idx="2285">
                  <c:v>43311</c:v>
                </c:pt>
                <c:pt idx="2286">
                  <c:v>43312</c:v>
                </c:pt>
                <c:pt idx="2287">
                  <c:v>43313</c:v>
                </c:pt>
                <c:pt idx="2288">
                  <c:v>43314</c:v>
                </c:pt>
                <c:pt idx="2289">
                  <c:v>43315</c:v>
                </c:pt>
                <c:pt idx="2290">
                  <c:v>43318</c:v>
                </c:pt>
                <c:pt idx="2291">
                  <c:v>43319</c:v>
                </c:pt>
                <c:pt idx="2292">
                  <c:v>43320</c:v>
                </c:pt>
                <c:pt idx="2293">
                  <c:v>43321</c:v>
                </c:pt>
                <c:pt idx="2294">
                  <c:v>43322</c:v>
                </c:pt>
                <c:pt idx="2295">
                  <c:v>43325</c:v>
                </c:pt>
                <c:pt idx="2296">
                  <c:v>43326</c:v>
                </c:pt>
                <c:pt idx="2297">
                  <c:v>43327</c:v>
                </c:pt>
                <c:pt idx="2298">
                  <c:v>43328</c:v>
                </c:pt>
                <c:pt idx="2299">
                  <c:v>43329</c:v>
                </c:pt>
                <c:pt idx="2300">
                  <c:v>43332</c:v>
                </c:pt>
                <c:pt idx="2301">
                  <c:v>43333</c:v>
                </c:pt>
                <c:pt idx="2302">
                  <c:v>43334</c:v>
                </c:pt>
                <c:pt idx="2303">
                  <c:v>43335</c:v>
                </c:pt>
                <c:pt idx="2304">
                  <c:v>43336</c:v>
                </c:pt>
                <c:pt idx="2305">
                  <c:v>43339</c:v>
                </c:pt>
                <c:pt idx="2306">
                  <c:v>43340</c:v>
                </c:pt>
                <c:pt idx="2307">
                  <c:v>43341</c:v>
                </c:pt>
                <c:pt idx="2308">
                  <c:v>43342</c:v>
                </c:pt>
                <c:pt idx="2309">
                  <c:v>43343</c:v>
                </c:pt>
                <c:pt idx="2310">
                  <c:v>43347</c:v>
                </c:pt>
                <c:pt idx="2311">
                  <c:v>43348</c:v>
                </c:pt>
                <c:pt idx="2312">
                  <c:v>43349</c:v>
                </c:pt>
                <c:pt idx="2313">
                  <c:v>43350</c:v>
                </c:pt>
                <c:pt idx="2314">
                  <c:v>43353</c:v>
                </c:pt>
                <c:pt idx="2315">
                  <c:v>43354</c:v>
                </c:pt>
                <c:pt idx="2316">
                  <c:v>43355</c:v>
                </c:pt>
                <c:pt idx="2317">
                  <c:v>43356</c:v>
                </c:pt>
                <c:pt idx="2318">
                  <c:v>43357</c:v>
                </c:pt>
                <c:pt idx="2319">
                  <c:v>43360</c:v>
                </c:pt>
                <c:pt idx="2320">
                  <c:v>43361</c:v>
                </c:pt>
                <c:pt idx="2321">
                  <c:v>43362</c:v>
                </c:pt>
                <c:pt idx="2322">
                  <c:v>43363</c:v>
                </c:pt>
                <c:pt idx="2323">
                  <c:v>43364</c:v>
                </c:pt>
                <c:pt idx="2324">
                  <c:v>43367</c:v>
                </c:pt>
                <c:pt idx="2325">
                  <c:v>43368</c:v>
                </c:pt>
                <c:pt idx="2326">
                  <c:v>43369</c:v>
                </c:pt>
                <c:pt idx="2327">
                  <c:v>43370</c:v>
                </c:pt>
                <c:pt idx="2328">
                  <c:v>43371</c:v>
                </c:pt>
                <c:pt idx="2329">
                  <c:v>43374</c:v>
                </c:pt>
                <c:pt idx="2330">
                  <c:v>43375</c:v>
                </c:pt>
                <c:pt idx="2331">
                  <c:v>43376</c:v>
                </c:pt>
                <c:pt idx="2332">
                  <c:v>43377</c:v>
                </c:pt>
                <c:pt idx="2333">
                  <c:v>43378</c:v>
                </c:pt>
                <c:pt idx="2334">
                  <c:v>43381</c:v>
                </c:pt>
                <c:pt idx="2335">
                  <c:v>43382</c:v>
                </c:pt>
                <c:pt idx="2336">
                  <c:v>43383</c:v>
                </c:pt>
                <c:pt idx="2337">
                  <c:v>43384</c:v>
                </c:pt>
                <c:pt idx="2338">
                  <c:v>43385</c:v>
                </c:pt>
                <c:pt idx="2339">
                  <c:v>43388</c:v>
                </c:pt>
                <c:pt idx="2340">
                  <c:v>43389</c:v>
                </c:pt>
                <c:pt idx="2341">
                  <c:v>43390</c:v>
                </c:pt>
                <c:pt idx="2342">
                  <c:v>43391</c:v>
                </c:pt>
                <c:pt idx="2343">
                  <c:v>43392</c:v>
                </c:pt>
                <c:pt idx="2344">
                  <c:v>43395</c:v>
                </c:pt>
                <c:pt idx="2345">
                  <c:v>43396</c:v>
                </c:pt>
                <c:pt idx="2346">
                  <c:v>43397</c:v>
                </c:pt>
                <c:pt idx="2347">
                  <c:v>43398</c:v>
                </c:pt>
                <c:pt idx="2348">
                  <c:v>43399</c:v>
                </c:pt>
                <c:pt idx="2349">
                  <c:v>43402</c:v>
                </c:pt>
                <c:pt idx="2350">
                  <c:v>43403</c:v>
                </c:pt>
                <c:pt idx="2351">
                  <c:v>43404</c:v>
                </c:pt>
                <c:pt idx="2352">
                  <c:v>43405</c:v>
                </c:pt>
                <c:pt idx="2353">
                  <c:v>43406</c:v>
                </c:pt>
                <c:pt idx="2354">
                  <c:v>43409</c:v>
                </c:pt>
                <c:pt idx="2355">
                  <c:v>43410</c:v>
                </c:pt>
                <c:pt idx="2356">
                  <c:v>43411</c:v>
                </c:pt>
                <c:pt idx="2357">
                  <c:v>43412</c:v>
                </c:pt>
                <c:pt idx="2358">
                  <c:v>43413</c:v>
                </c:pt>
                <c:pt idx="2359">
                  <c:v>43416</c:v>
                </c:pt>
                <c:pt idx="2360">
                  <c:v>43417</c:v>
                </c:pt>
                <c:pt idx="2361">
                  <c:v>43418</c:v>
                </c:pt>
                <c:pt idx="2362">
                  <c:v>43419</c:v>
                </c:pt>
                <c:pt idx="2363">
                  <c:v>43420</c:v>
                </c:pt>
                <c:pt idx="2364">
                  <c:v>43423</c:v>
                </c:pt>
                <c:pt idx="2365">
                  <c:v>43424</c:v>
                </c:pt>
                <c:pt idx="2366">
                  <c:v>43425</c:v>
                </c:pt>
                <c:pt idx="2367">
                  <c:v>43427</c:v>
                </c:pt>
                <c:pt idx="2368">
                  <c:v>43430</c:v>
                </c:pt>
                <c:pt idx="2369">
                  <c:v>43431</c:v>
                </c:pt>
                <c:pt idx="2370">
                  <c:v>43432</c:v>
                </c:pt>
                <c:pt idx="2371">
                  <c:v>43433</c:v>
                </c:pt>
                <c:pt idx="2372">
                  <c:v>43434</c:v>
                </c:pt>
                <c:pt idx="2373">
                  <c:v>43437</c:v>
                </c:pt>
                <c:pt idx="2374">
                  <c:v>43438</c:v>
                </c:pt>
                <c:pt idx="2375">
                  <c:v>43440</c:v>
                </c:pt>
                <c:pt idx="2376">
                  <c:v>43441</c:v>
                </c:pt>
                <c:pt idx="2377">
                  <c:v>43444</c:v>
                </c:pt>
                <c:pt idx="2378">
                  <c:v>43445</c:v>
                </c:pt>
                <c:pt idx="2379">
                  <c:v>43446</c:v>
                </c:pt>
                <c:pt idx="2380">
                  <c:v>43447</c:v>
                </c:pt>
                <c:pt idx="2381">
                  <c:v>43448</c:v>
                </c:pt>
                <c:pt idx="2382">
                  <c:v>43451</c:v>
                </c:pt>
                <c:pt idx="2383">
                  <c:v>43452</c:v>
                </c:pt>
                <c:pt idx="2384">
                  <c:v>43453</c:v>
                </c:pt>
                <c:pt idx="2385">
                  <c:v>43454</c:v>
                </c:pt>
                <c:pt idx="2386">
                  <c:v>43455</c:v>
                </c:pt>
                <c:pt idx="2387">
                  <c:v>43458</c:v>
                </c:pt>
                <c:pt idx="2388">
                  <c:v>43460</c:v>
                </c:pt>
                <c:pt idx="2389">
                  <c:v>43461</c:v>
                </c:pt>
                <c:pt idx="2390">
                  <c:v>43462</c:v>
                </c:pt>
                <c:pt idx="2391">
                  <c:v>43465</c:v>
                </c:pt>
                <c:pt idx="2392">
                  <c:v>43467</c:v>
                </c:pt>
                <c:pt idx="2393">
                  <c:v>43468</c:v>
                </c:pt>
                <c:pt idx="2394">
                  <c:v>43469</c:v>
                </c:pt>
                <c:pt idx="2395">
                  <c:v>43472</c:v>
                </c:pt>
                <c:pt idx="2396">
                  <c:v>43473</c:v>
                </c:pt>
                <c:pt idx="2397">
                  <c:v>43474</c:v>
                </c:pt>
                <c:pt idx="2398">
                  <c:v>43475</c:v>
                </c:pt>
                <c:pt idx="2399">
                  <c:v>43476</c:v>
                </c:pt>
                <c:pt idx="2400">
                  <c:v>43479</c:v>
                </c:pt>
                <c:pt idx="2401">
                  <c:v>43480</c:v>
                </c:pt>
                <c:pt idx="2402">
                  <c:v>43481</c:v>
                </c:pt>
                <c:pt idx="2403">
                  <c:v>43482</c:v>
                </c:pt>
                <c:pt idx="2404">
                  <c:v>43483</c:v>
                </c:pt>
                <c:pt idx="2405">
                  <c:v>43487</c:v>
                </c:pt>
                <c:pt idx="2406">
                  <c:v>43488</c:v>
                </c:pt>
                <c:pt idx="2407">
                  <c:v>43489</c:v>
                </c:pt>
                <c:pt idx="2408">
                  <c:v>43490</c:v>
                </c:pt>
                <c:pt idx="2409">
                  <c:v>43493</c:v>
                </c:pt>
                <c:pt idx="2410">
                  <c:v>43494</c:v>
                </c:pt>
                <c:pt idx="2411">
                  <c:v>43495</c:v>
                </c:pt>
                <c:pt idx="2412">
                  <c:v>43496</c:v>
                </c:pt>
                <c:pt idx="2413">
                  <c:v>43497</c:v>
                </c:pt>
                <c:pt idx="2414">
                  <c:v>43500</c:v>
                </c:pt>
                <c:pt idx="2415">
                  <c:v>43501</c:v>
                </c:pt>
                <c:pt idx="2416">
                  <c:v>43502</c:v>
                </c:pt>
                <c:pt idx="2417">
                  <c:v>43503</c:v>
                </c:pt>
                <c:pt idx="2418">
                  <c:v>43504</c:v>
                </c:pt>
                <c:pt idx="2419">
                  <c:v>43507</c:v>
                </c:pt>
                <c:pt idx="2420">
                  <c:v>43508</c:v>
                </c:pt>
                <c:pt idx="2421">
                  <c:v>43509</c:v>
                </c:pt>
                <c:pt idx="2422">
                  <c:v>43510</c:v>
                </c:pt>
                <c:pt idx="2423">
                  <c:v>43511</c:v>
                </c:pt>
                <c:pt idx="2424">
                  <c:v>43515</c:v>
                </c:pt>
                <c:pt idx="2425">
                  <c:v>43516</c:v>
                </c:pt>
                <c:pt idx="2426">
                  <c:v>43517</c:v>
                </c:pt>
                <c:pt idx="2427">
                  <c:v>43518</c:v>
                </c:pt>
                <c:pt idx="2428">
                  <c:v>43521</c:v>
                </c:pt>
                <c:pt idx="2429">
                  <c:v>43522</c:v>
                </c:pt>
                <c:pt idx="2430">
                  <c:v>43523</c:v>
                </c:pt>
                <c:pt idx="2431">
                  <c:v>43524</c:v>
                </c:pt>
                <c:pt idx="2432">
                  <c:v>43525</c:v>
                </c:pt>
                <c:pt idx="2433">
                  <c:v>43528</c:v>
                </c:pt>
                <c:pt idx="2434">
                  <c:v>43529</c:v>
                </c:pt>
                <c:pt idx="2435">
                  <c:v>43530</c:v>
                </c:pt>
                <c:pt idx="2436">
                  <c:v>43531</c:v>
                </c:pt>
                <c:pt idx="2437">
                  <c:v>43532</c:v>
                </c:pt>
                <c:pt idx="2438">
                  <c:v>43535</c:v>
                </c:pt>
                <c:pt idx="2439">
                  <c:v>43536</c:v>
                </c:pt>
                <c:pt idx="2440">
                  <c:v>43537</c:v>
                </c:pt>
                <c:pt idx="2441">
                  <c:v>43538</c:v>
                </c:pt>
                <c:pt idx="2442">
                  <c:v>43539</c:v>
                </c:pt>
                <c:pt idx="2443">
                  <c:v>43542</c:v>
                </c:pt>
                <c:pt idx="2444">
                  <c:v>43543</c:v>
                </c:pt>
                <c:pt idx="2445">
                  <c:v>43544</c:v>
                </c:pt>
                <c:pt idx="2446">
                  <c:v>43545</c:v>
                </c:pt>
                <c:pt idx="2447">
                  <c:v>43546</c:v>
                </c:pt>
                <c:pt idx="2448">
                  <c:v>43549</c:v>
                </c:pt>
                <c:pt idx="2449">
                  <c:v>43550</c:v>
                </c:pt>
                <c:pt idx="2450">
                  <c:v>43551</c:v>
                </c:pt>
                <c:pt idx="2451">
                  <c:v>43552</c:v>
                </c:pt>
                <c:pt idx="2452">
                  <c:v>43553</c:v>
                </c:pt>
                <c:pt idx="2453">
                  <c:v>43556</c:v>
                </c:pt>
                <c:pt idx="2454">
                  <c:v>43557</c:v>
                </c:pt>
                <c:pt idx="2455">
                  <c:v>43558</c:v>
                </c:pt>
                <c:pt idx="2456">
                  <c:v>43559</c:v>
                </c:pt>
                <c:pt idx="2457">
                  <c:v>43560</c:v>
                </c:pt>
                <c:pt idx="2458">
                  <c:v>43563</c:v>
                </c:pt>
                <c:pt idx="2459">
                  <c:v>43564</c:v>
                </c:pt>
                <c:pt idx="2460">
                  <c:v>43565</c:v>
                </c:pt>
                <c:pt idx="2461">
                  <c:v>43566</c:v>
                </c:pt>
                <c:pt idx="2462">
                  <c:v>43567</c:v>
                </c:pt>
                <c:pt idx="2463">
                  <c:v>43570</c:v>
                </c:pt>
                <c:pt idx="2464">
                  <c:v>43571</c:v>
                </c:pt>
                <c:pt idx="2465">
                  <c:v>43572</c:v>
                </c:pt>
                <c:pt idx="2466">
                  <c:v>43573</c:v>
                </c:pt>
                <c:pt idx="2467">
                  <c:v>43577</c:v>
                </c:pt>
                <c:pt idx="2468">
                  <c:v>43578</c:v>
                </c:pt>
                <c:pt idx="2469">
                  <c:v>43579</c:v>
                </c:pt>
                <c:pt idx="2470">
                  <c:v>43580</c:v>
                </c:pt>
                <c:pt idx="2471">
                  <c:v>43581</c:v>
                </c:pt>
                <c:pt idx="2472">
                  <c:v>43584</c:v>
                </c:pt>
                <c:pt idx="2473">
                  <c:v>43585</c:v>
                </c:pt>
                <c:pt idx="2474">
                  <c:v>43586</c:v>
                </c:pt>
                <c:pt idx="2475">
                  <c:v>43587</c:v>
                </c:pt>
                <c:pt idx="2476">
                  <c:v>43588</c:v>
                </c:pt>
                <c:pt idx="2477">
                  <c:v>43591</c:v>
                </c:pt>
                <c:pt idx="2478">
                  <c:v>43592</c:v>
                </c:pt>
                <c:pt idx="2479">
                  <c:v>43593</c:v>
                </c:pt>
                <c:pt idx="2480">
                  <c:v>43594</c:v>
                </c:pt>
                <c:pt idx="2481">
                  <c:v>43595</c:v>
                </c:pt>
                <c:pt idx="2482">
                  <c:v>43598</c:v>
                </c:pt>
                <c:pt idx="2483">
                  <c:v>43599</c:v>
                </c:pt>
                <c:pt idx="2484">
                  <c:v>43600</c:v>
                </c:pt>
                <c:pt idx="2485">
                  <c:v>43601</c:v>
                </c:pt>
                <c:pt idx="2486">
                  <c:v>43602</c:v>
                </c:pt>
                <c:pt idx="2487">
                  <c:v>43605</c:v>
                </c:pt>
                <c:pt idx="2488">
                  <c:v>43606</c:v>
                </c:pt>
                <c:pt idx="2489">
                  <c:v>43607</c:v>
                </c:pt>
                <c:pt idx="2490">
                  <c:v>43608</c:v>
                </c:pt>
                <c:pt idx="2491">
                  <c:v>43609</c:v>
                </c:pt>
                <c:pt idx="2492">
                  <c:v>43613</c:v>
                </c:pt>
                <c:pt idx="2493">
                  <c:v>43614</c:v>
                </c:pt>
                <c:pt idx="2494">
                  <c:v>43615</c:v>
                </c:pt>
                <c:pt idx="2495">
                  <c:v>43616</c:v>
                </c:pt>
                <c:pt idx="2496">
                  <c:v>43619</c:v>
                </c:pt>
                <c:pt idx="2497">
                  <c:v>43620</c:v>
                </c:pt>
                <c:pt idx="2498">
                  <c:v>43621</c:v>
                </c:pt>
                <c:pt idx="2499">
                  <c:v>43622</c:v>
                </c:pt>
                <c:pt idx="2500">
                  <c:v>43623</c:v>
                </c:pt>
                <c:pt idx="2501">
                  <c:v>43626</c:v>
                </c:pt>
                <c:pt idx="2502">
                  <c:v>43627</c:v>
                </c:pt>
                <c:pt idx="2503">
                  <c:v>43628</c:v>
                </c:pt>
                <c:pt idx="2504">
                  <c:v>43629</c:v>
                </c:pt>
                <c:pt idx="2505">
                  <c:v>43630</c:v>
                </c:pt>
                <c:pt idx="2506">
                  <c:v>43633</c:v>
                </c:pt>
                <c:pt idx="2507">
                  <c:v>43634</c:v>
                </c:pt>
                <c:pt idx="2508">
                  <c:v>43635</c:v>
                </c:pt>
                <c:pt idx="2509">
                  <c:v>43636</c:v>
                </c:pt>
                <c:pt idx="2510">
                  <c:v>43637</c:v>
                </c:pt>
                <c:pt idx="2511">
                  <c:v>43640</c:v>
                </c:pt>
                <c:pt idx="2512">
                  <c:v>43641</c:v>
                </c:pt>
                <c:pt idx="2513">
                  <c:v>43642</c:v>
                </c:pt>
                <c:pt idx="2514">
                  <c:v>43643</c:v>
                </c:pt>
                <c:pt idx="2515">
                  <c:v>43644</c:v>
                </c:pt>
                <c:pt idx="2516">
                  <c:v>43647</c:v>
                </c:pt>
                <c:pt idx="2517">
                  <c:v>43648</c:v>
                </c:pt>
                <c:pt idx="2518">
                  <c:v>43649</c:v>
                </c:pt>
                <c:pt idx="2519">
                  <c:v>43651</c:v>
                </c:pt>
                <c:pt idx="2520">
                  <c:v>43654</c:v>
                </c:pt>
                <c:pt idx="2521">
                  <c:v>43655</c:v>
                </c:pt>
                <c:pt idx="2522">
                  <c:v>43656</c:v>
                </c:pt>
                <c:pt idx="2523">
                  <c:v>43657</c:v>
                </c:pt>
                <c:pt idx="2524">
                  <c:v>43658</c:v>
                </c:pt>
                <c:pt idx="2525">
                  <c:v>43661</c:v>
                </c:pt>
                <c:pt idx="2526">
                  <c:v>43662</c:v>
                </c:pt>
                <c:pt idx="2527">
                  <c:v>43663</c:v>
                </c:pt>
                <c:pt idx="2528">
                  <c:v>43664</c:v>
                </c:pt>
                <c:pt idx="2529">
                  <c:v>43665</c:v>
                </c:pt>
                <c:pt idx="2530">
                  <c:v>43668</c:v>
                </c:pt>
                <c:pt idx="2531">
                  <c:v>43669</c:v>
                </c:pt>
                <c:pt idx="2532">
                  <c:v>43670</c:v>
                </c:pt>
                <c:pt idx="2533">
                  <c:v>43671</c:v>
                </c:pt>
                <c:pt idx="2534">
                  <c:v>43672</c:v>
                </c:pt>
                <c:pt idx="2535">
                  <c:v>43675</c:v>
                </c:pt>
                <c:pt idx="2536">
                  <c:v>43676</c:v>
                </c:pt>
                <c:pt idx="2537">
                  <c:v>43677</c:v>
                </c:pt>
                <c:pt idx="2538">
                  <c:v>43678</c:v>
                </c:pt>
                <c:pt idx="2539">
                  <c:v>43679</c:v>
                </c:pt>
                <c:pt idx="2540">
                  <c:v>43682</c:v>
                </c:pt>
                <c:pt idx="2541">
                  <c:v>43683</c:v>
                </c:pt>
                <c:pt idx="2542">
                  <c:v>43684</c:v>
                </c:pt>
                <c:pt idx="2543">
                  <c:v>43685</c:v>
                </c:pt>
                <c:pt idx="2544">
                  <c:v>43686</c:v>
                </c:pt>
                <c:pt idx="2545">
                  <c:v>43689</c:v>
                </c:pt>
                <c:pt idx="2546">
                  <c:v>43690</c:v>
                </c:pt>
                <c:pt idx="2547">
                  <c:v>43691</c:v>
                </c:pt>
                <c:pt idx="2548">
                  <c:v>43692</c:v>
                </c:pt>
                <c:pt idx="2549">
                  <c:v>43693</c:v>
                </c:pt>
                <c:pt idx="2550">
                  <c:v>43696</c:v>
                </c:pt>
                <c:pt idx="2551">
                  <c:v>43697</c:v>
                </c:pt>
                <c:pt idx="2552">
                  <c:v>43698</c:v>
                </c:pt>
                <c:pt idx="2553">
                  <c:v>43699</c:v>
                </c:pt>
                <c:pt idx="2554">
                  <c:v>43700</c:v>
                </c:pt>
                <c:pt idx="2555">
                  <c:v>43703</c:v>
                </c:pt>
                <c:pt idx="2556">
                  <c:v>43704</c:v>
                </c:pt>
                <c:pt idx="2557">
                  <c:v>43705</c:v>
                </c:pt>
                <c:pt idx="2558">
                  <c:v>43706</c:v>
                </c:pt>
                <c:pt idx="2559">
                  <c:v>43707</c:v>
                </c:pt>
                <c:pt idx="2560">
                  <c:v>43711</c:v>
                </c:pt>
                <c:pt idx="2561">
                  <c:v>43712</c:v>
                </c:pt>
                <c:pt idx="2562">
                  <c:v>43713</c:v>
                </c:pt>
                <c:pt idx="2563">
                  <c:v>43714</c:v>
                </c:pt>
              </c:numCache>
            </c:numRef>
          </c:cat>
          <c:val>
            <c:numRef>
              <c:f>'Bud vs Call'!$B$6:$B$2569</c:f>
              <c:numCache>
                <c:formatCode>0.00</c:formatCode>
                <c:ptCount val="2564"/>
                <c:pt idx="0">
                  <c:v>29.599475999999999</c:v>
                </c:pt>
                <c:pt idx="1">
                  <c:v>29.522593000000001</c:v>
                </c:pt>
                <c:pt idx="2">
                  <c:v>29.215069</c:v>
                </c:pt>
                <c:pt idx="3">
                  <c:v>28.753772999999999</c:v>
                </c:pt>
                <c:pt idx="4">
                  <c:v>28.830656000000001</c:v>
                </c:pt>
                <c:pt idx="5">
                  <c:v>28.830656000000001</c:v>
                </c:pt>
                <c:pt idx="6">
                  <c:v>28.984414999999998</c:v>
                </c:pt>
                <c:pt idx="7">
                  <c:v>28.830656000000001</c:v>
                </c:pt>
                <c:pt idx="8">
                  <c:v>29.830120000000001</c:v>
                </c:pt>
                <c:pt idx="9">
                  <c:v>30.637374999999999</c:v>
                </c:pt>
                <c:pt idx="10">
                  <c:v>30.406725000000002</c:v>
                </c:pt>
                <c:pt idx="11">
                  <c:v>29.907001000000001</c:v>
                </c:pt>
                <c:pt idx="12">
                  <c:v>30.406725000000002</c:v>
                </c:pt>
                <c:pt idx="13">
                  <c:v>29.791675999999999</c:v>
                </c:pt>
                <c:pt idx="14">
                  <c:v>30.406725000000002</c:v>
                </c:pt>
                <c:pt idx="15">
                  <c:v>30.675823000000001</c:v>
                </c:pt>
                <c:pt idx="16">
                  <c:v>30.675823000000001</c:v>
                </c:pt>
                <c:pt idx="17">
                  <c:v>30.445167999999999</c:v>
                </c:pt>
                <c:pt idx="18">
                  <c:v>30.652756</c:v>
                </c:pt>
                <c:pt idx="19">
                  <c:v>30.252966000000001</c:v>
                </c:pt>
                <c:pt idx="20">
                  <c:v>30.598935999999998</c:v>
                </c:pt>
                <c:pt idx="21">
                  <c:v>30.868016999999998</c:v>
                </c:pt>
                <c:pt idx="22">
                  <c:v>30.591242000000001</c:v>
                </c:pt>
                <c:pt idx="23">
                  <c:v>30.176086000000002</c:v>
                </c:pt>
                <c:pt idx="24">
                  <c:v>30.291409000000002</c:v>
                </c:pt>
                <c:pt idx="25">
                  <c:v>30.291409000000002</c:v>
                </c:pt>
                <c:pt idx="26">
                  <c:v>30.329853</c:v>
                </c:pt>
                <c:pt idx="27">
                  <c:v>30.868016999999998</c:v>
                </c:pt>
                <c:pt idx="28">
                  <c:v>31.060223000000001</c:v>
                </c:pt>
                <c:pt idx="29">
                  <c:v>31.559961000000001</c:v>
                </c:pt>
                <c:pt idx="30">
                  <c:v>30.099208999999998</c:v>
                </c:pt>
                <c:pt idx="31">
                  <c:v>29.753236999999999</c:v>
                </c:pt>
                <c:pt idx="32">
                  <c:v>30.099208999999998</c:v>
                </c:pt>
                <c:pt idx="33">
                  <c:v>30.868016999999998</c:v>
                </c:pt>
                <c:pt idx="34">
                  <c:v>31.283180000000002</c:v>
                </c:pt>
                <c:pt idx="35">
                  <c:v>31.213986999999999</c:v>
                </c:pt>
                <c:pt idx="36">
                  <c:v>32.328766000000002</c:v>
                </c:pt>
                <c:pt idx="37">
                  <c:v>32.213450999999999</c:v>
                </c:pt>
                <c:pt idx="38">
                  <c:v>32.751629000000001</c:v>
                </c:pt>
                <c:pt idx="39">
                  <c:v>32.674747000000004</c:v>
                </c:pt>
                <c:pt idx="40">
                  <c:v>32.574795000000002</c:v>
                </c:pt>
                <c:pt idx="41">
                  <c:v>32.828505999999997</c:v>
                </c:pt>
                <c:pt idx="42">
                  <c:v>33.366683999999999</c:v>
                </c:pt>
                <c:pt idx="43">
                  <c:v>31.905926000000001</c:v>
                </c:pt>
                <c:pt idx="44">
                  <c:v>32.098125000000003</c:v>
                </c:pt>
                <c:pt idx="45">
                  <c:v>31.944368000000001</c:v>
                </c:pt>
                <c:pt idx="46">
                  <c:v>32.367218000000001</c:v>
                </c:pt>
                <c:pt idx="47">
                  <c:v>33.443562</c:v>
                </c:pt>
                <c:pt idx="48">
                  <c:v>34.173935</c:v>
                </c:pt>
                <c:pt idx="49">
                  <c:v>34.596783000000002</c:v>
                </c:pt>
                <c:pt idx="50">
                  <c:v>34.942753000000003</c:v>
                </c:pt>
                <c:pt idx="51">
                  <c:v>35.496299999999998</c:v>
                </c:pt>
                <c:pt idx="52">
                  <c:v>35.557808000000001</c:v>
                </c:pt>
                <c:pt idx="53">
                  <c:v>36.095978000000002</c:v>
                </c:pt>
                <c:pt idx="54">
                  <c:v>35.788451999999999</c:v>
                </c:pt>
                <c:pt idx="55">
                  <c:v>36.134417999999997</c:v>
                </c:pt>
                <c:pt idx="56">
                  <c:v>36.672595999999999</c:v>
                </c:pt>
                <c:pt idx="57">
                  <c:v>36.019095999999998</c:v>
                </c:pt>
                <c:pt idx="58">
                  <c:v>35.288722999999997</c:v>
                </c:pt>
                <c:pt idx="59">
                  <c:v>35.073456</c:v>
                </c:pt>
                <c:pt idx="60">
                  <c:v>34.535271000000002</c:v>
                </c:pt>
                <c:pt idx="61">
                  <c:v>34.927376000000002</c:v>
                </c:pt>
                <c:pt idx="62">
                  <c:v>34.812049999999999</c:v>
                </c:pt>
                <c:pt idx="63">
                  <c:v>35.319473000000002</c:v>
                </c:pt>
                <c:pt idx="64">
                  <c:v>34.650604000000001</c:v>
                </c:pt>
                <c:pt idx="65">
                  <c:v>33.827972000000003</c:v>
                </c:pt>
                <c:pt idx="66">
                  <c:v>34.904316000000001</c:v>
                </c:pt>
                <c:pt idx="67">
                  <c:v>35.873019999999997</c:v>
                </c:pt>
                <c:pt idx="68">
                  <c:v>35.919150999999999</c:v>
                </c:pt>
                <c:pt idx="69">
                  <c:v>37.049309000000001</c:v>
                </c:pt>
                <c:pt idx="70">
                  <c:v>36.588023999999997</c:v>
                </c:pt>
                <c:pt idx="71">
                  <c:v>36.826358999999997</c:v>
                </c:pt>
                <c:pt idx="72">
                  <c:v>36.557265999999998</c:v>
                </c:pt>
                <c:pt idx="73">
                  <c:v>38.094901999999998</c:v>
                </c:pt>
                <c:pt idx="74">
                  <c:v>38.294803999999999</c:v>
                </c:pt>
                <c:pt idx="75">
                  <c:v>38.586941000000003</c:v>
                </c:pt>
                <c:pt idx="76">
                  <c:v>39.355766000000003</c:v>
                </c:pt>
                <c:pt idx="77">
                  <c:v>38.556198000000002</c:v>
                </c:pt>
                <c:pt idx="78">
                  <c:v>39.025181000000003</c:v>
                </c:pt>
                <c:pt idx="79">
                  <c:v>40.209156</c:v>
                </c:pt>
                <c:pt idx="80">
                  <c:v>38.863723999999998</c:v>
                </c:pt>
                <c:pt idx="81">
                  <c:v>38.048786</c:v>
                </c:pt>
                <c:pt idx="82">
                  <c:v>37.210766</c:v>
                </c:pt>
                <c:pt idx="83">
                  <c:v>36.511142999999997</c:v>
                </c:pt>
                <c:pt idx="84">
                  <c:v>37.587485999999998</c:v>
                </c:pt>
                <c:pt idx="85">
                  <c:v>36.272807999999998</c:v>
                </c:pt>
                <c:pt idx="86">
                  <c:v>37.141575000000003</c:v>
                </c:pt>
                <c:pt idx="87">
                  <c:v>36.218986999999998</c:v>
                </c:pt>
                <c:pt idx="88">
                  <c:v>36.426571000000003</c:v>
                </c:pt>
                <c:pt idx="89">
                  <c:v>37.356838000000003</c:v>
                </c:pt>
                <c:pt idx="90">
                  <c:v>37.187697999999997</c:v>
                </c:pt>
                <c:pt idx="91">
                  <c:v>38.225605000000002</c:v>
                </c:pt>
                <c:pt idx="92">
                  <c:v>37.149258000000003</c:v>
                </c:pt>
                <c:pt idx="93">
                  <c:v>37.395279000000002</c:v>
                </c:pt>
                <c:pt idx="94">
                  <c:v>37.110824999999998</c:v>
                </c:pt>
                <c:pt idx="95">
                  <c:v>38.648448999999999</c:v>
                </c:pt>
                <c:pt idx="96">
                  <c:v>39.709431000000002</c:v>
                </c:pt>
                <c:pt idx="97">
                  <c:v>39.278885000000002</c:v>
                </c:pt>
                <c:pt idx="98">
                  <c:v>39.509537000000002</c:v>
                </c:pt>
                <c:pt idx="99">
                  <c:v>38.902161</c:v>
                </c:pt>
                <c:pt idx="100">
                  <c:v>38.955986000000003</c:v>
                </c:pt>
                <c:pt idx="101">
                  <c:v>39.455714999999998</c:v>
                </c:pt>
                <c:pt idx="102">
                  <c:v>39.455714999999998</c:v>
                </c:pt>
                <c:pt idx="103">
                  <c:v>40.316792</c:v>
                </c:pt>
                <c:pt idx="104">
                  <c:v>39.348075999999999</c:v>
                </c:pt>
                <c:pt idx="105">
                  <c:v>38.663834000000001</c:v>
                </c:pt>
                <c:pt idx="106">
                  <c:v>40.170715000000001</c:v>
                </c:pt>
                <c:pt idx="107">
                  <c:v>40.931843000000001</c:v>
                </c:pt>
                <c:pt idx="108">
                  <c:v>40.470551</c:v>
                </c:pt>
                <c:pt idx="109">
                  <c:v>40.470551</c:v>
                </c:pt>
                <c:pt idx="110">
                  <c:v>40.362915000000001</c:v>
                </c:pt>
                <c:pt idx="111">
                  <c:v>39.332698999999998</c:v>
                </c:pt>
                <c:pt idx="112">
                  <c:v>39.494155999999997</c:v>
                </c:pt>
                <c:pt idx="113">
                  <c:v>39.740172999999999</c:v>
                </c:pt>
                <c:pt idx="114">
                  <c:v>40.224528999999997</c:v>
                </c:pt>
                <c:pt idx="115">
                  <c:v>40.739643000000001</c:v>
                </c:pt>
                <c:pt idx="116">
                  <c:v>40.324474000000002</c:v>
                </c:pt>
                <c:pt idx="117">
                  <c:v>40.439793000000002</c:v>
                </c:pt>
                <c:pt idx="118">
                  <c:v>39.540286999999999</c:v>
                </c:pt>
                <c:pt idx="119">
                  <c:v>38.909855</c:v>
                </c:pt>
                <c:pt idx="120">
                  <c:v>39.079002000000003</c:v>
                </c:pt>
                <c:pt idx="121">
                  <c:v>38.963661000000002</c:v>
                </c:pt>
                <c:pt idx="122">
                  <c:v>39.424953000000002</c:v>
                </c:pt>
                <c:pt idx="123">
                  <c:v>39.578724000000001</c:v>
                </c:pt>
                <c:pt idx="124">
                  <c:v>39.993881000000002</c:v>
                </c:pt>
                <c:pt idx="125">
                  <c:v>40.309097000000001</c:v>
                </c:pt>
                <c:pt idx="126">
                  <c:v>40.070765999999999</c:v>
                </c:pt>
                <c:pt idx="127">
                  <c:v>40.001575000000003</c:v>
                </c:pt>
                <c:pt idx="128">
                  <c:v>41.124039000000003</c:v>
                </c:pt>
                <c:pt idx="129">
                  <c:v>40.632004000000002</c:v>
                </c:pt>
                <c:pt idx="130">
                  <c:v>40.378295999999999</c:v>
                </c:pt>
                <c:pt idx="131">
                  <c:v>39.394215000000003</c:v>
                </c:pt>
                <c:pt idx="132">
                  <c:v>39.171256999999997</c:v>
                </c:pt>
                <c:pt idx="133">
                  <c:v>39.524918</c:v>
                </c:pt>
                <c:pt idx="134">
                  <c:v>39.363453</c:v>
                </c:pt>
                <c:pt idx="135">
                  <c:v>39.817059</c:v>
                </c:pt>
                <c:pt idx="136">
                  <c:v>39.886246</c:v>
                </c:pt>
                <c:pt idx="137">
                  <c:v>38.817593000000002</c:v>
                </c:pt>
                <c:pt idx="138">
                  <c:v>38.848343</c:v>
                </c:pt>
                <c:pt idx="139">
                  <c:v>37.879641999999997</c:v>
                </c:pt>
                <c:pt idx="140">
                  <c:v>36.810974000000002</c:v>
                </c:pt>
                <c:pt idx="141">
                  <c:v>36.949364000000003</c:v>
                </c:pt>
                <c:pt idx="142">
                  <c:v>37.172328999999998</c:v>
                </c:pt>
                <c:pt idx="143">
                  <c:v>36.987816000000002</c:v>
                </c:pt>
                <c:pt idx="144">
                  <c:v>38.233294999999998</c:v>
                </c:pt>
                <c:pt idx="145">
                  <c:v>37.725876</c:v>
                </c:pt>
                <c:pt idx="146">
                  <c:v>38.279423000000001</c:v>
                </c:pt>
                <c:pt idx="147">
                  <c:v>38.940612999999999</c:v>
                </c:pt>
                <c:pt idx="148">
                  <c:v>39.225062999999999</c:v>
                </c:pt>
                <c:pt idx="149">
                  <c:v>39.202002999999998</c:v>
                </c:pt>
                <c:pt idx="150">
                  <c:v>36.818671999999999</c:v>
                </c:pt>
                <c:pt idx="151">
                  <c:v>35.696193999999998</c:v>
                </c:pt>
                <c:pt idx="152">
                  <c:v>36.165179999999999</c:v>
                </c:pt>
                <c:pt idx="153">
                  <c:v>37.303024000000001</c:v>
                </c:pt>
                <c:pt idx="154">
                  <c:v>37.133887999999999</c:v>
                </c:pt>
                <c:pt idx="155">
                  <c:v>37.772015000000003</c:v>
                </c:pt>
                <c:pt idx="156">
                  <c:v>38.087218999999997</c:v>
                </c:pt>
                <c:pt idx="157">
                  <c:v>38.602317999999997</c:v>
                </c:pt>
                <c:pt idx="158">
                  <c:v>39.094372</c:v>
                </c:pt>
                <c:pt idx="159">
                  <c:v>39.332698999999998</c:v>
                </c:pt>
                <c:pt idx="160">
                  <c:v>38.686892999999998</c:v>
                </c:pt>
                <c:pt idx="161">
                  <c:v>38.156413999999998</c:v>
                </c:pt>
                <c:pt idx="162">
                  <c:v>37.710498999999999</c:v>
                </c:pt>
                <c:pt idx="163">
                  <c:v>38.648448999999999</c:v>
                </c:pt>
                <c:pt idx="164">
                  <c:v>38.240989999999996</c:v>
                </c:pt>
                <c:pt idx="165">
                  <c:v>38.402431</c:v>
                </c:pt>
                <c:pt idx="166">
                  <c:v>39.094372</c:v>
                </c:pt>
                <c:pt idx="167">
                  <c:v>39.102051000000003</c:v>
                </c:pt>
                <c:pt idx="168">
                  <c:v>39.517215999999998</c:v>
                </c:pt>
                <c:pt idx="169">
                  <c:v>37.994956999999999</c:v>
                </c:pt>
                <c:pt idx="170">
                  <c:v>38.133343000000004</c:v>
                </c:pt>
                <c:pt idx="171">
                  <c:v>37.672061999999997</c:v>
                </c:pt>
                <c:pt idx="172">
                  <c:v>38.210228000000001</c:v>
                </c:pt>
                <c:pt idx="173">
                  <c:v>38.72533</c:v>
                </c:pt>
                <c:pt idx="174">
                  <c:v>38.955986000000003</c:v>
                </c:pt>
                <c:pt idx="175">
                  <c:v>38.902161</c:v>
                </c:pt>
                <c:pt idx="176">
                  <c:v>38.433185999999999</c:v>
                </c:pt>
                <c:pt idx="177">
                  <c:v>39.448025000000001</c:v>
                </c:pt>
                <c:pt idx="178">
                  <c:v>39.778618000000002</c:v>
                </c:pt>
                <c:pt idx="179">
                  <c:v>39.709431000000002</c:v>
                </c:pt>
                <c:pt idx="180">
                  <c:v>39.555660000000003</c:v>
                </c:pt>
                <c:pt idx="181">
                  <c:v>39.717109999999998</c:v>
                </c:pt>
                <c:pt idx="182">
                  <c:v>39.917003999999999</c:v>
                </c:pt>
                <c:pt idx="183">
                  <c:v>38.948287999999998</c:v>
                </c:pt>
                <c:pt idx="184">
                  <c:v>38.571570999999999</c:v>
                </c:pt>
                <c:pt idx="185">
                  <c:v>38.686892999999998</c:v>
                </c:pt>
                <c:pt idx="186">
                  <c:v>38.971352000000003</c:v>
                </c:pt>
                <c:pt idx="187">
                  <c:v>39.017490000000002</c:v>
                </c:pt>
                <c:pt idx="188">
                  <c:v>38.786845999999997</c:v>
                </c:pt>
                <c:pt idx="189">
                  <c:v>39.086677999999999</c:v>
                </c:pt>
                <c:pt idx="190">
                  <c:v>39.071308000000002</c:v>
                </c:pt>
                <c:pt idx="191">
                  <c:v>39.309635</c:v>
                </c:pt>
                <c:pt idx="192">
                  <c:v>39.086677999999999</c:v>
                </c:pt>
                <c:pt idx="193">
                  <c:v>39.340384999999998</c:v>
                </c:pt>
                <c:pt idx="194">
                  <c:v>39.940066999999999</c:v>
                </c:pt>
                <c:pt idx="195">
                  <c:v>40.247593000000002</c:v>
                </c:pt>
                <c:pt idx="196">
                  <c:v>39.509537000000002</c:v>
                </c:pt>
                <c:pt idx="197">
                  <c:v>39.563350999999997</c:v>
                </c:pt>
                <c:pt idx="198">
                  <c:v>38.917538</c:v>
                </c:pt>
                <c:pt idx="199">
                  <c:v>38.279423000000001</c:v>
                </c:pt>
                <c:pt idx="200">
                  <c:v>37.902706000000002</c:v>
                </c:pt>
                <c:pt idx="201">
                  <c:v>38.402431</c:v>
                </c:pt>
                <c:pt idx="202">
                  <c:v>37.979588</c:v>
                </c:pt>
                <c:pt idx="203">
                  <c:v>38.018020999999997</c:v>
                </c:pt>
                <c:pt idx="204">
                  <c:v>38.192089000000003</c:v>
                </c:pt>
                <c:pt idx="205">
                  <c:v>38.075530999999998</c:v>
                </c:pt>
                <c:pt idx="206">
                  <c:v>37.088673</c:v>
                </c:pt>
                <c:pt idx="207">
                  <c:v>36.583584000000002</c:v>
                </c:pt>
                <c:pt idx="208">
                  <c:v>37.415030999999999</c:v>
                </c:pt>
                <c:pt idx="209">
                  <c:v>37.648144000000002</c:v>
                </c:pt>
                <c:pt idx="210">
                  <c:v>37.826866000000003</c:v>
                </c:pt>
                <c:pt idx="211">
                  <c:v>37.166370000000001</c:v>
                </c:pt>
                <c:pt idx="212">
                  <c:v>36.933261999999999</c:v>
                </c:pt>
                <c:pt idx="213">
                  <c:v>36.397098999999997</c:v>
                </c:pt>
                <c:pt idx="214">
                  <c:v>35.588959000000003</c:v>
                </c:pt>
                <c:pt idx="215">
                  <c:v>38.767097</c:v>
                </c:pt>
                <c:pt idx="216">
                  <c:v>38.207625999999998</c:v>
                </c:pt>
                <c:pt idx="217">
                  <c:v>38.417434999999998</c:v>
                </c:pt>
                <c:pt idx="218">
                  <c:v>38.207625999999998</c:v>
                </c:pt>
                <c:pt idx="219">
                  <c:v>37.073124</c:v>
                </c:pt>
                <c:pt idx="220">
                  <c:v>37.648144000000002</c:v>
                </c:pt>
                <c:pt idx="221">
                  <c:v>37.244079999999997</c:v>
                </c:pt>
                <c:pt idx="222">
                  <c:v>37.733626999999998</c:v>
                </c:pt>
                <c:pt idx="223">
                  <c:v>36.521419999999999</c:v>
                </c:pt>
                <c:pt idx="224">
                  <c:v>37.508277999999997</c:v>
                </c:pt>
                <c:pt idx="225">
                  <c:v>36.917717000000003</c:v>
                </c:pt>
                <c:pt idx="226">
                  <c:v>36.614666</c:v>
                </c:pt>
                <c:pt idx="227">
                  <c:v>35.899783999999997</c:v>
                </c:pt>
                <c:pt idx="228">
                  <c:v>38.293101999999998</c:v>
                </c:pt>
                <c:pt idx="229">
                  <c:v>37.228546000000001</c:v>
                </c:pt>
                <c:pt idx="230">
                  <c:v>36.933261999999999</c:v>
                </c:pt>
                <c:pt idx="231">
                  <c:v>38.122149999999998</c:v>
                </c:pt>
                <c:pt idx="232">
                  <c:v>37.803555000000003</c:v>
                </c:pt>
                <c:pt idx="233">
                  <c:v>36.10181</c:v>
                </c:pt>
                <c:pt idx="234">
                  <c:v>36.389319999999998</c:v>
                </c:pt>
                <c:pt idx="235">
                  <c:v>36.925488000000001</c:v>
                </c:pt>
                <c:pt idx="236">
                  <c:v>37.057583000000001</c:v>
                </c:pt>
                <c:pt idx="237">
                  <c:v>38.176547999999997</c:v>
                </c:pt>
                <c:pt idx="238">
                  <c:v>37.733626999999998</c:v>
                </c:pt>
                <c:pt idx="239">
                  <c:v>38.526218</c:v>
                </c:pt>
                <c:pt idx="240">
                  <c:v>40.212418</c:v>
                </c:pt>
                <c:pt idx="241">
                  <c:v>40.002620999999998</c:v>
                </c:pt>
                <c:pt idx="242">
                  <c:v>40.344512999999999</c:v>
                </c:pt>
                <c:pt idx="243">
                  <c:v>39.823891000000003</c:v>
                </c:pt>
                <c:pt idx="244">
                  <c:v>39.637394</c:v>
                </c:pt>
                <c:pt idx="245">
                  <c:v>39.08569</c:v>
                </c:pt>
                <c:pt idx="246">
                  <c:v>38.992443000000002</c:v>
                </c:pt>
                <c:pt idx="247">
                  <c:v>38.790413000000001</c:v>
                </c:pt>
                <c:pt idx="248">
                  <c:v>38.533988999999998</c:v>
                </c:pt>
                <c:pt idx="249">
                  <c:v>38.596148999999997</c:v>
                </c:pt>
                <c:pt idx="250">
                  <c:v>37.469428999999998</c:v>
                </c:pt>
                <c:pt idx="251">
                  <c:v>37.306247999999997</c:v>
                </c:pt>
                <c:pt idx="252">
                  <c:v>38.238708000000003</c:v>
                </c:pt>
                <c:pt idx="253">
                  <c:v>37.966743000000001</c:v>
                </c:pt>
                <c:pt idx="254">
                  <c:v>39.147860999999999</c:v>
                </c:pt>
                <c:pt idx="255">
                  <c:v>39.886059000000003</c:v>
                </c:pt>
                <c:pt idx="256">
                  <c:v>40.484394000000002</c:v>
                </c:pt>
                <c:pt idx="257">
                  <c:v>40.779667000000003</c:v>
                </c:pt>
                <c:pt idx="258">
                  <c:v>40.997238000000003</c:v>
                </c:pt>
                <c:pt idx="259">
                  <c:v>41.704357000000002</c:v>
                </c:pt>
                <c:pt idx="260">
                  <c:v>41.805370000000003</c:v>
                </c:pt>
                <c:pt idx="261">
                  <c:v>42.232745999999999</c:v>
                </c:pt>
                <c:pt idx="262">
                  <c:v>41.067180999999998</c:v>
                </c:pt>
                <c:pt idx="263">
                  <c:v>41.253666000000003</c:v>
                </c:pt>
                <c:pt idx="264">
                  <c:v>40.795203999999998</c:v>
                </c:pt>
                <c:pt idx="265">
                  <c:v>41.137107999999998</c:v>
                </c:pt>
                <c:pt idx="266">
                  <c:v>42.263835999999998</c:v>
                </c:pt>
                <c:pt idx="267">
                  <c:v>42.481400000000001</c:v>
                </c:pt>
                <c:pt idx="268">
                  <c:v>42.784458000000001</c:v>
                </c:pt>
                <c:pt idx="269">
                  <c:v>42.504725999999998</c:v>
                </c:pt>
                <c:pt idx="270">
                  <c:v>41.758750999999997</c:v>
                </c:pt>
                <c:pt idx="271">
                  <c:v>41.479014999999997</c:v>
                </c:pt>
                <c:pt idx="272">
                  <c:v>41.230358000000003</c:v>
                </c:pt>
                <c:pt idx="273">
                  <c:v>42.395930999999997</c:v>
                </c:pt>
                <c:pt idx="274">
                  <c:v>42.613506000000001</c:v>
                </c:pt>
                <c:pt idx="275">
                  <c:v>42.893250000000002</c:v>
                </c:pt>
                <c:pt idx="276">
                  <c:v>41.852001000000001</c:v>
                </c:pt>
                <c:pt idx="277">
                  <c:v>40.841830999999999</c:v>
                </c:pt>
                <c:pt idx="278">
                  <c:v>40.903995999999999</c:v>
                </c:pt>
                <c:pt idx="279">
                  <c:v>40.585406999999996</c:v>
                </c:pt>
                <c:pt idx="280">
                  <c:v>39.513072999999999</c:v>
                </c:pt>
                <c:pt idx="281">
                  <c:v>41.222588000000002</c:v>
                </c:pt>
                <c:pt idx="282">
                  <c:v>41.370227999999997</c:v>
                </c:pt>
                <c:pt idx="283">
                  <c:v>41.580029000000003</c:v>
                </c:pt>
                <c:pt idx="284">
                  <c:v>41.696582999999997</c:v>
                </c:pt>
                <c:pt idx="285">
                  <c:v>41.626652</c:v>
                </c:pt>
                <c:pt idx="286">
                  <c:v>40.616492999999998</c:v>
                </c:pt>
                <c:pt idx="287">
                  <c:v>40.173569000000001</c:v>
                </c:pt>
                <c:pt idx="288">
                  <c:v>40.057003000000002</c:v>
                </c:pt>
                <c:pt idx="289">
                  <c:v>39.730648000000002</c:v>
                </c:pt>
                <c:pt idx="290">
                  <c:v>39.637394</c:v>
                </c:pt>
                <c:pt idx="291">
                  <c:v>39.72287</c:v>
                </c:pt>
                <c:pt idx="292">
                  <c:v>40.313431000000001</c:v>
                </c:pt>
                <c:pt idx="293">
                  <c:v>39.777267000000002</c:v>
                </c:pt>
                <c:pt idx="294">
                  <c:v>40.383369000000002</c:v>
                </c:pt>
                <c:pt idx="295">
                  <c:v>42.131737000000001</c:v>
                </c:pt>
                <c:pt idx="296">
                  <c:v>42.698985999999998</c:v>
                </c:pt>
                <c:pt idx="297">
                  <c:v>42.854396999999999</c:v>
                </c:pt>
                <c:pt idx="298">
                  <c:v>42.217213000000001</c:v>
                </c:pt>
                <c:pt idx="299">
                  <c:v>43.242924000000002</c:v>
                </c:pt>
                <c:pt idx="300">
                  <c:v>42.776691</c:v>
                </c:pt>
                <c:pt idx="301">
                  <c:v>42.582419999999999</c:v>
                </c:pt>
                <c:pt idx="302">
                  <c:v>43.110821000000001</c:v>
                </c:pt>
                <c:pt idx="303">
                  <c:v>43.398327000000002</c:v>
                </c:pt>
                <c:pt idx="304">
                  <c:v>43.740237999999998</c:v>
                </c:pt>
                <c:pt idx="305">
                  <c:v>43.755775</c:v>
                </c:pt>
                <c:pt idx="306">
                  <c:v>43.017574000000003</c:v>
                </c:pt>
                <c:pt idx="307">
                  <c:v>43.639217000000002</c:v>
                </c:pt>
                <c:pt idx="308">
                  <c:v>43.62368</c:v>
                </c:pt>
                <c:pt idx="309">
                  <c:v>43.553741000000002</c:v>
                </c:pt>
                <c:pt idx="310">
                  <c:v>43.841254999999997</c:v>
                </c:pt>
                <c:pt idx="311">
                  <c:v>45.511901999999999</c:v>
                </c:pt>
                <c:pt idx="312">
                  <c:v>44.851413999999998</c:v>
                </c:pt>
                <c:pt idx="313">
                  <c:v>45.807189999999999</c:v>
                </c:pt>
                <c:pt idx="314">
                  <c:v>46.219020999999998</c:v>
                </c:pt>
                <c:pt idx="315">
                  <c:v>45.651783000000002</c:v>
                </c:pt>
                <c:pt idx="316">
                  <c:v>45.581840999999997</c:v>
                </c:pt>
                <c:pt idx="317">
                  <c:v>44.750400999999997</c:v>
                </c:pt>
                <c:pt idx="318">
                  <c:v>46.079155</c:v>
                </c:pt>
                <c:pt idx="319">
                  <c:v>46.537616999999997</c:v>
                </c:pt>
                <c:pt idx="320">
                  <c:v>46.242348</c:v>
                </c:pt>
                <c:pt idx="321">
                  <c:v>47.866374999999998</c:v>
                </c:pt>
                <c:pt idx="322">
                  <c:v>48.130572999999998</c:v>
                </c:pt>
                <c:pt idx="323">
                  <c:v>48.402538</c:v>
                </c:pt>
                <c:pt idx="324">
                  <c:v>49.498184000000002</c:v>
                </c:pt>
                <c:pt idx="325">
                  <c:v>49.249527</c:v>
                </c:pt>
                <c:pt idx="326">
                  <c:v>48.736668000000002</c:v>
                </c:pt>
                <c:pt idx="327">
                  <c:v>48.495784999999998</c:v>
                </c:pt>
                <c:pt idx="328">
                  <c:v>47.695435000000003</c:v>
                </c:pt>
                <c:pt idx="329">
                  <c:v>48.340378000000001</c:v>
                </c:pt>
                <c:pt idx="330">
                  <c:v>49.529274000000001</c:v>
                </c:pt>
                <c:pt idx="331">
                  <c:v>49.537036999999998</c:v>
                </c:pt>
                <c:pt idx="332">
                  <c:v>49.638053999999997</c:v>
                </c:pt>
                <c:pt idx="333">
                  <c:v>48.736668000000002</c:v>
                </c:pt>
                <c:pt idx="334">
                  <c:v>47.586635999999999</c:v>
                </c:pt>
                <c:pt idx="335">
                  <c:v>48.418083000000003</c:v>
                </c:pt>
                <c:pt idx="336">
                  <c:v>48.876548999999997</c:v>
                </c:pt>
                <c:pt idx="337">
                  <c:v>48.845455000000001</c:v>
                </c:pt>
                <c:pt idx="338">
                  <c:v>49.350540000000002</c:v>
                </c:pt>
                <c:pt idx="339">
                  <c:v>47.881912</c:v>
                </c:pt>
                <c:pt idx="340">
                  <c:v>48.658962000000002</c:v>
                </c:pt>
                <c:pt idx="341">
                  <c:v>47.835293</c:v>
                </c:pt>
                <c:pt idx="342">
                  <c:v>47.236969000000002</c:v>
                </c:pt>
                <c:pt idx="343">
                  <c:v>46.972766999999997</c:v>
                </c:pt>
                <c:pt idx="344">
                  <c:v>47.050468000000002</c:v>
                </c:pt>
                <c:pt idx="345">
                  <c:v>45.908206999999997</c:v>
                </c:pt>
                <c:pt idx="346">
                  <c:v>45.612923000000002</c:v>
                </c:pt>
                <c:pt idx="347">
                  <c:v>45.550758000000002</c:v>
                </c:pt>
                <c:pt idx="348">
                  <c:v>44.633839000000002</c:v>
                </c:pt>
                <c:pt idx="349">
                  <c:v>45.675086999999998</c:v>
                </c:pt>
                <c:pt idx="350">
                  <c:v>47.205891000000001</c:v>
                </c:pt>
                <c:pt idx="351">
                  <c:v>47.291350999999999</c:v>
                </c:pt>
                <c:pt idx="352">
                  <c:v>47.322440999999998</c:v>
                </c:pt>
                <c:pt idx="353">
                  <c:v>46.016990999999997</c:v>
                </c:pt>
                <c:pt idx="354">
                  <c:v>45.612923000000002</c:v>
                </c:pt>
                <c:pt idx="355">
                  <c:v>44.734856000000001</c:v>
                </c:pt>
                <c:pt idx="356">
                  <c:v>43.530434</c:v>
                </c:pt>
                <c:pt idx="357">
                  <c:v>42.691212</c:v>
                </c:pt>
                <c:pt idx="358">
                  <c:v>44.012203</c:v>
                </c:pt>
                <c:pt idx="359">
                  <c:v>44.913581999999998</c:v>
                </c:pt>
                <c:pt idx="360">
                  <c:v>45.084530000000001</c:v>
                </c:pt>
                <c:pt idx="361">
                  <c:v>44.649380000000001</c:v>
                </c:pt>
                <c:pt idx="362">
                  <c:v>44.828102000000001</c:v>
                </c:pt>
                <c:pt idx="363">
                  <c:v>44.711548000000001</c:v>
                </c:pt>
                <c:pt idx="364">
                  <c:v>44.447346000000003</c:v>
                </c:pt>
                <c:pt idx="365">
                  <c:v>44.781483000000001</c:v>
                </c:pt>
                <c:pt idx="366">
                  <c:v>44.960208999999999</c:v>
                </c:pt>
                <c:pt idx="367">
                  <c:v>44.983513000000002</c:v>
                </c:pt>
                <c:pt idx="368">
                  <c:v>44.385173999999999</c:v>
                </c:pt>
                <c:pt idx="369">
                  <c:v>44.649380000000001</c:v>
                </c:pt>
                <c:pt idx="370">
                  <c:v>44.594990000000003</c:v>
                </c:pt>
                <c:pt idx="371">
                  <c:v>44.323020999999997</c:v>
                </c:pt>
                <c:pt idx="372">
                  <c:v>44.781483000000001</c:v>
                </c:pt>
                <c:pt idx="373">
                  <c:v>44.664932</c:v>
                </c:pt>
                <c:pt idx="374">
                  <c:v>44.525055000000002</c:v>
                </c:pt>
                <c:pt idx="375">
                  <c:v>44.657158000000003</c:v>
                </c:pt>
                <c:pt idx="376">
                  <c:v>44.291943000000003</c:v>
                </c:pt>
                <c:pt idx="377">
                  <c:v>44.276394000000003</c:v>
                </c:pt>
                <c:pt idx="378">
                  <c:v>44.548374000000003</c:v>
                </c:pt>
                <c:pt idx="379">
                  <c:v>44.361877</c:v>
                </c:pt>
                <c:pt idx="380">
                  <c:v>44.781483000000001</c:v>
                </c:pt>
                <c:pt idx="381">
                  <c:v>44.556133000000003</c:v>
                </c:pt>
                <c:pt idx="382">
                  <c:v>44.152057999999997</c:v>
                </c:pt>
                <c:pt idx="383">
                  <c:v>44.346336000000001</c:v>
                </c:pt>
                <c:pt idx="384">
                  <c:v>43.981116999999998</c:v>
                </c:pt>
                <c:pt idx="385">
                  <c:v>43.988894999999999</c:v>
                </c:pt>
                <c:pt idx="386">
                  <c:v>44.323020999999997</c:v>
                </c:pt>
                <c:pt idx="387">
                  <c:v>45.154465000000002</c:v>
                </c:pt>
                <c:pt idx="388">
                  <c:v>45.597382000000003</c:v>
                </c:pt>
                <c:pt idx="389">
                  <c:v>44.999057999999998</c:v>
                </c:pt>
                <c:pt idx="390">
                  <c:v>44.587215</c:v>
                </c:pt>
                <c:pt idx="391">
                  <c:v>44.175381000000002</c:v>
                </c:pt>
                <c:pt idx="392">
                  <c:v>43.390560000000001</c:v>
                </c:pt>
                <c:pt idx="393">
                  <c:v>43.281773000000001</c:v>
                </c:pt>
                <c:pt idx="394">
                  <c:v>43.996657999999996</c:v>
                </c:pt>
                <c:pt idx="395">
                  <c:v>44.711548000000001</c:v>
                </c:pt>
                <c:pt idx="396">
                  <c:v>44.649380000000001</c:v>
                </c:pt>
                <c:pt idx="397">
                  <c:v>43.880108</c:v>
                </c:pt>
                <c:pt idx="398">
                  <c:v>42.792233000000003</c:v>
                </c:pt>
                <c:pt idx="399">
                  <c:v>42.978718000000001</c:v>
                </c:pt>
                <c:pt idx="400">
                  <c:v>43.258457</c:v>
                </c:pt>
                <c:pt idx="401">
                  <c:v>43.709147999999999</c:v>
                </c:pt>
                <c:pt idx="402">
                  <c:v>43.514888999999997</c:v>
                </c:pt>
                <c:pt idx="403">
                  <c:v>43.196297000000001</c:v>
                </c:pt>
                <c:pt idx="404">
                  <c:v>43.740237999999998</c:v>
                </c:pt>
                <c:pt idx="405">
                  <c:v>43.880108</c:v>
                </c:pt>
                <c:pt idx="406">
                  <c:v>43.631447000000001</c:v>
                </c:pt>
                <c:pt idx="407">
                  <c:v>43.328403000000002</c:v>
                </c:pt>
                <c:pt idx="408">
                  <c:v>43.507114000000001</c:v>
                </c:pt>
                <c:pt idx="409">
                  <c:v>42.722290000000001</c:v>
                </c:pt>
                <c:pt idx="410">
                  <c:v>42.714526999999997</c:v>
                </c:pt>
                <c:pt idx="411">
                  <c:v>42.722290000000001</c:v>
                </c:pt>
                <c:pt idx="412">
                  <c:v>42.660133000000002</c:v>
                </c:pt>
                <c:pt idx="413">
                  <c:v>42.660133000000002</c:v>
                </c:pt>
                <c:pt idx="414">
                  <c:v>42.357081999999998</c:v>
                </c:pt>
                <c:pt idx="415">
                  <c:v>42.970947000000002</c:v>
                </c:pt>
                <c:pt idx="416">
                  <c:v>42.869926</c:v>
                </c:pt>
                <c:pt idx="417">
                  <c:v>42.893250000000002</c:v>
                </c:pt>
                <c:pt idx="418">
                  <c:v>43.538200000000003</c:v>
                </c:pt>
                <c:pt idx="419">
                  <c:v>43.693610999999997</c:v>
                </c:pt>
                <c:pt idx="420">
                  <c:v>43.592590000000001</c:v>
                </c:pt>
                <c:pt idx="421">
                  <c:v>44.929119</c:v>
                </c:pt>
                <c:pt idx="422">
                  <c:v>45.100067000000003</c:v>
                </c:pt>
                <c:pt idx="423">
                  <c:v>44.338562000000003</c:v>
                </c:pt>
                <c:pt idx="424">
                  <c:v>44.525055000000002</c:v>
                </c:pt>
                <c:pt idx="425">
                  <c:v>44.781483000000001</c:v>
                </c:pt>
                <c:pt idx="426">
                  <c:v>44.291943000000003</c:v>
                </c:pt>
                <c:pt idx="427">
                  <c:v>44.330795000000002</c:v>
                </c:pt>
                <c:pt idx="428">
                  <c:v>44.019970000000001</c:v>
                </c:pt>
                <c:pt idx="429">
                  <c:v>42.854396999999999</c:v>
                </c:pt>
                <c:pt idx="430">
                  <c:v>41.883087000000003</c:v>
                </c:pt>
                <c:pt idx="431">
                  <c:v>42.636814000000001</c:v>
                </c:pt>
                <c:pt idx="432">
                  <c:v>42.768912999999998</c:v>
                </c:pt>
                <c:pt idx="433">
                  <c:v>43.887878000000001</c:v>
                </c:pt>
                <c:pt idx="434">
                  <c:v>43.514888999999997</c:v>
                </c:pt>
                <c:pt idx="435">
                  <c:v>43.973351000000001</c:v>
                </c:pt>
                <c:pt idx="436">
                  <c:v>44.626072000000001</c:v>
                </c:pt>
                <c:pt idx="437">
                  <c:v>44.657158000000003</c:v>
                </c:pt>
                <c:pt idx="438">
                  <c:v>44.144298999999997</c:v>
                </c:pt>
                <c:pt idx="439">
                  <c:v>44.214233</c:v>
                </c:pt>
                <c:pt idx="440">
                  <c:v>44.734856000000001</c:v>
                </c:pt>
                <c:pt idx="441">
                  <c:v>44.424038000000003</c:v>
                </c:pt>
                <c:pt idx="442">
                  <c:v>45.737259000000002</c:v>
                </c:pt>
                <c:pt idx="443">
                  <c:v>46.273421999999997</c:v>
                </c:pt>
                <c:pt idx="444">
                  <c:v>46.498772000000002</c:v>
                </c:pt>
                <c:pt idx="445">
                  <c:v>46.522075999999998</c:v>
                </c:pt>
                <c:pt idx="446">
                  <c:v>46.040309999999998</c:v>
                </c:pt>
                <c:pt idx="447">
                  <c:v>45.869346999999998</c:v>
                </c:pt>
                <c:pt idx="448">
                  <c:v>46.172404999999998</c:v>
                </c:pt>
                <c:pt idx="449">
                  <c:v>46.18018</c:v>
                </c:pt>
                <c:pt idx="450">
                  <c:v>46.762965999999999</c:v>
                </c:pt>
                <c:pt idx="451">
                  <c:v>47.097092000000004</c:v>
                </c:pt>
                <c:pt idx="452">
                  <c:v>47.819752000000001</c:v>
                </c:pt>
                <c:pt idx="453">
                  <c:v>47.003852999999999</c:v>
                </c:pt>
                <c:pt idx="454">
                  <c:v>48.433632000000003</c:v>
                </c:pt>
                <c:pt idx="455">
                  <c:v>48.006241000000003</c:v>
                </c:pt>
                <c:pt idx="456">
                  <c:v>48.654010999999997</c:v>
                </c:pt>
                <c:pt idx="457">
                  <c:v>48.598579000000001</c:v>
                </c:pt>
                <c:pt idx="458">
                  <c:v>49.548855000000003</c:v>
                </c:pt>
                <c:pt idx="459">
                  <c:v>50.245730999999999</c:v>
                </c:pt>
                <c:pt idx="460">
                  <c:v>50.491211</c:v>
                </c:pt>
                <c:pt idx="461">
                  <c:v>50.657513000000002</c:v>
                </c:pt>
                <c:pt idx="462">
                  <c:v>50.625838999999999</c:v>
                </c:pt>
                <c:pt idx="463">
                  <c:v>50.198208000000001</c:v>
                </c:pt>
                <c:pt idx="464">
                  <c:v>48.289741999999997</c:v>
                </c:pt>
                <c:pt idx="465">
                  <c:v>47.252361000000001</c:v>
                </c:pt>
                <c:pt idx="466">
                  <c:v>46.998958999999999</c:v>
                </c:pt>
                <c:pt idx="467">
                  <c:v>46.880172999999999</c:v>
                </c:pt>
                <c:pt idx="468">
                  <c:v>46.919764999999998</c:v>
                </c:pt>
                <c:pt idx="469">
                  <c:v>46.127876000000001</c:v>
                </c:pt>
                <c:pt idx="470">
                  <c:v>46.856406999999997</c:v>
                </c:pt>
                <c:pt idx="471">
                  <c:v>47.157336999999998</c:v>
                </c:pt>
                <c:pt idx="472">
                  <c:v>47.125664</c:v>
                </c:pt>
                <c:pt idx="473">
                  <c:v>47.513691000000001</c:v>
                </c:pt>
                <c:pt idx="474">
                  <c:v>47.505772</c:v>
                </c:pt>
                <c:pt idx="475">
                  <c:v>47.838363999999999</c:v>
                </c:pt>
                <c:pt idx="476">
                  <c:v>47.862118000000002</c:v>
                </c:pt>
                <c:pt idx="477">
                  <c:v>46.278323999999998</c:v>
                </c:pt>
                <c:pt idx="478">
                  <c:v>46.412951999999997</c:v>
                </c:pt>
                <c:pt idx="479">
                  <c:v>46.310009000000001</c:v>
                </c:pt>
                <c:pt idx="480">
                  <c:v>46.175384999999999</c:v>
                </c:pt>
                <c:pt idx="481">
                  <c:v>46.476303000000001</c:v>
                </c:pt>
                <c:pt idx="482">
                  <c:v>47.893791</c:v>
                </c:pt>
                <c:pt idx="483">
                  <c:v>47.165253</c:v>
                </c:pt>
                <c:pt idx="484">
                  <c:v>46.816814000000001</c:v>
                </c:pt>
                <c:pt idx="485">
                  <c:v>47.093978999999997</c:v>
                </c:pt>
                <c:pt idx="486">
                  <c:v>46.531734</c:v>
                </c:pt>
                <c:pt idx="487">
                  <c:v>46.587173</c:v>
                </c:pt>
                <c:pt idx="488">
                  <c:v>46.405037</c:v>
                </c:pt>
                <c:pt idx="489">
                  <c:v>46.460467999999999</c:v>
                </c:pt>
                <c:pt idx="490">
                  <c:v>45.201351000000003</c:v>
                </c:pt>
                <c:pt idx="491">
                  <c:v>45.320132999999998</c:v>
                </c:pt>
                <c:pt idx="492">
                  <c:v>45.866543</c:v>
                </c:pt>
                <c:pt idx="493">
                  <c:v>44.710380999999998</c:v>
                </c:pt>
                <c:pt idx="494">
                  <c:v>44.361946000000003</c:v>
                </c:pt>
                <c:pt idx="495">
                  <c:v>45.145916</c:v>
                </c:pt>
                <c:pt idx="496">
                  <c:v>45.320132999999998</c:v>
                </c:pt>
                <c:pt idx="497">
                  <c:v>45.731918</c:v>
                </c:pt>
                <c:pt idx="498">
                  <c:v>44.995457000000002</c:v>
                </c:pt>
                <c:pt idx="499">
                  <c:v>44.868758999999997</c:v>
                </c:pt>
                <c:pt idx="500">
                  <c:v>44.068950999999998</c:v>
                </c:pt>
                <c:pt idx="501">
                  <c:v>44.488647</c:v>
                </c:pt>
                <c:pt idx="502">
                  <c:v>45.320132999999998</c:v>
                </c:pt>
                <c:pt idx="503">
                  <c:v>45.676490999999999</c:v>
                </c:pt>
                <c:pt idx="504">
                  <c:v>45.937812999999998</c:v>
                </c:pt>
                <c:pt idx="505">
                  <c:v>45.985325000000003</c:v>
                </c:pt>
                <c:pt idx="506">
                  <c:v>45.993243999999997</c:v>
                </c:pt>
                <c:pt idx="507">
                  <c:v>45.898215999999998</c:v>
                </c:pt>
                <c:pt idx="508">
                  <c:v>46.642605000000003</c:v>
                </c:pt>
                <c:pt idx="509">
                  <c:v>45.621056000000003</c:v>
                </c:pt>
                <c:pt idx="510">
                  <c:v>44.163970999999997</c:v>
                </c:pt>
                <c:pt idx="511">
                  <c:v>43.340401</c:v>
                </c:pt>
                <c:pt idx="512">
                  <c:v>43.292884999999998</c:v>
                </c:pt>
                <c:pt idx="513">
                  <c:v>43.665073</c:v>
                </c:pt>
                <c:pt idx="514">
                  <c:v>44.456974000000002</c:v>
                </c:pt>
                <c:pt idx="515">
                  <c:v>43.870967999999998</c:v>
                </c:pt>
                <c:pt idx="516">
                  <c:v>44.757888999999999</c:v>
                </c:pt>
                <c:pt idx="517">
                  <c:v>45.138004000000002</c:v>
                </c:pt>
                <c:pt idx="518">
                  <c:v>46.080353000000002</c:v>
                </c:pt>
                <c:pt idx="519">
                  <c:v>46.919764999999998</c:v>
                </c:pt>
                <c:pt idx="520">
                  <c:v>46.800983000000002</c:v>
                </c:pt>
                <c:pt idx="521">
                  <c:v>46.983111999999998</c:v>
                </c:pt>
                <c:pt idx="522">
                  <c:v>45.945740000000001</c:v>
                </c:pt>
                <c:pt idx="523">
                  <c:v>46.325843999999996</c:v>
                </c:pt>
                <c:pt idx="524">
                  <c:v>45.597304999999999</c:v>
                </c:pt>
                <c:pt idx="525">
                  <c:v>45.438923000000003</c:v>
                </c:pt>
                <c:pt idx="526">
                  <c:v>44.354030999999999</c:v>
                </c:pt>
                <c:pt idx="527">
                  <c:v>44.298591999999999</c:v>
                </c:pt>
                <c:pt idx="528">
                  <c:v>42.105041999999997</c:v>
                </c:pt>
                <c:pt idx="529">
                  <c:v>43.015723999999999</c:v>
                </c:pt>
                <c:pt idx="530">
                  <c:v>40.655875999999999</c:v>
                </c:pt>
                <c:pt idx="531">
                  <c:v>41.835799999999999</c:v>
                </c:pt>
                <c:pt idx="532">
                  <c:v>39.373004999999999</c:v>
                </c:pt>
                <c:pt idx="533">
                  <c:v>40.790497000000002</c:v>
                </c:pt>
                <c:pt idx="534">
                  <c:v>43.221615</c:v>
                </c:pt>
                <c:pt idx="535">
                  <c:v>43.926399000000004</c:v>
                </c:pt>
                <c:pt idx="536">
                  <c:v>44.219402000000002</c:v>
                </c:pt>
                <c:pt idx="537">
                  <c:v>44.520321000000003</c:v>
                </c:pt>
                <c:pt idx="538">
                  <c:v>43.308723000000001</c:v>
                </c:pt>
                <c:pt idx="539">
                  <c:v>42.659370000000003</c:v>
                </c:pt>
                <c:pt idx="540">
                  <c:v>43.071151999999998</c:v>
                </c:pt>
                <c:pt idx="541">
                  <c:v>43.989753999999998</c:v>
                </c:pt>
                <c:pt idx="542">
                  <c:v>42.881104000000001</c:v>
                </c:pt>
                <c:pt idx="543">
                  <c:v>42.215912000000003</c:v>
                </c:pt>
                <c:pt idx="544">
                  <c:v>42.675204999999998</c:v>
                </c:pt>
                <c:pt idx="545">
                  <c:v>43.332478000000002</c:v>
                </c:pt>
                <c:pt idx="546">
                  <c:v>43.380001</c:v>
                </c:pt>
                <c:pt idx="547">
                  <c:v>43.760105000000003</c:v>
                </c:pt>
                <c:pt idx="548">
                  <c:v>43.364151</c:v>
                </c:pt>
                <c:pt idx="549">
                  <c:v>43.055317000000002</c:v>
                </c:pt>
                <c:pt idx="550">
                  <c:v>41.883311999999997</c:v>
                </c:pt>
                <c:pt idx="551">
                  <c:v>42.263427999999998</c:v>
                </c:pt>
                <c:pt idx="552">
                  <c:v>41.748694999999998</c:v>
                </c:pt>
                <c:pt idx="553">
                  <c:v>40.418315999999997</c:v>
                </c:pt>
                <c:pt idx="554">
                  <c:v>39.768954999999998</c:v>
                </c:pt>
                <c:pt idx="555">
                  <c:v>39.729362000000002</c:v>
                </c:pt>
                <c:pt idx="556">
                  <c:v>39.998595999999999</c:v>
                </c:pt>
                <c:pt idx="557">
                  <c:v>40.782581</c:v>
                </c:pt>
                <c:pt idx="558">
                  <c:v>41.614071000000003</c:v>
                </c:pt>
                <c:pt idx="559">
                  <c:v>40.901359999999997</c:v>
                </c:pt>
                <c:pt idx="560">
                  <c:v>41.629910000000002</c:v>
                </c:pt>
                <c:pt idx="561">
                  <c:v>40.742984999999997</c:v>
                </c:pt>
                <c:pt idx="562">
                  <c:v>39.594734000000003</c:v>
                </c:pt>
                <c:pt idx="563">
                  <c:v>40.521259000000001</c:v>
                </c:pt>
                <c:pt idx="564">
                  <c:v>41.661586999999997</c:v>
                </c:pt>
                <c:pt idx="565">
                  <c:v>42.778151999999999</c:v>
                </c:pt>
                <c:pt idx="566">
                  <c:v>42.350529000000002</c:v>
                </c:pt>
                <c:pt idx="567">
                  <c:v>42.683128000000004</c:v>
                </c:pt>
                <c:pt idx="568">
                  <c:v>41.954585999999999</c:v>
                </c:pt>
                <c:pt idx="569">
                  <c:v>41.621983</c:v>
                </c:pt>
                <c:pt idx="570">
                  <c:v>42.358448000000003</c:v>
                </c:pt>
                <c:pt idx="571">
                  <c:v>41.946663000000001</c:v>
                </c:pt>
                <c:pt idx="572">
                  <c:v>42.192162000000003</c:v>
                </c:pt>
                <c:pt idx="573">
                  <c:v>40.988464</c:v>
                </c:pt>
                <c:pt idx="574">
                  <c:v>42.548512000000002</c:v>
                </c:pt>
                <c:pt idx="575">
                  <c:v>42.461395000000003</c:v>
                </c:pt>
                <c:pt idx="576">
                  <c:v>42.817745000000002</c:v>
                </c:pt>
                <c:pt idx="577">
                  <c:v>43.150348999999999</c:v>
                </c:pt>
                <c:pt idx="578">
                  <c:v>43.847209999999997</c:v>
                </c:pt>
                <c:pt idx="579">
                  <c:v>42.841510999999997</c:v>
                </c:pt>
                <c:pt idx="580">
                  <c:v>43.585884</c:v>
                </c:pt>
                <c:pt idx="581">
                  <c:v>43.015723999999999</c:v>
                </c:pt>
                <c:pt idx="582">
                  <c:v>43.189945000000002</c:v>
                </c:pt>
                <c:pt idx="583">
                  <c:v>44.171897999999999</c:v>
                </c:pt>
                <c:pt idx="584">
                  <c:v>44.346107000000003</c:v>
                </c:pt>
                <c:pt idx="585">
                  <c:v>43.451267000000001</c:v>
                </c:pt>
                <c:pt idx="586">
                  <c:v>43.768023999999997</c:v>
                </c:pt>
                <c:pt idx="587">
                  <c:v>45.058826000000003</c:v>
                </c:pt>
                <c:pt idx="588">
                  <c:v>44.940029000000003</c:v>
                </c:pt>
                <c:pt idx="589">
                  <c:v>43.926399000000004</c:v>
                </c:pt>
                <c:pt idx="590">
                  <c:v>43.292884999999998</c:v>
                </c:pt>
                <c:pt idx="591">
                  <c:v>42.825671999999997</c:v>
                </c:pt>
                <c:pt idx="592">
                  <c:v>43.942242</c:v>
                </c:pt>
                <c:pt idx="593">
                  <c:v>43.174103000000002</c:v>
                </c:pt>
                <c:pt idx="594">
                  <c:v>43.720509</c:v>
                </c:pt>
                <c:pt idx="595">
                  <c:v>45.138004000000002</c:v>
                </c:pt>
                <c:pt idx="596">
                  <c:v>44.512405000000001</c:v>
                </c:pt>
                <c:pt idx="597">
                  <c:v>45.502276999999999</c:v>
                </c:pt>
                <c:pt idx="598">
                  <c:v>46.951430999999999</c:v>
                </c:pt>
                <c:pt idx="599">
                  <c:v>45.644813999999997</c:v>
                </c:pt>
                <c:pt idx="600">
                  <c:v>45.518112000000002</c:v>
                </c:pt>
                <c:pt idx="601">
                  <c:v>45.359726000000002</c:v>
                </c:pt>
                <c:pt idx="602">
                  <c:v>45.240952</c:v>
                </c:pt>
                <c:pt idx="603">
                  <c:v>45.716076000000001</c:v>
                </c:pt>
                <c:pt idx="604">
                  <c:v>45.391402999999997</c:v>
                </c:pt>
                <c:pt idx="605">
                  <c:v>46.080353000000002</c:v>
                </c:pt>
                <c:pt idx="606">
                  <c:v>45.035049000000001</c:v>
                </c:pt>
                <c:pt idx="607">
                  <c:v>44.615360000000003</c:v>
                </c:pt>
                <c:pt idx="608">
                  <c:v>46.104111000000003</c:v>
                </c:pt>
                <c:pt idx="609">
                  <c:v>46.278323999999998</c:v>
                </c:pt>
                <c:pt idx="610">
                  <c:v>47.513691000000001</c:v>
                </c:pt>
                <c:pt idx="611">
                  <c:v>47.363232000000004</c:v>
                </c:pt>
                <c:pt idx="612">
                  <c:v>47.442421000000003</c:v>
                </c:pt>
                <c:pt idx="613">
                  <c:v>47.672066000000001</c:v>
                </c:pt>
                <c:pt idx="614">
                  <c:v>47.276122999999998</c:v>
                </c:pt>
                <c:pt idx="615">
                  <c:v>47.648304000000003</c:v>
                </c:pt>
                <c:pt idx="616">
                  <c:v>47.006874000000003</c:v>
                </c:pt>
                <c:pt idx="617">
                  <c:v>46.975200999999998</c:v>
                </c:pt>
                <c:pt idx="618">
                  <c:v>46.349606000000001</c:v>
                </c:pt>
                <c:pt idx="619">
                  <c:v>45.771518999999998</c:v>
                </c:pt>
                <c:pt idx="620">
                  <c:v>45.446846000000001</c:v>
                </c:pt>
                <c:pt idx="621">
                  <c:v>45.985325000000003</c:v>
                </c:pt>
                <c:pt idx="622">
                  <c:v>45.898215999999998</c:v>
                </c:pt>
                <c:pt idx="623">
                  <c:v>46.333762999999998</c:v>
                </c:pt>
                <c:pt idx="624">
                  <c:v>46.864342000000001</c:v>
                </c:pt>
                <c:pt idx="625">
                  <c:v>46.737625000000001</c:v>
                </c:pt>
                <c:pt idx="626">
                  <c:v>47.291953999999997</c:v>
                </c:pt>
                <c:pt idx="627">
                  <c:v>47.537436999999997</c:v>
                </c:pt>
                <c:pt idx="628">
                  <c:v>48.075927999999998</c:v>
                </c:pt>
                <c:pt idx="629">
                  <c:v>47.624554000000003</c:v>
                </c:pt>
                <c:pt idx="630">
                  <c:v>48.471885999999998</c:v>
                </c:pt>
                <c:pt idx="631">
                  <c:v>48.297660999999998</c:v>
                </c:pt>
                <c:pt idx="632">
                  <c:v>48.598579000000001</c:v>
                </c:pt>
                <c:pt idx="633">
                  <c:v>47.529522</c:v>
                </c:pt>
                <c:pt idx="634">
                  <c:v>47.474097999999998</c:v>
                </c:pt>
                <c:pt idx="635">
                  <c:v>46.658442999999998</c:v>
                </c:pt>
                <c:pt idx="636">
                  <c:v>48.210555999999997</c:v>
                </c:pt>
                <c:pt idx="637">
                  <c:v>48.408526999999999</c:v>
                </c:pt>
                <c:pt idx="638">
                  <c:v>47.917549000000001</c:v>
                </c:pt>
                <c:pt idx="639">
                  <c:v>48.297660999999998</c:v>
                </c:pt>
                <c:pt idx="640">
                  <c:v>47.212764999999997</c:v>
                </c:pt>
                <c:pt idx="641">
                  <c:v>48.099693000000002</c:v>
                </c:pt>
                <c:pt idx="642">
                  <c:v>49.065804</c:v>
                </c:pt>
                <c:pt idx="643">
                  <c:v>49.453826999999997</c:v>
                </c:pt>
                <c:pt idx="644">
                  <c:v>49.184593</c:v>
                </c:pt>
                <c:pt idx="645">
                  <c:v>48.416438999999997</c:v>
                </c:pt>
                <c:pt idx="646">
                  <c:v>48.654010999999997</c:v>
                </c:pt>
                <c:pt idx="647">
                  <c:v>49.232093999999996</c:v>
                </c:pt>
                <c:pt idx="648">
                  <c:v>49.010368</c:v>
                </c:pt>
                <c:pt idx="649">
                  <c:v>48.741123000000002</c:v>
                </c:pt>
                <c:pt idx="650">
                  <c:v>48.392696000000001</c:v>
                </c:pt>
                <c:pt idx="651">
                  <c:v>48.147193999999999</c:v>
                </c:pt>
                <c:pt idx="652">
                  <c:v>49.683478999999998</c:v>
                </c:pt>
                <c:pt idx="653">
                  <c:v>49.897289000000001</c:v>
                </c:pt>
                <c:pt idx="654">
                  <c:v>51.124724999999998</c:v>
                </c:pt>
                <c:pt idx="655">
                  <c:v>50.720866999999998</c:v>
                </c:pt>
                <c:pt idx="656">
                  <c:v>51.330624</c:v>
                </c:pt>
                <c:pt idx="657">
                  <c:v>51.037609000000003</c:v>
                </c:pt>
                <c:pt idx="658">
                  <c:v>51.671135</c:v>
                </c:pt>
                <c:pt idx="659">
                  <c:v>50.895080999999998</c:v>
                </c:pt>
                <c:pt idx="660">
                  <c:v>51.457324999999997</c:v>
                </c:pt>
                <c:pt idx="661">
                  <c:v>51.243507000000001</c:v>
                </c:pt>
                <c:pt idx="662">
                  <c:v>50.863402999999998</c:v>
                </c:pt>
                <c:pt idx="663">
                  <c:v>51.766162999999999</c:v>
                </c:pt>
                <c:pt idx="664">
                  <c:v>51.766162999999999</c:v>
                </c:pt>
                <c:pt idx="665">
                  <c:v>51.861179</c:v>
                </c:pt>
                <c:pt idx="666">
                  <c:v>52.067073999999998</c:v>
                </c:pt>
                <c:pt idx="667">
                  <c:v>52.265048999999998</c:v>
                </c:pt>
                <c:pt idx="668">
                  <c:v>52.463031999999998</c:v>
                </c:pt>
                <c:pt idx="669">
                  <c:v>52.257133000000003</c:v>
                </c:pt>
                <c:pt idx="670">
                  <c:v>52.938167999999997</c:v>
                </c:pt>
                <c:pt idx="671">
                  <c:v>53.254921000000003</c:v>
                </c:pt>
                <c:pt idx="672">
                  <c:v>54.181438</c:v>
                </c:pt>
                <c:pt idx="673">
                  <c:v>52.961925999999998</c:v>
                </c:pt>
                <c:pt idx="674">
                  <c:v>53.254921000000003</c:v>
                </c:pt>
                <c:pt idx="675">
                  <c:v>52.170029</c:v>
                </c:pt>
                <c:pt idx="676">
                  <c:v>52.953999000000003</c:v>
                </c:pt>
                <c:pt idx="677">
                  <c:v>55.084193999999997</c:v>
                </c:pt>
                <c:pt idx="678">
                  <c:v>55.084193999999997</c:v>
                </c:pt>
                <c:pt idx="679">
                  <c:v>56.137424000000003</c:v>
                </c:pt>
                <c:pt idx="680">
                  <c:v>56.770935000000001</c:v>
                </c:pt>
                <c:pt idx="681">
                  <c:v>56.565041000000001</c:v>
                </c:pt>
                <c:pt idx="682">
                  <c:v>56.541297999999998</c:v>
                </c:pt>
                <c:pt idx="683">
                  <c:v>57.28566</c:v>
                </c:pt>
                <c:pt idx="684">
                  <c:v>57.32526</c:v>
                </c:pt>
                <c:pt idx="685">
                  <c:v>57.317345000000003</c:v>
                </c:pt>
                <c:pt idx="686">
                  <c:v>57.380702999999997</c:v>
                </c:pt>
                <c:pt idx="687">
                  <c:v>57.507404000000001</c:v>
                </c:pt>
                <c:pt idx="688">
                  <c:v>57.135212000000003</c:v>
                </c:pt>
                <c:pt idx="689">
                  <c:v>58.188437999999998</c:v>
                </c:pt>
                <c:pt idx="690">
                  <c:v>57.721214000000003</c:v>
                </c:pt>
                <c:pt idx="691">
                  <c:v>57.28566</c:v>
                </c:pt>
                <c:pt idx="692">
                  <c:v>57.016415000000002</c:v>
                </c:pt>
                <c:pt idx="693">
                  <c:v>57.586582</c:v>
                </c:pt>
                <c:pt idx="694">
                  <c:v>58.140906999999999</c:v>
                </c:pt>
                <c:pt idx="695">
                  <c:v>58.220100000000002</c:v>
                </c:pt>
                <c:pt idx="696">
                  <c:v>56.517544000000001</c:v>
                </c:pt>
                <c:pt idx="697">
                  <c:v>56.105736</c:v>
                </c:pt>
                <c:pt idx="698">
                  <c:v>55.963203</c:v>
                </c:pt>
                <c:pt idx="699">
                  <c:v>55.488075000000002</c:v>
                </c:pt>
                <c:pt idx="700">
                  <c:v>56.295799000000002</c:v>
                </c:pt>
                <c:pt idx="701">
                  <c:v>57.246077999999997</c:v>
                </c:pt>
                <c:pt idx="702">
                  <c:v>56.113667</c:v>
                </c:pt>
                <c:pt idx="703">
                  <c:v>57.079768999999999</c:v>
                </c:pt>
                <c:pt idx="704">
                  <c:v>57.364857000000001</c:v>
                </c:pt>
                <c:pt idx="705">
                  <c:v>58.489345999999998</c:v>
                </c:pt>
                <c:pt idx="706">
                  <c:v>57.966686000000003</c:v>
                </c:pt>
                <c:pt idx="707">
                  <c:v>57.63409</c:v>
                </c:pt>
                <c:pt idx="708">
                  <c:v>56.968921999999999</c:v>
                </c:pt>
                <c:pt idx="709">
                  <c:v>57.846516000000001</c:v>
                </c:pt>
                <c:pt idx="710">
                  <c:v>58.129883</c:v>
                </c:pt>
                <c:pt idx="711">
                  <c:v>58.818049999999999</c:v>
                </c:pt>
                <c:pt idx="712">
                  <c:v>58.809956</c:v>
                </c:pt>
                <c:pt idx="713">
                  <c:v>58.793770000000002</c:v>
                </c:pt>
                <c:pt idx="714">
                  <c:v>59.271434999999997</c:v>
                </c:pt>
                <c:pt idx="715">
                  <c:v>59.036651999999997</c:v>
                </c:pt>
                <c:pt idx="716">
                  <c:v>60.178204000000001</c:v>
                </c:pt>
                <c:pt idx="717">
                  <c:v>59.554810000000003</c:v>
                </c:pt>
                <c:pt idx="718">
                  <c:v>60.655853</c:v>
                </c:pt>
                <c:pt idx="719">
                  <c:v>58.939498999999998</c:v>
                </c:pt>
                <c:pt idx="720">
                  <c:v>58.057026</c:v>
                </c:pt>
                <c:pt idx="721">
                  <c:v>57.935566000000001</c:v>
                </c:pt>
                <c:pt idx="722">
                  <c:v>58.251323999999997</c:v>
                </c:pt>
                <c:pt idx="723">
                  <c:v>57.878906000000001</c:v>
                </c:pt>
                <c:pt idx="724">
                  <c:v>57.344566</c:v>
                </c:pt>
                <c:pt idx="725">
                  <c:v>56.753548000000002</c:v>
                </c:pt>
                <c:pt idx="726">
                  <c:v>56.178722</c:v>
                </c:pt>
                <c:pt idx="727">
                  <c:v>55.320540999999999</c:v>
                </c:pt>
                <c:pt idx="728">
                  <c:v>55.636291999999997</c:v>
                </c:pt>
                <c:pt idx="729">
                  <c:v>55.571517999999998</c:v>
                </c:pt>
                <c:pt idx="730">
                  <c:v>54.721438999999997</c:v>
                </c:pt>
                <c:pt idx="731">
                  <c:v>55.555335999999997</c:v>
                </c:pt>
                <c:pt idx="732">
                  <c:v>55.280067000000003</c:v>
                </c:pt>
                <c:pt idx="733">
                  <c:v>55.822502</c:v>
                </c:pt>
                <c:pt idx="734">
                  <c:v>54.664752999999997</c:v>
                </c:pt>
                <c:pt idx="735">
                  <c:v>54.810493000000001</c:v>
                </c:pt>
                <c:pt idx="736">
                  <c:v>53.086024999999999</c:v>
                </c:pt>
                <c:pt idx="737">
                  <c:v>53.393681000000001</c:v>
                </c:pt>
                <c:pt idx="738">
                  <c:v>53.450347999999998</c:v>
                </c:pt>
                <c:pt idx="739">
                  <c:v>55.150523999999997</c:v>
                </c:pt>
                <c:pt idx="740">
                  <c:v>54.729523</c:v>
                </c:pt>
                <c:pt idx="741">
                  <c:v>55.158619000000002</c:v>
                </c:pt>
                <c:pt idx="742">
                  <c:v>54.405692999999999</c:v>
                </c:pt>
                <c:pt idx="743">
                  <c:v>55.871090000000002</c:v>
                </c:pt>
                <c:pt idx="744">
                  <c:v>56.624020000000002</c:v>
                </c:pt>
                <c:pt idx="745">
                  <c:v>57.749381999999997</c:v>
                </c:pt>
                <c:pt idx="746">
                  <c:v>57.457912</c:v>
                </c:pt>
                <c:pt idx="747">
                  <c:v>57.295994</c:v>
                </c:pt>
                <c:pt idx="748">
                  <c:v>57.716991</c:v>
                </c:pt>
                <c:pt idx="749">
                  <c:v>56.826416000000002</c:v>
                </c:pt>
                <c:pt idx="750">
                  <c:v>56.227302999999999</c:v>
                </c:pt>
                <c:pt idx="751">
                  <c:v>56.907375000000002</c:v>
                </c:pt>
                <c:pt idx="752">
                  <c:v>57.360751999999998</c:v>
                </c:pt>
                <c:pt idx="753">
                  <c:v>58.834248000000002</c:v>
                </c:pt>
                <c:pt idx="754">
                  <c:v>59.384788999999998</c:v>
                </c:pt>
                <c:pt idx="755">
                  <c:v>59.741013000000002</c:v>
                </c:pt>
                <c:pt idx="756">
                  <c:v>64.485313000000005</c:v>
                </c:pt>
                <c:pt idx="757">
                  <c:v>64.201949999999997</c:v>
                </c:pt>
                <c:pt idx="758">
                  <c:v>64.371955999999997</c:v>
                </c:pt>
                <c:pt idx="759">
                  <c:v>63.343761000000001</c:v>
                </c:pt>
                <c:pt idx="760">
                  <c:v>62.987549000000001</c:v>
                </c:pt>
                <c:pt idx="761">
                  <c:v>62.963234</c:v>
                </c:pt>
                <c:pt idx="762">
                  <c:v>63.416629999999998</c:v>
                </c:pt>
                <c:pt idx="763">
                  <c:v>62.477477999999998</c:v>
                </c:pt>
                <c:pt idx="764">
                  <c:v>62.121262000000002</c:v>
                </c:pt>
                <c:pt idx="765">
                  <c:v>62.720359999999999</c:v>
                </c:pt>
                <c:pt idx="766">
                  <c:v>62.550345999999998</c:v>
                </c:pt>
                <c:pt idx="767">
                  <c:v>62.566535999999999</c:v>
                </c:pt>
                <c:pt idx="768">
                  <c:v>63.562354999999997</c:v>
                </c:pt>
                <c:pt idx="769">
                  <c:v>64.315285000000003</c:v>
                </c:pt>
                <c:pt idx="770">
                  <c:v>63.044215999999999</c:v>
                </c:pt>
                <c:pt idx="771">
                  <c:v>62.315562999999997</c:v>
                </c:pt>
                <c:pt idx="772">
                  <c:v>62.177933000000003</c:v>
                </c:pt>
                <c:pt idx="773">
                  <c:v>62.048389</c:v>
                </c:pt>
                <c:pt idx="774">
                  <c:v>64.776779000000005</c:v>
                </c:pt>
                <c:pt idx="775">
                  <c:v>65.643058999999994</c:v>
                </c:pt>
                <c:pt idx="776">
                  <c:v>65.634949000000006</c:v>
                </c:pt>
                <c:pt idx="777">
                  <c:v>64.137191999999999</c:v>
                </c:pt>
                <c:pt idx="778">
                  <c:v>64.671509</c:v>
                </c:pt>
                <c:pt idx="779">
                  <c:v>63.950969999999998</c:v>
                </c:pt>
                <c:pt idx="780">
                  <c:v>66.185492999999994</c:v>
                </c:pt>
                <c:pt idx="781">
                  <c:v>66.363624999999999</c:v>
                </c:pt>
                <c:pt idx="782">
                  <c:v>66.995109999999997</c:v>
                </c:pt>
                <c:pt idx="783">
                  <c:v>66.566001999999997</c:v>
                </c:pt>
                <c:pt idx="784">
                  <c:v>66.306945999999996</c:v>
                </c:pt>
                <c:pt idx="785">
                  <c:v>65.651138000000003</c:v>
                </c:pt>
                <c:pt idx="786">
                  <c:v>65.497321999999997</c:v>
                </c:pt>
                <c:pt idx="787">
                  <c:v>65.222060999999997</c:v>
                </c:pt>
                <c:pt idx="788">
                  <c:v>65.683532999999997</c:v>
                </c:pt>
                <c:pt idx="789">
                  <c:v>65.643058999999994</c:v>
                </c:pt>
                <c:pt idx="790">
                  <c:v>65.562088000000003</c:v>
                </c:pt>
                <c:pt idx="791">
                  <c:v>65.950714000000005</c:v>
                </c:pt>
                <c:pt idx="792">
                  <c:v>66.112633000000002</c:v>
                </c:pt>
                <c:pt idx="793">
                  <c:v>66.039764000000005</c:v>
                </c:pt>
                <c:pt idx="794">
                  <c:v>65.529708999999997</c:v>
                </c:pt>
                <c:pt idx="795">
                  <c:v>66.582190999999995</c:v>
                </c:pt>
                <c:pt idx="796">
                  <c:v>66.889861999999994</c:v>
                </c:pt>
                <c:pt idx="797">
                  <c:v>68.015204999999995</c:v>
                </c:pt>
                <c:pt idx="798">
                  <c:v>67.853286999999995</c:v>
                </c:pt>
                <c:pt idx="799">
                  <c:v>67.480857999999998</c:v>
                </c:pt>
                <c:pt idx="800">
                  <c:v>68.152839999999998</c:v>
                </c:pt>
                <c:pt idx="801">
                  <c:v>69.197243</c:v>
                </c:pt>
                <c:pt idx="802">
                  <c:v>69.861107000000004</c:v>
                </c:pt>
                <c:pt idx="803">
                  <c:v>70.873123000000007</c:v>
                </c:pt>
                <c:pt idx="804">
                  <c:v>70.395447000000004</c:v>
                </c:pt>
                <c:pt idx="805">
                  <c:v>68.225684999999999</c:v>
                </c:pt>
                <c:pt idx="806">
                  <c:v>68.841003000000001</c:v>
                </c:pt>
                <c:pt idx="807">
                  <c:v>67.990921</c:v>
                </c:pt>
                <c:pt idx="808">
                  <c:v>69.051506000000003</c:v>
                </c:pt>
                <c:pt idx="809">
                  <c:v>69.116271999999995</c:v>
                </c:pt>
                <c:pt idx="810">
                  <c:v>68.954338000000007</c:v>
                </c:pt>
                <c:pt idx="811">
                  <c:v>69.715378000000001</c:v>
                </c:pt>
                <c:pt idx="812">
                  <c:v>70.071617000000003</c:v>
                </c:pt>
                <c:pt idx="813">
                  <c:v>70.435928000000004</c:v>
                </c:pt>
                <c:pt idx="814">
                  <c:v>70.444046</c:v>
                </c:pt>
                <c:pt idx="815">
                  <c:v>70.290199000000001</c:v>
                </c:pt>
                <c:pt idx="816">
                  <c:v>69.998756</c:v>
                </c:pt>
                <c:pt idx="817">
                  <c:v>70.873123000000007</c:v>
                </c:pt>
                <c:pt idx="818">
                  <c:v>70.160674999999998</c:v>
                </c:pt>
                <c:pt idx="819">
                  <c:v>69.553459000000004</c:v>
                </c:pt>
                <c:pt idx="820">
                  <c:v>69.262000999999998</c:v>
                </c:pt>
                <c:pt idx="821">
                  <c:v>71.593673999999993</c:v>
                </c:pt>
                <c:pt idx="822">
                  <c:v>71.553200000000004</c:v>
                </c:pt>
                <c:pt idx="823">
                  <c:v>71.787964000000002</c:v>
                </c:pt>
                <c:pt idx="824">
                  <c:v>73.083374000000006</c:v>
                </c:pt>
                <c:pt idx="825">
                  <c:v>72.581406000000001</c:v>
                </c:pt>
                <c:pt idx="826">
                  <c:v>70.686904999999996</c:v>
                </c:pt>
                <c:pt idx="827">
                  <c:v>70.225425999999999</c:v>
                </c:pt>
                <c:pt idx="828">
                  <c:v>70.371161999999998</c:v>
                </c:pt>
                <c:pt idx="829">
                  <c:v>70.290199000000001</c:v>
                </c:pt>
                <c:pt idx="830">
                  <c:v>70.363083000000003</c:v>
                </c:pt>
                <c:pt idx="831">
                  <c:v>71.949905000000001</c:v>
                </c:pt>
                <c:pt idx="832">
                  <c:v>71.690833999999995</c:v>
                </c:pt>
                <c:pt idx="833">
                  <c:v>69.925888</c:v>
                </c:pt>
                <c:pt idx="834">
                  <c:v>69.278198000000003</c:v>
                </c:pt>
                <c:pt idx="835">
                  <c:v>69.772057000000004</c:v>
                </c:pt>
                <c:pt idx="836">
                  <c:v>69.699180999999996</c:v>
                </c:pt>
                <c:pt idx="837">
                  <c:v>69.189125000000004</c:v>
                </c:pt>
                <c:pt idx="838">
                  <c:v>69.245827000000006</c:v>
                </c:pt>
                <c:pt idx="839">
                  <c:v>68.986732000000003</c:v>
                </c:pt>
                <c:pt idx="840">
                  <c:v>67.845191999999997</c:v>
                </c:pt>
                <c:pt idx="841">
                  <c:v>67.019394000000005</c:v>
                </c:pt>
                <c:pt idx="842">
                  <c:v>67.553741000000002</c:v>
                </c:pt>
                <c:pt idx="843">
                  <c:v>66.606482999999997</c:v>
                </c:pt>
                <c:pt idx="844">
                  <c:v>67.658980999999997</c:v>
                </c:pt>
                <c:pt idx="845">
                  <c:v>66.52552</c:v>
                </c:pt>
                <c:pt idx="846">
                  <c:v>66.339309999999998</c:v>
                </c:pt>
                <c:pt idx="847">
                  <c:v>66.970802000000006</c:v>
                </c:pt>
                <c:pt idx="848">
                  <c:v>67.286559999999994</c:v>
                </c:pt>
                <c:pt idx="849">
                  <c:v>67.715652000000006</c:v>
                </c:pt>
                <c:pt idx="850">
                  <c:v>66.566001999999997</c:v>
                </c:pt>
                <c:pt idx="851">
                  <c:v>67.027489000000003</c:v>
                </c:pt>
                <c:pt idx="852">
                  <c:v>67.003203999999997</c:v>
                </c:pt>
                <c:pt idx="853">
                  <c:v>68.549553000000003</c:v>
                </c:pt>
                <c:pt idx="854">
                  <c:v>69.537270000000007</c:v>
                </c:pt>
                <c:pt idx="855">
                  <c:v>68.897682000000003</c:v>
                </c:pt>
                <c:pt idx="856">
                  <c:v>70.419746000000004</c:v>
                </c:pt>
                <c:pt idx="857">
                  <c:v>70.201141000000007</c:v>
                </c:pt>
                <c:pt idx="858">
                  <c:v>69.723479999999995</c:v>
                </c:pt>
                <c:pt idx="859">
                  <c:v>69.270088000000001</c:v>
                </c:pt>
                <c:pt idx="860">
                  <c:v>69.974457000000001</c:v>
                </c:pt>
                <c:pt idx="861">
                  <c:v>71.221252000000007</c:v>
                </c:pt>
                <c:pt idx="862">
                  <c:v>71.480339000000001</c:v>
                </c:pt>
                <c:pt idx="863">
                  <c:v>71.472244000000003</c:v>
                </c:pt>
                <c:pt idx="864">
                  <c:v>70.921700000000001</c:v>
                </c:pt>
                <c:pt idx="865">
                  <c:v>70.816460000000006</c:v>
                </c:pt>
                <c:pt idx="866">
                  <c:v>71.043143999999998</c:v>
                </c:pt>
                <c:pt idx="867">
                  <c:v>71.415565000000001</c:v>
                </c:pt>
                <c:pt idx="868">
                  <c:v>72.111832000000007</c:v>
                </c:pt>
                <c:pt idx="869">
                  <c:v>71.018844999999999</c:v>
                </c:pt>
                <c:pt idx="870">
                  <c:v>70.711196999999999</c:v>
                </c:pt>
                <c:pt idx="871">
                  <c:v>71.504608000000005</c:v>
                </c:pt>
                <c:pt idx="872">
                  <c:v>70.589766999999995</c:v>
                </c:pt>
                <c:pt idx="873">
                  <c:v>71.496528999999995</c:v>
                </c:pt>
                <c:pt idx="874">
                  <c:v>71.917518999999999</c:v>
                </c:pt>
                <c:pt idx="875">
                  <c:v>71.690833999999995</c:v>
                </c:pt>
                <c:pt idx="876">
                  <c:v>70.840751999999995</c:v>
                </c:pt>
                <c:pt idx="877">
                  <c:v>70.873123000000007</c:v>
                </c:pt>
                <c:pt idx="878">
                  <c:v>70.792152000000002</c:v>
                </c:pt>
                <c:pt idx="879">
                  <c:v>71.213165000000004</c:v>
                </c:pt>
                <c:pt idx="880">
                  <c:v>70.282096999999993</c:v>
                </c:pt>
                <c:pt idx="881">
                  <c:v>70.767876000000001</c:v>
                </c:pt>
                <c:pt idx="882">
                  <c:v>72.087547000000001</c:v>
                </c:pt>
                <c:pt idx="883">
                  <c:v>70.314483999999993</c:v>
                </c:pt>
                <c:pt idx="884">
                  <c:v>71.577477000000002</c:v>
                </c:pt>
                <c:pt idx="885">
                  <c:v>70.921700000000001</c:v>
                </c:pt>
                <c:pt idx="886">
                  <c:v>69.861107000000004</c:v>
                </c:pt>
                <c:pt idx="887">
                  <c:v>68.241889999999998</c:v>
                </c:pt>
                <c:pt idx="888">
                  <c:v>70.120177999999996</c:v>
                </c:pt>
                <c:pt idx="889">
                  <c:v>70.921700000000001</c:v>
                </c:pt>
                <c:pt idx="890">
                  <c:v>70.678825000000003</c:v>
                </c:pt>
                <c:pt idx="891">
                  <c:v>71.804192</c:v>
                </c:pt>
                <c:pt idx="892">
                  <c:v>72.047049999999999</c:v>
                </c:pt>
                <c:pt idx="893">
                  <c:v>71.982299999999995</c:v>
                </c:pt>
                <c:pt idx="894">
                  <c:v>72.638069000000002</c:v>
                </c:pt>
                <c:pt idx="895">
                  <c:v>73.544830000000005</c:v>
                </c:pt>
                <c:pt idx="896">
                  <c:v>72.961913999999993</c:v>
                </c:pt>
                <c:pt idx="897">
                  <c:v>73.075264000000004</c:v>
                </c:pt>
                <c:pt idx="898">
                  <c:v>74.249190999999996</c:v>
                </c:pt>
                <c:pt idx="899">
                  <c:v>74.330153999999993</c:v>
                </c:pt>
                <c:pt idx="900">
                  <c:v>75.487899999999996</c:v>
                </c:pt>
                <c:pt idx="901">
                  <c:v>76.216530000000006</c:v>
                </c:pt>
                <c:pt idx="902">
                  <c:v>71.731316000000007</c:v>
                </c:pt>
                <c:pt idx="903">
                  <c:v>74.710655000000003</c:v>
                </c:pt>
                <c:pt idx="904">
                  <c:v>70.978370999999996</c:v>
                </c:pt>
                <c:pt idx="905">
                  <c:v>71.310317999999995</c:v>
                </c:pt>
                <c:pt idx="906">
                  <c:v>70.735480999999993</c:v>
                </c:pt>
                <c:pt idx="907">
                  <c:v>69.950180000000003</c:v>
                </c:pt>
                <c:pt idx="908">
                  <c:v>69.415824999999998</c:v>
                </c:pt>
                <c:pt idx="909">
                  <c:v>69.844916999999995</c:v>
                </c:pt>
                <c:pt idx="910">
                  <c:v>70.856926000000001</c:v>
                </c:pt>
                <c:pt idx="911">
                  <c:v>71.456039000000004</c:v>
                </c:pt>
                <c:pt idx="912">
                  <c:v>75.099281000000005</c:v>
                </c:pt>
                <c:pt idx="913">
                  <c:v>75.074989000000002</c:v>
                </c:pt>
                <c:pt idx="914">
                  <c:v>75.366439999999997</c:v>
                </c:pt>
                <c:pt idx="915">
                  <c:v>75.188354000000004</c:v>
                </c:pt>
                <c:pt idx="916">
                  <c:v>74.532546999999994</c:v>
                </c:pt>
                <c:pt idx="917">
                  <c:v>75.601241999999999</c:v>
                </c:pt>
                <c:pt idx="918">
                  <c:v>74.419212000000002</c:v>
                </c:pt>
                <c:pt idx="919">
                  <c:v>74.322051999999999</c:v>
                </c:pt>
                <c:pt idx="920">
                  <c:v>75.852226000000002</c:v>
                </c:pt>
                <c:pt idx="921">
                  <c:v>76.095093000000006</c:v>
                </c:pt>
                <c:pt idx="922">
                  <c:v>76.540390000000002</c:v>
                </c:pt>
                <c:pt idx="923">
                  <c:v>76.532272000000006</c:v>
                </c:pt>
                <c:pt idx="924">
                  <c:v>76.669906999999995</c:v>
                </c:pt>
                <c:pt idx="925">
                  <c:v>76.200355999999999</c:v>
                </c:pt>
                <c:pt idx="926">
                  <c:v>77.382369999999995</c:v>
                </c:pt>
                <c:pt idx="927">
                  <c:v>78.645354999999995</c:v>
                </c:pt>
                <c:pt idx="928">
                  <c:v>78.515822999999997</c:v>
                </c:pt>
                <c:pt idx="929">
                  <c:v>77.584778</c:v>
                </c:pt>
                <c:pt idx="930">
                  <c:v>77.455246000000002</c:v>
                </c:pt>
                <c:pt idx="931">
                  <c:v>77.932914999999994</c:v>
                </c:pt>
                <c:pt idx="932">
                  <c:v>77.260941000000003</c:v>
                </c:pt>
                <c:pt idx="933">
                  <c:v>77.414771999999999</c:v>
                </c:pt>
                <c:pt idx="934">
                  <c:v>77.139503000000005</c:v>
                </c:pt>
                <c:pt idx="935">
                  <c:v>77.827667000000005</c:v>
                </c:pt>
                <c:pt idx="936">
                  <c:v>77.455246000000002</c:v>
                </c:pt>
                <c:pt idx="937">
                  <c:v>79.422577000000004</c:v>
                </c:pt>
                <c:pt idx="938">
                  <c:v>78.847770999999995</c:v>
                </c:pt>
                <c:pt idx="939">
                  <c:v>79.900276000000005</c:v>
                </c:pt>
                <c:pt idx="940">
                  <c:v>78.896324000000007</c:v>
                </c:pt>
                <c:pt idx="941">
                  <c:v>80.596526999999995</c:v>
                </c:pt>
                <c:pt idx="942">
                  <c:v>80.410315999999995</c:v>
                </c:pt>
                <c:pt idx="943">
                  <c:v>81.074202999999997</c:v>
                </c:pt>
                <c:pt idx="944">
                  <c:v>80.216003000000001</c:v>
                </c:pt>
                <c:pt idx="945">
                  <c:v>80.596526999999995</c:v>
                </c:pt>
                <c:pt idx="946">
                  <c:v>79.017784000000006</c:v>
                </c:pt>
                <c:pt idx="947">
                  <c:v>80.337447999999995</c:v>
                </c:pt>
                <c:pt idx="948">
                  <c:v>79.932640000000006</c:v>
                </c:pt>
                <c:pt idx="949">
                  <c:v>82.450523000000004</c:v>
                </c:pt>
                <c:pt idx="950">
                  <c:v>81.673302000000007</c:v>
                </c:pt>
                <c:pt idx="951">
                  <c:v>81.268478000000002</c:v>
                </c:pt>
                <c:pt idx="952">
                  <c:v>79.527846999999994</c:v>
                </c:pt>
                <c:pt idx="953">
                  <c:v>80.426490999999999</c:v>
                </c:pt>
                <c:pt idx="954">
                  <c:v>78.321517999999998</c:v>
                </c:pt>
                <c:pt idx="955">
                  <c:v>78.993506999999994</c:v>
                </c:pt>
                <c:pt idx="956">
                  <c:v>80.329361000000006</c:v>
                </c:pt>
                <c:pt idx="957">
                  <c:v>80.167434999999998</c:v>
                </c:pt>
                <c:pt idx="958">
                  <c:v>80.683350000000004</c:v>
                </c:pt>
                <c:pt idx="959">
                  <c:v>79.731009999999998</c:v>
                </c:pt>
                <c:pt idx="960">
                  <c:v>79.673034999999999</c:v>
                </c:pt>
                <c:pt idx="961">
                  <c:v>77.950553999999997</c:v>
                </c:pt>
                <c:pt idx="962">
                  <c:v>79.068511999999998</c:v>
                </c:pt>
                <c:pt idx="963">
                  <c:v>79.184455999999997</c:v>
                </c:pt>
                <c:pt idx="964">
                  <c:v>78.579926</c:v>
                </c:pt>
                <c:pt idx="965">
                  <c:v>78.878051999999997</c:v>
                </c:pt>
                <c:pt idx="966">
                  <c:v>79.664764000000005</c:v>
                </c:pt>
                <c:pt idx="967">
                  <c:v>79.333534</c:v>
                </c:pt>
                <c:pt idx="968">
                  <c:v>79.764129999999994</c:v>
                </c:pt>
                <c:pt idx="969">
                  <c:v>80.964896999999993</c:v>
                </c:pt>
                <c:pt idx="970">
                  <c:v>79.714455000000001</c:v>
                </c:pt>
                <c:pt idx="971">
                  <c:v>80.120238999999998</c:v>
                </c:pt>
                <c:pt idx="972">
                  <c:v>80.774428999999998</c:v>
                </c:pt>
                <c:pt idx="973">
                  <c:v>81.561142000000004</c:v>
                </c:pt>
                <c:pt idx="974">
                  <c:v>80.956626999999997</c:v>
                </c:pt>
                <c:pt idx="975">
                  <c:v>80.095389999999995</c:v>
                </c:pt>
                <c:pt idx="976">
                  <c:v>79.805556999999993</c:v>
                </c:pt>
                <c:pt idx="977">
                  <c:v>79.068511999999998</c:v>
                </c:pt>
                <c:pt idx="978">
                  <c:v>79.167891999999995</c:v>
                </c:pt>
                <c:pt idx="979">
                  <c:v>78.894615000000002</c:v>
                </c:pt>
                <c:pt idx="980">
                  <c:v>79.167891999999995</c:v>
                </c:pt>
                <c:pt idx="981">
                  <c:v>79.176169999999999</c:v>
                </c:pt>
                <c:pt idx="982">
                  <c:v>79.325241000000005</c:v>
                </c:pt>
                <c:pt idx="983">
                  <c:v>77.652443000000005</c:v>
                </c:pt>
                <c:pt idx="984">
                  <c:v>78.008521999999999</c:v>
                </c:pt>
                <c:pt idx="985">
                  <c:v>76.120414999999994</c:v>
                </c:pt>
                <c:pt idx="986">
                  <c:v>76.443389999999994</c:v>
                </c:pt>
                <c:pt idx="987">
                  <c:v>76.459961000000007</c:v>
                </c:pt>
                <c:pt idx="988">
                  <c:v>74.969345000000004</c:v>
                </c:pt>
                <c:pt idx="989">
                  <c:v>76.766364999999993</c:v>
                </c:pt>
                <c:pt idx="990">
                  <c:v>78.182441999999995</c:v>
                </c:pt>
                <c:pt idx="991">
                  <c:v>77.611030999999997</c:v>
                </c:pt>
                <c:pt idx="992">
                  <c:v>76.816032000000007</c:v>
                </c:pt>
                <c:pt idx="993">
                  <c:v>76.749793999999994</c:v>
                </c:pt>
                <c:pt idx="994">
                  <c:v>77.238365000000002</c:v>
                </c:pt>
                <c:pt idx="995">
                  <c:v>77.619331000000003</c:v>
                </c:pt>
                <c:pt idx="996">
                  <c:v>78.397743000000006</c:v>
                </c:pt>
                <c:pt idx="997">
                  <c:v>77.544785000000005</c:v>
                </c:pt>
                <c:pt idx="998">
                  <c:v>75.987922999999995</c:v>
                </c:pt>
                <c:pt idx="999">
                  <c:v>72.443603999999993</c:v>
                </c:pt>
                <c:pt idx="1000">
                  <c:v>72.244834999999995</c:v>
                </c:pt>
                <c:pt idx="1001">
                  <c:v>71.747971000000007</c:v>
                </c:pt>
                <c:pt idx="1002">
                  <c:v>71.979836000000006</c:v>
                </c:pt>
                <c:pt idx="1003">
                  <c:v>73.429039000000003</c:v>
                </c:pt>
                <c:pt idx="1004">
                  <c:v>74.563559999999995</c:v>
                </c:pt>
                <c:pt idx="1005">
                  <c:v>74.745750000000001</c:v>
                </c:pt>
                <c:pt idx="1006">
                  <c:v>75.168082999999996</c:v>
                </c:pt>
                <c:pt idx="1007">
                  <c:v>74.025290999999996</c:v>
                </c:pt>
                <c:pt idx="1008">
                  <c:v>72.427009999999996</c:v>
                </c:pt>
                <c:pt idx="1009">
                  <c:v>72.874206999999998</c:v>
                </c:pt>
                <c:pt idx="1010">
                  <c:v>74.248878000000005</c:v>
                </c:pt>
                <c:pt idx="1011">
                  <c:v>74.547011999999995</c:v>
                </c:pt>
                <c:pt idx="1012">
                  <c:v>75.317145999999994</c:v>
                </c:pt>
                <c:pt idx="1013">
                  <c:v>76.956824999999995</c:v>
                </c:pt>
                <c:pt idx="1014">
                  <c:v>75.905128000000005</c:v>
                </c:pt>
                <c:pt idx="1015">
                  <c:v>76.128708000000003</c:v>
                </c:pt>
                <c:pt idx="1016">
                  <c:v>76.029326999999995</c:v>
                </c:pt>
                <c:pt idx="1017">
                  <c:v>75.184653999999995</c:v>
                </c:pt>
                <c:pt idx="1018">
                  <c:v>74.240607999999995</c:v>
                </c:pt>
                <c:pt idx="1019">
                  <c:v>74.058411000000007</c:v>
                </c:pt>
                <c:pt idx="1020">
                  <c:v>73.884499000000005</c:v>
                </c:pt>
                <c:pt idx="1021">
                  <c:v>73.337952000000001</c:v>
                </c:pt>
                <c:pt idx="1022">
                  <c:v>73.975600999999997</c:v>
                </c:pt>
                <c:pt idx="1023">
                  <c:v>73.636070000000004</c:v>
                </c:pt>
                <c:pt idx="1024">
                  <c:v>73.975600999999997</c:v>
                </c:pt>
                <c:pt idx="1025">
                  <c:v>73.528419</c:v>
                </c:pt>
                <c:pt idx="1026">
                  <c:v>74.505591999999993</c:v>
                </c:pt>
                <c:pt idx="1027">
                  <c:v>79.258979999999994</c:v>
                </c:pt>
                <c:pt idx="1028">
                  <c:v>81.105682000000002</c:v>
                </c:pt>
                <c:pt idx="1029">
                  <c:v>81.279594000000003</c:v>
                </c:pt>
                <c:pt idx="1030">
                  <c:v>81.370688999999999</c:v>
                </c:pt>
                <c:pt idx="1031">
                  <c:v>81.503165999999993</c:v>
                </c:pt>
                <c:pt idx="1032">
                  <c:v>82.000052999999994</c:v>
                </c:pt>
                <c:pt idx="1033">
                  <c:v>83.647994999999995</c:v>
                </c:pt>
                <c:pt idx="1034">
                  <c:v>82.248474000000002</c:v>
                </c:pt>
                <c:pt idx="1035">
                  <c:v>82.836433</c:v>
                </c:pt>
                <c:pt idx="1036">
                  <c:v>82.993790000000004</c:v>
                </c:pt>
                <c:pt idx="1037">
                  <c:v>81.942085000000006</c:v>
                </c:pt>
                <c:pt idx="1038">
                  <c:v>81.221633999999995</c:v>
                </c:pt>
                <c:pt idx="1039">
                  <c:v>80.848975999999993</c:v>
                </c:pt>
                <c:pt idx="1040">
                  <c:v>80.335541000000006</c:v>
                </c:pt>
                <c:pt idx="1041">
                  <c:v>79.913184999999999</c:v>
                </c:pt>
                <c:pt idx="1042">
                  <c:v>79.697890999999998</c:v>
                </c:pt>
                <c:pt idx="1043">
                  <c:v>79.904921999999999</c:v>
                </c:pt>
                <c:pt idx="1044">
                  <c:v>80.625373999999994</c:v>
                </c:pt>
                <c:pt idx="1045">
                  <c:v>80.203040999999999</c:v>
                </c:pt>
                <c:pt idx="1046">
                  <c:v>78.538512999999995</c:v>
                </c:pt>
                <c:pt idx="1047">
                  <c:v>77.842895999999996</c:v>
                </c:pt>
                <c:pt idx="1048">
                  <c:v>77.801475999999994</c:v>
                </c:pt>
                <c:pt idx="1049">
                  <c:v>77.304642000000001</c:v>
                </c:pt>
                <c:pt idx="1050">
                  <c:v>78.538512999999995</c:v>
                </c:pt>
                <c:pt idx="1051">
                  <c:v>79.101653999999996</c:v>
                </c:pt>
                <c:pt idx="1052">
                  <c:v>78.447425999999993</c:v>
                </c:pt>
                <c:pt idx="1053">
                  <c:v>79.308661999999998</c:v>
                </c:pt>
                <c:pt idx="1054">
                  <c:v>79.217574999999997</c:v>
                </c:pt>
                <c:pt idx="1055">
                  <c:v>79.830405999999996</c:v>
                </c:pt>
                <c:pt idx="1056">
                  <c:v>80.865523999999994</c:v>
                </c:pt>
                <c:pt idx="1057">
                  <c:v>80.161629000000005</c:v>
                </c:pt>
                <c:pt idx="1058">
                  <c:v>81.436927999999995</c:v>
                </c:pt>
                <c:pt idx="1059">
                  <c:v>82.546608000000006</c:v>
                </c:pt>
                <c:pt idx="1060">
                  <c:v>82.530051999999998</c:v>
                </c:pt>
                <c:pt idx="1061">
                  <c:v>84.823914000000002</c:v>
                </c:pt>
                <c:pt idx="1062">
                  <c:v>84.939864999999998</c:v>
                </c:pt>
                <c:pt idx="1063">
                  <c:v>83.275351999999998</c:v>
                </c:pt>
                <c:pt idx="1064">
                  <c:v>82.438957000000002</c:v>
                </c:pt>
                <c:pt idx="1065">
                  <c:v>82.074584999999999</c:v>
                </c:pt>
                <c:pt idx="1066">
                  <c:v>82.364425999999995</c:v>
                </c:pt>
                <c:pt idx="1067">
                  <c:v>82.985504000000006</c:v>
                </c:pt>
                <c:pt idx="1068">
                  <c:v>82.488617000000005</c:v>
                </c:pt>
                <c:pt idx="1069">
                  <c:v>82.149101000000002</c:v>
                </c:pt>
                <c:pt idx="1070">
                  <c:v>81.726768000000007</c:v>
                </c:pt>
                <c:pt idx="1071">
                  <c:v>81.470039</c:v>
                </c:pt>
                <c:pt idx="1072">
                  <c:v>81.320992000000004</c:v>
                </c:pt>
                <c:pt idx="1073">
                  <c:v>81.950362999999996</c:v>
                </c:pt>
                <c:pt idx="1074">
                  <c:v>80.923491999999996</c:v>
                </c:pt>
                <c:pt idx="1075">
                  <c:v>80.128501999999997</c:v>
                </c:pt>
                <c:pt idx="1076">
                  <c:v>79.366646000000003</c:v>
                </c:pt>
                <c:pt idx="1077">
                  <c:v>80.691635000000005</c:v>
                </c:pt>
                <c:pt idx="1078">
                  <c:v>81.494895999999997</c:v>
                </c:pt>
                <c:pt idx="1079">
                  <c:v>81.793014999999997</c:v>
                </c:pt>
                <c:pt idx="1080">
                  <c:v>81.213341</c:v>
                </c:pt>
                <c:pt idx="1081">
                  <c:v>81.867546000000004</c:v>
                </c:pt>
                <c:pt idx="1082">
                  <c:v>83.639724999999999</c:v>
                </c:pt>
                <c:pt idx="1083">
                  <c:v>85.047516000000002</c:v>
                </c:pt>
                <c:pt idx="1084">
                  <c:v>84.989540000000005</c:v>
                </c:pt>
                <c:pt idx="1085">
                  <c:v>85.867339999999999</c:v>
                </c:pt>
                <c:pt idx="1086">
                  <c:v>85.345641999999998</c:v>
                </c:pt>
                <c:pt idx="1087">
                  <c:v>85.445007000000004</c:v>
                </c:pt>
                <c:pt idx="1088">
                  <c:v>86.712020999999993</c:v>
                </c:pt>
                <c:pt idx="1089">
                  <c:v>86.355934000000005</c:v>
                </c:pt>
                <c:pt idx="1090">
                  <c:v>86.405624000000003</c:v>
                </c:pt>
                <c:pt idx="1091">
                  <c:v>85.494704999999996</c:v>
                </c:pt>
                <c:pt idx="1092">
                  <c:v>85.900481999999997</c:v>
                </c:pt>
                <c:pt idx="1093">
                  <c:v>84.948134999999994</c:v>
                </c:pt>
                <c:pt idx="1094">
                  <c:v>84.774246000000005</c:v>
                </c:pt>
                <c:pt idx="1095">
                  <c:v>84.674858</c:v>
                </c:pt>
                <c:pt idx="1096">
                  <c:v>85.958443000000003</c:v>
                </c:pt>
                <c:pt idx="1097">
                  <c:v>84.744827000000001</c:v>
                </c:pt>
                <c:pt idx="1098">
                  <c:v>85.804862999999997</c:v>
                </c:pt>
                <c:pt idx="1099">
                  <c:v>87.098618000000002</c:v>
                </c:pt>
                <c:pt idx="1100">
                  <c:v>86.681267000000005</c:v>
                </c:pt>
                <c:pt idx="1101">
                  <c:v>86.606155000000001</c:v>
                </c:pt>
                <c:pt idx="1102">
                  <c:v>87.399094000000005</c:v>
                </c:pt>
                <c:pt idx="1103">
                  <c:v>87.323966999999996</c:v>
                </c:pt>
                <c:pt idx="1104">
                  <c:v>87.499260000000007</c:v>
                </c:pt>
                <c:pt idx="1105">
                  <c:v>87.215468999999999</c:v>
                </c:pt>
                <c:pt idx="1106">
                  <c:v>86.422531000000006</c:v>
                </c:pt>
                <c:pt idx="1107">
                  <c:v>86.430869999999999</c:v>
                </c:pt>
                <c:pt idx="1108">
                  <c:v>86.272278</c:v>
                </c:pt>
                <c:pt idx="1109">
                  <c:v>85.471001000000001</c:v>
                </c:pt>
                <c:pt idx="1110">
                  <c:v>85.738097999999994</c:v>
                </c:pt>
                <c:pt idx="1111">
                  <c:v>85.738097999999994</c:v>
                </c:pt>
                <c:pt idx="1112">
                  <c:v>85.228927999999996</c:v>
                </c:pt>
                <c:pt idx="1113">
                  <c:v>85.203896</c:v>
                </c:pt>
                <c:pt idx="1114">
                  <c:v>84.920096999999998</c:v>
                </c:pt>
                <c:pt idx="1115">
                  <c:v>84.71978</c:v>
                </c:pt>
                <c:pt idx="1116">
                  <c:v>84.068741000000003</c:v>
                </c:pt>
                <c:pt idx="1117">
                  <c:v>85.662964000000002</c:v>
                </c:pt>
                <c:pt idx="1118">
                  <c:v>85.546104</c:v>
                </c:pt>
                <c:pt idx="1119">
                  <c:v>85.195541000000006</c:v>
                </c:pt>
                <c:pt idx="1120">
                  <c:v>84.644660999999999</c:v>
                </c:pt>
                <c:pt idx="1121">
                  <c:v>83.826674999999994</c:v>
                </c:pt>
                <c:pt idx="1122">
                  <c:v>83.643051</c:v>
                </c:pt>
                <c:pt idx="1123">
                  <c:v>85.220580999999996</c:v>
                </c:pt>
                <c:pt idx="1124">
                  <c:v>84.711449000000002</c:v>
                </c:pt>
                <c:pt idx="1125">
                  <c:v>86.297318000000004</c:v>
                </c:pt>
                <c:pt idx="1126">
                  <c:v>86.122039999999998</c:v>
                </c:pt>
                <c:pt idx="1127">
                  <c:v>86.280631999999997</c:v>
                </c:pt>
                <c:pt idx="1128">
                  <c:v>86.522675000000007</c:v>
                </c:pt>
                <c:pt idx="1129">
                  <c:v>86.597801000000004</c:v>
                </c:pt>
                <c:pt idx="1130">
                  <c:v>87.691222999999994</c:v>
                </c:pt>
                <c:pt idx="1131">
                  <c:v>88.509224000000003</c:v>
                </c:pt>
                <c:pt idx="1132">
                  <c:v>87.941642999999999</c:v>
                </c:pt>
                <c:pt idx="1133">
                  <c:v>88.859779000000003</c:v>
                </c:pt>
                <c:pt idx="1134">
                  <c:v>86.430869999999999</c:v>
                </c:pt>
                <c:pt idx="1135">
                  <c:v>86.589455000000001</c:v>
                </c:pt>
                <c:pt idx="1136">
                  <c:v>85.587845000000002</c:v>
                </c:pt>
                <c:pt idx="1137">
                  <c:v>87.207115000000002</c:v>
                </c:pt>
                <c:pt idx="1138">
                  <c:v>87.582725999999994</c:v>
                </c:pt>
                <c:pt idx="1139">
                  <c:v>87.582725999999994</c:v>
                </c:pt>
                <c:pt idx="1140">
                  <c:v>87.808075000000002</c:v>
                </c:pt>
                <c:pt idx="1141">
                  <c:v>85.579491000000004</c:v>
                </c:pt>
                <c:pt idx="1142">
                  <c:v>85.913368000000006</c:v>
                </c:pt>
                <c:pt idx="1143">
                  <c:v>86.063614000000001</c:v>
                </c:pt>
                <c:pt idx="1144">
                  <c:v>86.347397000000001</c:v>
                </c:pt>
                <c:pt idx="1145">
                  <c:v>84.694739999999996</c:v>
                </c:pt>
                <c:pt idx="1146">
                  <c:v>86.597801000000004</c:v>
                </c:pt>
                <c:pt idx="1147">
                  <c:v>86.439209000000005</c:v>
                </c:pt>
                <c:pt idx="1148">
                  <c:v>85.487679</c:v>
                </c:pt>
                <c:pt idx="1149">
                  <c:v>81.840148999999997</c:v>
                </c:pt>
                <c:pt idx="1150">
                  <c:v>81.990395000000007</c:v>
                </c:pt>
                <c:pt idx="1151">
                  <c:v>82.282523999999995</c:v>
                </c:pt>
                <c:pt idx="1152">
                  <c:v>80.730018999999999</c:v>
                </c:pt>
                <c:pt idx="1153">
                  <c:v>80.621505999999997</c:v>
                </c:pt>
                <c:pt idx="1154">
                  <c:v>80.037231000000006</c:v>
                </c:pt>
                <c:pt idx="1155">
                  <c:v>78.718451999999999</c:v>
                </c:pt>
                <c:pt idx="1156">
                  <c:v>78.676720000000003</c:v>
                </c:pt>
                <c:pt idx="1157">
                  <c:v>78.601601000000002</c:v>
                </c:pt>
                <c:pt idx="1158">
                  <c:v>80.354423999999995</c:v>
                </c:pt>
                <c:pt idx="1159">
                  <c:v>81.305946000000006</c:v>
                </c:pt>
                <c:pt idx="1160">
                  <c:v>81.422805999999994</c:v>
                </c:pt>
                <c:pt idx="1161">
                  <c:v>83.108849000000006</c:v>
                </c:pt>
                <c:pt idx="1162">
                  <c:v>83.200660999999997</c:v>
                </c:pt>
                <c:pt idx="1163">
                  <c:v>83.676437000000007</c:v>
                </c:pt>
                <c:pt idx="1164">
                  <c:v>84.811606999999995</c:v>
                </c:pt>
                <c:pt idx="1165">
                  <c:v>84.152191000000002</c:v>
                </c:pt>
                <c:pt idx="1166">
                  <c:v>84.602936</c:v>
                </c:pt>
                <c:pt idx="1167">
                  <c:v>84.577888000000002</c:v>
                </c:pt>
                <c:pt idx="1168">
                  <c:v>84.703102000000001</c:v>
                </c:pt>
                <c:pt idx="1169">
                  <c:v>86.097008000000002</c:v>
                </c:pt>
                <c:pt idx="1170">
                  <c:v>85.279015000000001</c:v>
                </c:pt>
                <c:pt idx="1171">
                  <c:v>86.597801000000004</c:v>
                </c:pt>
                <c:pt idx="1172">
                  <c:v>86.798125999999996</c:v>
                </c:pt>
                <c:pt idx="1173">
                  <c:v>87.315635999999998</c:v>
                </c:pt>
                <c:pt idx="1174">
                  <c:v>85.237281999999993</c:v>
                </c:pt>
                <c:pt idx="1175">
                  <c:v>86.606155000000001</c:v>
                </c:pt>
                <c:pt idx="1176">
                  <c:v>86.389137000000005</c:v>
                </c:pt>
                <c:pt idx="1177">
                  <c:v>87.232146999999998</c:v>
                </c:pt>
                <c:pt idx="1178">
                  <c:v>86.297318000000004</c:v>
                </c:pt>
                <c:pt idx="1179">
                  <c:v>86.197158999999999</c:v>
                </c:pt>
                <c:pt idx="1180">
                  <c:v>86.030227999999994</c:v>
                </c:pt>
                <c:pt idx="1181">
                  <c:v>85.270668000000001</c:v>
                </c:pt>
                <c:pt idx="1182">
                  <c:v>84.102126999999996</c:v>
                </c:pt>
                <c:pt idx="1183">
                  <c:v>83.300835000000006</c:v>
                </c:pt>
                <c:pt idx="1184">
                  <c:v>83.910133000000002</c:v>
                </c:pt>
                <c:pt idx="1185">
                  <c:v>85.053650000000005</c:v>
                </c:pt>
                <c:pt idx="1186">
                  <c:v>83.526206999999999</c:v>
                </c:pt>
                <c:pt idx="1187">
                  <c:v>83.910133000000002</c:v>
                </c:pt>
                <c:pt idx="1188">
                  <c:v>85.087035999999998</c:v>
                </c:pt>
                <c:pt idx="1189">
                  <c:v>84.71978</c:v>
                </c:pt>
                <c:pt idx="1190">
                  <c:v>85.905022000000002</c:v>
                </c:pt>
                <c:pt idx="1191">
                  <c:v>86.030227999999994</c:v>
                </c:pt>
                <c:pt idx="1192">
                  <c:v>87.015144000000006</c:v>
                </c:pt>
                <c:pt idx="1193">
                  <c:v>88.317238000000003</c:v>
                </c:pt>
                <c:pt idx="1194">
                  <c:v>87.891548</c:v>
                </c:pt>
                <c:pt idx="1195">
                  <c:v>88.968269000000006</c:v>
                </c:pt>
                <c:pt idx="1196">
                  <c:v>89.260436999999996</c:v>
                </c:pt>
                <c:pt idx="1197">
                  <c:v>89.368942000000004</c:v>
                </c:pt>
                <c:pt idx="1198">
                  <c:v>89.001671000000002</c:v>
                </c:pt>
                <c:pt idx="1199">
                  <c:v>88.225425999999999</c:v>
                </c:pt>
                <c:pt idx="1200">
                  <c:v>88.550949000000003</c:v>
                </c:pt>
                <c:pt idx="1201">
                  <c:v>89.786277999999996</c:v>
                </c:pt>
                <c:pt idx="1202">
                  <c:v>88.083527000000004</c:v>
                </c:pt>
                <c:pt idx="1203">
                  <c:v>88.141959999999997</c:v>
                </c:pt>
                <c:pt idx="1204">
                  <c:v>90.337165999999996</c:v>
                </c:pt>
                <c:pt idx="1205">
                  <c:v>90.337165999999996</c:v>
                </c:pt>
                <c:pt idx="1206">
                  <c:v>90.946479999999994</c:v>
                </c:pt>
                <c:pt idx="1207">
                  <c:v>91.146789999999996</c:v>
                </c:pt>
                <c:pt idx="1208">
                  <c:v>90.904731999999996</c:v>
                </c:pt>
                <c:pt idx="1209">
                  <c:v>91.580817999999994</c:v>
                </c:pt>
                <c:pt idx="1210">
                  <c:v>90.479056999999997</c:v>
                </c:pt>
                <c:pt idx="1211">
                  <c:v>91.096717999999996</c:v>
                </c:pt>
                <c:pt idx="1212">
                  <c:v>91.063323999999994</c:v>
                </c:pt>
                <c:pt idx="1213">
                  <c:v>91.973129</c:v>
                </c:pt>
                <c:pt idx="1214">
                  <c:v>92.732674000000003</c:v>
                </c:pt>
                <c:pt idx="1215">
                  <c:v>89.944748000000004</c:v>
                </c:pt>
                <c:pt idx="1216">
                  <c:v>90.684235000000001</c:v>
                </c:pt>
                <c:pt idx="1217">
                  <c:v>90.318747999999999</c:v>
                </c:pt>
                <c:pt idx="1218">
                  <c:v>91.270729000000003</c:v>
                </c:pt>
                <c:pt idx="1219">
                  <c:v>90.488747000000004</c:v>
                </c:pt>
                <c:pt idx="1220">
                  <c:v>92.069694999999996</c:v>
                </c:pt>
                <c:pt idx="1221">
                  <c:v>92.826187000000004</c:v>
                </c:pt>
                <c:pt idx="1222">
                  <c:v>92.647689999999997</c:v>
                </c:pt>
                <c:pt idx="1223">
                  <c:v>93.472160000000002</c:v>
                </c:pt>
                <c:pt idx="1224">
                  <c:v>93.446663000000001</c:v>
                </c:pt>
                <c:pt idx="1225">
                  <c:v>92.766684999999995</c:v>
                </c:pt>
                <c:pt idx="1226">
                  <c:v>92.086699999999993</c:v>
                </c:pt>
                <c:pt idx="1227">
                  <c:v>94.220146</c:v>
                </c:pt>
                <c:pt idx="1228">
                  <c:v>93.684669</c:v>
                </c:pt>
                <c:pt idx="1229">
                  <c:v>93.676154999999994</c:v>
                </c:pt>
                <c:pt idx="1230">
                  <c:v>94.135161999999994</c:v>
                </c:pt>
                <c:pt idx="1231">
                  <c:v>93.922661000000005</c:v>
                </c:pt>
                <c:pt idx="1232">
                  <c:v>93.540169000000006</c:v>
                </c:pt>
                <c:pt idx="1233">
                  <c:v>94.322136</c:v>
                </c:pt>
                <c:pt idx="1234">
                  <c:v>93.438170999999997</c:v>
                </c:pt>
                <c:pt idx="1235">
                  <c:v>93.523162999999997</c:v>
                </c:pt>
                <c:pt idx="1236">
                  <c:v>93.429657000000006</c:v>
                </c:pt>
                <c:pt idx="1237">
                  <c:v>93.200187999999997</c:v>
                </c:pt>
                <c:pt idx="1238">
                  <c:v>93.421165000000002</c:v>
                </c:pt>
                <c:pt idx="1239">
                  <c:v>93.625145000000003</c:v>
                </c:pt>
                <c:pt idx="1240">
                  <c:v>93.846153000000001</c:v>
                </c:pt>
                <c:pt idx="1241">
                  <c:v>94.424149</c:v>
                </c:pt>
                <c:pt idx="1242">
                  <c:v>94.271156000000005</c:v>
                </c:pt>
                <c:pt idx="1243">
                  <c:v>96.957069000000004</c:v>
                </c:pt>
                <c:pt idx="1244">
                  <c:v>95.979598999999993</c:v>
                </c:pt>
                <c:pt idx="1245">
                  <c:v>95.061615000000003</c:v>
                </c:pt>
                <c:pt idx="1246">
                  <c:v>94.432631999999998</c:v>
                </c:pt>
                <c:pt idx="1247">
                  <c:v>94.840630000000004</c:v>
                </c:pt>
                <c:pt idx="1248">
                  <c:v>95.291122000000001</c:v>
                </c:pt>
                <c:pt idx="1249">
                  <c:v>96.328093999999993</c:v>
                </c:pt>
                <c:pt idx="1250">
                  <c:v>97.535072</c:v>
                </c:pt>
                <c:pt idx="1251">
                  <c:v>98.742042999999995</c:v>
                </c:pt>
                <c:pt idx="1252">
                  <c:v>98.16404</c:v>
                </c:pt>
                <c:pt idx="1253">
                  <c:v>97.807060000000007</c:v>
                </c:pt>
                <c:pt idx="1254">
                  <c:v>98.155563000000001</c:v>
                </c:pt>
                <c:pt idx="1255">
                  <c:v>96.991080999999994</c:v>
                </c:pt>
                <c:pt idx="1256">
                  <c:v>97.637062</c:v>
                </c:pt>
                <c:pt idx="1257">
                  <c:v>97.696556000000001</c:v>
                </c:pt>
                <c:pt idx="1258">
                  <c:v>97.560569999999998</c:v>
                </c:pt>
                <c:pt idx="1259">
                  <c:v>97.178070000000005</c:v>
                </c:pt>
                <c:pt idx="1260">
                  <c:v>98.300040999999993</c:v>
                </c:pt>
                <c:pt idx="1261">
                  <c:v>97.832565000000002</c:v>
                </c:pt>
                <c:pt idx="1262">
                  <c:v>97.110077000000004</c:v>
                </c:pt>
                <c:pt idx="1263">
                  <c:v>97.535072</c:v>
                </c:pt>
                <c:pt idx="1264">
                  <c:v>96.421593000000001</c:v>
                </c:pt>
                <c:pt idx="1265">
                  <c:v>96.098595000000003</c:v>
                </c:pt>
                <c:pt idx="1266">
                  <c:v>96.294105999999999</c:v>
                </c:pt>
                <c:pt idx="1267">
                  <c:v>95.758613999999994</c:v>
                </c:pt>
                <c:pt idx="1268">
                  <c:v>95.801108999999997</c:v>
                </c:pt>
                <c:pt idx="1269">
                  <c:v>94.254142999999999</c:v>
                </c:pt>
                <c:pt idx="1270">
                  <c:v>95.750107</c:v>
                </c:pt>
                <c:pt idx="1271">
                  <c:v>95.061615000000003</c:v>
                </c:pt>
                <c:pt idx="1272">
                  <c:v>95.894608000000005</c:v>
                </c:pt>
                <c:pt idx="1273">
                  <c:v>95.920105000000007</c:v>
                </c:pt>
                <c:pt idx="1274">
                  <c:v>96.056099000000003</c:v>
                </c:pt>
                <c:pt idx="1275">
                  <c:v>94.245643999999999</c:v>
                </c:pt>
                <c:pt idx="1276">
                  <c:v>93.319175999999999</c:v>
                </c:pt>
                <c:pt idx="1277">
                  <c:v>93.234183999999999</c:v>
                </c:pt>
                <c:pt idx="1278">
                  <c:v>93.225662</c:v>
                </c:pt>
                <c:pt idx="1279">
                  <c:v>91.780700999999993</c:v>
                </c:pt>
                <c:pt idx="1280">
                  <c:v>90.981735</c:v>
                </c:pt>
                <c:pt idx="1281">
                  <c:v>92.231200999999999</c:v>
                </c:pt>
                <c:pt idx="1282">
                  <c:v>91.627716000000007</c:v>
                </c:pt>
                <c:pt idx="1283">
                  <c:v>91.704207999999994</c:v>
                </c:pt>
                <c:pt idx="1284">
                  <c:v>90.769226000000003</c:v>
                </c:pt>
                <c:pt idx="1285">
                  <c:v>91.525718999999995</c:v>
                </c:pt>
                <c:pt idx="1286">
                  <c:v>92.197204999999997</c:v>
                </c:pt>
                <c:pt idx="1287">
                  <c:v>92.078201000000007</c:v>
                </c:pt>
                <c:pt idx="1288">
                  <c:v>91.865714999999994</c:v>
                </c:pt>
                <c:pt idx="1289">
                  <c:v>92.962188999999995</c:v>
                </c:pt>
                <c:pt idx="1290">
                  <c:v>93.565665999999993</c:v>
                </c:pt>
                <c:pt idx="1291">
                  <c:v>94.118140999999994</c:v>
                </c:pt>
                <c:pt idx="1292">
                  <c:v>94.466628999999998</c:v>
                </c:pt>
                <c:pt idx="1293">
                  <c:v>93.812156999999999</c:v>
                </c:pt>
                <c:pt idx="1294">
                  <c:v>94.466628999999998</c:v>
                </c:pt>
                <c:pt idx="1295">
                  <c:v>93.616669000000002</c:v>
                </c:pt>
                <c:pt idx="1296">
                  <c:v>94.942618999999993</c:v>
                </c:pt>
                <c:pt idx="1297">
                  <c:v>95.206130999999999</c:v>
                </c:pt>
                <c:pt idx="1298">
                  <c:v>95.129608000000005</c:v>
                </c:pt>
                <c:pt idx="1299">
                  <c:v>94.585648000000006</c:v>
                </c:pt>
                <c:pt idx="1300">
                  <c:v>95.010627999999997</c:v>
                </c:pt>
                <c:pt idx="1301">
                  <c:v>94.602645999999993</c:v>
                </c:pt>
                <c:pt idx="1302">
                  <c:v>95.546120000000002</c:v>
                </c:pt>
                <c:pt idx="1303">
                  <c:v>96.404594000000003</c:v>
                </c:pt>
                <c:pt idx="1304">
                  <c:v>96.090096000000003</c:v>
                </c:pt>
                <c:pt idx="1305">
                  <c:v>94.730132999999995</c:v>
                </c:pt>
                <c:pt idx="1306">
                  <c:v>94.755645999999999</c:v>
                </c:pt>
                <c:pt idx="1307">
                  <c:v>94.951133999999996</c:v>
                </c:pt>
                <c:pt idx="1308">
                  <c:v>95.291122000000001</c:v>
                </c:pt>
                <c:pt idx="1309">
                  <c:v>94.305153000000004</c:v>
                </c:pt>
                <c:pt idx="1310">
                  <c:v>97.280083000000005</c:v>
                </c:pt>
                <c:pt idx="1311">
                  <c:v>97.288573999999997</c:v>
                </c:pt>
                <c:pt idx="1312">
                  <c:v>96.268592999999996</c:v>
                </c:pt>
                <c:pt idx="1313">
                  <c:v>97.501068000000004</c:v>
                </c:pt>
                <c:pt idx="1314">
                  <c:v>97.586051999999995</c:v>
                </c:pt>
                <c:pt idx="1315">
                  <c:v>97.373572999999993</c:v>
                </c:pt>
                <c:pt idx="1316">
                  <c:v>96.897582999999997</c:v>
                </c:pt>
                <c:pt idx="1317">
                  <c:v>97.144073000000006</c:v>
                </c:pt>
                <c:pt idx="1318">
                  <c:v>95.648109000000005</c:v>
                </c:pt>
                <c:pt idx="1319">
                  <c:v>95.214614999999995</c:v>
                </c:pt>
                <c:pt idx="1320">
                  <c:v>94.084145000000007</c:v>
                </c:pt>
                <c:pt idx="1321">
                  <c:v>94.220146</c:v>
                </c:pt>
                <c:pt idx="1322">
                  <c:v>91.585220000000007</c:v>
                </c:pt>
                <c:pt idx="1323">
                  <c:v>90.896743999999998</c:v>
                </c:pt>
                <c:pt idx="1324">
                  <c:v>91.330214999999995</c:v>
                </c:pt>
                <c:pt idx="1325">
                  <c:v>92.154694000000006</c:v>
                </c:pt>
                <c:pt idx="1326">
                  <c:v>89.553771999999995</c:v>
                </c:pt>
                <c:pt idx="1327">
                  <c:v>90.565239000000005</c:v>
                </c:pt>
                <c:pt idx="1328">
                  <c:v>89.264770999999996</c:v>
                </c:pt>
                <c:pt idx="1329">
                  <c:v>90.318747999999999</c:v>
                </c:pt>
                <c:pt idx="1330">
                  <c:v>90.123238000000001</c:v>
                </c:pt>
                <c:pt idx="1331">
                  <c:v>89.953254999999999</c:v>
                </c:pt>
                <c:pt idx="1332">
                  <c:v>89.706749000000002</c:v>
                </c:pt>
                <c:pt idx="1333">
                  <c:v>88.270294000000007</c:v>
                </c:pt>
                <c:pt idx="1334">
                  <c:v>90.480225000000004</c:v>
                </c:pt>
                <c:pt idx="1335">
                  <c:v>91.015732</c:v>
                </c:pt>
                <c:pt idx="1336">
                  <c:v>91.993210000000005</c:v>
                </c:pt>
                <c:pt idx="1337">
                  <c:v>90.939223999999996</c:v>
                </c:pt>
                <c:pt idx="1338">
                  <c:v>91.585220000000007</c:v>
                </c:pt>
                <c:pt idx="1339">
                  <c:v>92.435187999999997</c:v>
                </c:pt>
                <c:pt idx="1340">
                  <c:v>91.797698999999994</c:v>
                </c:pt>
                <c:pt idx="1341">
                  <c:v>93.659156999999993</c:v>
                </c:pt>
                <c:pt idx="1342">
                  <c:v>93.429657000000006</c:v>
                </c:pt>
                <c:pt idx="1343">
                  <c:v>93.506157000000002</c:v>
                </c:pt>
                <c:pt idx="1344">
                  <c:v>94.330658</c:v>
                </c:pt>
                <c:pt idx="1345">
                  <c:v>93.115181000000007</c:v>
                </c:pt>
                <c:pt idx="1346">
                  <c:v>92.987685999999997</c:v>
                </c:pt>
                <c:pt idx="1347">
                  <c:v>93.412659000000005</c:v>
                </c:pt>
                <c:pt idx="1348">
                  <c:v>93.286285000000007</c:v>
                </c:pt>
                <c:pt idx="1349">
                  <c:v>93.148712000000003</c:v>
                </c:pt>
                <c:pt idx="1350">
                  <c:v>94.163253999999995</c:v>
                </c:pt>
                <c:pt idx="1351">
                  <c:v>94.919876000000002</c:v>
                </c:pt>
                <c:pt idx="1352">
                  <c:v>93.965514999999996</c:v>
                </c:pt>
                <c:pt idx="1353">
                  <c:v>95.263779</c:v>
                </c:pt>
                <c:pt idx="1354">
                  <c:v>95.237976000000003</c:v>
                </c:pt>
                <c:pt idx="1355">
                  <c:v>95.194999999999993</c:v>
                </c:pt>
                <c:pt idx="1356">
                  <c:v>95.839827999999997</c:v>
                </c:pt>
                <c:pt idx="1357">
                  <c:v>96.467467999999997</c:v>
                </c:pt>
                <c:pt idx="1358">
                  <c:v>97.009124999999997</c:v>
                </c:pt>
                <c:pt idx="1359">
                  <c:v>98.479370000000003</c:v>
                </c:pt>
                <c:pt idx="1360">
                  <c:v>99.141396</c:v>
                </c:pt>
                <c:pt idx="1361">
                  <c:v>98.943641999999997</c:v>
                </c:pt>
                <c:pt idx="1362">
                  <c:v>98.995247000000006</c:v>
                </c:pt>
                <c:pt idx="1363">
                  <c:v>100.585823</c:v>
                </c:pt>
                <c:pt idx="1364">
                  <c:v>99.863608999999997</c:v>
                </c:pt>
                <c:pt idx="1365">
                  <c:v>98.788887000000003</c:v>
                </c:pt>
                <c:pt idx="1366">
                  <c:v>98.401993000000004</c:v>
                </c:pt>
                <c:pt idx="1367">
                  <c:v>98.135459999999995</c:v>
                </c:pt>
                <c:pt idx="1368">
                  <c:v>99.734641999999994</c:v>
                </c:pt>
                <c:pt idx="1369">
                  <c:v>98.943641999999997</c:v>
                </c:pt>
                <c:pt idx="1370">
                  <c:v>97.705558999999994</c:v>
                </c:pt>
                <c:pt idx="1371">
                  <c:v>97.439025999999998</c:v>
                </c:pt>
                <c:pt idx="1372">
                  <c:v>96.888762999999997</c:v>
                </c:pt>
                <c:pt idx="1373">
                  <c:v>94.859679999999997</c:v>
                </c:pt>
                <c:pt idx="1374">
                  <c:v>93.888130000000004</c:v>
                </c:pt>
                <c:pt idx="1375">
                  <c:v>93.655991</c:v>
                </c:pt>
                <c:pt idx="1376">
                  <c:v>94.773712000000003</c:v>
                </c:pt>
                <c:pt idx="1377">
                  <c:v>98.565337999999997</c:v>
                </c:pt>
                <c:pt idx="1378">
                  <c:v>98.247223000000005</c:v>
                </c:pt>
                <c:pt idx="1379">
                  <c:v>98.462173000000007</c:v>
                </c:pt>
                <c:pt idx="1380">
                  <c:v>99.235969999999995</c:v>
                </c:pt>
                <c:pt idx="1381">
                  <c:v>99.313361999999998</c:v>
                </c:pt>
                <c:pt idx="1382">
                  <c:v>99.141396</c:v>
                </c:pt>
                <c:pt idx="1383">
                  <c:v>98.728699000000006</c:v>
                </c:pt>
                <c:pt idx="1384">
                  <c:v>97.155296000000007</c:v>
                </c:pt>
                <c:pt idx="1385">
                  <c:v>96.570656</c:v>
                </c:pt>
                <c:pt idx="1386">
                  <c:v>96.071976000000006</c:v>
                </c:pt>
                <c:pt idx="1387">
                  <c:v>92.933762000000002</c:v>
                </c:pt>
                <c:pt idx="1388">
                  <c:v>92.727417000000003</c:v>
                </c:pt>
                <c:pt idx="1389">
                  <c:v>94.077270999999996</c:v>
                </c:pt>
                <c:pt idx="1390">
                  <c:v>97.052124000000006</c:v>
                </c:pt>
                <c:pt idx="1391">
                  <c:v>96.269722000000002</c:v>
                </c:pt>
                <c:pt idx="1392">
                  <c:v>97.550803999999999</c:v>
                </c:pt>
                <c:pt idx="1393">
                  <c:v>97.920501999999999</c:v>
                </c:pt>
                <c:pt idx="1394">
                  <c:v>97.610984999999999</c:v>
                </c:pt>
                <c:pt idx="1395">
                  <c:v>98.221428000000003</c:v>
                </c:pt>
                <c:pt idx="1396">
                  <c:v>100.603027</c:v>
                </c:pt>
                <c:pt idx="1397">
                  <c:v>100.37088</c:v>
                </c:pt>
                <c:pt idx="1398">
                  <c:v>101.239265</c:v>
                </c:pt>
                <c:pt idx="1399">
                  <c:v>102.270988</c:v>
                </c:pt>
                <c:pt idx="1400">
                  <c:v>103.10498</c:v>
                </c:pt>
                <c:pt idx="1401">
                  <c:v>104.093735</c:v>
                </c:pt>
                <c:pt idx="1402">
                  <c:v>103.913177</c:v>
                </c:pt>
                <c:pt idx="1403">
                  <c:v>103.474693</c:v>
                </c:pt>
                <c:pt idx="1404">
                  <c:v>106.157211</c:v>
                </c:pt>
                <c:pt idx="1405">
                  <c:v>104.95352200000001</c:v>
                </c:pt>
                <c:pt idx="1406">
                  <c:v>105.92506400000001</c:v>
                </c:pt>
                <c:pt idx="1407">
                  <c:v>107.945572</c:v>
                </c:pt>
                <c:pt idx="1408">
                  <c:v>106.320564</c:v>
                </c:pt>
                <c:pt idx="1409">
                  <c:v>106.77625999999999</c:v>
                </c:pt>
                <c:pt idx="1410">
                  <c:v>104.28288999999999</c:v>
                </c:pt>
                <c:pt idx="1411">
                  <c:v>103.509094</c:v>
                </c:pt>
                <c:pt idx="1412">
                  <c:v>104.833153</c:v>
                </c:pt>
                <c:pt idx="1413">
                  <c:v>104.2313</c:v>
                </c:pt>
                <c:pt idx="1414">
                  <c:v>105.340401</c:v>
                </c:pt>
                <c:pt idx="1415">
                  <c:v>104.65258799999999</c:v>
                </c:pt>
                <c:pt idx="1416">
                  <c:v>104.884743</c:v>
                </c:pt>
                <c:pt idx="1417">
                  <c:v>104.781555</c:v>
                </c:pt>
                <c:pt idx="1418">
                  <c:v>105.52956399999999</c:v>
                </c:pt>
                <c:pt idx="1419">
                  <c:v>106.24318700000001</c:v>
                </c:pt>
                <c:pt idx="1420">
                  <c:v>107.704803</c:v>
                </c:pt>
                <c:pt idx="1421">
                  <c:v>107.911171</c:v>
                </c:pt>
                <c:pt idx="1422">
                  <c:v>106.991196</c:v>
                </c:pt>
                <c:pt idx="1423">
                  <c:v>109.613541</c:v>
                </c:pt>
                <c:pt idx="1424">
                  <c:v>108.899918</c:v>
                </c:pt>
                <c:pt idx="1425">
                  <c:v>108.994484</c:v>
                </c:pt>
                <c:pt idx="1426">
                  <c:v>108.56459</c:v>
                </c:pt>
                <c:pt idx="1427">
                  <c:v>108.60759</c:v>
                </c:pt>
                <c:pt idx="1428">
                  <c:v>109.785492</c:v>
                </c:pt>
                <c:pt idx="1429">
                  <c:v>107.30070499999999</c:v>
                </c:pt>
                <c:pt idx="1430">
                  <c:v>106.63867999999999</c:v>
                </c:pt>
                <c:pt idx="1431">
                  <c:v>102.907242</c:v>
                </c:pt>
                <c:pt idx="1432">
                  <c:v>104.40325199999999</c:v>
                </c:pt>
                <c:pt idx="1433">
                  <c:v>105.692924</c:v>
                </c:pt>
                <c:pt idx="1434">
                  <c:v>103.78421</c:v>
                </c:pt>
                <c:pt idx="1435">
                  <c:v>105.159859</c:v>
                </c:pt>
                <c:pt idx="1436">
                  <c:v>104.033562</c:v>
                </c:pt>
                <c:pt idx="1437">
                  <c:v>105.546761</c:v>
                </c:pt>
                <c:pt idx="1438">
                  <c:v>104.420456</c:v>
                </c:pt>
                <c:pt idx="1439">
                  <c:v>105.624138</c:v>
                </c:pt>
                <c:pt idx="1440">
                  <c:v>106.03684199999999</c:v>
                </c:pt>
                <c:pt idx="1441">
                  <c:v>105.18564600000001</c:v>
                </c:pt>
                <c:pt idx="1442">
                  <c:v>104.772964</c:v>
                </c:pt>
                <c:pt idx="1443">
                  <c:v>104.12812</c:v>
                </c:pt>
                <c:pt idx="1444">
                  <c:v>105.366219</c:v>
                </c:pt>
                <c:pt idx="1445">
                  <c:v>106.225998</c:v>
                </c:pt>
                <c:pt idx="1446">
                  <c:v>104.81594800000001</c:v>
                </c:pt>
                <c:pt idx="1447">
                  <c:v>106.174408</c:v>
                </c:pt>
                <c:pt idx="1448">
                  <c:v>108.08311500000001</c:v>
                </c:pt>
                <c:pt idx="1449">
                  <c:v>108.899918</c:v>
                </c:pt>
                <c:pt idx="1450">
                  <c:v>108.899918</c:v>
                </c:pt>
                <c:pt idx="1451">
                  <c:v>107.936943</c:v>
                </c:pt>
                <c:pt idx="1452">
                  <c:v>108.26366400000001</c:v>
                </c:pt>
                <c:pt idx="1453">
                  <c:v>107.550049</c:v>
                </c:pt>
                <c:pt idx="1454">
                  <c:v>107.249138</c:v>
                </c:pt>
                <c:pt idx="1455">
                  <c:v>107.679016</c:v>
                </c:pt>
                <c:pt idx="1456">
                  <c:v>107.128761</c:v>
                </c:pt>
                <c:pt idx="1457">
                  <c:v>107.12016300000001</c:v>
                </c:pt>
                <c:pt idx="1458">
                  <c:v>106.363556</c:v>
                </c:pt>
                <c:pt idx="1459">
                  <c:v>105.409195</c:v>
                </c:pt>
                <c:pt idx="1460">
                  <c:v>106.09702299999999</c:v>
                </c:pt>
                <c:pt idx="1461">
                  <c:v>105.05669399999999</c:v>
                </c:pt>
                <c:pt idx="1462">
                  <c:v>105.323235</c:v>
                </c:pt>
                <c:pt idx="1463">
                  <c:v>106.372147</c:v>
                </c:pt>
                <c:pt idx="1464">
                  <c:v>107.335106</c:v>
                </c:pt>
                <c:pt idx="1465">
                  <c:v>106.965408</c:v>
                </c:pt>
                <c:pt idx="1466">
                  <c:v>104.71122699999999</c:v>
                </c:pt>
                <c:pt idx="1467">
                  <c:v>105.043739</c:v>
                </c:pt>
                <c:pt idx="1468">
                  <c:v>106.225082</c:v>
                </c:pt>
                <c:pt idx="1469">
                  <c:v>103.49485799999999</c:v>
                </c:pt>
                <c:pt idx="1470">
                  <c:v>102.55853999999999</c:v>
                </c:pt>
                <c:pt idx="1471">
                  <c:v>104.90372499999999</c:v>
                </c:pt>
                <c:pt idx="1472">
                  <c:v>104.73747299999999</c:v>
                </c:pt>
                <c:pt idx="1473">
                  <c:v>107.27516900000001</c:v>
                </c:pt>
                <c:pt idx="1474">
                  <c:v>106.05883</c:v>
                </c:pt>
                <c:pt idx="1475">
                  <c:v>105.595039</c:v>
                </c:pt>
                <c:pt idx="1476">
                  <c:v>105.71753699999999</c:v>
                </c:pt>
                <c:pt idx="1477">
                  <c:v>107.38018</c:v>
                </c:pt>
                <c:pt idx="1478">
                  <c:v>107.616463</c:v>
                </c:pt>
                <c:pt idx="1479">
                  <c:v>106.77639000000001</c:v>
                </c:pt>
                <c:pt idx="1480">
                  <c:v>108.334023</c:v>
                </c:pt>
                <c:pt idx="1481">
                  <c:v>107.983986</c:v>
                </c:pt>
                <c:pt idx="1482">
                  <c:v>108.43027499999999</c:v>
                </c:pt>
                <c:pt idx="1483">
                  <c:v>107.231438</c:v>
                </c:pt>
                <c:pt idx="1484">
                  <c:v>105.061234</c:v>
                </c:pt>
                <c:pt idx="1485">
                  <c:v>106.706383</c:v>
                </c:pt>
                <c:pt idx="1486">
                  <c:v>107.091408</c:v>
                </c:pt>
                <c:pt idx="1487">
                  <c:v>105.49878699999999</c:v>
                </c:pt>
                <c:pt idx="1488">
                  <c:v>104.387451</c:v>
                </c:pt>
                <c:pt idx="1489">
                  <c:v>106.758881</c:v>
                </c:pt>
                <c:pt idx="1490">
                  <c:v>107.695206</c:v>
                </c:pt>
                <c:pt idx="1491">
                  <c:v>106.566368</c:v>
                </c:pt>
                <c:pt idx="1492">
                  <c:v>108.946579</c:v>
                </c:pt>
                <c:pt idx="1493">
                  <c:v>105.525032</c:v>
                </c:pt>
                <c:pt idx="1494">
                  <c:v>105.210007</c:v>
                </c:pt>
                <c:pt idx="1495">
                  <c:v>107.11766799999999</c:v>
                </c:pt>
                <c:pt idx="1496">
                  <c:v>107.581451</c:v>
                </c:pt>
                <c:pt idx="1497">
                  <c:v>106.77639000000001</c:v>
                </c:pt>
                <c:pt idx="1498">
                  <c:v>105.35876500000001</c:v>
                </c:pt>
                <c:pt idx="1499">
                  <c:v>106.24260700000001</c:v>
                </c:pt>
                <c:pt idx="1500">
                  <c:v>106.260086</c:v>
                </c:pt>
                <c:pt idx="1501">
                  <c:v>107.362686</c:v>
                </c:pt>
                <c:pt idx="1502">
                  <c:v>106.76763200000001</c:v>
                </c:pt>
                <c:pt idx="1503">
                  <c:v>109.366608</c:v>
                </c:pt>
                <c:pt idx="1504">
                  <c:v>110.40793600000001</c:v>
                </c:pt>
                <c:pt idx="1505">
                  <c:v>110.33792099999999</c:v>
                </c:pt>
                <c:pt idx="1506">
                  <c:v>109.82164</c:v>
                </c:pt>
                <c:pt idx="1507">
                  <c:v>110.20667299999999</c:v>
                </c:pt>
                <c:pt idx="1508">
                  <c:v>106.62763200000001</c:v>
                </c:pt>
                <c:pt idx="1509">
                  <c:v>105.595039</c:v>
                </c:pt>
                <c:pt idx="1510">
                  <c:v>107.248924</c:v>
                </c:pt>
                <c:pt idx="1511">
                  <c:v>106.723877</c:v>
                </c:pt>
                <c:pt idx="1512">
                  <c:v>103.61737100000001</c:v>
                </c:pt>
                <c:pt idx="1513">
                  <c:v>104.48369599999999</c:v>
                </c:pt>
                <c:pt idx="1514">
                  <c:v>103.80989099999999</c:v>
                </c:pt>
                <c:pt idx="1515">
                  <c:v>105.35876500000001</c:v>
                </c:pt>
                <c:pt idx="1516">
                  <c:v>110.792976</c:v>
                </c:pt>
                <c:pt idx="1517">
                  <c:v>110.836731</c:v>
                </c:pt>
                <c:pt idx="1518">
                  <c:v>111.17800099999999</c:v>
                </c:pt>
                <c:pt idx="1519">
                  <c:v>111.291763</c:v>
                </c:pt>
                <c:pt idx="1520">
                  <c:v>112.385605</c:v>
                </c:pt>
                <c:pt idx="1521">
                  <c:v>112.446854</c:v>
                </c:pt>
                <c:pt idx="1522">
                  <c:v>112.455612</c:v>
                </c:pt>
                <c:pt idx="1523">
                  <c:v>112.070595</c:v>
                </c:pt>
                <c:pt idx="1524">
                  <c:v>111.54553199999999</c:v>
                </c:pt>
                <c:pt idx="1525">
                  <c:v>110.08416699999999</c:v>
                </c:pt>
                <c:pt idx="1526">
                  <c:v>108.85030399999999</c:v>
                </c:pt>
                <c:pt idx="1527">
                  <c:v>107.93147999999999</c:v>
                </c:pt>
                <c:pt idx="1528">
                  <c:v>108.334023</c:v>
                </c:pt>
                <c:pt idx="1529">
                  <c:v>109.462852</c:v>
                </c:pt>
                <c:pt idx="1530">
                  <c:v>104.921234</c:v>
                </c:pt>
                <c:pt idx="1531">
                  <c:v>104.61496</c:v>
                </c:pt>
                <c:pt idx="1532">
                  <c:v>105.139999</c:v>
                </c:pt>
                <c:pt idx="1533">
                  <c:v>104.68495900000001</c:v>
                </c:pt>
                <c:pt idx="1534">
                  <c:v>106.548866</c:v>
                </c:pt>
                <c:pt idx="1535">
                  <c:v>106.662628</c:v>
                </c:pt>
                <c:pt idx="1536">
                  <c:v>105.55128499999999</c:v>
                </c:pt>
                <c:pt idx="1537">
                  <c:v>106.71513400000001</c:v>
                </c:pt>
                <c:pt idx="1538">
                  <c:v>105.840057</c:v>
                </c:pt>
                <c:pt idx="1539">
                  <c:v>104.34367399999999</c:v>
                </c:pt>
                <c:pt idx="1540">
                  <c:v>104.098671</c:v>
                </c:pt>
                <c:pt idx="1541">
                  <c:v>102.66353599999999</c:v>
                </c:pt>
                <c:pt idx="1542">
                  <c:v>102.1735</c:v>
                </c:pt>
                <c:pt idx="1543">
                  <c:v>102.331024</c:v>
                </c:pt>
                <c:pt idx="1544">
                  <c:v>100.23085</c:v>
                </c:pt>
                <c:pt idx="1545">
                  <c:v>98.139420000000001</c:v>
                </c:pt>
                <c:pt idx="1546">
                  <c:v>95.347938999999997</c:v>
                </c:pt>
                <c:pt idx="1547">
                  <c:v>94.035331999999997</c:v>
                </c:pt>
                <c:pt idx="1548">
                  <c:v>92.906479000000004</c:v>
                </c:pt>
                <c:pt idx="1549">
                  <c:v>94.665367000000003</c:v>
                </c:pt>
                <c:pt idx="1550">
                  <c:v>96.538039999999995</c:v>
                </c:pt>
                <c:pt idx="1551">
                  <c:v>96.161750999999995</c:v>
                </c:pt>
                <c:pt idx="1552">
                  <c:v>95.304175999999998</c:v>
                </c:pt>
                <c:pt idx="1553">
                  <c:v>92.818969999999993</c:v>
                </c:pt>
                <c:pt idx="1554">
                  <c:v>94.735389999999995</c:v>
                </c:pt>
                <c:pt idx="1555">
                  <c:v>94.367844000000005</c:v>
                </c:pt>
                <c:pt idx="1556">
                  <c:v>92.670203999999998</c:v>
                </c:pt>
                <c:pt idx="1557">
                  <c:v>94.455353000000002</c:v>
                </c:pt>
                <c:pt idx="1558">
                  <c:v>94.560371000000004</c:v>
                </c:pt>
                <c:pt idx="1559">
                  <c:v>94.621619999999993</c:v>
                </c:pt>
                <c:pt idx="1560">
                  <c:v>94.114090000000004</c:v>
                </c:pt>
                <c:pt idx="1561">
                  <c:v>93.107758000000004</c:v>
                </c:pt>
                <c:pt idx="1562">
                  <c:v>94.542877000000004</c:v>
                </c:pt>
                <c:pt idx="1563">
                  <c:v>101.009659</c:v>
                </c:pt>
                <c:pt idx="1564">
                  <c:v>100.467102</c:v>
                </c:pt>
                <c:pt idx="1565">
                  <c:v>100.047073</c:v>
                </c:pt>
                <c:pt idx="1566">
                  <c:v>96.660538000000003</c:v>
                </c:pt>
                <c:pt idx="1567">
                  <c:v>94.044083000000001</c:v>
                </c:pt>
                <c:pt idx="1568">
                  <c:v>94.350357000000002</c:v>
                </c:pt>
                <c:pt idx="1569">
                  <c:v>93.510277000000002</c:v>
                </c:pt>
                <c:pt idx="1570">
                  <c:v>95.829223999999996</c:v>
                </c:pt>
                <c:pt idx="1571">
                  <c:v>92.512694999999994</c:v>
                </c:pt>
                <c:pt idx="1572">
                  <c:v>90.885056000000006</c:v>
                </c:pt>
                <c:pt idx="1573">
                  <c:v>93.037757999999997</c:v>
                </c:pt>
                <c:pt idx="1574">
                  <c:v>93.344016999999994</c:v>
                </c:pt>
                <c:pt idx="1575">
                  <c:v>96.293014999999997</c:v>
                </c:pt>
                <c:pt idx="1576">
                  <c:v>96.905563000000001</c:v>
                </c:pt>
                <c:pt idx="1577">
                  <c:v>95.907966999999999</c:v>
                </c:pt>
                <c:pt idx="1578">
                  <c:v>97.098076000000006</c:v>
                </c:pt>
                <c:pt idx="1579">
                  <c:v>96.861808999999994</c:v>
                </c:pt>
                <c:pt idx="1580">
                  <c:v>97.903144999999995</c:v>
                </c:pt>
                <c:pt idx="1581">
                  <c:v>97.561874000000003</c:v>
                </c:pt>
                <c:pt idx="1582">
                  <c:v>99.609549999999999</c:v>
                </c:pt>
                <c:pt idx="1583">
                  <c:v>101.009659</c:v>
                </c:pt>
                <c:pt idx="1584">
                  <c:v>100.860901</c:v>
                </c:pt>
                <c:pt idx="1585">
                  <c:v>100.72088599999999</c:v>
                </c:pt>
                <c:pt idx="1586">
                  <c:v>101.622208</c:v>
                </c:pt>
                <c:pt idx="1587">
                  <c:v>101.534706</c:v>
                </c:pt>
                <c:pt idx="1588">
                  <c:v>99.872062999999997</c:v>
                </c:pt>
                <c:pt idx="1589">
                  <c:v>102.61979700000001</c:v>
                </c:pt>
                <c:pt idx="1590">
                  <c:v>103.8974</c:v>
                </c:pt>
                <c:pt idx="1591">
                  <c:v>103.17108899999999</c:v>
                </c:pt>
                <c:pt idx="1592">
                  <c:v>102.567291</c:v>
                </c:pt>
                <c:pt idx="1593">
                  <c:v>103.8974</c:v>
                </c:pt>
                <c:pt idx="1594">
                  <c:v>103.031082</c:v>
                </c:pt>
                <c:pt idx="1595">
                  <c:v>104.42243999999999</c:v>
                </c:pt>
                <c:pt idx="1596">
                  <c:v>104.623695</c:v>
                </c:pt>
                <c:pt idx="1597">
                  <c:v>103.9674</c:v>
                </c:pt>
                <c:pt idx="1598">
                  <c:v>104.36119100000001</c:v>
                </c:pt>
                <c:pt idx="1599">
                  <c:v>105.56004299999999</c:v>
                </c:pt>
                <c:pt idx="1600">
                  <c:v>105.648849</c:v>
                </c:pt>
                <c:pt idx="1601">
                  <c:v>104.885071</c:v>
                </c:pt>
                <c:pt idx="1602">
                  <c:v>105.107101</c:v>
                </c:pt>
                <c:pt idx="1603">
                  <c:v>108.020081</c:v>
                </c:pt>
                <c:pt idx="1604">
                  <c:v>107.66484800000001</c:v>
                </c:pt>
                <c:pt idx="1605">
                  <c:v>106.687935</c:v>
                </c:pt>
                <c:pt idx="1606">
                  <c:v>108.69504499999999</c:v>
                </c:pt>
                <c:pt idx="1607">
                  <c:v>110.93306699999999</c:v>
                </c:pt>
                <c:pt idx="1608">
                  <c:v>111.93662999999999</c:v>
                </c:pt>
                <c:pt idx="1609">
                  <c:v>110.80873099999999</c:v>
                </c:pt>
                <c:pt idx="1610">
                  <c:v>111.767883</c:v>
                </c:pt>
                <c:pt idx="1611">
                  <c:v>112.33626599999999</c:v>
                </c:pt>
                <c:pt idx="1612">
                  <c:v>113.615143</c:v>
                </c:pt>
                <c:pt idx="1613">
                  <c:v>114.68974300000001</c:v>
                </c:pt>
                <c:pt idx="1614">
                  <c:v>114.68974300000001</c:v>
                </c:pt>
                <c:pt idx="1615">
                  <c:v>114.085838</c:v>
                </c:pt>
                <c:pt idx="1616">
                  <c:v>114.22792800000001</c:v>
                </c:pt>
                <c:pt idx="1617">
                  <c:v>113.446411</c:v>
                </c:pt>
                <c:pt idx="1618">
                  <c:v>112.655998</c:v>
                </c:pt>
                <c:pt idx="1619">
                  <c:v>113.561859</c:v>
                </c:pt>
                <c:pt idx="1620">
                  <c:v>114.47659299999999</c:v>
                </c:pt>
                <c:pt idx="1621">
                  <c:v>114.281212</c:v>
                </c:pt>
                <c:pt idx="1622">
                  <c:v>112.602699</c:v>
                </c:pt>
                <c:pt idx="1623">
                  <c:v>112.194176</c:v>
                </c:pt>
                <c:pt idx="1624">
                  <c:v>108.88153800000001</c:v>
                </c:pt>
                <c:pt idx="1625">
                  <c:v>109.059174</c:v>
                </c:pt>
                <c:pt idx="1626">
                  <c:v>108.774986</c:v>
                </c:pt>
                <c:pt idx="1627">
                  <c:v>111.11069500000001</c:v>
                </c:pt>
                <c:pt idx="1628">
                  <c:v>110.826492</c:v>
                </c:pt>
                <c:pt idx="1629">
                  <c:v>110.12490099999999</c:v>
                </c:pt>
                <c:pt idx="1630">
                  <c:v>109.95616099999999</c:v>
                </c:pt>
                <c:pt idx="1631">
                  <c:v>110.568939</c:v>
                </c:pt>
                <c:pt idx="1632">
                  <c:v>111.767883</c:v>
                </c:pt>
                <c:pt idx="1633">
                  <c:v>111.67907700000001</c:v>
                </c:pt>
                <c:pt idx="1634">
                  <c:v>111.758995</c:v>
                </c:pt>
                <c:pt idx="1635">
                  <c:v>113.13557400000001</c:v>
                </c:pt>
                <c:pt idx="1636">
                  <c:v>112.01655599999999</c:v>
                </c:pt>
                <c:pt idx="1637">
                  <c:v>111.01300000000001</c:v>
                </c:pt>
                <c:pt idx="1638">
                  <c:v>108.766098</c:v>
                </c:pt>
                <c:pt idx="1639">
                  <c:v>108.837143</c:v>
                </c:pt>
                <c:pt idx="1640">
                  <c:v>106.776741</c:v>
                </c:pt>
                <c:pt idx="1641">
                  <c:v>106.10178399999999</c:v>
                </c:pt>
                <c:pt idx="1642">
                  <c:v>104.023613</c:v>
                </c:pt>
                <c:pt idx="1643">
                  <c:v>105.83535000000001</c:v>
                </c:pt>
                <c:pt idx="1644">
                  <c:v>105.684372</c:v>
                </c:pt>
                <c:pt idx="1645">
                  <c:v>103.14439400000001</c:v>
                </c:pt>
                <c:pt idx="1646">
                  <c:v>104.023613</c:v>
                </c:pt>
                <c:pt idx="1647">
                  <c:v>103.384193</c:v>
                </c:pt>
                <c:pt idx="1648">
                  <c:v>105.542282</c:v>
                </c:pt>
                <c:pt idx="1649">
                  <c:v>102.96678900000001</c:v>
                </c:pt>
                <c:pt idx="1650">
                  <c:v>103.677254</c:v>
                </c:pt>
                <c:pt idx="1651">
                  <c:v>107.45169799999999</c:v>
                </c:pt>
                <c:pt idx="1652">
                  <c:v>107.718124</c:v>
                </c:pt>
                <c:pt idx="1653">
                  <c:v>108.89930699999999</c:v>
                </c:pt>
                <c:pt idx="1654">
                  <c:v>108.25988</c:v>
                </c:pt>
                <c:pt idx="1655">
                  <c:v>108.615128</c:v>
                </c:pt>
                <c:pt idx="1656">
                  <c:v>111.758995</c:v>
                </c:pt>
                <c:pt idx="1657">
                  <c:v>112.531654</c:v>
                </c:pt>
                <c:pt idx="1658">
                  <c:v>111.00411200000001</c:v>
                </c:pt>
                <c:pt idx="1659">
                  <c:v>110.97747</c:v>
                </c:pt>
                <c:pt idx="1660">
                  <c:v>108.67729199999999</c:v>
                </c:pt>
                <c:pt idx="1661">
                  <c:v>105.06270600000001</c:v>
                </c:pt>
                <c:pt idx="1662">
                  <c:v>102.300697</c:v>
                </c:pt>
                <c:pt idx="1663">
                  <c:v>103.117752</c:v>
                </c:pt>
                <c:pt idx="1664">
                  <c:v>103.277603</c:v>
                </c:pt>
                <c:pt idx="1665">
                  <c:v>101.794487</c:v>
                </c:pt>
                <c:pt idx="1666">
                  <c:v>102.504959</c:v>
                </c:pt>
                <c:pt idx="1667">
                  <c:v>103.62397799999999</c:v>
                </c:pt>
                <c:pt idx="1668">
                  <c:v>104.307816</c:v>
                </c:pt>
                <c:pt idx="1669">
                  <c:v>103.33090199999999</c:v>
                </c:pt>
                <c:pt idx="1670">
                  <c:v>103.37531300000001</c:v>
                </c:pt>
                <c:pt idx="1671">
                  <c:v>104.023613</c:v>
                </c:pt>
                <c:pt idx="1672">
                  <c:v>103.250969</c:v>
                </c:pt>
                <c:pt idx="1673">
                  <c:v>102.726974</c:v>
                </c:pt>
                <c:pt idx="1674">
                  <c:v>100.73764</c:v>
                </c:pt>
                <c:pt idx="1675">
                  <c:v>99.707436000000001</c:v>
                </c:pt>
                <c:pt idx="1676">
                  <c:v>99.023598000000007</c:v>
                </c:pt>
                <c:pt idx="1677">
                  <c:v>101.323784</c:v>
                </c:pt>
                <c:pt idx="1678">
                  <c:v>100.897491</c:v>
                </c:pt>
                <c:pt idx="1679">
                  <c:v>101.65237399999999</c:v>
                </c:pt>
                <c:pt idx="1680">
                  <c:v>103.250969</c:v>
                </c:pt>
                <c:pt idx="1681">
                  <c:v>102.886841</c:v>
                </c:pt>
                <c:pt idx="1682">
                  <c:v>102.140839</c:v>
                </c:pt>
                <c:pt idx="1683">
                  <c:v>102.90461000000001</c:v>
                </c:pt>
                <c:pt idx="1684">
                  <c:v>103.721672</c:v>
                </c:pt>
                <c:pt idx="1685">
                  <c:v>104.57424899999999</c:v>
                </c:pt>
                <c:pt idx="1686">
                  <c:v>104.05914300000001</c:v>
                </c:pt>
                <c:pt idx="1687">
                  <c:v>103.473007</c:v>
                </c:pt>
                <c:pt idx="1688">
                  <c:v>104.11243399999999</c:v>
                </c:pt>
                <c:pt idx="1689">
                  <c:v>105.151512</c:v>
                </c:pt>
                <c:pt idx="1690">
                  <c:v>107.949043</c:v>
                </c:pt>
                <c:pt idx="1691">
                  <c:v>107.247444</c:v>
                </c:pt>
                <c:pt idx="1692">
                  <c:v>108.517433</c:v>
                </c:pt>
                <c:pt idx="1693">
                  <c:v>108.490784</c:v>
                </c:pt>
                <c:pt idx="1694">
                  <c:v>107.975685</c:v>
                </c:pt>
                <c:pt idx="1695">
                  <c:v>108.250992</c:v>
                </c:pt>
                <c:pt idx="1696">
                  <c:v>110.462379</c:v>
                </c:pt>
                <c:pt idx="1697">
                  <c:v>111.67018899999999</c:v>
                </c:pt>
                <c:pt idx="1698">
                  <c:v>110.711052</c:v>
                </c:pt>
                <c:pt idx="1699">
                  <c:v>111.59026299999999</c:v>
                </c:pt>
                <c:pt idx="1700">
                  <c:v>112.007683</c:v>
                </c:pt>
                <c:pt idx="1701">
                  <c:v>110.14265399999999</c:v>
                </c:pt>
                <c:pt idx="1702">
                  <c:v>109.583145</c:v>
                </c:pt>
                <c:pt idx="1703">
                  <c:v>107.46946699999999</c:v>
                </c:pt>
                <c:pt idx="1704">
                  <c:v>108.011208</c:v>
                </c:pt>
                <c:pt idx="1705">
                  <c:v>107.052055</c:v>
                </c:pt>
                <c:pt idx="1706">
                  <c:v>107.576042</c:v>
                </c:pt>
                <c:pt idx="1707">
                  <c:v>108.535194</c:v>
                </c:pt>
                <c:pt idx="1708">
                  <c:v>111.652435</c:v>
                </c:pt>
                <c:pt idx="1709">
                  <c:v>112.140884</c:v>
                </c:pt>
                <c:pt idx="1710">
                  <c:v>113.606255</c:v>
                </c:pt>
                <c:pt idx="1711">
                  <c:v>117.025459</c:v>
                </c:pt>
                <c:pt idx="1712">
                  <c:v>116.47483099999999</c:v>
                </c:pt>
                <c:pt idx="1713">
                  <c:v>114.174644</c:v>
                </c:pt>
                <c:pt idx="1714">
                  <c:v>113.917107</c:v>
                </c:pt>
                <c:pt idx="1715">
                  <c:v>114.60092899999999</c:v>
                </c:pt>
                <c:pt idx="1716">
                  <c:v>114.130241</c:v>
                </c:pt>
                <c:pt idx="1717">
                  <c:v>114.02366600000001</c:v>
                </c:pt>
                <c:pt idx="1718">
                  <c:v>113.14946</c:v>
                </c:pt>
                <c:pt idx="1719">
                  <c:v>112.263504</c:v>
                </c:pt>
                <c:pt idx="1720">
                  <c:v>113.764206</c:v>
                </c:pt>
                <c:pt idx="1721">
                  <c:v>112.977692</c:v>
                </c:pt>
                <c:pt idx="1722">
                  <c:v>111.24194300000001</c:v>
                </c:pt>
                <c:pt idx="1723">
                  <c:v>113.194664</c:v>
                </c:pt>
                <c:pt idx="1724">
                  <c:v>113.013863</c:v>
                </c:pt>
                <c:pt idx="1725">
                  <c:v>115.047935</c:v>
                </c:pt>
                <c:pt idx="1726">
                  <c:v>115.80735</c:v>
                </c:pt>
                <c:pt idx="1727">
                  <c:v>114.668243</c:v>
                </c:pt>
                <c:pt idx="1728">
                  <c:v>114.360878</c:v>
                </c:pt>
                <c:pt idx="1729">
                  <c:v>112.905373</c:v>
                </c:pt>
                <c:pt idx="1730">
                  <c:v>113.44779200000001</c:v>
                </c:pt>
                <c:pt idx="1731">
                  <c:v>111.44987500000001</c:v>
                </c:pt>
                <c:pt idx="1732">
                  <c:v>110.527756</c:v>
                </c:pt>
                <c:pt idx="1733">
                  <c:v>110.609116</c:v>
                </c:pt>
                <c:pt idx="1734">
                  <c:v>110.283669</c:v>
                </c:pt>
                <c:pt idx="1735">
                  <c:v>109.858757</c:v>
                </c:pt>
                <c:pt idx="1736">
                  <c:v>112.86921700000001</c:v>
                </c:pt>
                <c:pt idx="1737">
                  <c:v>113.972145</c:v>
                </c:pt>
                <c:pt idx="1738">
                  <c:v>114.966583</c:v>
                </c:pt>
                <c:pt idx="1739">
                  <c:v>114.17102800000001</c:v>
                </c:pt>
                <c:pt idx="1740">
                  <c:v>114.107742</c:v>
                </c:pt>
                <c:pt idx="1741">
                  <c:v>116.648094</c:v>
                </c:pt>
                <c:pt idx="1742">
                  <c:v>115.951981</c:v>
                </c:pt>
                <c:pt idx="1743">
                  <c:v>115.725967</c:v>
                </c:pt>
                <c:pt idx="1744">
                  <c:v>117.687721</c:v>
                </c:pt>
                <c:pt idx="1745">
                  <c:v>117.89567599999999</c:v>
                </c:pt>
                <c:pt idx="1746">
                  <c:v>119.034752</c:v>
                </c:pt>
                <c:pt idx="1747">
                  <c:v>117.452682</c:v>
                </c:pt>
                <c:pt idx="1748">
                  <c:v>113.44779200000001</c:v>
                </c:pt>
                <c:pt idx="1749">
                  <c:v>112.046539</c:v>
                </c:pt>
                <c:pt idx="1750">
                  <c:v>110.54583</c:v>
                </c:pt>
                <c:pt idx="1751">
                  <c:v>112.344864</c:v>
                </c:pt>
                <c:pt idx="1752">
                  <c:v>113.493004</c:v>
                </c:pt>
                <c:pt idx="1753">
                  <c:v>112.308708</c:v>
                </c:pt>
                <c:pt idx="1754">
                  <c:v>114.31566599999999</c:v>
                </c:pt>
                <c:pt idx="1755">
                  <c:v>116.22319</c:v>
                </c:pt>
                <c:pt idx="1756">
                  <c:v>116.123741</c:v>
                </c:pt>
                <c:pt idx="1757">
                  <c:v>117.14531700000001</c:v>
                </c:pt>
                <c:pt idx="1758">
                  <c:v>110.717606</c:v>
                </c:pt>
                <c:pt idx="1759">
                  <c:v>109.759315</c:v>
                </c:pt>
                <c:pt idx="1760">
                  <c:v>111.531235</c:v>
                </c:pt>
                <c:pt idx="1761">
                  <c:v>114.180069</c:v>
                </c:pt>
                <c:pt idx="1762">
                  <c:v>119.04377700000001</c:v>
                </c:pt>
                <c:pt idx="1763">
                  <c:v>118.790657</c:v>
                </c:pt>
                <c:pt idx="1764">
                  <c:v>116.23223900000001</c:v>
                </c:pt>
                <c:pt idx="1765">
                  <c:v>115.78021200000001</c:v>
                </c:pt>
                <c:pt idx="1766">
                  <c:v>114.984673</c:v>
                </c:pt>
                <c:pt idx="1767">
                  <c:v>115.490921</c:v>
                </c:pt>
                <c:pt idx="1768">
                  <c:v>115.20162999999999</c:v>
                </c:pt>
                <c:pt idx="1769">
                  <c:v>115.725967</c:v>
                </c:pt>
                <c:pt idx="1770">
                  <c:v>115.46380600000001</c:v>
                </c:pt>
                <c:pt idx="1771">
                  <c:v>114.234314</c:v>
                </c:pt>
                <c:pt idx="1772">
                  <c:v>113.393562</c:v>
                </c:pt>
                <c:pt idx="1773">
                  <c:v>113.845573</c:v>
                </c:pt>
                <c:pt idx="1774">
                  <c:v>112.63415500000001</c:v>
                </c:pt>
                <c:pt idx="1775">
                  <c:v>114.107742</c:v>
                </c:pt>
                <c:pt idx="1776">
                  <c:v>112.552803</c:v>
                </c:pt>
                <c:pt idx="1777">
                  <c:v>114.017357</c:v>
                </c:pt>
                <c:pt idx="1778">
                  <c:v>113.872696</c:v>
                </c:pt>
                <c:pt idx="1779">
                  <c:v>114.451286</c:v>
                </c:pt>
                <c:pt idx="1780">
                  <c:v>110.23846399999999</c:v>
                </c:pt>
                <c:pt idx="1781">
                  <c:v>113.83654</c:v>
                </c:pt>
                <c:pt idx="1782">
                  <c:v>117.018761</c:v>
                </c:pt>
                <c:pt idx="1783">
                  <c:v>113.21275300000001</c:v>
                </c:pt>
                <c:pt idx="1784">
                  <c:v>112.67031900000001</c:v>
                </c:pt>
                <c:pt idx="1785">
                  <c:v>111.784378</c:v>
                </c:pt>
                <c:pt idx="1786">
                  <c:v>112.037498</c:v>
                </c:pt>
                <c:pt idx="1787">
                  <c:v>111.96517900000001</c:v>
                </c:pt>
                <c:pt idx="1788">
                  <c:v>111.133461</c:v>
                </c:pt>
                <c:pt idx="1789">
                  <c:v>111.296188</c:v>
                </c:pt>
                <c:pt idx="1790">
                  <c:v>111.784378</c:v>
                </c:pt>
                <c:pt idx="1791">
                  <c:v>112.64321099999999</c:v>
                </c:pt>
                <c:pt idx="1792">
                  <c:v>114.08062</c:v>
                </c:pt>
                <c:pt idx="1793">
                  <c:v>113.592438</c:v>
                </c:pt>
                <c:pt idx="1794">
                  <c:v>113.908867</c:v>
                </c:pt>
                <c:pt idx="1795">
                  <c:v>114.397041</c:v>
                </c:pt>
                <c:pt idx="1796">
                  <c:v>114.641136</c:v>
                </c:pt>
                <c:pt idx="1797">
                  <c:v>114.25238</c:v>
                </c:pt>
                <c:pt idx="1798">
                  <c:v>113.411636</c:v>
                </c:pt>
                <c:pt idx="1799">
                  <c:v>114.31566599999999</c:v>
                </c:pt>
                <c:pt idx="1800">
                  <c:v>113.791344</c:v>
                </c:pt>
                <c:pt idx="1801">
                  <c:v>113.72805</c:v>
                </c:pt>
                <c:pt idx="1802">
                  <c:v>113.673805</c:v>
                </c:pt>
                <c:pt idx="1803">
                  <c:v>114.21622499999999</c:v>
                </c:pt>
                <c:pt idx="1804">
                  <c:v>113.339325</c:v>
                </c:pt>
                <c:pt idx="1805">
                  <c:v>112.127899</c:v>
                </c:pt>
                <c:pt idx="1806">
                  <c:v>112.833054</c:v>
                </c:pt>
                <c:pt idx="1807">
                  <c:v>114.595932</c:v>
                </c:pt>
                <c:pt idx="1808">
                  <c:v>115.66269699999999</c:v>
                </c:pt>
                <c:pt idx="1809">
                  <c:v>115.1474</c:v>
                </c:pt>
                <c:pt idx="1810">
                  <c:v>114.41512299999999</c:v>
                </c:pt>
                <c:pt idx="1811">
                  <c:v>111.404678</c:v>
                </c:pt>
                <c:pt idx="1812">
                  <c:v>112.824005</c:v>
                </c:pt>
                <c:pt idx="1813">
                  <c:v>110.78993199999999</c:v>
                </c:pt>
                <c:pt idx="1814">
                  <c:v>110.997856</c:v>
                </c:pt>
                <c:pt idx="1815">
                  <c:v>112.60704800000001</c:v>
                </c:pt>
                <c:pt idx="1816">
                  <c:v>112.182137</c:v>
                </c:pt>
                <c:pt idx="1817">
                  <c:v>113.276039</c:v>
                </c:pt>
                <c:pt idx="1818">
                  <c:v>113.800377</c:v>
                </c:pt>
                <c:pt idx="1819">
                  <c:v>115.08410600000001</c:v>
                </c:pt>
                <c:pt idx="1820">
                  <c:v>117.57925400000001</c:v>
                </c:pt>
                <c:pt idx="1821">
                  <c:v>117.669662</c:v>
                </c:pt>
                <c:pt idx="1822">
                  <c:v>119.513908</c:v>
                </c:pt>
                <c:pt idx="1823">
                  <c:v>119.224609</c:v>
                </c:pt>
                <c:pt idx="1824">
                  <c:v>120.634911</c:v>
                </c:pt>
                <c:pt idx="1825">
                  <c:v>118.5737</c:v>
                </c:pt>
                <c:pt idx="1826">
                  <c:v>118.799706</c:v>
                </c:pt>
                <c:pt idx="1827">
                  <c:v>116.539619</c:v>
                </c:pt>
                <c:pt idx="1828">
                  <c:v>116.36784400000001</c:v>
                </c:pt>
                <c:pt idx="1829">
                  <c:v>116.85601800000001</c:v>
                </c:pt>
                <c:pt idx="1830">
                  <c:v>115.047935</c:v>
                </c:pt>
                <c:pt idx="1831">
                  <c:v>115.03891</c:v>
                </c:pt>
                <c:pt idx="1832">
                  <c:v>115.255875</c:v>
                </c:pt>
                <c:pt idx="1833">
                  <c:v>115.870628</c:v>
                </c:pt>
                <c:pt idx="1834">
                  <c:v>115.1474</c:v>
                </c:pt>
                <c:pt idx="1835">
                  <c:v>115.066025</c:v>
                </c:pt>
                <c:pt idx="1836">
                  <c:v>116.304558</c:v>
                </c:pt>
                <c:pt idx="1837">
                  <c:v>115.90679900000001</c:v>
                </c:pt>
                <c:pt idx="1838">
                  <c:v>115.68077099999999</c:v>
                </c:pt>
                <c:pt idx="1839">
                  <c:v>116.35881000000001</c:v>
                </c:pt>
                <c:pt idx="1840">
                  <c:v>115.210678</c:v>
                </c:pt>
                <c:pt idx="1841">
                  <c:v>114.60498</c:v>
                </c:pt>
                <c:pt idx="1842">
                  <c:v>113.07714799999999</c:v>
                </c:pt>
                <c:pt idx="1843">
                  <c:v>111.901894</c:v>
                </c:pt>
                <c:pt idx="1844">
                  <c:v>109.89492</c:v>
                </c:pt>
                <c:pt idx="1845">
                  <c:v>109.80452699999999</c:v>
                </c:pt>
                <c:pt idx="1846">
                  <c:v>105.627861</c:v>
                </c:pt>
                <c:pt idx="1847">
                  <c:v>104.40741</c:v>
                </c:pt>
                <c:pt idx="1848">
                  <c:v>103.95539100000001</c:v>
                </c:pt>
                <c:pt idx="1849">
                  <c:v>103.593773</c:v>
                </c:pt>
                <c:pt idx="1850">
                  <c:v>101.61393700000001</c:v>
                </c:pt>
                <c:pt idx="1851">
                  <c:v>101.333679</c:v>
                </c:pt>
                <c:pt idx="1852">
                  <c:v>102.19252</c:v>
                </c:pt>
                <c:pt idx="1853">
                  <c:v>104.506851</c:v>
                </c:pt>
                <c:pt idx="1854">
                  <c:v>101.550652</c:v>
                </c:pt>
                <c:pt idx="1855">
                  <c:v>98.088181000000006</c:v>
                </c:pt>
                <c:pt idx="1856">
                  <c:v>97.455359999999999</c:v>
                </c:pt>
                <c:pt idx="1857">
                  <c:v>93.714316999999994</c:v>
                </c:pt>
                <c:pt idx="1858">
                  <c:v>94.817054999999996</c:v>
                </c:pt>
                <c:pt idx="1859">
                  <c:v>93.980812</c:v>
                </c:pt>
                <c:pt idx="1860">
                  <c:v>94.651641999999995</c:v>
                </c:pt>
                <c:pt idx="1861">
                  <c:v>93.622421000000003</c:v>
                </c:pt>
                <c:pt idx="1862">
                  <c:v>94.954903000000002</c:v>
                </c:pt>
                <c:pt idx="1863">
                  <c:v>94.339211000000006</c:v>
                </c:pt>
                <c:pt idx="1864">
                  <c:v>94.100273000000001</c:v>
                </c:pt>
                <c:pt idx="1865">
                  <c:v>95.423552999999998</c:v>
                </c:pt>
                <c:pt idx="1866">
                  <c:v>96.324141999999995</c:v>
                </c:pt>
                <c:pt idx="1867">
                  <c:v>96.314941000000005</c:v>
                </c:pt>
                <c:pt idx="1868">
                  <c:v>94.899765000000002</c:v>
                </c:pt>
                <c:pt idx="1869">
                  <c:v>91.812102999999993</c:v>
                </c:pt>
                <c:pt idx="1870">
                  <c:v>93.172141999999994</c:v>
                </c:pt>
                <c:pt idx="1871">
                  <c:v>94.890586999999996</c:v>
                </c:pt>
                <c:pt idx="1872">
                  <c:v>95.616553999999994</c:v>
                </c:pt>
                <c:pt idx="1873">
                  <c:v>95.883026000000001</c:v>
                </c:pt>
                <c:pt idx="1874">
                  <c:v>94.330016999999998</c:v>
                </c:pt>
                <c:pt idx="1875">
                  <c:v>95.147873000000004</c:v>
                </c:pt>
                <c:pt idx="1876">
                  <c:v>95.285720999999995</c:v>
                </c:pt>
                <c:pt idx="1877">
                  <c:v>96.535492000000005</c:v>
                </c:pt>
                <c:pt idx="1878">
                  <c:v>94.568954000000005</c:v>
                </c:pt>
                <c:pt idx="1879">
                  <c:v>93.328361999999998</c:v>
                </c:pt>
                <c:pt idx="1880">
                  <c:v>94.651641999999995</c:v>
                </c:pt>
                <c:pt idx="1881">
                  <c:v>94.403533999999993</c:v>
                </c:pt>
                <c:pt idx="1882">
                  <c:v>94.633269999999996</c:v>
                </c:pt>
                <c:pt idx="1883">
                  <c:v>95.212196000000006</c:v>
                </c:pt>
                <c:pt idx="1884">
                  <c:v>94.486228999999994</c:v>
                </c:pt>
                <c:pt idx="1885">
                  <c:v>95.101935999999995</c:v>
                </c:pt>
                <c:pt idx="1886">
                  <c:v>95.497069999999994</c:v>
                </c:pt>
                <c:pt idx="1887">
                  <c:v>95.478690999999998</c:v>
                </c:pt>
                <c:pt idx="1888">
                  <c:v>96.388458</c:v>
                </c:pt>
                <c:pt idx="1889">
                  <c:v>96.893883000000002</c:v>
                </c:pt>
                <c:pt idx="1890">
                  <c:v>96.066826000000006</c:v>
                </c:pt>
                <c:pt idx="1891">
                  <c:v>96.691719000000006</c:v>
                </c:pt>
                <c:pt idx="1892">
                  <c:v>98.143660999999994</c:v>
                </c:pt>
                <c:pt idx="1893">
                  <c:v>97.344161999999997</c:v>
                </c:pt>
                <c:pt idx="1894">
                  <c:v>97.353354999999993</c:v>
                </c:pt>
                <c:pt idx="1895">
                  <c:v>96.884688999999995</c:v>
                </c:pt>
                <c:pt idx="1896">
                  <c:v>96.627380000000002</c:v>
                </c:pt>
                <c:pt idx="1897">
                  <c:v>97.353354999999993</c:v>
                </c:pt>
                <c:pt idx="1898">
                  <c:v>97.279838999999996</c:v>
                </c:pt>
                <c:pt idx="1899">
                  <c:v>97.638221999999999</c:v>
                </c:pt>
                <c:pt idx="1900">
                  <c:v>96.829559000000003</c:v>
                </c:pt>
                <c:pt idx="1901">
                  <c:v>96.360893000000004</c:v>
                </c:pt>
                <c:pt idx="1902">
                  <c:v>96.847931000000003</c:v>
                </c:pt>
                <c:pt idx="1903">
                  <c:v>97.629035999999999</c:v>
                </c:pt>
                <c:pt idx="1904">
                  <c:v>97.555526999999998</c:v>
                </c:pt>
                <c:pt idx="1905">
                  <c:v>97.592277999999993</c:v>
                </c:pt>
                <c:pt idx="1906">
                  <c:v>96.314941000000005</c:v>
                </c:pt>
                <c:pt idx="1907">
                  <c:v>96.645759999999996</c:v>
                </c:pt>
                <c:pt idx="1908">
                  <c:v>96.020882</c:v>
                </c:pt>
                <c:pt idx="1909">
                  <c:v>95.809524999999994</c:v>
                </c:pt>
                <c:pt idx="1910">
                  <c:v>95.892219999999995</c:v>
                </c:pt>
                <c:pt idx="1911">
                  <c:v>96.020882</c:v>
                </c:pt>
                <c:pt idx="1912">
                  <c:v>96.765236000000002</c:v>
                </c:pt>
                <c:pt idx="1913">
                  <c:v>96.498733999999999</c:v>
                </c:pt>
                <c:pt idx="1914">
                  <c:v>96.847931000000003</c:v>
                </c:pt>
                <c:pt idx="1915">
                  <c:v>97.316597000000002</c:v>
                </c:pt>
                <c:pt idx="1916">
                  <c:v>97.739318999999995</c:v>
                </c:pt>
                <c:pt idx="1917">
                  <c:v>97.298218000000006</c:v>
                </c:pt>
                <c:pt idx="1918">
                  <c:v>98.162032999999994</c:v>
                </c:pt>
                <c:pt idx="1919">
                  <c:v>99.650726000000006</c:v>
                </c:pt>
                <c:pt idx="1920">
                  <c:v>99.200439000000003</c:v>
                </c:pt>
                <c:pt idx="1921">
                  <c:v>99.953971999999993</c:v>
                </c:pt>
                <c:pt idx="1922">
                  <c:v>99.999923999999993</c:v>
                </c:pt>
                <c:pt idx="1923">
                  <c:v>100.46859000000001</c:v>
                </c:pt>
                <c:pt idx="1924">
                  <c:v>100.312363</c:v>
                </c:pt>
                <c:pt idx="1925">
                  <c:v>99.944785999999993</c:v>
                </c:pt>
                <c:pt idx="1926">
                  <c:v>100.404259</c:v>
                </c:pt>
                <c:pt idx="1927">
                  <c:v>100.477768</c:v>
                </c:pt>
                <c:pt idx="1928">
                  <c:v>100.615623</c:v>
                </c:pt>
                <c:pt idx="1929">
                  <c:v>101.029152</c:v>
                </c:pt>
                <c:pt idx="1930">
                  <c:v>97.270645000000002</c:v>
                </c:pt>
                <c:pt idx="1931">
                  <c:v>99.917229000000006</c:v>
                </c:pt>
                <c:pt idx="1932">
                  <c:v>98.538794999999993</c:v>
                </c:pt>
                <c:pt idx="1933">
                  <c:v>98.961524999999995</c:v>
                </c:pt>
                <c:pt idx="1934">
                  <c:v>97.426865000000006</c:v>
                </c:pt>
                <c:pt idx="1935">
                  <c:v>98.152832000000004</c:v>
                </c:pt>
                <c:pt idx="1936">
                  <c:v>98.888007999999999</c:v>
                </c:pt>
                <c:pt idx="1937">
                  <c:v>99.182068000000001</c:v>
                </c:pt>
                <c:pt idx="1938">
                  <c:v>98.547989000000001</c:v>
                </c:pt>
                <c:pt idx="1939">
                  <c:v>99.834511000000006</c:v>
                </c:pt>
                <c:pt idx="1940">
                  <c:v>101.865379</c:v>
                </c:pt>
                <c:pt idx="1941">
                  <c:v>102.69244399999999</c:v>
                </c:pt>
                <c:pt idx="1942">
                  <c:v>102.876221</c:v>
                </c:pt>
                <c:pt idx="1943">
                  <c:v>102.481087</c:v>
                </c:pt>
                <c:pt idx="1944">
                  <c:v>101.948105</c:v>
                </c:pt>
                <c:pt idx="1945">
                  <c:v>101.984863</c:v>
                </c:pt>
                <c:pt idx="1946">
                  <c:v>101.87457999999999</c:v>
                </c:pt>
                <c:pt idx="1947">
                  <c:v>102.343239</c:v>
                </c:pt>
                <c:pt idx="1948">
                  <c:v>102.49026499999999</c:v>
                </c:pt>
                <c:pt idx="1949">
                  <c:v>102.306488</c:v>
                </c:pt>
                <c:pt idx="1950">
                  <c:v>101.323212</c:v>
                </c:pt>
                <c:pt idx="1951">
                  <c:v>100.863731</c:v>
                </c:pt>
                <c:pt idx="1952">
                  <c:v>101.76430499999999</c:v>
                </c:pt>
                <c:pt idx="1953">
                  <c:v>101.865379</c:v>
                </c:pt>
                <c:pt idx="1954">
                  <c:v>101.52538300000001</c:v>
                </c:pt>
                <c:pt idx="1955">
                  <c:v>101.534561</c:v>
                </c:pt>
                <c:pt idx="1956">
                  <c:v>101.029152</c:v>
                </c:pt>
                <c:pt idx="1957">
                  <c:v>101.69998200000001</c:v>
                </c:pt>
                <c:pt idx="1958">
                  <c:v>101.12103999999999</c:v>
                </c:pt>
                <c:pt idx="1959">
                  <c:v>101.304832</c:v>
                </c:pt>
                <c:pt idx="1960">
                  <c:v>100.192909</c:v>
                </c:pt>
                <c:pt idx="1961">
                  <c:v>101.433487</c:v>
                </c:pt>
                <c:pt idx="1962">
                  <c:v>101.837822</c:v>
                </c:pt>
                <c:pt idx="1963">
                  <c:v>101.03833</c:v>
                </c:pt>
                <c:pt idx="1964">
                  <c:v>100.248047</c:v>
                </c:pt>
                <c:pt idx="1965">
                  <c:v>99.503692999999998</c:v>
                </c:pt>
                <c:pt idx="1966">
                  <c:v>103.427605</c:v>
                </c:pt>
                <c:pt idx="1967">
                  <c:v>104.686554</c:v>
                </c:pt>
                <c:pt idx="1968">
                  <c:v>103.105965</c:v>
                </c:pt>
                <c:pt idx="1969">
                  <c:v>103.133537</c:v>
                </c:pt>
                <c:pt idx="1970">
                  <c:v>104.06167600000001</c:v>
                </c:pt>
                <c:pt idx="1971">
                  <c:v>104.323891</c:v>
                </c:pt>
                <c:pt idx="1972">
                  <c:v>105.138626</c:v>
                </c:pt>
                <c:pt idx="1973">
                  <c:v>105.859718</c:v>
                </c:pt>
                <c:pt idx="1974">
                  <c:v>111.881287</c:v>
                </c:pt>
                <c:pt idx="1975">
                  <c:v>112.920776</c:v>
                </c:pt>
                <c:pt idx="1976">
                  <c:v>111.544151</c:v>
                </c:pt>
                <c:pt idx="1977">
                  <c:v>111.544151</c:v>
                </c:pt>
                <c:pt idx="1978">
                  <c:v>111.43177</c:v>
                </c:pt>
                <c:pt idx="1979">
                  <c:v>111.338127</c:v>
                </c:pt>
                <c:pt idx="1980">
                  <c:v>112.218422</c:v>
                </c:pt>
                <c:pt idx="1981">
                  <c:v>112.02175099999999</c:v>
                </c:pt>
                <c:pt idx="1982">
                  <c:v>112.79903400000001</c:v>
                </c:pt>
                <c:pt idx="1983">
                  <c:v>111.918747</c:v>
                </c:pt>
                <c:pt idx="1984">
                  <c:v>109.568169</c:v>
                </c:pt>
                <c:pt idx="1985">
                  <c:v>110.51402299999999</c:v>
                </c:pt>
                <c:pt idx="1986">
                  <c:v>110.897972</c:v>
                </c:pt>
                <c:pt idx="1987">
                  <c:v>111.057182</c:v>
                </c:pt>
                <c:pt idx="1988">
                  <c:v>111.000992</c:v>
                </c:pt>
                <c:pt idx="1989">
                  <c:v>110.841797</c:v>
                </c:pt>
                <c:pt idx="1990">
                  <c:v>110.963531</c:v>
                </c:pt>
                <c:pt idx="1991">
                  <c:v>109.28723100000001</c:v>
                </c:pt>
                <c:pt idx="1992">
                  <c:v>109.52134700000001</c:v>
                </c:pt>
                <c:pt idx="1993">
                  <c:v>109.91468</c:v>
                </c:pt>
                <c:pt idx="1994">
                  <c:v>110.70130899999999</c:v>
                </c:pt>
                <c:pt idx="1995">
                  <c:v>110.879242</c:v>
                </c:pt>
                <c:pt idx="1996">
                  <c:v>110.52338399999999</c:v>
                </c:pt>
                <c:pt idx="1997">
                  <c:v>109.708641</c:v>
                </c:pt>
                <c:pt idx="1998">
                  <c:v>107.208252</c:v>
                </c:pt>
                <c:pt idx="1999">
                  <c:v>106.290497</c:v>
                </c:pt>
                <c:pt idx="2000">
                  <c:v>105.78479799999999</c:v>
                </c:pt>
                <c:pt idx="2001">
                  <c:v>106.646355</c:v>
                </c:pt>
                <c:pt idx="2002">
                  <c:v>106.740013</c:v>
                </c:pt>
                <c:pt idx="2003">
                  <c:v>106.01892100000001</c:v>
                </c:pt>
                <c:pt idx="2004">
                  <c:v>106.665092</c:v>
                </c:pt>
                <c:pt idx="2005">
                  <c:v>106.89919999999999</c:v>
                </c:pt>
                <c:pt idx="2006">
                  <c:v>106.927307</c:v>
                </c:pt>
                <c:pt idx="2007">
                  <c:v>106.590172</c:v>
                </c:pt>
                <c:pt idx="2008">
                  <c:v>106.150024</c:v>
                </c:pt>
                <c:pt idx="2009">
                  <c:v>106.103195</c:v>
                </c:pt>
                <c:pt idx="2010">
                  <c:v>106.683815</c:v>
                </c:pt>
                <c:pt idx="2011">
                  <c:v>106.402878</c:v>
                </c:pt>
                <c:pt idx="2012">
                  <c:v>106.477783</c:v>
                </c:pt>
                <c:pt idx="2013">
                  <c:v>103.630898</c:v>
                </c:pt>
                <c:pt idx="2014">
                  <c:v>103.349953</c:v>
                </c:pt>
                <c:pt idx="2015">
                  <c:v>103.406136</c:v>
                </c:pt>
                <c:pt idx="2016">
                  <c:v>103.012817</c:v>
                </c:pt>
                <c:pt idx="2017">
                  <c:v>103.359314</c:v>
                </c:pt>
                <c:pt idx="2018">
                  <c:v>103.780731</c:v>
                </c:pt>
                <c:pt idx="2019">
                  <c:v>104.661018</c:v>
                </c:pt>
                <c:pt idx="2020">
                  <c:v>104.014847</c:v>
                </c:pt>
                <c:pt idx="2021">
                  <c:v>105.36338000000001</c:v>
                </c:pt>
                <c:pt idx="2022">
                  <c:v>105.86908699999999</c:v>
                </c:pt>
                <c:pt idx="2023">
                  <c:v>107.03031900000001</c:v>
                </c:pt>
                <c:pt idx="2024">
                  <c:v>106.936668</c:v>
                </c:pt>
                <c:pt idx="2025">
                  <c:v>107.217606</c:v>
                </c:pt>
                <c:pt idx="2026">
                  <c:v>107.517281</c:v>
                </c:pt>
                <c:pt idx="2027">
                  <c:v>108.17282899999999</c:v>
                </c:pt>
                <c:pt idx="2028">
                  <c:v>107.451729</c:v>
                </c:pt>
                <c:pt idx="2029">
                  <c:v>106.54335</c:v>
                </c:pt>
                <c:pt idx="2030">
                  <c:v>106.72127500000001</c:v>
                </c:pt>
                <c:pt idx="2031">
                  <c:v>108.36011499999999</c:v>
                </c:pt>
                <c:pt idx="2032">
                  <c:v>115.03722399999999</c:v>
                </c:pt>
                <c:pt idx="2033">
                  <c:v>113.482658</c:v>
                </c:pt>
                <c:pt idx="2034">
                  <c:v>112.995705</c:v>
                </c:pt>
                <c:pt idx="2035">
                  <c:v>112.209045</c:v>
                </c:pt>
                <c:pt idx="2036">
                  <c:v>111.216385</c:v>
                </c:pt>
                <c:pt idx="2037">
                  <c:v>112.180954</c:v>
                </c:pt>
                <c:pt idx="2038">
                  <c:v>112.405708</c:v>
                </c:pt>
                <c:pt idx="2039">
                  <c:v>111.93746899999999</c:v>
                </c:pt>
                <c:pt idx="2040">
                  <c:v>111.272575</c:v>
                </c:pt>
                <c:pt idx="2041">
                  <c:v>110.167519</c:v>
                </c:pt>
                <c:pt idx="2042">
                  <c:v>108.687889</c:v>
                </c:pt>
                <c:pt idx="2043">
                  <c:v>108.463127</c:v>
                </c:pt>
                <c:pt idx="2044">
                  <c:v>109.015663</c:v>
                </c:pt>
                <c:pt idx="2045">
                  <c:v>109.59627500000001</c:v>
                </c:pt>
                <c:pt idx="2046">
                  <c:v>110.270538</c:v>
                </c:pt>
                <c:pt idx="2047">
                  <c:v>109.446442</c:v>
                </c:pt>
                <c:pt idx="2048">
                  <c:v>108.912643</c:v>
                </c:pt>
                <c:pt idx="2049">
                  <c:v>109.343422</c:v>
                </c:pt>
                <c:pt idx="2050">
                  <c:v>109.465164</c:v>
                </c:pt>
                <c:pt idx="2051">
                  <c:v>108.71597300000001</c:v>
                </c:pt>
                <c:pt idx="2052">
                  <c:v>108.509956</c:v>
                </c:pt>
                <c:pt idx="2053">
                  <c:v>109.090569</c:v>
                </c:pt>
                <c:pt idx="2054">
                  <c:v>108.453766</c:v>
                </c:pt>
                <c:pt idx="2055">
                  <c:v>109.42770400000001</c:v>
                </c:pt>
                <c:pt idx="2056">
                  <c:v>110.27990699999999</c:v>
                </c:pt>
                <c:pt idx="2057">
                  <c:v>110.851151</c:v>
                </c:pt>
                <c:pt idx="2058">
                  <c:v>111.094635</c:v>
                </c:pt>
                <c:pt idx="2059">
                  <c:v>111.291298</c:v>
                </c:pt>
                <c:pt idx="2060">
                  <c:v>111.862549</c:v>
                </c:pt>
                <c:pt idx="2061">
                  <c:v>113.51076500000001</c:v>
                </c:pt>
                <c:pt idx="2062">
                  <c:v>113.772972</c:v>
                </c:pt>
                <c:pt idx="2063">
                  <c:v>113.904083</c:v>
                </c:pt>
                <c:pt idx="2064">
                  <c:v>113.969627</c:v>
                </c:pt>
                <c:pt idx="2065">
                  <c:v>113.688698</c:v>
                </c:pt>
                <c:pt idx="2066">
                  <c:v>114.00709500000001</c:v>
                </c:pt>
                <c:pt idx="2067">
                  <c:v>113.182991</c:v>
                </c:pt>
                <c:pt idx="2068">
                  <c:v>112.53681899999999</c:v>
                </c:pt>
                <c:pt idx="2069">
                  <c:v>112.452545</c:v>
                </c:pt>
                <c:pt idx="2070">
                  <c:v>110.598305</c:v>
                </c:pt>
                <c:pt idx="2071">
                  <c:v>109.549454</c:v>
                </c:pt>
                <c:pt idx="2072">
                  <c:v>108.996925</c:v>
                </c:pt>
                <c:pt idx="2073">
                  <c:v>109.418335</c:v>
                </c:pt>
                <c:pt idx="2074">
                  <c:v>110.02705400000001</c:v>
                </c:pt>
                <c:pt idx="2075">
                  <c:v>110.972893</c:v>
                </c:pt>
                <c:pt idx="2076">
                  <c:v>111.441132</c:v>
                </c:pt>
                <c:pt idx="2077">
                  <c:v>111.722092</c:v>
                </c:pt>
                <c:pt idx="2078">
                  <c:v>111.422409</c:v>
                </c:pt>
                <c:pt idx="2079">
                  <c:v>112.452545</c:v>
                </c:pt>
                <c:pt idx="2080">
                  <c:v>113.267273</c:v>
                </c:pt>
                <c:pt idx="2081">
                  <c:v>114.79373200000001</c:v>
                </c:pt>
                <c:pt idx="2082">
                  <c:v>113.88535299999999</c:v>
                </c:pt>
                <c:pt idx="2083">
                  <c:v>114.625175</c:v>
                </c:pt>
                <c:pt idx="2084">
                  <c:v>116.217178</c:v>
                </c:pt>
                <c:pt idx="2085">
                  <c:v>116.29209899999999</c:v>
                </c:pt>
                <c:pt idx="2086">
                  <c:v>116.704155</c:v>
                </c:pt>
                <c:pt idx="2087">
                  <c:v>117.397156</c:v>
                </c:pt>
                <c:pt idx="2088">
                  <c:v>117.734283</c:v>
                </c:pt>
                <c:pt idx="2089">
                  <c:v>118.01522799999999</c:v>
                </c:pt>
                <c:pt idx="2090">
                  <c:v>117.80920399999999</c:v>
                </c:pt>
                <c:pt idx="2091">
                  <c:v>117.940315</c:v>
                </c:pt>
                <c:pt idx="2092">
                  <c:v>117.51889</c:v>
                </c:pt>
                <c:pt idx="2093">
                  <c:v>117.15366400000001</c:v>
                </c:pt>
                <c:pt idx="2094">
                  <c:v>116.123535</c:v>
                </c:pt>
                <c:pt idx="2095">
                  <c:v>113.838516</c:v>
                </c:pt>
                <c:pt idx="2096">
                  <c:v>112.761574</c:v>
                </c:pt>
                <c:pt idx="2097">
                  <c:v>112.087311</c:v>
                </c:pt>
                <c:pt idx="2098">
                  <c:v>113.136162</c:v>
                </c:pt>
                <c:pt idx="2099">
                  <c:v>114.981026</c:v>
                </c:pt>
                <c:pt idx="2100">
                  <c:v>114.381676</c:v>
                </c:pt>
                <c:pt idx="2101">
                  <c:v>113.248543</c:v>
                </c:pt>
                <c:pt idx="2102">
                  <c:v>113.99773399999999</c:v>
                </c:pt>
                <c:pt idx="2103">
                  <c:v>112.920776</c:v>
                </c:pt>
                <c:pt idx="2104">
                  <c:v>111.12273399999999</c:v>
                </c:pt>
                <c:pt idx="2105">
                  <c:v>110.645134</c:v>
                </c:pt>
                <c:pt idx="2106">
                  <c:v>110.691956</c:v>
                </c:pt>
                <c:pt idx="2107">
                  <c:v>110.654495</c:v>
                </c:pt>
                <c:pt idx="2108">
                  <c:v>110.289261</c:v>
                </c:pt>
                <c:pt idx="2109">
                  <c:v>109.197952</c:v>
                </c:pt>
                <c:pt idx="2110">
                  <c:v>107.989609</c:v>
                </c:pt>
                <c:pt idx="2111">
                  <c:v>109.33116099999999</c:v>
                </c:pt>
                <c:pt idx="2112">
                  <c:v>109.40728</c:v>
                </c:pt>
                <c:pt idx="2113">
                  <c:v>109.92105100000001</c:v>
                </c:pt>
                <c:pt idx="2114">
                  <c:v>110.006691</c:v>
                </c:pt>
                <c:pt idx="2115">
                  <c:v>110.130379</c:v>
                </c:pt>
                <c:pt idx="2116">
                  <c:v>111.852501</c:v>
                </c:pt>
                <c:pt idx="2117">
                  <c:v>111.80493199999999</c:v>
                </c:pt>
                <c:pt idx="2118">
                  <c:v>111.738327</c:v>
                </c:pt>
                <c:pt idx="2119">
                  <c:v>110.26358</c:v>
                </c:pt>
                <c:pt idx="2120">
                  <c:v>108.931541</c:v>
                </c:pt>
                <c:pt idx="2121">
                  <c:v>109.854454</c:v>
                </c:pt>
                <c:pt idx="2122">
                  <c:v>109.806892</c:v>
                </c:pt>
                <c:pt idx="2123">
                  <c:v>107.485344</c:v>
                </c:pt>
                <c:pt idx="2124">
                  <c:v>107.513893</c:v>
                </c:pt>
                <c:pt idx="2125">
                  <c:v>105.858368</c:v>
                </c:pt>
                <c:pt idx="2126">
                  <c:v>106.25797300000001</c:v>
                </c:pt>
                <c:pt idx="2127">
                  <c:v>106.010597</c:v>
                </c:pt>
                <c:pt idx="2128">
                  <c:v>105.725166</c:v>
                </c:pt>
                <c:pt idx="2129">
                  <c:v>105.52536000000001</c:v>
                </c:pt>
                <c:pt idx="2130">
                  <c:v>105.135262</c:v>
                </c:pt>
                <c:pt idx="2131">
                  <c:v>105.24943500000001</c:v>
                </c:pt>
                <c:pt idx="2132">
                  <c:v>106.020111</c:v>
                </c:pt>
                <c:pt idx="2133">
                  <c:v>106.353111</c:v>
                </c:pt>
                <c:pt idx="2134">
                  <c:v>106.210396</c:v>
                </c:pt>
                <c:pt idx="2135">
                  <c:v>105.94399300000001</c:v>
                </c:pt>
                <c:pt idx="2136">
                  <c:v>106.143799</c:v>
                </c:pt>
                <c:pt idx="2137">
                  <c:v>106.00108299999999</c:v>
                </c:pt>
                <c:pt idx="2138">
                  <c:v>106.705162</c:v>
                </c:pt>
                <c:pt idx="2139">
                  <c:v>105.858368</c:v>
                </c:pt>
                <c:pt idx="2140">
                  <c:v>106.143799</c:v>
                </c:pt>
                <c:pt idx="2141">
                  <c:v>106.962051</c:v>
                </c:pt>
                <c:pt idx="2142">
                  <c:v>107.78981</c:v>
                </c:pt>
                <c:pt idx="2143">
                  <c:v>108.084755</c:v>
                </c:pt>
                <c:pt idx="2144">
                  <c:v>109.169411</c:v>
                </c:pt>
                <c:pt idx="2145">
                  <c:v>108.41776299999999</c:v>
                </c:pt>
                <c:pt idx="2146">
                  <c:v>108.77932</c:v>
                </c:pt>
                <c:pt idx="2147">
                  <c:v>108.38922100000001</c:v>
                </c:pt>
                <c:pt idx="2148">
                  <c:v>108.655624</c:v>
                </c:pt>
                <c:pt idx="2149">
                  <c:v>109.32164</c:v>
                </c:pt>
                <c:pt idx="2150">
                  <c:v>109.930573</c:v>
                </c:pt>
                <c:pt idx="2151">
                  <c:v>110.34921300000001</c:v>
                </c:pt>
                <c:pt idx="2152">
                  <c:v>109.530968</c:v>
                </c:pt>
                <c:pt idx="2153">
                  <c:v>109.63562</c:v>
                </c:pt>
                <c:pt idx="2154">
                  <c:v>109.626114</c:v>
                </c:pt>
                <c:pt idx="2155">
                  <c:v>108.941063</c:v>
                </c:pt>
                <c:pt idx="2156">
                  <c:v>108.70320100000001</c:v>
                </c:pt>
                <c:pt idx="2157">
                  <c:v>108.160881</c:v>
                </c:pt>
                <c:pt idx="2158">
                  <c:v>109.34066799999999</c:v>
                </c:pt>
                <c:pt idx="2159">
                  <c:v>108.008636</c:v>
                </c:pt>
                <c:pt idx="2160">
                  <c:v>107.456802</c:v>
                </c:pt>
                <c:pt idx="2161">
                  <c:v>107.970589</c:v>
                </c:pt>
                <c:pt idx="2162">
                  <c:v>108.560486</c:v>
                </c:pt>
                <c:pt idx="2163">
                  <c:v>106.334091</c:v>
                </c:pt>
                <c:pt idx="2164">
                  <c:v>101.776642</c:v>
                </c:pt>
                <c:pt idx="2165">
                  <c:v>103.670036</c:v>
                </c:pt>
                <c:pt idx="2166">
                  <c:v>101.871788</c:v>
                </c:pt>
                <c:pt idx="2167">
                  <c:v>98.570250999999999</c:v>
                </c:pt>
                <c:pt idx="2168">
                  <c:v>98.142105000000001</c:v>
                </c:pt>
                <c:pt idx="2169">
                  <c:v>99.141129000000006</c:v>
                </c:pt>
                <c:pt idx="2170">
                  <c:v>98.760543999999996</c:v>
                </c:pt>
                <c:pt idx="2171">
                  <c:v>99.141129000000006</c:v>
                </c:pt>
                <c:pt idx="2172">
                  <c:v>99.578795999999997</c:v>
                </c:pt>
                <c:pt idx="2173">
                  <c:v>100.967911</c:v>
                </c:pt>
                <c:pt idx="2174">
                  <c:v>100.235291</c:v>
                </c:pt>
                <c:pt idx="2175">
                  <c:v>99.959372999999999</c:v>
                </c:pt>
                <c:pt idx="2176">
                  <c:v>100.22577699999999</c:v>
                </c:pt>
                <c:pt idx="2177">
                  <c:v>102.04304500000001</c:v>
                </c:pt>
                <c:pt idx="2178">
                  <c:v>103.708084</c:v>
                </c:pt>
                <c:pt idx="2179">
                  <c:v>101.08208500000001</c:v>
                </c:pt>
                <c:pt idx="2180">
                  <c:v>101.02499400000001</c:v>
                </c:pt>
                <c:pt idx="2181">
                  <c:v>104.13623</c:v>
                </c:pt>
                <c:pt idx="2182">
                  <c:v>105.258949</c:v>
                </c:pt>
                <c:pt idx="2183">
                  <c:v>106.238945</c:v>
                </c:pt>
                <c:pt idx="2184">
                  <c:v>107.285538</c:v>
                </c:pt>
                <c:pt idx="2185">
                  <c:v>107.33311500000001</c:v>
                </c:pt>
                <c:pt idx="2186">
                  <c:v>109.645134</c:v>
                </c:pt>
                <c:pt idx="2187">
                  <c:v>109.597565</c:v>
                </c:pt>
                <c:pt idx="2188">
                  <c:v>109.987663</c:v>
                </c:pt>
                <c:pt idx="2189">
                  <c:v>109.131355</c:v>
                </c:pt>
                <c:pt idx="2190">
                  <c:v>107.989609</c:v>
                </c:pt>
                <c:pt idx="2191">
                  <c:v>107.39020499999999</c:v>
                </c:pt>
                <c:pt idx="2192">
                  <c:v>107.52340700000001</c:v>
                </c:pt>
                <c:pt idx="2193">
                  <c:v>106.781273</c:v>
                </c:pt>
                <c:pt idx="2194">
                  <c:v>107.199905</c:v>
                </c:pt>
                <c:pt idx="2195">
                  <c:v>104.87838000000001</c:v>
                </c:pt>
                <c:pt idx="2196">
                  <c:v>103.213341</c:v>
                </c:pt>
                <c:pt idx="2197">
                  <c:v>101.614906</c:v>
                </c:pt>
                <c:pt idx="2198">
                  <c:v>102.51876799999999</c:v>
                </c:pt>
                <c:pt idx="2199">
                  <c:v>102.252365</c:v>
                </c:pt>
                <c:pt idx="2200">
                  <c:v>104.307495</c:v>
                </c:pt>
                <c:pt idx="2201">
                  <c:v>104.60245500000001</c:v>
                </c:pt>
                <c:pt idx="2202">
                  <c:v>102.556831</c:v>
                </c:pt>
                <c:pt idx="2203">
                  <c:v>103.49876399999999</c:v>
                </c:pt>
                <c:pt idx="2204">
                  <c:v>103.936432</c:v>
                </c:pt>
                <c:pt idx="2205">
                  <c:v>104.69760100000001</c:v>
                </c:pt>
                <c:pt idx="2206">
                  <c:v>102.69955400000001</c:v>
                </c:pt>
                <c:pt idx="2207">
                  <c:v>103.43216700000001</c:v>
                </c:pt>
                <c:pt idx="2208">
                  <c:v>103.061104</c:v>
                </c:pt>
                <c:pt idx="2209">
                  <c:v>101.09159099999999</c:v>
                </c:pt>
                <c:pt idx="2210">
                  <c:v>100.092575</c:v>
                </c:pt>
                <c:pt idx="2211">
                  <c:v>99.712006000000002</c:v>
                </c:pt>
                <c:pt idx="2212">
                  <c:v>99.255302</c:v>
                </c:pt>
                <c:pt idx="2213">
                  <c:v>101.529259</c:v>
                </c:pt>
                <c:pt idx="2214">
                  <c:v>101.805183</c:v>
                </c:pt>
                <c:pt idx="2215">
                  <c:v>99.959372999999999</c:v>
                </c:pt>
                <c:pt idx="2216">
                  <c:v>98.893753000000004</c:v>
                </c:pt>
                <c:pt idx="2217">
                  <c:v>98.065987000000007</c:v>
                </c:pt>
                <c:pt idx="2218">
                  <c:v>97.504638999999997</c:v>
                </c:pt>
                <c:pt idx="2219">
                  <c:v>98.218215999999998</c:v>
                </c:pt>
                <c:pt idx="2220">
                  <c:v>96.952788999999996</c:v>
                </c:pt>
                <c:pt idx="2221">
                  <c:v>95.002319</c:v>
                </c:pt>
                <c:pt idx="2222">
                  <c:v>95.221153000000001</c:v>
                </c:pt>
                <c:pt idx="2223">
                  <c:v>95.209441999999996</c:v>
                </c:pt>
                <c:pt idx="2224">
                  <c:v>92.370429999999999</c:v>
                </c:pt>
                <c:pt idx="2225">
                  <c:v>94.263107000000005</c:v>
                </c:pt>
                <c:pt idx="2226">
                  <c:v>95.063102999999998</c:v>
                </c:pt>
                <c:pt idx="2227">
                  <c:v>95.258217000000002</c:v>
                </c:pt>
                <c:pt idx="2228">
                  <c:v>95.843581999999998</c:v>
                </c:pt>
                <c:pt idx="2229">
                  <c:v>95.541145</c:v>
                </c:pt>
                <c:pt idx="2230">
                  <c:v>93.072868</c:v>
                </c:pt>
                <c:pt idx="2231">
                  <c:v>92.741150000000005</c:v>
                </c:pt>
                <c:pt idx="2232">
                  <c:v>93.150908999999999</c:v>
                </c:pt>
                <c:pt idx="2233">
                  <c:v>91.307013999999995</c:v>
                </c:pt>
                <c:pt idx="2234">
                  <c:v>91.638724999999994</c:v>
                </c:pt>
                <c:pt idx="2235">
                  <c:v>92.116767999999993</c:v>
                </c:pt>
                <c:pt idx="2236">
                  <c:v>91.999701999999999</c:v>
                </c:pt>
                <c:pt idx="2237">
                  <c:v>91.90213</c:v>
                </c:pt>
                <c:pt idx="2238">
                  <c:v>92.614326000000005</c:v>
                </c:pt>
                <c:pt idx="2239">
                  <c:v>92.458220999999995</c:v>
                </c:pt>
                <c:pt idx="2240">
                  <c:v>93.414321999999999</c:v>
                </c:pt>
                <c:pt idx="2241">
                  <c:v>92.409453999999997</c:v>
                </c:pt>
                <c:pt idx="2242">
                  <c:v>90.087508999999997</c:v>
                </c:pt>
                <c:pt idx="2243">
                  <c:v>91.853363000000002</c:v>
                </c:pt>
                <c:pt idx="2244">
                  <c:v>91.307013999999995</c:v>
                </c:pt>
                <c:pt idx="2245">
                  <c:v>91.141159000000002</c:v>
                </c:pt>
                <c:pt idx="2246">
                  <c:v>93.931396000000007</c:v>
                </c:pt>
                <c:pt idx="2247">
                  <c:v>92.819205999999994</c:v>
                </c:pt>
                <c:pt idx="2248">
                  <c:v>92.555794000000006</c:v>
                </c:pt>
                <c:pt idx="2249">
                  <c:v>91.667984000000004</c:v>
                </c:pt>
                <c:pt idx="2250">
                  <c:v>92.360671999999994</c:v>
                </c:pt>
                <c:pt idx="2251">
                  <c:v>94.565535999999994</c:v>
                </c:pt>
                <c:pt idx="2252">
                  <c:v>95.267982000000003</c:v>
                </c:pt>
                <c:pt idx="2253">
                  <c:v>95.414321999999999</c:v>
                </c:pt>
                <c:pt idx="2254">
                  <c:v>94.994804000000002</c:v>
                </c:pt>
                <c:pt idx="2255">
                  <c:v>96.126510999999994</c:v>
                </c:pt>
                <c:pt idx="2256">
                  <c:v>94.243583999999998</c:v>
                </c:pt>
                <c:pt idx="2257">
                  <c:v>94.067986000000005</c:v>
                </c:pt>
                <c:pt idx="2258">
                  <c:v>94.438713000000007</c:v>
                </c:pt>
                <c:pt idx="2259">
                  <c:v>94.916763000000003</c:v>
                </c:pt>
                <c:pt idx="2260">
                  <c:v>96.711876000000004</c:v>
                </c:pt>
                <c:pt idx="2261">
                  <c:v>95.443588000000005</c:v>
                </c:pt>
                <c:pt idx="2262">
                  <c:v>96.009438000000003</c:v>
                </c:pt>
                <c:pt idx="2263">
                  <c:v>95.355782000000005</c:v>
                </c:pt>
                <c:pt idx="2264">
                  <c:v>96.750900000000001</c:v>
                </c:pt>
                <c:pt idx="2265">
                  <c:v>98.302115999999998</c:v>
                </c:pt>
                <c:pt idx="2266">
                  <c:v>98.146018999999995</c:v>
                </c:pt>
                <c:pt idx="2267">
                  <c:v>98.955771999999996</c:v>
                </c:pt>
                <c:pt idx="2268">
                  <c:v>99.921616</c:v>
                </c:pt>
                <c:pt idx="2269">
                  <c:v>101.30697600000001</c:v>
                </c:pt>
                <c:pt idx="2270">
                  <c:v>101.27771</c:v>
                </c:pt>
                <c:pt idx="2271">
                  <c:v>101.355766</c:v>
                </c:pt>
                <c:pt idx="2272">
                  <c:v>100.54600499999999</c:v>
                </c:pt>
                <c:pt idx="2273">
                  <c:v>100.887474</c:v>
                </c:pt>
                <c:pt idx="2274">
                  <c:v>101.385025</c:v>
                </c:pt>
                <c:pt idx="2275">
                  <c:v>100.89722399999999</c:v>
                </c:pt>
                <c:pt idx="2276">
                  <c:v>100.243568</c:v>
                </c:pt>
                <c:pt idx="2277">
                  <c:v>99.980164000000002</c:v>
                </c:pt>
                <c:pt idx="2278">
                  <c:v>101.004547</c:v>
                </c:pt>
                <c:pt idx="2279">
                  <c:v>102.067955</c:v>
                </c:pt>
                <c:pt idx="2280">
                  <c:v>102.331367</c:v>
                </c:pt>
                <c:pt idx="2281">
                  <c:v>102.409424</c:v>
                </c:pt>
                <c:pt idx="2282">
                  <c:v>104.12648799999999</c:v>
                </c:pt>
                <c:pt idx="2283">
                  <c:v>98.897239999999996</c:v>
                </c:pt>
                <c:pt idx="2284">
                  <c:v>99.267966999999999</c:v>
                </c:pt>
                <c:pt idx="2285">
                  <c:v>98.799674999999993</c:v>
                </c:pt>
                <c:pt idx="2286">
                  <c:v>99.238701000000006</c:v>
                </c:pt>
                <c:pt idx="2287">
                  <c:v>98.692359999999994</c:v>
                </c:pt>
                <c:pt idx="2288">
                  <c:v>97.980164000000002</c:v>
                </c:pt>
                <c:pt idx="2289">
                  <c:v>98.185042999999993</c:v>
                </c:pt>
                <c:pt idx="2290">
                  <c:v>97.541145</c:v>
                </c:pt>
                <c:pt idx="2291">
                  <c:v>98.292357999999993</c:v>
                </c:pt>
                <c:pt idx="2292">
                  <c:v>97.102112000000005</c:v>
                </c:pt>
                <c:pt idx="2293">
                  <c:v>97.277725000000004</c:v>
                </c:pt>
                <c:pt idx="2294">
                  <c:v>94.077736000000002</c:v>
                </c:pt>
                <c:pt idx="2295">
                  <c:v>94.048469999999995</c:v>
                </c:pt>
                <c:pt idx="2296">
                  <c:v>95.326515000000001</c:v>
                </c:pt>
                <c:pt idx="2297">
                  <c:v>95.980170999999999</c:v>
                </c:pt>
                <c:pt idx="2298">
                  <c:v>96.067977999999997</c:v>
                </c:pt>
                <c:pt idx="2299">
                  <c:v>97.424064999999999</c:v>
                </c:pt>
                <c:pt idx="2300">
                  <c:v>96.975288000000006</c:v>
                </c:pt>
                <c:pt idx="2301">
                  <c:v>97.775283999999999</c:v>
                </c:pt>
                <c:pt idx="2302">
                  <c:v>96.067977999999997</c:v>
                </c:pt>
                <c:pt idx="2303">
                  <c:v>95.414321999999999</c:v>
                </c:pt>
                <c:pt idx="2304">
                  <c:v>95.814316000000005</c:v>
                </c:pt>
                <c:pt idx="2305">
                  <c:v>96.272850000000005</c:v>
                </c:pt>
                <c:pt idx="2306">
                  <c:v>95.599677999999997</c:v>
                </c:pt>
                <c:pt idx="2307">
                  <c:v>95.560654</c:v>
                </c:pt>
                <c:pt idx="2308">
                  <c:v>93.258223999999998</c:v>
                </c:pt>
                <c:pt idx="2309">
                  <c:v>90.955794999999995</c:v>
                </c:pt>
                <c:pt idx="2310">
                  <c:v>89.716774000000001</c:v>
                </c:pt>
                <c:pt idx="2311">
                  <c:v>88.682631999999998</c:v>
                </c:pt>
                <c:pt idx="2312">
                  <c:v>88.028976</c:v>
                </c:pt>
                <c:pt idx="2313">
                  <c:v>87.550933999999998</c:v>
                </c:pt>
                <c:pt idx="2314">
                  <c:v>87.687507999999994</c:v>
                </c:pt>
                <c:pt idx="2315">
                  <c:v>85.872887000000006</c:v>
                </c:pt>
                <c:pt idx="2316">
                  <c:v>85.980202000000006</c:v>
                </c:pt>
                <c:pt idx="2317">
                  <c:v>87.170440999999997</c:v>
                </c:pt>
                <c:pt idx="2318">
                  <c:v>87.111908</c:v>
                </c:pt>
                <c:pt idx="2319">
                  <c:v>87.609466999999995</c:v>
                </c:pt>
                <c:pt idx="2320">
                  <c:v>87.960693000000006</c:v>
                </c:pt>
                <c:pt idx="2321">
                  <c:v>87.736298000000005</c:v>
                </c:pt>
                <c:pt idx="2322">
                  <c:v>89.687507999999994</c:v>
                </c:pt>
                <c:pt idx="2323">
                  <c:v>89.794822999999994</c:v>
                </c:pt>
                <c:pt idx="2324">
                  <c:v>88.302154999999999</c:v>
                </c:pt>
                <c:pt idx="2325">
                  <c:v>88.302154999999999</c:v>
                </c:pt>
                <c:pt idx="2326">
                  <c:v>87.482635000000002</c:v>
                </c:pt>
                <c:pt idx="2327">
                  <c:v>85.950935000000001</c:v>
                </c:pt>
                <c:pt idx="2328">
                  <c:v>85.433860999999993</c:v>
                </c:pt>
                <c:pt idx="2329">
                  <c:v>84.428993000000006</c:v>
                </c:pt>
                <c:pt idx="2330">
                  <c:v>83.726555000000005</c:v>
                </c:pt>
                <c:pt idx="2331">
                  <c:v>85.472885000000005</c:v>
                </c:pt>
                <c:pt idx="2332">
                  <c:v>84.936301999999998</c:v>
                </c:pt>
                <c:pt idx="2333">
                  <c:v>84.536308000000005</c:v>
                </c:pt>
                <c:pt idx="2334">
                  <c:v>84.936301999999998</c:v>
                </c:pt>
                <c:pt idx="2335">
                  <c:v>84.477767999999998</c:v>
                </c:pt>
                <c:pt idx="2336">
                  <c:v>82.936310000000006</c:v>
                </c:pt>
                <c:pt idx="2337">
                  <c:v>82.282653999999994</c:v>
                </c:pt>
                <c:pt idx="2338">
                  <c:v>82.282653999999994</c:v>
                </c:pt>
                <c:pt idx="2339">
                  <c:v>82.565582000000006</c:v>
                </c:pt>
                <c:pt idx="2340">
                  <c:v>83.346062000000003</c:v>
                </c:pt>
                <c:pt idx="2341">
                  <c:v>81.668021999999993</c:v>
                </c:pt>
                <c:pt idx="2342">
                  <c:v>81.385101000000006</c:v>
                </c:pt>
                <c:pt idx="2343">
                  <c:v>81.814368999999999</c:v>
                </c:pt>
                <c:pt idx="2344">
                  <c:v>81.424126000000001</c:v>
                </c:pt>
                <c:pt idx="2345">
                  <c:v>80.214371</c:v>
                </c:pt>
                <c:pt idx="2346">
                  <c:v>80.243637000000007</c:v>
                </c:pt>
                <c:pt idx="2347">
                  <c:v>72.721710000000002</c:v>
                </c:pt>
                <c:pt idx="2348">
                  <c:v>72.272934000000006</c:v>
                </c:pt>
                <c:pt idx="2349">
                  <c:v>73.033905000000004</c:v>
                </c:pt>
                <c:pt idx="2350">
                  <c:v>72.526588000000004</c:v>
                </c:pt>
                <c:pt idx="2351">
                  <c:v>72.175376999999997</c:v>
                </c:pt>
                <c:pt idx="2352">
                  <c:v>74.809509000000006</c:v>
                </c:pt>
                <c:pt idx="2353">
                  <c:v>74.643653999999998</c:v>
                </c:pt>
                <c:pt idx="2354">
                  <c:v>74.116828999999996</c:v>
                </c:pt>
                <c:pt idx="2355">
                  <c:v>74.068047000000007</c:v>
                </c:pt>
                <c:pt idx="2356">
                  <c:v>74.770484999999994</c:v>
                </c:pt>
                <c:pt idx="2357">
                  <c:v>72.790001000000004</c:v>
                </c:pt>
                <c:pt idx="2358">
                  <c:v>72.799767000000003</c:v>
                </c:pt>
                <c:pt idx="2359">
                  <c:v>71.414390999999995</c:v>
                </c:pt>
                <c:pt idx="2360">
                  <c:v>71.424155999999996</c:v>
                </c:pt>
                <c:pt idx="2361">
                  <c:v>74.731460999999996</c:v>
                </c:pt>
                <c:pt idx="2362">
                  <c:v>75.346091999999999</c:v>
                </c:pt>
                <c:pt idx="2363">
                  <c:v>76.926575</c:v>
                </c:pt>
                <c:pt idx="2364">
                  <c:v>76.389999000000003</c:v>
                </c:pt>
                <c:pt idx="2365">
                  <c:v>74.233894000000006</c:v>
                </c:pt>
                <c:pt idx="2366">
                  <c:v>74.672927999999999</c:v>
                </c:pt>
                <c:pt idx="2367">
                  <c:v>74.302199999999999</c:v>
                </c:pt>
                <c:pt idx="2368">
                  <c:v>75.229018999999994</c:v>
                </c:pt>
                <c:pt idx="2369">
                  <c:v>75.034522999999993</c:v>
                </c:pt>
                <c:pt idx="2370">
                  <c:v>76.090926999999994</c:v>
                </c:pt>
                <c:pt idx="2371">
                  <c:v>76.258765999999994</c:v>
                </c:pt>
                <c:pt idx="2372">
                  <c:v>75.893471000000005</c:v>
                </c:pt>
                <c:pt idx="2373">
                  <c:v>74.916045999999994</c:v>
                </c:pt>
                <c:pt idx="2374">
                  <c:v>73.326492000000002</c:v>
                </c:pt>
                <c:pt idx="2375">
                  <c:v>71.351906</c:v>
                </c:pt>
                <c:pt idx="2376">
                  <c:v>69.870956000000007</c:v>
                </c:pt>
                <c:pt idx="2377">
                  <c:v>69.653762999999998</c:v>
                </c:pt>
                <c:pt idx="2378">
                  <c:v>69.476044000000002</c:v>
                </c:pt>
                <c:pt idx="2379">
                  <c:v>70.680542000000003</c:v>
                </c:pt>
                <c:pt idx="2380">
                  <c:v>70.394233999999997</c:v>
                </c:pt>
                <c:pt idx="2381">
                  <c:v>68.814552000000006</c:v>
                </c:pt>
                <c:pt idx="2382">
                  <c:v>67.363235000000003</c:v>
                </c:pt>
                <c:pt idx="2383">
                  <c:v>67.876625000000004</c:v>
                </c:pt>
                <c:pt idx="2384">
                  <c:v>67.925995</c:v>
                </c:pt>
                <c:pt idx="2385">
                  <c:v>66.918944999999994</c:v>
                </c:pt>
                <c:pt idx="2386">
                  <c:v>65.546599999999998</c:v>
                </c:pt>
                <c:pt idx="2387">
                  <c:v>64.598800999999995</c:v>
                </c:pt>
                <c:pt idx="2388">
                  <c:v>66.079741999999996</c:v>
                </c:pt>
                <c:pt idx="2389">
                  <c:v>65.457747999999995</c:v>
                </c:pt>
                <c:pt idx="2390">
                  <c:v>65.033210999999994</c:v>
                </c:pt>
                <c:pt idx="2391">
                  <c:v>64.973968999999997</c:v>
                </c:pt>
                <c:pt idx="2392">
                  <c:v>65.072708000000006</c:v>
                </c:pt>
                <c:pt idx="2393">
                  <c:v>65.576217999999997</c:v>
                </c:pt>
                <c:pt idx="2394">
                  <c:v>68.212303000000006</c:v>
                </c:pt>
                <c:pt idx="2395">
                  <c:v>68.518364000000005</c:v>
                </c:pt>
                <c:pt idx="2396">
                  <c:v>69.851219</c:v>
                </c:pt>
                <c:pt idx="2397">
                  <c:v>69.347694000000004</c:v>
                </c:pt>
                <c:pt idx="2398">
                  <c:v>69.861091999999999</c:v>
                </c:pt>
                <c:pt idx="2399">
                  <c:v>72.793364999999994</c:v>
                </c:pt>
                <c:pt idx="2400">
                  <c:v>71.608604</c:v>
                </c:pt>
                <c:pt idx="2401">
                  <c:v>71.598724000000004</c:v>
                </c:pt>
                <c:pt idx="2402">
                  <c:v>69.604393000000002</c:v>
                </c:pt>
                <c:pt idx="2403">
                  <c:v>71.065597999999994</c:v>
                </c:pt>
                <c:pt idx="2404">
                  <c:v>72.714377999999996</c:v>
                </c:pt>
                <c:pt idx="2405">
                  <c:v>72.566283999999996</c:v>
                </c:pt>
                <c:pt idx="2406">
                  <c:v>72.971076999999994</c:v>
                </c:pt>
                <c:pt idx="2407">
                  <c:v>73.306754999999995</c:v>
                </c:pt>
                <c:pt idx="2408">
                  <c:v>73.909003999999996</c:v>
                </c:pt>
                <c:pt idx="2409">
                  <c:v>72.743995999999996</c:v>
                </c:pt>
                <c:pt idx="2410">
                  <c:v>73.050055999999998</c:v>
                </c:pt>
                <c:pt idx="2411">
                  <c:v>73.987990999999994</c:v>
                </c:pt>
                <c:pt idx="2412">
                  <c:v>75.468933000000007</c:v>
                </c:pt>
                <c:pt idx="2413">
                  <c:v>75.863845999999995</c:v>
                </c:pt>
                <c:pt idx="2414">
                  <c:v>76.426613000000003</c:v>
                </c:pt>
                <c:pt idx="2415">
                  <c:v>77.858192000000003</c:v>
                </c:pt>
                <c:pt idx="2416">
                  <c:v>77.305305000000004</c:v>
                </c:pt>
                <c:pt idx="2417">
                  <c:v>75.923088000000007</c:v>
                </c:pt>
                <c:pt idx="2418">
                  <c:v>75.182616999999993</c:v>
                </c:pt>
                <c:pt idx="2419">
                  <c:v>75.399826000000004</c:v>
                </c:pt>
                <c:pt idx="2420">
                  <c:v>75.380073999999993</c:v>
                </c:pt>
                <c:pt idx="2421">
                  <c:v>76.752419000000003</c:v>
                </c:pt>
                <c:pt idx="2422">
                  <c:v>74.935790999999995</c:v>
                </c:pt>
                <c:pt idx="2423">
                  <c:v>76.703056000000004</c:v>
                </c:pt>
                <c:pt idx="2424">
                  <c:v>76.130424000000005</c:v>
                </c:pt>
                <c:pt idx="2425">
                  <c:v>76.693184000000002</c:v>
                </c:pt>
                <c:pt idx="2426">
                  <c:v>76.515465000000006</c:v>
                </c:pt>
                <c:pt idx="2427">
                  <c:v>74.086715999999996</c:v>
                </c:pt>
                <c:pt idx="2428">
                  <c:v>73.909003999999996</c:v>
                </c:pt>
                <c:pt idx="2429">
                  <c:v>74.244681999999997</c:v>
                </c:pt>
                <c:pt idx="2430">
                  <c:v>73.770781999999997</c:v>
                </c:pt>
                <c:pt idx="2431">
                  <c:v>77.167084000000003</c:v>
                </c:pt>
                <c:pt idx="2432">
                  <c:v>80.918807999999999</c:v>
                </c:pt>
                <c:pt idx="2433">
                  <c:v>80.741095999999999</c:v>
                </c:pt>
                <c:pt idx="2434">
                  <c:v>81.155754000000002</c:v>
                </c:pt>
                <c:pt idx="2435">
                  <c:v>81.086646999999999</c:v>
                </c:pt>
                <c:pt idx="2436">
                  <c:v>79.339134000000001</c:v>
                </c:pt>
                <c:pt idx="2437">
                  <c:v>79.556342999999998</c:v>
                </c:pt>
                <c:pt idx="2438">
                  <c:v>79.773544000000001</c:v>
                </c:pt>
                <c:pt idx="2439">
                  <c:v>79.674812000000003</c:v>
                </c:pt>
                <c:pt idx="2440">
                  <c:v>79.704436999999999</c:v>
                </c:pt>
                <c:pt idx="2441">
                  <c:v>78.638153000000003</c:v>
                </c:pt>
                <c:pt idx="2442">
                  <c:v>80.217827</c:v>
                </c:pt>
                <c:pt idx="2443">
                  <c:v>81.027411999999998</c:v>
                </c:pt>
                <c:pt idx="2444">
                  <c:v>82.804550000000006</c:v>
                </c:pt>
                <c:pt idx="2445">
                  <c:v>82.370131999999998</c:v>
                </c:pt>
                <c:pt idx="2446">
                  <c:v>82.853904999999997</c:v>
                </c:pt>
                <c:pt idx="2447">
                  <c:v>79.714302000000004</c:v>
                </c:pt>
                <c:pt idx="2448">
                  <c:v>79.329262</c:v>
                </c:pt>
                <c:pt idx="2449">
                  <c:v>80.987915000000001</c:v>
                </c:pt>
                <c:pt idx="2450">
                  <c:v>81.412452999999999</c:v>
                </c:pt>
                <c:pt idx="2451">
                  <c:v>81.649405999999999</c:v>
                </c:pt>
                <c:pt idx="2452">
                  <c:v>82.903274999999994</c:v>
                </c:pt>
                <c:pt idx="2453">
                  <c:v>82.577468999999994</c:v>
                </c:pt>
                <c:pt idx="2454">
                  <c:v>83.110602999999998</c:v>
                </c:pt>
                <c:pt idx="2455">
                  <c:v>82.784797999999995</c:v>
                </c:pt>
                <c:pt idx="2456">
                  <c:v>83.910315999999995</c:v>
                </c:pt>
                <c:pt idx="2457">
                  <c:v>85.223419000000007</c:v>
                </c:pt>
                <c:pt idx="2458">
                  <c:v>84.966721000000007</c:v>
                </c:pt>
                <c:pt idx="2459">
                  <c:v>85.332024000000004</c:v>
                </c:pt>
                <c:pt idx="2460">
                  <c:v>86.121864000000002</c:v>
                </c:pt>
                <c:pt idx="2461">
                  <c:v>86.852463</c:v>
                </c:pt>
                <c:pt idx="2462">
                  <c:v>87.415222</c:v>
                </c:pt>
                <c:pt idx="2463">
                  <c:v>87.977974000000003</c:v>
                </c:pt>
                <c:pt idx="2464">
                  <c:v>87.592934</c:v>
                </c:pt>
                <c:pt idx="2465">
                  <c:v>87.207886000000002</c:v>
                </c:pt>
                <c:pt idx="2466">
                  <c:v>88.817177000000001</c:v>
                </c:pt>
                <c:pt idx="2467">
                  <c:v>88.461753999999999</c:v>
                </c:pt>
                <c:pt idx="2468">
                  <c:v>88.116196000000002</c:v>
                </c:pt>
                <c:pt idx="2469">
                  <c:v>87.089409000000003</c:v>
                </c:pt>
                <c:pt idx="2470">
                  <c:v>85.539351999999994</c:v>
                </c:pt>
                <c:pt idx="2471">
                  <c:v>86.467415000000003</c:v>
                </c:pt>
                <c:pt idx="2472">
                  <c:v>86.891953000000001</c:v>
                </c:pt>
                <c:pt idx="2473">
                  <c:v>87.810142999999997</c:v>
                </c:pt>
                <c:pt idx="2474">
                  <c:v>86.694489000000004</c:v>
                </c:pt>
                <c:pt idx="2475">
                  <c:v>86.427925000000002</c:v>
                </c:pt>
                <c:pt idx="2476">
                  <c:v>86.980804000000006</c:v>
                </c:pt>
                <c:pt idx="2477">
                  <c:v>86.654999000000004</c:v>
                </c:pt>
                <c:pt idx="2478">
                  <c:v>84.260002</c:v>
                </c:pt>
                <c:pt idx="2479">
                  <c:v>84.940002000000007</c:v>
                </c:pt>
                <c:pt idx="2480">
                  <c:v>83.940002000000007</c:v>
                </c:pt>
                <c:pt idx="2481">
                  <c:v>84.139999000000003</c:v>
                </c:pt>
                <c:pt idx="2482">
                  <c:v>82.730002999999996</c:v>
                </c:pt>
                <c:pt idx="2483">
                  <c:v>83.010002</c:v>
                </c:pt>
                <c:pt idx="2484">
                  <c:v>83.830001999999993</c:v>
                </c:pt>
                <c:pt idx="2485">
                  <c:v>83.879997000000003</c:v>
                </c:pt>
                <c:pt idx="2486">
                  <c:v>82.639999000000003</c:v>
                </c:pt>
                <c:pt idx="2487">
                  <c:v>81.010002</c:v>
                </c:pt>
                <c:pt idx="2488">
                  <c:v>81</c:v>
                </c:pt>
                <c:pt idx="2489">
                  <c:v>82.620002999999997</c:v>
                </c:pt>
                <c:pt idx="2490">
                  <c:v>82.300003000000004</c:v>
                </c:pt>
                <c:pt idx="2491">
                  <c:v>82.760002</c:v>
                </c:pt>
                <c:pt idx="2492">
                  <c:v>82.349997999999999</c:v>
                </c:pt>
                <c:pt idx="2493">
                  <c:v>81.300003000000004</c:v>
                </c:pt>
                <c:pt idx="2494">
                  <c:v>82.379997000000003</c:v>
                </c:pt>
                <c:pt idx="2495">
                  <c:v>81.400002000000001</c:v>
                </c:pt>
                <c:pt idx="2496">
                  <c:v>82.279999000000004</c:v>
                </c:pt>
                <c:pt idx="2497">
                  <c:v>83.940002000000007</c:v>
                </c:pt>
                <c:pt idx="2498">
                  <c:v>83.269997000000004</c:v>
                </c:pt>
                <c:pt idx="2499">
                  <c:v>84.099997999999999</c:v>
                </c:pt>
                <c:pt idx="2500">
                  <c:v>85.32</c:v>
                </c:pt>
                <c:pt idx="2501">
                  <c:v>85.330001999999993</c:v>
                </c:pt>
                <c:pt idx="2502">
                  <c:v>85.809997999999993</c:v>
                </c:pt>
                <c:pt idx="2503">
                  <c:v>86.800003000000004</c:v>
                </c:pt>
                <c:pt idx="2504">
                  <c:v>85.93</c:v>
                </c:pt>
                <c:pt idx="2505">
                  <c:v>84.18</c:v>
                </c:pt>
                <c:pt idx="2506">
                  <c:v>84.32</c:v>
                </c:pt>
                <c:pt idx="2507">
                  <c:v>86.870002999999997</c:v>
                </c:pt>
                <c:pt idx="2508">
                  <c:v>87.919998000000007</c:v>
                </c:pt>
                <c:pt idx="2509">
                  <c:v>89.739998</c:v>
                </c:pt>
                <c:pt idx="2510">
                  <c:v>90.080001999999993</c:v>
                </c:pt>
                <c:pt idx="2511">
                  <c:v>90.080001999999993</c:v>
                </c:pt>
                <c:pt idx="2512">
                  <c:v>88.400002000000001</c:v>
                </c:pt>
                <c:pt idx="2513">
                  <c:v>87.370002999999997</c:v>
                </c:pt>
                <c:pt idx="2514">
                  <c:v>87.199996999999996</c:v>
                </c:pt>
                <c:pt idx="2515">
                  <c:v>88.510002</c:v>
                </c:pt>
                <c:pt idx="2516">
                  <c:v>88.43</c:v>
                </c:pt>
                <c:pt idx="2517">
                  <c:v>90.650002000000001</c:v>
                </c:pt>
                <c:pt idx="2518">
                  <c:v>93.93</c:v>
                </c:pt>
                <c:pt idx="2519">
                  <c:v>92.709998999999996</c:v>
                </c:pt>
                <c:pt idx="2520">
                  <c:v>91.68</c:v>
                </c:pt>
                <c:pt idx="2521">
                  <c:v>91.510002</c:v>
                </c:pt>
                <c:pt idx="2522">
                  <c:v>91.349997999999999</c:v>
                </c:pt>
                <c:pt idx="2523">
                  <c:v>89.660004000000001</c:v>
                </c:pt>
                <c:pt idx="2524">
                  <c:v>86.940002000000007</c:v>
                </c:pt>
                <c:pt idx="2525">
                  <c:v>88.559997999999993</c:v>
                </c:pt>
                <c:pt idx="2526">
                  <c:v>88.010002</c:v>
                </c:pt>
                <c:pt idx="2527">
                  <c:v>88.419998000000007</c:v>
                </c:pt>
                <c:pt idx="2528">
                  <c:v>89.339995999999999</c:v>
                </c:pt>
                <c:pt idx="2529">
                  <c:v>94.279999000000004</c:v>
                </c:pt>
                <c:pt idx="2530">
                  <c:v>94.970000999999996</c:v>
                </c:pt>
                <c:pt idx="2531">
                  <c:v>95.830001999999993</c:v>
                </c:pt>
                <c:pt idx="2532">
                  <c:v>95.559997999999993</c:v>
                </c:pt>
                <c:pt idx="2533">
                  <c:v>99.489998</c:v>
                </c:pt>
                <c:pt idx="2534">
                  <c:v>100.489998</c:v>
                </c:pt>
                <c:pt idx="2535">
                  <c:v>101.66999800000001</c:v>
                </c:pt>
                <c:pt idx="2536">
                  <c:v>101.58000199999999</c:v>
                </c:pt>
                <c:pt idx="2537">
                  <c:v>100.980003</c:v>
                </c:pt>
                <c:pt idx="2538">
                  <c:v>100.459999</c:v>
                </c:pt>
                <c:pt idx="2539">
                  <c:v>100.19000200000001</c:v>
                </c:pt>
                <c:pt idx="2540">
                  <c:v>98.190002000000007</c:v>
                </c:pt>
                <c:pt idx="2541">
                  <c:v>97.699996999999996</c:v>
                </c:pt>
                <c:pt idx="2542">
                  <c:v>98.169998000000007</c:v>
                </c:pt>
                <c:pt idx="2543">
                  <c:v>98.510002</c:v>
                </c:pt>
                <c:pt idx="2544">
                  <c:v>98.220000999999996</c:v>
                </c:pt>
                <c:pt idx="2545">
                  <c:v>96.269997000000004</c:v>
                </c:pt>
                <c:pt idx="2546">
                  <c:v>95.669998000000007</c:v>
                </c:pt>
                <c:pt idx="2547">
                  <c:v>93.360000999999997</c:v>
                </c:pt>
                <c:pt idx="2548">
                  <c:v>93.629997000000003</c:v>
                </c:pt>
                <c:pt idx="2549">
                  <c:v>95.290001000000004</c:v>
                </c:pt>
                <c:pt idx="2550">
                  <c:v>95.919998000000007</c:v>
                </c:pt>
                <c:pt idx="2551">
                  <c:v>94.949996999999996</c:v>
                </c:pt>
                <c:pt idx="2552">
                  <c:v>95.870002999999997</c:v>
                </c:pt>
                <c:pt idx="2553">
                  <c:v>95.580001999999993</c:v>
                </c:pt>
                <c:pt idx="2554">
                  <c:v>94.190002000000007</c:v>
                </c:pt>
                <c:pt idx="2555">
                  <c:v>94.800003000000004</c:v>
                </c:pt>
                <c:pt idx="2556">
                  <c:v>92.989998</c:v>
                </c:pt>
                <c:pt idx="2557">
                  <c:v>93.639999000000003</c:v>
                </c:pt>
                <c:pt idx="2558">
                  <c:v>95.260002</c:v>
                </c:pt>
                <c:pt idx="2559">
                  <c:v>94.5</c:v>
                </c:pt>
                <c:pt idx="2560">
                  <c:v>93.959998999999996</c:v>
                </c:pt>
                <c:pt idx="2561">
                  <c:v>94.730002999999996</c:v>
                </c:pt>
                <c:pt idx="2562">
                  <c:v>93.25</c:v>
                </c:pt>
                <c:pt idx="2563">
                  <c:v>93.57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68-4F98-9725-281B49297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396000"/>
        <c:axId val="886396328"/>
      </c:lineChart>
      <c:dateAx>
        <c:axId val="886396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396328"/>
        <c:crosses val="autoZero"/>
        <c:auto val="1"/>
        <c:lblOffset val="100"/>
        <c:baseTimeUnit val="days"/>
      </c:dateAx>
      <c:valAx>
        <c:axId val="88639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39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'Bud vs Call'!$B$3</c:f>
              <c:strCache>
                <c:ptCount val="1"/>
                <c:pt idx="0">
                  <c:v>BUD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'Bud vs Call'!$A$2300:$A$2569</c:f>
              <c:numCache>
                <c:formatCode>m/d/yyyy</c:formatCode>
                <c:ptCount val="270"/>
                <c:pt idx="0">
                  <c:v>43322</c:v>
                </c:pt>
                <c:pt idx="1">
                  <c:v>43325</c:v>
                </c:pt>
                <c:pt idx="2">
                  <c:v>43326</c:v>
                </c:pt>
                <c:pt idx="3">
                  <c:v>43327</c:v>
                </c:pt>
                <c:pt idx="4">
                  <c:v>43328</c:v>
                </c:pt>
                <c:pt idx="5">
                  <c:v>43329</c:v>
                </c:pt>
                <c:pt idx="6">
                  <c:v>43332</c:v>
                </c:pt>
                <c:pt idx="7">
                  <c:v>43333</c:v>
                </c:pt>
                <c:pt idx="8">
                  <c:v>43334</c:v>
                </c:pt>
                <c:pt idx="9">
                  <c:v>43335</c:v>
                </c:pt>
                <c:pt idx="10">
                  <c:v>43336</c:v>
                </c:pt>
                <c:pt idx="11">
                  <c:v>43339</c:v>
                </c:pt>
                <c:pt idx="12">
                  <c:v>43340</c:v>
                </c:pt>
                <c:pt idx="13">
                  <c:v>43341</c:v>
                </c:pt>
                <c:pt idx="14">
                  <c:v>43342</c:v>
                </c:pt>
                <c:pt idx="15">
                  <c:v>43343</c:v>
                </c:pt>
                <c:pt idx="16">
                  <c:v>43347</c:v>
                </c:pt>
                <c:pt idx="17">
                  <c:v>43348</c:v>
                </c:pt>
                <c:pt idx="18">
                  <c:v>43349</c:v>
                </c:pt>
                <c:pt idx="19">
                  <c:v>43350</c:v>
                </c:pt>
                <c:pt idx="20">
                  <c:v>43353</c:v>
                </c:pt>
                <c:pt idx="21">
                  <c:v>43354</c:v>
                </c:pt>
                <c:pt idx="22">
                  <c:v>43355</c:v>
                </c:pt>
                <c:pt idx="23">
                  <c:v>43356</c:v>
                </c:pt>
                <c:pt idx="24">
                  <c:v>43357</c:v>
                </c:pt>
                <c:pt idx="25">
                  <c:v>43360</c:v>
                </c:pt>
                <c:pt idx="26">
                  <c:v>43361</c:v>
                </c:pt>
                <c:pt idx="27">
                  <c:v>43362</c:v>
                </c:pt>
                <c:pt idx="28">
                  <c:v>43363</c:v>
                </c:pt>
                <c:pt idx="29">
                  <c:v>43364</c:v>
                </c:pt>
                <c:pt idx="30">
                  <c:v>43367</c:v>
                </c:pt>
                <c:pt idx="31">
                  <c:v>43368</c:v>
                </c:pt>
                <c:pt idx="32">
                  <c:v>43369</c:v>
                </c:pt>
                <c:pt idx="33">
                  <c:v>43370</c:v>
                </c:pt>
                <c:pt idx="34">
                  <c:v>43371</c:v>
                </c:pt>
                <c:pt idx="35">
                  <c:v>43374</c:v>
                </c:pt>
                <c:pt idx="36">
                  <c:v>43375</c:v>
                </c:pt>
                <c:pt idx="37">
                  <c:v>43376</c:v>
                </c:pt>
                <c:pt idx="38">
                  <c:v>43377</c:v>
                </c:pt>
                <c:pt idx="39">
                  <c:v>43378</c:v>
                </c:pt>
                <c:pt idx="40">
                  <c:v>43381</c:v>
                </c:pt>
                <c:pt idx="41">
                  <c:v>43382</c:v>
                </c:pt>
                <c:pt idx="42">
                  <c:v>43383</c:v>
                </c:pt>
                <c:pt idx="43">
                  <c:v>43384</c:v>
                </c:pt>
                <c:pt idx="44">
                  <c:v>43385</c:v>
                </c:pt>
                <c:pt idx="45">
                  <c:v>43388</c:v>
                </c:pt>
                <c:pt idx="46">
                  <c:v>43389</c:v>
                </c:pt>
                <c:pt idx="47">
                  <c:v>43390</c:v>
                </c:pt>
                <c:pt idx="48">
                  <c:v>43391</c:v>
                </c:pt>
                <c:pt idx="49">
                  <c:v>43392</c:v>
                </c:pt>
                <c:pt idx="50">
                  <c:v>43395</c:v>
                </c:pt>
                <c:pt idx="51">
                  <c:v>43396</c:v>
                </c:pt>
                <c:pt idx="52">
                  <c:v>43397</c:v>
                </c:pt>
                <c:pt idx="53">
                  <c:v>43398</c:v>
                </c:pt>
                <c:pt idx="54">
                  <c:v>43399</c:v>
                </c:pt>
                <c:pt idx="55">
                  <c:v>43402</c:v>
                </c:pt>
                <c:pt idx="56">
                  <c:v>43403</c:v>
                </c:pt>
                <c:pt idx="57">
                  <c:v>43404</c:v>
                </c:pt>
                <c:pt idx="58">
                  <c:v>43405</c:v>
                </c:pt>
                <c:pt idx="59">
                  <c:v>43406</c:v>
                </c:pt>
                <c:pt idx="60">
                  <c:v>43409</c:v>
                </c:pt>
                <c:pt idx="61">
                  <c:v>43410</c:v>
                </c:pt>
                <c:pt idx="62">
                  <c:v>43411</c:v>
                </c:pt>
                <c:pt idx="63">
                  <c:v>43412</c:v>
                </c:pt>
                <c:pt idx="64">
                  <c:v>43413</c:v>
                </c:pt>
                <c:pt idx="65">
                  <c:v>43416</c:v>
                </c:pt>
                <c:pt idx="66">
                  <c:v>43417</c:v>
                </c:pt>
                <c:pt idx="67">
                  <c:v>43418</c:v>
                </c:pt>
                <c:pt idx="68">
                  <c:v>43419</c:v>
                </c:pt>
                <c:pt idx="69">
                  <c:v>43420</c:v>
                </c:pt>
                <c:pt idx="70">
                  <c:v>43423</c:v>
                </c:pt>
                <c:pt idx="71">
                  <c:v>43424</c:v>
                </c:pt>
                <c:pt idx="72">
                  <c:v>43425</c:v>
                </c:pt>
                <c:pt idx="73">
                  <c:v>43427</c:v>
                </c:pt>
                <c:pt idx="74">
                  <c:v>43430</c:v>
                </c:pt>
                <c:pt idx="75">
                  <c:v>43431</c:v>
                </c:pt>
                <c:pt idx="76">
                  <c:v>43432</c:v>
                </c:pt>
                <c:pt idx="77">
                  <c:v>43433</c:v>
                </c:pt>
                <c:pt idx="78">
                  <c:v>43434</c:v>
                </c:pt>
                <c:pt idx="79">
                  <c:v>43437</c:v>
                </c:pt>
                <c:pt idx="80">
                  <c:v>43438</c:v>
                </c:pt>
                <c:pt idx="81">
                  <c:v>43440</c:v>
                </c:pt>
                <c:pt idx="82">
                  <c:v>43441</c:v>
                </c:pt>
                <c:pt idx="83">
                  <c:v>43444</c:v>
                </c:pt>
                <c:pt idx="84">
                  <c:v>43445</c:v>
                </c:pt>
                <c:pt idx="85">
                  <c:v>43446</c:v>
                </c:pt>
                <c:pt idx="86">
                  <c:v>43447</c:v>
                </c:pt>
                <c:pt idx="87">
                  <c:v>43448</c:v>
                </c:pt>
                <c:pt idx="88">
                  <c:v>43451</c:v>
                </c:pt>
                <c:pt idx="89">
                  <c:v>43452</c:v>
                </c:pt>
                <c:pt idx="90">
                  <c:v>43453</c:v>
                </c:pt>
                <c:pt idx="91">
                  <c:v>43454</c:v>
                </c:pt>
                <c:pt idx="92">
                  <c:v>43455</c:v>
                </c:pt>
                <c:pt idx="93">
                  <c:v>43458</c:v>
                </c:pt>
                <c:pt idx="94">
                  <c:v>43460</c:v>
                </c:pt>
                <c:pt idx="95">
                  <c:v>43461</c:v>
                </c:pt>
                <c:pt idx="96">
                  <c:v>43462</c:v>
                </c:pt>
                <c:pt idx="97">
                  <c:v>43465</c:v>
                </c:pt>
                <c:pt idx="98">
                  <c:v>43467</c:v>
                </c:pt>
                <c:pt idx="99">
                  <c:v>43468</c:v>
                </c:pt>
                <c:pt idx="100">
                  <c:v>43469</c:v>
                </c:pt>
                <c:pt idx="101">
                  <c:v>43472</c:v>
                </c:pt>
                <c:pt idx="102">
                  <c:v>43473</c:v>
                </c:pt>
                <c:pt idx="103">
                  <c:v>43474</c:v>
                </c:pt>
                <c:pt idx="104">
                  <c:v>43475</c:v>
                </c:pt>
                <c:pt idx="105">
                  <c:v>43476</c:v>
                </c:pt>
                <c:pt idx="106">
                  <c:v>43479</c:v>
                </c:pt>
                <c:pt idx="107">
                  <c:v>43480</c:v>
                </c:pt>
                <c:pt idx="108">
                  <c:v>43481</c:v>
                </c:pt>
                <c:pt idx="109">
                  <c:v>43482</c:v>
                </c:pt>
                <c:pt idx="110">
                  <c:v>43483</c:v>
                </c:pt>
                <c:pt idx="111">
                  <c:v>43487</c:v>
                </c:pt>
                <c:pt idx="112">
                  <c:v>43488</c:v>
                </c:pt>
                <c:pt idx="113">
                  <c:v>43489</c:v>
                </c:pt>
                <c:pt idx="114">
                  <c:v>43490</c:v>
                </c:pt>
                <c:pt idx="115">
                  <c:v>43493</c:v>
                </c:pt>
                <c:pt idx="116">
                  <c:v>43494</c:v>
                </c:pt>
                <c:pt idx="117">
                  <c:v>43495</c:v>
                </c:pt>
                <c:pt idx="118">
                  <c:v>43496</c:v>
                </c:pt>
                <c:pt idx="119">
                  <c:v>43497</c:v>
                </c:pt>
                <c:pt idx="120">
                  <c:v>43500</c:v>
                </c:pt>
                <c:pt idx="121">
                  <c:v>43501</c:v>
                </c:pt>
                <c:pt idx="122">
                  <c:v>43502</c:v>
                </c:pt>
                <c:pt idx="123">
                  <c:v>43503</c:v>
                </c:pt>
                <c:pt idx="124">
                  <c:v>43504</c:v>
                </c:pt>
                <c:pt idx="125">
                  <c:v>43507</c:v>
                </c:pt>
                <c:pt idx="126">
                  <c:v>43508</c:v>
                </c:pt>
                <c:pt idx="127">
                  <c:v>43509</c:v>
                </c:pt>
                <c:pt idx="128">
                  <c:v>43510</c:v>
                </c:pt>
                <c:pt idx="129">
                  <c:v>43511</c:v>
                </c:pt>
                <c:pt idx="130">
                  <c:v>43515</c:v>
                </c:pt>
                <c:pt idx="131">
                  <c:v>43516</c:v>
                </c:pt>
                <c:pt idx="132">
                  <c:v>43517</c:v>
                </c:pt>
                <c:pt idx="133">
                  <c:v>43518</c:v>
                </c:pt>
                <c:pt idx="134">
                  <c:v>43521</c:v>
                </c:pt>
                <c:pt idx="135">
                  <c:v>43522</c:v>
                </c:pt>
                <c:pt idx="136">
                  <c:v>43523</c:v>
                </c:pt>
                <c:pt idx="137">
                  <c:v>43524</c:v>
                </c:pt>
                <c:pt idx="138">
                  <c:v>43525</c:v>
                </c:pt>
                <c:pt idx="139">
                  <c:v>43528</c:v>
                </c:pt>
                <c:pt idx="140">
                  <c:v>43529</c:v>
                </c:pt>
                <c:pt idx="141">
                  <c:v>43530</c:v>
                </c:pt>
                <c:pt idx="142">
                  <c:v>43531</c:v>
                </c:pt>
                <c:pt idx="143">
                  <c:v>43532</c:v>
                </c:pt>
                <c:pt idx="144">
                  <c:v>43535</c:v>
                </c:pt>
                <c:pt idx="145">
                  <c:v>43536</c:v>
                </c:pt>
                <c:pt idx="146">
                  <c:v>43537</c:v>
                </c:pt>
                <c:pt idx="147">
                  <c:v>43538</c:v>
                </c:pt>
                <c:pt idx="148">
                  <c:v>43539</c:v>
                </c:pt>
                <c:pt idx="149">
                  <c:v>43542</c:v>
                </c:pt>
                <c:pt idx="150">
                  <c:v>43543</c:v>
                </c:pt>
                <c:pt idx="151">
                  <c:v>43544</c:v>
                </c:pt>
                <c:pt idx="152">
                  <c:v>43545</c:v>
                </c:pt>
                <c:pt idx="153">
                  <c:v>43546</c:v>
                </c:pt>
                <c:pt idx="154">
                  <c:v>43549</c:v>
                </c:pt>
                <c:pt idx="155">
                  <c:v>43550</c:v>
                </c:pt>
                <c:pt idx="156">
                  <c:v>43551</c:v>
                </c:pt>
                <c:pt idx="157">
                  <c:v>43552</c:v>
                </c:pt>
                <c:pt idx="158">
                  <c:v>43553</c:v>
                </c:pt>
                <c:pt idx="159">
                  <c:v>43556</c:v>
                </c:pt>
                <c:pt idx="160">
                  <c:v>43557</c:v>
                </c:pt>
                <c:pt idx="161">
                  <c:v>43558</c:v>
                </c:pt>
                <c:pt idx="162">
                  <c:v>43559</c:v>
                </c:pt>
                <c:pt idx="163">
                  <c:v>43560</c:v>
                </c:pt>
                <c:pt idx="164">
                  <c:v>43563</c:v>
                </c:pt>
                <c:pt idx="165">
                  <c:v>43564</c:v>
                </c:pt>
                <c:pt idx="166">
                  <c:v>43565</c:v>
                </c:pt>
                <c:pt idx="167">
                  <c:v>43566</c:v>
                </c:pt>
                <c:pt idx="168">
                  <c:v>43567</c:v>
                </c:pt>
                <c:pt idx="169">
                  <c:v>43570</c:v>
                </c:pt>
                <c:pt idx="170">
                  <c:v>43571</c:v>
                </c:pt>
                <c:pt idx="171">
                  <c:v>43572</c:v>
                </c:pt>
                <c:pt idx="172">
                  <c:v>43573</c:v>
                </c:pt>
                <c:pt idx="173">
                  <c:v>43577</c:v>
                </c:pt>
                <c:pt idx="174">
                  <c:v>43578</c:v>
                </c:pt>
                <c:pt idx="175">
                  <c:v>43579</c:v>
                </c:pt>
                <c:pt idx="176">
                  <c:v>43580</c:v>
                </c:pt>
                <c:pt idx="177">
                  <c:v>43581</c:v>
                </c:pt>
                <c:pt idx="178">
                  <c:v>43584</c:v>
                </c:pt>
                <c:pt idx="179">
                  <c:v>43585</c:v>
                </c:pt>
                <c:pt idx="180">
                  <c:v>43586</c:v>
                </c:pt>
                <c:pt idx="181">
                  <c:v>43587</c:v>
                </c:pt>
                <c:pt idx="182">
                  <c:v>43588</c:v>
                </c:pt>
                <c:pt idx="183">
                  <c:v>43591</c:v>
                </c:pt>
                <c:pt idx="184">
                  <c:v>43592</c:v>
                </c:pt>
                <c:pt idx="185">
                  <c:v>43593</c:v>
                </c:pt>
                <c:pt idx="186">
                  <c:v>43594</c:v>
                </c:pt>
                <c:pt idx="187">
                  <c:v>43595</c:v>
                </c:pt>
                <c:pt idx="188">
                  <c:v>43598</c:v>
                </c:pt>
                <c:pt idx="189">
                  <c:v>43599</c:v>
                </c:pt>
                <c:pt idx="190">
                  <c:v>43600</c:v>
                </c:pt>
                <c:pt idx="191">
                  <c:v>43601</c:v>
                </c:pt>
                <c:pt idx="192">
                  <c:v>43602</c:v>
                </c:pt>
                <c:pt idx="193">
                  <c:v>43605</c:v>
                </c:pt>
                <c:pt idx="194">
                  <c:v>43606</c:v>
                </c:pt>
                <c:pt idx="195">
                  <c:v>43607</c:v>
                </c:pt>
                <c:pt idx="196">
                  <c:v>43608</c:v>
                </c:pt>
                <c:pt idx="197">
                  <c:v>43609</c:v>
                </c:pt>
                <c:pt idx="198">
                  <c:v>43613</c:v>
                </c:pt>
                <c:pt idx="199">
                  <c:v>43614</c:v>
                </c:pt>
                <c:pt idx="200">
                  <c:v>43615</c:v>
                </c:pt>
                <c:pt idx="201">
                  <c:v>43616</c:v>
                </c:pt>
                <c:pt idx="202">
                  <c:v>43619</c:v>
                </c:pt>
                <c:pt idx="203">
                  <c:v>43620</c:v>
                </c:pt>
                <c:pt idx="204">
                  <c:v>43621</c:v>
                </c:pt>
                <c:pt idx="205">
                  <c:v>43622</c:v>
                </c:pt>
                <c:pt idx="206">
                  <c:v>43623</c:v>
                </c:pt>
                <c:pt idx="207">
                  <c:v>43626</c:v>
                </c:pt>
                <c:pt idx="208">
                  <c:v>43627</c:v>
                </c:pt>
                <c:pt idx="209">
                  <c:v>43628</c:v>
                </c:pt>
                <c:pt idx="210">
                  <c:v>43629</c:v>
                </c:pt>
                <c:pt idx="211">
                  <c:v>43630</c:v>
                </c:pt>
                <c:pt idx="212">
                  <c:v>43633</c:v>
                </c:pt>
                <c:pt idx="213">
                  <c:v>43634</c:v>
                </c:pt>
                <c:pt idx="214">
                  <c:v>43635</c:v>
                </c:pt>
                <c:pt idx="215">
                  <c:v>43636</c:v>
                </c:pt>
                <c:pt idx="216">
                  <c:v>43637</c:v>
                </c:pt>
                <c:pt idx="217">
                  <c:v>43640</c:v>
                </c:pt>
                <c:pt idx="218">
                  <c:v>43641</c:v>
                </c:pt>
                <c:pt idx="219">
                  <c:v>43642</c:v>
                </c:pt>
                <c:pt idx="220">
                  <c:v>43643</c:v>
                </c:pt>
                <c:pt idx="221">
                  <c:v>43644</c:v>
                </c:pt>
                <c:pt idx="222">
                  <c:v>43647</c:v>
                </c:pt>
                <c:pt idx="223">
                  <c:v>43648</c:v>
                </c:pt>
                <c:pt idx="224">
                  <c:v>43649</c:v>
                </c:pt>
                <c:pt idx="225">
                  <c:v>43651</c:v>
                </c:pt>
                <c:pt idx="226">
                  <c:v>43654</c:v>
                </c:pt>
                <c:pt idx="227">
                  <c:v>43655</c:v>
                </c:pt>
                <c:pt idx="228">
                  <c:v>43656</c:v>
                </c:pt>
                <c:pt idx="229">
                  <c:v>43657</c:v>
                </c:pt>
                <c:pt idx="230">
                  <c:v>43658</c:v>
                </c:pt>
                <c:pt idx="231">
                  <c:v>43661</c:v>
                </c:pt>
                <c:pt idx="232">
                  <c:v>43662</c:v>
                </c:pt>
                <c:pt idx="233">
                  <c:v>43663</c:v>
                </c:pt>
                <c:pt idx="234">
                  <c:v>43664</c:v>
                </c:pt>
                <c:pt idx="235">
                  <c:v>43665</c:v>
                </c:pt>
                <c:pt idx="236">
                  <c:v>43668</c:v>
                </c:pt>
                <c:pt idx="237">
                  <c:v>43669</c:v>
                </c:pt>
                <c:pt idx="238">
                  <c:v>43670</c:v>
                </c:pt>
                <c:pt idx="239">
                  <c:v>43671</c:v>
                </c:pt>
                <c:pt idx="240">
                  <c:v>43672</c:v>
                </c:pt>
                <c:pt idx="241">
                  <c:v>43675</c:v>
                </c:pt>
                <c:pt idx="242">
                  <c:v>43676</c:v>
                </c:pt>
                <c:pt idx="243">
                  <c:v>43677</c:v>
                </c:pt>
                <c:pt idx="244">
                  <c:v>43678</c:v>
                </c:pt>
                <c:pt idx="245">
                  <c:v>43679</c:v>
                </c:pt>
                <c:pt idx="246">
                  <c:v>43682</c:v>
                </c:pt>
                <c:pt idx="247">
                  <c:v>43683</c:v>
                </c:pt>
                <c:pt idx="248">
                  <c:v>43684</c:v>
                </c:pt>
                <c:pt idx="249">
                  <c:v>43685</c:v>
                </c:pt>
                <c:pt idx="250">
                  <c:v>43686</c:v>
                </c:pt>
                <c:pt idx="251">
                  <c:v>43689</c:v>
                </c:pt>
                <c:pt idx="252">
                  <c:v>43690</c:v>
                </c:pt>
                <c:pt idx="253">
                  <c:v>43691</c:v>
                </c:pt>
                <c:pt idx="254">
                  <c:v>43692</c:v>
                </c:pt>
                <c:pt idx="255">
                  <c:v>43693</c:v>
                </c:pt>
                <c:pt idx="256">
                  <c:v>43696</c:v>
                </c:pt>
                <c:pt idx="257">
                  <c:v>43697</c:v>
                </c:pt>
                <c:pt idx="258">
                  <c:v>43698</c:v>
                </c:pt>
                <c:pt idx="259">
                  <c:v>43699</c:v>
                </c:pt>
                <c:pt idx="260">
                  <c:v>43700</c:v>
                </c:pt>
                <c:pt idx="261">
                  <c:v>43703</c:v>
                </c:pt>
                <c:pt idx="262">
                  <c:v>43704</c:v>
                </c:pt>
                <c:pt idx="263">
                  <c:v>43705</c:v>
                </c:pt>
                <c:pt idx="264">
                  <c:v>43706</c:v>
                </c:pt>
                <c:pt idx="265">
                  <c:v>43707</c:v>
                </c:pt>
                <c:pt idx="266">
                  <c:v>43711</c:v>
                </c:pt>
                <c:pt idx="267">
                  <c:v>43712</c:v>
                </c:pt>
                <c:pt idx="268">
                  <c:v>43713</c:v>
                </c:pt>
                <c:pt idx="269">
                  <c:v>43714</c:v>
                </c:pt>
              </c:numCache>
            </c:numRef>
          </c:cat>
          <c:val>
            <c:numRef>
              <c:f>'Bud vs Call'!$B$2300:$B$2569</c:f>
              <c:numCache>
                <c:formatCode>0.00</c:formatCode>
                <c:ptCount val="270"/>
                <c:pt idx="0">
                  <c:v>94.077736000000002</c:v>
                </c:pt>
                <c:pt idx="1">
                  <c:v>94.048469999999995</c:v>
                </c:pt>
                <c:pt idx="2">
                  <c:v>95.326515000000001</c:v>
                </c:pt>
                <c:pt idx="3">
                  <c:v>95.980170999999999</c:v>
                </c:pt>
                <c:pt idx="4">
                  <c:v>96.067977999999997</c:v>
                </c:pt>
                <c:pt idx="5">
                  <c:v>97.424064999999999</c:v>
                </c:pt>
                <c:pt idx="6">
                  <c:v>96.975288000000006</c:v>
                </c:pt>
                <c:pt idx="7">
                  <c:v>97.775283999999999</c:v>
                </c:pt>
                <c:pt idx="8">
                  <c:v>96.067977999999997</c:v>
                </c:pt>
                <c:pt idx="9">
                  <c:v>95.414321999999999</c:v>
                </c:pt>
                <c:pt idx="10">
                  <c:v>95.814316000000005</c:v>
                </c:pt>
                <c:pt idx="11">
                  <c:v>96.272850000000005</c:v>
                </c:pt>
                <c:pt idx="12">
                  <c:v>95.599677999999997</c:v>
                </c:pt>
                <c:pt idx="13">
                  <c:v>95.560654</c:v>
                </c:pt>
                <c:pt idx="14">
                  <c:v>93.258223999999998</c:v>
                </c:pt>
                <c:pt idx="15">
                  <c:v>90.955794999999995</c:v>
                </c:pt>
                <c:pt idx="16">
                  <c:v>89.716774000000001</c:v>
                </c:pt>
                <c:pt idx="17">
                  <c:v>88.682631999999998</c:v>
                </c:pt>
                <c:pt idx="18">
                  <c:v>88.028976</c:v>
                </c:pt>
                <c:pt idx="19">
                  <c:v>87.550933999999998</c:v>
                </c:pt>
                <c:pt idx="20">
                  <c:v>87.687507999999994</c:v>
                </c:pt>
                <c:pt idx="21">
                  <c:v>85.872887000000006</c:v>
                </c:pt>
                <c:pt idx="22">
                  <c:v>85.980202000000006</c:v>
                </c:pt>
                <c:pt idx="23">
                  <c:v>87.170440999999997</c:v>
                </c:pt>
                <c:pt idx="24">
                  <c:v>87.111908</c:v>
                </c:pt>
                <c:pt idx="25">
                  <c:v>87.609466999999995</c:v>
                </c:pt>
                <c:pt idx="26">
                  <c:v>87.960693000000006</c:v>
                </c:pt>
                <c:pt idx="27">
                  <c:v>87.736298000000005</c:v>
                </c:pt>
                <c:pt idx="28">
                  <c:v>89.687507999999994</c:v>
                </c:pt>
                <c:pt idx="29">
                  <c:v>89.794822999999994</c:v>
                </c:pt>
                <c:pt idx="30">
                  <c:v>88.302154999999999</c:v>
                </c:pt>
                <c:pt idx="31">
                  <c:v>88.302154999999999</c:v>
                </c:pt>
                <c:pt idx="32">
                  <c:v>87.482635000000002</c:v>
                </c:pt>
                <c:pt idx="33">
                  <c:v>85.950935000000001</c:v>
                </c:pt>
                <c:pt idx="34">
                  <c:v>85.433860999999993</c:v>
                </c:pt>
                <c:pt idx="35">
                  <c:v>84.428993000000006</c:v>
                </c:pt>
                <c:pt idx="36">
                  <c:v>83.726555000000005</c:v>
                </c:pt>
                <c:pt idx="37">
                  <c:v>85.472885000000005</c:v>
                </c:pt>
                <c:pt idx="38">
                  <c:v>84.936301999999998</c:v>
                </c:pt>
                <c:pt idx="39">
                  <c:v>84.536308000000005</c:v>
                </c:pt>
                <c:pt idx="40">
                  <c:v>84.936301999999998</c:v>
                </c:pt>
                <c:pt idx="41">
                  <c:v>84.477767999999998</c:v>
                </c:pt>
                <c:pt idx="42">
                  <c:v>82.936310000000006</c:v>
                </c:pt>
                <c:pt idx="43">
                  <c:v>82.282653999999994</c:v>
                </c:pt>
                <c:pt idx="44">
                  <c:v>82.282653999999994</c:v>
                </c:pt>
                <c:pt idx="45">
                  <c:v>82.565582000000006</c:v>
                </c:pt>
                <c:pt idx="46">
                  <c:v>83.346062000000003</c:v>
                </c:pt>
                <c:pt idx="47">
                  <c:v>81.668021999999993</c:v>
                </c:pt>
                <c:pt idx="48">
                  <c:v>81.385101000000006</c:v>
                </c:pt>
                <c:pt idx="49">
                  <c:v>81.814368999999999</c:v>
                </c:pt>
                <c:pt idx="50">
                  <c:v>81.424126000000001</c:v>
                </c:pt>
                <c:pt idx="51">
                  <c:v>80.214371</c:v>
                </c:pt>
                <c:pt idx="52">
                  <c:v>80.243637000000007</c:v>
                </c:pt>
                <c:pt idx="53">
                  <c:v>72.721710000000002</c:v>
                </c:pt>
                <c:pt idx="54">
                  <c:v>72.272934000000006</c:v>
                </c:pt>
                <c:pt idx="55">
                  <c:v>73.033905000000004</c:v>
                </c:pt>
                <c:pt idx="56">
                  <c:v>72.526588000000004</c:v>
                </c:pt>
                <c:pt idx="57">
                  <c:v>72.175376999999997</c:v>
                </c:pt>
                <c:pt idx="58">
                  <c:v>74.809509000000006</c:v>
                </c:pt>
                <c:pt idx="59">
                  <c:v>74.643653999999998</c:v>
                </c:pt>
                <c:pt idx="60">
                  <c:v>74.116828999999996</c:v>
                </c:pt>
                <c:pt idx="61">
                  <c:v>74.068047000000007</c:v>
                </c:pt>
                <c:pt idx="62">
                  <c:v>74.770484999999994</c:v>
                </c:pt>
                <c:pt idx="63">
                  <c:v>72.790001000000004</c:v>
                </c:pt>
                <c:pt idx="64">
                  <c:v>72.799767000000003</c:v>
                </c:pt>
                <c:pt idx="65">
                  <c:v>71.414390999999995</c:v>
                </c:pt>
                <c:pt idx="66">
                  <c:v>71.424155999999996</c:v>
                </c:pt>
                <c:pt idx="67">
                  <c:v>74.731460999999996</c:v>
                </c:pt>
                <c:pt idx="68">
                  <c:v>75.346091999999999</c:v>
                </c:pt>
                <c:pt idx="69">
                  <c:v>76.926575</c:v>
                </c:pt>
                <c:pt idx="70">
                  <c:v>76.389999000000003</c:v>
                </c:pt>
                <c:pt idx="71">
                  <c:v>74.233894000000006</c:v>
                </c:pt>
                <c:pt idx="72">
                  <c:v>74.672927999999999</c:v>
                </c:pt>
                <c:pt idx="73">
                  <c:v>74.302199999999999</c:v>
                </c:pt>
                <c:pt idx="74">
                  <c:v>75.229018999999994</c:v>
                </c:pt>
                <c:pt idx="75">
                  <c:v>75.034522999999993</c:v>
                </c:pt>
                <c:pt idx="76">
                  <c:v>76.090926999999994</c:v>
                </c:pt>
                <c:pt idx="77">
                  <c:v>76.258765999999994</c:v>
                </c:pt>
                <c:pt idx="78">
                  <c:v>75.893471000000005</c:v>
                </c:pt>
                <c:pt idx="79">
                  <c:v>74.916045999999994</c:v>
                </c:pt>
                <c:pt idx="80">
                  <c:v>73.326492000000002</c:v>
                </c:pt>
                <c:pt idx="81">
                  <c:v>71.351906</c:v>
                </c:pt>
                <c:pt idx="82">
                  <c:v>69.870956000000007</c:v>
                </c:pt>
                <c:pt idx="83">
                  <c:v>69.653762999999998</c:v>
                </c:pt>
                <c:pt idx="84">
                  <c:v>69.476044000000002</c:v>
                </c:pt>
                <c:pt idx="85">
                  <c:v>70.680542000000003</c:v>
                </c:pt>
                <c:pt idx="86">
                  <c:v>70.394233999999997</c:v>
                </c:pt>
                <c:pt idx="87">
                  <c:v>68.814552000000006</c:v>
                </c:pt>
                <c:pt idx="88">
                  <c:v>67.363235000000003</c:v>
                </c:pt>
                <c:pt idx="89">
                  <c:v>67.876625000000004</c:v>
                </c:pt>
                <c:pt idx="90">
                  <c:v>67.925995</c:v>
                </c:pt>
                <c:pt idx="91">
                  <c:v>66.918944999999994</c:v>
                </c:pt>
                <c:pt idx="92">
                  <c:v>65.546599999999998</c:v>
                </c:pt>
                <c:pt idx="93">
                  <c:v>64.598800999999995</c:v>
                </c:pt>
                <c:pt idx="94">
                  <c:v>66.079741999999996</c:v>
                </c:pt>
                <c:pt idx="95">
                  <c:v>65.457747999999995</c:v>
                </c:pt>
                <c:pt idx="96">
                  <c:v>65.033210999999994</c:v>
                </c:pt>
                <c:pt idx="97">
                  <c:v>64.973968999999997</c:v>
                </c:pt>
                <c:pt idx="98">
                  <c:v>65.072708000000006</c:v>
                </c:pt>
                <c:pt idx="99">
                  <c:v>65.576217999999997</c:v>
                </c:pt>
                <c:pt idx="100">
                  <c:v>68.212303000000006</c:v>
                </c:pt>
                <c:pt idx="101">
                  <c:v>68.518364000000005</c:v>
                </c:pt>
                <c:pt idx="102">
                  <c:v>69.851219</c:v>
                </c:pt>
                <c:pt idx="103">
                  <c:v>69.347694000000004</c:v>
                </c:pt>
                <c:pt idx="104">
                  <c:v>69.861091999999999</c:v>
                </c:pt>
                <c:pt idx="105">
                  <c:v>72.793364999999994</c:v>
                </c:pt>
                <c:pt idx="106">
                  <c:v>71.608604</c:v>
                </c:pt>
                <c:pt idx="107">
                  <c:v>71.598724000000004</c:v>
                </c:pt>
                <c:pt idx="108">
                  <c:v>69.604393000000002</c:v>
                </c:pt>
                <c:pt idx="109">
                  <c:v>71.065597999999994</c:v>
                </c:pt>
                <c:pt idx="110">
                  <c:v>72.714377999999996</c:v>
                </c:pt>
                <c:pt idx="111">
                  <c:v>72.566283999999996</c:v>
                </c:pt>
                <c:pt idx="112">
                  <c:v>72.971076999999994</c:v>
                </c:pt>
                <c:pt idx="113">
                  <c:v>73.306754999999995</c:v>
                </c:pt>
                <c:pt idx="114">
                  <c:v>73.909003999999996</c:v>
                </c:pt>
                <c:pt idx="115">
                  <c:v>72.743995999999996</c:v>
                </c:pt>
                <c:pt idx="116">
                  <c:v>73.050055999999998</c:v>
                </c:pt>
                <c:pt idx="117">
                  <c:v>73.987990999999994</c:v>
                </c:pt>
                <c:pt idx="118">
                  <c:v>75.468933000000007</c:v>
                </c:pt>
                <c:pt idx="119">
                  <c:v>75.863845999999995</c:v>
                </c:pt>
                <c:pt idx="120">
                  <c:v>76.426613000000003</c:v>
                </c:pt>
                <c:pt idx="121">
                  <c:v>77.858192000000003</c:v>
                </c:pt>
                <c:pt idx="122">
                  <c:v>77.305305000000004</c:v>
                </c:pt>
                <c:pt idx="123">
                  <c:v>75.923088000000007</c:v>
                </c:pt>
                <c:pt idx="124">
                  <c:v>75.182616999999993</c:v>
                </c:pt>
                <c:pt idx="125">
                  <c:v>75.399826000000004</c:v>
                </c:pt>
                <c:pt idx="126">
                  <c:v>75.380073999999993</c:v>
                </c:pt>
                <c:pt idx="127">
                  <c:v>76.752419000000003</c:v>
                </c:pt>
                <c:pt idx="128">
                  <c:v>74.935790999999995</c:v>
                </c:pt>
                <c:pt idx="129">
                  <c:v>76.703056000000004</c:v>
                </c:pt>
                <c:pt idx="130">
                  <c:v>76.130424000000005</c:v>
                </c:pt>
                <c:pt idx="131">
                  <c:v>76.693184000000002</c:v>
                </c:pt>
                <c:pt idx="132">
                  <c:v>76.515465000000006</c:v>
                </c:pt>
                <c:pt idx="133">
                  <c:v>74.086715999999996</c:v>
                </c:pt>
                <c:pt idx="134">
                  <c:v>73.909003999999996</c:v>
                </c:pt>
                <c:pt idx="135">
                  <c:v>74.244681999999997</c:v>
                </c:pt>
                <c:pt idx="136">
                  <c:v>73.770781999999997</c:v>
                </c:pt>
                <c:pt idx="137">
                  <c:v>77.167084000000003</c:v>
                </c:pt>
                <c:pt idx="138">
                  <c:v>80.918807999999999</c:v>
                </c:pt>
                <c:pt idx="139">
                  <c:v>80.741095999999999</c:v>
                </c:pt>
                <c:pt idx="140">
                  <c:v>81.155754000000002</c:v>
                </c:pt>
                <c:pt idx="141">
                  <c:v>81.086646999999999</c:v>
                </c:pt>
                <c:pt idx="142">
                  <c:v>79.339134000000001</c:v>
                </c:pt>
                <c:pt idx="143">
                  <c:v>79.556342999999998</c:v>
                </c:pt>
                <c:pt idx="144">
                  <c:v>79.773544000000001</c:v>
                </c:pt>
                <c:pt idx="145">
                  <c:v>79.674812000000003</c:v>
                </c:pt>
                <c:pt idx="146">
                  <c:v>79.704436999999999</c:v>
                </c:pt>
                <c:pt idx="147">
                  <c:v>78.638153000000003</c:v>
                </c:pt>
                <c:pt idx="148">
                  <c:v>80.217827</c:v>
                </c:pt>
                <c:pt idx="149">
                  <c:v>81.027411999999998</c:v>
                </c:pt>
                <c:pt idx="150">
                  <c:v>82.804550000000006</c:v>
                </c:pt>
                <c:pt idx="151">
                  <c:v>82.370131999999998</c:v>
                </c:pt>
                <c:pt idx="152">
                  <c:v>82.853904999999997</c:v>
                </c:pt>
                <c:pt idx="153">
                  <c:v>79.714302000000004</c:v>
                </c:pt>
                <c:pt idx="154">
                  <c:v>79.329262</c:v>
                </c:pt>
                <c:pt idx="155">
                  <c:v>80.987915000000001</c:v>
                </c:pt>
                <c:pt idx="156">
                  <c:v>81.412452999999999</c:v>
                </c:pt>
                <c:pt idx="157">
                  <c:v>81.649405999999999</c:v>
                </c:pt>
                <c:pt idx="158">
                  <c:v>82.903274999999994</c:v>
                </c:pt>
                <c:pt idx="159">
                  <c:v>82.577468999999994</c:v>
                </c:pt>
                <c:pt idx="160">
                  <c:v>83.110602999999998</c:v>
                </c:pt>
                <c:pt idx="161">
                  <c:v>82.784797999999995</c:v>
                </c:pt>
                <c:pt idx="162">
                  <c:v>83.910315999999995</c:v>
                </c:pt>
                <c:pt idx="163">
                  <c:v>85.223419000000007</c:v>
                </c:pt>
                <c:pt idx="164">
                  <c:v>84.966721000000007</c:v>
                </c:pt>
                <c:pt idx="165">
                  <c:v>85.332024000000004</c:v>
                </c:pt>
                <c:pt idx="166">
                  <c:v>86.121864000000002</c:v>
                </c:pt>
                <c:pt idx="167">
                  <c:v>86.852463</c:v>
                </c:pt>
                <c:pt idx="168">
                  <c:v>87.415222</c:v>
                </c:pt>
                <c:pt idx="169">
                  <c:v>87.977974000000003</c:v>
                </c:pt>
                <c:pt idx="170">
                  <c:v>87.592934</c:v>
                </c:pt>
                <c:pt idx="171">
                  <c:v>87.207886000000002</c:v>
                </c:pt>
                <c:pt idx="172">
                  <c:v>88.817177000000001</c:v>
                </c:pt>
                <c:pt idx="173">
                  <c:v>88.461753999999999</c:v>
                </c:pt>
                <c:pt idx="174">
                  <c:v>88.116196000000002</c:v>
                </c:pt>
                <c:pt idx="175">
                  <c:v>87.089409000000003</c:v>
                </c:pt>
                <c:pt idx="176">
                  <c:v>85.539351999999994</c:v>
                </c:pt>
                <c:pt idx="177">
                  <c:v>86.467415000000003</c:v>
                </c:pt>
                <c:pt idx="178">
                  <c:v>86.891953000000001</c:v>
                </c:pt>
                <c:pt idx="179">
                  <c:v>87.810142999999997</c:v>
                </c:pt>
                <c:pt idx="180">
                  <c:v>86.694489000000004</c:v>
                </c:pt>
                <c:pt idx="181">
                  <c:v>86.427925000000002</c:v>
                </c:pt>
                <c:pt idx="182">
                  <c:v>86.980804000000006</c:v>
                </c:pt>
                <c:pt idx="183">
                  <c:v>86.654999000000004</c:v>
                </c:pt>
                <c:pt idx="184">
                  <c:v>84.260002</c:v>
                </c:pt>
                <c:pt idx="185">
                  <c:v>84.940002000000007</c:v>
                </c:pt>
                <c:pt idx="186">
                  <c:v>83.940002000000007</c:v>
                </c:pt>
                <c:pt idx="187">
                  <c:v>84.139999000000003</c:v>
                </c:pt>
                <c:pt idx="188">
                  <c:v>82.730002999999996</c:v>
                </c:pt>
                <c:pt idx="189">
                  <c:v>83.010002</c:v>
                </c:pt>
                <c:pt idx="190">
                  <c:v>83.830001999999993</c:v>
                </c:pt>
                <c:pt idx="191">
                  <c:v>83.879997000000003</c:v>
                </c:pt>
                <c:pt idx="192">
                  <c:v>82.639999000000003</c:v>
                </c:pt>
                <c:pt idx="193">
                  <c:v>81.010002</c:v>
                </c:pt>
                <c:pt idx="194">
                  <c:v>81</c:v>
                </c:pt>
                <c:pt idx="195">
                  <c:v>82.620002999999997</c:v>
                </c:pt>
                <c:pt idx="196">
                  <c:v>82.300003000000004</c:v>
                </c:pt>
                <c:pt idx="197">
                  <c:v>82.760002</c:v>
                </c:pt>
                <c:pt idx="198">
                  <c:v>82.349997999999999</c:v>
                </c:pt>
                <c:pt idx="199">
                  <c:v>81.300003000000004</c:v>
                </c:pt>
                <c:pt idx="200">
                  <c:v>82.379997000000003</c:v>
                </c:pt>
                <c:pt idx="201">
                  <c:v>81.400002000000001</c:v>
                </c:pt>
                <c:pt idx="202">
                  <c:v>82.279999000000004</c:v>
                </c:pt>
                <c:pt idx="203">
                  <c:v>83.940002000000007</c:v>
                </c:pt>
                <c:pt idx="204">
                  <c:v>83.269997000000004</c:v>
                </c:pt>
                <c:pt idx="205">
                  <c:v>84.099997999999999</c:v>
                </c:pt>
                <c:pt idx="206">
                  <c:v>85.32</c:v>
                </c:pt>
                <c:pt idx="207">
                  <c:v>85.330001999999993</c:v>
                </c:pt>
                <c:pt idx="208">
                  <c:v>85.809997999999993</c:v>
                </c:pt>
                <c:pt idx="209">
                  <c:v>86.800003000000004</c:v>
                </c:pt>
                <c:pt idx="210">
                  <c:v>85.93</c:v>
                </c:pt>
                <c:pt idx="211">
                  <c:v>84.18</c:v>
                </c:pt>
                <c:pt idx="212">
                  <c:v>84.32</c:v>
                </c:pt>
                <c:pt idx="213">
                  <c:v>86.870002999999997</c:v>
                </c:pt>
                <c:pt idx="214">
                  <c:v>87.919998000000007</c:v>
                </c:pt>
                <c:pt idx="215">
                  <c:v>89.739998</c:v>
                </c:pt>
                <c:pt idx="216">
                  <c:v>90.080001999999993</c:v>
                </c:pt>
                <c:pt idx="217">
                  <c:v>90.080001999999993</c:v>
                </c:pt>
                <c:pt idx="218">
                  <c:v>88.400002000000001</c:v>
                </c:pt>
                <c:pt idx="219">
                  <c:v>87.370002999999997</c:v>
                </c:pt>
                <c:pt idx="220">
                  <c:v>87.199996999999996</c:v>
                </c:pt>
                <c:pt idx="221">
                  <c:v>88.510002</c:v>
                </c:pt>
                <c:pt idx="222">
                  <c:v>88.43</c:v>
                </c:pt>
                <c:pt idx="223">
                  <c:v>90.650002000000001</c:v>
                </c:pt>
                <c:pt idx="224">
                  <c:v>93.93</c:v>
                </c:pt>
                <c:pt idx="225">
                  <c:v>92.709998999999996</c:v>
                </c:pt>
                <c:pt idx="226">
                  <c:v>91.68</c:v>
                </c:pt>
                <c:pt idx="227">
                  <c:v>91.510002</c:v>
                </c:pt>
                <c:pt idx="228">
                  <c:v>91.349997999999999</c:v>
                </c:pt>
                <c:pt idx="229">
                  <c:v>89.660004000000001</c:v>
                </c:pt>
                <c:pt idx="230">
                  <c:v>86.940002000000007</c:v>
                </c:pt>
                <c:pt idx="231">
                  <c:v>88.559997999999993</c:v>
                </c:pt>
                <c:pt idx="232">
                  <c:v>88.010002</c:v>
                </c:pt>
                <c:pt idx="233">
                  <c:v>88.419998000000007</c:v>
                </c:pt>
                <c:pt idx="234">
                  <c:v>89.339995999999999</c:v>
                </c:pt>
                <c:pt idx="235">
                  <c:v>94.279999000000004</c:v>
                </c:pt>
                <c:pt idx="236">
                  <c:v>94.970000999999996</c:v>
                </c:pt>
                <c:pt idx="237">
                  <c:v>95.830001999999993</c:v>
                </c:pt>
                <c:pt idx="238">
                  <c:v>95.559997999999993</c:v>
                </c:pt>
                <c:pt idx="239">
                  <c:v>99.489998</c:v>
                </c:pt>
                <c:pt idx="240">
                  <c:v>100.489998</c:v>
                </c:pt>
                <c:pt idx="241">
                  <c:v>101.66999800000001</c:v>
                </c:pt>
                <c:pt idx="242">
                  <c:v>101.58000199999999</c:v>
                </c:pt>
                <c:pt idx="243">
                  <c:v>100.980003</c:v>
                </c:pt>
                <c:pt idx="244">
                  <c:v>100.459999</c:v>
                </c:pt>
                <c:pt idx="245">
                  <c:v>100.19000200000001</c:v>
                </c:pt>
                <c:pt idx="246">
                  <c:v>98.190002000000007</c:v>
                </c:pt>
                <c:pt idx="247">
                  <c:v>97.699996999999996</c:v>
                </c:pt>
                <c:pt idx="248">
                  <c:v>98.169998000000007</c:v>
                </c:pt>
                <c:pt idx="249">
                  <c:v>98.510002</c:v>
                </c:pt>
                <c:pt idx="250">
                  <c:v>98.220000999999996</c:v>
                </c:pt>
                <c:pt idx="251">
                  <c:v>96.269997000000004</c:v>
                </c:pt>
                <c:pt idx="252">
                  <c:v>95.669998000000007</c:v>
                </c:pt>
                <c:pt idx="253">
                  <c:v>93.360000999999997</c:v>
                </c:pt>
                <c:pt idx="254">
                  <c:v>93.629997000000003</c:v>
                </c:pt>
                <c:pt idx="255">
                  <c:v>95.290001000000004</c:v>
                </c:pt>
                <c:pt idx="256">
                  <c:v>95.919998000000007</c:v>
                </c:pt>
                <c:pt idx="257">
                  <c:v>94.949996999999996</c:v>
                </c:pt>
                <c:pt idx="258">
                  <c:v>95.870002999999997</c:v>
                </c:pt>
                <c:pt idx="259">
                  <c:v>95.580001999999993</c:v>
                </c:pt>
                <c:pt idx="260">
                  <c:v>94.190002000000007</c:v>
                </c:pt>
                <c:pt idx="261">
                  <c:v>94.800003000000004</c:v>
                </c:pt>
                <c:pt idx="262">
                  <c:v>92.989998</c:v>
                </c:pt>
                <c:pt idx="263">
                  <c:v>93.639999000000003</c:v>
                </c:pt>
                <c:pt idx="264">
                  <c:v>95.260002</c:v>
                </c:pt>
                <c:pt idx="265">
                  <c:v>94.5</c:v>
                </c:pt>
                <c:pt idx="266">
                  <c:v>93.959998999999996</c:v>
                </c:pt>
                <c:pt idx="267">
                  <c:v>94.730002999999996</c:v>
                </c:pt>
                <c:pt idx="268">
                  <c:v>93.25</c:v>
                </c:pt>
                <c:pt idx="269">
                  <c:v>93.57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B-4498-B87F-7DE616903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396000"/>
        <c:axId val="886396328"/>
      </c:lineChart>
      <c:dateAx>
        <c:axId val="886396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396328"/>
        <c:crosses val="autoZero"/>
        <c:auto val="1"/>
        <c:lblOffset val="100"/>
        <c:baseTimeUnit val="days"/>
      </c:dateAx>
      <c:valAx>
        <c:axId val="8863963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39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986116</xdr:colOff>
      <xdr:row>6</xdr:row>
      <xdr:rowOff>235322</xdr:rowOff>
    </xdr:from>
    <xdr:to>
      <xdr:col>10</xdr:col>
      <xdr:colOff>425823</xdr:colOff>
      <xdr:row>23</xdr:row>
      <xdr:rowOff>56029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A170B67-CB8A-40C6-9A46-5D014D800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976591</xdr:colOff>
      <xdr:row>24</xdr:row>
      <xdr:rowOff>201705</xdr:rowOff>
    </xdr:from>
    <xdr:to>
      <xdr:col>11</xdr:col>
      <xdr:colOff>459441</xdr:colOff>
      <xdr:row>44</xdr:row>
      <xdr:rowOff>67234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2B843E6-FF68-4149-8035-B6DEF5248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201707</xdr:colOff>
      <xdr:row>36</xdr:row>
      <xdr:rowOff>179714</xdr:rowOff>
    </xdr:from>
    <xdr:to>
      <xdr:col>27</xdr:col>
      <xdr:colOff>347382</xdr:colOff>
      <xdr:row>53</xdr:row>
      <xdr:rowOff>128307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0D8BA6C-2DDF-48E7-84F1-F250BE2AC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36707" y="7665243"/>
          <a:ext cx="7832911" cy="3187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0.41111</cdr:x>
      <cdr:y>0.29341</cdr:y>
    </cdr:from>
    <cdr:to>
      <cdr:x>0.99798</cdr:x>
      <cdr:y>0.75749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D0BBE4A3-DC31-41D5-99EF-EA7FEEF8C4FA}"/>
            </a:ext>
          </a:extLst>
        </cdr:cNvPr>
        <cdr:cNvCxnSpPr/>
      </cdr:nvCxnSpPr>
      <cdr:spPr>
        <a:xfrm xmlns:a="http://schemas.openxmlformats.org/drawingml/2006/main" flipV="1">
          <a:off x="2284321" y="1098178"/>
          <a:ext cx="3260911" cy="1736911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848507-CDE9-42B5-AED3-C7581D666854}" name="Table1" displayName="Table1" ref="A5:B2569" totalsRowShown="0" headerRowDxfId="3" dataDxfId="2">
  <autoFilter ref="A5:B2569" xr:uid="{43ECD110-D657-4468-820E-5031389D5711}"/>
  <tableColumns count="2">
    <tableColumn id="1" xr3:uid="{221C3794-BB53-48BE-94A6-A87CE3F50E8B}" name="Date" dataDxfId="1"/>
    <tableColumn id="2" xr3:uid="{2ED6FAD0-2905-4302-AA37-90DEF513DA31}" name="Long" dataDxfId="0">
      <calculatedColumnFormula>VLOOKUP(Table1[[#This Row],[Date]],'BUD data'!A:F,6,)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1FFCB-9E6B-4495-ACD1-9B019DDBC13C}">
  <dimension ref="A1:K2565"/>
  <sheetViews>
    <sheetView topLeftCell="A2497" workbookViewId="0">
      <selection activeCell="I2523" sqref="I2523"/>
    </sheetView>
  </sheetViews>
  <sheetFormatPr defaultRowHeight="14.25" x14ac:dyDescent="0.45"/>
  <cols>
    <col min="1" max="1" width="14.1328125" customWidth="1"/>
    <col min="8" max="8" width="8.73046875" customWidth="1"/>
  </cols>
  <sheetData>
    <row r="1" spans="1:11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45">
      <c r="A2" s="1">
        <v>39995</v>
      </c>
      <c r="B2">
        <v>38.299999</v>
      </c>
      <c r="C2">
        <v>38.5</v>
      </c>
      <c r="D2">
        <v>37.650002000000001</v>
      </c>
      <c r="E2">
        <v>38.5</v>
      </c>
      <c r="F2">
        <v>29.599475999999999</v>
      </c>
      <c r="G2">
        <v>341500</v>
      </c>
      <c r="K2" s="2"/>
    </row>
    <row r="3" spans="1:11" x14ac:dyDescent="0.45">
      <c r="A3" s="1">
        <v>39996</v>
      </c>
      <c r="B3">
        <v>38.799999</v>
      </c>
      <c r="C3">
        <v>38.849997999999999</v>
      </c>
      <c r="D3">
        <v>38.25</v>
      </c>
      <c r="E3">
        <v>38.400002000000001</v>
      </c>
      <c r="F3">
        <v>29.522593000000001</v>
      </c>
      <c r="G3">
        <v>329100</v>
      </c>
    </row>
    <row r="4" spans="1:11" x14ac:dyDescent="0.45">
      <c r="A4" s="1">
        <v>40000</v>
      </c>
      <c r="B4">
        <v>37.450001</v>
      </c>
      <c r="C4">
        <v>38</v>
      </c>
      <c r="D4">
        <v>36.950001</v>
      </c>
      <c r="E4">
        <v>38</v>
      </c>
      <c r="F4">
        <v>29.215069</v>
      </c>
      <c r="G4">
        <v>161000</v>
      </c>
    </row>
    <row r="5" spans="1:11" x14ac:dyDescent="0.45">
      <c r="A5" s="1">
        <v>40001</v>
      </c>
      <c r="B5">
        <v>37.349997999999999</v>
      </c>
      <c r="C5">
        <v>37.5</v>
      </c>
      <c r="D5">
        <v>37.330002</v>
      </c>
      <c r="E5">
        <v>37.400002000000001</v>
      </c>
      <c r="F5">
        <v>28.753772999999999</v>
      </c>
      <c r="G5">
        <v>197400</v>
      </c>
    </row>
    <row r="6" spans="1:11" x14ac:dyDescent="0.45">
      <c r="A6" s="1">
        <v>40002</v>
      </c>
      <c r="B6">
        <v>37.700001</v>
      </c>
      <c r="C6">
        <v>37.950001</v>
      </c>
      <c r="D6">
        <v>37.5</v>
      </c>
      <c r="E6">
        <v>37.5</v>
      </c>
      <c r="F6">
        <v>28.830656000000001</v>
      </c>
      <c r="G6">
        <v>46800</v>
      </c>
    </row>
    <row r="7" spans="1:11" x14ac:dyDescent="0.45">
      <c r="A7" s="1">
        <v>40003</v>
      </c>
      <c r="B7">
        <v>37.25</v>
      </c>
      <c r="C7">
        <v>37.740001999999997</v>
      </c>
      <c r="D7">
        <v>37</v>
      </c>
      <c r="E7">
        <v>37.5</v>
      </c>
      <c r="F7">
        <v>28.830656000000001</v>
      </c>
      <c r="G7">
        <v>47300</v>
      </c>
    </row>
    <row r="8" spans="1:11" x14ac:dyDescent="0.45">
      <c r="A8" s="1">
        <v>40004</v>
      </c>
      <c r="B8">
        <v>37.299999</v>
      </c>
      <c r="C8">
        <v>37.700001</v>
      </c>
      <c r="D8">
        <v>37.200001</v>
      </c>
      <c r="E8">
        <v>37.700001</v>
      </c>
      <c r="F8">
        <v>28.984414999999998</v>
      </c>
      <c r="G8">
        <v>19600</v>
      </c>
    </row>
    <row r="9" spans="1:11" x14ac:dyDescent="0.45">
      <c r="A9" s="1">
        <v>40007</v>
      </c>
      <c r="B9">
        <v>37.549999</v>
      </c>
      <c r="C9">
        <v>37.799999</v>
      </c>
      <c r="D9">
        <v>37.490001999999997</v>
      </c>
      <c r="E9">
        <v>37.5</v>
      </c>
      <c r="F9">
        <v>28.830656000000001</v>
      </c>
      <c r="G9">
        <v>232300</v>
      </c>
    </row>
    <row r="10" spans="1:11" x14ac:dyDescent="0.45">
      <c r="A10" s="1">
        <v>40008</v>
      </c>
      <c r="B10">
        <v>37.950001</v>
      </c>
      <c r="C10">
        <v>38.849997999999999</v>
      </c>
      <c r="D10">
        <v>37.599997999999999</v>
      </c>
      <c r="E10">
        <v>38.799999</v>
      </c>
      <c r="F10">
        <v>29.830120000000001</v>
      </c>
      <c r="G10">
        <v>6300</v>
      </c>
    </row>
    <row r="11" spans="1:11" x14ac:dyDescent="0.45">
      <c r="A11" s="1">
        <v>40009</v>
      </c>
      <c r="B11">
        <v>39.200001</v>
      </c>
      <c r="C11">
        <v>39.849997999999999</v>
      </c>
      <c r="D11">
        <v>39.049999</v>
      </c>
      <c r="E11">
        <v>39.849997999999999</v>
      </c>
      <c r="F11">
        <v>30.637374999999999</v>
      </c>
      <c r="G11">
        <v>5500</v>
      </c>
    </row>
    <row r="12" spans="1:11" x14ac:dyDescent="0.45">
      <c r="A12" s="1">
        <v>40010</v>
      </c>
      <c r="B12">
        <v>39.849997999999999</v>
      </c>
      <c r="C12">
        <v>40</v>
      </c>
      <c r="D12">
        <v>39.400002000000001</v>
      </c>
      <c r="E12">
        <v>39.549999</v>
      </c>
      <c r="F12">
        <v>30.406725000000002</v>
      </c>
      <c r="G12">
        <v>8600</v>
      </c>
    </row>
    <row r="13" spans="1:11" x14ac:dyDescent="0.45">
      <c r="A13" s="1">
        <v>40011</v>
      </c>
      <c r="B13">
        <v>38.700001</v>
      </c>
      <c r="C13">
        <v>39.099997999999999</v>
      </c>
      <c r="D13">
        <v>38.5</v>
      </c>
      <c r="E13">
        <v>38.900002000000001</v>
      </c>
      <c r="F13">
        <v>29.907001000000001</v>
      </c>
      <c r="G13">
        <v>20700</v>
      </c>
    </row>
    <row r="14" spans="1:11" x14ac:dyDescent="0.45">
      <c r="A14" s="1">
        <v>40014</v>
      </c>
      <c r="B14">
        <v>38.650002000000001</v>
      </c>
      <c r="C14">
        <v>39.75</v>
      </c>
      <c r="D14">
        <v>37.349997999999999</v>
      </c>
      <c r="E14">
        <v>39.549999</v>
      </c>
      <c r="F14">
        <v>30.406725000000002</v>
      </c>
      <c r="G14">
        <v>36900</v>
      </c>
    </row>
    <row r="15" spans="1:11" x14ac:dyDescent="0.45">
      <c r="A15" s="1">
        <v>40015</v>
      </c>
      <c r="B15">
        <v>38.5</v>
      </c>
      <c r="C15">
        <v>38.950001</v>
      </c>
      <c r="D15">
        <v>38.5</v>
      </c>
      <c r="E15">
        <v>38.75</v>
      </c>
      <c r="F15">
        <v>29.791675999999999</v>
      </c>
      <c r="G15">
        <v>30100</v>
      </c>
    </row>
    <row r="16" spans="1:11" x14ac:dyDescent="0.45">
      <c r="A16" s="1">
        <v>40016</v>
      </c>
      <c r="B16">
        <v>39.700001</v>
      </c>
      <c r="C16">
        <v>39.75</v>
      </c>
      <c r="D16">
        <v>38.419998</v>
      </c>
      <c r="E16">
        <v>39.549999</v>
      </c>
      <c r="F16">
        <v>30.406725000000002</v>
      </c>
      <c r="G16">
        <v>148700</v>
      </c>
    </row>
    <row r="17" spans="1:7" x14ac:dyDescent="0.45">
      <c r="A17" s="1">
        <v>40017</v>
      </c>
      <c r="B17">
        <v>39.700001</v>
      </c>
      <c r="C17">
        <v>40.099997999999999</v>
      </c>
      <c r="D17">
        <v>39.650002000000001</v>
      </c>
      <c r="E17">
        <v>39.900002000000001</v>
      </c>
      <c r="F17">
        <v>30.675823000000001</v>
      </c>
      <c r="G17">
        <v>7600</v>
      </c>
    </row>
    <row r="18" spans="1:7" x14ac:dyDescent="0.45">
      <c r="A18" s="1">
        <v>40018</v>
      </c>
      <c r="B18">
        <v>40</v>
      </c>
      <c r="C18">
        <v>40</v>
      </c>
      <c r="D18">
        <v>39.549999</v>
      </c>
      <c r="E18">
        <v>39.900002000000001</v>
      </c>
      <c r="F18">
        <v>30.675823000000001</v>
      </c>
      <c r="G18">
        <v>24400</v>
      </c>
    </row>
    <row r="19" spans="1:7" x14ac:dyDescent="0.45">
      <c r="A19" s="1">
        <v>40021</v>
      </c>
      <c r="B19">
        <v>39.650002000000001</v>
      </c>
      <c r="C19">
        <v>39.799999</v>
      </c>
      <c r="D19">
        <v>39.349997999999999</v>
      </c>
      <c r="E19">
        <v>39.599997999999999</v>
      </c>
      <c r="F19">
        <v>30.445167999999999</v>
      </c>
      <c r="G19">
        <v>7400</v>
      </c>
    </row>
    <row r="20" spans="1:7" x14ac:dyDescent="0.45">
      <c r="A20" s="1">
        <v>40022</v>
      </c>
      <c r="B20">
        <v>39.599997999999999</v>
      </c>
      <c r="C20">
        <v>39.869999</v>
      </c>
      <c r="D20">
        <v>39.5</v>
      </c>
      <c r="E20">
        <v>39.869999</v>
      </c>
      <c r="F20">
        <v>30.652756</v>
      </c>
      <c r="G20">
        <v>20500</v>
      </c>
    </row>
    <row r="21" spans="1:7" x14ac:dyDescent="0.45">
      <c r="A21" s="1">
        <v>40023</v>
      </c>
      <c r="B21">
        <v>39.700001</v>
      </c>
      <c r="C21">
        <v>39.700001</v>
      </c>
      <c r="D21">
        <v>39.349997999999999</v>
      </c>
      <c r="E21">
        <v>39.349997999999999</v>
      </c>
      <c r="F21">
        <v>30.252966000000001</v>
      </c>
      <c r="G21">
        <v>17100</v>
      </c>
    </row>
    <row r="22" spans="1:7" x14ac:dyDescent="0.45">
      <c r="A22" s="1">
        <v>40024</v>
      </c>
      <c r="B22">
        <v>39.799999</v>
      </c>
      <c r="C22">
        <v>39.799999</v>
      </c>
      <c r="D22">
        <v>39.400002000000001</v>
      </c>
      <c r="E22">
        <v>39.799999</v>
      </c>
      <c r="F22">
        <v>30.598935999999998</v>
      </c>
      <c r="G22">
        <v>38700</v>
      </c>
    </row>
    <row r="23" spans="1:7" x14ac:dyDescent="0.45">
      <c r="A23" s="1">
        <v>40025</v>
      </c>
      <c r="B23">
        <v>39.650002000000001</v>
      </c>
      <c r="C23">
        <v>40.200001</v>
      </c>
      <c r="D23">
        <v>39.599997999999999</v>
      </c>
      <c r="E23">
        <v>40.150002000000001</v>
      </c>
      <c r="F23">
        <v>30.868016999999998</v>
      </c>
      <c r="G23">
        <v>23700</v>
      </c>
    </row>
    <row r="24" spans="1:7" x14ac:dyDescent="0.45">
      <c r="A24" s="1">
        <v>40028</v>
      </c>
      <c r="B24">
        <v>39.5</v>
      </c>
      <c r="C24">
        <v>39.900002000000001</v>
      </c>
      <c r="D24">
        <v>39.150002000000001</v>
      </c>
      <c r="E24">
        <v>39.790000999999997</v>
      </c>
      <c r="F24">
        <v>30.591242000000001</v>
      </c>
      <c r="G24">
        <v>16800</v>
      </c>
    </row>
    <row r="25" spans="1:7" x14ac:dyDescent="0.45">
      <c r="A25" s="1">
        <v>40029</v>
      </c>
      <c r="B25">
        <v>38.650002000000001</v>
      </c>
      <c r="C25">
        <v>39.450001</v>
      </c>
      <c r="D25">
        <v>38.529998999999997</v>
      </c>
      <c r="E25">
        <v>39.25</v>
      </c>
      <c r="F25">
        <v>30.176086000000002</v>
      </c>
      <c r="G25">
        <v>38500</v>
      </c>
    </row>
    <row r="26" spans="1:7" x14ac:dyDescent="0.45">
      <c r="A26" s="1">
        <v>40030</v>
      </c>
      <c r="B26">
        <v>39.099997999999999</v>
      </c>
      <c r="C26">
        <v>39.450001</v>
      </c>
      <c r="D26">
        <v>38.490001999999997</v>
      </c>
      <c r="E26">
        <v>39.400002000000001</v>
      </c>
      <c r="F26">
        <v>30.291409000000002</v>
      </c>
      <c r="G26">
        <v>37200</v>
      </c>
    </row>
    <row r="27" spans="1:7" x14ac:dyDescent="0.45">
      <c r="A27" s="1">
        <v>40031</v>
      </c>
      <c r="B27">
        <v>39.299999</v>
      </c>
      <c r="C27">
        <v>39.689999</v>
      </c>
      <c r="D27">
        <v>39.25</v>
      </c>
      <c r="E27">
        <v>39.400002000000001</v>
      </c>
      <c r="F27">
        <v>30.291409000000002</v>
      </c>
      <c r="G27">
        <v>6200</v>
      </c>
    </row>
    <row r="28" spans="1:7" x14ac:dyDescent="0.45">
      <c r="A28" s="1">
        <v>40032</v>
      </c>
      <c r="B28">
        <v>39.549999</v>
      </c>
      <c r="C28">
        <v>39.650002000000001</v>
      </c>
      <c r="D28">
        <v>39.259998000000003</v>
      </c>
      <c r="E28">
        <v>39.450001</v>
      </c>
      <c r="F28">
        <v>30.329853</v>
      </c>
      <c r="G28">
        <v>7500</v>
      </c>
    </row>
    <row r="29" spans="1:7" x14ac:dyDescent="0.45">
      <c r="A29" s="1">
        <v>40035</v>
      </c>
      <c r="B29">
        <v>40.200001</v>
      </c>
      <c r="C29">
        <v>40.32</v>
      </c>
      <c r="D29">
        <v>40</v>
      </c>
      <c r="E29">
        <v>40.150002000000001</v>
      </c>
      <c r="F29">
        <v>30.868016999999998</v>
      </c>
      <c r="G29">
        <v>3900</v>
      </c>
    </row>
    <row r="30" spans="1:7" x14ac:dyDescent="0.45">
      <c r="A30" s="1">
        <v>40036</v>
      </c>
      <c r="B30">
        <v>40.290000999999997</v>
      </c>
      <c r="C30">
        <v>40.700001</v>
      </c>
      <c r="D30">
        <v>40.290000999999997</v>
      </c>
      <c r="E30">
        <v>40.400002000000001</v>
      </c>
      <c r="F30">
        <v>31.060223000000001</v>
      </c>
      <c r="G30">
        <v>9600</v>
      </c>
    </row>
    <row r="31" spans="1:7" x14ac:dyDescent="0.45">
      <c r="A31" s="1">
        <v>40037</v>
      </c>
      <c r="B31">
        <v>40.950001</v>
      </c>
      <c r="C31">
        <v>41.299999</v>
      </c>
      <c r="D31">
        <v>40.950001</v>
      </c>
      <c r="E31">
        <v>41.049999</v>
      </c>
      <c r="F31">
        <v>31.559961000000001</v>
      </c>
      <c r="G31">
        <v>13700</v>
      </c>
    </row>
    <row r="32" spans="1:7" x14ac:dyDescent="0.45">
      <c r="A32" s="1">
        <v>40038</v>
      </c>
      <c r="B32">
        <v>39.099997999999999</v>
      </c>
      <c r="C32">
        <v>39.290000999999997</v>
      </c>
      <c r="D32">
        <v>38.849997999999999</v>
      </c>
      <c r="E32">
        <v>39.150002000000001</v>
      </c>
      <c r="F32">
        <v>30.099208999999998</v>
      </c>
      <c r="G32">
        <v>246000</v>
      </c>
    </row>
    <row r="33" spans="1:7" x14ac:dyDescent="0.45">
      <c r="A33" s="1">
        <v>40039</v>
      </c>
      <c r="B33">
        <v>38.349997999999999</v>
      </c>
      <c r="C33">
        <v>38.700001</v>
      </c>
      <c r="D33">
        <v>38.049999</v>
      </c>
      <c r="E33">
        <v>38.700001</v>
      </c>
      <c r="F33">
        <v>29.753236999999999</v>
      </c>
      <c r="G33">
        <v>19400</v>
      </c>
    </row>
    <row r="34" spans="1:7" x14ac:dyDescent="0.45">
      <c r="A34" s="1">
        <v>40042</v>
      </c>
      <c r="B34">
        <v>39.099997999999999</v>
      </c>
      <c r="C34">
        <v>39.150002000000001</v>
      </c>
      <c r="D34">
        <v>38.849997999999999</v>
      </c>
      <c r="E34">
        <v>39.150002000000001</v>
      </c>
      <c r="F34">
        <v>30.099208999999998</v>
      </c>
      <c r="G34">
        <v>28200</v>
      </c>
    </row>
    <row r="35" spans="1:7" x14ac:dyDescent="0.45">
      <c r="A35" s="1">
        <v>40043</v>
      </c>
      <c r="B35">
        <v>39.459999000000003</v>
      </c>
      <c r="C35">
        <v>40.200001</v>
      </c>
      <c r="D35">
        <v>39.459999000000003</v>
      </c>
      <c r="E35">
        <v>40.150002000000001</v>
      </c>
      <c r="F35">
        <v>30.868016999999998</v>
      </c>
      <c r="G35">
        <v>3200</v>
      </c>
    </row>
    <row r="36" spans="1:7" x14ac:dyDescent="0.45">
      <c r="A36" s="1">
        <v>40044</v>
      </c>
      <c r="B36">
        <v>39.799999</v>
      </c>
      <c r="C36">
        <v>40.75</v>
      </c>
      <c r="D36">
        <v>39.720001000000003</v>
      </c>
      <c r="E36">
        <v>40.689999</v>
      </c>
      <c r="F36">
        <v>31.283180000000002</v>
      </c>
      <c r="G36">
        <v>6300</v>
      </c>
    </row>
    <row r="37" spans="1:7" x14ac:dyDescent="0.45">
      <c r="A37" s="1">
        <v>40045</v>
      </c>
      <c r="B37">
        <v>40.520000000000003</v>
      </c>
      <c r="C37">
        <v>40.82</v>
      </c>
      <c r="D37">
        <v>40.439999</v>
      </c>
      <c r="E37">
        <v>40.599997999999999</v>
      </c>
      <c r="F37">
        <v>31.213986999999999</v>
      </c>
      <c r="G37">
        <v>14100</v>
      </c>
    </row>
    <row r="38" spans="1:7" x14ac:dyDescent="0.45">
      <c r="A38" s="1">
        <v>40046</v>
      </c>
      <c r="B38">
        <v>41.889999000000003</v>
      </c>
      <c r="C38">
        <v>42.25</v>
      </c>
      <c r="D38">
        <v>41.889999000000003</v>
      </c>
      <c r="E38">
        <v>42.049999</v>
      </c>
      <c r="F38">
        <v>32.328766000000002</v>
      </c>
      <c r="G38">
        <v>13100</v>
      </c>
    </row>
    <row r="39" spans="1:7" x14ac:dyDescent="0.45">
      <c r="A39" s="1">
        <v>40049</v>
      </c>
      <c r="B39">
        <v>42.32</v>
      </c>
      <c r="C39">
        <v>42.41</v>
      </c>
      <c r="D39">
        <v>41.900002000000001</v>
      </c>
      <c r="E39">
        <v>41.900002000000001</v>
      </c>
      <c r="F39">
        <v>32.213450999999999</v>
      </c>
      <c r="G39">
        <v>11900</v>
      </c>
    </row>
    <row r="40" spans="1:7" x14ac:dyDescent="0.45">
      <c r="A40" s="1">
        <v>40050</v>
      </c>
      <c r="B40">
        <v>42.91</v>
      </c>
      <c r="C40">
        <v>42.91</v>
      </c>
      <c r="D40">
        <v>42.099997999999999</v>
      </c>
      <c r="E40">
        <v>42.599997999999999</v>
      </c>
      <c r="F40">
        <v>32.751629000000001</v>
      </c>
      <c r="G40">
        <v>33800</v>
      </c>
    </row>
    <row r="41" spans="1:7" x14ac:dyDescent="0.45">
      <c r="A41" s="1">
        <v>40051</v>
      </c>
      <c r="B41">
        <v>42.349997999999999</v>
      </c>
      <c r="C41">
        <v>42.639999000000003</v>
      </c>
      <c r="D41">
        <v>42.25</v>
      </c>
      <c r="E41">
        <v>42.5</v>
      </c>
      <c r="F41">
        <v>32.674747000000004</v>
      </c>
      <c r="G41">
        <v>14900</v>
      </c>
    </row>
    <row r="42" spans="1:7" x14ac:dyDescent="0.45">
      <c r="A42" s="1">
        <v>40052</v>
      </c>
      <c r="B42">
        <v>41.900002000000001</v>
      </c>
      <c r="C42">
        <v>42.849997999999999</v>
      </c>
      <c r="D42">
        <v>41.360000999999997</v>
      </c>
      <c r="E42">
        <v>42.369999</v>
      </c>
      <c r="F42">
        <v>32.574795000000002</v>
      </c>
      <c r="G42">
        <v>11700</v>
      </c>
    </row>
    <row r="43" spans="1:7" x14ac:dyDescent="0.45">
      <c r="A43" s="1">
        <v>40053</v>
      </c>
      <c r="B43">
        <v>42.400002000000001</v>
      </c>
      <c r="C43">
        <v>42.700001</v>
      </c>
      <c r="D43">
        <v>42.349997999999999</v>
      </c>
      <c r="E43">
        <v>42.700001</v>
      </c>
      <c r="F43">
        <v>32.828505999999997</v>
      </c>
      <c r="G43">
        <v>9600</v>
      </c>
    </row>
    <row r="44" spans="1:7" x14ac:dyDescent="0.45">
      <c r="A44" s="1">
        <v>40056</v>
      </c>
      <c r="B44">
        <v>42.700001</v>
      </c>
      <c r="C44">
        <v>43.5</v>
      </c>
      <c r="D44">
        <v>42.700001</v>
      </c>
      <c r="E44">
        <v>43.400002000000001</v>
      </c>
      <c r="F44">
        <v>33.366683999999999</v>
      </c>
      <c r="G44">
        <v>7000</v>
      </c>
    </row>
    <row r="45" spans="1:7" x14ac:dyDescent="0.45">
      <c r="A45" s="1">
        <v>40057</v>
      </c>
      <c r="B45">
        <v>42.5</v>
      </c>
      <c r="C45">
        <v>42.700001</v>
      </c>
      <c r="D45">
        <v>41.5</v>
      </c>
      <c r="E45">
        <v>41.5</v>
      </c>
      <c r="F45">
        <v>31.905926000000001</v>
      </c>
      <c r="G45">
        <v>11200</v>
      </c>
    </row>
    <row r="46" spans="1:7" x14ac:dyDescent="0.45">
      <c r="A46" s="1">
        <v>40058</v>
      </c>
      <c r="B46">
        <v>41.700001</v>
      </c>
      <c r="C46">
        <v>41.950001</v>
      </c>
      <c r="D46">
        <v>41.599997999999999</v>
      </c>
      <c r="E46">
        <v>41.75</v>
      </c>
      <c r="F46">
        <v>32.098125000000003</v>
      </c>
      <c r="G46">
        <v>20600</v>
      </c>
    </row>
    <row r="47" spans="1:7" x14ac:dyDescent="0.45">
      <c r="A47" s="1">
        <v>40059</v>
      </c>
      <c r="B47">
        <v>42</v>
      </c>
      <c r="C47">
        <v>42.099997999999999</v>
      </c>
      <c r="D47">
        <v>41.549999</v>
      </c>
      <c r="E47">
        <v>41.549999</v>
      </c>
      <c r="F47">
        <v>31.944368000000001</v>
      </c>
      <c r="G47">
        <v>11100</v>
      </c>
    </row>
    <row r="48" spans="1:7" x14ac:dyDescent="0.45">
      <c r="A48" s="1">
        <v>40060</v>
      </c>
      <c r="B48">
        <v>41.5</v>
      </c>
      <c r="C48">
        <v>42.099997999999999</v>
      </c>
      <c r="D48">
        <v>41.400002000000001</v>
      </c>
      <c r="E48">
        <v>42.099997999999999</v>
      </c>
      <c r="F48">
        <v>32.367218000000001</v>
      </c>
      <c r="G48">
        <v>5800</v>
      </c>
    </row>
    <row r="49" spans="1:7" x14ac:dyDescent="0.45">
      <c r="A49" s="1">
        <v>40064</v>
      </c>
      <c r="B49">
        <v>43.549999</v>
      </c>
      <c r="C49">
        <v>43.810001</v>
      </c>
      <c r="D49">
        <v>43.459999000000003</v>
      </c>
      <c r="E49">
        <v>43.5</v>
      </c>
      <c r="F49">
        <v>33.443562</v>
      </c>
      <c r="G49">
        <v>3900</v>
      </c>
    </row>
    <row r="50" spans="1:7" x14ac:dyDescent="0.45">
      <c r="A50" s="1">
        <v>40065</v>
      </c>
      <c r="B50">
        <v>44</v>
      </c>
      <c r="C50">
        <v>44.5</v>
      </c>
      <c r="D50">
        <v>44</v>
      </c>
      <c r="E50">
        <v>44.450001</v>
      </c>
      <c r="F50">
        <v>34.173935</v>
      </c>
      <c r="G50">
        <v>10600</v>
      </c>
    </row>
    <row r="51" spans="1:7" x14ac:dyDescent="0.45">
      <c r="A51" s="1">
        <v>40066</v>
      </c>
      <c r="B51">
        <v>44.150002000000001</v>
      </c>
      <c r="C51">
        <v>45</v>
      </c>
      <c r="D51">
        <v>44.099997999999999</v>
      </c>
      <c r="E51">
        <v>45</v>
      </c>
      <c r="F51">
        <v>34.596783000000002</v>
      </c>
      <c r="G51">
        <v>18000</v>
      </c>
    </row>
    <row r="52" spans="1:7" x14ac:dyDescent="0.45">
      <c r="A52" s="1">
        <v>40067</v>
      </c>
      <c r="B52">
        <v>45.599997999999999</v>
      </c>
      <c r="C52">
        <v>45.599997999999999</v>
      </c>
      <c r="D52">
        <v>45.220001000000003</v>
      </c>
      <c r="E52">
        <v>45.450001</v>
      </c>
      <c r="F52">
        <v>34.942753000000003</v>
      </c>
      <c r="G52">
        <v>47500</v>
      </c>
    </row>
    <row r="53" spans="1:7" x14ac:dyDescent="0.45">
      <c r="A53" s="1">
        <v>40070</v>
      </c>
      <c r="B53">
        <v>45.32</v>
      </c>
      <c r="C53">
        <v>46.349997999999999</v>
      </c>
      <c r="D53">
        <v>45.209999000000003</v>
      </c>
      <c r="E53">
        <v>46.169998</v>
      </c>
      <c r="F53">
        <v>35.496299999999998</v>
      </c>
      <c r="G53">
        <v>11100</v>
      </c>
    </row>
    <row r="54" spans="1:7" x14ac:dyDescent="0.45">
      <c r="A54" s="1">
        <v>40071</v>
      </c>
      <c r="B54">
        <v>46.099997999999999</v>
      </c>
      <c r="C54">
        <v>46.25</v>
      </c>
      <c r="D54">
        <v>45.619999</v>
      </c>
      <c r="E54">
        <v>46.25</v>
      </c>
      <c r="F54">
        <v>35.557808000000001</v>
      </c>
      <c r="G54">
        <v>36500</v>
      </c>
    </row>
    <row r="55" spans="1:7" x14ac:dyDescent="0.45">
      <c r="A55" s="1">
        <v>40072</v>
      </c>
      <c r="B55">
        <v>46.75</v>
      </c>
      <c r="C55">
        <v>47.900002000000001</v>
      </c>
      <c r="D55">
        <v>46.130001</v>
      </c>
      <c r="E55">
        <v>46.950001</v>
      </c>
      <c r="F55">
        <v>36.095978000000002</v>
      </c>
      <c r="G55">
        <v>1138600</v>
      </c>
    </row>
    <row r="56" spans="1:7" x14ac:dyDescent="0.45">
      <c r="A56" s="1">
        <v>40073</v>
      </c>
      <c r="B56">
        <v>46.5</v>
      </c>
      <c r="C56">
        <v>46.900002000000001</v>
      </c>
      <c r="D56">
        <v>46.439999</v>
      </c>
      <c r="E56">
        <v>46.549999</v>
      </c>
      <c r="F56">
        <v>35.788451999999999</v>
      </c>
      <c r="G56">
        <v>359900</v>
      </c>
    </row>
    <row r="57" spans="1:7" x14ac:dyDescent="0.45">
      <c r="A57" s="1">
        <v>40074</v>
      </c>
      <c r="B57">
        <v>45.709999000000003</v>
      </c>
      <c r="C57">
        <v>47.349997999999999</v>
      </c>
      <c r="D57">
        <v>44.990001999999997</v>
      </c>
      <c r="E57">
        <v>47</v>
      </c>
      <c r="F57">
        <v>36.134417999999997</v>
      </c>
      <c r="G57">
        <v>1543700</v>
      </c>
    </row>
    <row r="58" spans="1:7" x14ac:dyDescent="0.45">
      <c r="A58" s="1">
        <v>40077</v>
      </c>
      <c r="B58">
        <v>47.209999000000003</v>
      </c>
      <c r="C58">
        <v>47.91</v>
      </c>
      <c r="D58">
        <v>47.02</v>
      </c>
      <c r="E58">
        <v>47.700001</v>
      </c>
      <c r="F58">
        <v>36.672595999999999</v>
      </c>
      <c r="G58">
        <v>558900</v>
      </c>
    </row>
    <row r="59" spans="1:7" x14ac:dyDescent="0.45">
      <c r="A59" s="1">
        <v>40078</v>
      </c>
      <c r="B59">
        <v>47.34</v>
      </c>
      <c r="C59">
        <v>47.400002000000001</v>
      </c>
      <c r="D59">
        <v>46.580002</v>
      </c>
      <c r="E59">
        <v>46.849997999999999</v>
      </c>
      <c r="F59">
        <v>36.019095999999998</v>
      </c>
      <c r="G59">
        <v>712900</v>
      </c>
    </row>
    <row r="60" spans="1:7" x14ac:dyDescent="0.45">
      <c r="A60" s="1">
        <v>40079</v>
      </c>
      <c r="B60">
        <v>46.349997999999999</v>
      </c>
      <c r="C60">
        <v>46.490001999999997</v>
      </c>
      <c r="D60">
        <v>45.900002000000001</v>
      </c>
      <c r="E60">
        <v>45.900002000000001</v>
      </c>
      <c r="F60">
        <v>35.288722999999997</v>
      </c>
      <c r="G60">
        <v>203500</v>
      </c>
    </row>
    <row r="61" spans="1:7" x14ac:dyDescent="0.45">
      <c r="A61" s="1">
        <v>40080</v>
      </c>
      <c r="B61">
        <v>46.84</v>
      </c>
      <c r="C61">
        <v>46.91</v>
      </c>
      <c r="D61">
        <v>45.549999</v>
      </c>
      <c r="E61">
        <v>45.619999</v>
      </c>
      <c r="F61">
        <v>35.073456</v>
      </c>
      <c r="G61">
        <v>145600</v>
      </c>
    </row>
    <row r="62" spans="1:7" x14ac:dyDescent="0.45">
      <c r="A62" s="1">
        <v>40081</v>
      </c>
      <c r="B62">
        <v>45</v>
      </c>
      <c r="C62">
        <v>45.389999000000003</v>
      </c>
      <c r="D62">
        <v>44.720001000000003</v>
      </c>
      <c r="E62">
        <v>44.919998</v>
      </c>
      <c r="F62">
        <v>34.535271000000002</v>
      </c>
      <c r="G62">
        <v>99200</v>
      </c>
    </row>
    <row r="63" spans="1:7" x14ac:dyDescent="0.45">
      <c r="A63" s="1">
        <v>40084</v>
      </c>
      <c r="B63">
        <v>44.77</v>
      </c>
      <c r="C63">
        <v>45.75</v>
      </c>
      <c r="D63">
        <v>44.709999000000003</v>
      </c>
      <c r="E63">
        <v>45.43</v>
      </c>
      <c r="F63">
        <v>34.927376000000002</v>
      </c>
      <c r="G63">
        <v>95900</v>
      </c>
    </row>
    <row r="64" spans="1:7" x14ac:dyDescent="0.45">
      <c r="A64" s="1">
        <v>40085</v>
      </c>
      <c r="B64">
        <v>45.57</v>
      </c>
      <c r="C64">
        <v>45.849997999999999</v>
      </c>
      <c r="D64">
        <v>45.049999</v>
      </c>
      <c r="E64">
        <v>45.279998999999997</v>
      </c>
      <c r="F64">
        <v>34.812049999999999</v>
      </c>
      <c r="G64">
        <v>94500</v>
      </c>
    </row>
    <row r="65" spans="1:7" x14ac:dyDescent="0.45">
      <c r="A65" s="1">
        <v>40086</v>
      </c>
      <c r="B65">
        <v>46.150002000000001</v>
      </c>
      <c r="C65">
        <v>46.220001000000003</v>
      </c>
      <c r="D65">
        <v>45.25</v>
      </c>
      <c r="E65">
        <v>45.939999</v>
      </c>
      <c r="F65">
        <v>35.319473000000002</v>
      </c>
      <c r="G65">
        <v>106600</v>
      </c>
    </row>
    <row r="66" spans="1:7" x14ac:dyDescent="0.45">
      <c r="A66" s="1">
        <v>40087</v>
      </c>
      <c r="B66">
        <v>44.939999</v>
      </c>
      <c r="C66">
        <v>45.650002000000001</v>
      </c>
      <c r="D66">
        <v>44.5</v>
      </c>
      <c r="E66">
        <v>45.07</v>
      </c>
      <c r="F66">
        <v>34.650604000000001</v>
      </c>
      <c r="G66">
        <v>250300</v>
      </c>
    </row>
    <row r="67" spans="1:7" x14ac:dyDescent="0.45">
      <c r="A67" s="1">
        <v>40088</v>
      </c>
      <c r="B67">
        <v>43.450001</v>
      </c>
      <c r="C67">
        <v>44.490001999999997</v>
      </c>
      <c r="D67">
        <v>43.419998</v>
      </c>
      <c r="E67">
        <v>44</v>
      </c>
      <c r="F67">
        <v>33.827972000000003</v>
      </c>
      <c r="G67">
        <v>400300</v>
      </c>
    </row>
    <row r="68" spans="1:7" x14ac:dyDescent="0.45">
      <c r="A68" s="1">
        <v>40091</v>
      </c>
      <c r="B68">
        <v>44.43</v>
      </c>
      <c r="C68">
        <v>45.540000999999997</v>
      </c>
      <c r="D68">
        <v>44.400002000000001</v>
      </c>
      <c r="E68">
        <v>45.400002000000001</v>
      </c>
      <c r="F68">
        <v>34.904316000000001</v>
      </c>
      <c r="G68">
        <v>500200</v>
      </c>
    </row>
    <row r="69" spans="1:7" x14ac:dyDescent="0.45">
      <c r="A69" s="1">
        <v>40092</v>
      </c>
      <c r="B69">
        <v>45.91</v>
      </c>
      <c r="C69">
        <v>47</v>
      </c>
      <c r="D69">
        <v>45.84</v>
      </c>
      <c r="E69">
        <v>46.66</v>
      </c>
      <c r="F69">
        <v>35.873019999999997</v>
      </c>
      <c r="G69">
        <v>183200</v>
      </c>
    </row>
    <row r="70" spans="1:7" x14ac:dyDescent="0.45">
      <c r="A70" s="1">
        <v>40093</v>
      </c>
      <c r="B70">
        <v>46.200001</v>
      </c>
      <c r="C70">
        <v>47.099997999999999</v>
      </c>
      <c r="D70">
        <v>46.130001</v>
      </c>
      <c r="E70">
        <v>46.720001000000003</v>
      </c>
      <c r="F70">
        <v>35.919150999999999</v>
      </c>
      <c r="G70">
        <v>157800</v>
      </c>
    </row>
    <row r="71" spans="1:7" x14ac:dyDescent="0.45">
      <c r="A71" s="1">
        <v>40094</v>
      </c>
      <c r="B71">
        <v>47.77</v>
      </c>
      <c r="C71">
        <v>48.259998000000003</v>
      </c>
      <c r="D71">
        <v>47.759998000000003</v>
      </c>
      <c r="E71">
        <v>48.189999</v>
      </c>
      <c r="F71">
        <v>37.049309000000001</v>
      </c>
      <c r="G71">
        <v>364100</v>
      </c>
    </row>
    <row r="72" spans="1:7" x14ac:dyDescent="0.45">
      <c r="A72" s="1">
        <v>40095</v>
      </c>
      <c r="B72">
        <v>47.869999</v>
      </c>
      <c r="C72">
        <v>48.169998</v>
      </c>
      <c r="D72">
        <v>47</v>
      </c>
      <c r="E72">
        <v>47.59</v>
      </c>
      <c r="F72">
        <v>36.588023999999997</v>
      </c>
      <c r="G72">
        <v>182300</v>
      </c>
    </row>
    <row r="73" spans="1:7" x14ac:dyDescent="0.45">
      <c r="A73" s="1">
        <v>40098</v>
      </c>
      <c r="B73">
        <v>48.049999</v>
      </c>
      <c r="C73">
        <v>48.220001000000003</v>
      </c>
      <c r="D73">
        <v>47.700001</v>
      </c>
      <c r="E73">
        <v>47.900002000000001</v>
      </c>
      <c r="F73">
        <v>36.826358999999997</v>
      </c>
      <c r="G73">
        <v>21900</v>
      </c>
    </row>
    <row r="74" spans="1:7" x14ac:dyDescent="0.45">
      <c r="A74" s="1">
        <v>40099</v>
      </c>
      <c r="B74">
        <v>47.48</v>
      </c>
      <c r="C74">
        <v>47.75</v>
      </c>
      <c r="D74">
        <v>46.91</v>
      </c>
      <c r="E74">
        <v>47.549999</v>
      </c>
      <c r="F74">
        <v>36.557265999999998</v>
      </c>
      <c r="G74">
        <v>100500</v>
      </c>
    </row>
    <row r="75" spans="1:7" x14ac:dyDescent="0.45">
      <c r="A75" s="1">
        <v>40100</v>
      </c>
      <c r="B75">
        <v>49.200001</v>
      </c>
      <c r="C75">
        <v>49.91</v>
      </c>
      <c r="D75">
        <v>48.599997999999999</v>
      </c>
      <c r="E75">
        <v>49.549999</v>
      </c>
      <c r="F75">
        <v>38.094901999999998</v>
      </c>
      <c r="G75">
        <v>172900</v>
      </c>
    </row>
    <row r="76" spans="1:7" x14ac:dyDescent="0.45">
      <c r="A76" s="1">
        <v>40101</v>
      </c>
      <c r="B76">
        <v>48.68</v>
      </c>
      <c r="C76">
        <v>49.959999000000003</v>
      </c>
      <c r="D76">
        <v>48.68</v>
      </c>
      <c r="E76">
        <v>49.810001</v>
      </c>
      <c r="F76">
        <v>38.294803999999999</v>
      </c>
      <c r="G76">
        <v>139600</v>
      </c>
    </row>
    <row r="77" spans="1:7" x14ac:dyDescent="0.45">
      <c r="A77" s="1">
        <v>40102</v>
      </c>
      <c r="B77">
        <v>49.939999</v>
      </c>
      <c r="C77">
        <v>50.25</v>
      </c>
      <c r="D77">
        <v>49.200001</v>
      </c>
      <c r="E77">
        <v>50.189999</v>
      </c>
      <c r="F77">
        <v>38.586941000000003</v>
      </c>
      <c r="G77">
        <v>479100</v>
      </c>
    </row>
    <row r="78" spans="1:7" x14ac:dyDescent="0.45">
      <c r="A78" s="1">
        <v>40105</v>
      </c>
      <c r="B78">
        <v>50.580002</v>
      </c>
      <c r="C78">
        <v>51.900002000000001</v>
      </c>
      <c r="D78">
        <v>50.400002000000001</v>
      </c>
      <c r="E78">
        <v>51.189999</v>
      </c>
      <c r="F78">
        <v>39.355766000000003</v>
      </c>
      <c r="G78">
        <v>187100</v>
      </c>
    </row>
    <row r="79" spans="1:7" x14ac:dyDescent="0.45">
      <c r="A79" s="1">
        <v>40106</v>
      </c>
      <c r="B79">
        <v>50.34</v>
      </c>
      <c r="C79">
        <v>50.389999000000003</v>
      </c>
      <c r="D79">
        <v>49.529998999999997</v>
      </c>
      <c r="E79">
        <v>50.150002000000001</v>
      </c>
      <c r="F79">
        <v>38.556198000000002</v>
      </c>
      <c r="G79">
        <v>359000</v>
      </c>
    </row>
    <row r="80" spans="1:7" x14ac:dyDescent="0.45">
      <c r="A80" s="1">
        <v>40107</v>
      </c>
      <c r="B80">
        <v>50.16</v>
      </c>
      <c r="C80">
        <v>51.830002</v>
      </c>
      <c r="D80">
        <v>50.16</v>
      </c>
      <c r="E80">
        <v>50.759998000000003</v>
      </c>
      <c r="F80">
        <v>39.025181000000003</v>
      </c>
      <c r="G80">
        <v>456900</v>
      </c>
    </row>
    <row r="81" spans="1:7" x14ac:dyDescent="0.45">
      <c r="A81" s="1">
        <v>40108</v>
      </c>
      <c r="B81">
        <v>50.759998000000003</v>
      </c>
      <c r="C81">
        <v>52.540000999999997</v>
      </c>
      <c r="D81">
        <v>50.540000999999997</v>
      </c>
      <c r="E81">
        <v>52.299999</v>
      </c>
      <c r="F81">
        <v>40.209156</v>
      </c>
      <c r="G81">
        <v>807900</v>
      </c>
    </row>
    <row r="82" spans="1:7" x14ac:dyDescent="0.45">
      <c r="A82" s="1">
        <v>40109</v>
      </c>
      <c r="B82">
        <v>51.57</v>
      </c>
      <c r="C82">
        <v>51.57</v>
      </c>
      <c r="D82">
        <v>50.400002000000001</v>
      </c>
      <c r="E82">
        <v>50.549999</v>
      </c>
      <c r="F82">
        <v>38.863723999999998</v>
      </c>
      <c r="G82">
        <v>329600</v>
      </c>
    </row>
    <row r="83" spans="1:7" x14ac:dyDescent="0.45">
      <c r="A83" s="1">
        <v>40112</v>
      </c>
      <c r="B83">
        <v>50.419998</v>
      </c>
      <c r="C83">
        <v>50.73</v>
      </c>
      <c r="D83">
        <v>49.41</v>
      </c>
      <c r="E83">
        <v>49.490001999999997</v>
      </c>
      <c r="F83">
        <v>38.048786</v>
      </c>
      <c r="G83">
        <v>195100</v>
      </c>
    </row>
    <row r="84" spans="1:7" x14ac:dyDescent="0.45">
      <c r="A84" s="1">
        <v>40113</v>
      </c>
      <c r="B84">
        <v>48.759998000000003</v>
      </c>
      <c r="C84">
        <v>49.07</v>
      </c>
      <c r="D84">
        <v>48.060001</v>
      </c>
      <c r="E84">
        <v>48.400002000000001</v>
      </c>
      <c r="F84">
        <v>37.210766</v>
      </c>
      <c r="G84">
        <v>237800</v>
      </c>
    </row>
    <row r="85" spans="1:7" x14ac:dyDescent="0.45">
      <c r="A85" s="1">
        <v>40114</v>
      </c>
      <c r="B85">
        <v>48.200001</v>
      </c>
      <c r="C85">
        <v>48.290000999999997</v>
      </c>
      <c r="D85">
        <v>47.23</v>
      </c>
      <c r="E85">
        <v>47.490001999999997</v>
      </c>
      <c r="F85">
        <v>36.511142999999997</v>
      </c>
      <c r="G85">
        <v>171800</v>
      </c>
    </row>
    <row r="86" spans="1:7" x14ac:dyDescent="0.45">
      <c r="A86" s="1">
        <v>40115</v>
      </c>
      <c r="B86">
        <v>48.099997999999999</v>
      </c>
      <c r="C86">
        <v>49.470001000000003</v>
      </c>
      <c r="D86">
        <v>48.09</v>
      </c>
      <c r="E86">
        <v>48.889999000000003</v>
      </c>
      <c r="F86">
        <v>37.587485999999998</v>
      </c>
      <c r="G86">
        <v>755400</v>
      </c>
    </row>
    <row r="87" spans="1:7" x14ac:dyDescent="0.45">
      <c r="A87" s="1">
        <v>40116</v>
      </c>
      <c r="B87">
        <v>48.810001</v>
      </c>
      <c r="C87">
        <v>48.84</v>
      </c>
      <c r="D87">
        <v>46.880001</v>
      </c>
      <c r="E87">
        <v>47.18</v>
      </c>
      <c r="F87">
        <v>36.272807999999998</v>
      </c>
      <c r="G87">
        <v>185400</v>
      </c>
    </row>
    <row r="88" spans="1:7" x14ac:dyDescent="0.45">
      <c r="A88" s="1">
        <v>40119</v>
      </c>
      <c r="B88">
        <v>47.900002000000001</v>
      </c>
      <c r="C88">
        <v>48.619999</v>
      </c>
      <c r="D88">
        <v>47.290000999999997</v>
      </c>
      <c r="E88">
        <v>48.310001</v>
      </c>
      <c r="F88">
        <v>37.141575000000003</v>
      </c>
      <c r="G88">
        <v>213400</v>
      </c>
    </row>
    <row r="89" spans="1:7" x14ac:dyDescent="0.45">
      <c r="A89" s="1">
        <v>40120</v>
      </c>
      <c r="B89">
        <v>46.529998999999997</v>
      </c>
      <c r="C89">
        <v>47.32</v>
      </c>
      <c r="D89">
        <v>46.279998999999997</v>
      </c>
      <c r="E89">
        <v>47.110000999999997</v>
      </c>
      <c r="F89">
        <v>36.218986999999998</v>
      </c>
      <c r="G89">
        <v>245300</v>
      </c>
    </row>
    <row r="90" spans="1:7" x14ac:dyDescent="0.45">
      <c r="A90" s="1">
        <v>40121</v>
      </c>
      <c r="B90">
        <v>47.259998000000003</v>
      </c>
      <c r="C90">
        <v>47.73</v>
      </c>
      <c r="D90">
        <v>47.150002000000001</v>
      </c>
      <c r="E90">
        <v>47.380001</v>
      </c>
      <c r="F90">
        <v>36.426571000000003</v>
      </c>
      <c r="G90">
        <v>211500</v>
      </c>
    </row>
    <row r="91" spans="1:7" x14ac:dyDescent="0.45">
      <c r="A91" s="1">
        <v>40122</v>
      </c>
      <c r="B91">
        <v>47.790000999999997</v>
      </c>
      <c r="C91">
        <v>48.599997999999999</v>
      </c>
      <c r="D91">
        <v>47.400002000000001</v>
      </c>
      <c r="E91">
        <v>48.59</v>
      </c>
      <c r="F91">
        <v>37.356838000000003</v>
      </c>
      <c r="G91">
        <v>170500</v>
      </c>
    </row>
    <row r="92" spans="1:7" x14ac:dyDescent="0.45">
      <c r="A92" s="1">
        <v>40123</v>
      </c>
      <c r="B92">
        <v>48.52</v>
      </c>
      <c r="C92">
        <v>48.73</v>
      </c>
      <c r="D92">
        <v>48</v>
      </c>
      <c r="E92">
        <v>48.369999</v>
      </c>
      <c r="F92">
        <v>37.187697999999997</v>
      </c>
      <c r="G92">
        <v>253300</v>
      </c>
    </row>
    <row r="93" spans="1:7" x14ac:dyDescent="0.45">
      <c r="A93" s="1">
        <v>40126</v>
      </c>
      <c r="B93">
        <v>49.07</v>
      </c>
      <c r="C93">
        <v>49.82</v>
      </c>
      <c r="D93">
        <v>48.950001</v>
      </c>
      <c r="E93">
        <v>49.720001000000003</v>
      </c>
      <c r="F93">
        <v>38.225605000000002</v>
      </c>
      <c r="G93">
        <v>92800</v>
      </c>
    </row>
    <row r="94" spans="1:7" x14ac:dyDescent="0.45">
      <c r="A94" s="1">
        <v>40127</v>
      </c>
      <c r="B94">
        <v>48.310001</v>
      </c>
      <c r="C94">
        <v>48.540000999999997</v>
      </c>
      <c r="D94">
        <v>47.91</v>
      </c>
      <c r="E94">
        <v>48.32</v>
      </c>
      <c r="F94">
        <v>37.149258000000003</v>
      </c>
      <c r="G94">
        <v>432800</v>
      </c>
    </row>
    <row r="95" spans="1:7" x14ac:dyDescent="0.45">
      <c r="A95" s="1">
        <v>40128</v>
      </c>
      <c r="B95">
        <v>47.68</v>
      </c>
      <c r="C95">
        <v>48.740001999999997</v>
      </c>
      <c r="D95">
        <v>47.59</v>
      </c>
      <c r="E95">
        <v>48.639999000000003</v>
      </c>
      <c r="F95">
        <v>37.395279000000002</v>
      </c>
      <c r="G95">
        <v>424200</v>
      </c>
    </row>
    <row r="96" spans="1:7" x14ac:dyDescent="0.45">
      <c r="A96" s="1">
        <v>40129</v>
      </c>
      <c r="B96">
        <v>47.290000999999997</v>
      </c>
      <c r="C96">
        <v>48.689999</v>
      </c>
      <c r="D96">
        <v>47.18</v>
      </c>
      <c r="E96">
        <v>48.27</v>
      </c>
      <c r="F96">
        <v>37.110824999999998</v>
      </c>
      <c r="G96">
        <v>2096400</v>
      </c>
    </row>
    <row r="97" spans="1:7" x14ac:dyDescent="0.45">
      <c r="A97" s="1">
        <v>40130</v>
      </c>
      <c r="B97">
        <v>49.950001</v>
      </c>
      <c r="C97">
        <v>50.279998999999997</v>
      </c>
      <c r="D97">
        <v>49.470001000000003</v>
      </c>
      <c r="E97">
        <v>50.27</v>
      </c>
      <c r="F97">
        <v>38.648448999999999</v>
      </c>
      <c r="G97">
        <v>564100</v>
      </c>
    </row>
    <row r="98" spans="1:7" x14ac:dyDescent="0.45">
      <c r="A98" s="1">
        <v>40133</v>
      </c>
      <c r="B98">
        <v>50.790000999999997</v>
      </c>
      <c r="C98">
        <v>51.799999</v>
      </c>
      <c r="D98">
        <v>50.779998999999997</v>
      </c>
      <c r="E98">
        <v>51.650002000000001</v>
      </c>
      <c r="F98">
        <v>39.709431000000002</v>
      </c>
      <c r="G98">
        <v>418200</v>
      </c>
    </row>
    <row r="99" spans="1:7" x14ac:dyDescent="0.45">
      <c r="A99" s="1">
        <v>40134</v>
      </c>
      <c r="B99">
        <v>50.91</v>
      </c>
      <c r="C99">
        <v>51.450001</v>
      </c>
      <c r="D99">
        <v>50.029998999999997</v>
      </c>
      <c r="E99">
        <v>51.09</v>
      </c>
      <c r="F99">
        <v>39.278885000000002</v>
      </c>
      <c r="G99">
        <v>352300</v>
      </c>
    </row>
    <row r="100" spans="1:7" x14ac:dyDescent="0.45">
      <c r="A100" s="1">
        <v>40135</v>
      </c>
      <c r="B100">
        <v>51.380001</v>
      </c>
      <c r="C100">
        <v>51.759998000000003</v>
      </c>
      <c r="D100">
        <v>50.970001000000003</v>
      </c>
      <c r="E100">
        <v>51.389999000000003</v>
      </c>
      <c r="F100">
        <v>39.509537000000002</v>
      </c>
      <c r="G100">
        <v>395300</v>
      </c>
    </row>
    <row r="101" spans="1:7" x14ac:dyDescent="0.45">
      <c r="A101" s="1">
        <v>40136</v>
      </c>
      <c r="B101">
        <v>50.759998000000003</v>
      </c>
      <c r="C101">
        <v>50.889999000000003</v>
      </c>
      <c r="D101">
        <v>49.900002000000001</v>
      </c>
      <c r="E101">
        <v>50.599997999999999</v>
      </c>
      <c r="F101">
        <v>38.902161</v>
      </c>
      <c r="G101">
        <v>736600</v>
      </c>
    </row>
    <row r="102" spans="1:7" x14ac:dyDescent="0.45">
      <c r="A102" s="1">
        <v>40137</v>
      </c>
      <c r="B102">
        <v>50.240001999999997</v>
      </c>
      <c r="C102">
        <v>50.990001999999997</v>
      </c>
      <c r="D102">
        <v>50.240001999999997</v>
      </c>
      <c r="E102">
        <v>50.669998</v>
      </c>
      <c r="F102">
        <v>38.955986000000003</v>
      </c>
      <c r="G102">
        <v>753200</v>
      </c>
    </row>
    <row r="103" spans="1:7" x14ac:dyDescent="0.45">
      <c r="A103" s="1">
        <v>40140</v>
      </c>
      <c r="B103">
        <v>51.41</v>
      </c>
      <c r="C103">
        <v>51.68</v>
      </c>
      <c r="D103">
        <v>50.959999000000003</v>
      </c>
      <c r="E103">
        <v>51.32</v>
      </c>
      <c r="F103">
        <v>39.455714999999998</v>
      </c>
      <c r="G103">
        <v>454100</v>
      </c>
    </row>
    <row r="104" spans="1:7" x14ac:dyDescent="0.45">
      <c r="A104" s="1">
        <v>40141</v>
      </c>
      <c r="B104">
        <v>51.34</v>
      </c>
      <c r="C104">
        <v>51.5</v>
      </c>
      <c r="D104">
        <v>51.009998000000003</v>
      </c>
      <c r="E104">
        <v>51.32</v>
      </c>
      <c r="F104">
        <v>39.455714999999998</v>
      </c>
      <c r="G104">
        <v>242300</v>
      </c>
    </row>
    <row r="105" spans="1:7" x14ac:dyDescent="0.45">
      <c r="A105" s="1">
        <v>40142</v>
      </c>
      <c r="B105">
        <v>51.970001000000003</v>
      </c>
      <c r="C105">
        <v>52.549999</v>
      </c>
      <c r="D105">
        <v>51.790000999999997</v>
      </c>
      <c r="E105">
        <v>52.439999</v>
      </c>
      <c r="F105">
        <v>40.316792</v>
      </c>
      <c r="G105">
        <v>348200</v>
      </c>
    </row>
    <row r="106" spans="1:7" x14ac:dyDescent="0.45">
      <c r="A106" s="1">
        <v>40144</v>
      </c>
      <c r="B106">
        <v>49.330002</v>
      </c>
      <c r="C106">
        <v>52.200001</v>
      </c>
      <c r="D106">
        <v>49.279998999999997</v>
      </c>
      <c r="E106">
        <v>51.18</v>
      </c>
      <c r="F106">
        <v>39.348075999999999</v>
      </c>
      <c r="G106">
        <v>799300</v>
      </c>
    </row>
    <row r="107" spans="1:7" x14ac:dyDescent="0.45">
      <c r="A107" s="1">
        <v>40147</v>
      </c>
      <c r="B107">
        <v>50.73</v>
      </c>
      <c r="C107">
        <v>51.049999</v>
      </c>
      <c r="D107">
        <v>49.509998000000003</v>
      </c>
      <c r="E107">
        <v>50.290000999999997</v>
      </c>
      <c r="F107">
        <v>38.663834000000001</v>
      </c>
      <c r="G107">
        <v>331600</v>
      </c>
    </row>
    <row r="108" spans="1:7" x14ac:dyDescent="0.45">
      <c r="A108" s="1">
        <v>40148</v>
      </c>
      <c r="B108">
        <v>51</v>
      </c>
      <c r="C108">
        <v>52.330002</v>
      </c>
      <c r="D108">
        <v>51</v>
      </c>
      <c r="E108">
        <v>52.25</v>
      </c>
      <c r="F108">
        <v>40.170715000000001</v>
      </c>
      <c r="G108">
        <v>456400</v>
      </c>
    </row>
    <row r="109" spans="1:7" x14ac:dyDescent="0.45">
      <c r="A109" s="1">
        <v>40149</v>
      </c>
      <c r="B109">
        <v>52.830002</v>
      </c>
      <c r="C109">
        <v>53.470001000000003</v>
      </c>
      <c r="D109">
        <v>52.639999000000003</v>
      </c>
      <c r="E109">
        <v>53.240001999999997</v>
      </c>
      <c r="F109">
        <v>40.931843000000001</v>
      </c>
      <c r="G109">
        <v>542300</v>
      </c>
    </row>
    <row r="110" spans="1:7" x14ac:dyDescent="0.45">
      <c r="A110" s="1">
        <v>40150</v>
      </c>
      <c r="B110">
        <v>53.41</v>
      </c>
      <c r="C110">
        <v>53.689999</v>
      </c>
      <c r="D110">
        <v>52.450001</v>
      </c>
      <c r="E110">
        <v>52.639999000000003</v>
      </c>
      <c r="F110">
        <v>40.470551</v>
      </c>
      <c r="G110">
        <v>172700</v>
      </c>
    </row>
    <row r="111" spans="1:7" x14ac:dyDescent="0.45">
      <c r="A111" s="1">
        <v>40151</v>
      </c>
      <c r="B111">
        <v>53.529998999999997</v>
      </c>
      <c r="C111">
        <v>53.59</v>
      </c>
      <c r="D111">
        <v>52.009998000000003</v>
      </c>
      <c r="E111">
        <v>52.639999000000003</v>
      </c>
      <c r="F111">
        <v>40.470551</v>
      </c>
      <c r="G111">
        <v>403100</v>
      </c>
    </row>
    <row r="112" spans="1:7" x14ac:dyDescent="0.45">
      <c r="A112" s="1">
        <v>40154</v>
      </c>
      <c r="B112">
        <v>52.189999</v>
      </c>
      <c r="C112">
        <v>53.59</v>
      </c>
      <c r="D112">
        <v>52.139999000000003</v>
      </c>
      <c r="E112">
        <v>52.5</v>
      </c>
      <c r="F112">
        <v>40.362915000000001</v>
      </c>
      <c r="G112">
        <v>220500</v>
      </c>
    </row>
    <row r="113" spans="1:7" x14ac:dyDescent="0.45">
      <c r="A113" s="1">
        <v>40155</v>
      </c>
      <c r="B113">
        <v>51.700001</v>
      </c>
      <c r="C113">
        <v>51.82</v>
      </c>
      <c r="D113">
        <v>50.810001</v>
      </c>
      <c r="E113">
        <v>51.16</v>
      </c>
      <c r="F113">
        <v>39.332698999999998</v>
      </c>
      <c r="G113">
        <v>257500</v>
      </c>
    </row>
    <row r="114" spans="1:7" x14ac:dyDescent="0.45">
      <c r="A114" s="1">
        <v>40156</v>
      </c>
      <c r="B114">
        <v>51.650002000000001</v>
      </c>
      <c r="C114">
        <v>51.77</v>
      </c>
      <c r="D114">
        <v>50.98</v>
      </c>
      <c r="E114">
        <v>51.369999</v>
      </c>
      <c r="F114">
        <v>39.494155999999997</v>
      </c>
      <c r="G114">
        <v>121500</v>
      </c>
    </row>
    <row r="115" spans="1:7" x14ac:dyDescent="0.45">
      <c r="A115" s="1">
        <v>40157</v>
      </c>
      <c r="B115">
        <v>51.689999</v>
      </c>
      <c r="C115">
        <v>51.98</v>
      </c>
      <c r="D115">
        <v>51.299999</v>
      </c>
      <c r="E115">
        <v>51.689999</v>
      </c>
      <c r="F115">
        <v>39.740172999999999</v>
      </c>
      <c r="G115">
        <v>73500</v>
      </c>
    </row>
    <row r="116" spans="1:7" x14ac:dyDescent="0.45">
      <c r="A116" s="1">
        <v>40158</v>
      </c>
      <c r="B116">
        <v>52.25</v>
      </c>
      <c r="C116">
        <v>52.490001999999997</v>
      </c>
      <c r="D116">
        <v>51.919998</v>
      </c>
      <c r="E116">
        <v>52.32</v>
      </c>
      <c r="F116">
        <v>40.224528999999997</v>
      </c>
      <c r="G116">
        <v>92700</v>
      </c>
    </row>
    <row r="117" spans="1:7" x14ac:dyDescent="0.45">
      <c r="A117" s="1">
        <v>40161</v>
      </c>
      <c r="B117">
        <v>52.810001</v>
      </c>
      <c r="C117">
        <v>53.150002000000001</v>
      </c>
      <c r="D117">
        <v>52.610000999999997</v>
      </c>
      <c r="E117">
        <v>52.990001999999997</v>
      </c>
      <c r="F117">
        <v>40.739643000000001</v>
      </c>
      <c r="G117">
        <v>134900</v>
      </c>
    </row>
    <row r="118" spans="1:7" x14ac:dyDescent="0.45">
      <c r="A118" s="1">
        <v>40162</v>
      </c>
      <c r="B118">
        <v>52.619999</v>
      </c>
      <c r="C118">
        <v>52.709999000000003</v>
      </c>
      <c r="D118">
        <v>52.349997999999999</v>
      </c>
      <c r="E118">
        <v>52.450001</v>
      </c>
      <c r="F118">
        <v>40.324474000000002</v>
      </c>
      <c r="G118">
        <v>96800</v>
      </c>
    </row>
    <row r="119" spans="1:7" x14ac:dyDescent="0.45">
      <c r="A119" s="1">
        <v>40163</v>
      </c>
      <c r="B119">
        <v>52.639999000000003</v>
      </c>
      <c r="C119">
        <v>53.32</v>
      </c>
      <c r="D119">
        <v>52.509998000000003</v>
      </c>
      <c r="E119">
        <v>52.599997999999999</v>
      </c>
      <c r="F119">
        <v>40.439793000000002</v>
      </c>
      <c r="G119">
        <v>273300</v>
      </c>
    </row>
    <row r="120" spans="1:7" x14ac:dyDescent="0.45">
      <c r="A120" s="1">
        <v>40164</v>
      </c>
      <c r="B120">
        <v>51.790000999999997</v>
      </c>
      <c r="C120">
        <v>51.799999</v>
      </c>
      <c r="D120">
        <v>51.220001000000003</v>
      </c>
      <c r="E120">
        <v>51.43</v>
      </c>
      <c r="F120">
        <v>39.540286999999999</v>
      </c>
      <c r="G120">
        <v>132200</v>
      </c>
    </row>
    <row r="121" spans="1:7" x14ac:dyDescent="0.45">
      <c r="A121" s="1">
        <v>40165</v>
      </c>
      <c r="B121">
        <v>51.139999000000003</v>
      </c>
      <c r="C121">
        <v>51.32</v>
      </c>
      <c r="D121">
        <v>50.25</v>
      </c>
      <c r="E121">
        <v>50.610000999999997</v>
      </c>
      <c r="F121">
        <v>38.909855</v>
      </c>
      <c r="G121">
        <v>311200</v>
      </c>
    </row>
    <row r="122" spans="1:7" x14ac:dyDescent="0.45">
      <c r="A122" s="1">
        <v>40168</v>
      </c>
      <c r="B122">
        <v>50.580002</v>
      </c>
      <c r="C122">
        <v>51</v>
      </c>
      <c r="D122">
        <v>50.490001999999997</v>
      </c>
      <c r="E122">
        <v>50.830002</v>
      </c>
      <c r="F122">
        <v>39.079002000000003</v>
      </c>
      <c r="G122">
        <v>101500</v>
      </c>
    </row>
    <row r="123" spans="1:7" x14ac:dyDescent="0.45">
      <c r="A123" s="1">
        <v>40169</v>
      </c>
      <c r="B123">
        <v>50.830002</v>
      </c>
      <c r="C123">
        <v>51.130001</v>
      </c>
      <c r="D123">
        <v>50.580002</v>
      </c>
      <c r="E123">
        <v>50.68</v>
      </c>
      <c r="F123">
        <v>38.963661000000002</v>
      </c>
      <c r="G123">
        <v>148300</v>
      </c>
    </row>
    <row r="124" spans="1:7" x14ac:dyDescent="0.45">
      <c r="A124" s="1">
        <v>40170</v>
      </c>
      <c r="B124">
        <v>50.869999</v>
      </c>
      <c r="C124">
        <v>51.630001</v>
      </c>
      <c r="D124">
        <v>50.700001</v>
      </c>
      <c r="E124">
        <v>51.279998999999997</v>
      </c>
      <c r="F124">
        <v>39.424953000000002</v>
      </c>
      <c r="G124">
        <v>192200</v>
      </c>
    </row>
    <row r="125" spans="1:7" x14ac:dyDescent="0.45">
      <c r="A125" s="1">
        <v>40171</v>
      </c>
      <c r="B125">
        <v>51.580002</v>
      </c>
      <c r="C125">
        <v>51.700001</v>
      </c>
      <c r="D125">
        <v>51.32</v>
      </c>
      <c r="E125">
        <v>51.48</v>
      </c>
      <c r="F125">
        <v>39.578724000000001</v>
      </c>
      <c r="G125">
        <v>41300</v>
      </c>
    </row>
    <row r="126" spans="1:7" x14ac:dyDescent="0.45">
      <c r="A126" s="1">
        <v>40175</v>
      </c>
      <c r="B126">
        <v>52.040000999999997</v>
      </c>
      <c r="C126">
        <v>52.299999</v>
      </c>
      <c r="D126">
        <v>51.779998999999997</v>
      </c>
      <c r="E126">
        <v>52.02</v>
      </c>
      <c r="F126">
        <v>39.993881000000002</v>
      </c>
      <c r="G126">
        <v>130800</v>
      </c>
    </row>
    <row r="127" spans="1:7" x14ac:dyDescent="0.45">
      <c r="A127" s="1">
        <v>40176</v>
      </c>
      <c r="B127">
        <v>52.740001999999997</v>
      </c>
      <c r="C127">
        <v>52.900002000000001</v>
      </c>
      <c r="D127">
        <v>52.200001</v>
      </c>
      <c r="E127">
        <v>52.43</v>
      </c>
      <c r="F127">
        <v>40.309097000000001</v>
      </c>
      <c r="G127">
        <v>96200</v>
      </c>
    </row>
    <row r="128" spans="1:7" x14ac:dyDescent="0.45">
      <c r="A128" s="1">
        <v>40177</v>
      </c>
      <c r="B128">
        <v>52.209999000000003</v>
      </c>
      <c r="C128">
        <v>52.25</v>
      </c>
      <c r="D128">
        <v>51.900002000000001</v>
      </c>
      <c r="E128">
        <v>52.119999</v>
      </c>
      <c r="F128">
        <v>40.070765999999999</v>
      </c>
      <c r="G128">
        <v>59800</v>
      </c>
    </row>
    <row r="129" spans="1:7" x14ac:dyDescent="0.45">
      <c r="A129" s="1">
        <v>40178</v>
      </c>
      <c r="B129">
        <v>52.369999</v>
      </c>
      <c r="C129">
        <v>52.450001</v>
      </c>
      <c r="D129">
        <v>52.029998999999997</v>
      </c>
      <c r="E129">
        <v>52.029998999999997</v>
      </c>
      <c r="F129">
        <v>40.001575000000003</v>
      </c>
      <c r="G129">
        <v>35400</v>
      </c>
    </row>
    <row r="130" spans="1:7" x14ac:dyDescent="0.45">
      <c r="A130" s="1">
        <v>40182</v>
      </c>
      <c r="B130">
        <v>53.32</v>
      </c>
      <c r="C130">
        <v>53.700001</v>
      </c>
      <c r="D130">
        <v>52.990001999999997</v>
      </c>
      <c r="E130">
        <v>53.490001999999997</v>
      </c>
      <c r="F130">
        <v>41.124039000000003</v>
      </c>
      <c r="G130">
        <v>139600</v>
      </c>
    </row>
    <row r="131" spans="1:7" x14ac:dyDescent="0.45">
      <c r="A131" s="1">
        <v>40183</v>
      </c>
      <c r="B131">
        <v>53.330002</v>
      </c>
      <c r="C131">
        <v>53.34</v>
      </c>
      <c r="D131">
        <v>52.610000999999997</v>
      </c>
      <c r="E131">
        <v>52.849997999999999</v>
      </c>
      <c r="F131">
        <v>40.632004000000002</v>
      </c>
      <c r="G131">
        <v>141300</v>
      </c>
    </row>
    <row r="132" spans="1:7" x14ac:dyDescent="0.45">
      <c r="A132" s="1">
        <v>40184</v>
      </c>
      <c r="B132">
        <v>52.310001</v>
      </c>
      <c r="C132">
        <v>52.700001</v>
      </c>
      <c r="D132">
        <v>52.240001999999997</v>
      </c>
      <c r="E132">
        <v>52.52</v>
      </c>
      <c r="F132">
        <v>40.378295999999999</v>
      </c>
      <c r="G132">
        <v>172700</v>
      </c>
    </row>
    <row r="133" spans="1:7" x14ac:dyDescent="0.45">
      <c r="A133" s="1">
        <v>40185</v>
      </c>
      <c r="B133">
        <v>51.630001</v>
      </c>
      <c r="C133">
        <v>51.630001</v>
      </c>
      <c r="D133">
        <v>50.970001000000003</v>
      </c>
      <c r="E133">
        <v>51.240001999999997</v>
      </c>
      <c r="F133">
        <v>39.394215000000003</v>
      </c>
      <c r="G133">
        <v>310600</v>
      </c>
    </row>
    <row r="134" spans="1:7" x14ac:dyDescent="0.45">
      <c r="A134" s="1">
        <v>40186</v>
      </c>
      <c r="B134">
        <v>51</v>
      </c>
      <c r="C134">
        <v>51.099997999999999</v>
      </c>
      <c r="D134">
        <v>50.5</v>
      </c>
      <c r="E134">
        <v>50.950001</v>
      </c>
      <c r="F134">
        <v>39.171256999999997</v>
      </c>
      <c r="G134">
        <v>484800</v>
      </c>
    </row>
    <row r="135" spans="1:7" x14ac:dyDescent="0.45">
      <c r="A135" s="1">
        <v>40189</v>
      </c>
      <c r="B135">
        <v>51.450001</v>
      </c>
      <c r="C135">
        <v>51.619999</v>
      </c>
      <c r="D135">
        <v>51.279998999999997</v>
      </c>
      <c r="E135">
        <v>51.41</v>
      </c>
      <c r="F135">
        <v>39.524918</v>
      </c>
      <c r="G135">
        <v>119500</v>
      </c>
    </row>
    <row r="136" spans="1:7" x14ac:dyDescent="0.45">
      <c r="A136" s="1">
        <v>40190</v>
      </c>
      <c r="B136">
        <v>50.66</v>
      </c>
      <c r="C136">
        <v>51.27</v>
      </c>
      <c r="D136">
        <v>50.5</v>
      </c>
      <c r="E136">
        <v>51.200001</v>
      </c>
      <c r="F136">
        <v>39.363453</v>
      </c>
      <c r="G136">
        <v>455400</v>
      </c>
    </row>
    <row r="137" spans="1:7" x14ac:dyDescent="0.45">
      <c r="A137" s="1">
        <v>40191</v>
      </c>
      <c r="B137">
        <v>51.869999</v>
      </c>
      <c r="C137">
        <v>52.23</v>
      </c>
      <c r="D137">
        <v>51.490001999999997</v>
      </c>
      <c r="E137">
        <v>51.790000999999997</v>
      </c>
      <c r="F137">
        <v>39.817059</v>
      </c>
      <c r="G137">
        <v>223100</v>
      </c>
    </row>
    <row r="138" spans="1:7" x14ac:dyDescent="0.45">
      <c r="A138" s="1">
        <v>40192</v>
      </c>
      <c r="B138">
        <v>51.740001999999997</v>
      </c>
      <c r="C138">
        <v>52.029998999999997</v>
      </c>
      <c r="D138">
        <v>51.639999000000003</v>
      </c>
      <c r="E138">
        <v>51.880001</v>
      </c>
      <c r="F138">
        <v>39.886246</v>
      </c>
      <c r="G138">
        <v>148100</v>
      </c>
    </row>
    <row r="139" spans="1:7" x14ac:dyDescent="0.45">
      <c r="A139" s="1">
        <v>40193</v>
      </c>
      <c r="B139">
        <v>51.5</v>
      </c>
      <c r="C139">
        <v>51.610000999999997</v>
      </c>
      <c r="D139">
        <v>50.150002000000001</v>
      </c>
      <c r="E139">
        <v>50.490001999999997</v>
      </c>
      <c r="F139">
        <v>38.817593000000002</v>
      </c>
      <c r="G139">
        <v>411200</v>
      </c>
    </row>
    <row r="140" spans="1:7" x14ac:dyDescent="0.45">
      <c r="A140" s="1">
        <v>40197</v>
      </c>
      <c r="B140">
        <v>50.34</v>
      </c>
      <c r="C140">
        <v>50.650002000000001</v>
      </c>
      <c r="D140">
        <v>50.25</v>
      </c>
      <c r="E140">
        <v>50.529998999999997</v>
      </c>
      <c r="F140">
        <v>38.848343</v>
      </c>
      <c r="G140">
        <v>207500</v>
      </c>
    </row>
    <row r="141" spans="1:7" x14ac:dyDescent="0.45">
      <c r="A141" s="1">
        <v>40198</v>
      </c>
      <c r="B141">
        <v>49.48</v>
      </c>
      <c r="C141">
        <v>49.689999</v>
      </c>
      <c r="D141">
        <v>48.700001</v>
      </c>
      <c r="E141">
        <v>49.27</v>
      </c>
      <c r="F141">
        <v>37.879641999999997</v>
      </c>
      <c r="G141">
        <v>448500</v>
      </c>
    </row>
    <row r="142" spans="1:7" x14ac:dyDescent="0.45">
      <c r="A142" s="1">
        <v>40199</v>
      </c>
      <c r="B142">
        <v>49.02</v>
      </c>
      <c r="C142">
        <v>49.119999</v>
      </c>
      <c r="D142">
        <v>47.77</v>
      </c>
      <c r="E142">
        <v>47.880001</v>
      </c>
      <c r="F142">
        <v>36.810974000000002</v>
      </c>
      <c r="G142">
        <v>986400</v>
      </c>
    </row>
    <row r="143" spans="1:7" x14ac:dyDescent="0.45">
      <c r="A143" s="1">
        <v>40200</v>
      </c>
      <c r="B143">
        <v>48.720001000000003</v>
      </c>
      <c r="C143">
        <v>49.400002000000001</v>
      </c>
      <c r="D143">
        <v>47.919998</v>
      </c>
      <c r="E143">
        <v>48.060001</v>
      </c>
      <c r="F143">
        <v>36.949364000000003</v>
      </c>
      <c r="G143">
        <v>764500</v>
      </c>
    </row>
    <row r="144" spans="1:7" x14ac:dyDescent="0.45">
      <c r="A144" s="1">
        <v>40203</v>
      </c>
      <c r="B144">
        <v>48.68</v>
      </c>
      <c r="C144">
        <v>48.830002</v>
      </c>
      <c r="D144">
        <v>48.080002</v>
      </c>
      <c r="E144">
        <v>48.349997999999999</v>
      </c>
      <c r="F144">
        <v>37.172328999999998</v>
      </c>
      <c r="G144">
        <v>419800</v>
      </c>
    </row>
    <row r="145" spans="1:7" x14ac:dyDescent="0.45">
      <c r="A145" s="1">
        <v>40204</v>
      </c>
      <c r="B145">
        <v>47.580002</v>
      </c>
      <c r="C145">
        <v>48.650002000000001</v>
      </c>
      <c r="D145">
        <v>47.439999</v>
      </c>
      <c r="E145">
        <v>48.110000999999997</v>
      </c>
      <c r="F145">
        <v>36.987816000000002</v>
      </c>
      <c r="G145">
        <v>159600</v>
      </c>
    </row>
    <row r="146" spans="1:7" x14ac:dyDescent="0.45">
      <c r="A146" s="1">
        <v>40205</v>
      </c>
      <c r="B146">
        <v>49.580002</v>
      </c>
      <c r="C146">
        <v>49.790000999999997</v>
      </c>
      <c r="D146">
        <v>49.279998999999997</v>
      </c>
      <c r="E146">
        <v>49.73</v>
      </c>
      <c r="F146">
        <v>38.233294999999998</v>
      </c>
      <c r="G146">
        <v>281000</v>
      </c>
    </row>
    <row r="147" spans="1:7" x14ac:dyDescent="0.45">
      <c r="A147" s="1">
        <v>40206</v>
      </c>
      <c r="B147">
        <v>50.349997999999999</v>
      </c>
      <c r="C147">
        <v>50.389999000000003</v>
      </c>
      <c r="D147">
        <v>48.75</v>
      </c>
      <c r="E147">
        <v>49.07</v>
      </c>
      <c r="F147">
        <v>37.725876</v>
      </c>
      <c r="G147">
        <v>210100</v>
      </c>
    </row>
    <row r="148" spans="1:7" x14ac:dyDescent="0.45">
      <c r="A148" s="1">
        <v>40207</v>
      </c>
      <c r="B148">
        <v>50.52</v>
      </c>
      <c r="C148">
        <v>50.790000999999997</v>
      </c>
      <c r="D148">
        <v>49.360000999999997</v>
      </c>
      <c r="E148">
        <v>49.790000999999997</v>
      </c>
      <c r="F148">
        <v>38.279423000000001</v>
      </c>
      <c r="G148">
        <v>331100</v>
      </c>
    </row>
    <row r="149" spans="1:7" x14ac:dyDescent="0.45">
      <c r="A149" s="1">
        <v>40210</v>
      </c>
      <c r="B149">
        <v>50.27</v>
      </c>
      <c r="C149">
        <v>50.740001999999997</v>
      </c>
      <c r="D149">
        <v>50.200001</v>
      </c>
      <c r="E149">
        <v>50.650002000000001</v>
      </c>
      <c r="F149">
        <v>38.940612999999999</v>
      </c>
      <c r="G149">
        <v>249600</v>
      </c>
    </row>
    <row r="150" spans="1:7" x14ac:dyDescent="0.45">
      <c r="A150" s="1">
        <v>40211</v>
      </c>
      <c r="B150">
        <v>50.66</v>
      </c>
      <c r="C150">
        <v>51.41</v>
      </c>
      <c r="D150">
        <v>50.509998000000003</v>
      </c>
      <c r="E150">
        <v>51.02</v>
      </c>
      <c r="F150">
        <v>39.225062999999999</v>
      </c>
      <c r="G150">
        <v>291300</v>
      </c>
    </row>
    <row r="151" spans="1:7" x14ac:dyDescent="0.45">
      <c r="A151" s="1">
        <v>40212</v>
      </c>
      <c r="B151">
        <v>51.07</v>
      </c>
      <c r="C151">
        <v>51.209999000000003</v>
      </c>
      <c r="D151">
        <v>50.529998999999997</v>
      </c>
      <c r="E151">
        <v>50.990001999999997</v>
      </c>
      <c r="F151">
        <v>39.202002999999998</v>
      </c>
      <c r="G151">
        <v>201900</v>
      </c>
    </row>
    <row r="152" spans="1:7" x14ac:dyDescent="0.45">
      <c r="A152" s="1">
        <v>40213</v>
      </c>
      <c r="B152">
        <v>49.279998999999997</v>
      </c>
      <c r="C152">
        <v>49.310001</v>
      </c>
      <c r="D152">
        <v>47.889999000000003</v>
      </c>
      <c r="E152">
        <v>47.889999000000003</v>
      </c>
      <c r="F152">
        <v>36.818671999999999</v>
      </c>
      <c r="G152">
        <v>892600</v>
      </c>
    </row>
    <row r="153" spans="1:7" x14ac:dyDescent="0.45">
      <c r="A153" s="1">
        <v>40214</v>
      </c>
      <c r="B153">
        <v>46.810001</v>
      </c>
      <c r="C153">
        <v>47.09</v>
      </c>
      <c r="D153">
        <v>45.549999</v>
      </c>
      <c r="E153">
        <v>46.43</v>
      </c>
      <c r="F153">
        <v>35.696193999999998</v>
      </c>
      <c r="G153">
        <v>565200</v>
      </c>
    </row>
    <row r="154" spans="1:7" x14ac:dyDescent="0.45">
      <c r="A154" s="1">
        <v>40217</v>
      </c>
      <c r="B154">
        <v>47.360000999999997</v>
      </c>
      <c r="C154">
        <v>47.860000999999997</v>
      </c>
      <c r="D154">
        <v>47</v>
      </c>
      <c r="E154">
        <v>47.040000999999997</v>
      </c>
      <c r="F154">
        <v>36.165179999999999</v>
      </c>
      <c r="G154">
        <v>211500</v>
      </c>
    </row>
    <row r="155" spans="1:7" x14ac:dyDescent="0.45">
      <c r="A155" s="1">
        <v>40218</v>
      </c>
      <c r="B155">
        <v>47.709999000000003</v>
      </c>
      <c r="C155">
        <v>49.099997999999999</v>
      </c>
      <c r="D155">
        <v>47.66</v>
      </c>
      <c r="E155">
        <v>48.52</v>
      </c>
      <c r="F155">
        <v>37.303024000000001</v>
      </c>
      <c r="G155">
        <v>259900</v>
      </c>
    </row>
    <row r="156" spans="1:7" x14ac:dyDescent="0.45">
      <c r="A156" s="1">
        <v>40219</v>
      </c>
      <c r="B156">
        <v>48.48</v>
      </c>
      <c r="C156">
        <v>48.759998000000003</v>
      </c>
      <c r="D156">
        <v>47.900002000000001</v>
      </c>
      <c r="E156">
        <v>48.299999</v>
      </c>
      <c r="F156">
        <v>37.133887999999999</v>
      </c>
      <c r="G156">
        <v>191300</v>
      </c>
    </row>
    <row r="157" spans="1:7" x14ac:dyDescent="0.45">
      <c r="A157" s="1">
        <v>40220</v>
      </c>
      <c r="B157">
        <v>48.669998</v>
      </c>
      <c r="C157">
        <v>49.290000999999997</v>
      </c>
      <c r="D157">
        <v>48.119999</v>
      </c>
      <c r="E157">
        <v>49.130001</v>
      </c>
      <c r="F157">
        <v>37.772015000000003</v>
      </c>
      <c r="G157">
        <v>186800</v>
      </c>
    </row>
    <row r="158" spans="1:7" x14ac:dyDescent="0.45">
      <c r="A158" s="1">
        <v>40221</v>
      </c>
      <c r="B158">
        <v>49.119999</v>
      </c>
      <c r="C158">
        <v>49.669998</v>
      </c>
      <c r="D158">
        <v>48.709999000000003</v>
      </c>
      <c r="E158">
        <v>49.540000999999997</v>
      </c>
      <c r="F158">
        <v>38.087218999999997</v>
      </c>
      <c r="G158">
        <v>117000</v>
      </c>
    </row>
    <row r="159" spans="1:7" x14ac:dyDescent="0.45">
      <c r="A159" s="1">
        <v>40225</v>
      </c>
      <c r="B159">
        <v>49.110000999999997</v>
      </c>
      <c r="C159">
        <v>50.32</v>
      </c>
      <c r="D159">
        <v>48.900002000000001</v>
      </c>
      <c r="E159">
        <v>50.209999000000003</v>
      </c>
      <c r="F159">
        <v>38.602317999999997</v>
      </c>
      <c r="G159">
        <v>115500</v>
      </c>
    </row>
    <row r="160" spans="1:7" x14ac:dyDescent="0.45">
      <c r="A160" s="1">
        <v>40226</v>
      </c>
      <c r="B160">
        <v>50.73</v>
      </c>
      <c r="C160">
        <v>51.150002000000001</v>
      </c>
      <c r="D160">
        <v>50.529998999999997</v>
      </c>
      <c r="E160">
        <v>50.849997999999999</v>
      </c>
      <c r="F160">
        <v>39.094372</v>
      </c>
      <c r="G160">
        <v>292600</v>
      </c>
    </row>
    <row r="161" spans="1:7" x14ac:dyDescent="0.45">
      <c r="A161" s="1">
        <v>40227</v>
      </c>
      <c r="B161">
        <v>50.48</v>
      </c>
      <c r="C161">
        <v>51.25</v>
      </c>
      <c r="D161">
        <v>50.439999</v>
      </c>
      <c r="E161">
        <v>51.16</v>
      </c>
      <c r="F161">
        <v>39.332698999999998</v>
      </c>
      <c r="G161">
        <v>382200</v>
      </c>
    </row>
    <row r="162" spans="1:7" x14ac:dyDescent="0.45">
      <c r="A162" s="1">
        <v>40228</v>
      </c>
      <c r="B162">
        <v>50.220001000000003</v>
      </c>
      <c r="C162">
        <v>50.68</v>
      </c>
      <c r="D162">
        <v>49.880001</v>
      </c>
      <c r="E162">
        <v>50.32</v>
      </c>
      <c r="F162">
        <v>38.686892999999998</v>
      </c>
      <c r="G162">
        <v>457000</v>
      </c>
    </row>
    <row r="163" spans="1:7" x14ac:dyDescent="0.45">
      <c r="A163" s="1">
        <v>40231</v>
      </c>
      <c r="B163">
        <v>50.130001</v>
      </c>
      <c r="C163">
        <v>50.310001</v>
      </c>
      <c r="D163">
        <v>49.509998000000003</v>
      </c>
      <c r="E163">
        <v>49.630001</v>
      </c>
      <c r="F163">
        <v>38.156413999999998</v>
      </c>
      <c r="G163">
        <v>386700</v>
      </c>
    </row>
    <row r="164" spans="1:7" x14ac:dyDescent="0.45">
      <c r="A164" s="1">
        <v>40232</v>
      </c>
      <c r="B164">
        <v>49.619999</v>
      </c>
      <c r="C164">
        <v>49.720001000000003</v>
      </c>
      <c r="D164">
        <v>48.869999</v>
      </c>
      <c r="E164">
        <v>49.049999</v>
      </c>
      <c r="F164">
        <v>37.710498999999999</v>
      </c>
      <c r="G164">
        <v>280700</v>
      </c>
    </row>
    <row r="165" spans="1:7" x14ac:dyDescent="0.45">
      <c r="A165" s="1">
        <v>40233</v>
      </c>
      <c r="B165">
        <v>49.91</v>
      </c>
      <c r="C165">
        <v>50.43</v>
      </c>
      <c r="D165">
        <v>49.599997999999999</v>
      </c>
      <c r="E165">
        <v>50.27</v>
      </c>
      <c r="F165">
        <v>38.648448999999999</v>
      </c>
      <c r="G165">
        <v>277300</v>
      </c>
    </row>
    <row r="166" spans="1:7" x14ac:dyDescent="0.45">
      <c r="A166" s="1">
        <v>40234</v>
      </c>
      <c r="B166">
        <v>48.650002000000001</v>
      </c>
      <c r="C166">
        <v>49.759998000000003</v>
      </c>
      <c r="D166">
        <v>48.650002000000001</v>
      </c>
      <c r="E166">
        <v>49.740001999999997</v>
      </c>
      <c r="F166">
        <v>38.240989999999996</v>
      </c>
      <c r="G166">
        <v>212000</v>
      </c>
    </row>
    <row r="167" spans="1:7" x14ac:dyDescent="0.45">
      <c r="A167" s="1">
        <v>40235</v>
      </c>
      <c r="B167">
        <v>49.59</v>
      </c>
      <c r="C167">
        <v>50.380001</v>
      </c>
      <c r="D167">
        <v>49.310001</v>
      </c>
      <c r="E167">
        <v>49.950001</v>
      </c>
      <c r="F167">
        <v>38.402431</v>
      </c>
      <c r="G167">
        <v>240300</v>
      </c>
    </row>
    <row r="168" spans="1:7" x14ac:dyDescent="0.45">
      <c r="A168" s="1">
        <v>40238</v>
      </c>
      <c r="B168">
        <v>50.049999</v>
      </c>
      <c r="C168">
        <v>51.189999</v>
      </c>
      <c r="D168">
        <v>49.779998999999997</v>
      </c>
      <c r="E168">
        <v>50.849997999999999</v>
      </c>
      <c r="F168">
        <v>39.094372</v>
      </c>
      <c r="G168">
        <v>267100</v>
      </c>
    </row>
    <row r="169" spans="1:7" x14ac:dyDescent="0.45">
      <c r="A169" s="1">
        <v>40239</v>
      </c>
      <c r="B169">
        <v>51.009998000000003</v>
      </c>
      <c r="C169">
        <v>51.07</v>
      </c>
      <c r="D169">
        <v>50.439999</v>
      </c>
      <c r="E169">
        <v>50.860000999999997</v>
      </c>
      <c r="F169">
        <v>39.102051000000003</v>
      </c>
      <c r="G169">
        <v>170400</v>
      </c>
    </row>
    <row r="170" spans="1:7" x14ac:dyDescent="0.45">
      <c r="A170" s="1">
        <v>40240</v>
      </c>
      <c r="B170">
        <v>51.52</v>
      </c>
      <c r="C170">
        <v>51.970001000000003</v>
      </c>
      <c r="D170">
        <v>51.34</v>
      </c>
      <c r="E170">
        <v>51.400002000000001</v>
      </c>
      <c r="F170">
        <v>39.517215999999998</v>
      </c>
      <c r="G170">
        <v>288800</v>
      </c>
    </row>
    <row r="171" spans="1:7" x14ac:dyDescent="0.45">
      <c r="A171" s="1">
        <v>40241</v>
      </c>
      <c r="B171">
        <v>50.299999</v>
      </c>
      <c r="C171">
        <v>50.48</v>
      </c>
      <c r="D171">
        <v>49.310001</v>
      </c>
      <c r="E171">
        <v>49.419998</v>
      </c>
      <c r="F171">
        <v>37.994956999999999</v>
      </c>
      <c r="G171">
        <v>1250100</v>
      </c>
    </row>
    <row r="172" spans="1:7" x14ac:dyDescent="0.45">
      <c r="A172" s="1">
        <v>40242</v>
      </c>
      <c r="B172">
        <v>49.02</v>
      </c>
      <c r="C172">
        <v>49.82</v>
      </c>
      <c r="D172">
        <v>49</v>
      </c>
      <c r="E172">
        <v>49.599997999999999</v>
      </c>
      <c r="F172">
        <v>38.133343000000004</v>
      </c>
      <c r="G172">
        <v>759300</v>
      </c>
    </row>
    <row r="173" spans="1:7" x14ac:dyDescent="0.45">
      <c r="A173" s="1">
        <v>40245</v>
      </c>
      <c r="B173">
        <v>49.459999000000003</v>
      </c>
      <c r="C173">
        <v>49.509998000000003</v>
      </c>
      <c r="D173">
        <v>48.66</v>
      </c>
      <c r="E173">
        <v>49</v>
      </c>
      <c r="F173">
        <v>37.672061999999997</v>
      </c>
      <c r="G173">
        <v>329400</v>
      </c>
    </row>
    <row r="174" spans="1:7" x14ac:dyDescent="0.45">
      <c r="A174" s="1">
        <v>40246</v>
      </c>
      <c r="B174">
        <v>49.18</v>
      </c>
      <c r="C174">
        <v>49.939999</v>
      </c>
      <c r="D174">
        <v>49.16</v>
      </c>
      <c r="E174">
        <v>49.700001</v>
      </c>
      <c r="F174">
        <v>38.210228000000001</v>
      </c>
      <c r="G174">
        <v>543200</v>
      </c>
    </row>
    <row r="175" spans="1:7" x14ac:dyDescent="0.45">
      <c r="A175" s="1">
        <v>40247</v>
      </c>
      <c r="B175">
        <v>50.349997999999999</v>
      </c>
      <c r="C175">
        <v>50.73</v>
      </c>
      <c r="D175">
        <v>50.25</v>
      </c>
      <c r="E175">
        <v>50.369999</v>
      </c>
      <c r="F175">
        <v>38.72533</v>
      </c>
      <c r="G175">
        <v>935700</v>
      </c>
    </row>
    <row r="176" spans="1:7" x14ac:dyDescent="0.45">
      <c r="A176" s="1">
        <v>40248</v>
      </c>
      <c r="B176">
        <v>50.509998000000003</v>
      </c>
      <c r="C176">
        <v>50.759998000000003</v>
      </c>
      <c r="D176">
        <v>50.369999</v>
      </c>
      <c r="E176">
        <v>50.669998</v>
      </c>
      <c r="F176">
        <v>38.955986000000003</v>
      </c>
      <c r="G176">
        <v>254900</v>
      </c>
    </row>
    <row r="177" spans="1:7" x14ac:dyDescent="0.45">
      <c r="A177" s="1">
        <v>40249</v>
      </c>
      <c r="B177">
        <v>50.939999</v>
      </c>
      <c r="C177">
        <v>50.98</v>
      </c>
      <c r="D177">
        <v>50.5</v>
      </c>
      <c r="E177">
        <v>50.599997999999999</v>
      </c>
      <c r="F177">
        <v>38.902161</v>
      </c>
      <c r="G177">
        <v>158500</v>
      </c>
    </row>
    <row r="178" spans="1:7" x14ac:dyDescent="0.45">
      <c r="A178" s="1">
        <v>40252</v>
      </c>
      <c r="B178">
        <v>49.790000999999997</v>
      </c>
      <c r="C178">
        <v>50.040000999999997</v>
      </c>
      <c r="D178">
        <v>49.48</v>
      </c>
      <c r="E178">
        <v>49.990001999999997</v>
      </c>
      <c r="F178">
        <v>38.433185999999999</v>
      </c>
      <c r="G178">
        <v>254600</v>
      </c>
    </row>
    <row r="179" spans="1:7" x14ac:dyDescent="0.45">
      <c r="A179" s="1">
        <v>40253</v>
      </c>
      <c r="B179">
        <v>51.099997999999999</v>
      </c>
      <c r="C179">
        <v>51.540000999999997</v>
      </c>
      <c r="D179">
        <v>50.880001</v>
      </c>
      <c r="E179">
        <v>51.310001</v>
      </c>
      <c r="F179">
        <v>39.448025000000001</v>
      </c>
      <c r="G179">
        <v>611200</v>
      </c>
    </row>
    <row r="180" spans="1:7" x14ac:dyDescent="0.45">
      <c r="A180" s="1">
        <v>40254</v>
      </c>
      <c r="B180">
        <v>51.82</v>
      </c>
      <c r="C180">
        <v>51.959999000000003</v>
      </c>
      <c r="D180">
        <v>51.529998999999997</v>
      </c>
      <c r="E180">
        <v>51.740001999999997</v>
      </c>
      <c r="F180">
        <v>39.778618000000002</v>
      </c>
      <c r="G180">
        <v>656200</v>
      </c>
    </row>
    <row r="181" spans="1:7" x14ac:dyDescent="0.45">
      <c r="A181" s="1">
        <v>40255</v>
      </c>
      <c r="B181">
        <v>51.689999</v>
      </c>
      <c r="C181">
        <v>51.84</v>
      </c>
      <c r="D181">
        <v>51.18</v>
      </c>
      <c r="E181">
        <v>51.650002000000001</v>
      </c>
      <c r="F181">
        <v>39.709431000000002</v>
      </c>
      <c r="G181">
        <v>1078400</v>
      </c>
    </row>
    <row r="182" spans="1:7" x14ac:dyDescent="0.45">
      <c r="A182" s="1">
        <v>40256</v>
      </c>
      <c r="B182">
        <v>51.450001</v>
      </c>
      <c r="C182">
        <v>51.810001</v>
      </c>
      <c r="D182">
        <v>51.200001</v>
      </c>
      <c r="E182">
        <v>51.450001</v>
      </c>
      <c r="F182">
        <v>39.555660000000003</v>
      </c>
      <c r="G182">
        <v>609100</v>
      </c>
    </row>
    <row r="183" spans="1:7" x14ac:dyDescent="0.45">
      <c r="A183" s="1">
        <v>40259</v>
      </c>
      <c r="B183">
        <v>50.57</v>
      </c>
      <c r="C183">
        <v>51.84</v>
      </c>
      <c r="D183">
        <v>50.57</v>
      </c>
      <c r="E183">
        <v>51.66</v>
      </c>
      <c r="F183">
        <v>39.717109999999998</v>
      </c>
      <c r="G183">
        <v>349200</v>
      </c>
    </row>
    <row r="184" spans="1:7" x14ac:dyDescent="0.45">
      <c r="A184" s="1">
        <v>40260</v>
      </c>
      <c r="B184">
        <v>51.75</v>
      </c>
      <c r="C184">
        <v>52.07</v>
      </c>
      <c r="D184">
        <v>51.41</v>
      </c>
      <c r="E184">
        <v>51.919998</v>
      </c>
      <c r="F184">
        <v>39.917003999999999</v>
      </c>
      <c r="G184">
        <v>420600</v>
      </c>
    </row>
    <row r="185" spans="1:7" x14ac:dyDescent="0.45">
      <c r="A185" s="1">
        <v>40261</v>
      </c>
      <c r="B185">
        <v>50.52</v>
      </c>
      <c r="C185">
        <v>51</v>
      </c>
      <c r="D185">
        <v>50.290000999999997</v>
      </c>
      <c r="E185">
        <v>50.66</v>
      </c>
      <c r="F185">
        <v>38.948287999999998</v>
      </c>
      <c r="G185">
        <v>288700</v>
      </c>
    </row>
    <row r="186" spans="1:7" x14ac:dyDescent="0.45">
      <c r="A186" s="1">
        <v>40262</v>
      </c>
      <c r="B186">
        <v>50.549999</v>
      </c>
      <c r="C186">
        <v>50.799999</v>
      </c>
      <c r="D186">
        <v>50.150002000000001</v>
      </c>
      <c r="E186">
        <v>50.169998</v>
      </c>
      <c r="F186">
        <v>38.571570999999999</v>
      </c>
      <c r="G186">
        <v>243200</v>
      </c>
    </row>
    <row r="187" spans="1:7" x14ac:dyDescent="0.45">
      <c r="A187" s="1">
        <v>40263</v>
      </c>
      <c r="B187">
        <v>50.34</v>
      </c>
      <c r="C187">
        <v>50.599997999999999</v>
      </c>
      <c r="D187">
        <v>50.07</v>
      </c>
      <c r="E187">
        <v>50.32</v>
      </c>
      <c r="F187">
        <v>38.686892999999998</v>
      </c>
      <c r="G187">
        <v>234100</v>
      </c>
    </row>
    <row r="188" spans="1:7" x14ac:dyDescent="0.45">
      <c r="A188" s="1">
        <v>40266</v>
      </c>
      <c r="B188">
        <v>50.540000999999997</v>
      </c>
      <c r="C188">
        <v>51.029998999999997</v>
      </c>
      <c r="D188">
        <v>50.529998999999997</v>
      </c>
      <c r="E188">
        <v>50.689999</v>
      </c>
      <c r="F188">
        <v>38.971352000000003</v>
      </c>
      <c r="G188">
        <v>214300</v>
      </c>
    </row>
    <row r="189" spans="1:7" x14ac:dyDescent="0.45">
      <c r="A189" s="1">
        <v>40267</v>
      </c>
      <c r="B189">
        <v>51.040000999999997</v>
      </c>
      <c r="C189">
        <v>51.07</v>
      </c>
      <c r="D189">
        <v>50.34</v>
      </c>
      <c r="E189">
        <v>50.75</v>
      </c>
      <c r="F189">
        <v>39.017490000000002</v>
      </c>
      <c r="G189">
        <v>327500</v>
      </c>
    </row>
    <row r="190" spans="1:7" x14ac:dyDescent="0.45">
      <c r="A190" s="1">
        <v>40268</v>
      </c>
      <c r="B190">
        <v>50.139999000000003</v>
      </c>
      <c r="C190">
        <v>50.59</v>
      </c>
      <c r="D190">
        <v>50</v>
      </c>
      <c r="E190">
        <v>50.450001</v>
      </c>
      <c r="F190">
        <v>38.786845999999997</v>
      </c>
      <c r="G190">
        <v>312500</v>
      </c>
    </row>
    <row r="191" spans="1:7" x14ac:dyDescent="0.45">
      <c r="A191" s="1">
        <v>40269</v>
      </c>
      <c r="B191">
        <v>50.68</v>
      </c>
      <c r="C191">
        <v>51.049999</v>
      </c>
      <c r="D191">
        <v>50.490001999999997</v>
      </c>
      <c r="E191">
        <v>50.84</v>
      </c>
      <c r="F191">
        <v>39.086677999999999</v>
      </c>
      <c r="G191">
        <v>194200</v>
      </c>
    </row>
    <row r="192" spans="1:7" x14ac:dyDescent="0.45">
      <c r="A192" s="1">
        <v>40273</v>
      </c>
      <c r="B192">
        <v>51.66</v>
      </c>
      <c r="C192">
        <v>51.66</v>
      </c>
      <c r="D192">
        <v>50.75</v>
      </c>
      <c r="E192">
        <v>50.82</v>
      </c>
      <c r="F192">
        <v>39.071308000000002</v>
      </c>
      <c r="G192">
        <v>149700</v>
      </c>
    </row>
    <row r="193" spans="1:7" x14ac:dyDescent="0.45">
      <c r="A193" s="1">
        <v>40274</v>
      </c>
      <c r="B193">
        <v>50.700001</v>
      </c>
      <c r="C193">
        <v>51.18</v>
      </c>
      <c r="D193">
        <v>50.650002000000001</v>
      </c>
      <c r="E193">
        <v>51.130001</v>
      </c>
      <c r="F193">
        <v>39.309635</v>
      </c>
      <c r="G193">
        <v>168100</v>
      </c>
    </row>
    <row r="194" spans="1:7" x14ac:dyDescent="0.45">
      <c r="A194" s="1">
        <v>40275</v>
      </c>
      <c r="B194">
        <v>50.919998</v>
      </c>
      <c r="C194">
        <v>51.209999000000003</v>
      </c>
      <c r="D194">
        <v>50.759998000000003</v>
      </c>
      <c r="E194">
        <v>50.84</v>
      </c>
      <c r="F194">
        <v>39.086677999999999</v>
      </c>
      <c r="G194">
        <v>123600</v>
      </c>
    </row>
    <row r="195" spans="1:7" x14ac:dyDescent="0.45">
      <c r="A195" s="1">
        <v>40276</v>
      </c>
      <c r="B195">
        <v>50.549999</v>
      </c>
      <c r="C195">
        <v>51.23</v>
      </c>
      <c r="D195">
        <v>50.389999000000003</v>
      </c>
      <c r="E195">
        <v>51.169998</v>
      </c>
      <c r="F195">
        <v>39.340384999999998</v>
      </c>
      <c r="G195">
        <v>202400</v>
      </c>
    </row>
    <row r="196" spans="1:7" x14ac:dyDescent="0.45">
      <c r="A196" s="1">
        <v>40277</v>
      </c>
      <c r="B196">
        <v>51.200001</v>
      </c>
      <c r="C196">
        <v>52.02</v>
      </c>
      <c r="D196">
        <v>51.189999</v>
      </c>
      <c r="E196">
        <v>51.950001</v>
      </c>
      <c r="F196">
        <v>39.940066999999999</v>
      </c>
      <c r="G196">
        <v>467000</v>
      </c>
    </row>
    <row r="197" spans="1:7" x14ac:dyDescent="0.45">
      <c r="A197" s="1">
        <v>40280</v>
      </c>
      <c r="B197">
        <v>52.259998000000003</v>
      </c>
      <c r="C197">
        <v>52.630001</v>
      </c>
      <c r="D197">
        <v>52.119999</v>
      </c>
      <c r="E197">
        <v>52.349997999999999</v>
      </c>
      <c r="F197">
        <v>40.247593000000002</v>
      </c>
      <c r="G197">
        <v>210800</v>
      </c>
    </row>
    <row r="198" spans="1:7" x14ac:dyDescent="0.45">
      <c r="A198" s="1">
        <v>40281</v>
      </c>
      <c r="B198">
        <v>51.689999</v>
      </c>
      <c r="C198">
        <v>51.740001999999997</v>
      </c>
      <c r="D198">
        <v>51.16</v>
      </c>
      <c r="E198">
        <v>51.389999000000003</v>
      </c>
      <c r="F198">
        <v>39.509537000000002</v>
      </c>
      <c r="G198">
        <v>373900</v>
      </c>
    </row>
    <row r="199" spans="1:7" x14ac:dyDescent="0.45">
      <c r="A199" s="1">
        <v>40282</v>
      </c>
      <c r="B199">
        <v>50.810001</v>
      </c>
      <c r="C199">
        <v>51.740001999999997</v>
      </c>
      <c r="D199">
        <v>50.790000999999997</v>
      </c>
      <c r="E199">
        <v>51.459999000000003</v>
      </c>
      <c r="F199">
        <v>39.563350999999997</v>
      </c>
      <c r="G199">
        <v>505600</v>
      </c>
    </row>
    <row r="200" spans="1:7" x14ac:dyDescent="0.45">
      <c r="A200" s="1">
        <v>40283</v>
      </c>
      <c r="B200">
        <v>50.330002</v>
      </c>
      <c r="C200">
        <v>50.860000999999997</v>
      </c>
      <c r="D200">
        <v>50.130001</v>
      </c>
      <c r="E200">
        <v>50.619999</v>
      </c>
      <c r="F200">
        <v>38.917538</v>
      </c>
      <c r="G200">
        <v>397100</v>
      </c>
    </row>
    <row r="201" spans="1:7" x14ac:dyDescent="0.45">
      <c r="A201" s="1">
        <v>40284</v>
      </c>
      <c r="B201">
        <v>49.830002</v>
      </c>
      <c r="C201">
        <v>50.139999000000003</v>
      </c>
      <c r="D201">
        <v>49.27</v>
      </c>
      <c r="E201">
        <v>49.790000999999997</v>
      </c>
      <c r="F201">
        <v>38.279423000000001</v>
      </c>
      <c r="G201">
        <v>716500</v>
      </c>
    </row>
    <row r="202" spans="1:7" x14ac:dyDescent="0.45">
      <c r="A202" s="1">
        <v>40287</v>
      </c>
      <c r="B202">
        <v>49.23</v>
      </c>
      <c r="C202">
        <v>49.549999</v>
      </c>
      <c r="D202">
        <v>49.009998000000003</v>
      </c>
      <c r="E202">
        <v>49.299999</v>
      </c>
      <c r="F202">
        <v>37.902706000000002</v>
      </c>
      <c r="G202">
        <v>568300</v>
      </c>
    </row>
    <row r="203" spans="1:7" x14ac:dyDescent="0.45">
      <c r="A203" s="1">
        <v>40288</v>
      </c>
      <c r="B203">
        <v>50.02</v>
      </c>
      <c r="C203">
        <v>50.150002000000001</v>
      </c>
      <c r="D203">
        <v>49.689999</v>
      </c>
      <c r="E203">
        <v>49.950001</v>
      </c>
      <c r="F203">
        <v>38.402431</v>
      </c>
      <c r="G203">
        <v>332500</v>
      </c>
    </row>
    <row r="204" spans="1:7" x14ac:dyDescent="0.45">
      <c r="A204" s="1">
        <v>40289</v>
      </c>
      <c r="B204">
        <v>49.599997999999999</v>
      </c>
      <c r="C204">
        <v>49.740001999999997</v>
      </c>
      <c r="D204">
        <v>49.150002000000001</v>
      </c>
      <c r="E204">
        <v>49.400002000000001</v>
      </c>
      <c r="F204">
        <v>37.979588</v>
      </c>
      <c r="G204">
        <v>1359500</v>
      </c>
    </row>
    <row r="205" spans="1:7" x14ac:dyDescent="0.45">
      <c r="A205" s="1">
        <v>40290</v>
      </c>
      <c r="B205">
        <v>49.279998999999997</v>
      </c>
      <c r="C205">
        <v>49.689999</v>
      </c>
      <c r="D205">
        <v>49.029998999999997</v>
      </c>
      <c r="E205">
        <v>49.450001</v>
      </c>
      <c r="F205">
        <v>38.018020999999997</v>
      </c>
      <c r="G205">
        <v>279800</v>
      </c>
    </row>
    <row r="206" spans="1:7" x14ac:dyDescent="0.45">
      <c r="A206" s="1">
        <v>40291</v>
      </c>
      <c r="B206">
        <v>48.560001</v>
      </c>
      <c r="C206">
        <v>49.200001</v>
      </c>
      <c r="D206">
        <v>48.470001000000003</v>
      </c>
      <c r="E206">
        <v>49.150002000000001</v>
      </c>
      <c r="F206">
        <v>38.192089000000003</v>
      </c>
      <c r="G206">
        <v>296000</v>
      </c>
    </row>
    <row r="207" spans="1:7" x14ac:dyDescent="0.45">
      <c r="A207" s="1">
        <v>40294</v>
      </c>
      <c r="B207">
        <v>49.209999000000003</v>
      </c>
      <c r="C207">
        <v>49.330002</v>
      </c>
      <c r="D207">
        <v>48.93</v>
      </c>
      <c r="E207">
        <v>49</v>
      </c>
      <c r="F207">
        <v>38.075530999999998</v>
      </c>
      <c r="G207">
        <v>244900</v>
      </c>
    </row>
    <row r="208" spans="1:7" x14ac:dyDescent="0.45">
      <c r="A208" s="1">
        <v>40295</v>
      </c>
      <c r="B208">
        <v>48.580002</v>
      </c>
      <c r="C208">
        <v>49.130001</v>
      </c>
      <c r="D208">
        <v>47.540000999999997</v>
      </c>
      <c r="E208">
        <v>47.73</v>
      </c>
      <c r="F208">
        <v>37.088673</v>
      </c>
      <c r="G208">
        <v>779400</v>
      </c>
    </row>
    <row r="209" spans="1:7" x14ac:dyDescent="0.45">
      <c r="A209" s="1">
        <v>40296</v>
      </c>
      <c r="B209">
        <v>47.400002000000001</v>
      </c>
      <c r="C209">
        <v>47.77</v>
      </c>
      <c r="D209">
        <v>46.580002</v>
      </c>
      <c r="E209">
        <v>47.080002</v>
      </c>
      <c r="F209">
        <v>36.583584000000002</v>
      </c>
      <c r="G209">
        <v>776100</v>
      </c>
    </row>
    <row r="210" spans="1:7" x14ac:dyDescent="0.45">
      <c r="A210" s="1">
        <v>40297</v>
      </c>
      <c r="B210">
        <v>48.34</v>
      </c>
      <c r="C210">
        <v>48.599997999999999</v>
      </c>
      <c r="D210">
        <v>47.98</v>
      </c>
      <c r="E210">
        <v>48.150002000000001</v>
      </c>
      <c r="F210">
        <v>37.415030999999999</v>
      </c>
      <c r="G210">
        <v>399900</v>
      </c>
    </row>
    <row r="211" spans="1:7" x14ac:dyDescent="0.45">
      <c r="A211" s="1">
        <v>40298</v>
      </c>
      <c r="B211">
        <v>48.650002000000001</v>
      </c>
      <c r="C211">
        <v>48.75</v>
      </c>
      <c r="D211">
        <v>47.869999</v>
      </c>
      <c r="E211">
        <v>48.450001</v>
      </c>
      <c r="F211">
        <v>37.648144000000002</v>
      </c>
      <c r="G211">
        <v>371900</v>
      </c>
    </row>
    <row r="212" spans="1:7" x14ac:dyDescent="0.45">
      <c r="A212" s="1">
        <v>40301</v>
      </c>
      <c r="B212">
        <v>48</v>
      </c>
      <c r="C212">
        <v>49</v>
      </c>
      <c r="D212">
        <v>48</v>
      </c>
      <c r="E212">
        <v>48.68</v>
      </c>
      <c r="F212">
        <v>37.826866000000003</v>
      </c>
      <c r="G212">
        <v>231700</v>
      </c>
    </row>
    <row r="213" spans="1:7" x14ac:dyDescent="0.45">
      <c r="A213" s="1">
        <v>40302</v>
      </c>
      <c r="B213">
        <v>47.970001000000003</v>
      </c>
      <c r="C213">
        <v>48.25</v>
      </c>
      <c r="D213">
        <v>46.849997999999999</v>
      </c>
      <c r="E213">
        <v>47.830002</v>
      </c>
      <c r="F213">
        <v>37.166370000000001</v>
      </c>
      <c r="G213">
        <v>736200</v>
      </c>
    </row>
    <row r="214" spans="1:7" x14ac:dyDescent="0.45">
      <c r="A214" s="1">
        <v>40303</v>
      </c>
      <c r="B214">
        <v>46.889999000000003</v>
      </c>
      <c r="C214">
        <v>48.43</v>
      </c>
      <c r="D214">
        <v>46.599997999999999</v>
      </c>
      <c r="E214">
        <v>47.529998999999997</v>
      </c>
      <c r="F214">
        <v>36.933261999999999</v>
      </c>
      <c r="G214">
        <v>1295300</v>
      </c>
    </row>
    <row r="215" spans="1:7" x14ac:dyDescent="0.45">
      <c r="A215" s="1">
        <v>40304</v>
      </c>
      <c r="B215">
        <v>47.060001</v>
      </c>
      <c r="C215">
        <v>47.630001</v>
      </c>
      <c r="D215">
        <v>43.189999</v>
      </c>
      <c r="E215">
        <v>46.84</v>
      </c>
      <c r="F215">
        <v>36.397098999999997</v>
      </c>
      <c r="G215">
        <v>1333900</v>
      </c>
    </row>
    <row r="216" spans="1:7" x14ac:dyDescent="0.45">
      <c r="A216" s="1">
        <v>40305</v>
      </c>
      <c r="B216">
        <v>46.669998</v>
      </c>
      <c r="C216">
        <v>47.040000999999997</v>
      </c>
      <c r="D216">
        <v>45.060001</v>
      </c>
      <c r="E216">
        <v>45.799999</v>
      </c>
      <c r="F216">
        <v>35.588959000000003</v>
      </c>
      <c r="G216">
        <v>1492900</v>
      </c>
    </row>
    <row r="217" spans="1:7" x14ac:dyDescent="0.45">
      <c r="A217" s="1">
        <v>40308</v>
      </c>
      <c r="B217">
        <v>48.619999</v>
      </c>
      <c r="C217">
        <v>50</v>
      </c>
      <c r="D217">
        <v>48.619999</v>
      </c>
      <c r="E217">
        <v>49.889999000000003</v>
      </c>
      <c r="F217">
        <v>38.767097</v>
      </c>
      <c r="G217">
        <v>1100900</v>
      </c>
    </row>
    <row r="218" spans="1:7" x14ac:dyDescent="0.45">
      <c r="A218" s="1">
        <v>40309</v>
      </c>
      <c r="B218">
        <v>49.16</v>
      </c>
      <c r="C218">
        <v>50.439999</v>
      </c>
      <c r="D218">
        <v>48.889999000000003</v>
      </c>
      <c r="E218">
        <v>49.169998</v>
      </c>
      <c r="F218">
        <v>38.207625999999998</v>
      </c>
      <c r="G218">
        <v>724300</v>
      </c>
    </row>
    <row r="219" spans="1:7" x14ac:dyDescent="0.45">
      <c r="A219" s="1">
        <v>40310</v>
      </c>
      <c r="B219">
        <v>49.779998999999997</v>
      </c>
      <c r="C219">
        <v>49.919998</v>
      </c>
      <c r="D219">
        <v>49.060001</v>
      </c>
      <c r="E219">
        <v>49.439999</v>
      </c>
      <c r="F219">
        <v>38.417434999999998</v>
      </c>
      <c r="G219">
        <v>337200</v>
      </c>
    </row>
    <row r="220" spans="1:7" x14ac:dyDescent="0.45">
      <c r="A220" s="1">
        <v>40311</v>
      </c>
      <c r="B220">
        <v>49.470001000000003</v>
      </c>
      <c r="C220">
        <v>49.790000999999997</v>
      </c>
      <c r="D220">
        <v>48.93</v>
      </c>
      <c r="E220">
        <v>49.169998</v>
      </c>
      <c r="F220">
        <v>38.207625999999998</v>
      </c>
      <c r="G220">
        <v>287700</v>
      </c>
    </row>
    <row r="221" spans="1:7" x14ac:dyDescent="0.45">
      <c r="A221" s="1">
        <v>40312</v>
      </c>
      <c r="B221">
        <v>49.040000999999997</v>
      </c>
      <c r="C221">
        <v>49.139999000000003</v>
      </c>
      <c r="D221">
        <v>47.040000999999997</v>
      </c>
      <c r="E221">
        <v>47.709999000000003</v>
      </c>
      <c r="F221">
        <v>37.073124</v>
      </c>
      <c r="G221">
        <v>767800</v>
      </c>
    </row>
    <row r="222" spans="1:7" x14ac:dyDescent="0.45">
      <c r="A222" s="1">
        <v>40315</v>
      </c>
      <c r="B222">
        <v>47.77</v>
      </c>
      <c r="C222">
        <v>48.560001</v>
      </c>
      <c r="D222">
        <v>47.400002000000001</v>
      </c>
      <c r="E222">
        <v>48.450001</v>
      </c>
      <c r="F222">
        <v>37.648144000000002</v>
      </c>
      <c r="G222">
        <v>969600</v>
      </c>
    </row>
    <row r="223" spans="1:7" x14ac:dyDescent="0.45">
      <c r="A223" s="1">
        <v>40316</v>
      </c>
      <c r="B223">
        <v>49.23</v>
      </c>
      <c r="C223">
        <v>49.630001</v>
      </c>
      <c r="D223">
        <v>47.810001</v>
      </c>
      <c r="E223">
        <v>47.93</v>
      </c>
      <c r="F223">
        <v>37.244079999999997</v>
      </c>
      <c r="G223">
        <v>774400</v>
      </c>
    </row>
    <row r="224" spans="1:7" x14ac:dyDescent="0.45">
      <c r="A224" s="1">
        <v>40317</v>
      </c>
      <c r="B224">
        <v>47.84</v>
      </c>
      <c r="C224">
        <v>49.02</v>
      </c>
      <c r="D224">
        <v>47.41</v>
      </c>
      <c r="E224">
        <v>48.560001</v>
      </c>
      <c r="F224">
        <v>37.733626999999998</v>
      </c>
      <c r="G224">
        <v>984400</v>
      </c>
    </row>
    <row r="225" spans="1:7" x14ac:dyDescent="0.45">
      <c r="A225" s="1">
        <v>40318</v>
      </c>
      <c r="B225">
        <v>47.299999</v>
      </c>
      <c r="C225">
        <v>47.860000999999997</v>
      </c>
      <c r="D225">
        <v>46.130001</v>
      </c>
      <c r="E225">
        <v>47</v>
      </c>
      <c r="F225">
        <v>36.521419999999999</v>
      </c>
      <c r="G225">
        <v>875300</v>
      </c>
    </row>
    <row r="226" spans="1:7" x14ac:dyDescent="0.45">
      <c r="A226" s="1">
        <v>40319</v>
      </c>
      <c r="B226">
        <v>45.669998</v>
      </c>
      <c r="C226">
        <v>48.389999000000003</v>
      </c>
      <c r="D226">
        <v>45.540000999999997</v>
      </c>
      <c r="E226">
        <v>48.27</v>
      </c>
      <c r="F226">
        <v>37.508277999999997</v>
      </c>
      <c r="G226">
        <v>1102600</v>
      </c>
    </row>
    <row r="227" spans="1:7" x14ac:dyDescent="0.45">
      <c r="A227" s="1">
        <v>40322</v>
      </c>
      <c r="B227">
        <v>48.02</v>
      </c>
      <c r="C227">
        <v>48.23</v>
      </c>
      <c r="D227">
        <v>47.419998</v>
      </c>
      <c r="E227">
        <v>47.509998000000003</v>
      </c>
      <c r="F227">
        <v>36.917717000000003</v>
      </c>
      <c r="G227">
        <v>403600</v>
      </c>
    </row>
    <row r="228" spans="1:7" x14ac:dyDescent="0.45">
      <c r="A228" s="1">
        <v>40323</v>
      </c>
      <c r="B228">
        <v>45.59</v>
      </c>
      <c r="C228">
        <v>47.360000999999997</v>
      </c>
      <c r="D228">
        <v>45.5</v>
      </c>
      <c r="E228">
        <v>47.119999</v>
      </c>
      <c r="F228">
        <v>36.614666</v>
      </c>
      <c r="G228">
        <v>744300</v>
      </c>
    </row>
    <row r="229" spans="1:7" x14ac:dyDescent="0.45">
      <c r="A229" s="1">
        <v>40324</v>
      </c>
      <c r="B229">
        <v>47.080002</v>
      </c>
      <c r="C229">
        <v>47.540000999999997</v>
      </c>
      <c r="D229">
        <v>45.889999000000003</v>
      </c>
      <c r="E229">
        <v>46.200001</v>
      </c>
      <c r="F229">
        <v>35.899783999999997</v>
      </c>
      <c r="G229">
        <v>846000</v>
      </c>
    </row>
    <row r="230" spans="1:7" x14ac:dyDescent="0.45">
      <c r="A230" s="1">
        <v>40325</v>
      </c>
      <c r="B230">
        <v>47.970001000000003</v>
      </c>
      <c r="C230">
        <v>49.279998999999997</v>
      </c>
      <c r="D230">
        <v>47.650002000000001</v>
      </c>
      <c r="E230">
        <v>49.279998999999997</v>
      </c>
      <c r="F230">
        <v>38.293101999999998</v>
      </c>
      <c r="G230">
        <v>548600</v>
      </c>
    </row>
    <row r="231" spans="1:7" x14ac:dyDescent="0.45">
      <c r="A231" s="1">
        <v>40326</v>
      </c>
      <c r="B231">
        <v>48.310001</v>
      </c>
      <c r="C231">
        <v>48.59</v>
      </c>
      <c r="D231">
        <v>47.59</v>
      </c>
      <c r="E231">
        <v>47.91</v>
      </c>
      <c r="F231">
        <v>37.228546000000001</v>
      </c>
      <c r="G231">
        <v>382300</v>
      </c>
    </row>
    <row r="232" spans="1:7" x14ac:dyDescent="0.45">
      <c r="A232" s="1">
        <v>40330</v>
      </c>
      <c r="B232">
        <v>47.529998999999997</v>
      </c>
      <c r="C232">
        <v>48.759998000000003</v>
      </c>
      <c r="D232">
        <v>47.419998</v>
      </c>
      <c r="E232">
        <v>47.529998999999997</v>
      </c>
      <c r="F232">
        <v>36.933261999999999</v>
      </c>
      <c r="G232">
        <v>273000</v>
      </c>
    </row>
    <row r="233" spans="1:7" x14ac:dyDescent="0.45">
      <c r="A233" s="1">
        <v>40331</v>
      </c>
      <c r="B233">
        <v>47.880001</v>
      </c>
      <c r="C233">
        <v>49.060001</v>
      </c>
      <c r="D233">
        <v>47.700001</v>
      </c>
      <c r="E233">
        <v>49.060001</v>
      </c>
      <c r="F233">
        <v>38.122149999999998</v>
      </c>
      <c r="G233">
        <v>474700</v>
      </c>
    </row>
    <row r="234" spans="1:7" x14ac:dyDescent="0.45">
      <c r="A234" s="1">
        <v>40332</v>
      </c>
      <c r="B234">
        <v>49.259998000000003</v>
      </c>
      <c r="C234">
        <v>49.299999</v>
      </c>
      <c r="D234">
        <v>48.220001000000003</v>
      </c>
      <c r="E234">
        <v>48.650002000000001</v>
      </c>
      <c r="F234">
        <v>37.803555000000003</v>
      </c>
      <c r="G234">
        <v>643500</v>
      </c>
    </row>
    <row r="235" spans="1:7" x14ac:dyDescent="0.45">
      <c r="A235" s="1">
        <v>40333</v>
      </c>
      <c r="B235">
        <v>47.119999</v>
      </c>
      <c r="C235">
        <v>47.450001</v>
      </c>
      <c r="D235">
        <v>46.189999</v>
      </c>
      <c r="E235">
        <v>46.459999000000003</v>
      </c>
      <c r="F235">
        <v>36.10181</v>
      </c>
      <c r="G235">
        <v>911100</v>
      </c>
    </row>
    <row r="236" spans="1:7" x14ac:dyDescent="0.45">
      <c r="A236" s="1">
        <v>40336</v>
      </c>
      <c r="B236">
        <v>47.110000999999997</v>
      </c>
      <c r="C236">
        <v>47.779998999999997</v>
      </c>
      <c r="D236">
        <v>46.639999000000003</v>
      </c>
      <c r="E236">
        <v>46.830002</v>
      </c>
      <c r="F236">
        <v>36.389319999999998</v>
      </c>
      <c r="G236">
        <v>905600</v>
      </c>
    </row>
    <row r="237" spans="1:7" x14ac:dyDescent="0.45">
      <c r="A237" s="1">
        <v>40337</v>
      </c>
      <c r="B237">
        <v>46.709999000000003</v>
      </c>
      <c r="C237">
        <v>47.610000999999997</v>
      </c>
      <c r="D237">
        <v>46.32</v>
      </c>
      <c r="E237">
        <v>47.52</v>
      </c>
      <c r="F237">
        <v>36.925488000000001</v>
      </c>
      <c r="G237">
        <v>773500</v>
      </c>
    </row>
    <row r="238" spans="1:7" x14ac:dyDescent="0.45">
      <c r="A238" s="1">
        <v>40338</v>
      </c>
      <c r="B238">
        <v>47.970001000000003</v>
      </c>
      <c r="C238">
        <v>48.5</v>
      </c>
      <c r="D238">
        <v>47.389999000000003</v>
      </c>
      <c r="E238">
        <v>47.689999</v>
      </c>
      <c r="F238">
        <v>37.057583000000001</v>
      </c>
      <c r="G238">
        <v>920500</v>
      </c>
    </row>
    <row r="239" spans="1:7" x14ac:dyDescent="0.45">
      <c r="A239" s="1">
        <v>40339</v>
      </c>
      <c r="B239">
        <v>49.029998999999997</v>
      </c>
      <c r="C239">
        <v>49.380001</v>
      </c>
      <c r="D239">
        <v>48.720001000000003</v>
      </c>
      <c r="E239">
        <v>49.130001</v>
      </c>
      <c r="F239">
        <v>38.176547999999997</v>
      </c>
      <c r="G239">
        <v>550600</v>
      </c>
    </row>
    <row r="240" spans="1:7" x14ac:dyDescent="0.45">
      <c r="A240" s="1">
        <v>40340</v>
      </c>
      <c r="B240">
        <v>48.509998000000003</v>
      </c>
      <c r="C240">
        <v>49.080002</v>
      </c>
      <c r="D240">
        <v>48.290000999999997</v>
      </c>
      <c r="E240">
        <v>48.560001</v>
      </c>
      <c r="F240">
        <v>37.733626999999998</v>
      </c>
      <c r="G240">
        <v>522700</v>
      </c>
    </row>
    <row r="241" spans="1:7" x14ac:dyDescent="0.45">
      <c r="A241" s="1">
        <v>40343</v>
      </c>
      <c r="B241">
        <v>50.23</v>
      </c>
      <c r="C241">
        <v>50.450001</v>
      </c>
      <c r="D241">
        <v>49.41</v>
      </c>
      <c r="E241">
        <v>49.580002</v>
      </c>
      <c r="F241">
        <v>38.526218</v>
      </c>
      <c r="G241">
        <v>642200</v>
      </c>
    </row>
    <row r="242" spans="1:7" x14ac:dyDescent="0.45">
      <c r="A242" s="1">
        <v>40344</v>
      </c>
      <c r="B242">
        <v>50.66</v>
      </c>
      <c r="C242">
        <v>52</v>
      </c>
      <c r="D242">
        <v>50.369999</v>
      </c>
      <c r="E242">
        <v>51.75</v>
      </c>
      <c r="F242">
        <v>40.212418</v>
      </c>
      <c r="G242">
        <v>1328700</v>
      </c>
    </row>
    <row r="243" spans="1:7" x14ac:dyDescent="0.45">
      <c r="A243" s="1">
        <v>40345</v>
      </c>
      <c r="B243">
        <v>50.990001999999997</v>
      </c>
      <c r="C243">
        <v>51.709999000000003</v>
      </c>
      <c r="D243">
        <v>50.869999</v>
      </c>
      <c r="E243">
        <v>51.48</v>
      </c>
      <c r="F243">
        <v>40.002620999999998</v>
      </c>
      <c r="G243">
        <v>409500</v>
      </c>
    </row>
    <row r="244" spans="1:7" x14ac:dyDescent="0.45">
      <c r="A244" s="1">
        <v>40346</v>
      </c>
      <c r="B244">
        <v>51.799999</v>
      </c>
      <c r="C244">
        <v>51.970001000000003</v>
      </c>
      <c r="D244">
        <v>51.27</v>
      </c>
      <c r="E244">
        <v>51.919998</v>
      </c>
      <c r="F244">
        <v>40.344512999999999</v>
      </c>
      <c r="G244">
        <v>357200</v>
      </c>
    </row>
    <row r="245" spans="1:7" x14ac:dyDescent="0.45">
      <c r="A245" s="1">
        <v>40347</v>
      </c>
      <c r="B245">
        <v>51.299999</v>
      </c>
      <c r="C245">
        <v>51.330002</v>
      </c>
      <c r="D245">
        <v>50.84</v>
      </c>
      <c r="E245">
        <v>51.25</v>
      </c>
      <c r="F245">
        <v>39.823891000000003</v>
      </c>
      <c r="G245">
        <v>359700</v>
      </c>
    </row>
    <row r="246" spans="1:7" x14ac:dyDescent="0.45">
      <c r="A246" s="1">
        <v>40350</v>
      </c>
      <c r="B246">
        <v>51.84</v>
      </c>
      <c r="C246">
        <v>51.900002000000001</v>
      </c>
      <c r="D246">
        <v>50.810001</v>
      </c>
      <c r="E246">
        <v>51.009998000000003</v>
      </c>
      <c r="F246">
        <v>39.637394</v>
      </c>
      <c r="G246">
        <v>322300</v>
      </c>
    </row>
    <row r="247" spans="1:7" x14ac:dyDescent="0.45">
      <c r="A247" s="1">
        <v>40351</v>
      </c>
      <c r="B247">
        <v>51</v>
      </c>
      <c r="C247">
        <v>51.860000999999997</v>
      </c>
      <c r="D247">
        <v>50.169998</v>
      </c>
      <c r="E247">
        <v>50.299999</v>
      </c>
      <c r="F247">
        <v>39.08569</v>
      </c>
      <c r="G247">
        <v>613700</v>
      </c>
    </row>
    <row r="248" spans="1:7" x14ac:dyDescent="0.45">
      <c r="A248" s="1">
        <v>40352</v>
      </c>
      <c r="B248">
        <v>50.139999000000003</v>
      </c>
      <c r="C248">
        <v>50.450001</v>
      </c>
      <c r="D248">
        <v>49.630001</v>
      </c>
      <c r="E248">
        <v>50.18</v>
      </c>
      <c r="F248">
        <v>38.992443000000002</v>
      </c>
      <c r="G248">
        <v>595600</v>
      </c>
    </row>
    <row r="249" spans="1:7" x14ac:dyDescent="0.45">
      <c r="A249" s="1">
        <v>40353</v>
      </c>
      <c r="B249">
        <v>50.23</v>
      </c>
      <c r="C249">
        <v>50.57</v>
      </c>
      <c r="D249">
        <v>49.529998999999997</v>
      </c>
      <c r="E249">
        <v>49.919998</v>
      </c>
      <c r="F249">
        <v>38.790413000000001</v>
      </c>
      <c r="G249">
        <v>559500</v>
      </c>
    </row>
    <row r="250" spans="1:7" x14ac:dyDescent="0.45">
      <c r="A250" s="1">
        <v>40354</v>
      </c>
      <c r="B250">
        <v>49.740001999999997</v>
      </c>
      <c r="C250">
        <v>50</v>
      </c>
      <c r="D250">
        <v>49.27</v>
      </c>
      <c r="E250">
        <v>49.59</v>
      </c>
      <c r="F250">
        <v>38.533988999999998</v>
      </c>
      <c r="G250">
        <v>427800</v>
      </c>
    </row>
    <row r="251" spans="1:7" x14ac:dyDescent="0.45">
      <c r="A251" s="1">
        <v>40357</v>
      </c>
      <c r="B251">
        <v>50.080002</v>
      </c>
      <c r="C251">
        <v>50.77</v>
      </c>
      <c r="D251">
        <v>49.52</v>
      </c>
      <c r="E251">
        <v>49.669998</v>
      </c>
      <c r="F251">
        <v>38.596148999999997</v>
      </c>
      <c r="G251">
        <v>318600</v>
      </c>
    </row>
    <row r="252" spans="1:7" x14ac:dyDescent="0.45">
      <c r="A252" s="1">
        <v>40358</v>
      </c>
      <c r="B252">
        <v>48.93</v>
      </c>
      <c r="C252">
        <v>48.950001</v>
      </c>
      <c r="D252">
        <v>48.049999</v>
      </c>
      <c r="E252">
        <v>48.220001000000003</v>
      </c>
      <c r="F252">
        <v>37.469428999999998</v>
      </c>
      <c r="G252">
        <v>473000</v>
      </c>
    </row>
    <row r="253" spans="1:7" x14ac:dyDescent="0.45">
      <c r="A253" s="1">
        <v>40359</v>
      </c>
      <c r="B253">
        <v>48.25</v>
      </c>
      <c r="C253">
        <v>48.900002000000001</v>
      </c>
      <c r="D253">
        <v>47.650002000000001</v>
      </c>
      <c r="E253">
        <v>48.009998000000003</v>
      </c>
      <c r="F253">
        <v>37.306247999999997</v>
      </c>
      <c r="G253">
        <v>615100</v>
      </c>
    </row>
    <row r="254" spans="1:7" x14ac:dyDescent="0.45">
      <c r="A254" s="1">
        <v>40360</v>
      </c>
      <c r="B254">
        <v>48.740001999999997</v>
      </c>
      <c r="C254">
        <v>49.419998</v>
      </c>
      <c r="D254">
        <v>48.43</v>
      </c>
      <c r="E254">
        <v>49.209999000000003</v>
      </c>
      <c r="F254">
        <v>38.238708000000003</v>
      </c>
      <c r="G254">
        <v>853100</v>
      </c>
    </row>
    <row r="255" spans="1:7" x14ac:dyDescent="0.45">
      <c r="A255" s="1">
        <v>40361</v>
      </c>
      <c r="B255">
        <v>49.439999</v>
      </c>
      <c r="C255">
        <v>49.57</v>
      </c>
      <c r="D255">
        <v>48.529998999999997</v>
      </c>
      <c r="E255">
        <v>48.860000999999997</v>
      </c>
      <c r="F255">
        <v>37.966743000000001</v>
      </c>
      <c r="G255">
        <v>532800</v>
      </c>
    </row>
    <row r="256" spans="1:7" x14ac:dyDescent="0.45">
      <c r="A256" s="1">
        <v>40365</v>
      </c>
      <c r="B256">
        <v>50.32</v>
      </c>
      <c r="C256">
        <v>51</v>
      </c>
      <c r="D256">
        <v>49.959999000000003</v>
      </c>
      <c r="E256">
        <v>50.380001</v>
      </c>
      <c r="F256">
        <v>39.147860999999999</v>
      </c>
      <c r="G256">
        <v>402100</v>
      </c>
    </row>
    <row r="257" spans="1:7" x14ac:dyDescent="0.45">
      <c r="A257" s="1">
        <v>40366</v>
      </c>
      <c r="B257">
        <v>50.23</v>
      </c>
      <c r="C257">
        <v>51.380001</v>
      </c>
      <c r="D257">
        <v>50.189999</v>
      </c>
      <c r="E257">
        <v>51.330002</v>
      </c>
      <c r="F257">
        <v>39.886059000000003</v>
      </c>
      <c r="G257">
        <v>485100</v>
      </c>
    </row>
    <row r="258" spans="1:7" x14ac:dyDescent="0.45">
      <c r="A258" s="1">
        <v>40367</v>
      </c>
      <c r="B258">
        <v>51.970001000000003</v>
      </c>
      <c r="C258">
        <v>52.189999</v>
      </c>
      <c r="D258">
        <v>51.52</v>
      </c>
      <c r="E258">
        <v>52.099997999999999</v>
      </c>
      <c r="F258">
        <v>40.484394000000002</v>
      </c>
      <c r="G258">
        <v>451800</v>
      </c>
    </row>
    <row r="259" spans="1:7" x14ac:dyDescent="0.45">
      <c r="A259" s="1">
        <v>40368</v>
      </c>
      <c r="B259">
        <v>51.849997999999999</v>
      </c>
      <c r="C259">
        <v>52.66</v>
      </c>
      <c r="D259">
        <v>51.720001000000003</v>
      </c>
      <c r="E259">
        <v>52.48</v>
      </c>
      <c r="F259">
        <v>40.779667000000003</v>
      </c>
      <c r="G259">
        <v>467100</v>
      </c>
    </row>
    <row r="260" spans="1:7" x14ac:dyDescent="0.45">
      <c r="A260" s="1">
        <v>40371</v>
      </c>
      <c r="B260">
        <v>51.990001999999997</v>
      </c>
      <c r="C260">
        <v>52.889999000000003</v>
      </c>
      <c r="D260">
        <v>51.98</v>
      </c>
      <c r="E260">
        <v>52.759998000000003</v>
      </c>
      <c r="F260">
        <v>40.997238000000003</v>
      </c>
      <c r="G260">
        <v>389600</v>
      </c>
    </row>
    <row r="261" spans="1:7" x14ac:dyDescent="0.45">
      <c r="A261" s="1">
        <v>40372</v>
      </c>
      <c r="B261">
        <v>53.32</v>
      </c>
      <c r="C261">
        <v>54</v>
      </c>
      <c r="D261">
        <v>53.200001</v>
      </c>
      <c r="E261">
        <v>53.669998</v>
      </c>
      <c r="F261">
        <v>41.704357000000002</v>
      </c>
      <c r="G261">
        <v>673500</v>
      </c>
    </row>
    <row r="262" spans="1:7" x14ac:dyDescent="0.45">
      <c r="A262" s="1">
        <v>40373</v>
      </c>
      <c r="B262">
        <v>53.41</v>
      </c>
      <c r="C262">
        <v>53.950001</v>
      </c>
      <c r="D262">
        <v>53.23</v>
      </c>
      <c r="E262">
        <v>53.799999</v>
      </c>
      <c r="F262">
        <v>41.805370000000003</v>
      </c>
      <c r="G262">
        <v>885300</v>
      </c>
    </row>
    <row r="263" spans="1:7" x14ac:dyDescent="0.45">
      <c r="A263" s="1">
        <v>40374</v>
      </c>
      <c r="B263">
        <v>54.18</v>
      </c>
      <c r="C263">
        <v>54.369999</v>
      </c>
      <c r="D263">
        <v>53.619999</v>
      </c>
      <c r="E263">
        <v>54.349997999999999</v>
      </c>
      <c r="F263">
        <v>42.232745999999999</v>
      </c>
      <c r="G263">
        <v>504400</v>
      </c>
    </row>
    <row r="264" spans="1:7" x14ac:dyDescent="0.45">
      <c r="A264" s="1">
        <v>40375</v>
      </c>
      <c r="B264">
        <v>54.200001</v>
      </c>
      <c r="C264">
        <v>54.209999000000003</v>
      </c>
      <c r="D264">
        <v>52.630001</v>
      </c>
      <c r="E264">
        <v>52.849997999999999</v>
      </c>
      <c r="F264">
        <v>41.067180999999998</v>
      </c>
      <c r="G264">
        <v>554700</v>
      </c>
    </row>
    <row r="265" spans="1:7" x14ac:dyDescent="0.45">
      <c r="A265" s="1">
        <v>40378</v>
      </c>
      <c r="B265">
        <v>53.639999000000003</v>
      </c>
      <c r="C265">
        <v>53.860000999999997</v>
      </c>
      <c r="D265">
        <v>52.830002</v>
      </c>
      <c r="E265">
        <v>53.09</v>
      </c>
      <c r="F265">
        <v>41.253666000000003</v>
      </c>
      <c r="G265">
        <v>231400</v>
      </c>
    </row>
    <row r="266" spans="1:7" x14ac:dyDescent="0.45">
      <c r="A266" s="1">
        <v>40379</v>
      </c>
      <c r="B266">
        <v>51.470001000000003</v>
      </c>
      <c r="C266">
        <v>52.77</v>
      </c>
      <c r="D266">
        <v>51.290000999999997</v>
      </c>
      <c r="E266">
        <v>52.5</v>
      </c>
      <c r="F266">
        <v>40.795203999999998</v>
      </c>
      <c r="G266">
        <v>389400</v>
      </c>
    </row>
    <row r="267" spans="1:7" x14ac:dyDescent="0.45">
      <c r="A267" s="1">
        <v>40380</v>
      </c>
      <c r="B267">
        <v>53.669998</v>
      </c>
      <c r="C267">
        <v>54.029998999999997</v>
      </c>
      <c r="D267">
        <v>52.73</v>
      </c>
      <c r="E267">
        <v>52.939999</v>
      </c>
      <c r="F267">
        <v>41.137107999999998</v>
      </c>
      <c r="G267">
        <v>452800</v>
      </c>
    </row>
    <row r="268" spans="1:7" x14ac:dyDescent="0.45">
      <c r="A268" s="1">
        <v>40381</v>
      </c>
      <c r="B268">
        <v>53.549999</v>
      </c>
      <c r="C268">
        <v>54.490001999999997</v>
      </c>
      <c r="D268">
        <v>53.529998999999997</v>
      </c>
      <c r="E268">
        <v>54.389999000000003</v>
      </c>
      <c r="F268">
        <v>42.263835999999998</v>
      </c>
      <c r="G268">
        <v>539800</v>
      </c>
    </row>
    <row r="269" spans="1:7" x14ac:dyDescent="0.45">
      <c r="A269" s="1">
        <v>40382</v>
      </c>
      <c r="B269">
        <v>53.549999</v>
      </c>
      <c r="C269">
        <v>54.759998000000003</v>
      </c>
      <c r="D269">
        <v>53.419998</v>
      </c>
      <c r="E269">
        <v>54.669998</v>
      </c>
      <c r="F269">
        <v>42.481400000000001</v>
      </c>
      <c r="G269">
        <v>538100</v>
      </c>
    </row>
    <row r="270" spans="1:7" x14ac:dyDescent="0.45">
      <c r="A270" s="1">
        <v>40385</v>
      </c>
      <c r="B270">
        <v>54.43</v>
      </c>
      <c r="C270">
        <v>55.240001999999997</v>
      </c>
      <c r="D270">
        <v>54.23</v>
      </c>
      <c r="E270">
        <v>55.060001</v>
      </c>
      <c r="F270">
        <v>42.784458000000001</v>
      </c>
      <c r="G270">
        <v>424100</v>
      </c>
    </row>
    <row r="271" spans="1:7" x14ac:dyDescent="0.45">
      <c r="A271" s="1">
        <v>40386</v>
      </c>
      <c r="B271">
        <v>54.849997999999999</v>
      </c>
      <c r="C271">
        <v>55.259998000000003</v>
      </c>
      <c r="D271">
        <v>54.470001000000003</v>
      </c>
      <c r="E271">
        <v>54.700001</v>
      </c>
      <c r="F271">
        <v>42.504725999999998</v>
      </c>
      <c r="G271">
        <v>456000</v>
      </c>
    </row>
    <row r="272" spans="1:7" x14ac:dyDescent="0.45">
      <c r="A272" s="1">
        <v>40387</v>
      </c>
      <c r="B272">
        <v>54.099997999999999</v>
      </c>
      <c r="C272">
        <v>54.279998999999997</v>
      </c>
      <c r="D272">
        <v>53.720001000000003</v>
      </c>
      <c r="E272">
        <v>53.740001999999997</v>
      </c>
      <c r="F272">
        <v>41.758750999999997</v>
      </c>
      <c r="G272">
        <v>299000</v>
      </c>
    </row>
    <row r="273" spans="1:7" x14ac:dyDescent="0.45">
      <c r="A273" s="1">
        <v>40388</v>
      </c>
      <c r="B273">
        <v>54.16</v>
      </c>
      <c r="C273">
        <v>54.459999000000003</v>
      </c>
      <c r="D273">
        <v>53</v>
      </c>
      <c r="E273">
        <v>53.380001</v>
      </c>
      <c r="F273">
        <v>41.479014999999997</v>
      </c>
      <c r="G273">
        <v>326500</v>
      </c>
    </row>
    <row r="274" spans="1:7" x14ac:dyDescent="0.45">
      <c r="A274" s="1">
        <v>40389</v>
      </c>
      <c r="B274">
        <v>52.34</v>
      </c>
      <c r="C274">
        <v>53.200001</v>
      </c>
      <c r="D274">
        <v>52.23</v>
      </c>
      <c r="E274">
        <v>53.060001</v>
      </c>
      <c r="F274">
        <v>41.230358000000003</v>
      </c>
      <c r="G274">
        <v>593000</v>
      </c>
    </row>
    <row r="275" spans="1:7" x14ac:dyDescent="0.45">
      <c r="A275" s="1">
        <v>40392</v>
      </c>
      <c r="B275">
        <v>53.939999</v>
      </c>
      <c r="C275">
        <v>54.799999</v>
      </c>
      <c r="D275">
        <v>53.880001</v>
      </c>
      <c r="E275">
        <v>54.560001</v>
      </c>
      <c r="F275">
        <v>42.395930999999997</v>
      </c>
      <c r="G275">
        <v>318200</v>
      </c>
    </row>
    <row r="276" spans="1:7" x14ac:dyDescent="0.45">
      <c r="A276" s="1">
        <v>40393</v>
      </c>
      <c r="B276">
        <v>54.639999000000003</v>
      </c>
      <c r="C276">
        <v>55.220001000000003</v>
      </c>
      <c r="D276">
        <v>54.240001999999997</v>
      </c>
      <c r="E276">
        <v>54.84</v>
      </c>
      <c r="F276">
        <v>42.613506000000001</v>
      </c>
      <c r="G276">
        <v>300400</v>
      </c>
    </row>
    <row r="277" spans="1:7" x14ac:dyDescent="0.45">
      <c r="A277" s="1">
        <v>40394</v>
      </c>
      <c r="B277">
        <v>55.150002000000001</v>
      </c>
      <c r="C277">
        <v>55.5</v>
      </c>
      <c r="D277">
        <v>54.73</v>
      </c>
      <c r="E277">
        <v>55.200001</v>
      </c>
      <c r="F277">
        <v>42.893250000000002</v>
      </c>
      <c r="G277">
        <v>595800</v>
      </c>
    </row>
    <row r="278" spans="1:7" x14ac:dyDescent="0.45">
      <c r="A278" s="1">
        <v>40395</v>
      </c>
      <c r="B278">
        <v>54.599997999999999</v>
      </c>
      <c r="C278">
        <v>54.689999</v>
      </c>
      <c r="D278">
        <v>53.560001</v>
      </c>
      <c r="E278">
        <v>53.860000999999997</v>
      </c>
      <c r="F278">
        <v>41.852001000000001</v>
      </c>
      <c r="G278">
        <v>594100</v>
      </c>
    </row>
    <row r="279" spans="1:7" x14ac:dyDescent="0.45">
      <c r="A279" s="1">
        <v>40396</v>
      </c>
      <c r="B279">
        <v>52.529998999999997</v>
      </c>
      <c r="C279">
        <v>53.07</v>
      </c>
      <c r="D279">
        <v>52.080002</v>
      </c>
      <c r="E279">
        <v>52.560001</v>
      </c>
      <c r="F279">
        <v>40.841830999999999</v>
      </c>
      <c r="G279">
        <v>784700</v>
      </c>
    </row>
    <row r="280" spans="1:7" x14ac:dyDescent="0.45">
      <c r="A280" s="1">
        <v>40399</v>
      </c>
      <c r="B280">
        <v>52.470001000000003</v>
      </c>
      <c r="C280">
        <v>53</v>
      </c>
      <c r="D280">
        <v>52.349997999999999</v>
      </c>
      <c r="E280">
        <v>52.639999000000003</v>
      </c>
      <c r="F280">
        <v>40.903995999999999</v>
      </c>
      <c r="G280">
        <v>547600</v>
      </c>
    </row>
    <row r="281" spans="1:7" x14ac:dyDescent="0.45">
      <c r="A281" s="1">
        <v>40400</v>
      </c>
      <c r="B281">
        <v>51.77</v>
      </c>
      <c r="C281">
        <v>52.639999000000003</v>
      </c>
      <c r="D281">
        <v>51.41</v>
      </c>
      <c r="E281">
        <v>52.23</v>
      </c>
      <c r="F281">
        <v>40.585406999999996</v>
      </c>
      <c r="G281">
        <v>466700</v>
      </c>
    </row>
    <row r="282" spans="1:7" x14ac:dyDescent="0.45">
      <c r="A282" s="1">
        <v>40401</v>
      </c>
      <c r="B282">
        <v>50.900002000000001</v>
      </c>
      <c r="C282">
        <v>51.029998999999997</v>
      </c>
      <c r="D282">
        <v>50.32</v>
      </c>
      <c r="E282">
        <v>50.849997999999999</v>
      </c>
      <c r="F282">
        <v>39.513072999999999</v>
      </c>
      <c r="G282">
        <v>745300</v>
      </c>
    </row>
    <row r="283" spans="1:7" x14ac:dyDescent="0.45">
      <c r="A283" s="1">
        <v>40402</v>
      </c>
      <c r="B283">
        <v>52.490001999999997</v>
      </c>
      <c r="C283">
        <v>53.41</v>
      </c>
      <c r="D283">
        <v>52.459999000000003</v>
      </c>
      <c r="E283">
        <v>53.049999</v>
      </c>
      <c r="F283">
        <v>41.222588000000002</v>
      </c>
      <c r="G283">
        <v>731000</v>
      </c>
    </row>
    <row r="284" spans="1:7" x14ac:dyDescent="0.45">
      <c r="A284" s="1">
        <v>40403</v>
      </c>
      <c r="B284">
        <v>53.630001</v>
      </c>
      <c r="C284">
        <v>54</v>
      </c>
      <c r="D284">
        <v>53.16</v>
      </c>
      <c r="E284">
        <v>53.240001999999997</v>
      </c>
      <c r="F284">
        <v>41.370227999999997</v>
      </c>
      <c r="G284">
        <v>486500</v>
      </c>
    </row>
    <row r="285" spans="1:7" x14ac:dyDescent="0.45">
      <c r="A285" s="1">
        <v>40406</v>
      </c>
      <c r="B285">
        <v>53.16</v>
      </c>
      <c r="C285">
        <v>53.700001</v>
      </c>
      <c r="D285">
        <v>52.950001</v>
      </c>
      <c r="E285">
        <v>53.509998000000003</v>
      </c>
      <c r="F285">
        <v>41.580029000000003</v>
      </c>
      <c r="G285">
        <v>365700</v>
      </c>
    </row>
    <row r="286" spans="1:7" x14ac:dyDescent="0.45">
      <c r="A286" s="1">
        <v>40407</v>
      </c>
      <c r="B286">
        <v>53.619999</v>
      </c>
      <c r="C286">
        <v>54</v>
      </c>
      <c r="D286">
        <v>53.279998999999997</v>
      </c>
      <c r="E286">
        <v>53.66</v>
      </c>
      <c r="F286">
        <v>41.696582999999997</v>
      </c>
      <c r="G286">
        <v>387300</v>
      </c>
    </row>
    <row r="287" spans="1:7" x14ac:dyDescent="0.45">
      <c r="A287" s="1">
        <v>40408</v>
      </c>
      <c r="B287">
        <v>53.5</v>
      </c>
      <c r="C287">
        <v>54.09</v>
      </c>
      <c r="D287">
        <v>53.279998999999997</v>
      </c>
      <c r="E287">
        <v>53.57</v>
      </c>
      <c r="F287">
        <v>41.626652</v>
      </c>
      <c r="G287">
        <v>330800</v>
      </c>
    </row>
    <row r="288" spans="1:7" x14ac:dyDescent="0.45">
      <c r="A288" s="1">
        <v>40409</v>
      </c>
      <c r="B288">
        <v>53.32</v>
      </c>
      <c r="C288">
        <v>53.369999</v>
      </c>
      <c r="D288">
        <v>52.029998999999997</v>
      </c>
      <c r="E288">
        <v>52.27</v>
      </c>
      <c r="F288">
        <v>40.616492999999998</v>
      </c>
      <c r="G288">
        <v>480800</v>
      </c>
    </row>
    <row r="289" spans="1:7" x14ac:dyDescent="0.45">
      <c r="A289" s="1">
        <v>40410</v>
      </c>
      <c r="B289">
        <v>51.889999000000003</v>
      </c>
      <c r="C289">
        <v>51.98</v>
      </c>
      <c r="D289">
        <v>51.439999</v>
      </c>
      <c r="E289">
        <v>51.700001</v>
      </c>
      <c r="F289">
        <v>40.173569000000001</v>
      </c>
      <c r="G289">
        <v>565400</v>
      </c>
    </row>
    <row r="290" spans="1:7" x14ac:dyDescent="0.45">
      <c r="A290" s="1">
        <v>40413</v>
      </c>
      <c r="B290">
        <v>51.48</v>
      </c>
      <c r="C290">
        <v>52.25</v>
      </c>
      <c r="D290">
        <v>51.41</v>
      </c>
      <c r="E290">
        <v>51.549999</v>
      </c>
      <c r="F290">
        <v>40.057003000000002</v>
      </c>
      <c r="G290">
        <v>367800</v>
      </c>
    </row>
    <row r="291" spans="1:7" x14ac:dyDescent="0.45">
      <c r="A291" s="1">
        <v>40414</v>
      </c>
      <c r="B291">
        <v>50.970001000000003</v>
      </c>
      <c r="C291">
        <v>51.57</v>
      </c>
      <c r="D291">
        <v>50.630001</v>
      </c>
      <c r="E291">
        <v>51.130001</v>
      </c>
      <c r="F291">
        <v>39.730648000000002</v>
      </c>
      <c r="G291">
        <v>264600</v>
      </c>
    </row>
    <row r="292" spans="1:7" x14ac:dyDescent="0.45">
      <c r="A292" s="1">
        <v>40415</v>
      </c>
      <c r="B292">
        <v>50.48</v>
      </c>
      <c r="C292">
        <v>51.119999</v>
      </c>
      <c r="D292">
        <v>50.389999000000003</v>
      </c>
      <c r="E292">
        <v>51.009998000000003</v>
      </c>
      <c r="F292">
        <v>39.637394</v>
      </c>
      <c r="G292">
        <v>596200</v>
      </c>
    </row>
    <row r="293" spans="1:7" x14ac:dyDescent="0.45">
      <c r="A293" s="1">
        <v>40416</v>
      </c>
      <c r="B293">
        <v>51.299999</v>
      </c>
      <c r="C293">
        <v>51.919998</v>
      </c>
      <c r="D293">
        <v>51.02</v>
      </c>
      <c r="E293">
        <v>51.119999</v>
      </c>
      <c r="F293">
        <v>39.72287</v>
      </c>
      <c r="G293">
        <v>516000</v>
      </c>
    </row>
    <row r="294" spans="1:7" x14ac:dyDescent="0.45">
      <c r="A294" s="1">
        <v>40417</v>
      </c>
      <c r="B294">
        <v>51.689999</v>
      </c>
      <c r="C294">
        <v>51.959999000000003</v>
      </c>
      <c r="D294">
        <v>50.650002000000001</v>
      </c>
      <c r="E294">
        <v>51.880001</v>
      </c>
      <c r="F294">
        <v>40.313431000000001</v>
      </c>
      <c r="G294">
        <v>313800</v>
      </c>
    </row>
    <row r="295" spans="1:7" x14ac:dyDescent="0.45">
      <c r="A295" s="1">
        <v>40420</v>
      </c>
      <c r="B295">
        <v>51.560001</v>
      </c>
      <c r="C295">
        <v>51.91</v>
      </c>
      <c r="D295">
        <v>51.130001</v>
      </c>
      <c r="E295">
        <v>51.189999</v>
      </c>
      <c r="F295">
        <v>39.777267000000002</v>
      </c>
      <c r="G295">
        <v>406000</v>
      </c>
    </row>
    <row r="296" spans="1:7" x14ac:dyDescent="0.45">
      <c r="A296" s="1">
        <v>40421</v>
      </c>
      <c r="B296">
        <v>51.700001</v>
      </c>
      <c r="C296">
        <v>52.5</v>
      </c>
      <c r="D296">
        <v>51.529998999999997</v>
      </c>
      <c r="E296">
        <v>51.970001000000003</v>
      </c>
      <c r="F296">
        <v>40.383369000000002</v>
      </c>
      <c r="G296">
        <v>461500</v>
      </c>
    </row>
    <row r="297" spans="1:7" x14ac:dyDescent="0.45">
      <c r="A297" s="1">
        <v>40422</v>
      </c>
      <c r="B297">
        <v>53.490001999999997</v>
      </c>
      <c r="C297">
        <v>54.599997999999999</v>
      </c>
      <c r="D297">
        <v>53.419998</v>
      </c>
      <c r="E297">
        <v>54.220001000000003</v>
      </c>
      <c r="F297">
        <v>42.131737000000001</v>
      </c>
      <c r="G297">
        <v>805200</v>
      </c>
    </row>
    <row r="298" spans="1:7" x14ac:dyDescent="0.45">
      <c r="A298" s="1">
        <v>40423</v>
      </c>
      <c r="B298">
        <v>54.790000999999997</v>
      </c>
      <c r="C298">
        <v>54.950001</v>
      </c>
      <c r="D298">
        <v>54.5</v>
      </c>
      <c r="E298">
        <v>54.950001</v>
      </c>
      <c r="F298">
        <v>42.698985999999998</v>
      </c>
      <c r="G298">
        <v>527100</v>
      </c>
    </row>
    <row r="299" spans="1:7" x14ac:dyDescent="0.45">
      <c r="A299" s="1">
        <v>40424</v>
      </c>
      <c r="B299">
        <v>55.189999</v>
      </c>
      <c r="C299">
        <v>55.34</v>
      </c>
      <c r="D299">
        <v>54.450001</v>
      </c>
      <c r="E299">
        <v>55.150002000000001</v>
      </c>
      <c r="F299">
        <v>42.854396999999999</v>
      </c>
      <c r="G299">
        <v>447900</v>
      </c>
    </row>
    <row r="300" spans="1:7" x14ac:dyDescent="0.45">
      <c r="A300" s="1">
        <v>40428</v>
      </c>
      <c r="B300">
        <v>55.150002000000001</v>
      </c>
      <c r="C300">
        <v>55.25</v>
      </c>
      <c r="D300">
        <v>54.23</v>
      </c>
      <c r="E300">
        <v>54.330002</v>
      </c>
      <c r="F300">
        <v>42.217213000000001</v>
      </c>
      <c r="G300">
        <v>407700</v>
      </c>
    </row>
    <row r="301" spans="1:7" x14ac:dyDescent="0.45">
      <c r="A301" s="1">
        <v>40429</v>
      </c>
      <c r="B301">
        <v>54.98</v>
      </c>
      <c r="C301">
        <v>55.98</v>
      </c>
      <c r="D301">
        <v>54.98</v>
      </c>
      <c r="E301">
        <v>55.650002000000001</v>
      </c>
      <c r="F301">
        <v>43.242924000000002</v>
      </c>
      <c r="G301">
        <v>783900</v>
      </c>
    </row>
    <row r="302" spans="1:7" x14ac:dyDescent="0.45">
      <c r="A302" s="1">
        <v>40430</v>
      </c>
      <c r="B302">
        <v>55.919998</v>
      </c>
      <c r="C302">
        <v>55.919998</v>
      </c>
      <c r="D302">
        <v>54.740001999999997</v>
      </c>
      <c r="E302">
        <v>55.049999</v>
      </c>
      <c r="F302">
        <v>42.776691</v>
      </c>
      <c r="G302">
        <v>568000</v>
      </c>
    </row>
    <row r="303" spans="1:7" x14ac:dyDescent="0.45">
      <c r="A303" s="1">
        <v>40431</v>
      </c>
      <c r="B303">
        <v>54.25</v>
      </c>
      <c r="C303">
        <v>54.889999000000003</v>
      </c>
      <c r="D303">
        <v>54.119999</v>
      </c>
      <c r="E303">
        <v>54.799999</v>
      </c>
      <c r="F303">
        <v>42.582419999999999</v>
      </c>
      <c r="G303">
        <v>546700</v>
      </c>
    </row>
    <row r="304" spans="1:7" x14ac:dyDescent="0.45">
      <c r="A304" s="1">
        <v>40434</v>
      </c>
      <c r="B304">
        <v>55.240001999999997</v>
      </c>
      <c r="C304">
        <v>55.580002</v>
      </c>
      <c r="D304">
        <v>54.990001999999997</v>
      </c>
      <c r="E304">
        <v>55.48</v>
      </c>
      <c r="F304">
        <v>43.110821000000001</v>
      </c>
      <c r="G304">
        <v>621200</v>
      </c>
    </row>
    <row r="305" spans="1:7" x14ac:dyDescent="0.45">
      <c r="A305" s="1">
        <v>40435</v>
      </c>
      <c r="B305">
        <v>55.310001</v>
      </c>
      <c r="C305">
        <v>56</v>
      </c>
      <c r="D305">
        <v>55.139999000000003</v>
      </c>
      <c r="E305">
        <v>55.849997999999999</v>
      </c>
      <c r="F305">
        <v>43.398327000000002</v>
      </c>
      <c r="G305">
        <v>505300</v>
      </c>
    </row>
    <row r="306" spans="1:7" x14ac:dyDescent="0.45">
      <c r="A306" s="1">
        <v>40436</v>
      </c>
      <c r="B306">
        <v>55.810001</v>
      </c>
      <c r="C306">
        <v>56.490001999999997</v>
      </c>
      <c r="D306">
        <v>55.669998</v>
      </c>
      <c r="E306">
        <v>56.290000999999997</v>
      </c>
      <c r="F306">
        <v>43.740237999999998</v>
      </c>
      <c r="G306">
        <v>631400</v>
      </c>
    </row>
    <row r="307" spans="1:7" x14ac:dyDescent="0.45">
      <c r="A307" s="1">
        <v>40437</v>
      </c>
      <c r="B307">
        <v>56.009998000000003</v>
      </c>
      <c r="C307">
        <v>56.52</v>
      </c>
      <c r="D307">
        <v>55.860000999999997</v>
      </c>
      <c r="E307">
        <v>56.310001</v>
      </c>
      <c r="F307">
        <v>43.755775</v>
      </c>
      <c r="G307">
        <v>445500</v>
      </c>
    </row>
    <row r="308" spans="1:7" x14ac:dyDescent="0.45">
      <c r="A308" s="1">
        <v>40438</v>
      </c>
      <c r="B308">
        <v>56.02</v>
      </c>
      <c r="C308">
        <v>56.220001000000003</v>
      </c>
      <c r="D308">
        <v>54.950001</v>
      </c>
      <c r="E308">
        <v>55.360000999999997</v>
      </c>
      <c r="F308">
        <v>43.017574000000003</v>
      </c>
      <c r="G308">
        <v>482300</v>
      </c>
    </row>
    <row r="309" spans="1:7" x14ac:dyDescent="0.45">
      <c r="A309" s="1">
        <v>40441</v>
      </c>
      <c r="B309">
        <v>55.580002</v>
      </c>
      <c r="C309">
        <v>56.34</v>
      </c>
      <c r="D309">
        <v>55.450001</v>
      </c>
      <c r="E309">
        <v>56.16</v>
      </c>
      <c r="F309">
        <v>43.639217000000002</v>
      </c>
      <c r="G309">
        <v>354100</v>
      </c>
    </row>
    <row r="310" spans="1:7" x14ac:dyDescent="0.45">
      <c r="A310" s="1">
        <v>40442</v>
      </c>
      <c r="B310">
        <v>56.32</v>
      </c>
      <c r="C310">
        <v>56.549999</v>
      </c>
      <c r="D310">
        <v>55.66</v>
      </c>
      <c r="E310">
        <v>56.139999000000003</v>
      </c>
      <c r="F310">
        <v>43.62368</v>
      </c>
      <c r="G310">
        <v>666700</v>
      </c>
    </row>
    <row r="311" spans="1:7" x14ac:dyDescent="0.45">
      <c r="A311" s="1">
        <v>40443</v>
      </c>
      <c r="B311">
        <v>56.700001</v>
      </c>
      <c r="C311">
        <v>56.82</v>
      </c>
      <c r="D311">
        <v>55.849997999999999</v>
      </c>
      <c r="E311">
        <v>56.049999</v>
      </c>
      <c r="F311">
        <v>43.553741000000002</v>
      </c>
      <c r="G311">
        <v>469700</v>
      </c>
    </row>
    <row r="312" spans="1:7" x14ac:dyDescent="0.45">
      <c r="A312" s="1">
        <v>40444</v>
      </c>
      <c r="B312">
        <v>56.16</v>
      </c>
      <c r="C312">
        <v>56.779998999999997</v>
      </c>
      <c r="D312">
        <v>55.860000999999997</v>
      </c>
      <c r="E312">
        <v>56.419998</v>
      </c>
      <c r="F312">
        <v>43.841254999999997</v>
      </c>
      <c r="G312">
        <v>449300</v>
      </c>
    </row>
    <row r="313" spans="1:7" x14ac:dyDescent="0.45">
      <c r="A313" s="1">
        <v>40445</v>
      </c>
      <c r="B313">
        <v>57.799999</v>
      </c>
      <c r="C313">
        <v>58.57</v>
      </c>
      <c r="D313">
        <v>57.68</v>
      </c>
      <c r="E313">
        <v>58.57</v>
      </c>
      <c r="F313">
        <v>45.511901999999999</v>
      </c>
      <c r="G313">
        <v>785700</v>
      </c>
    </row>
    <row r="314" spans="1:7" x14ac:dyDescent="0.45">
      <c r="A314" s="1">
        <v>40448</v>
      </c>
      <c r="B314">
        <v>58.259998000000003</v>
      </c>
      <c r="C314">
        <v>58.27</v>
      </c>
      <c r="D314">
        <v>57.669998</v>
      </c>
      <c r="E314">
        <v>57.720001000000003</v>
      </c>
      <c r="F314">
        <v>44.851413999999998</v>
      </c>
      <c r="G314">
        <v>677600</v>
      </c>
    </row>
    <row r="315" spans="1:7" x14ac:dyDescent="0.45">
      <c r="A315" s="1">
        <v>40449</v>
      </c>
      <c r="B315">
        <v>58.18</v>
      </c>
      <c r="C315">
        <v>59.110000999999997</v>
      </c>
      <c r="D315">
        <v>57.740001999999997</v>
      </c>
      <c r="E315">
        <v>58.950001</v>
      </c>
      <c r="F315">
        <v>45.807189999999999</v>
      </c>
      <c r="G315">
        <v>573600</v>
      </c>
    </row>
    <row r="316" spans="1:7" x14ac:dyDescent="0.45">
      <c r="A316" s="1">
        <v>40450</v>
      </c>
      <c r="B316">
        <v>59.130001</v>
      </c>
      <c r="C316">
        <v>59.68</v>
      </c>
      <c r="D316">
        <v>58.849997999999999</v>
      </c>
      <c r="E316">
        <v>59.48</v>
      </c>
      <c r="F316">
        <v>46.219020999999998</v>
      </c>
      <c r="G316">
        <v>781400</v>
      </c>
    </row>
    <row r="317" spans="1:7" x14ac:dyDescent="0.45">
      <c r="A317" s="1">
        <v>40451</v>
      </c>
      <c r="B317">
        <v>59.59</v>
      </c>
      <c r="C317">
        <v>59.799999</v>
      </c>
      <c r="D317">
        <v>58.450001</v>
      </c>
      <c r="E317">
        <v>58.75</v>
      </c>
      <c r="F317">
        <v>45.651783000000002</v>
      </c>
      <c r="G317">
        <v>547700</v>
      </c>
    </row>
    <row r="318" spans="1:7" x14ac:dyDescent="0.45">
      <c r="A318" s="1">
        <v>40452</v>
      </c>
      <c r="B318">
        <v>59.09</v>
      </c>
      <c r="C318">
        <v>59.139999000000003</v>
      </c>
      <c r="D318">
        <v>58.099997999999999</v>
      </c>
      <c r="E318">
        <v>58.66</v>
      </c>
      <c r="F318">
        <v>45.581840999999997</v>
      </c>
      <c r="G318">
        <v>606700</v>
      </c>
    </row>
    <row r="319" spans="1:7" x14ac:dyDescent="0.45">
      <c r="A319" s="1">
        <v>40455</v>
      </c>
      <c r="B319">
        <v>57.700001</v>
      </c>
      <c r="C319">
        <v>58.119999</v>
      </c>
      <c r="D319">
        <v>57.310001</v>
      </c>
      <c r="E319">
        <v>57.59</v>
      </c>
      <c r="F319">
        <v>44.750400999999997</v>
      </c>
      <c r="G319">
        <v>575300</v>
      </c>
    </row>
    <row r="320" spans="1:7" x14ac:dyDescent="0.45">
      <c r="A320" s="1">
        <v>40456</v>
      </c>
      <c r="B320">
        <v>58.48</v>
      </c>
      <c r="C320">
        <v>59.43</v>
      </c>
      <c r="D320">
        <v>58.459999000000003</v>
      </c>
      <c r="E320">
        <v>59.299999</v>
      </c>
      <c r="F320">
        <v>46.079155</v>
      </c>
      <c r="G320">
        <v>1171200</v>
      </c>
    </row>
    <row r="321" spans="1:7" x14ac:dyDescent="0.45">
      <c r="A321" s="1">
        <v>40457</v>
      </c>
      <c r="B321">
        <v>59.580002</v>
      </c>
      <c r="C321">
        <v>60</v>
      </c>
      <c r="D321">
        <v>59.25</v>
      </c>
      <c r="E321">
        <v>59.889999000000003</v>
      </c>
      <c r="F321">
        <v>46.537616999999997</v>
      </c>
      <c r="G321">
        <v>639500</v>
      </c>
    </row>
    <row r="322" spans="1:7" x14ac:dyDescent="0.45">
      <c r="A322" s="1">
        <v>40458</v>
      </c>
      <c r="B322">
        <v>60.040000999999997</v>
      </c>
      <c r="C322">
        <v>60.080002</v>
      </c>
      <c r="D322">
        <v>59.119999</v>
      </c>
      <c r="E322">
        <v>59.509998000000003</v>
      </c>
      <c r="F322">
        <v>46.242348</v>
      </c>
      <c r="G322">
        <v>1785300</v>
      </c>
    </row>
    <row r="323" spans="1:7" x14ac:dyDescent="0.45">
      <c r="A323" s="1">
        <v>40459</v>
      </c>
      <c r="B323">
        <v>60.630001</v>
      </c>
      <c r="C323">
        <v>61.849997999999999</v>
      </c>
      <c r="D323">
        <v>60.57</v>
      </c>
      <c r="E323">
        <v>61.599997999999999</v>
      </c>
      <c r="F323">
        <v>47.866374999999998</v>
      </c>
      <c r="G323">
        <v>1538900</v>
      </c>
    </row>
    <row r="324" spans="1:7" x14ac:dyDescent="0.45">
      <c r="A324" s="1">
        <v>40462</v>
      </c>
      <c r="B324">
        <v>61.490001999999997</v>
      </c>
      <c r="C324">
        <v>61.939999</v>
      </c>
      <c r="D324">
        <v>61.490001999999997</v>
      </c>
      <c r="E324">
        <v>61.939999</v>
      </c>
      <c r="F324">
        <v>48.130572999999998</v>
      </c>
      <c r="G324">
        <v>1495300</v>
      </c>
    </row>
    <row r="325" spans="1:7" x14ac:dyDescent="0.45">
      <c r="A325" s="1">
        <v>40463</v>
      </c>
      <c r="B325">
        <v>61.799999</v>
      </c>
      <c r="C325">
        <v>62.43</v>
      </c>
      <c r="D325">
        <v>61.150002000000001</v>
      </c>
      <c r="E325">
        <v>62.290000999999997</v>
      </c>
      <c r="F325">
        <v>48.402538</v>
      </c>
      <c r="G325">
        <v>1538000</v>
      </c>
    </row>
    <row r="326" spans="1:7" x14ac:dyDescent="0.45">
      <c r="A326" s="1">
        <v>40464</v>
      </c>
      <c r="B326">
        <v>63.68</v>
      </c>
      <c r="C326">
        <v>64.389999000000003</v>
      </c>
      <c r="D326">
        <v>63.580002</v>
      </c>
      <c r="E326">
        <v>63.700001</v>
      </c>
      <c r="F326">
        <v>49.498184000000002</v>
      </c>
      <c r="G326">
        <v>1667500</v>
      </c>
    </row>
    <row r="327" spans="1:7" x14ac:dyDescent="0.45">
      <c r="A327" s="1">
        <v>40465</v>
      </c>
      <c r="B327">
        <v>63.349997999999999</v>
      </c>
      <c r="C327">
        <v>63.77</v>
      </c>
      <c r="D327">
        <v>62.939999</v>
      </c>
      <c r="E327">
        <v>63.380001</v>
      </c>
      <c r="F327">
        <v>49.249527</v>
      </c>
      <c r="G327">
        <v>1223400</v>
      </c>
    </row>
    <row r="328" spans="1:7" x14ac:dyDescent="0.45">
      <c r="A328" s="1">
        <v>40466</v>
      </c>
      <c r="B328">
        <v>62.91</v>
      </c>
      <c r="C328">
        <v>62.98</v>
      </c>
      <c r="D328">
        <v>61.900002000000001</v>
      </c>
      <c r="E328">
        <v>62.720001000000003</v>
      </c>
      <c r="F328">
        <v>48.736668000000002</v>
      </c>
      <c r="G328">
        <v>2067300</v>
      </c>
    </row>
    <row r="329" spans="1:7" x14ac:dyDescent="0.45">
      <c r="A329" s="1">
        <v>40469</v>
      </c>
      <c r="B329">
        <v>62.330002</v>
      </c>
      <c r="C329">
        <v>62.5</v>
      </c>
      <c r="D329">
        <v>62.080002</v>
      </c>
      <c r="E329">
        <v>62.41</v>
      </c>
      <c r="F329">
        <v>48.495784999999998</v>
      </c>
      <c r="G329">
        <v>1693800</v>
      </c>
    </row>
    <row r="330" spans="1:7" x14ac:dyDescent="0.45">
      <c r="A330" s="1">
        <v>40470</v>
      </c>
      <c r="B330">
        <v>61.700001</v>
      </c>
      <c r="C330">
        <v>62.040000999999997</v>
      </c>
      <c r="D330">
        <v>61.130001</v>
      </c>
      <c r="E330">
        <v>61.380001</v>
      </c>
      <c r="F330">
        <v>47.695435000000003</v>
      </c>
      <c r="G330">
        <v>1555600</v>
      </c>
    </row>
    <row r="331" spans="1:7" x14ac:dyDescent="0.45">
      <c r="A331" s="1">
        <v>40471</v>
      </c>
      <c r="B331">
        <v>61.5</v>
      </c>
      <c r="C331">
        <v>62.720001000000003</v>
      </c>
      <c r="D331">
        <v>61.470001000000003</v>
      </c>
      <c r="E331">
        <v>62.209999000000003</v>
      </c>
      <c r="F331">
        <v>48.340378000000001</v>
      </c>
      <c r="G331">
        <v>1079800</v>
      </c>
    </row>
    <row r="332" spans="1:7" x14ac:dyDescent="0.45">
      <c r="A332" s="1">
        <v>40472</v>
      </c>
      <c r="B332">
        <v>63.540000999999997</v>
      </c>
      <c r="C332">
        <v>64.239998</v>
      </c>
      <c r="D332">
        <v>63.189999</v>
      </c>
      <c r="E332">
        <v>63.740001999999997</v>
      </c>
      <c r="F332">
        <v>49.529274000000001</v>
      </c>
      <c r="G332">
        <v>1157100</v>
      </c>
    </row>
    <row r="333" spans="1:7" x14ac:dyDescent="0.45">
      <c r="A333" s="1">
        <v>40473</v>
      </c>
      <c r="B333">
        <v>63.950001</v>
      </c>
      <c r="C333">
        <v>64.199996999999996</v>
      </c>
      <c r="D333">
        <v>63.619999</v>
      </c>
      <c r="E333">
        <v>63.75</v>
      </c>
      <c r="F333">
        <v>49.537036999999998</v>
      </c>
      <c r="G333">
        <v>801700</v>
      </c>
    </row>
    <row r="334" spans="1:7" x14ac:dyDescent="0.45">
      <c r="A334" s="1">
        <v>40476</v>
      </c>
      <c r="B334">
        <v>64.529999000000004</v>
      </c>
      <c r="C334">
        <v>64.769997000000004</v>
      </c>
      <c r="D334">
        <v>63.66</v>
      </c>
      <c r="E334">
        <v>63.880001</v>
      </c>
      <c r="F334">
        <v>49.638053999999997</v>
      </c>
      <c r="G334">
        <v>1003100</v>
      </c>
    </row>
    <row r="335" spans="1:7" x14ac:dyDescent="0.45">
      <c r="A335" s="1">
        <v>40477</v>
      </c>
      <c r="B335">
        <v>62.52</v>
      </c>
      <c r="C335">
        <v>63.049999</v>
      </c>
      <c r="D335">
        <v>62.240001999999997</v>
      </c>
      <c r="E335">
        <v>62.720001000000003</v>
      </c>
      <c r="F335">
        <v>48.736668000000002</v>
      </c>
      <c r="G335">
        <v>1118300</v>
      </c>
    </row>
    <row r="336" spans="1:7" x14ac:dyDescent="0.45">
      <c r="A336" s="1">
        <v>40478</v>
      </c>
      <c r="B336">
        <v>61.470001000000003</v>
      </c>
      <c r="C336">
        <v>61.82</v>
      </c>
      <c r="D336">
        <v>61.150002000000001</v>
      </c>
      <c r="E336">
        <v>61.240001999999997</v>
      </c>
      <c r="F336">
        <v>47.586635999999999</v>
      </c>
      <c r="G336">
        <v>1768200</v>
      </c>
    </row>
    <row r="337" spans="1:7" x14ac:dyDescent="0.45">
      <c r="A337" s="1">
        <v>40479</v>
      </c>
      <c r="B337">
        <v>62.029998999999997</v>
      </c>
      <c r="C337">
        <v>62.380001</v>
      </c>
      <c r="D337">
        <v>61.849997999999999</v>
      </c>
      <c r="E337">
        <v>62.310001</v>
      </c>
      <c r="F337">
        <v>48.418083000000003</v>
      </c>
      <c r="G337">
        <v>617700</v>
      </c>
    </row>
    <row r="338" spans="1:7" x14ac:dyDescent="0.45">
      <c r="A338" s="1">
        <v>40480</v>
      </c>
      <c r="B338">
        <v>62.400002000000001</v>
      </c>
      <c r="C338">
        <v>63</v>
      </c>
      <c r="D338">
        <v>62.32</v>
      </c>
      <c r="E338">
        <v>62.900002000000001</v>
      </c>
      <c r="F338">
        <v>48.876548999999997</v>
      </c>
      <c r="G338">
        <v>424100</v>
      </c>
    </row>
    <row r="339" spans="1:7" x14ac:dyDescent="0.45">
      <c r="A339" s="1">
        <v>40483</v>
      </c>
      <c r="B339">
        <v>63.290000999999997</v>
      </c>
      <c r="C339">
        <v>63.459999000000003</v>
      </c>
      <c r="D339">
        <v>62.48</v>
      </c>
      <c r="E339">
        <v>62.860000999999997</v>
      </c>
      <c r="F339">
        <v>48.845455000000001</v>
      </c>
      <c r="G339">
        <v>478200</v>
      </c>
    </row>
    <row r="340" spans="1:7" x14ac:dyDescent="0.45">
      <c r="A340" s="1">
        <v>40484</v>
      </c>
      <c r="B340">
        <v>63.720001000000003</v>
      </c>
      <c r="C340">
        <v>63.82</v>
      </c>
      <c r="D340">
        <v>62.939999</v>
      </c>
      <c r="E340">
        <v>63.509998000000003</v>
      </c>
      <c r="F340">
        <v>49.350540000000002</v>
      </c>
      <c r="G340">
        <v>648100</v>
      </c>
    </row>
    <row r="341" spans="1:7" x14ac:dyDescent="0.45">
      <c r="A341" s="1">
        <v>40485</v>
      </c>
      <c r="B341">
        <v>61.720001000000003</v>
      </c>
      <c r="C341">
        <v>62.049999</v>
      </c>
      <c r="D341">
        <v>60.5</v>
      </c>
      <c r="E341">
        <v>61.619999</v>
      </c>
      <c r="F341">
        <v>47.881912</v>
      </c>
      <c r="G341">
        <v>1850800</v>
      </c>
    </row>
    <row r="342" spans="1:7" x14ac:dyDescent="0.45">
      <c r="A342" s="1">
        <v>40486</v>
      </c>
      <c r="B342">
        <v>62.66</v>
      </c>
      <c r="C342">
        <v>62.990001999999997</v>
      </c>
      <c r="D342">
        <v>62.450001</v>
      </c>
      <c r="E342">
        <v>62.619999</v>
      </c>
      <c r="F342">
        <v>48.658962000000002</v>
      </c>
      <c r="G342">
        <v>1136100</v>
      </c>
    </row>
    <row r="343" spans="1:7" x14ac:dyDescent="0.45">
      <c r="A343" s="1">
        <v>40487</v>
      </c>
      <c r="B343">
        <v>61.610000999999997</v>
      </c>
      <c r="C343">
        <v>61.880001</v>
      </c>
      <c r="D343">
        <v>61.060001</v>
      </c>
      <c r="E343">
        <v>61.560001</v>
      </c>
      <c r="F343">
        <v>47.835293</v>
      </c>
      <c r="G343">
        <v>1482700</v>
      </c>
    </row>
    <row r="344" spans="1:7" x14ac:dyDescent="0.45">
      <c r="A344" s="1">
        <v>40490</v>
      </c>
      <c r="B344">
        <v>60.529998999999997</v>
      </c>
      <c r="C344">
        <v>61.110000999999997</v>
      </c>
      <c r="D344">
        <v>60.34</v>
      </c>
      <c r="E344">
        <v>60.790000999999997</v>
      </c>
      <c r="F344">
        <v>47.236969000000002</v>
      </c>
      <c r="G344">
        <v>1228300</v>
      </c>
    </row>
    <row r="345" spans="1:7" x14ac:dyDescent="0.45">
      <c r="A345" s="1">
        <v>40491</v>
      </c>
      <c r="B345">
        <v>61.400002000000001</v>
      </c>
      <c r="C345">
        <v>61.740001999999997</v>
      </c>
      <c r="D345">
        <v>60.27</v>
      </c>
      <c r="E345">
        <v>60.450001</v>
      </c>
      <c r="F345">
        <v>46.972766999999997</v>
      </c>
      <c r="G345">
        <v>1071400</v>
      </c>
    </row>
    <row r="346" spans="1:7" x14ac:dyDescent="0.45">
      <c r="A346" s="1">
        <v>40492</v>
      </c>
      <c r="B346">
        <v>60.610000999999997</v>
      </c>
      <c r="C346">
        <v>60.759998000000003</v>
      </c>
      <c r="D346">
        <v>59.509998000000003</v>
      </c>
      <c r="E346">
        <v>60.549999</v>
      </c>
      <c r="F346">
        <v>47.050468000000002</v>
      </c>
      <c r="G346">
        <v>697000</v>
      </c>
    </row>
    <row r="347" spans="1:7" x14ac:dyDescent="0.45">
      <c r="A347" s="1">
        <v>40493</v>
      </c>
      <c r="B347">
        <v>59.759998000000003</v>
      </c>
      <c r="C347">
        <v>59.860000999999997</v>
      </c>
      <c r="D347">
        <v>58.959999000000003</v>
      </c>
      <c r="E347">
        <v>59.080002</v>
      </c>
      <c r="F347">
        <v>45.908206999999997</v>
      </c>
      <c r="G347">
        <v>963400</v>
      </c>
    </row>
    <row r="348" spans="1:7" x14ac:dyDescent="0.45">
      <c r="A348" s="1">
        <v>40494</v>
      </c>
      <c r="B348">
        <v>58.860000999999997</v>
      </c>
      <c r="C348">
        <v>59.41</v>
      </c>
      <c r="D348">
        <v>58.52</v>
      </c>
      <c r="E348">
        <v>58.700001</v>
      </c>
      <c r="F348">
        <v>45.612923000000002</v>
      </c>
      <c r="G348">
        <v>1075500</v>
      </c>
    </row>
    <row r="349" spans="1:7" x14ac:dyDescent="0.45">
      <c r="A349" s="1">
        <v>40497</v>
      </c>
      <c r="B349">
        <v>59.259998000000003</v>
      </c>
      <c r="C349">
        <v>59.389999000000003</v>
      </c>
      <c r="D349">
        <v>58.560001</v>
      </c>
      <c r="E349">
        <v>58.619999</v>
      </c>
      <c r="F349">
        <v>45.550758000000002</v>
      </c>
      <c r="G349">
        <v>606700</v>
      </c>
    </row>
    <row r="350" spans="1:7" x14ac:dyDescent="0.45">
      <c r="A350" s="1">
        <v>40498</v>
      </c>
      <c r="B350">
        <v>58.27</v>
      </c>
      <c r="C350">
        <v>58.439999</v>
      </c>
      <c r="D350">
        <v>57.130001</v>
      </c>
      <c r="E350">
        <v>57.439999</v>
      </c>
      <c r="F350">
        <v>44.633839000000002</v>
      </c>
      <c r="G350">
        <v>569200</v>
      </c>
    </row>
    <row r="351" spans="1:7" x14ac:dyDescent="0.45">
      <c r="A351" s="1">
        <v>40499</v>
      </c>
      <c r="B351">
        <v>58.310001</v>
      </c>
      <c r="C351">
        <v>58.93</v>
      </c>
      <c r="D351">
        <v>58.290000999999997</v>
      </c>
      <c r="E351">
        <v>58.779998999999997</v>
      </c>
      <c r="F351">
        <v>45.675086999999998</v>
      </c>
      <c r="G351">
        <v>1005100</v>
      </c>
    </row>
    <row r="352" spans="1:7" x14ac:dyDescent="0.45">
      <c r="A352" s="1">
        <v>40500</v>
      </c>
      <c r="B352">
        <v>60.389999000000003</v>
      </c>
      <c r="C352">
        <v>60.939999</v>
      </c>
      <c r="D352">
        <v>60.240001999999997</v>
      </c>
      <c r="E352">
        <v>60.75</v>
      </c>
      <c r="F352">
        <v>47.205891000000001</v>
      </c>
      <c r="G352">
        <v>676800</v>
      </c>
    </row>
    <row r="353" spans="1:7" x14ac:dyDescent="0.45">
      <c r="A353" s="1">
        <v>40501</v>
      </c>
      <c r="B353">
        <v>60.549999</v>
      </c>
      <c r="C353">
        <v>60.91</v>
      </c>
      <c r="D353">
        <v>60.169998</v>
      </c>
      <c r="E353">
        <v>60.860000999999997</v>
      </c>
      <c r="F353">
        <v>47.291350999999999</v>
      </c>
      <c r="G353">
        <v>607500</v>
      </c>
    </row>
    <row r="354" spans="1:7" x14ac:dyDescent="0.45">
      <c r="A354" s="1">
        <v>40504</v>
      </c>
      <c r="B354">
        <v>60.860000999999997</v>
      </c>
      <c r="C354">
        <v>61.25</v>
      </c>
      <c r="D354">
        <v>60.119999</v>
      </c>
      <c r="E354">
        <v>60.900002000000001</v>
      </c>
      <c r="F354">
        <v>47.322440999999998</v>
      </c>
      <c r="G354">
        <v>736900</v>
      </c>
    </row>
    <row r="355" spans="1:7" x14ac:dyDescent="0.45">
      <c r="A355" s="1">
        <v>40505</v>
      </c>
      <c r="B355">
        <v>59.610000999999997</v>
      </c>
      <c r="C355">
        <v>59.75</v>
      </c>
      <c r="D355">
        <v>58.66</v>
      </c>
      <c r="E355">
        <v>59.220001000000003</v>
      </c>
      <c r="F355">
        <v>46.016990999999997</v>
      </c>
      <c r="G355">
        <v>1350100</v>
      </c>
    </row>
    <row r="356" spans="1:7" x14ac:dyDescent="0.45">
      <c r="A356" s="1">
        <v>40506</v>
      </c>
      <c r="B356">
        <v>58.93</v>
      </c>
      <c r="C356">
        <v>59.189999</v>
      </c>
      <c r="D356">
        <v>58.66</v>
      </c>
      <c r="E356">
        <v>58.700001</v>
      </c>
      <c r="F356">
        <v>45.612923000000002</v>
      </c>
      <c r="G356">
        <v>805600</v>
      </c>
    </row>
    <row r="357" spans="1:7" x14ac:dyDescent="0.45">
      <c r="A357" s="1">
        <v>40508</v>
      </c>
      <c r="B357">
        <v>57.41</v>
      </c>
      <c r="C357">
        <v>57.799999</v>
      </c>
      <c r="D357">
        <v>57.41</v>
      </c>
      <c r="E357">
        <v>57.57</v>
      </c>
      <c r="F357">
        <v>44.734856000000001</v>
      </c>
      <c r="G357">
        <v>768700</v>
      </c>
    </row>
    <row r="358" spans="1:7" x14ac:dyDescent="0.45">
      <c r="A358" s="1">
        <v>40511</v>
      </c>
      <c r="B358">
        <v>56.259998000000003</v>
      </c>
      <c r="C358">
        <v>56.549999</v>
      </c>
      <c r="D358">
        <v>55.68</v>
      </c>
      <c r="E358">
        <v>56.02</v>
      </c>
      <c r="F358">
        <v>43.530434</v>
      </c>
      <c r="G358">
        <v>3516600</v>
      </c>
    </row>
    <row r="359" spans="1:7" x14ac:dyDescent="0.45">
      <c r="A359" s="1">
        <v>40512</v>
      </c>
      <c r="B359">
        <v>54.52</v>
      </c>
      <c r="C359">
        <v>55.360000999999997</v>
      </c>
      <c r="D359">
        <v>54.470001000000003</v>
      </c>
      <c r="E359">
        <v>54.939999</v>
      </c>
      <c r="F359">
        <v>42.691212</v>
      </c>
      <c r="G359">
        <v>3352200</v>
      </c>
    </row>
    <row r="360" spans="1:7" x14ac:dyDescent="0.45">
      <c r="A360" s="1">
        <v>40513</v>
      </c>
      <c r="B360">
        <v>55.82</v>
      </c>
      <c r="C360">
        <v>56.84</v>
      </c>
      <c r="D360">
        <v>55.68</v>
      </c>
      <c r="E360">
        <v>56.639999000000003</v>
      </c>
      <c r="F360">
        <v>44.012203</v>
      </c>
      <c r="G360">
        <v>3849200</v>
      </c>
    </row>
    <row r="361" spans="1:7" x14ac:dyDescent="0.45">
      <c r="A361" s="1">
        <v>40514</v>
      </c>
      <c r="B361">
        <v>56.450001</v>
      </c>
      <c r="C361">
        <v>57.950001</v>
      </c>
      <c r="D361">
        <v>56.400002000000001</v>
      </c>
      <c r="E361">
        <v>57.799999</v>
      </c>
      <c r="F361">
        <v>44.913581999999998</v>
      </c>
      <c r="G361">
        <v>2170000</v>
      </c>
    </row>
    <row r="362" spans="1:7" x14ac:dyDescent="0.45">
      <c r="A362" s="1">
        <v>40515</v>
      </c>
      <c r="B362">
        <v>57.75</v>
      </c>
      <c r="C362">
        <v>58.27</v>
      </c>
      <c r="D362">
        <v>57.580002</v>
      </c>
      <c r="E362">
        <v>58.02</v>
      </c>
      <c r="F362">
        <v>45.084530000000001</v>
      </c>
      <c r="G362">
        <v>1242100</v>
      </c>
    </row>
    <row r="363" spans="1:7" x14ac:dyDescent="0.45">
      <c r="A363" s="1">
        <v>40518</v>
      </c>
      <c r="B363">
        <v>57.389999000000003</v>
      </c>
      <c r="C363">
        <v>57.650002000000001</v>
      </c>
      <c r="D363">
        <v>57.150002000000001</v>
      </c>
      <c r="E363">
        <v>57.459999000000003</v>
      </c>
      <c r="F363">
        <v>44.649380000000001</v>
      </c>
      <c r="G363">
        <v>1125000</v>
      </c>
    </row>
    <row r="364" spans="1:7" x14ac:dyDescent="0.45">
      <c r="A364" s="1">
        <v>40519</v>
      </c>
      <c r="B364">
        <v>58.450001</v>
      </c>
      <c r="C364">
        <v>58.5</v>
      </c>
      <c r="D364">
        <v>57.68</v>
      </c>
      <c r="E364">
        <v>57.689999</v>
      </c>
      <c r="F364">
        <v>44.828102000000001</v>
      </c>
      <c r="G364">
        <v>1567700</v>
      </c>
    </row>
    <row r="365" spans="1:7" x14ac:dyDescent="0.45">
      <c r="A365" s="1">
        <v>40520</v>
      </c>
      <c r="B365">
        <v>57.560001</v>
      </c>
      <c r="C365">
        <v>57.900002000000001</v>
      </c>
      <c r="D365">
        <v>57.130001</v>
      </c>
      <c r="E365">
        <v>57.540000999999997</v>
      </c>
      <c r="F365">
        <v>44.711548000000001</v>
      </c>
      <c r="G365">
        <v>602800</v>
      </c>
    </row>
    <row r="366" spans="1:7" x14ac:dyDescent="0.45">
      <c r="A366" s="1">
        <v>40521</v>
      </c>
      <c r="B366">
        <v>57.040000999999997</v>
      </c>
      <c r="C366">
        <v>57.279998999999997</v>
      </c>
      <c r="D366">
        <v>56.48</v>
      </c>
      <c r="E366">
        <v>57.200001</v>
      </c>
      <c r="F366">
        <v>44.447346000000003</v>
      </c>
      <c r="G366">
        <v>1470500</v>
      </c>
    </row>
    <row r="367" spans="1:7" x14ac:dyDescent="0.45">
      <c r="A367" s="1">
        <v>40522</v>
      </c>
      <c r="B367">
        <v>57.580002</v>
      </c>
      <c r="C367">
        <v>57.799999</v>
      </c>
      <c r="D367">
        <v>57.099997999999999</v>
      </c>
      <c r="E367">
        <v>57.630001</v>
      </c>
      <c r="F367">
        <v>44.781483000000001</v>
      </c>
      <c r="G367">
        <v>724800</v>
      </c>
    </row>
    <row r="368" spans="1:7" x14ac:dyDescent="0.45">
      <c r="A368" s="1">
        <v>40525</v>
      </c>
      <c r="B368">
        <v>57.720001000000003</v>
      </c>
      <c r="C368">
        <v>58.060001</v>
      </c>
      <c r="D368">
        <v>57.639999000000003</v>
      </c>
      <c r="E368">
        <v>57.860000999999997</v>
      </c>
      <c r="F368">
        <v>44.960208999999999</v>
      </c>
      <c r="G368">
        <v>665200</v>
      </c>
    </row>
    <row r="369" spans="1:7" x14ac:dyDescent="0.45">
      <c r="A369" s="1">
        <v>40526</v>
      </c>
      <c r="B369">
        <v>57.91</v>
      </c>
      <c r="C369">
        <v>57.990001999999997</v>
      </c>
      <c r="D369">
        <v>57.599997999999999</v>
      </c>
      <c r="E369">
        <v>57.889999000000003</v>
      </c>
      <c r="F369">
        <v>44.983513000000002</v>
      </c>
      <c r="G369">
        <v>490700</v>
      </c>
    </row>
    <row r="370" spans="1:7" x14ac:dyDescent="0.45">
      <c r="A370" s="1">
        <v>40527</v>
      </c>
      <c r="B370">
        <v>57.349997999999999</v>
      </c>
      <c r="C370">
        <v>57.709999000000003</v>
      </c>
      <c r="D370">
        <v>56.919998</v>
      </c>
      <c r="E370">
        <v>57.119999</v>
      </c>
      <c r="F370">
        <v>44.385173999999999</v>
      </c>
      <c r="G370">
        <v>722200</v>
      </c>
    </row>
    <row r="371" spans="1:7" x14ac:dyDescent="0.45">
      <c r="A371" s="1">
        <v>40528</v>
      </c>
      <c r="B371">
        <v>57.27</v>
      </c>
      <c r="C371">
        <v>57.529998999999997</v>
      </c>
      <c r="D371">
        <v>56.939999</v>
      </c>
      <c r="E371">
        <v>57.459999000000003</v>
      </c>
      <c r="F371">
        <v>44.649380000000001</v>
      </c>
      <c r="G371">
        <v>538100</v>
      </c>
    </row>
    <row r="372" spans="1:7" x14ac:dyDescent="0.45">
      <c r="A372" s="1">
        <v>40529</v>
      </c>
      <c r="B372">
        <v>57.349997999999999</v>
      </c>
      <c r="C372">
        <v>57.389999000000003</v>
      </c>
      <c r="D372">
        <v>56.689999</v>
      </c>
      <c r="E372">
        <v>57.389999000000003</v>
      </c>
      <c r="F372">
        <v>44.594990000000003</v>
      </c>
      <c r="G372">
        <v>536600</v>
      </c>
    </row>
    <row r="373" spans="1:7" x14ac:dyDescent="0.45">
      <c r="A373" s="1">
        <v>40532</v>
      </c>
      <c r="B373">
        <v>57.299999</v>
      </c>
      <c r="C373">
        <v>57.41</v>
      </c>
      <c r="D373">
        <v>56.889999000000003</v>
      </c>
      <c r="E373">
        <v>57.040000999999997</v>
      </c>
      <c r="F373">
        <v>44.323020999999997</v>
      </c>
      <c r="G373">
        <v>856700</v>
      </c>
    </row>
    <row r="374" spans="1:7" x14ac:dyDescent="0.45">
      <c r="A374" s="1">
        <v>40533</v>
      </c>
      <c r="B374">
        <v>57.360000999999997</v>
      </c>
      <c r="C374">
        <v>57.700001</v>
      </c>
      <c r="D374">
        <v>57.189999</v>
      </c>
      <c r="E374">
        <v>57.630001</v>
      </c>
      <c r="F374">
        <v>44.781483000000001</v>
      </c>
      <c r="G374">
        <v>618900</v>
      </c>
    </row>
    <row r="375" spans="1:7" x14ac:dyDescent="0.45">
      <c r="A375" s="1">
        <v>40534</v>
      </c>
      <c r="B375">
        <v>57.560001</v>
      </c>
      <c r="C375">
        <v>57.57</v>
      </c>
      <c r="D375">
        <v>57.259998000000003</v>
      </c>
      <c r="E375">
        <v>57.48</v>
      </c>
      <c r="F375">
        <v>44.664932</v>
      </c>
      <c r="G375">
        <v>522400</v>
      </c>
    </row>
    <row r="376" spans="1:7" x14ac:dyDescent="0.45">
      <c r="A376" s="1">
        <v>40535</v>
      </c>
      <c r="B376">
        <v>57.029998999999997</v>
      </c>
      <c r="C376">
        <v>57.52</v>
      </c>
      <c r="D376">
        <v>57.029998999999997</v>
      </c>
      <c r="E376">
        <v>57.299999</v>
      </c>
      <c r="F376">
        <v>44.525055000000002</v>
      </c>
      <c r="G376">
        <v>573400</v>
      </c>
    </row>
    <row r="377" spans="1:7" x14ac:dyDescent="0.45">
      <c r="A377" s="1">
        <v>40539</v>
      </c>
      <c r="B377">
        <v>56.93</v>
      </c>
      <c r="C377">
        <v>57.52</v>
      </c>
      <c r="D377">
        <v>56.869999</v>
      </c>
      <c r="E377">
        <v>57.470001000000003</v>
      </c>
      <c r="F377">
        <v>44.657158000000003</v>
      </c>
      <c r="G377">
        <v>293100</v>
      </c>
    </row>
    <row r="378" spans="1:7" x14ac:dyDescent="0.45">
      <c r="A378" s="1">
        <v>40540</v>
      </c>
      <c r="B378">
        <v>57.380001</v>
      </c>
      <c r="C378">
        <v>57.52</v>
      </c>
      <c r="D378">
        <v>56.98</v>
      </c>
      <c r="E378">
        <v>57</v>
      </c>
      <c r="F378">
        <v>44.291943000000003</v>
      </c>
      <c r="G378">
        <v>303300</v>
      </c>
    </row>
    <row r="379" spans="1:7" x14ac:dyDescent="0.45">
      <c r="A379" s="1">
        <v>40541</v>
      </c>
      <c r="B379">
        <v>56.869999</v>
      </c>
      <c r="C379">
        <v>57.150002000000001</v>
      </c>
      <c r="D379">
        <v>56.790000999999997</v>
      </c>
      <c r="E379">
        <v>56.98</v>
      </c>
      <c r="F379">
        <v>44.276394000000003</v>
      </c>
      <c r="G379">
        <v>405600</v>
      </c>
    </row>
    <row r="380" spans="1:7" x14ac:dyDescent="0.45">
      <c r="A380" s="1">
        <v>40542</v>
      </c>
      <c r="B380">
        <v>57.5</v>
      </c>
      <c r="C380">
        <v>57.630001</v>
      </c>
      <c r="D380">
        <v>57.169998</v>
      </c>
      <c r="E380">
        <v>57.330002</v>
      </c>
      <c r="F380">
        <v>44.548374000000003</v>
      </c>
      <c r="G380">
        <v>340100</v>
      </c>
    </row>
    <row r="381" spans="1:7" x14ac:dyDescent="0.45">
      <c r="A381" s="1">
        <v>40543</v>
      </c>
      <c r="B381">
        <v>57.439999</v>
      </c>
      <c r="C381">
        <v>57.650002000000001</v>
      </c>
      <c r="D381">
        <v>56.779998999999997</v>
      </c>
      <c r="E381">
        <v>57.09</v>
      </c>
      <c r="F381">
        <v>44.361877</v>
      </c>
      <c r="G381">
        <v>449300</v>
      </c>
    </row>
    <row r="382" spans="1:7" x14ac:dyDescent="0.45">
      <c r="A382" s="1">
        <v>40546</v>
      </c>
      <c r="B382">
        <v>57.630001</v>
      </c>
      <c r="C382">
        <v>57.740001999999997</v>
      </c>
      <c r="D382">
        <v>57.150002000000001</v>
      </c>
      <c r="E382">
        <v>57.630001</v>
      </c>
      <c r="F382">
        <v>44.781483000000001</v>
      </c>
      <c r="G382">
        <v>825500</v>
      </c>
    </row>
    <row r="383" spans="1:7" x14ac:dyDescent="0.45">
      <c r="A383" s="1">
        <v>40547</v>
      </c>
      <c r="B383">
        <v>57.830002</v>
      </c>
      <c r="C383">
        <v>57.849997999999999</v>
      </c>
      <c r="D383">
        <v>56.950001</v>
      </c>
      <c r="E383">
        <v>57.34</v>
      </c>
      <c r="F383">
        <v>44.556133000000003</v>
      </c>
      <c r="G383">
        <v>554200</v>
      </c>
    </row>
    <row r="384" spans="1:7" x14ac:dyDescent="0.45">
      <c r="A384" s="1">
        <v>40548</v>
      </c>
      <c r="B384">
        <v>56.220001000000003</v>
      </c>
      <c r="C384">
        <v>57.259998000000003</v>
      </c>
      <c r="D384">
        <v>56.150002000000001</v>
      </c>
      <c r="E384">
        <v>56.82</v>
      </c>
      <c r="F384">
        <v>44.152057999999997</v>
      </c>
      <c r="G384">
        <v>1135700</v>
      </c>
    </row>
    <row r="385" spans="1:7" x14ac:dyDescent="0.45">
      <c r="A385" s="1">
        <v>40549</v>
      </c>
      <c r="B385">
        <v>57.68</v>
      </c>
      <c r="C385">
        <v>57.849997999999999</v>
      </c>
      <c r="D385">
        <v>56.82</v>
      </c>
      <c r="E385">
        <v>57.07</v>
      </c>
      <c r="F385">
        <v>44.346336000000001</v>
      </c>
      <c r="G385">
        <v>1829100</v>
      </c>
    </row>
    <row r="386" spans="1:7" x14ac:dyDescent="0.45">
      <c r="A386" s="1">
        <v>40550</v>
      </c>
      <c r="B386">
        <v>56.650002000000001</v>
      </c>
      <c r="C386">
        <v>56.889999000000003</v>
      </c>
      <c r="D386">
        <v>56.349997999999999</v>
      </c>
      <c r="E386">
        <v>56.599997999999999</v>
      </c>
      <c r="F386">
        <v>43.981116999999998</v>
      </c>
      <c r="G386">
        <v>1265800</v>
      </c>
    </row>
    <row r="387" spans="1:7" x14ac:dyDescent="0.45">
      <c r="A387" s="1">
        <v>40553</v>
      </c>
      <c r="B387">
        <v>56.450001</v>
      </c>
      <c r="C387">
        <v>56.73</v>
      </c>
      <c r="D387">
        <v>56.189999</v>
      </c>
      <c r="E387">
        <v>56.610000999999997</v>
      </c>
      <c r="F387">
        <v>43.988894999999999</v>
      </c>
      <c r="G387">
        <v>530500</v>
      </c>
    </row>
    <row r="388" spans="1:7" x14ac:dyDescent="0.45">
      <c r="A388" s="1">
        <v>40554</v>
      </c>
      <c r="B388">
        <v>57.139999000000003</v>
      </c>
      <c r="C388">
        <v>57.25</v>
      </c>
      <c r="D388">
        <v>56.790000999999997</v>
      </c>
      <c r="E388">
        <v>57.040000999999997</v>
      </c>
      <c r="F388">
        <v>44.323020999999997</v>
      </c>
      <c r="G388">
        <v>383500</v>
      </c>
    </row>
    <row r="389" spans="1:7" x14ac:dyDescent="0.45">
      <c r="A389" s="1">
        <v>40555</v>
      </c>
      <c r="B389">
        <v>57.369999</v>
      </c>
      <c r="C389">
        <v>58.299999</v>
      </c>
      <c r="D389">
        <v>57.049999</v>
      </c>
      <c r="E389">
        <v>58.110000999999997</v>
      </c>
      <c r="F389">
        <v>45.154465000000002</v>
      </c>
      <c r="G389">
        <v>785200</v>
      </c>
    </row>
    <row r="390" spans="1:7" x14ac:dyDescent="0.45">
      <c r="A390" s="1">
        <v>40556</v>
      </c>
      <c r="B390">
        <v>58.580002</v>
      </c>
      <c r="C390">
        <v>58.880001</v>
      </c>
      <c r="D390">
        <v>58.349997999999999</v>
      </c>
      <c r="E390">
        <v>58.68</v>
      </c>
      <c r="F390">
        <v>45.597382000000003</v>
      </c>
      <c r="G390">
        <v>612200</v>
      </c>
    </row>
    <row r="391" spans="1:7" x14ac:dyDescent="0.45">
      <c r="A391" s="1">
        <v>40557</v>
      </c>
      <c r="B391">
        <v>57.389999000000003</v>
      </c>
      <c r="C391">
        <v>57.959999000000003</v>
      </c>
      <c r="D391">
        <v>57.360000999999997</v>
      </c>
      <c r="E391">
        <v>57.91</v>
      </c>
      <c r="F391">
        <v>44.999057999999998</v>
      </c>
      <c r="G391">
        <v>948300</v>
      </c>
    </row>
    <row r="392" spans="1:7" x14ac:dyDescent="0.45">
      <c r="A392" s="1">
        <v>40561</v>
      </c>
      <c r="B392">
        <v>57.41</v>
      </c>
      <c r="C392">
        <v>57.860000999999997</v>
      </c>
      <c r="D392">
        <v>57.310001</v>
      </c>
      <c r="E392">
        <v>57.380001</v>
      </c>
      <c r="F392">
        <v>44.587215</v>
      </c>
      <c r="G392">
        <v>627900</v>
      </c>
    </row>
    <row r="393" spans="1:7" x14ac:dyDescent="0.45">
      <c r="A393" s="1">
        <v>40562</v>
      </c>
      <c r="B393">
        <v>57.5</v>
      </c>
      <c r="C393">
        <v>57.540000999999997</v>
      </c>
      <c r="D393">
        <v>56.610000999999997</v>
      </c>
      <c r="E393">
        <v>56.849997999999999</v>
      </c>
      <c r="F393">
        <v>44.175381000000002</v>
      </c>
      <c r="G393">
        <v>677200</v>
      </c>
    </row>
    <row r="394" spans="1:7" x14ac:dyDescent="0.45">
      <c r="A394" s="1">
        <v>40563</v>
      </c>
      <c r="B394">
        <v>55.93</v>
      </c>
      <c r="C394">
        <v>55.959999000000003</v>
      </c>
      <c r="D394">
        <v>55.119999</v>
      </c>
      <c r="E394">
        <v>55.84</v>
      </c>
      <c r="F394">
        <v>43.390560000000001</v>
      </c>
      <c r="G394">
        <v>1638600</v>
      </c>
    </row>
    <row r="395" spans="1:7" x14ac:dyDescent="0.45">
      <c r="A395" s="1">
        <v>40564</v>
      </c>
      <c r="B395">
        <v>55.599997999999999</v>
      </c>
      <c r="C395">
        <v>56.23</v>
      </c>
      <c r="D395">
        <v>55.439999</v>
      </c>
      <c r="E395">
        <v>55.700001</v>
      </c>
      <c r="F395">
        <v>43.281773000000001</v>
      </c>
      <c r="G395">
        <v>1230300</v>
      </c>
    </row>
    <row r="396" spans="1:7" x14ac:dyDescent="0.45">
      <c r="A396" s="1">
        <v>40567</v>
      </c>
      <c r="B396">
        <v>55.93</v>
      </c>
      <c r="C396">
        <v>56.709999000000003</v>
      </c>
      <c r="D396">
        <v>55.889999000000003</v>
      </c>
      <c r="E396">
        <v>56.619999</v>
      </c>
      <c r="F396">
        <v>43.996657999999996</v>
      </c>
      <c r="G396">
        <v>735500</v>
      </c>
    </row>
    <row r="397" spans="1:7" x14ac:dyDescent="0.45">
      <c r="A397" s="1">
        <v>40568</v>
      </c>
      <c r="B397">
        <v>56.990001999999997</v>
      </c>
      <c r="C397">
        <v>57.669998</v>
      </c>
      <c r="D397">
        <v>56.799999</v>
      </c>
      <c r="E397">
        <v>57.540000999999997</v>
      </c>
      <c r="F397">
        <v>44.711548000000001</v>
      </c>
      <c r="G397">
        <v>1255300</v>
      </c>
    </row>
    <row r="398" spans="1:7" x14ac:dyDescent="0.45">
      <c r="A398" s="1">
        <v>40569</v>
      </c>
      <c r="B398">
        <v>57.450001</v>
      </c>
      <c r="C398">
        <v>57.880001</v>
      </c>
      <c r="D398">
        <v>57.220001000000003</v>
      </c>
      <c r="E398">
        <v>57.459999000000003</v>
      </c>
      <c r="F398">
        <v>44.649380000000001</v>
      </c>
      <c r="G398">
        <v>676600</v>
      </c>
    </row>
    <row r="399" spans="1:7" x14ac:dyDescent="0.45">
      <c r="A399" s="1">
        <v>40570</v>
      </c>
      <c r="B399">
        <v>56.75</v>
      </c>
      <c r="C399">
        <v>57.150002000000001</v>
      </c>
      <c r="D399">
        <v>56.380001</v>
      </c>
      <c r="E399">
        <v>56.470001000000003</v>
      </c>
      <c r="F399">
        <v>43.880108</v>
      </c>
      <c r="G399">
        <v>945300</v>
      </c>
    </row>
    <row r="400" spans="1:7" x14ac:dyDescent="0.45">
      <c r="A400" s="1">
        <v>40571</v>
      </c>
      <c r="B400">
        <v>55.830002</v>
      </c>
      <c r="C400">
        <v>55.860000999999997</v>
      </c>
      <c r="D400">
        <v>54.91</v>
      </c>
      <c r="E400">
        <v>55.07</v>
      </c>
      <c r="F400">
        <v>42.792233000000003</v>
      </c>
      <c r="G400">
        <v>1803100</v>
      </c>
    </row>
    <row r="401" spans="1:7" x14ac:dyDescent="0.45">
      <c r="A401" s="1">
        <v>40574</v>
      </c>
      <c r="B401">
        <v>55.360000999999997</v>
      </c>
      <c r="C401">
        <v>55.799999</v>
      </c>
      <c r="D401">
        <v>55.139999000000003</v>
      </c>
      <c r="E401">
        <v>55.310001</v>
      </c>
      <c r="F401">
        <v>42.978718000000001</v>
      </c>
      <c r="G401">
        <v>959900</v>
      </c>
    </row>
    <row r="402" spans="1:7" x14ac:dyDescent="0.45">
      <c r="A402" s="1">
        <v>40575</v>
      </c>
      <c r="B402">
        <v>55.540000999999997</v>
      </c>
      <c r="C402">
        <v>55.889999000000003</v>
      </c>
      <c r="D402">
        <v>55.459999000000003</v>
      </c>
      <c r="E402">
        <v>55.669998</v>
      </c>
      <c r="F402">
        <v>43.258457</v>
      </c>
      <c r="G402">
        <v>842200</v>
      </c>
    </row>
    <row r="403" spans="1:7" x14ac:dyDescent="0.45">
      <c r="A403" s="1">
        <v>40576</v>
      </c>
      <c r="B403">
        <v>55.700001</v>
      </c>
      <c r="C403">
        <v>56.490001999999997</v>
      </c>
      <c r="D403">
        <v>55.580002</v>
      </c>
      <c r="E403">
        <v>56.25</v>
      </c>
      <c r="F403">
        <v>43.709147999999999</v>
      </c>
      <c r="G403">
        <v>1135300</v>
      </c>
    </row>
    <row r="404" spans="1:7" x14ac:dyDescent="0.45">
      <c r="A404" s="1">
        <v>40577</v>
      </c>
      <c r="B404">
        <v>56.060001</v>
      </c>
      <c r="C404">
        <v>56.18</v>
      </c>
      <c r="D404">
        <v>55.599997999999999</v>
      </c>
      <c r="E404">
        <v>56</v>
      </c>
      <c r="F404">
        <v>43.514888999999997</v>
      </c>
      <c r="G404">
        <v>1150200</v>
      </c>
    </row>
    <row r="405" spans="1:7" x14ac:dyDescent="0.45">
      <c r="A405" s="1">
        <v>40578</v>
      </c>
      <c r="B405">
        <v>55.09</v>
      </c>
      <c r="C405">
        <v>55.59</v>
      </c>
      <c r="D405">
        <v>54.93</v>
      </c>
      <c r="E405">
        <v>55.59</v>
      </c>
      <c r="F405">
        <v>43.196297000000001</v>
      </c>
      <c r="G405">
        <v>1218000</v>
      </c>
    </row>
    <row r="406" spans="1:7" x14ac:dyDescent="0.45">
      <c r="A406" s="1">
        <v>40581</v>
      </c>
      <c r="B406">
        <v>55.75</v>
      </c>
      <c r="C406">
        <v>56.41</v>
      </c>
      <c r="D406">
        <v>55.68</v>
      </c>
      <c r="E406">
        <v>56.290000999999997</v>
      </c>
      <c r="F406">
        <v>43.740237999999998</v>
      </c>
      <c r="G406">
        <v>714800</v>
      </c>
    </row>
    <row r="407" spans="1:7" x14ac:dyDescent="0.45">
      <c r="A407" s="1">
        <v>40582</v>
      </c>
      <c r="B407">
        <v>56.549999</v>
      </c>
      <c r="C407">
        <v>56.810001</v>
      </c>
      <c r="D407">
        <v>56.240001999999997</v>
      </c>
      <c r="E407">
        <v>56.470001000000003</v>
      </c>
      <c r="F407">
        <v>43.880108</v>
      </c>
      <c r="G407">
        <v>2581400</v>
      </c>
    </row>
    <row r="408" spans="1:7" x14ac:dyDescent="0.45">
      <c r="A408" s="1">
        <v>40583</v>
      </c>
      <c r="B408">
        <v>56.130001</v>
      </c>
      <c r="C408">
        <v>56.48</v>
      </c>
      <c r="D408">
        <v>55.779998999999997</v>
      </c>
      <c r="E408">
        <v>56.150002000000001</v>
      </c>
      <c r="F408">
        <v>43.631447000000001</v>
      </c>
      <c r="G408">
        <v>1882000</v>
      </c>
    </row>
    <row r="409" spans="1:7" x14ac:dyDescent="0.45">
      <c r="A409" s="1">
        <v>40584</v>
      </c>
      <c r="B409">
        <v>55.330002</v>
      </c>
      <c r="C409">
        <v>55.860000999999997</v>
      </c>
      <c r="D409">
        <v>55.16</v>
      </c>
      <c r="E409">
        <v>55.759998000000003</v>
      </c>
      <c r="F409">
        <v>43.328403000000002</v>
      </c>
      <c r="G409">
        <v>915300</v>
      </c>
    </row>
    <row r="410" spans="1:7" x14ac:dyDescent="0.45">
      <c r="A410" s="1">
        <v>40585</v>
      </c>
      <c r="B410">
        <v>55.369999</v>
      </c>
      <c r="C410">
        <v>56.27</v>
      </c>
      <c r="D410">
        <v>55.369999</v>
      </c>
      <c r="E410">
        <v>55.990001999999997</v>
      </c>
      <c r="F410">
        <v>43.507114000000001</v>
      </c>
      <c r="G410">
        <v>1747700</v>
      </c>
    </row>
    <row r="411" spans="1:7" x14ac:dyDescent="0.45">
      <c r="A411" s="1">
        <v>40588</v>
      </c>
      <c r="B411">
        <v>54.66</v>
      </c>
      <c r="C411">
        <v>55.049999</v>
      </c>
      <c r="D411">
        <v>54.400002000000001</v>
      </c>
      <c r="E411">
        <v>54.98</v>
      </c>
      <c r="F411">
        <v>42.722290000000001</v>
      </c>
      <c r="G411">
        <v>2161800</v>
      </c>
    </row>
    <row r="412" spans="1:7" x14ac:dyDescent="0.45">
      <c r="A412" s="1">
        <v>40589</v>
      </c>
      <c r="B412">
        <v>55.400002000000001</v>
      </c>
      <c r="C412">
        <v>55.52</v>
      </c>
      <c r="D412">
        <v>54.900002000000001</v>
      </c>
      <c r="E412">
        <v>54.970001000000003</v>
      </c>
      <c r="F412">
        <v>42.714526999999997</v>
      </c>
      <c r="G412">
        <v>888300</v>
      </c>
    </row>
    <row r="413" spans="1:7" x14ac:dyDescent="0.45">
      <c r="A413" s="1">
        <v>40590</v>
      </c>
      <c r="B413">
        <v>55.150002000000001</v>
      </c>
      <c r="C413">
        <v>55.279998999999997</v>
      </c>
      <c r="D413">
        <v>54.700001</v>
      </c>
      <c r="E413">
        <v>54.98</v>
      </c>
      <c r="F413">
        <v>42.722290000000001</v>
      </c>
      <c r="G413">
        <v>2332900</v>
      </c>
    </row>
    <row r="414" spans="1:7" x14ac:dyDescent="0.45">
      <c r="A414" s="1">
        <v>40591</v>
      </c>
      <c r="B414">
        <v>54.68</v>
      </c>
      <c r="C414">
        <v>54.98</v>
      </c>
      <c r="D414">
        <v>54.419998</v>
      </c>
      <c r="E414">
        <v>54.900002000000001</v>
      </c>
      <c r="F414">
        <v>42.660133000000002</v>
      </c>
      <c r="G414">
        <v>1815700</v>
      </c>
    </row>
    <row r="415" spans="1:7" x14ac:dyDescent="0.45">
      <c r="A415" s="1">
        <v>40592</v>
      </c>
      <c r="B415">
        <v>54.610000999999997</v>
      </c>
      <c r="C415">
        <v>54.939999</v>
      </c>
      <c r="D415">
        <v>54.439999</v>
      </c>
      <c r="E415">
        <v>54.900002000000001</v>
      </c>
      <c r="F415">
        <v>42.660133000000002</v>
      </c>
      <c r="G415">
        <v>1689800</v>
      </c>
    </row>
    <row r="416" spans="1:7" x14ac:dyDescent="0.45">
      <c r="A416" s="1">
        <v>40596</v>
      </c>
      <c r="B416">
        <v>54.830002</v>
      </c>
      <c r="C416">
        <v>55.290000999999997</v>
      </c>
      <c r="D416">
        <v>54.419998</v>
      </c>
      <c r="E416">
        <v>54.509998000000003</v>
      </c>
      <c r="F416">
        <v>42.357081999999998</v>
      </c>
      <c r="G416">
        <v>3352400</v>
      </c>
    </row>
    <row r="417" spans="1:7" x14ac:dyDescent="0.45">
      <c r="A417" s="1">
        <v>40597</v>
      </c>
      <c r="B417">
        <v>55.610000999999997</v>
      </c>
      <c r="C417">
        <v>55.709999000000003</v>
      </c>
      <c r="D417">
        <v>55.009998000000003</v>
      </c>
      <c r="E417">
        <v>55.299999</v>
      </c>
      <c r="F417">
        <v>42.970947000000002</v>
      </c>
      <c r="G417">
        <v>2411300</v>
      </c>
    </row>
    <row r="418" spans="1:7" x14ac:dyDescent="0.45">
      <c r="A418" s="1">
        <v>40598</v>
      </c>
      <c r="B418">
        <v>55.299999</v>
      </c>
      <c r="C418">
        <v>55.619999</v>
      </c>
      <c r="D418">
        <v>54.900002000000001</v>
      </c>
      <c r="E418">
        <v>55.169998</v>
      </c>
      <c r="F418">
        <v>42.869926</v>
      </c>
      <c r="G418">
        <v>1944900</v>
      </c>
    </row>
    <row r="419" spans="1:7" x14ac:dyDescent="0.45">
      <c r="A419" s="1">
        <v>40599</v>
      </c>
      <c r="B419">
        <v>54.990001999999997</v>
      </c>
      <c r="C419">
        <v>55.25</v>
      </c>
      <c r="D419">
        <v>54.98</v>
      </c>
      <c r="E419">
        <v>55.200001</v>
      </c>
      <c r="F419">
        <v>42.893250000000002</v>
      </c>
      <c r="G419">
        <v>1444400</v>
      </c>
    </row>
    <row r="420" spans="1:7" x14ac:dyDescent="0.45">
      <c r="A420" s="1">
        <v>40602</v>
      </c>
      <c r="B420">
        <v>55.529998999999997</v>
      </c>
      <c r="C420">
        <v>56.110000999999997</v>
      </c>
      <c r="D420">
        <v>55.380001</v>
      </c>
      <c r="E420">
        <v>56.029998999999997</v>
      </c>
      <c r="F420">
        <v>43.538200000000003</v>
      </c>
      <c r="G420">
        <v>710500</v>
      </c>
    </row>
    <row r="421" spans="1:7" x14ac:dyDescent="0.45">
      <c r="A421" s="1">
        <v>40603</v>
      </c>
      <c r="B421">
        <v>56.810001</v>
      </c>
      <c r="C421">
        <v>57</v>
      </c>
      <c r="D421">
        <v>56.130001</v>
      </c>
      <c r="E421">
        <v>56.23</v>
      </c>
      <c r="F421">
        <v>43.693610999999997</v>
      </c>
      <c r="G421">
        <v>1265900</v>
      </c>
    </row>
    <row r="422" spans="1:7" x14ac:dyDescent="0.45">
      <c r="A422" s="1">
        <v>40604</v>
      </c>
      <c r="B422">
        <v>56.189999</v>
      </c>
      <c r="C422">
        <v>56.459999000000003</v>
      </c>
      <c r="D422">
        <v>55.650002000000001</v>
      </c>
      <c r="E422">
        <v>56.099997999999999</v>
      </c>
      <c r="F422">
        <v>43.592590000000001</v>
      </c>
      <c r="G422">
        <v>1303600</v>
      </c>
    </row>
    <row r="423" spans="1:7" x14ac:dyDescent="0.45">
      <c r="A423" s="1">
        <v>40605</v>
      </c>
      <c r="B423">
        <v>57.389999000000003</v>
      </c>
      <c r="C423">
        <v>57.880001</v>
      </c>
      <c r="D423">
        <v>56.970001000000003</v>
      </c>
      <c r="E423">
        <v>57.82</v>
      </c>
      <c r="F423">
        <v>44.929119</v>
      </c>
      <c r="G423">
        <v>3545900</v>
      </c>
    </row>
    <row r="424" spans="1:7" x14ac:dyDescent="0.45">
      <c r="A424" s="1">
        <v>40606</v>
      </c>
      <c r="B424">
        <v>58.52</v>
      </c>
      <c r="C424">
        <v>58.650002000000001</v>
      </c>
      <c r="D424">
        <v>57.720001000000003</v>
      </c>
      <c r="E424">
        <v>58.040000999999997</v>
      </c>
      <c r="F424">
        <v>45.100067000000003</v>
      </c>
      <c r="G424">
        <v>1936100</v>
      </c>
    </row>
    <row r="425" spans="1:7" x14ac:dyDescent="0.45">
      <c r="A425" s="1">
        <v>40609</v>
      </c>
      <c r="B425">
        <v>57.84</v>
      </c>
      <c r="C425">
        <v>57.990001999999997</v>
      </c>
      <c r="D425">
        <v>56.889999000000003</v>
      </c>
      <c r="E425">
        <v>57.060001</v>
      </c>
      <c r="F425">
        <v>44.338562000000003</v>
      </c>
      <c r="G425">
        <v>1339600</v>
      </c>
    </row>
    <row r="426" spans="1:7" x14ac:dyDescent="0.45">
      <c r="A426" s="1">
        <v>40610</v>
      </c>
      <c r="B426">
        <v>56.790000999999997</v>
      </c>
      <c r="C426">
        <v>57.400002000000001</v>
      </c>
      <c r="D426">
        <v>56.630001</v>
      </c>
      <c r="E426">
        <v>57.299999</v>
      </c>
      <c r="F426">
        <v>44.525055000000002</v>
      </c>
      <c r="G426">
        <v>980200</v>
      </c>
    </row>
    <row r="427" spans="1:7" x14ac:dyDescent="0.45">
      <c r="A427" s="1">
        <v>40611</v>
      </c>
      <c r="B427">
        <v>57.880001</v>
      </c>
      <c r="C427">
        <v>58.09</v>
      </c>
      <c r="D427">
        <v>57.52</v>
      </c>
      <c r="E427">
        <v>57.630001</v>
      </c>
      <c r="F427">
        <v>44.781483000000001</v>
      </c>
      <c r="G427">
        <v>827100</v>
      </c>
    </row>
    <row r="428" spans="1:7" x14ac:dyDescent="0.45">
      <c r="A428" s="1">
        <v>40612</v>
      </c>
      <c r="B428">
        <v>57.07</v>
      </c>
      <c r="C428">
        <v>57.380001</v>
      </c>
      <c r="D428">
        <v>56.689999</v>
      </c>
      <c r="E428">
        <v>57</v>
      </c>
      <c r="F428">
        <v>44.291943000000003</v>
      </c>
      <c r="G428">
        <v>1488000</v>
      </c>
    </row>
    <row r="429" spans="1:7" x14ac:dyDescent="0.45">
      <c r="A429" s="1">
        <v>40613</v>
      </c>
      <c r="B429">
        <v>56.5</v>
      </c>
      <c r="C429">
        <v>57.25</v>
      </c>
      <c r="D429">
        <v>56.5</v>
      </c>
      <c r="E429">
        <v>57.049999</v>
      </c>
      <c r="F429">
        <v>44.330795000000002</v>
      </c>
      <c r="G429">
        <v>863900</v>
      </c>
    </row>
    <row r="430" spans="1:7" x14ac:dyDescent="0.45">
      <c r="A430" s="1">
        <v>40616</v>
      </c>
      <c r="B430">
        <v>56.400002000000001</v>
      </c>
      <c r="C430">
        <v>56.700001</v>
      </c>
      <c r="D430">
        <v>56.299999</v>
      </c>
      <c r="E430">
        <v>56.650002000000001</v>
      </c>
      <c r="F430">
        <v>44.019970000000001</v>
      </c>
      <c r="G430">
        <v>792800</v>
      </c>
    </row>
    <row r="431" spans="1:7" x14ac:dyDescent="0.45">
      <c r="A431" s="1">
        <v>40617</v>
      </c>
      <c r="B431">
        <v>54.299999</v>
      </c>
      <c r="C431">
        <v>55.490001999999997</v>
      </c>
      <c r="D431">
        <v>54.139999000000003</v>
      </c>
      <c r="E431">
        <v>55.150002000000001</v>
      </c>
      <c r="F431">
        <v>42.854396999999999</v>
      </c>
      <c r="G431">
        <v>2377100</v>
      </c>
    </row>
    <row r="432" spans="1:7" x14ac:dyDescent="0.45">
      <c r="A432" s="1">
        <v>40618</v>
      </c>
      <c r="B432">
        <v>55.09</v>
      </c>
      <c r="C432">
        <v>55.189999</v>
      </c>
      <c r="D432">
        <v>53.59</v>
      </c>
      <c r="E432">
        <v>53.900002000000001</v>
      </c>
      <c r="F432">
        <v>41.883087000000003</v>
      </c>
      <c r="G432">
        <v>2250200</v>
      </c>
    </row>
    <row r="433" spans="1:7" x14ac:dyDescent="0.45">
      <c r="A433" s="1">
        <v>40619</v>
      </c>
      <c r="B433">
        <v>55.32</v>
      </c>
      <c r="C433">
        <v>55.529998999999997</v>
      </c>
      <c r="D433">
        <v>54.740001999999997</v>
      </c>
      <c r="E433">
        <v>54.869999</v>
      </c>
      <c r="F433">
        <v>42.636814000000001</v>
      </c>
      <c r="G433">
        <v>1199700</v>
      </c>
    </row>
    <row r="434" spans="1:7" x14ac:dyDescent="0.45">
      <c r="A434" s="1">
        <v>40620</v>
      </c>
      <c r="B434">
        <v>56.060001</v>
      </c>
      <c r="C434">
        <v>56.060001</v>
      </c>
      <c r="D434">
        <v>54.900002000000001</v>
      </c>
      <c r="E434">
        <v>55.040000999999997</v>
      </c>
      <c r="F434">
        <v>42.768912999999998</v>
      </c>
      <c r="G434">
        <v>1451000</v>
      </c>
    </row>
    <row r="435" spans="1:7" x14ac:dyDescent="0.45">
      <c r="A435" s="1">
        <v>40623</v>
      </c>
      <c r="B435">
        <v>56.48</v>
      </c>
      <c r="C435">
        <v>56.549999</v>
      </c>
      <c r="D435">
        <v>55.93</v>
      </c>
      <c r="E435">
        <v>56.48</v>
      </c>
      <c r="F435">
        <v>43.887878000000001</v>
      </c>
      <c r="G435">
        <v>730300</v>
      </c>
    </row>
    <row r="436" spans="1:7" x14ac:dyDescent="0.45">
      <c r="A436" s="1">
        <v>40624</v>
      </c>
      <c r="B436">
        <v>56.299999</v>
      </c>
      <c r="C436">
        <v>56.380001</v>
      </c>
      <c r="D436">
        <v>55.799999</v>
      </c>
      <c r="E436">
        <v>56</v>
      </c>
      <c r="F436">
        <v>43.514888999999997</v>
      </c>
      <c r="G436">
        <v>639900</v>
      </c>
    </row>
    <row r="437" spans="1:7" x14ac:dyDescent="0.45">
      <c r="A437" s="1">
        <v>40625</v>
      </c>
      <c r="B437">
        <v>55.84</v>
      </c>
      <c r="C437">
        <v>56.75</v>
      </c>
      <c r="D437">
        <v>55.509998000000003</v>
      </c>
      <c r="E437">
        <v>56.59</v>
      </c>
      <c r="F437">
        <v>43.973351000000001</v>
      </c>
      <c r="G437">
        <v>802600</v>
      </c>
    </row>
    <row r="438" spans="1:7" x14ac:dyDescent="0.45">
      <c r="A438" s="1">
        <v>40626</v>
      </c>
      <c r="B438">
        <v>56.959999000000003</v>
      </c>
      <c r="C438">
        <v>57.720001000000003</v>
      </c>
      <c r="D438">
        <v>56.799999</v>
      </c>
      <c r="E438">
        <v>57.43</v>
      </c>
      <c r="F438">
        <v>44.626072000000001</v>
      </c>
      <c r="G438">
        <v>785100</v>
      </c>
    </row>
    <row r="439" spans="1:7" x14ac:dyDescent="0.45">
      <c r="A439" s="1">
        <v>40627</v>
      </c>
      <c r="B439">
        <v>57.709999000000003</v>
      </c>
      <c r="C439">
        <v>57.91</v>
      </c>
      <c r="D439">
        <v>57.389999000000003</v>
      </c>
      <c r="E439">
        <v>57.470001000000003</v>
      </c>
      <c r="F439">
        <v>44.657158000000003</v>
      </c>
      <c r="G439">
        <v>890400</v>
      </c>
    </row>
    <row r="440" spans="1:7" x14ac:dyDescent="0.45">
      <c r="A440" s="1">
        <v>40630</v>
      </c>
      <c r="B440">
        <v>57.299999</v>
      </c>
      <c r="C440">
        <v>57.299999</v>
      </c>
      <c r="D440">
        <v>56.560001</v>
      </c>
      <c r="E440">
        <v>56.810001</v>
      </c>
      <c r="F440">
        <v>44.144298999999997</v>
      </c>
      <c r="G440">
        <v>665100</v>
      </c>
    </row>
    <row r="441" spans="1:7" x14ac:dyDescent="0.45">
      <c r="A441" s="1">
        <v>40631</v>
      </c>
      <c r="B441">
        <v>56.759998000000003</v>
      </c>
      <c r="C441">
        <v>57.209999000000003</v>
      </c>
      <c r="D441">
        <v>56.41</v>
      </c>
      <c r="E441">
        <v>56.900002000000001</v>
      </c>
      <c r="F441">
        <v>44.214233</v>
      </c>
      <c r="G441">
        <v>2438600</v>
      </c>
    </row>
    <row r="442" spans="1:7" x14ac:dyDescent="0.45">
      <c r="A442" s="1">
        <v>40632</v>
      </c>
      <c r="B442">
        <v>57.220001000000003</v>
      </c>
      <c r="C442">
        <v>57.619999</v>
      </c>
      <c r="D442">
        <v>57.09</v>
      </c>
      <c r="E442">
        <v>57.57</v>
      </c>
      <c r="F442">
        <v>44.734856000000001</v>
      </c>
      <c r="G442">
        <v>975300</v>
      </c>
    </row>
    <row r="443" spans="1:7" x14ac:dyDescent="0.45">
      <c r="A443" s="1">
        <v>40633</v>
      </c>
      <c r="B443">
        <v>57.189999</v>
      </c>
      <c r="C443">
        <v>57.34</v>
      </c>
      <c r="D443">
        <v>56.93</v>
      </c>
      <c r="E443">
        <v>57.169998</v>
      </c>
      <c r="F443">
        <v>44.424038000000003</v>
      </c>
      <c r="G443">
        <v>1021300</v>
      </c>
    </row>
    <row r="444" spans="1:7" x14ac:dyDescent="0.45">
      <c r="A444" s="1">
        <v>40634</v>
      </c>
      <c r="B444">
        <v>58.060001</v>
      </c>
      <c r="C444">
        <v>59.029998999999997</v>
      </c>
      <c r="D444">
        <v>57.939999</v>
      </c>
      <c r="E444">
        <v>58.860000999999997</v>
      </c>
      <c r="F444">
        <v>45.737259000000002</v>
      </c>
      <c r="G444">
        <v>1549800</v>
      </c>
    </row>
    <row r="445" spans="1:7" x14ac:dyDescent="0.45">
      <c r="A445" s="1">
        <v>40637</v>
      </c>
      <c r="B445">
        <v>59.869999</v>
      </c>
      <c r="C445">
        <v>59.880001</v>
      </c>
      <c r="D445">
        <v>59.419998</v>
      </c>
      <c r="E445">
        <v>59.549999</v>
      </c>
      <c r="F445">
        <v>46.273421999999997</v>
      </c>
      <c r="G445">
        <v>682600</v>
      </c>
    </row>
    <row r="446" spans="1:7" x14ac:dyDescent="0.45">
      <c r="A446" s="1">
        <v>40638</v>
      </c>
      <c r="B446">
        <v>59.150002000000001</v>
      </c>
      <c r="C446">
        <v>59.91</v>
      </c>
      <c r="D446">
        <v>59.080002</v>
      </c>
      <c r="E446">
        <v>59.84</v>
      </c>
      <c r="F446">
        <v>46.498772000000002</v>
      </c>
      <c r="G446">
        <v>658400</v>
      </c>
    </row>
    <row r="447" spans="1:7" x14ac:dyDescent="0.45">
      <c r="A447" s="1">
        <v>40639</v>
      </c>
      <c r="B447">
        <v>59.509998000000003</v>
      </c>
      <c r="C447">
        <v>60.209999000000003</v>
      </c>
      <c r="D447">
        <v>59.5</v>
      </c>
      <c r="E447">
        <v>59.869999</v>
      </c>
      <c r="F447">
        <v>46.522075999999998</v>
      </c>
      <c r="G447">
        <v>476800</v>
      </c>
    </row>
    <row r="448" spans="1:7" x14ac:dyDescent="0.45">
      <c r="A448" s="1">
        <v>40640</v>
      </c>
      <c r="B448">
        <v>58.790000999999997</v>
      </c>
      <c r="C448">
        <v>59.389999000000003</v>
      </c>
      <c r="D448">
        <v>58.75</v>
      </c>
      <c r="E448">
        <v>59.25</v>
      </c>
      <c r="F448">
        <v>46.040309999999998</v>
      </c>
      <c r="G448">
        <v>1213500</v>
      </c>
    </row>
    <row r="449" spans="1:7" x14ac:dyDescent="0.45">
      <c r="A449" s="1">
        <v>40641</v>
      </c>
      <c r="B449">
        <v>59.509998000000003</v>
      </c>
      <c r="C449">
        <v>59.52</v>
      </c>
      <c r="D449">
        <v>58.860000999999997</v>
      </c>
      <c r="E449">
        <v>59.029998999999997</v>
      </c>
      <c r="F449">
        <v>45.869346999999998</v>
      </c>
      <c r="G449">
        <v>677700</v>
      </c>
    </row>
    <row r="450" spans="1:7" x14ac:dyDescent="0.45">
      <c r="A450" s="1">
        <v>40644</v>
      </c>
      <c r="B450">
        <v>59.130001</v>
      </c>
      <c r="C450">
        <v>59.68</v>
      </c>
      <c r="D450">
        <v>59.09</v>
      </c>
      <c r="E450">
        <v>59.419998</v>
      </c>
      <c r="F450">
        <v>46.172404999999998</v>
      </c>
      <c r="G450">
        <v>547800</v>
      </c>
    </row>
    <row r="451" spans="1:7" x14ac:dyDescent="0.45">
      <c r="A451" s="1">
        <v>40645</v>
      </c>
      <c r="B451">
        <v>59.700001</v>
      </c>
      <c r="C451">
        <v>59.73</v>
      </c>
      <c r="D451">
        <v>58.950001</v>
      </c>
      <c r="E451">
        <v>59.43</v>
      </c>
      <c r="F451">
        <v>46.18018</v>
      </c>
      <c r="G451">
        <v>826500</v>
      </c>
    </row>
    <row r="452" spans="1:7" x14ac:dyDescent="0.45">
      <c r="A452" s="1">
        <v>40646</v>
      </c>
      <c r="B452">
        <v>60.119999</v>
      </c>
      <c r="C452">
        <v>60.52</v>
      </c>
      <c r="D452">
        <v>59.950001</v>
      </c>
      <c r="E452">
        <v>60.18</v>
      </c>
      <c r="F452">
        <v>46.762965999999999</v>
      </c>
      <c r="G452">
        <v>742400</v>
      </c>
    </row>
    <row r="453" spans="1:7" x14ac:dyDescent="0.45">
      <c r="A453" s="1">
        <v>40647</v>
      </c>
      <c r="B453">
        <v>59.77</v>
      </c>
      <c r="C453">
        <v>60.630001</v>
      </c>
      <c r="D453">
        <v>59.700001</v>
      </c>
      <c r="E453">
        <v>60.610000999999997</v>
      </c>
      <c r="F453">
        <v>47.097092000000004</v>
      </c>
      <c r="G453">
        <v>1583600</v>
      </c>
    </row>
    <row r="454" spans="1:7" x14ac:dyDescent="0.45">
      <c r="A454" s="1">
        <v>40648</v>
      </c>
      <c r="B454">
        <v>60.669998</v>
      </c>
      <c r="C454">
        <v>61.599997999999999</v>
      </c>
      <c r="D454">
        <v>60.549999</v>
      </c>
      <c r="E454">
        <v>61.540000999999997</v>
      </c>
      <c r="F454">
        <v>47.819752000000001</v>
      </c>
      <c r="G454">
        <v>1198600</v>
      </c>
    </row>
    <row r="455" spans="1:7" x14ac:dyDescent="0.45">
      <c r="A455" s="1">
        <v>40651</v>
      </c>
      <c r="B455">
        <v>59.41</v>
      </c>
      <c r="C455">
        <v>60.599997999999999</v>
      </c>
      <c r="D455">
        <v>59.279998999999997</v>
      </c>
      <c r="E455">
        <v>60.490001999999997</v>
      </c>
      <c r="F455">
        <v>47.003852999999999</v>
      </c>
      <c r="G455">
        <v>3564800</v>
      </c>
    </row>
    <row r="456" spans="1:7" x14ac:dyDescent="0.45">
      <c r="A456" s="1">
        <v>40652</v>
      </c>
      <c r="B456">
        <v>61.610000999999997</v>
      </c>
      <c r="C456">
        <v>62.490001999999997</v>
      </c>
      <c r="D456">
        <v>61.610000999999997</v>
      </c>
      <c r="E456">
        <v>62.330002</v>
      </c>
      <c r="F456">
        <v>48.433632000000003</v>
      </c>
      <c r="G456">
        <v>2265600</v>
      </c>
    </row>
    <row r="457" spans="1:7" x14ac:dyDescent="0.45">
      <c r="A457" s="1">
        <v>40653</v>
      </c>
      <c r="B457">
        <v>62.73</v>
      </c>
      <c r="C457">
        <v>62.950001</v>
      </c>
      <c r="D457">
        <v>61.580002</v>
      </c>
      <c r="E457">
        <v>61.779998999999997</v>
      </c>
      <c r="F457">
        <v>48.006241000000003</v>
      </c>
      <c r="G457">
        <v>1444500</v>
      </c>
    </row>
    <row r="458" spans="1:7" x14ac:dyDescent="0.45">
      <c r="A458" s="1">
        <v>40654</v>
      </c>
      <c r="B458">
        <v>61.259998000000003</v>
      </c>
      <c r="C458">
        <v>61.529998999999997</v>
      </c>
      <c r="D458">
        <v>60.939999</v>
      </c>
      <c r="E458">
        <v>61.439999</v>
      </c>
      <c r="F458">
        <v>48.654010999999997</v>
      </c>
      <c r="G458">
        <v>622400</v>
      </c>
    </row>
    <row r="459" spans="1:7" x14ac:dyDescent="0.45">
      <c r="A459" s="1">
        <v>40658</v>
      </c>
      <c r="B459">
        <v>61.299999</v>
      </c>
      <c r="C459">
        <v>61.799999</v>
      </c>
      <c r="D459">
        <v>61.25</v>
      </c>
      <c r="E459">
        <v>61.369999</v>
      </c>
      <c r="F459">
        <v>48.598579000000001</v>
      </c>
      <c r="G459">
        <v>638700</v>
      </c>
    </row>
    <row r="460" spans="1:7" x14ac:dyDescent="0.45">
      <c r="A460" s="1">
        <v>40659</v>
      </c>
      <c r="B460">
        <v>62.34</v>
      </c>
      <c r="C460">
        <v>63</v>
      </c>
      <c r="D460">
        <v>61.990001999999997</v>
      </c>
      <c r="E460">
        <v>62.57</v>
      </c>
      <c r="F460">
        <v>49.548855000000003</v>
      </c>
      <c r="G460">
        <v>1100000</v>
      </c>
    </row>
    <row r="461" spans="1:7" x14ac:dyDescent="0.45">
      <c r="A461" s="1">
        <v>40660</v>
      </c>
      <c r="B461">
        <v>63.130001</v>
      </c>
      <c r="C461">
        <v>63.630001</v>
      </c>
      <c r="D461">
        <v>62.580002</v>
      </c>
      <c r="E461">
        <v>63.450001</v>
      </c>
      <c r="F461">
        <v>50.245730999999999</v>
      </c>
      <c r="G461">
        <v>819700</v>
      </c>
    </row>
    <row r="462" spans="1:7" x14ac:dyDescent="0.45">
      <c r="A462" s="1">
        <v>40661</v>
      </c>
      <c r="B462">
        <v>63.23</v>
      </c>
      <c r="C462">
        <v>63.790000999999997</v>
      </c>
      <c r="D462">
        <v>63.220001000000003</v>
      </c>
      <c r="E462">
        <v>63.759998000000003</v>
      </c>
      <c r="F462">
        <v>50.491211</v>
      </c>
      <c r="G462">
        <v>1310500</v>
      </c>
    </row>
    <row r="463" spans="1:7" x14ac:dyDescent="0.45">
      <c r="A463" s="1">
        <v>40662</v>
      </c>
      <c r="B463">
        <v>63.509998000000003</v>
      </c>
      <c r="C463">
        <v>64.050003000000004</v>
      </c>
      <c r="D463">
        <v>63.490001999999997</v>
      </c>
      <c r="E463">
        <v>63.970001000000003</v>
      </c>
      <c r="F463">
        <v>50.657513000000002</v>
      </c>
      <c r="G463">
        <v>785000</v>
      </c>
    </row>
    <row r="464" spans="1:7" x14ac:dyDescent="0.45">
      <c r="A464" s="1">
        <v>40665</v>
      </c>
      <c r="B464">
        <v>64.099997999999999</v>
      </c>
      <c r="C464">
        <v>64.529999000000004</v>
      </c>
      <c r="D464">
        <v>63.799999</v>
      </c>
      <c r="E464">
        <v>63.93</v>
      </c>
      <c r="F464">
        <v>50.625838999999999</v>
      </c>
      <c r="G464">
        <v>1022400</v>
      </c>
    </row>
    <row r="465" spans="1:7" x14ac:dyDescent="0.45">
      <c r="A465" s="1">
        <v>40666</v>
      </c>
      <c r="B465">
        <v>63.299999</v>
      </c>
      <c r="C465">
        <v>63.950001</v>
      </c>
      <c r="D465">
        <v>63.110000999999997</v>
      </c>
      <c r="E465">
        <v>63.389999000000003</v>
      </c>
      <c r="F465">
        <v>50.198208000000001</v>
      </c>
      <c r="G465">
        <v>868000</v>
      </c>
    </row>
    <row r="466" spans="1:7" x14ac:dyDescent="0.45">
      <c r="A466" s="1">
        <v>40667</v>
      </c>
      <c r="B466">
        <v>62.59</v>
      </c>
      <c r="C466">
        <v>62.759998000000003</v>
      </c>
      <c r="D466">
        <v>60.59</v>
      </c>
      <c r="E466">
        <v>60.98</v>
      </c>
      <c r="F466">
        <v>48.289741999999997</v>
      </c>
      <c r="G466">
        <v>2795700</v>
      </c>
    </row>
    <row r="467" spans="1:7" x14ac:dyDescent="0.45">
      <c r="A467" s="1">
        <v>40668</v>
      </c>
      <c r="B467">
        <v>59.639999000000003</v>
      </c>
      <c r="C467">
        <v>60.09</v>
      </c>
      <c r="D467">
        <v>59.150002000000001</v>
      </c>
      <c r="E467">
        <v>59.669998</v>
      </c>
      <c r="F467">
        <v>47.252361000000001</v>
      </c>
      <c r="G467">
        <v>2747700</v>
      </c>
    </row>
    <row r="468" spans="1:7" x14ac:dyDescent="0.45">
      <c r="A468" s="1">
        <v>40669</v>
      </c>
      <c r="B468">
        <v>59.830002</v>
      </c>
      <c r="C468">
        <v>60.080002</v>
      </c>
      <c r="D468">
        <v>58.919998</v>
      </c>
      <c r="E468">
        <v>59.349997999999999</v>
      </c>
      <c r="F468">
        <v>46.998958999999999</v>
      </c>
      <c r="G468">
        <v>2206900</v>
      </c>
    </row>
    <row r="469" spans="1:7" x14ac:dyDescent="0.45">
      <c r="A469" s="1">
        <v>40672</v>
      </c>
      <c r="B469">
        <v>58.919998</v>
      </c>
      <c r="C469">
        <v>59.400002000000001</v>
      </c>
      <c r="D469">
        <v>58.639999000000003</v>
      </c>
      <c r="E469">
        <v>59.200001</v>
      </c>
      <c r="F469">
        <v>46.880172999999999</v>
      </c>
      <c r="G469">
        <v>1178200</v>
      </c>
    </row>
    <row r="470" spans="1:7" x14ac:dyDescent="0.45">
      <c r="A470" s="1">
        <v>40673</v>
      </c>
      <c r="B470">
        <v>59.23</v>
      </c>
      <c r="C470">
        <v>59.639999000000003</v>
      </c>
      <c r="D470">
        <v>59.119999</v>
      </c>
      <c r="E470">
        <v>59.25</v>
      </c>
      <c r="F470">
        <v>46.919764999999998</v>
      </c>
      <c r="G470">
        <v>659000</v>
      </c>
    </row>
    <row r="471" spans="1:7" x14ac:dyDescent="0.45">
      <c r="A471" s="1">
        <v>40674</v>
      </c>
      <c r="B471">
        <v>58.639999000000003</v>
      </c>
      <c r="C471">
        <v>58.689999</v>
      </c>
      <c r="D471">
        <v>57.900002000000001</v>
      </c>
      <c r="E471">
        <v>58.25</v>
      </c>
      <c r="F471">
        <v>46.127876000000001</v>
      </c>
      <c r="G471">
        <v>1628900</v>
      </c>
    </row>
    <row r="472" spans="1:7" x14ac:dyDescent="0.45">
      <c r="A472" s="1">
        <v>40675</v>
      </c>
      <c r="B472">
        <v>58.68</v>
      </c>
      <c r="C472">
        <v>59.48</v>
      </c>
      <c r="D472">
        <v>58.27</v>
      </c>
      <c r="E472">
        <v>59.169998</v>
      </c>
      <c r="F472">
        <v>46.856406999999997</v>
      </c>
      <c r="G472">
        <v>818000</v>
      </c>
    </row>
    <row r="473" spans="1:7" x14ac:dyDescent="0.45">
      <c r="A473" s="1">
        <v>40676</v>
      </c>
      <c r="B473">
        <v>59.630001</v>
      </c>
      <c r="C473">
        <v>60.130001</v>
      </c>
      <c r="D473">
        <v>58.950001</v>
      </c>
      <c r="E473">
        <v>59.549999</v>
      </c>
      <c r="F473">
        <v>47.157336999999998</v>
      </c>
      <c r="G473">
        <v>1592300</v>
      </c>
    </row>
    <row r="474" spans="1:7" x14ac:dyDescent="0.45">
      <c r="A474" s="1">
        <v>40679</v>
      </c>
      <c r="B474">
        <v>59.630001</v>
      </c>
      <c r="C474">
        <v>60.259998000000003</v>
      </c>
      <c r="D474">
        <v>59.439999</v>
      </c>
      <c r="E474">
        <v>59.509998000000003</v>
      </c>
      <c r="F474">
        <v>47.125664</v>
      </c>
      <c r="G474">
        <v>1190500</v>
      </c>
    </row>
    <row r="475" spans="1:7" x14ac:dyDescent="0.45">
      <c r="A475" s="1">
        <v>40680</v>
      </c>
      <c r="B475">
        <v>59.439999</v>
      </c>
      <c r="C475">
        <v>60.290000999999997</v>
      </c>
      <c r="D475">
        <v>59.369999</v>
      </c>
      <c r="E475">
        <v>60</v>
      </c>
      <c r="F475">
        <v>47.513691000000001</v>
      </c>
      <c r="G475">
        <v>1132300</v>
      </c>
    </row>
    <row r="476" spans="1:7" x14ac:dyDescent="0.45">
      <c r="A476" s="1">
        <v>40681</v>
      </c>
      <c r="B476">
        <v>60.009998000000003</v>
      </c>
      <c r="C476">
        <v>60.209999000000003</v>
      </c>
      <c r="D476">
        <v>59.799999</v>
      </c>
      <c r="E476">
        <v>59.990001999999997</v>
      </c>
      <c r="F476">
        <v>47.505772</v>
      </c>
      <c r="G476">
        <v>844800</v>
      </c>
    </row>
    <row r="477" spans="1:7" x14ac:dyDescent="0.45">
      <c r="A477" s="1">
        <v>40682</v>
      </c>
      <c r="B477">
        <v>60.209999000000003</v>
      </c>
      <c r="C477">
        <v>60.450001</v>
      </c>
      <c r="D477">
        <v>59.82</v>
      </c>
      <c r="E477">
        <v>60.41</v>
      </c>
      <c r="F477">
        <v>47.838363999999999</v>
      </c>
      <c r="G477">
        <v>989200</v>
      </c>
    </row>
    <row r="478" spans="1:7" x14ac:dyDescent="0.45">
      <c r="A478" s="1">
        <v>40683</v>
      </c>
      <c r="B478">
        <v>60.82</v>
      </c>
      <c r="C478">
        <v>60.84</v>
      </c>
      <c r="D478">
        <v>60.02</v>
      </c>
      <c r="E478">
        <v>60.439999</v>
      </c>
      <c r="F478">
        <v>47.862118000000002</v>
      </c>
      <c r="G478">
        <v>760300</v>
      </c>
    </row>
    <row r="479" spans="1:7" x14ac:dyDescent="0.45">
      <c r="A479" s="1">
        <v>40686</v>
      </c>
      <c r="B479">
        <v>58.57</v>
      </c>
      <c r="C479">
        <v>58.919998</v>
      </c>
      <c r="D479">
        <v>58.220001000000003</v>
      </c>
      <c r="E479">
        <v>58.439999</v>
      </c>
      <c r="F479">
        <v>46.278323999999998</v>
      </c>
      <c r="G479">
        <v>829500</v>
      </c>
    </row>
    <row r="480" spans="1:7" x14ac:dyDescent="0.45">
      <c r="A480" s="1">
        <v>40687</v>
      </c>
      <c r="B480">
        <v>58.720001000000003</v>
      </c>
      <c r="C480">
        <v>58.82</v>
      </c>
      <c r="D480">
        <v>58.419998</v>
      </c>
      <c r="E480">
        <v>58.610000999999997</v>
      </c>
      <c r="F480">
        <v>46.412951999999997</v>
      </c>
      <c r="G480">
        <v>582100</v>
      </c>
    </row>
    <row r="481" spans="1:7" x14ac:dyDescent="0.45">
      <c r="A481" s="1">
        <v>40688</v>
      </c>
      <c r="B481">
        <v>58.029998999999997</v>
      </c>
      <c r="C481">
        <v>58.830002</v>
      </c>
      <c r="D481">
        <v>57.98</v>
      </c>
      <c r="E481">
        <v>58.48</v>
      </c>
      <c r="F481">
        <v>46.310009000000001</v>
      </c>
      <c r="G481">
        <v>582300</v>
      </c>
    </row>
    <row r="482" spans="1:7" x14ac:dyDescent="0.45">
      <c r="A482" s="1">
        <v>40689</v>
      </c>
      <c r="B482">
        <v>58.59</v>
      </c>
      <c r="C482">
        <v>58.77</v>
      </c>
      <c r="D482">
        <v>57.650002000000001</v>
      </c>
      <c r="E482">
        <v>58.310001</v>
      </c>
      <c r="F482">
        <v>46.175384999999999</v>
      </c>
      <c r="G482">
        <v>671900</v>
      </c>
    </row>
    <row r="483" spans="1:7" x14ac:dyDescent="0.45">
      <c r="A483" s="1">
        <v>40690</v>
      </c>
      <c r="B483">
        <v>58.540000999999997</v>
      </c>
      <c r="C483">
        <v>58.860000999999997</v>
      </c>
      <c r="D483">
        <v>58.360000999999997</v>
      </c>
      <c r="E483">
        <v>58.689999</v>
      </c>
      <c r="F483">
        <v>46.476303000000001</v>
      </c>
      <c r="G483">
        <v>533600</v>
      </c>
    </row>
    <row r="484" spans="1:7" x14ac:dyDescent="0.45">
      <c r="A484" s="1">
        <v>40694</v>
      </c>
      <c r="B484">
        <v>60.240001999999997</v>
      </c>
      <c r="C484">
        <v>60.5</v>
      </c>
      <c r="D484">
        <v>59.709999000000003</v>
      </c>
      <c r="E484">
        <v>60.48</v>
      </c>
      <c r="F484">
        <v>47.893791</v>
      </c>
      <c r="G484">
        <v>1002400</v>
      </c>
    </row>
    <row r="485" spans="1:7" x14ac:dyDescent="0.45">
      <c r="A485" s="1">
        <v>40695</v>
      </c>
      <c r="B485">
        <v>60.91</v>
      </c>
      <c r="C485">
        <v>60.959999000000003</v>
      </c>
      <c r="D485">
        <v>59.400002000000001</v>
      </c>
      <c r="E485">
        <v>59.560001</v>
      </c>
      <c r="F485">
        <v>47.165253</v>
      </c>
      <c r="G485">
        <v>1038800</v>
      </c>
    </row>
    <row r="486" spans="1:7" x14ac:dyDescent="0.45">
      <c r="A486" s="1">
        <v>40696</v>
      </c>
      <c r="B486">
        <v>59.700001</v>
      </c>
      <c r="C486">
        <v>59.900002000000001</v>
      </c>
      <c r="D486">
        <v>58.68</v>
      </c>
      <c r="E486">
        <v>59.119999</v>
      </c>
      <c r="F486">
        <v>46.816814000000001</v>
      </c>
      <c r="G486">
        <v>1013800</v>
      </c>
    </row>
    <row r="487" spans="1:7" x14ac:dyDescent="0.45">
      <c r="A487" s="1">
        <v>40697</v>
      </c>
      <c r="B487">
        <v>58.700001</v>
      </c>
      <c r="C487">
        <v>59.689999</v>
      </c>
      <c r="D487">
        <v>58.630001</v>
      </c>
      <c r="E487">
        <v>59.470001000000003</v>
      </c>
      <c r="F487">
        <v>47.093978999999997</v>
      </c>
      <c r="G487">
        <v>859100</v>
      </c>
    </row>
    <row r="488" spans="1:7" x14ac:dyDescent="0.45">
      <c r="A488" s="1">
        <v>40700</v>
      </c>
      <c r="B488">
        <v>58.91</v>
      </c>
      <c r="C488">
        <v>59.169998</v>
      </c>
      <c r="D488">
        <v>58.639999000000003</v>
      </c>
      <c r="E488">
        <v>58.759998000000003</v>
      </c>
      <c r="F488">
        <v>46.531734</v>
      </c>
      <c r="G488">
        <v>653700</v>
      </c>
    </row>
    <row r="489" spans="1:7" x14ac:dyDescent="0.45">
      <c r="A489" s="1">
        <v>40701</v>
      </c>
      <c r="B489">
        <v>59.419998</v>
      </c>
      <c r="C489">
        <v>59.439999</v>
      </c>
      <c r="D489">
        <v>58.799999</v>
      </c>
      <c r="E489">
        <v>58.830002</v>
      </c>
      <c r="F489">
        <v>46.587173</v>
      </c>
      <c r="G489">
        <v>384300</v>
      </c>
    </row>
    <row r="490" spans="1:7" x14ac:dyDescent="0.45">
      <c r="A490" s="1">
        <v>40702</v>
      </c>
      <c r="B490">
        <v>58.91</v>
      </c>
      <c r="C490">
        <v>59.049999</v>
      </c>
      <c r="D490">
        <v>58.310001</v>
      </c>
      <c r="E490">
        <v>58.599997999999999</v>
      </c>
      <c r="F490">
        <v>46.405037</v>
      </c>
      <c r="G490">
        <v>763900</v>
      </c>
    </row>
    <row r="491" spans="1:7" x14ac:dyDescent="0.45">
      <c r="A491" s="1">
        <v>40703</v>
      </c>
      <c r="B491">
        <v>58.48</v>
      </c>
      <c r="C491">
        <v>58.939999</v>
      </c>
      <c r="D491">
        <v>58.290000999999997</v>
      </c>
      <c r="E491">
        <v>58.669998</v>
      </c>
      <c r="F491">
        <v>46.460467999999999</v>
      </c>
      <c r="G491">
        <v>526800</v>
      </c>
    </row>
    <row r="492" spans="1:7" x14ac:dyDescent="0.45">
      <c r="A492" s="1">
        <v>40704</v>
      </c>
      <c r="B492">
        <v>58.119999</v>
      </c>
      <c r="C492">
        <v>58.189999</v>
      </c>
      <c r="D492">
        <v>57.009998000000003</v>
      </c>
      <c r="E492">
        <v>57.080002</v>
      </c>
      <c r="F492">
        <v>45.201351000000003</v>
      </c>
      <c r="G492">
        <v>915800</v>
      </c>
    </row>
    <row r="493" spans="1:7" x14ac:dyDescent="0.45">
      <c r="A493" s="1">
        <v>40707</v>
      </c>
      <c r="B493">
        <v>57.490001999999997</v>
      </c>
      <c r="C493">
        <v>57.700001</v>
      </c>
      <c r="D493">
        <v>57.009998000000003</v>
      </c>
      <c r="E493">
        <v>57.23</v>
      </c>
      <c r="F493">
        <v>45.320132999999998</v>
      </c>
      <c r="G493">
        <v>506000</v>
      </c>
    </row>
    <row r="494" spans="1:7" x14ac:dyDescent="0.45">
      <c r="A494" s="1">
        <v>40708</v>
      </c>
      <c r="B494">
        <v>58.130001</v>
      </c>
      <c r="C494">
        <v>58.509998000000003</v>
      </c>
      <c r="D494">
        <v>57.779998999999997</v>
      </c>
      <c r="E494">
        <v>57.919998</v>
      </c>
      <c r="F494">
        <v>45.866543</v>
      </c>
      <c r="G494">
        <v>934000</v>
      </c>
    </row>
    <row r="495" spans="1:7" x14ac:dyDescent="0.45">
      <c r="A495" s="1">
        <v>40709</v>
      </c>
      <c r="B495">
        <v>56.59</v>
      </c>
      <c r="C495">
        <v>56.959999000000003</v>
      </c>
      <c r="D495">
        <v>55.900002000000001</v>
      </c>
      <c r="E495">
        <v>56.459999000000003</v>
      </c>
      <c r="F495">
        <v>44.710380999999998</v>
      </c>
      <c r="G495">
        <v>1585600</v>
      </c>
    </row>
    <row r="496" spans="1:7" x14ac:dyDescent="0.45">
      <c r="A496" s="1">
        <v>40710</v>
      </c>
      <c r="B496">
        <v>55.98</v>
      </c>
      <c r="C496">
        <v>56.540000999999997</v>
      </c>
      <c r="D496">
        <v>55.799999</v>
      </c>
      <c r="E496">
        <v>56.02</v>
      </c>
      <c r="F496">
        <v>44.361946000000003</v>
      </c>
      <c r="G496">
        <v>1008900</v>
      </c>
    </row>
    <row r="497" spans="1:7" x14ac:dyDescent="0.45">
      <c r="A497" s="1">
        <v>40711</v>
      </c>
      <c r="B497">
        <v>57.59</v>
      </c>
      <c r="C497">
        <v>57.59</v>
      </c>
      <c r="D497">
        <v>56.93</v>
      </c>
      <c r="E497">
        <v>57.009998000000003</v>
      </c>
      <c r="F497">
        <v>45.145916</v>
      </c>
      <c r="G497">
        <v>917000</v>
      </c>
    </row>
    <row r="498" spans="1:7" x14ac:dyDescent="0.45">
      <c r="A498" s="1">
        <v>40714</v>
      </c>
      <c r="B498">
        <v>57.200001</v>
      </c>
      <c r="C498">
        <v>57.560001</v>
      </c>
      <c r="D498">
        <v>56.880001</v>
      </c>
      <c r="E498">
        <v>57.23</v>
      </c>
      <c r="F498">
        <v>45.320132999999998</v>
      </c>
      <c r="G498">
        <v>542600</v>
      </c>
    </row>
    <row r="499" spans="1:7" x14ac:dyDescent="0.45">
      <c r="A499" s="1">
        <v>40715</v>
      </c>
      <c r="B499">
        <v>57.900002000000001</v>
      </c>
      <c r="C499">
        <v>57.939999</v>
      </c>
      <c r="D499">
        <v>57.540000999999997</v>
      </c>
      <c r="E499">
        <v>57.75</v>
      </c>
      <c r="F499">
        <v>45.731918</v>
      </c>
      <c r="G499">
        <v>916900</v>
      </c>
    </row>
    <row r="500" spans="1:7" x14ac:dyDescent="0.45">
      <c r="A500" s="1">
        <v>40716</v>
      </c>
      <c r="B500">
        <v>56.759998000000003</v>
      </c>
      <c r="C500">
        <v>57.240001999999997</v>
      </c>
      <c r="D500">
        <v>56.740001999999997</v>
      </c>
      <c r="E500">
        <v>56.82</v>
      </c>
      <c r="F500">
        <v>44.995457000000002</v>
      </c>
      <c r="G500">
        <v>1090700</v>
      </c>
    </row>
    <row r="501" spans="1:7" x14ac:dyDescent="0.45">
      <c r="A501" s="1">
        <v>40717</v>
      </c>
      <c r="B501">
        <v>56.220001000000003</v>
      </c>
      <c r="C501">
        <v>56.709999000000003</v>
      </c>
      <c r="D501">
        <v>55.669998</v>
      </c>
      <c r="E501">
        <v>56.66</v>
      </c>
      <c r="F501">
        <v>44.868758999999997</v>
      </c>
      <c r="G501">
        <v>1139100</v>
      </c>
    </row>
    <row r="502" spans="1:7" x14ac:dyDescent="0.45">
      <c r="A502" s="1">
        <v>40718</v>
      </c>
      <c r="B502">
        <v>56.080002</v>
      </c>
      <c r="C502">
        <v>56.27</v>
      </c>
      <c r="D502">
        <v>55.34</v>
      </c>
      <c r="E502">
        <v>55.650002000000001</v>
      </c>
      <c r="F502">
        <v>44.068950999999998</v>
      </c>
      <c r="G502">
        <v>2041800</v>
      </c>
    </row>
    <row r="503" spans="1:7" x14ac:dyDescent="0.45">
      <c r="A503" s="1">
        <v>40721</v>
      </c>
      <c r="B503">
        <v>56.110000999999997</v>
      </c>
      <c r="C503">
        <v>56.700001</v>
      </c>
      <c r="D503">
        <v>55.93</v>
      </c>
      <c r="E503">
        <v>56.18</v>
      </c>
      <c r="F503">
        <v>44.488647</v>
      </c>
      <c r="G503">
        <v>1420400</v>
      </c>
    </row>
    <row r="504" spans="1:7" x14ac:dyDescent="0.45">
      <c r="A504" s="1">
        <v>40722</v>
      </c>
      <c r="B504">
        <v>57.119999</v>
      </c>
      <c r="C504">
        <v>57.419998</v>
      </c>
      <c r="D504">
        <v>56.59</v>
      </c>
      <c r="E504">
        <v>57.23</v>
      </c>
      <c r="F504">
        <v>45.320132999999998</v>
      </c>
      <c r="G504">
        <v>973300</v>
      </c>
    </row>
    <row r="505" spans="1:7" x14ac:dyDescent="0.45">
      <c r="A505" s="1">
        <v>40723</v>
      </c>
      <c r="B505">
        <v>57.509998000000003</v>
      </c>
      <c r="C505">
        <v>57.880001</v>
      </c>
      <c r="D505">
        <v>57.060001</v>
      </c>
      <c r="E505">
        <v>57.68</v>
      </c>
      <c r="F505">
        <v>45.676490999999999</v>
      </c>
      <c r="G505">
        <v>1368100</v>
      </c>
    </row>
    <row r="506" spans="1:7" x14ac:dyDescent="0.45">
      <c r="A506" s="1">
        <v>40724</v>
      </c>
      <c r="B506">
        <v>57.189999</v>
      </c>
      <c r="C506">
        <v>58.150002000000001</v>
      </c>
      <c r="D506">
        <v>57.080002</v>
      </c>
      <c r="E506">
        <v>58.009998000000003</v>
      </c>
      <c r="F506">
        <v>45.937812999999998</v>
      </c>
      <c r="G506">
        <v>959200</v>
      </c>
    </row>
    <row r="507" spans="1:7" x14ac:dyDescent="0.45">
      <c r="A507" s="1">
        <v>40725</v>
      </c>
      <c r="B507">
        <v>57.650002000000001</v>
      </c>
      <c r="C507">
        <v>58.389999000000003</v>
      </c>
      <c r="D507">
        <v>57.540000999999997</v>
      </c>
      <c r="E507">
        <v>58.07</v>
      </c>
      <c r="F507">
        <v>45.985325000000003</v>
      </c>
      <c r="G507">
        <v>1248500</v>
      </c>
    </row>
    <row r="508" spans="1:7" x14ac:dyDescent="0.45">
      <c r="A508" s="1">
        <v>40729</v>
      </c>
      <c r="B508">
        <v>58.849997999999999</v>
      </c>
      <c r="C508">
        <v>58.849997999999999</v>
      </c>
      <c r="D508">
        <v>57.759998000000003</v>
      </c>
      <c r="E508">
        <v>58.080002</v>
      </c>
      <c r="F508">
        <v>45.993243999999997</v>
      </c>
      <c r="G508">
        <v>1440900</v>
      </c>
    </row>
    <row r="509" spans="1:7" x14ac:dyDescent="0.45">
      <c r="A509" s="1">
        <v>40730</v>
      </c>
      <c r="B509">
        <v>57.869999</v>
      </c>
      <c r="C509">
        <v>57.959999000000003</v>
      </c>
      <c r="D509">
        <v>57.380001</v>
      </c>
      <c r="E509">
        <v>57.959999000000003</v>
      </c>
      <c r="F509">
        <v>45.898215999999998</v>
      </c>
      <c r="G509">
        <v>667500</v>
      </c>
    </row>
    <row r="510" spans="1:7" x14ac:dyDescent="0.45">
      <c r="A510" s="1">
        <v>40731</v>
      </c>
      <c r="B510">
        <v>58.619999</v>
      </c>
      <c r="C510">
        <v>59.060001</v>
      </c>
      <c r="D510">
        <v>58.349997999999999</v>
      </c>
      <c r="E510">
        <v>58.900002000000001</v>
      </c>
      <c r="F510">
        <v>46.642605000000003</v>
      </c>
      <c r="G510">
        <v>1506300</v>
      </c>
    </row>
    <row r="511" spans="1:7" x14ac:dyDescent="0.45">
      <c r="A511" s="1">
        <v>40732</v>
      </c>
      <c r="B511">
        <v>57.84</v>
      </c>
      <c r="C511">
        <v>58.299999</v>
      </c>
      <c r="D511">
        <v>57.220001000000003</v>
      </c>
      <c r="E511">
        <v>57.610000999999997</v>
      </c>
      <c r="F511">
        <v>45.621056000000003</v>
      </c>
      <c r="G511">
        <v>1113800</v>
      </c>
    </row>
    <row r="512" spans="1:7" x14ac:dyDescent="0.45">
      <c r="A512" s="1">
        <v>40735</v>
      </c>
      <c r="B512">
        <v>55.41</v>
      </c>
      <c r="C512">
        <v>56.09</v>
      </c>
      <c r="D512">
        <v>55.389999000000003</v>
      </c>
      <c r="E512">
        <v>55.77</v>
      </c>
      <c r="F512">
        <v>44.163970999999997</v>
      </c>
      <c r="G512">
        <v>2493500</v>
      </c>
    </row>
    <row r="513" spans="1:7" x14ac:dyDescent="0.45">
      <c r="A513" s="1">
        <v>40736</v>
      </c>
      <c r="B513">
        <v>54.560001</v>
      </c>
      <c r="C513">
        <v>55.23</v>
      </c>
      <c r="D513">
        <v>54.5</v>
      </c>
      <c r="E513">
        <v>54.73</v>
      </c>
      <c r="F513">
        <v>43.340401</v>
      </c>
      <c r="G513">
        <v>4000200</v>
      </c>
    </row>
    <row r="514" spans="1:7" x14ac:dyDescent="0.45">
      <c r="A514" s="1">
        <v>40737</v>
      </c>
      <c r="B514">
        <v>54.060001</v>
      </c>
      <c r="C514">
        <v>55.119999</v>
      </c>
      <c r="D514">
        <v>54.040000999999997</v>
      </c>
      <c r="E514">
        <v>54.669998</v>
      </c>
      <c r="F514">
        <v>43.292884999999998</v>
      </c>
      <c r="G514">
        <v>2308200</v>
      </c>
    </row>
    <row r="515" spans="1:7" x14ac:dyDescent="0.45">
      <c r="A515" s="1">
        <v>40738</v>
      </c>
      <c r="B515">
        <v>55.91</v>
      </c>
      <c r="C515">
        <v>55.959999000000003</v>
      </c>
      <c r="D515">
        <v>54.849997999999999</v>
      </c>
      <c r="E515">
        <v>55.139999000000003</v>
      </c>
      <c r="F515">
        <v>43.665073</v>
      </c>
      <c r="G515">
        <v>2420200</v>
      </c>
    </row>
    <row r="516" spans="1:7" x14ac:dyDescent="0.45">
      <c r="A516" s="1">
        <v>40739</v>
      </c>
      <c r="B516">
        <v>55.389999000000003</v>
      </c>
      <c r="C516">
        <v>56.209999000000003</v>
      </c>
      <c r="D516">
        <v>55.310001</v>
      </c>
      <c r="E516">
        <v>56.139999000000003</v>
      </c>
      <c r="F516">
        <v>44.456974000000002</v>
      </c>
      <c r="G516">
        <v>2048600</v>
      </c>
    </row>
    <row r="517" spans="1:7" x14ac:dyDescent="0.45">
      <c r="A517" s="1">
        <v>40742</v>
      </c>
      <c r="B517">
        <v>55.330002</v>
      </c>
      <c r="C517">
        <v>55.66</v>
      </c>
      <c r="D517">
        <v>54.759998000000003</v>
      </c>
      <c r="E517">
        <v>55.400002000000001</v>
      </c>
      <c r="F517">
        <v>43.870967999999998</v>
      </c>
      <c r="G517">
        <v>2332600</v>
      </c>
    </row>
    <row r="518" spans="1:7" x14ac:dyDescent="0.45">
      <c r="A518" s="1">
        <v>40743</v>
      </c>
      <c r="B518">
        <v>55.849997999999999</v>
      </c>
      <c r="C518">
        <v>56.740001999999997</v>
      </c>
      <c r="D518">
        <v>55.669998</v>
      </c>
      <c r="E518">
        <v>56.52</v>
      </c>
      <c r="F518">
        <v>44.757888999999999</v>
      </c>
      <c r="G518">
        <v>2323200</v>
      </c>
    </row>
    <row r="519" spans="1:7" x14ac:dyDescent="0.45">
      <c r="A519" s="1">
        <v>40744</v>
      </c>
      <c r="B519">
        <v>56.919998</v>
      </c>
      <c r="C519">
        <v>57.16</v>
      </c>
      <c r="D519">
        <v>56.52</v>
      </c>
      <c r="E519">
        <v>57</v>
      </c>
      <c r="F519">
        <v>45.138004000000002</v>
      </c>
      <c r="G519">
        <v>1642400</v>
      </c>
    </row>
    <row r="520" spans="1:7" x14ac:dyDescent="0.45">
      <c r="A520" s="1">
        <v>40745</v>
      </c>
      <c r="B520">
        <v>57.73</v>
      </c>
      <c r="C520">
        <v>58.330002</v>
      </c>
      <c r="D520">
        <v>57.529998999999997</v>
      </c>
      <c r="E520">
        <v>58.189999</v>
      </c>
      <c r="F520">
        <v>46.080353000000002</v>
      </c>
      <c r="G520">
        <v>1565200</v>
      </c>
    </row>
    <row r="521" spans="1:7" x14ac:dyDescent="0.45">
      <c r="A521" s="1">
        <v>40746</v>
      </c>
      <c r="B521">
        <v>59</v>
      </c>
      <c r="C521">
        <v>59.349997999999999</v>
      </c>
      <c r="D521">
        <v>58.619999</v>
      </c>
      <c r="E521">
        <v>59.25</v>
      </c>
      <c r="F521">
        <v>46.919764999999998</v>
      </c>
      <c r="G521">
        <v>2017600</v>
      </c>
    </row>
    <row r="522" spans="1:7" x14ac:dyDescent="0.45">
      <c r="A522" s="1">
        <v>40749</v>
      </c>
      <c r="B522">
        <v>59.540000999999997</v>
      </c>
      <c r="C522">
        <v>59.689999</v>
      </c>
      <c r="D522">
        <v>59.07</v>
      </c>
      <c r="E522">
        <v>59.099997999999999</v>
      </c>
      <c r="F522">
        <v>46.800983000000002</v>
      </c>
      <c r="G522">
        <v>1429300</v>
      </c>
    </row>
    <row r="523" spans="1:7" x14ac:dyDescent="0.45">
      <c r="A523" s="1">
        <v>40750</v>
      </c>
      <c r="B523">
        <v>59.709999000000003</v>
      </c>
      <c r="C523">
        <v>59.759998000000003</v>
      </c>
      <c r="D523">
        <v>59.240001999999997</v>
      </c>
      <c r="E523">
        <v>59.330002</v>
      </c>
      <c r="F523">
        <v>46.983111999999998</v>
      </c>
      <c r="G523">
        <v>1737800</v>
      </c>
    </row>
    <row r="524" spans="1:7" x14ac:dyDescent="0.45">
      <c r="A524" s="1">
        <v>40751</v>
      </c>
      <c r="B524">
        <v>58.950001</v>
      </c>
      <c r="C524">
        <v>59.080002</v>
      </c>
      <c r="D524">
        <v>57.889999000000003</v>
      </c>
      <c r="E524">
        <v>58.02</v>
      </c>
      <c r="F524">
        <v>45.945740000000001</v>
      </c>
      <c r="G524">
        <v>1401500</v>
      </c>
    </row>
    <row r="525" spans="1:7" x14ac:dyDescent="0.45">
      <c r="A525" s="1">
        <v>40752</v>
      </c>
      <c r="B525">
        <v>58.240001999999997</v>
      </c>
      <c r="C525">
        <v>58.970001000000003</v>
      </c>
      <c r="D525">
        <v>58.18</v>
      </c>
      <c r="E525">
        <v>58.5</v>
      </c>
      <c r="F525">
        <v>46.325843999999996</v>
      </c>
      <c r="G525">
        <v>1293400</v>
      </c>
    </row>
    <row r="526" spans="1:7" x14ac:dyDescent="0.45">
      <c r="A526" s="1">
        <v>40753</v>
      </c>
      <c r="B526">
        <v>57.66</v>
      </c>
      <c r="C526">
        <v>58.34</v>
      </c>
      <c r="D526">
        <v>57.419998</v>
      </c>
      <c r="E526">
        <v>57.580002</v>
      </c>
      <c r="F526">
        <v>45.597304999999999</v>
      </c>
      <c r="G526">
        <v>1317300</v>
      </c>
    </row>
    <row r="527" spans="1:7" x14ac:dyDescent="0.45">
      <c r="A527" s="1">
        <v>40756</v>
      </c>
      <c r="B527">
        <v>58.77</v>
      </c>
      <c r="C527">
        <v>58.799999</v>
      </c>
      <c r="D527">
        <v>56.73</v>
      </c>
      <c r="E527">
        <v>57.380001</v>
      </c>
      <c r="F527">
        <v>45.438923000000003</v>
      </c>
      <c r="G527">
        <v>1589800</v>
      </c>
    </row>
    <row r="528" spans="1:7" x14ac:dyDescent="0.45">
      <c r="A528" s="1">
        <v>40757</v>
      </c>
      <c r="B528">
        <v>56.810001</v>
      </c>
      <c r="C528">
        <v>57.330002</v>
      </c>
      <c r="D528">
        <v>55.990001999999997</v>
      </c>
      <c r="E528">
        <v>56.009998000000003</v>
      </c>
      <c r="F528">
        <v>44.354030999999999</v>
      </c>
      <c r="G528">
        <v>1204600</v>
      </c>
    </row>
    <row r="529" spans="1:7" x14ac:dyDescent="0.45">
      <c r="A529" s="1">
        <v>40758</v>
      </c>
      <c r="B529">
        <v>56.220001000000003</v>
      </c>
      <c r="C529">
        <v>56.279998999999997</v>
      </c>
      <c r="D529">
        <v>55.259998000000003</v>
      </c>
      <c r="E529">
        <v>55.939999</v>
      </c>
      <c r="F529">
        <v>44.298591999999999</v>
      </c>
      <c r="G529">
        <v>1617100</v>
      </c>
    </row>
    <row r="530" spans="1:7" x14ac:dyDescent="0.45">
      <c r="A530" s="1">
        <v>40759</v>
      </c>
      <c r="B530">
        <v>54.689999</v>
      </c>
      <c r="C530">
        <v>55.150002000000001</v>
      </c>
      <c r="D530">
        <v>53.040000999999997</v>
      </c>
      <c r="E530">
        <v>53.169998</v>
      </c>
      <c r="F530">
        <v>42.105041999999997</v>
      </c>
      <c r="G530">
        <v>5616300</v>
      </c>
    </row>
    <row r="531" spans="1:7" x14ac:dyDescent="0.45">
      <c r="A531" s="1">
        <v>40760</v>
      </c>
      <c r="B531">
        <v>53.709999000000003</v>
      </c>
      <c r="C531">
        <v>55.029998999999997</v>
      </c>
      <c r="D531">
        <v>52.59</v>
      </c>
      <c r="E531">
        <v>54.32</v>
      </c>
      <c r="F531">
        <v>43.015723999999999</v>
      </c>
      <c r="G531">
        <v>4711700</v>
      </c>
    </row>
    <row r="532" spans="1:7" x14ac:dyDescent="0.45">
      <c r="A532" s="1">
        <v>40763</v>
      </c>
      <c r="B532">
        <v>52.34</v>
      </c>
      <c r="C532">
        <v>52.66</v>
      </c>
      <c r="D532">
        <v>51.02</v>
      </c>
      <c r="E532">
        <v>51.34</v>
      </c>
      <c r="F532">
        <v>40.655875999999999</v>
      </c>
      <c r="G532">
        <v>5684600</v>
      </c>
    </row>
    <row r="533" spans="1:7" x14ac:dyDescent="0.45">
      <c r="A533" s="1">
        <v>40764</v>
      </c>
      <c r="B533">
        <v>51.91</v>
      </c>
      <c r="C533">
        <v>52.849997999999999</v>
      </c>
      <c r="D533">
        <v>50.77</v>
      </c>
      <c r="E533">
        <v>52.830002</v>
      </c>
      <c r="F533">
        <v>41.835799999999999</v>
      </c>
      <c r="G533">
        <v>3465300</v>
      </c>
    </row>
    <row r="534" spans="1:7" x14ac:dyDescent="0.45">
      <c r="A534" s="1">
        <v>40765</v>
      </c>
      <c r="B534">
        <v>51.43</v>
      </c>
      <c r="C534">
        <v>51.639999000000003</v>
      </c>
      <c r="D534">
        <v>49.389999000000003</v>
      </c>
      <c r="E534">
        <v>49.720001000000003</v>
      </c>
      <c r="F534">
        <v>39.373004999999999</v>
      </c>
      <c r="G534">
        <v>5929700</v>
      </c>
    </row>
    <row r="535" spans="1:7" x14ac:dyDescent="0.45">
      <c r="A535" s="1">
        <v>40766</v>
      </c>
      <c r="B535">
        <v>49.110000999999997</v>
      </c>
      <c r="C535">
        <v>51.849997999999999</v>
      </c>
      <c r="D535">
        <v>49.049999</v>
      </c>
      <c r="E535">
        <v>51.509998000000003</v>
      </c>
      <c r="F535">
        <v>40.790497000000002</v>
      </c>
      <c r="G535">
        <v>5097100</v>
      </c>
    </row>
    <row r="536" spans="1:7" x14ac:dyDescent="0.45">
      <c r="A536" s="1">
        <v>40767</v>
      </c>
      <c r="B536">
        <v>54.619999</v>
      </c>
      <c r="C536">
        <v>54.990001999999997</v>
      </c>
      <c r="D536">
        <v>53.84</v>
      </c>
      <c r="E536">
        <v>54.580002</v>
      </c>
      <c r="F536">
        <v>43.221615</v>
      </c>
      <c r="G536">
        <v>3383900</v>
      </c>
    </row>
    <row r="537" spans="1:7" x14ac:dyDescent="0.45">
      <c r="A537" s="1">
        <v>40770</v>
      </c>
      <c r="B537">
        <v>55.200001</v>
      </c>
      <c r="C537">
        <v>55.700001</v>
      </c>
      <c r="D537">
        <v>55</v>
      </c>
      <c r="E537">
        <v>55.470001000000003</v>
      </c>
      <c r="F537">
        <v>43.926399000000004</v>
      </c>
      <c r="G537">
        <v>1537400</v>
      </c>
    </row>
    <row r="538" spans="1:7" x14ac:dyDescent="0.45">
      <c r="A538" s="1">
        <v>40771</v>
      </c>
      <c r="B538">
        <v>55.419998</v>
      </c>
      <c r="C538">
        <v>56.610000999999997</v>
      </c>
      <c r="D538">
        <v>55.369999</v>
      </c>
      <c r="E538">
        <v>55.84</v>
      </c>
      <c r="F538">
        <v>44.219402000000002</v>
      </c>
      <c r="G538">
        <v>1715000</v>
      </c>
    </row>
    <row r="539" spans="1:7" x14ac:dyDescent="0.45">
      <c r="A539" s="1">
        <v>40772</v>
      </c>
      <c r="B539">
        <v>56.77</v>
      </c>
      <c r="C539">
        <v>57.150002000000001</v>
      </c>
      <c r="D539">
        <v>55.950001</v>
      </c>
      <c r="E539">
        <v>56.220001000000003</v>
      </c>
      <c r="F539">
        <v>44.520321000000003</v>
      </c>
      <c r="G539">
        <v>2020500</v>
      </c>
    </row>
    <row r="540" spans="1:7" x14ac:dyDescent="0.45">
      <c r="A540" s="1">
        <v>40773</v>
      </c>
      <c r="B540">
        <v>54.82</v>
      </c>
      <c r="C540">
        <v>54.959999000000003</v>
      </c>
      <c r="D540">
        <v>54.09</v>
      </c>
      <c r="E540">
        <v>54.689999</v>
      </c>
      <c r="F540">
        <v>43.308723000000001</v>
      </c>
      <c r="G540">
        <v>5380300</v>
      </c>
    </row>
    <row r="541" spans="1:7" x14ac:dyDescent="0.45">
      <c r="A541" s="1">
        <v>40774</v>
      </c>
      <c r="B541">
        <v>53.630001</v>
      </c>
      <c r="C541">
        <v>55.139999000000003</v>
      </c>
      <c r="D541">
        <v>53.619999</v>
      </c>
      <c r="E541">
        <v>53.869999</v>
      </c>
      <c r="F541">
        <v>42.659370000000003</v>
      </c>
      <c r="G541">
        <v>3668900</v>
      </c>
    </row>
    <row r="542" spans="1:7" x14ac:dyDescent="0.45">
      <c r="A542" s="1">
        <v>40777</v>
      </c>
      <c r="B542">
        <v>55.790000999999997</v>
      </c>
      <c r="C542">
        <v>55.799999</v>
      </c>
      <c r="D542">
        <v>54.27</v>
      </c>
      <c r="E542">
        <v>54.389999000000003</v>
      </c>
      <c r="F542">
        <v>43.071151999999998</v>
      </c>
      <c r="G542">
        <v>1413100</v>
      </c>
    </row>
    <row r="543" spans="1:7" x14ac:dyDescent="0.45">
      <c r="A543" s="1">
        <v>40778</v>
      </c>
      <c r="B543">
        <v>54.82</v>
      </c>
      <c r="C543">
        <v>55.549999</v>
      </c>
      <c r="D543">
        <v>54.330002</v>
      </c>
      <c r="E543">
        <v>55.549999</v>
      </c>
      <c r="F543">
        <v>43.989753999999998</v>
      </c>
      <c r="G543">
        <v>1223800</v>
      </c>
    </row>
    <row r="544" spans="1:7" x14ac:dyDescent="0.45">
      <c r="A544" s="1">
        <v>40779</v>
      </c>
      <c r="B544">
        <v>53.07</v>
      </c>
      <c r="C544">
        <v>54.189999</v>
      </c>
      <c r="D544">
        <v>53.029998999999997</v>
      </c>
      <c r="E544">
        <v>54.150002000000001</v>
      </c>
      <c r="F544">
        <v>42.881104000000001</v>
      </c>
      <c r="G544">
        <v>1714800</v>
      </c>
    </row>
    <row r="545" spans="1:7" x14ac:dyDescent="0.45">
      <c r="A545" s="1">
        <v>40780</v>
      </c>
      <c r="B545">
        <v>54.07</v>
      </c>
      <c r="C545">
        <v>54.48</v>
      </c>
      <c r="D545">
        <v>52.970001000000003</v>
      </c>
      <c r="E545">
        <v>53.310001</v>
      </c>
      <c r="F545">
        <v>42.215912000000003</v>
      </c>
      <c r="G545">
        <v>1283900</v>
      </c>
    </row>
    <row r="546" spans="1:7" x14ac:dyDescent="0.45">
      <c r="A546" s="1">
        <v>40781</v>
      </c>
      <c r="B546">
        <v>52.720001000000003</v>
      </c>
      <c r="C546">
        <v>54.099997999999999</v>
      </c>
      <c r="D546">
        <v>52.290000999999997</v>
      </c>
      <c r="E546">
        <v>53.889999000000003</v>
      </c>
      <c r="F546">
        <v>42.675204999999998</v>
      </c>
      <c r="G546">
        <v>965700</v>
      </c>
    </row>
    <row r="547" spans="1:7" x14ac:dyDescent="0.45">
      <c r="A547" s="1">
        <v>40784</v>
      </c>
      <c r="B547">
        <v>54.889999000000003</v>
      </c>
      <c r="C547">
        <v>54.889999000000003</v>
      </c>
      <c r="D547">
        <v>54.209999000000003</v>
      </c>
      <c r="E547">
        <v>54.720001000000003</v>
      </c>
      <c r="F547">
        <v>43.332478000000002</v>
      </c>
      <c r="G547">
        <v>851900</v>
      </c>
    </row>
    <row r="548" spans="1:7" x14ac:dyDescent="0.45">
      <c r="A548" s="1">
        <v>40785</v>
      </c>
      <c r="B548">
        <v>54.43</v>
      </c>
      <c r="C548">
        <v>55.02</v>
      </c>
      <c r="D548">
        <v>54.080002</v>
      </c>
      <c r="E548">
        <v>54.779998999999997</v>
      </c>
      <c r="F548">
        <v>43.380001</v>
      </c>
      <c r="G548">
        <v>812100</v>
      </c>
    </row>
    <row r="549" spans="1:7" x14ac:dyDescent="0.45">
      <c r="A549" s="1">
        <v>40786</v>
      </c>
      <c r="B549">
        <v>55.419998</v>
      </c>
      <c r="C549">
        <v>55.779998999999997</v>
      </c>
      <c r="D549">
        <v>54.900002000000001</v>
      </c>
      <c r="E549">
        <v>55.259998000000003</v>
      </c>
      <c r="F549">
        <v>43.760105000000003</v>
      </c>
      <c r="G549">
        <v>1030300</v>
      </c>
    </row>
    <row r="550" spans="1:7" x14ac:dyDescent="0.45">
      <c r="A550" s="1">
        <v>40787</v>
      </c>
      <c r="B550">
        <v>54.84</v>
      </c>
      <c r="C550">
        <v>55.25</v>
      </c>
      <c r="D550">
        <v>54.290000999999997</v>
      </c>
      <c r="E550">
        <v>54.759998000000003</v>
      </c>
      <c r="F550">
        <v>43.364151</v>
      </c>
      <c r="G550">
        <v>1390100</v>
      </c>
    </row>
    <row r="551" spans="1:7" x14ac:dyDescent="0.45">
      <c r="A551" s="1">
        <v>40788</v>
      </c>
      <c r="B551">
        <v>54.150002000000001</v>
      </c>
      <c r="C551">
        <v>54.759998000000003</v>
      </c>
      <c r="D551">
        <v>53.959999000000003</v>
      </c>
      <c r="E551">
        <v>54.369999</v>
      </c>
      <c r="F551">
        <v>43.055317000000002</v>
      </c>
      <c r="G551">
        <v>795300</v>
      </c>
    </row>
    <row r="552" spans="1:7" x14ac:dyDescent="0.45">
      <c r="A552" s="1">
        <v>40792</v>
      </c>
      <c r="B552">
        <v>51.650002000000001</v>
      </c>
      <c r="C552">
        <v>53</v>
      </c>
      <c r="D552">
        <v>51.630001</v>
      </c>
      <c r="E552">
        <v>52.889999000000003</v>
      </c>
      <c r="F552">
        <v>41.883311999999997</v>
      </c>
      <c r="G552">
        <v>2770700</v>
      </c>
    </row>
    <row r="553" spans="1:7" x14ac:dyDescent="0.45">
      <c r="A553" s="1">
        <v>40793</v>
      </c>
      <c r="B553">
        <v>52.740001999999997</v>
      </c>
      <c r="C553">
        <v>53.369999</v>
      </c>
      <c r="D553">
        <v>52.580002</v>
      </c>
      <c r="E553">
        <v>53.369999</v>
      </c>
      <c r="F553">
        <v>42.263427999999998</v>
      </c>
      <c r="G553">
        <v>1458900</v>
      </c>
    </row>
    <row r="554" spans="1:7" x14ac:dyDescent="0.45">
      <c r="A554" s="1">
        <v>40794</v>
      </c>
      <c r="B554">
        <v>53.049999</v>
      </c>
      <c r="C554">
        <v>53.450001</v>
      </c>
      <c r="D554">
        <v>52.669998</v>
      </c>
      <c r="E554">
        <v>52.720001000000003</v>
      </c>
      <c r="F554">
        <v>41.748694999999998</v>
      </c>
      <c r="G554">
        <v>1717700</v>
      </c>
    </row>
    <row r="555" spans="1:7" x14ac:dyDescent="0.45">
      <c r="A555" s="1">
        <v>40795</v>
      </c>
      <c r="B555">
        <v>51.41</v>
      </c>
      <c r="C555">
        <v>51.77</v>
      </c>
      <c r="D555">
        <v>50.720001000000003</v>
      </c>
      <c r="E555">
        <v>51.040000999999997</v>
      </c>
      <c r="F555">
        <v>40.418315999999997</v>
      </c>
      <c r="G555">
        <v>1870800</v>
      </c>
    </row>
    <row r="556" spans="1:7" x14ac:dyDescent="0.45">
      <c r="A556" s="1">
        <v>40798</v>
      </c>
      <c r="B556">
        <v>49.380001</v>
      </c>
      <c r="C556">
        <v>50.259998000000003</v>
      </c>
      <c r="D556">
        <v>49.290000999999997</v>
      </c>
      <c r="E556">
        <v>50.220001000000003</v>
      </c>
      <c r="F556">
        <v>39.768954999999998</v>
      </c>
      <c r="G556">
        <v>2961700</v>
      </c>
    </row>
    <row r="557" spans="1:7" x14ac:dyDescent="0.45">
      <c r="A557" s="1">
        <v>40799</v>
      </c>
      <c r="B557">
        <v>49.490001999999997</v>
      </c>
      <c r="C557">
        <v>50.360000999999997</v>
      </c>
      <c r="D557">
        <v>49.43</v>
      </c>
      <c r="E557">
        <v>50.169998</v>
      </c>
      <c r="F557">
        <v>39.729362000000002</v>
      </c>
      <c r="G557">
        <v>3210600</v>
      </c>
    </row>
    <row r="558" spans="1:7" x14ac:dyDescent="0.45">
      <c r="A558" s="1">
        <v>40800</v>
      </c>
      <c r="B558">
        <v>49.970001000000003</v>
      </c>
      <c r="C558">
        <v>50.959999000000003</v>
      </c>
      <c r="D558">
        <v>49.200001</v>
      </c>
      <c r="E558">
        <v>50.509998000000003</v>
      </c>
      <c r="F558">
        <v>39.998595999999999</v>
      </c>
      <c r="G558">
        <v>1517700</v>
      </c>
    </row>
    <row r="559" spans="1:7" x14ac:dyDescent="0.45">
      <c r="A559" s="1">
        <v>40801</v>
      </c>
      <c r="B559">
        <v>51.169998</v>
      </c>
      <c r="C559">
        <v>51.75</v>
      </c>
      <c r="D559">
        <v>50.790000999999997</v>
      </c>
      <c r="E559">
        <v>51.5</v>
      </c>
      <c r="F559">
        <v>40.782581</v>
      </c>
      <c r="G559">
        <v>1776500</v>
      </c>
    </row>
    <row r="560" spans="1:7" x14ac:dyDescent="0.45">
      <c r="A560" s="1">
        <v>40802</v>
      </c>
      <c r="B560">
        <v>52.279998999999997</v>
      </c>
      <c r="C560">
        <v>52.599997999999999</v>
      </c>
      <c r="D560">
        <v>51.73</v>
      </c>
      <c r="E560">
        <v>52.549999</v>
      </c>
      <c r="F560">
        <v>41.614071000000003</v>
      </c>
      <c r="G560">
        <v>2191200</v>
      </c>
    </row>
    <row r="561" spans="1:7" x14ac:dyDescent="0.45">
      <c r="A561" s="1">
        <v>40805</v>
      </c>
      <c r="B561">
        <v>51.119999</v>
      </c>
      <c r="C561">
        <v>51.860000999999997</v>
      </c>
      <c r="D561">
        <v>51.07</v>
      </c>
      <c r="E561">
        <v>51.650002000000001</v>
      </c>
      <c r="F561">
        <v>40.901359999999997</v>
      </c>
      <c r="G561">
        <v>1439700</v>
      </c>
    </row>
    <row r="562" spans="1:7" x14ac:dyDescent="0.45">
      <c r="A562" s="1">
        <v>40806</v>
      </c>
      <c r="B562">
        <v>52.279998999999997</v>
      </c>
      <c r="C562">
        <v>53.209999000000003</v>
      </c>
      <c r="D562">
        <v>52.150002000000001</v>
      </c>
      <c r="E562">
        <v>52.57</v>
      </c>
      <c r="F562">
        <v>41.629910000000002</v>
      </c>
      <c r="G562">
        <v>1239200</v>
      </c>
    </row>
    <row r="563" spans="1:7" x14ac:dyDescent="0.45">
      <c r="A563" s="1">
        <v>40807</v>
      </c>
      <c r="B563">
        <v>52.689999</v>
      </c>
      <c r="C563">
        <v>52.720001000000003</v>
      </c>
      <c r="D563">
        <v>51.439999</v>
      </c>
      <c r="E563">
        <v>51.450001</v>
      </c>
      <c r="F563">
        <v>40.742984999999997</v>
      </c>
      <c r="G563">
        <v>1081800</v>
      </c>
    </row>
    <row r="564" spans="1:7" x14ac:dyDescent="0.45">
      <c r="A564" s="1">
        <v>40808</v>
      </c>
      <c r="B564">
        <v>49.220001000000003</v>
      </c>
      <c r="C564">
        <v>50.310001</v>
      </c>
      <c r="D564">
        <v>49.080002</v>
      </c>
      <c r="E564">
        <v>50</v>
      </c>
      <c r="F564">
        <v>39.594734000000003</v>
      </c>
      <c r="G564">
        <v>1664400</v>
      </c>
    </row>
    <row r="565" spans="1:7" x14ac:dyDescent="0.45">
      <c r="A565" s="1">
        <v>40809</v>
      </c>
      <c r="B565">
        <v>50.169998</v>
      </c>
      <c r="C565">
        <v>51.490001999999997</v>
      </c>
      <c r="D565">
        <v>50.16</v>
      </c>
      <c r="E565">
        <v>51.169998</v>
      </c>
      <c r="F565">
        <v>40.521259000000001</v>
      </c>
      <c r="G565">
        <v>1132800</v>
      </c>
    </row>
    <row r="566" spans="1:7" x14ac:dyDescent="0.45">
      <c r="A566" s="1">
        <v>40812</v>
      </c>
      <c r="B566">
        <v>51.720001000000003</v>
      </c>
      <c r="C566">
        <v>52.669998</v>
      </c>
      <c r="D566">
        <v>51.279998999999997</v>
      </c>
      <c r="E566">
        <v>52.610000999999997</v>
      </c>
      <c r="F566">
        <v>41.661586999999997</v>
      </c>
      <c r="G566">
        <v>1857200</v>
      </c>
    </row>
    <row r="567" spans="1:7" x14ac:dyDescent="0.45">
      <c r="A567" s="1">
        <v>40813</v>
      </c>
      <c r="B567">
        <v>53.619999</v>
      </c>
      <c r="C567">
        <v>54.630001</v>
      </c>
      <c r="D567">
        <v>53.290000999999997</v>
      </c>
      <c r="E567">
        <v>54.02</v>
      </c>
      <c r="F567">
        <v>42.778151999999999</v>
      </c>
      <c r="G567">
        <v>1766100</v>
      </c>
    </row>
    <row r="568" spans="1:7" x14ac:dyDescent="0.45">
      <c r="A568" s="1">
        <v>40814</v>
      </c>
      <c r="B568">
        <v>54.810001</v>
      </c>
      <c r="C568">
        <v>55</v>
      </c>
      <c r="D568">
        <v>53.41</v>
      </c>
      <c r="E568">
        <v>53.48</v>
      </c>
      <c r="F568">
        <v>42.350529000000002</v>
      </c>
      <c r="G568">
        <v>1309700</v>
      </c>
    </row>
    <row r="569" spans="1:7" x14ac:dyDescent="0.45">
      <c r="A569" s="1">
        <v>40815</v>
      </c>
      <c r="B569">
        <v>54.299999</v>
      </c>
      <c r="C569">
        <v>54.380001</v>
      </c>
      <c r="D569">
        <v>53.169998</v>
      </c>
      <c r="E569">
        <v>53.900002000000001</v>
      </c>
      <c r="F569">
        <v>42.683128000000004</v>
      </c>
      <c r="G569">
        <v>1169100</v>
      </c>
    </row>
    <row r="570" spans="1:7" x14ac:dyDescent="0.45">
      <c r="A570" s="1">
        <v>40816</v>
      </c>
      <c r="B570">
        <v>53.049999</v>
      </c>
      <c r="C570">
        <v>53.75</v>
      </c>
      <c r="D570">
        <v>52.91</v>
      </c>
      <c r="E570">
        <v>52.98</v>
      </c>
      <c r="F570">
        <v>41.954585999999999</v>
      </c>
      <c r="G570">
        <v>1840100</v>
      </c>
    </row>
    <row r="571" spans="1:7" x14ac:dyDescent="0.45">
      <c r="A571" s="1">
        <v>40819</v>
      </c>
      <c r="B571">
        <v>53.150002000000001</v>
      </c>
      <c r="C571">
        <v>53.720001000000003</v>
      </c>
      <c r="D571">
        <v>52.560001</v>
      </c>
      <c r="E571">
        <v>52.560001</v>
      </c>
      <c r="F571">
        <v>41.621983</v>
      </c>
      <c r="G571">
        <v>2080800</v>
      </c>
    </row>
    <row r="572" spans="1:7" x14ac:dyDescent="0.45">
      <c r="A572" s="1">
        <v>40820</v>
      </c>
      <c r="B572">
        <v>52.59</v>
      </c>
      <c r="C572">
        <v>53.52</v>
      </c>
      <c r="D572">
        <v>52.200001</v>
      </c>
      <c r="E572">
        <v>53.490001999999997</v>
      </c>
      <c r="F572">
        <v>42.358448000000003</v>
      </c>
      <c r="G572">
        <v>2300000</v>
      </c>
    </row>
    <row r="573" spans="1:7" x14ac:dyDescent="0.45">
      <c r="A573" s="1">
        <v>40821</v>
      </c>
      <c r="B573">
        <v>53.060001</v>
      </c>
      <c r="C573">
        <v>53.189999</v>
      </c>
      <c r="D573">
        <v>52.41</v>
      </c>
      <c r="E573">
        <v>52.970001000000003</v>
      </c>
      <c r="F573">
        <v>41.946663000000001</v>
      </c>
      <c r="G573">
        <v>1930500</v>
      </c>
    </row>
    <row r="574" spans="1:7" x14ac:dyDescent="0.45">
      <c r="A574" s="1">
        <v>40822</v>
      </c>
      <c r="B574">
        <v>51.82</v>
      </c>
      <c r="C574">
        <v>53.310001</v>
      </c>
      <c r="D574">
        <v>51.560001</v>
      </c>
      <c r="E574">
        <v>53.279998999999997</v>
      </c>
      <c r="F574">
        <v>42.192162000000003</v>
      </c>
      <c r="G574">
        <v>1960500</v>
      </c>
    </row>
    <row r="575" spans="1:7" x14ac:dyDescent="0.45">
      <c r="A575" s="1">
        <v>40823</v>
      </c>
      <c r="B575">
        <v>51.549999</v>
      </c>
      <c r="C575">
        <v>52.599997999999999</v>
      </c>
      <c r="D575">
        <v>51.509998000000003</v>
      </c>
      <c r="E575">
        <v>51.759998000000003</v>
      </c>
      <c r="F575">
        <v>40.988464</v>
      </c>
      <c r="G575">
        <v>2451200</v>
      </c>
    </row>
    <row r="576" spans="1:7" x14ac:dyDescent="0.45">
      <c r="A576" s="1">
        <v>40826</v>
      </c>
      <c r="B576">
        <v>53.41</v>
      </c>
      <c r="C576">
        <v>53.75</v>
      </c>
      <c r="D576">
        <v>53.34</v>
      </c>
      <c r="E576">
        <v>53.73</v>
      </c>
      <c r="F576">
        <v>42.548512000000002</v>
      </c>
      <c r="G576">
        <v>935000</v>
      </c>
    </row>
    <row r="577" spans="1:7" x14ac:dyDescent="0.45">
      <c r="A577" s="1">
        <v>40827</v>
      </c>
      <c r="B577">
        <v>53.150002000000001</v>
      </c>
      <c r="C577">
        <v>53.689999</v>
      </c>
      <c r="D577">
        <v>53.040000999999997</v>
      </c>
      <c r="E577">
        <v>53.619999</v>
      </c>
      <c r="F577">
        <v>42.461395000000003</v>
      </c>
      <c r="G577">
        <v>1052500</v>
      </c>
    </row>
    <row r="578" spans="1:7" x14ac:dyDescent="0.45">
      <c r="A578" s="1">
        <v>40828</v>
      </c>
      <c r="B578">
        <v>54.290000999999997</v>
      </c>
      <c r="C578">
        <v>54.439999</v>
      </c>
      <c r="D578">
        <v>53.959999000000003</v>
      </c>
      <c r="E578">
        <v>54.07</v>
      </c>
      <c r="F578">
        <v>42.817745000000002</v>
      </c>
      <c r="G578">
        <v>1395400</v>
      </c>
    </row>
    <row r="579" spans="1:7" x14ac:dyDescent="0.45">
      <c r="A579" s="1">
        <v>40829</v>
      </c>
      <c r="B579">
        <v>54.130001</v>
      </c>
      <c r="C579">
        <v>54.57</v>
      </c>
      <c r="D579">
        <v>53.790000999999997</v>
      </c>
      <c r="E579">
        <v>54.490001999999997</v>
      </c>
      <c r="F579">
        <v>43.150348999999999</v>
      </c>
      <c r="G579">
        <v>876000</v>
      </c>
    </row>
    <row r="580" spans="1:7" x14ac:dyDescent="0.45">
      <c r="A580" s="1">
        <v>40830</v>
      </c>
      <c r="B580">
        <v>55.5</v>
      </c>
      <c r="C580">
        <v>55.779998999999997</v>
      </c>
      <c r="D580">
        <v>55.16</v>
      </c>
      <c r="E580">
        <v>55.369999</v>
      </c>
      <c r="F580">
        <v>43.847209999999997</v>
      </c>
      <c r="G580">
        <v>1326700</v>
      </c>
    </row>
    <row r="581" spans="1:7" x14ac:dyDescent="0.45">
      <c r="A581" s="1">
        <v>40833</v>
      </c>
      <c r="B581">
        <v>54.919998</v>
      </c>
      <c r="C581">
        <v>54.970001000000003</v>
      </c>
      <c r="D581">
        <v>54.040000999999997</v>
      </c>
      <c r="E581">
        <v>54.099997999999999</v>
      </c>
      <c r="F581">
        <v>42.841510999999997</v>
      </c>
      <c r="G581">
        <v>2306500</v>
      </c>
    </row>
    <row r="582" spans="1:7" x14ac:dyDescent="0.45">
      <c r="A582" s="1">
        <v>40834</v>
      </c>
      <c r="B582">
        <v>54.02</v>
      </c>
      <c r="C582">
        <v>55.490001999999997</v>
      </c>
      <c r="D582">
        <v>53.560001</v>
      </c>
      <c r="E582">
        <v>55.040000999999997</v>
      </c>
      <c r="F582">
        <v>43.585884</v>
      </c>
      <c r="G582">
        <v>1400500</v>
      </c>
    </row>
    <row r="583" spans="1:7" x14ac:dyDescent="0.45">
      <c r="A583" s="1">
        <v>40835</v>
      </c>
      <c r="B583">
        <v>54.77</v>
      </c>
      <c r="C583">
        <v>55.040000999999997</v>
      </c>
      <c r="D583">
        <v>54.23</v>
      </c>
      <c r="E583">
        <v>54.32</v>
      </c>
      <c r="F583">
        <v>43.015723999999999</v>
      </c>
      <c r="G583">
        <v>923500</v>
      </c>
    </row>
    <row r="584" spans="1:7" x14ac:dyDescent="0.45">
      <c r="A584" s="1">
        <v>40836</v>
      </c>
      <c r="B584">
        <v>54.689999</v>
      </c>
      <c r="C584">
        <v>54.810001</v>
      </c>
      <c r="D584">
        <v>54.02</v>
      </c>
      <c r="E584">
        <v>54.540000999999997</v>
      </c>
      <c r="F584">
        <v>43.189945000000002</v>
      </c>
      <c r="G584">
        <v>1825200</v>
      </c>
    </row>
    <row r="585" spans="1:7" x14ac:dyDescent="0.45">
      <c r="A585" s="1">
        <v>40837</v>
      </c>
      <c r="B585">
        <v>55.580002</v>
      </c>
      <c r="C585">
        <v>55.799999</v>
      </c>
      <c r="D585">
        <v>55.220001000000003</v>
      </c>
      <c r="E585">
        <v>55.779998999999997</v>
      </c>
      <c r="F585">
        <v>44.171897999999999</v>
      </c>
      <c r="G585">
        <v>1114400</v>
      </c>
    </row>
    <row r="586" spans="1:7" x14ac:dyDescent="0.45">
      <c r="A586" s="1">
        <v>40840</v>
      </c>
      <c r="B586">
        <v>55.279998999999997</v>
      </c>
      <c r="C586">
        <v>56.209999000000003</v>
      </c>
      <c r="D586">
        <v>55.259998000000003</v>
      </c>
      <c r="E586">
        <v>56</v>
      </c>
      <c r="F586">
        <v>44.346107000000003</v>
      </c>
      <c r="G586">
        <v>854500</v>
      </c>
    </row>
    <row r="587" spans="1:7" x14ac:dyDescent="0.45">
      <c r="A587" s="1">
        <v>40841</v>
      </c>
      <c r="B587">
        <v>55.34</v>
      </c>
      <c r="C587">
        <v>55.43</v>
      </c>
      <c r="D587">
        <v>54.75</v>
      </c>
      <c r="E587">
        <v>54.869999</v>
      </c>
      <c r="F587">
        <v>43.451267000000001</v>
      </c>
      <c r="G587">
        <v>954700</v>
      </c>
    </row>
    <row r="588" spans="1:7" x14ac:dyDescent="0.45">
      <c r="A588" s="1">
        <v>40842</v>
      </c>
      <c r="B588">
        <v>55.389999000000003</v>
      </c>
      <c r="C588">
        <v>55.41</v>
      </c>
      <c r="D588">
        <v>54.099997999999999</v>
      </c>
      <c r="E588">
        <v>55.27</v>
      </c>
      <c r="F588">
        <v>43.768023999999997</v>
      </c>
      <c r="G588">
        <v>1358700</v>
      </c>
    </row>
    <row r="589" spans="1:7" x14ac:dyDescent="0.45">
      <c r="A589" s="1">
        <v>40843</v>
      </c>
      <c r="B589">
        <v>57.310001</v>
      </c>
      <c r="C589">
        <v>57.389999000000003</v>
      </c>
      <c r="D589">
        <v>56.220001000000003</v>
      </c>
      <c r="E589">
        <v>56.900002000000001</v>
      </c>
      <c r="F589">
        <v>45.058826000000003</v>
      </c>
      <c r="G589">
        <v>2221400</v>
      </c>
    </row>
    <row r="590" spans="1:7" x14ac:dyDescent="0.45">
      <c r="A590" s="1">
        <v>40844</v>
      </c>
      <c r="B590">
        <v>56.990001999999997</v>
      </c>
      <c r="C590">
        <v>57.029998999999997</v>
      </c>
      <c r="D590">
        <v>56.25</v>
      </c>
      <c r="E590">
        <v>56.75</v>
      </c>
      <c r="F590">
        <v>44.940029000000003</v>
      </c>
      <c r="G590">
        <v>1388700</v>
      </c>
    </row>
    <row r="591" spans="1:7" x14ac:dyDescent="0.45">
      <c r="A591" s="1">
        <v>40847</v>
      </c>
      <c r="B591">
        <v>56.630001</v>
      </c>
      <c r="C591">
        <v>56.639999000000003</v>
      </c>
      <c r="D591">
        <v>55.400002000000001</v>
      </c>
      <c r="E591">
        <v>55.470001000000003</v>
      </c>
      <c r="F591">
        <v>43.926399000000004</v>
      </c>
      <c r="G591">
        <v>1283800</v>
      </c>
    </row>
    <row r="592" spans="1:7" x14ac:dyDescent="0.45">
      <c r="A592" s="1">
        <v>40848</v>
      </c>
      <c r="B592">
        <v>54.419998</v>
      </c>
      <c r="C592">
        <v>55.32</v>
      </c>
      <c r="D592">
        <v>54.040000999999997</v>
      </c>
      <c r="E592">
        <v>54.669998</v>
      </c>
      <c r="F592">
        <v>43.292884999999998</v>
      </c>
      <c r="G592">
        <v>1253100</v>
      </c>
    </row>
    <row r="593" spans="1:7" x14ac:dyDescent="0.45">
      <c r="A593" s="1">
        <v>40849</v>
      </c>
      <c r="B593">
        <v>54.59</v>
      </c>
      <c r="C593">
        <v>54.700001</v>
      </c>
      <c r="D593">
        <v>53.830002</v>
      </c>
      <c r="E593">
        <v>54.080002</v>
      </c>
      <c r="F593">
        <v>42.825671999999997</v>
      </c>
      <c r="G593">
        <v>1150500</v>
      </c>
    </row>
    <row r="594" spans="1:7" x14ac:dyDescent="0.45">
      <c r="A594" s="1">
        <v>40850</v>
      </c>
      <c r="B594">
        <v>54.869999</v>
      </c>
      <c r="C594">
        <v>55.57</v>
      </c>
      <c r="D594">
        <v>54.290000999999997</v>
      </c>
      <c r="E594">
        <v>55.490001999999997</v>
      </c>
      <c r="F594">
        <v>43.942242</v>
      </c>
      <c r="G594">
        <v>975300</v>
      </c>
    </row>
    <row r="595" spans="1:7" x14ac:dyDescent="0.45">
      <c r="A595" s="1">
        <v>40851</v>
      </c>
      <c r="B595">
        <v>54.990001999999997</v>
      </c>
      <c r="C595">
        <v>55.23</v>
      </c>
      <c r="D595">
        <v>54.209999000000003</v>
      </c>
      <c r="E595">
        <v>54.52</v>
      </c>
      <c r="F595">
        <v>43.174103000000002</v>
      </c>
      <c r="G595">
        <v>630100</v>
      </c>
    </row>
    <row r="596" spans="1:7" x14ac:dyDescent="0.45">
      <c r="A596" s="1">
        <v>40854</v>
      </c>
      <c r="B596">
        <v>54.82</v>
      </c>
      <c r="C596">
        <v>55.48</v>
      </c>
      <c r="D596">
        <v>54.57</v>
      </c>
      <c r="E596">
        <v>55.209999000000003</v>
      </c>
      <c r="F596">
        <v>43.720509</v>
      </c>
      <c r="G596">
        <v>1264500</v>
      </c>
    </row>
    <row r="597" spans="1:7" x14ac:dyDescent="0.45">
      <c r="A597" s="1">
        <v>40855</v>
      </c>
      <c r="B597">
        <v>56.400002000000001</v>
      </c>
      <c r="C597">
        <v>57.189999</v>
      </c>
      <c r="D597">
        <v>56.189999</v>
      </c>
      <c r="E597">
        <v>57</v>
      </c>
      <c r="F597">
        <v>45.138004000000002</v>
      </c>
      <c r="G597">
        <v>1728800</v>
      </c>
    </row>
    <row r="598" spans="1:7" x14ac:dyDescent="0.45">
      <c r="A598" s="1">
        <v>40856</v>
      </c>
      <c r="B598">
        <v>56.490001999999997</v>
      </c>
      <c r="C598">
        <v>56.52</v>
      </c>
      <c r="D598">
        <v>55.540000999999997</v>
      </c>
      <c r="E598">
        <v>56.209999000000003</v>
      </c>
      <c r="F598">
        <v>44.512405000000001</v>
      </c>
      <c r="G598">
        <v>1702600</v>
      </c>
    </row>
    <row r="599" spans="1:7" x14ac:dyDescent="0.45">
      <c r="A599" s="1">
        <v>40857</v>
      </c>
      <c r="B599">
        <v>57.169998</v>
      </c>
      <c r="C599">
        <v>57.580002</v>
      </c>
      <c r="D599">
        <v>56.630001</v>
      </c>
      <c r="E599">
        <v>57.459999000000003</v>
      </c>
      <c r="F599">
        <v>45.502276999999999</v>
      </c>
      <c r="G599">
        <v>1941800</v>
      </c>
    </row>
    <row r="600" spans="1:7" x14ac:dyDescent="0.45">
      <c r="A600" s="1">
        <v>40858</v>
      </c>
      <c r="B600">
        <v>58.700001</v>
      </c>
      <c r="C600">
        <v>59.470001000000003</v>
      </c>
      <c r="D600">
        <v>58.669998</v>
      </c>
      <c r="E600">
        <v>59.290000999999997</v>
      </c>
      <c r="F600">
        <v>46.951430999999999</v>
      </c>
      <c r="G600">
        <v>1783500</v>
      </c>
    </row>
    <row r="601" spans="1:7" x14ac:dyDescent="0.45">
      <c r="A601" s="1">
        <v>40861</v>
      </c>
      <c r="B601">
        <v>57.75</v>
      </c>
      <c r="C601">
        <v>58.189999</v>
      </c>
      <c r="D601">
        <v>57.310001</v>
      </c>
      <c r="E601">
        <v>57.639999000000003</v>
      </c>
      <c r="F601">
        <v>45.644813999999997</v>
      </c>
      <c r="G601">
        <v>1422900</v>
      </c>
    </row>
    <row r="602" spans="1:7" x14ac:dyDescent="0.45">
      <c r="A602" s="1">
        <v>40862</v>
      </c>
      <c r="B602">
        <v>57.389999000000003</v>
      </c>
      <c r="C602">
        <v>57.790000999999997</v>
      </c>
      <c r="D602">
        <v>57</v>
      </c>
      <c r="E602">
        <v>57.48</v>
      </c>
      <c r="F602">
        <v>45.518112000000002</v>
      </c>
      <c r="G602">
        <v>945900</v>
      </c>
    </row>
    <row r="603" spans="1:7" x14ac:dyDescent="0.45">
      <c r="A603" s="1">
        <v>40863</v>
      </c>
      <c r="B603">
        <v>57.68</v>
      </c>
      <c r="C603">
        <v>57.98</v>
      </c>
      <c r="D603">
        <v>57.200001</v>
      </c>
      <c r="E603">
        <v>57.279998999999997</v>
      </c>
      <c r="F603">
        <v>45.359726000000002</v>
      </c>
      <c r="G603">
        <v>1124600</v>
      </c>
    </row>
    <row r="604" spans="1:7" x14ac:dyDescent="0.45">
      <c r="A604" s="1">
        <v>40864</v>
      </c>
      <c r="B604">
        <v>57.57</v>
      </c>
      <c r="C604">
        <v>57.689999</v>
      </c>
      <c r="D604">
        <v>56.68</v>
      </c>
      <c r="E604">
        <v>57.130001</v>
      </c>
      <c r="F604">
        <v>45.240952</v>
      </c>
      <c r="G604">
        <v>1288900</v>
      </c>
    </row>
    <row r="605" spans="1:7" x14ac:dyDescent="0.45">
      <c r="A605" s="1">
        <v>40865</v>
      </c>
      <c r="B605">
        <v>57.919998</v>
      </c>
      <c r="C605">
        <v>58.110000999999997</v>
      </c>
      <c r="D605">
        <v>57.389999000000003</v>
      </c>
      <c r="E605">
        <v>57.73</v>
      </c>
      <c r="F605">
        <v>45.716076000000001</v>
      </c>
      <c r="G605">
        <v>1237800</v>
      </c>
    </row>
    <row r="606" spans="1:7" x14ac:dyDescent="0.45">
      <c r="A606" s="1">
        <v>40868</v>
      </c>
      <c r="B606">
        <v>57.049999</v>
      </c>
      <c r="C606">
        <v>57.490001999999997</v>
      </c>
      <c r="D606">
        <v>56.52</v>
      </c>
      <c r="E606">
        <v>57.32</v>
      </c>
      <c r="F606">
        <v>45.391402999999997</v>
      </c>
      <c r="G606">
        <v>778400</v>
      </c>
    </row>
    <row r="607" spans="1:7" x14ac:dyDescent="0.45">
      <c r="A607" s="1">
        <v>40869</v>
      </c>
      <c r="B607">
        <v>57.709999000000003</v>
      </c>
      <c r="C607">
        <v>58.419998</v>
      </c>
      <c r="D607">
        <v>57.43</v>
      </c>
      <c r="E607">
        <v>58.189999</v>
      </c>
      <c r="F607">
        <v>46.080353000000002</v>
      </c>
      <c r="G607">
        <v>1569300</v>
      </c>
    </row>
    <row r="608" spans="1:7" x14ac:dyDescent="0.45">
      <c r="A608" s="1">
        <v>40870</v>
      </c>
      <c r="B608">
        <v>57.27</v>
      </c>
      <c r="C608">
        <v>57.630001</v>
      </c>
      <c r="D608">
        <v>56.740001999999997</v>
      </c>
      <c r="E608">
        <v>56.869999</v>
      </c>
      <c r="F608">
        <v>45.035049000000001</v>
      </c>
      <c r="G608">
        <v>1536200</v>
      </c>
    </row>
    <row r="609" spans="1:7" x14ac:dyDescent="0.45">
      <c r="A609" s="1">
        <v>40872</v>
      </c>
      <c r="B609">
        <v>56.040000999999997</v>
      </c>
      <c r="C609">
        <v>56.939999</v>
      </c>
      <c r="D609">
        <v>56</v>
      </c>
      <c r="E609">
        <v>56.34</v>
      </c>
      <c r="F609">
        <v>44.615360000000003</v>
      </c>
      <c r="G609">
        <v>526000</v>
      </c>
    </row>
    <row r="610" spans="1:7" x14ac:dyDescent="0.45">
      <c r="A610" s="1">
        <v>40875</v>
      </c>
      <c r="B610">
        <v>58.369999</v>
      </c>
      <c r="C610">
        <v>58.369999</v>
      </c>
      <c r="D610">
        <v>57.82</v>
      </c>
      <c r="E610">
        <v>58.220001000000003</v>
      </c>
      <c r="F610">
        <v>46.104111000000003</v>
      </c>
      <c r="G610">
        <v>962600</v>
      </c>
    </row>
    <row r="611" spans="1:7" x14ac:dyDescent="0.45">
      <c r="A611" s="1">
        <v>40876</v>
      </c>
      <c r="B611">
        <v>58.369999</v>
      </c>
      <c r="C611">
        <v>58.799999</v>
      </c>
      <c r="D611">
        <v>58.009998000000003</v>
      </c>
      <c r="E611">
        <v>58.439999</v>
      </c>
      <c r="F611">
        <v>46.278323999999998</v>
      </c>
      <c r="G611">
        <v>914900</v>
      </c>
    </row>
    <row r="612" spans="1:7" x14ac:dyDescent="0.45">
      <c r="A612" s="1">
        <v>40877</v>
      </c>
      <c r="B612">
        <v>59.549999</v>
      </c>
      <c r="C612">
        <v>60</v>
      </c>
      <c r="D612">
        <v>59.330002</v>
      </c>
      <c r="E612">
        <v>60</v>
      </c>
      <c r="F612">
        <v>47.513691000000001</v>
      </c>
      <c r="G612">
        <v>1541800</v>
      </c>
    </row>
    <row r="613" spans="1:7" x14ac:dyDescent="0.45">
      <c r="A613" s="1">
        <v>40878</v>
      </c>
      <c r="B613">
        <v>60.740001999999997</v>
      </c>
      <c r="C613">
        <v>60.98</v>
      </c>
      <c r="D613">
        <v>59.59</v>
      </c>
      <c r="E613">
        <v>59.810001</v>
      </c>
      <c r="F613">
        <v>47.363232000000004</v>
      </c>
      <c r="G613">
        <v>2295900</v>
      </c>
    </row>
    <row r="614" spans="1:7" x14ac:dyDescent="0.45">
      <c r="A614" s="1">
        <v>40879</v>
      </c>
      <c r="B614">
        <v>59.849997999999999</v>
      </c>
      <c r="C614">
        <v>60</v>
      </c>
      <c r="D614">
        <v>59.32</v>
      </c>
      <c r="E614">
        <v>59.91</v>
      </c>
      <c r="F614">
        <v>47.442421000000003</v>
      </c>
      <c r="G614">
        <v>1183900</v>
      </c>
    </row>
    <row r="615" spans="1:7" x14ac:dyDescent="0.45">
      <c r="A615" s="1">
        <v>40882</v>
      </c>
      <c r="B615">
        <v>60.689999</v>
      </c>
      <c r="C615">
        <v>60.860000999999997</v>
      </c>
      <c r="D615">
        <v>59.799999</v>
      </c>
      <c r="E615">
        <v>60.200001</v>
      </c>
      <c r="F615">
        <v>47.672066000000001</v>
      </c>
      <c r="G615">
        <v>891800</v>
      </c>
    </row>
    <row r="616" spans="1:7" x14ac:dyDescent="0.45">
      <c r="A616" s="1">
        <v>40883</v>
      </c>
      <c r="B616">
        <v>59.450001</v>
      </c>
      <c r="C616">
        <v>59.950001</v>
      </c>
      <c r="D616">
        <v>59.16</v>
      </c>
      <c r="E616">
        <v>59.700001</v>
      </c>
      <c r="F616">
        <v>47.276122999999998</v>
      </c>
      <c r="G616">
        <v>902500</v>
      </c>
    </row>
    <row r="617" spans="1:7" x14ac:dyDescent="0.45">
      <c r="A617" s="1">
        <v>40884</v>
      </c>
      <c r="B617">
        <v>59.25</v>
      </c>
      <c r="C617">
        <v>60.310001</v>
      </c>
      <c r="D617">
        <v>58.959999000000003</v>
      </c>
      <c r="E617">
        <v>60.169998</v>
      </c>
      <c r="F617">
        <v>47.648304000000003</v>
      </c>
      <c r="G617">
        <v>784100</v>
      </c>
    </row>
    <row r="618" spans="1:7" x14ac:dyDescent="0.45">
      <c r="A618" s="1">
        <v>40885</v>
      </c>
      <c r="B618">
        <v>59.889999000000003</v>
      </c>
      <c r="C618">
        <v>60.07</v>
      </c>
      <c r="D618">
        <v>59.18</v>
      </c>
      <c r="E618">
        <v>59.360000999999997</v>
      </c>
      <c r="F618">
        <v>47.006874000000003</v>
      </c>
      <c r="G618">
        <v>1207800</v>
      </c>
    </row>
    <row r="619" spans="1:7" x14ac:dyDescent="0.45">
      <c r="A619" s="1">
        <v>40886</v>
      </c>
      <c r="B619">
        <v>58.939999</v>
      </c>
      <c r="C619">
        <v>59.450001</v>
      </c>
      <c r="D619">
        <v>58.880001</v>
      </c>
      <c r="E619">
        <v>59.32</v>
      </c>
      <c r="F619">
        <v>46.975200999999998</v>
      </c>
      <c r="G619">
        <v>1038000</v>
      </c>
    </row>
    <row r="620" spans="1:7" x14ac:dyDescent="0.45">
      <c r="A620" s="1">
        <v>40889</v>
      </c>
      <c r="B620">
        <v>58.900002000000001</v>
      </c>
      <c r="C620">
        <v>59.07</v>
      </c>
      <c r="D620">
        <v>58.25</v>
      </c>
      <c r="E620">
        <v>58.529998999999997</v>
      </c>
      <c r="F620">
        <v>46.349606000000001</v>
      </c>
      <c r="G620">
        <v>870600</v>
      </c>
    </row>
    <row r="621" spans="1:7" x14ac:dyDescent="0.45">
      <c r="A621" s="1">
        <v>40890</v>
      </c>
      <c r="B621">
        <v>58.220001000000003</v>
      </c>
      <c r="C621">
        <v>58.650002000000001</v>
      </c>
      <c r="D621">
        <v>57.639999000000003</v>
      </c>
      <c r="E621">
        <v>57.799999</v>
      </c>
      <c r="F621">
        <v>45.771518999999998</v>
      </c>
      <c r="G621">
        <v>1291000</v>
      </c>
    </row>
    <row r="622" spans="1:7" x14ac:dyDescent="0.45">
      <c r="A622" s="1">
        <v>40891</v>
      </c>
      <c r="B622">
        <v>57.91</v>
      </c>
      <c r="C622">
        <v>58.200001</v>
      </c>
      <c r="D622">
        <v>57.07</v>
      </c>
      <c r="E622">
        <v>57.389999000000003</v>
      </c>
      <c r="F622">
        <v>45.446846000000001</v>
      </c>
      <c r="G622">
        <v>765200</v>
      </c>
    </row>
    <row r="623" spans="1:7" x14ac:dyDescent="0.45">
      <c r="A623" s="1">
        <v>40892</v>
      </c>
      <c r="B623">
        <v>57.860000999999997</v>
      </c>
      <c r="C623">
        <v>58.389999000000003</v>
      </c>
      <c r="D623">
        <v>57.68</v>
      </c>
      <c r="E623">
        <v>58.07</v>
      </c>
      <c r="F623">
        <v>45.985325000000003</v>
      </c>
      <c r="G623">
        <v>1186000</v>
      </c>
    </row>
    <row r="624" spans="1:7" x14ac:dyDescent="0.45">
      <c r="A624" s="1">
        <v>40893</v>
      </c>
      <c r="B624">
        <v>57.470001000000003</v>
      </c>
      <c r="C624">
        <v>58.049999</v>
      </c>
      <c r="D624">
        <v>57.27</v>
      </c>
      <c r="E624">
        <v>57.959999000000003</v>
      </c>
      <c r="F624">
        <v>45.898215999999998</v>
      </c>
      <c r="G624">
        <v>2602100</v>
      </c>
    </row>
    <row r="625" spans="1:7" x14ac:dyDescent="0.45">
      <c r="A625" s="1">
        <v>40896</v>
      </c>
      <c r="B625">
        <v>58.119999</v>
      </c>
      <c r="C625">
        <v>58.970001000000003</v>
      </c>
      <c r="D625">
        <v>58.07</v>
      </c>
      <c r="E625">
        <v>58.509998000000003</v>
      </c>
      <c r="F625">
        <v>46.333762999999998</v>
      </c>
      <c r="G625">
        <v>1282400</v>
      </c>
    </row>
    <row r="626" spans="1:7" x14ac:dyDescent="0.45">
      <c r="A626" s="1">
        <v>40897</v>
      </c>
      <c r="B626">
        <v>59.169998</v>
      </c>
      <c r="C626">
        <v>59.66</v>
      </c>
      <c r="D626">
        <v>58.950001</v>
      </c>
      <c r="E626">
        <v>59.18</v>
      </c>
      <c r="F626">
        <v>46.864342000000001</v>
      </c>
      <c r="G626">
        <v>1040600</v>
      </c>
    </row>
    <row r="627" spans="1:7" x14ac:dyDescent="0.45">
      <c r="A627" s="1">
        <v>40898</v>
      </c>
      <c r="B627">
        <v>59</v>
      </c>
      <c r="C627">
        <v>59.290000999999997</v>
      </c>
      <c r="D627">
        <v>58.740001999999997</v>
      </c>
      <c r="E627">
        <v>59.02</v>
      </c>
      <c r="F627">
        <v>46.737625000000001</v>
      </c>
      <c r="G627">
        <v>1504600</v>
      </c>
    </row>
    <row r="628" spans="1:7" x14ac:dyDescent="0.45">
      <c r="A628" s="1">
        <v>40899</v>
      </c>
      <c r="B628">
        <v>59.41</v>
      </c>
      <c r="C628">
        <v>59.779998999999997</v>
      </c>
      <c r="D628">
        <v>58.970001000000003</v>
      </c>
      <c r="E628">
        <v>59.720001000000003</v>
      </c>
      <c r="F628">
        <v>47.291953999999997</v>
      </c>
      <c r="G628">
        <v>501500</v>
      </c>
    </row>
    <row r="629" spans="1:7" x14ac:dyDescent="0.45">
      <c r="A629" s="1">
        <v>40900</v>
      </c>
      <c r="B629">
        <v>60.060001</v>
      </c>
      <c r="C629">
        <v>60.200001</v>
      </c>
      <c r="D629">
        <v>59.650002000000001</v>
      </c>
      <c r="E629">
        <v>60.029998999999997</v>
      </c>
      <c r="F629">
        <v>47.537436999999997</v>
      </c>
      <c r="G629">
        <v>444600</v>
      </c>
    </row>
    <row r="630" spans="1:7" x14ac:dyDescent="0.45">
      <c r="A630" s="1">
        <v>40904</v>
      </c>
      <c r="B630">
        <v>60.34</v>
      </c>
      <c r="C630">
        <v>60.93</v>
      </c>
      <c r="D630">
        <v>60.259998000000003</v>
      </c>
      <c r="E630">
        <v>60.709999000000003</v>
      </c>
      <c r="F630">
        <v>48.075927999999998</v>
      </c>
      <c r="G630">
        <v>799200</v>
      </c>
    </row>
    <row r="631" spans="1:7" x14ac:dyDescent="0.45">
      <c r="A631" s="1">
        <v>40905</v>
      </c>
      <c r="B631">
        <v>60.91</v>
      </c>
      <c r="C631">
        <v>60.91</v>
      </c>
      <c r="D631">
        <v>60.029998999999997</v>
      </c>
      <c r="E631">
        <v>60.139999000000003</v>
      </c>
      <c r="F631">
        <v>47.624554000000003</v>
      </c>
      <c r="G631">
        <v>430200</v>
      </c>
    </row>
    <row r="632" spans="1:7" x14ac:dyDescent="0.45">
      <c r="A632" s="1">
        <v>40906</v>
      </c>
      <c r="B632">
        <v>60.580002</v>
      </c>
      <c r="C632">
        <v>61.25</v>
      </c>
      <c r="D632">
        <v>60.400002000000001</v>
      </c>
      <c r="E632">
        <v>61.209999000000003</v>
      </c>
      <c r="F632">
        <v>48.471885999999998</v>
      </c>
      <c r="G632">
        <v>605900</v>
      </c>
    </row>
    <row r="633" spans="1:7" x14ac:dyDescent="0.45">
      <c r="A633" s="1">
        <v>40907</v>
      </c>
      <c r="B633">
        <v>61.25</v>
      </c>
      <c r="C633">
        <v>61.509998000000003</v>
      </c>
      <c r="D633">
        <v>60.869999</v>
      </c>
      <c r="E633">
        <v>60.990001999999997</v>
      </c>
      <c r="F633">
        <v>48.297660999999998</v>
      </c>
      <c r="G633">
        <v>849600</v>
      </c>
    </row>
    <row r="634" spans="1:7" x14ac:dyDescent="0.45">
      <c r="A634" s="1">
        <v>40911</v>
      </c>
      <c r="B634">
        <v>61.48</v>
      </c>
      <c r="C634">
        <v>61.779998999999997</v>
      </c>
      <c r="D634">
        <v>61.110000999999997</v>
      </c>
      <c r="E634">
        <v>61.369999</v>
      </c>
      <c r="F634">
        <v>48.598579000000001</v>
      </c>
      <c r="G634">
        <v>790900</v>
      </c>
    </row>
    <row r="635" spans="1:7" x14ac:dyDescent="0.45">
      <c r="A635" s="1">
        <v>40912</v>
      </c>
      <c r="B635">
        <v>60.27</v>
      </c>
      <c r="C635">
        <v>60.419998</v>
      </c>
      <c r="D635">
        <v>59.709999000000003</v>
      </c>
      <c r="E635">
        <v>60.02</v>
      </c>
      <c r="F635">
        <v>47.529522</v>
      </c>
      <c r="G635">
        <v>829000</v>
      </c>
    </row>
    <row r="636" spans="1:7" x14ac:dyDescent="0.45">
      <c r="A636" s="1">
        <v>40913</v>
      </c>
      <c r="B636">
        <v>59.889999000000003</v>
      </c>
      <c r="C636">
        <v>60.200001</v>
      </c>
      <c r="D636">
        <v>59.639999000000003</v>
      </c>
      <c r="E636">
        <v>59.950001</v>
      </c>
      <c r="F636">
        <v>47.474097999999998</v>
      </c>
      <c r="G636">
        <v>681200</v>
      </c>
    </row>
    <row r="637" spans="1:7" x14ac:dyDescent="0.45">
      <c r="A637" s="1">
        <v>40914</v>
      </c>
      <c r="B637">
        <v>60.029998999999997</v>
      </c>
      <c r="C637">
        <v>60.029998999999997</v>
      </c>
      <c r="D637">
        <v>58.779998999999997</v>
      </c>
      <c r="E637">
        <v>58.919998</v>
      </c>
      <c r="F637">
        <v>46.658442999999998</v>
      </c>
      <c r="G637">
        <v>791300</v>
      </c>
    </row>
    <row r="638" spans="1:7" x14ac:dyDescent="0.45">
      <c r="A638" s="1">
        <v>40917</v>
      </c>
      <c r="B638">
        <v>60.34</v>
      </c>
      <c r="C638">
        <v>60.98</v>
      </c>
      <c r="D638">
        <v>60.169998</v>
      </c>
      <c r="E638">
        <v>60.880001</v>
      </c>
      <c r="F638">
        <v>48.210555999999997</v>
      </c>
      <c r="G638">
        <v>1275500</v>
      </c>
    </row>
    <row r="639" spans="1:7" x14ac:dyDescent="0.45">
      <c r="A639" s="1">
        <v>40918</v>
      </c>
      <c r="B639">
        <v>61.619999</v>
      </c>
      <c r="C639">
        <v>61.720001000000003</v>
      </c>
      <c r="D639">
        <v>60.98</v>
      </c>
      <c r="E639">
        <v>61.130001</v>
      </c>
      <c r="F639">
        <v>48.408526999999999</v>
      </c>
      <c r="G639">
        <v>1251300</v>
      </c>
    </row>
    <row r="640" spans="1:7" x14ac:dyDescent="0.45">
      <c r="A640" s="1">
        <v>40919</v>
      </c>
      <c r="B640">
        <v>60.080002</v>
      </c>
      <c r="C640">
        <v>60.529998999999997</v>
      </c>
      <c r="D640">
        <v>59.75</v>
      </c>
      <c r="E640">
        <v>60.509998000000003</v>
      </c>
      <c r="F640">
        <v>47.917549000000001</v>
      </c>
      <c r="G640">
        <v>869600</v>
      </c>
    </row>
    <row r="641" spans="1:7" x14ac:dyDescent="0.45">
      <c r="A641" s="1">
        <v>40920</v>
      </c>
      <c r="B641">
        <v>61.07</v>
      </c>
      <c r="C641">
        <v>61.189999</v>
      </c>
      <c r="D641">
        <v>60.689999</v>
      </c>
      <c r="E641">
        <v>60.990001999999997</v>
      </c>
      <c r="F641">
        <v>48.297660999999998</v>
      </c>
      <c r="G641">
        <v>976400</v>
      </c>
    </row>
    <row r="642" spans="1:7" x14ac:dyDescent="0.45">
      <c r="A642" s="1">
        <v>40921</v>
      </c>
      <c r="B642">
        <v>59.23</v>
      </c>
      <c r="C642">
        <v>59.700001</v>
      </c>
      <c r="D642">
        <v>59.23</v>
      </c>
      <c r="E642">
        <v>59.619999</v>
      </c>
      <c r="F642">
        <v>47.212764999999997</v>
      </c>
      <c r="G642">
        <v>1038000</v>
      </c>
    </row>
    <row r="643" spans="1:7" x14ac:dyDescent="0.45">
      <c r="A643" s="1">
        <v>40925</v>
      </c>
      <c r="B643">
        <v>61.029998999999997</v>
      </c>
      <c r="C643">
        <v>61.099997999999999</v>
      </c>
      <c r="D643">
        <v>60.59</v>
      </c>
      <c r="E643">
        <v>60.740001999999997</v>
      </c>
      <c r="F643">
        <v>48.099693000000002</v>
      </c>
      <c r="G643">
        <v>624800</v>
      </c>
    </row>
    <row r="644" spans="1:7" x14ac:dyDescent="0.45">
      <c r="A644" s="1">
        <v>40926</v>
      </c>
      <c r="B644">
        <v>61.650002000000001</v>
      </c>
      <c r="C644">
        <v>61.98</v>
      </c>
      <c r="D644">
        <v>61.299999</v>
      </c>
      <c r="E644">
        <v>61.959999000000003</v>
      </c>
      <c r="F644">
        <v>49.065804</v>
      </c>
      <c r="G644">
        <v>840300</v>
      </c>
    </row>
    <row r="645" spans="1:7" x14ac:dyDescent="0.45">
      <c r="A645" s="1">
        <v>40927</v>
      </c>
      <c r="B645">
        <v>61.66</v>
      </c>
      <c r="C645">
        <v>62.459999000000003</v>
      </c>
      <c r="D645">
        <v>61.580002</v>
      </c>
      <c r="E645">
        <v>62.450001</v>
      </c>
      <c r="F645">
        <v>49.453826999999997</v>
      </c>
      <c r="G645">
        <v>1445500</v>
      </c>
    </row>
    <row r="646" spans="1:7" x14ac:dyDescent="0.45">
      <c r="A646" s="1">
        <v>40928</v>
      </c>
      <c r="B646">
        <v>61.5</v>
      </c>
      <c r="C646">
        <v>62.139999000000003</v>
      </c>
      <c r="D646">
        <v>61.330002</v>
      </c>
      <c r="E646">
        <v>62.110000999999997</v>
      </c>
      <c r="F646">
        <v>49.184593</v>
      </c>
      <c r="G646">
        <v>1474700</v>
      </c>
    </row>
    <row r="647" spans="1:7" x14ac:dyDescent="0.45">
      <c r="A647" s="1">
        <v>40931</v>
      </c>
      <c r="B647">
        <v>61.610000999999997</v>
      </c>
      <c r="C647">
        <v>62.130001</v>
      </c>
      <c r="D647">
        <v>60.810001</v>
      </c>
      <c r="E647">
        <v>61.139999000000003</v>
      </c>
      <c r="F647">
        <v>48.416438999999997</v>
      </c>
      <c r="G647">
        <v>1461800</v>
      </c>
    </row>
    <row r="648" spans="1:7" x14ac:dyDescent="0.45">
      <c r="A648" s="1">
        <v>40932</v>
      </c>
      <c r="B648">
        <v>60.849997999999999</v>
      </c>
      <c r="C648">
        <v>61.459999000000003</v>
      </c>
      <c r="D648">
        <v>60.560001</v>
      </c>
      <c r="E648">
        <v>61.439999</v>
      </c>
      <c r="F648">
        <v>48.654010999999997</v>
      </c>
      <c r="G648">
        <v>1254700</v>
      </c>
    </row>
    <row r="649" spans="1:7" x14ac:dyDescent="0.45">
      <c r="A649" s="1">
        <v>40933</v>
      </c>
      <c r="B649">
        <v>61.139999000000003</v>
      </c>
      <c r="C649">
        <v>62.220001000000003</v>
      </c>
      <c r="D649">
        <v>60.990001999999997</v>
      </c>
      <c r="E649">
        <v>62.169998</v>
      </c>
      <c r="F649">
        <v>49.232093999999996</v>
      </c>
      <c r="G649">
        <v>918700</v>
      </c>
    </row>
    <row r="650" spans="1:7" x14ac:dyDescent="0.45">
      <c r="A650" s="1">
        <v>40934</v>
      </c>
      <c r="B650">
        <v>62.330002</v>
      </c>
      <c r="C650">
        <v>62.580002</v>
      </c>
      <c r="D650">
        <v>61.73</v>
      </c>
      <c r="E650">
        <v>61.889999000000003</v>
      </c>
      <c r="F650">
        <v>49.010368</v>
      </c>
      <c r="G650">
        <v>1227200</v>
      </c>
    </row>
    <row r="651" spans="1:7" x14ac:dyDescent="0.45">
      <c r="A651" s="1">
        <v>40935</v>
      </c>
      <c r="B651">
        <v>61.299999</v>
      </c>
      <c r="C651">
        <v>61.669998</v>
      </c>
      <c r="D651">
        <v>61.27</v>
      </c>
      <c r="E651">
        <v>61.549999</v>
      </c>
      <c r="F651">
        <v>48.741123000000002</v>
      </c>
      <c r="G651">
        <v>1051900</v>
      </c>
    </row>
    <row r="652" spans="1:7" x14ac:dyDescent="0.45">
      <c r="A652" s="1">
        <v>40938</v>
      </c>
      <c r="B652">
        <v>61.189999</v>
      </c>
      <c r="C652">
        <v>61.290000999999997</v>
      </c>
      <c r="D652">
        <v>60.950001</v>
      </c>
      <c r="E652">
        <v>61.110000999999997</v>
      </c>
      <c r="F652">
        <v>48.392696000000001</v>
      </c>
      <c r="G652">
        <v>888400</v>
      </c>
    </row>
    <row r="653" spans="1:7" x14ac:dyDescent="0.45">
      <c r="A653" s="1">
        <v>40939</v>
      </c>
      <c r="B653">
        <v>61.200001</v>
      </c>
      <c r="C653">
        <v>61.220001000000003</v>
      </c>
      <c r="D653">
        <v>60.52</v>
      </c>
      <c r="E653">
        <v>60.799999</v>
      </c>
      <c r="F653">
        <v>48.147193999999999</v>
      </c>
      <c r="G653">
        <v>1051500</v>
      </c>
    </row>
    <row r="654" spans="1:7" x14ac:dyDescent="0.45">
      <c r="A654" s="1">
        <v>40940</v>
      </c>
      <c r="B654">
        <v>61.77</v>
      </c>
      <c r="C654">
        <v>62.919998</v>
      </c>
      <c r="D654">
        <v>61.619999</v>
      </c>
      <c r="E654">
        <v>62.740001999999997</v>
      </c>
      <c r="F654">
        <v>49.683478999999998</v>
      </c>
      <c r="G654">
        <v>1590500</v>
      </c>
    </row>
    <row r="655" spans="1:7" x14ac:dyDescent="0.45">
      <c r="A655" s="1">
        <v>40941</v>
      </c>
      <c r="B655">
        <v>62.91</v>
      </c>
      <c r="C655">
        <v>63.189999</v>
      </c>
      <c r="D655">
        <v>62.59</v>
      </c>
      <c r="E655">
        <v>63.009998000000003</v>
      </c>
      <c r="F655">
        <v>49.897289000000001</v>
      </c>
      <c r="G655">
        <v>1589200</v>
      </c>
    </row>
    <row r="656" spans="1:7" x14ac:dyDescent="0.45">
      <c r="A656" s="1">
        <v>40942</v>
      </c>
      <c r="B656">
        <v>63.450001</v>
      </c>
      <c r="C656">
        <v>64.639999000000003</v>
      </c>
      <c r="D656">
        <v>63.419998</v>
      </c>
      <c r="E656">
        <v>64.559997999999993</v>
      </c>
      <c r="F656">
        <v>51.124724999999998</v>
      </c>
      <c r="G656">
        <v>1952600</v>
      </c>
    </row>
    <row r="657" spans="1:7" x14ac:dyDescent="0.45">
      <c r="A657" s="1">
        <v>40945</v>
      </c>
      <c r="B657">
        <v>63.66</v>
      </c>
      <c r="C657">
        <v>64.349997999999999</v>
      </c>
      <c r="D657">
        <v>63.470001000000003</v>
      </c>
      <c r="E657">
        <v>64.050003000000004</v>
      </c>
      <c r="F657">
        <v>50.720866999999998</v>
      </c>
      <c r="G657">
        <v>2146300</v>
      </c>
    </row>
    <row r="658" spans="1:7" x14ac:dyDescent="0.45">
      <c r="A658" s="1">
        <v>40946</v>
      </c>
      <c r="B658">
        <v>64.470000999999996</v>
      </c>
      <c r="C658">
        <v>64.959998999999996</v>
      </c>
      <c r="D658">
        <v>64.349997999999999</v>
      </c>
      <c r="E658">
        <v>64.819999999999993</v>
      </c>
      <c r="F658">
        <v>51.330624</v>
      </c>
      <c r="G658">
        <v>2302900</v>
      </c>
    </row>
    <row r="659" spans="1:7" x14ac:dyDescent="0.45">
      <c r="A659" s="1">
        <v>40947</v>
      </c>
      <c r="B659">
        <v>64.669998000000007</v>
      </c>
      <c r="C659">
        <v>64.910004000000001</v>
      </c>
      <c r="D659">
        <v>64.319999999999993</v>
      </c>
      <c r="E659">
        <v>64.449996999999996</v>
      </c>
      <c r="F659">
        <v>51.037609000000003</v>
      </c>
      <c r="G659">
        <v>839400</v>
      </c>
    </row>
    <row r="660" spans="1:7" x14ac:dyDescent="0.45">
      <c r="A660" s="1">
        <v>40948</v>
      </c>
      <c r="B660">
        <v>65.029999000000004</v>
      </c>
      <c r="C660">
        <v>65.309997999999993</v>
      </c>
      <c r="D660">
        <v>64.610000999999997</v>
      </c>
      <c r="E660">
        <v>65.25</v>
      </c>
      <c r="F660">
        <v>51.671135</v>
      </c>
      <c r="G660">
        <v>1340200</v>
      </c>
    </row>
    <row r="661" spans="1:7" x14ac:dyDescent="0.45">
      <c r="A661" s="1">
        <v>40949</v>
      </c>
      <c r="B661">
        <v>64.089995999999999</v>
      </c>
      <c r="C661">
        <v>64.330001999999993</v>
      </c>
      <c r="D661">
        <v>64</v>
      </c>
      <c r="E661">
        <v>64.269997000000004</v>
      </c>
      <c r="F661">
        <v>50.895080999999998</v>
      </c>
      <c r="G661">
        <v>882000</v>
      </c>
    </row>
    <row r="662" spans="1:7" x14ac:dyDescent="0.45">
      <c r="A662" s="1">
        <v>40952</v>
      </c>
      <c r="B662">
        <v>64.739998</v>
      </c>
      <c r="C662">
        <v>65.150002000000001</v>
      </c>
      <c r="D662">
        <v>64.629997000000003</v>
      </c>
      <c r="E662">
        <v>64.980002999999996</v>
      </c>
      <c r="F662">
        <v>51.457324999999997</v>
      </c>
      <c r="G662">
        <v>1057500</v>
      </c>
    </row>
    <row r="663" spans="1:7" x14ac:dyDescent="0.45">
      <c r="A663" s="1">
        <v>40953</v>
      </c>
      <c r="B663">
        <v>65.160004000000001</v>
      </c>
      <c r="C663">
        <v>65.300003000000004</v>
      </c>
      <c r="D663">
        <v>64.419998000000007</v>
      </c>
      <c r="E663">
        <v>64.709998999999996</v>
      </c>
      <c r="F663">
        <v>51.243507000000001</v>
      </c>
      <c r="G663">
        <v>987500</v>
      </c>
    </row>
    <row r="664" spans="1:7" x14ac:dyDescent="0.45">
      <c r="A664" s="1">
        <v>40954</v>
      </c>
      <c r="B664">
        <v>64.760002</v>
      </c>
      <c r="C664">
        <v>64.910004000000001</v>
      </c>
      <c r="D664">
        <v>64.080001999999993</v>
      </c>
      <c r="E664">
        <v>64.230002999999996</v>
      </c>
      <c r="F664">
        <v>50.863402999999998</v>
      </c>
      <c r="G664">
        <v>706900</v>
      </c>
    </row>
    <row r="665" spans="1:7" x14ac:dyDescent="0.45">
      <c r="A665" s="1">
        <v>40955</v>
      </c>
      <c r="B665">
        <v>64.660004000000001</v>
      </c>
      <c r="C665">
        <v>65.5</v>
      </c>
      <c r="D665">
        <v>64.480002999999996</v>
      </c>
      <c r="E665">
        <v>65.370002999999997</v>
      </c>
      <c r="F665">
        <v>51.766162999999999</v>
      </c>
      <c r="G665">
        <v>1493000</v>
      </c>
    </row>
    <row r="666" spans="1:7" x14ac:dyDescent="0.45">
      <c r="A666" s="1">
        <v>40956</v>
      </c>
      <c r="B666">
        <v>65.379997000000003</v>
      </c>
      <c r="C666">
        <v>65.680000000000007</v>
      </c>
      <c r="D666">
        <v>65.169998000000007</v>
      </c>
      <c r="E666">
        <v>65.370002999999997</v>
      </c>
      <c r="F666">
        <v>51.766162999999999</v>
      </c>
      <c r="G666">
        <v>628300</v>
      </c>
    </row>
    <row r="667" spans="1:7" x14ac:dyDescent="0.45">
      <c r="A667" s="1">
        <v>40960</v>
      </c>
      <c r="B667">
        <v>65.809997999999993</v>
      </c>
      <c r="C667">
        <v>65.980002999999996</v>
      </c>
      <c r="D667">
        <v>65.25</v>
      </c>
      <c r="E667">
        <v>65.489998</v>
      </c>
      <c r="F667">
        <v>51.861179</v>
      </c>
      <c r="G667">
        <v>520100</v>
      </c>
    </row>
    <row r="668" spans="1:7" x14ac:dyDescent="0.45">
      <c r="A668" s="1">
        <v>40961</v>
      </c>
      <c r="B668">
        <v>65.599997999999999</v>
      </c>
      <c r="C668">
        <v>65.970000999999996</v>
      </c>
      <c r="D668">
        <v>65.279999000000004</v>
      </c>
      <c r="E668">
        <v>65.75</v>
      </c>
      <c r="F668">
        <v>52.067073999999998</v>
      </c>
      <c r="G668">
        <v>1114800</v>
      </c>
    </row>
    <row r="669" spans="1:7" x14ac:dyDescent="0.45">
      <c r="A669" s="1">
        <v>40962</v>
      </c>
      <c r="B669">
        <v>65.900002000000001</v>
      </c>
      <c r="C669">
        <v>66.069999999999993</v>
      </c>
      <c r="D669">
        <v>65.389999000000003</v>
      </c>
      <c r="E669">
        <v>66</v>
      </c>
      <c r="F669">
        <v>52.265048999999998</v>
      </c>
      <c r="G669">
        <v>1141100</v>
      </c>
    </row>
    <row r="670" spans="1:7" x14ac:dyDescent="0.45">
      <c r="A670" s="1">
        <v>40963</v>
      </c>
      <c r="B670">
        <v>66.110000999999997</v>
      </c>
      <c r="C670">
        <v>66.480002999999996</v>
      </c>
      <c r="D670">
        <v>65.919998000000007</v>
      </c>
      <c r="E670">
        <v>66.25</v>
      </c>
      <c r="F670">
        <v>52.463031999999998</v>
      </c>
      <c r="G670">
        <v>752700</v>
      </c>
    </row>
    <row r="671" spans="1:7" x14ac:dyDescent="0.45">
      <c r="A671" s="1">
        <v>40966</v>
      </c>
      <c r="B671">
        <v>65.800003000000004</v>
      </c>
      <c r="C671">
        <v>66.279999000000004</v>
      </c>
      <c r="D671">
        <v>65.699996999999996</v>
      </c>
      <c r="E671">
        <v>65.989998</v>
      </c>
      <c r="F671">
        <v>52.257133000000003</v>
      </c>
      <c r="G671">
        <v>466600</v>
      </c>
    </row>
    <row r="672" spans="1:7" x14ac:dyDescent="0.45">
      <c r="A672" s="1">
        <v>40967</v>
      </c>
      <c r="B672">
        <v>66.769997000000004</v>
      </c>
      <c r="C672">
        <v>67.069999999999993</v>
      </c>
      <c r="D672">
        <v>66.589995999999999</v>
      </c>
      <c r="E672">
        <v>66.849997999999999</v>
      </c>
      <c r="F672">
        <v>52.938167999999997</v>
      </c>
      <c r="G672">
        <v>940200</v>
      </c>
    </row>
    <row r="673" spans="1:7" x14ac:dyDescent="0.45">
      <c r="A673" s="1">
        <v>40968</v>
      </c>
      <c r="B673">
        <v>68.129997000000003</v>
      </c>
      <c r="C673">
        <v>68.150002000000001</v>
      </c>
      <c r="D673">
        <v>67.069999999999993</v>
      </c>
      <c r="E673">
        <v>67.25</v>
      </c>
      <c r="F673">
        <v>53.254921000000003</v>
      </c>
      <c r="G673">
        <v>1103100</v>
      </c>
    </row>
    <row r="674" spans="1:7" x14ac:dyDescent="0.45">
      <c r="A674" s="1">
        <v>40969</v>
      </c>
      <c r="B674">
        <v>68.040001000000004</v>
      </c>
      <c r="C674">
        <v>68.550003000000004</v>
      </c>
      <c r="D674">
        <v>67.830001999999993</v>
      </c>
      <c r="E674">
        <v>68.419998000000007</v>
      </c>
      <c r="F674">
        <v>54.181438</v>
      </c>
      <c r="G674">
        <v>1457700</v>
      </c>
    </row>
    <row r="675" spans="1:7" x14ac:dyDescent="0.45">
      <c r="A675" s="1">
        <v>40970</v>
      </c>
      <c r="B675">
        <v>67.639999000000003</v>
      </c>
      <c r="C675">
        <v>67.709998999999996</v>
      </c>
      <c r="D675">
        <v>66.769997000000004</v>
      </c>
      <c r="E675">
        <v>66.879997000000003</v>
      </c>
      <c r="F675">
        <v>52.961925999999998</v>
      </c>
      <c r="G675">
        <v>870800</v>
      </c>
    </row>
    <row r="676" spans="1:7" x14ac:dyDescent="0.45">
      <c r="A676" s="1">
        <v>40973</v>
      </c>
      <c r="B676">
        <v>67.800003000000004</v>
      </c>
      <c r="C676">
        <v>67.800003000000004</v>
      </c>
      <c r="D676">
        <v>66.910004000000001</v>
      </c>
      <c r="E676">
        <v>67.25</v>
      </c>
      <c r="F676">
        <v>53.254921000000003</v>
      </c>
      <c r="G676">
        <v>1459600</v>
      </c>
    </row>
    <row r="677" spans="1:7" x14ac:dyDescent="0.45">
      <c r="A677" s="1">
        <v>40974</v>
      </c>
      <c r="B677">
        <v>66.5</v>
      </c>
      <c r="C677">
        <v>66.669998000000007</v>
      </c>
      <c r="D677">
        <v>65.769997000000004</v>
      </c>
      <c r="E677">
        <v>65.879997000000003</v>
      </c>
      <c r="F677">
        <v>52.170029</v>
      </c>
      <c r="G677">
        <v>2198800</v>
      </c>
    </row>
    <row r="678" spans="1:7" x14ac:dyDescent="0.45">
      <c r="A678" s="1">
        <v>40975</v>
      </c>
      <c r="B678">
        <v>66.510002</v>
      </c>
      <c r="C678">
        <v>66.949996999999996</v>
      </c>
      <c r="D678">
        <v>66.239998</v>
      </c>
      <c r="E678">
        <v>66.870002999999997</v>
      </c>
      <c r="F678">
        <v>52.953999000000003</v>
      </c>
      <c r="G678">
        <v>1175100</v>
      </c>
    </row>
    <row r="679" spans="1:7" x14ac:dyDescent="0.45">
      <c r="A679" s="1">
        <v>40976</v>
      </c>
      <c r="B679">
        <v>68.809997999999993</v>
      </c>
      <c r="C679">
        <v>69.930000000000007</v>
      </c>
      <c r="D679">
        <v>68.580001999999993</v>
      </c>
      <c r="E679">
        <v>69.559997999999993</v>
      </c>
      <c r="F679">
        <v>55.084193999999997</v>
      </c>
      <c r="G679">
        <v>1864900</v>
      </c>
    </row>
    <row r="680" spans="1:7" x14ac:dyDescent="0.45">
      <c r="A680" s="1">
        <v>40977</v>
      </c>
      <c r="B680">
        <v>69.559997999999993</v>
      </c>
      <c r="C680">
        <v>69.900002000000001</v>
      </c>
      <c r="D680">
        <v>69.459998999999996</v>
      </c>
      <c r="E680">
        <v>69.559997999999993</v>
      </c>
      <c r="F680">
        <v>55.084193999999997</v>
      </c>
      <c r="G680">
        <v>1035600</v>
      </c>
    </row>
    <row r="681" spans="1:7" x14ac:dyDescent="0.45">
      <c r="A681" s="1">
        <v>40980</v>
      </c>
      <c r="B681">
        <v>70.199996999999996</v>
      </c>
      <c r="C681">
        <v>70.980002999999996</v>
      </c>
      <c r="D681">
        <v>70.040001000000004</v>
      </c>
      <c r="E681">
        <v>70.889999000000003</v>
      </c>
      <c r="F681">
        <v>56.137424000000003</v>
      </c>
      <c r="G681">
        <v>1392100</v>
      </c>
    </row>
    <row r="682" spans="1:7" x14ac:dyDescent="0.45">
      <c r="A682" s="1">
        <v>40981</v>
      </c>
      <c r="B682">
        <v>71.010002</v>
      </c>
      <c r="C682">
        <v>71.699996999999996</v>
      </c>
      <c r="D682">
        <v>70.910004000000001</v>
      </c>
      <c r="E682">
        <v>71.690002000000007</v>
      </c>
      <c r="F682">
        <v>56.770935000000001</v>
      </c>
      <c r="G682">
        <v>1941400</v>
      </c>
    </row>
    <row r="683" spans="1:7" x14ac:dyDescent="0.45">
      <c r="A683" s="1">
        <v>40982</v>
      </c>
      <c r="B683">
        <v>71.650002000000001</v>
      </c>
      <c r="C683">
        <v>72.019997000000004</v>
      </c>
      <c r="D683">
        <v>71.279999000000004</v>
      </c>
      <c r="E683">
        <v>71.430000000000007</v>
      </c>
      <c r="F683">
        <v>56.565041000000001</v>
      </c>
      <c r="G683">
        <v>1947700</v>
      </c>
    </row>
    <row r="684" spans="1:7" x14ac:dyDescent="0.45">
      <c r="A684" s="1">
        <v>40983</v>
      </c>
      <c r="B684">
        <v>71.480002999999996</v>
      </c>
      <c r="C684">
        <v>71.519997000000004</v>
      </c>
      <c r="D684">
        <v>71.160004000000001</v>
      </c>
      <c r="E684">
        <v>71.400002000000001</v>
      </c>
      <c r="F684">
        <v>56.541297999999998</v>
      </c>
      <c r="G684">
        <v>1620500</v>
      </c>
    </row>
    <row r="685" spans="1:7" x14ac:dyDescent="0.45">
      <c r="A685" s="1">
        <v>40984</v>
      </c>
      <c r="B685">
        <v>72.290001000000004</v>
      </c>
      <c r="C685">
        <v>72.489998</v>
      </c>
      <c r="D685">
        <v>71.889999000000003</v>
      </c>
      <c r="E685">
        <v>72.339995999999999</v>
      </c>
      <c r="F685">
        <v>57.28566</v>
      </c>
      <c r="G685">
        <v>1720000</v>
      </c>
    </row>
    <row r="686" spans="1:7" x14ac:dyDescent="0.45">
      <c r="A686" s="1">
        <v>40987</v>
      </c>
      <c r="B686">
        <v>72.010002</v>
      </c>
      <c r="C686">
        <v>72.540001000000004</v>
      </c>
      <c r="D686">
        <v>71.900002000000001</v>
      </c>
      <c r="E686">
        <v>72.389999000000003</v>
      </c>
      <c r="F686">
        <v>57.32526</v>
      </c>
      <c r="G686">
        <v>982900</v>
      </c>
    </row>
    <row r="687" spans="1:7" x14ac:dyDescent="0.45">
      <c r="A687" s="1">
        <v>40988</v>
      </c>
      <c r="B687">
        <v>72</v>
      </c>
      <c r="C687">
        <v>72.379997000000003</v>
      </c>
      <c r="D687">
        <v>71.900002000000001</v>
      </c>
      <c r="E687">
        <v>72.379997000000003</v>
      </c>
      <c r="F687">
        <v>57.317345000000003</v>
      </c>
      <c r="G687">
        <v>772700</v>
      </c>
    </row>
    <row r="688" spans="1:7" x14ac:dyDescent="0.45">
      <c r="A688" s="1">
        <v>40989</v>
      </c>
      <c r="B688">
        <v>72.629997000000003</v>
      </c>
      <c r="C688">
        <v>72.699996999999996</v>
      </c>
      <c r="D688">
        <v>72.190002000000007</v>
      </c>
      <c r="E688">
        <v>72.459998999999996</v>
      </c>
      <c r="F688">
        <v>57.380702999999997</v>
      </c>
      <c r="G688">
        <v>821300</v>
      </c>
    </row>
    <row r="689" spans="1:7" x14ac:dyDescent="0.45">
      <c r="A689" s="1">
        <v>40990</v>
      </c>
      <c r="B689">
        <v>72.300003000000004</v>
      </c>
      <c r="C689">
        <v>72.620002999999997</v>
      </c>
      <c r="D689">
        <v>71.970000999999996</v>
      </c>
      <c r="E689">
        <v>72.620002999999997</v>
      </c>
      <c r="F689">
        <v>57.507404000000001</v>
      </c>
      <c r="G689">
        <v>975800</v>
      </c>
    </row>
    <row r="690" spans="1:7" x14ac:dyDescent="0.45">
      <c r="A690" s="1">
        <v>40991</v>
      </c>
      <c r="B690">
        <v>72.019997000000004</v>
      </c>
      <c r="C690">
        <v>72.209998999999996</v>
      </c>
      <c r="D690">
        <v>71.400002000000001</v>
      </c>
      <c r="E690">
        <v>72.150002000000001</v>
      </c>
      <c r="F690">
        <v>57.135212000000003</v>
      </c>
      <c r="G690">
        <v>823500</v>
      </c>
    </row>
    <row r="691" spans="1:7" x14ac:dyDescent="0.45">
      <c r="A691" s="1">
        <v>40994</v>
      </c>
      <c r="B691">
        <v>72.849997999999999</v>
      </c>
      <c r="C691">
        <v>73.489998</v>
      </c>
      <c r="D691">
        <v>72.790001000000004</v>
      </c>
      <c r="E691">
        <v>73.480002999999996</v>
      </c>
      <c r="F691">
        <v>58.188437999999998</v>
      </c>
      <c r="G691">
        <v>1035200</v>
      </c>
    </row>
    <row r="692" spans="1:7" x14ac:dyDescent="0.45">
      <c r="A692" s="1">
        <v>40995</v>
      </c>
      <c r="B692">
        <v>73.220000999999996</v>
      </c>
      <c r="C692">
        <v>73.379997000000003</v>
      </c>
      <c r="D692">
        <v>72.819999999999993</v>
      </c>
      <c r="E692">
        <v>72.889999000000003</v>
      </c>
      <c r="F692">
        <v>57.721214000000003</v>
      </c>
      <c r="G692">
        <v>1273500</v>
      </c>
    </row>
    <row r="693" spans="1:7" x14ac:dyDescent="0.45">
      <c r="A693" s="1">
        <v>40996</v>
      </c>
      <c r="B693">
        <v>72.970000999999996</v>
      </c>
      <c r="C693">
        <v>72.970000999999996</v>
      </c>
      <c r="D693">
        <v>71.970000999999996</v>
      </c>
      <c r="E693">
        <v>72.339995999999999</v>
      </c>
      <c r="F693">
        <v>57.28566</v>
      </c>
      <c r="G693">
        <v>851900</v>
      </c>
    </row>
    <row r="694" spans="1:7" x14ac:dyDescent="0.45">
      <c r="A694" s="1">
        <v>40997</v>
      </c>
      <c r="B694">
        <v>71.699996999999996</v>
      </c>
      <c r="C694">
        <v>72.019997000000004</v>
      </c>
      <c r="D694">
        <v>71.190002000000007</v>
      </c>
      <c r="E694">
        <v>72</v>
      </c>
      <c r="F694">
        <v>57.016415000000002</v>
      </c>
      <c r="G694">
        <v>1782500</v>
      </c>
    </row>
    <row r="695" spans="1:7" x14ac:dyDescent="0.45">
      <c r="A695" s="1">
        <v>40998</v>
      </c>
      <c r="B695">
        <v>72.480002999999996</v>
      </c>
      <c r="C695">
        <v>73.069999999999993</v>
      </c>
      <c r="D695">
        <v>72.389999000000003</v>
      </c>
      <c r="E695">
        <v>72.720000999999996</v>
      </c>
      <c r="F695">
        <v>57.586582</v>
      </c>
      <c r="G695">
        <v>1144800</v>
      </c>
    </row>
    <row r="696" spans="1:7" x14ac:dyDescent="0.45">
      <c r="A696" s="1">
        <v>41001</v>
      </c>
      <c r="B696">
        <v>72.580001999999993</v>
      </c>
      <c r="C696">
        <v>73.489998</v>
      </c>
      <c r="D696">
        <v>72.5</v>
      </c>
      <c r="E696">
        <v>73.419998000000007</v>
      </c>
      <c r="F696">
        <v>58.140906999999999</v>
      </c>
      <c r="G696">
        <v>596400</v>
      </c>
    </row>
    <row r="697" spans="1:7" x14ac:dyDescent="0.45">
      <c r="A697" s="1">
        <v>41002</v>
      </c>
      <c r="B697">
        <v>73.839995999999999</v>
      </c>
      <c r="C697">
        <v>74.309997999999993</v>
      </c>
      <c r="D697">
        <v>73.220000999999996</v>
      </c>
      <c r="E697">
        <v>73.519997000000004</v>
      </c>
      <c r="F697">
        <v>58.220100000000002</v>
      </c>
      <c r="G697">
        <v>933100</v>
      </c>
    </row>
    <row r="698" spans="1:7" x14ac:dyDescent="0.45">
      <c r="A698" s="1">
        <v>41003</v>
      </c>
      <c r="B698">
        <v>71.190002000000007</v>
      </c>
      <c r="C698">
        <v>71.680000000000007</v>
      </c>
      <c r="D698">
        <v>70.650002000000001</v>
      </c>
      <c r="E698">
        <v>71.370002999999997</v>
      </c>
      <c r="F698">
        <v>56.517544000000001</v>
      </c>
      <c r="G698">
        <v>1980900</v>
      </c>
    </row>
    <row r="699" spans="1:7" x14ac:dyDescent="0.45">
      <c r="A699" s="1">
        <v>41004</v>
      </c>
      <c r="B699">
        <v>70.260002</v>
      </c>
      <c r="C699">
        <v>70.959998999999996</v>
      </c>
      <c r="D699">
        <v>70.059997999999993</v>
      </c>
      <c r="E699">
        <v>70.849997999999999</v>
      </c>
      <c r="F699">
        <v>56.105736</v>
      </c>
      <c r="G699">
        <v>1335100</v>
      </c>
    </row>
    <row r="700" spans="1:7" x14ac:dyDescent="0.45">
      <c r="A700" s="1">
        <v>41008</v>
      </c>
      <c r="B700">
        <v>70.139999000000003</v>
      </c>
      <c r="C700">
        <v>71</v>
      </c>
      <c r="D700">
        <v>70.129997000000003</v>
      </c>
      <c r="E700">
        <v>70.669998000000007</v>
      </c>
      <c r="F700">
        <v>55.963203</v>
      </c>
      <c r="G700">
        <v>906600</v>
      </c>
    </row>
    <row r="701" spans="1:7" x14ac:dyDescent="0.45">
      <c r="A701" s="1">
        <v>41009</v>
      </c>
      <c r="B701">
        <v>70.860000999999997</v>
      </c>
      <c r="C701">
        <v>70.970000999999996</v>
      </c>
      <c r="D701">
        <v>70.069999999999993</v>
      </c>
      <c r="E701">
        <v>70.069999999999993</v>
      </c>
      <c r="F701">
        <v>55.488075000000002</v>
      </c>
      <c r="G701">
        <v>1483600</v>
      </c>
    </row>
    <row r="702" spans="1:7" x14ac:dyDescent="0.45">
      <c r="A702" s="1">
        <v>41010</v>
      </c>
      <c r="B702">
        <v>71.239998</v>
      </c>
      <c r="C702">
        <v>71.330001999999993</v>
      </c>
      <c r="D702">
        <v>70.889999000000003</v>
      </c>
      <c r="E702">
        <v>71.089995999999999</v>
      </c>
      <c r="F702">
        <v>56.295799000000002</v>
      </c>
      <c r="G702">
        <v>909300</v>
      </c>
    </row>
    <row r="703" spans="1:7" x14ac:dyDescent="0.45">
      <c r="A703" s="1">
        <v>41011</v>
      </c>
      <c r="B703">
        <v>71.650002000000001</v>
      </c>
      <c r="C703">
        <v>72.440002000000007</v>
      </c>
      <c r="D703">
        <v>71.559997999999993</v>
      </c>
      <c r="E703">
        <v>72.290001000000004</v>
      </c>
      <c r="F703">
        <v>57.246077999999997</v>
      </c>
      <c r="G703">
        <v>1234300</v>
      </c>
    </row>
    <row r="704" spans="1:7" x14ac:dyDescent="0.45">
      <c r="A704" s="1">
        <v>41012</v>
      </c>
      <c r="B704">
        <v>71.269997000000004</v>
      </c>
      <c r="C704">
        <v>71.319999999999993</v>
      </c>
      <c r="D704">
        <v>70.230002999999996</v>
      </c>
      <c r="E704">
        <v>70.860000999999997</v>
      </c>
      <c r="F704">
        <v>56.113667</v>
      </c>
      <c r="G704">
        <v>931900</v>
      </c>
    </row>
    <row r="705" spans="1:7" x14ac:dyDescent="0.45">
      <c r="A705" s="1">
        <v>41015</v>
      </c>
      <c r="B705">
        <v>71.970000999999996</v>
      </c>
      <c r="C705">
        <v>72.449996999999996</v>
      </c>
      <c r="D705">
        <v>71.589995999999999</v>
      </c>
      <c r="E705">
        <v>72.080001999999993</v>
      </c>
      <c r="F705">
        <v>57.079768999999999</v>
      </c>
      <c r="G705">
        <v>1234800</v>
      </c>
    </row>
    <row r="706" spans="1:7" x14ac:dyDescent="0.45">
      <c r="A706" s="1">
        <v>41016</v>
      </c>
      <c r="B706">
        <v>72.720000999999996</v>
      </c>
      <c r="C706">
        <v>72.830001999999993</v>
      </c>
      <c r="D706">
        <v>72.260002</v>
      </c>
      <c r="E706">
        <v>72.440002000000007</v>
      </c>
      <c r="F706">
        <v>57.364857000000001</v>
      </c>
      <c r="G706">
        <v>2496200</v>
      </c>
    </row>
    <row r="707" spans="1:7" x14ac:dyDescent="0.45">
      <c r="A707" s="1">
        <v>41017</v>
      </c>
      <c r="B707">
        <v>72.709998999999996</v>
      </c>
      <c r="C707">
        <v>73.860000999999997</v>
      </c>
      <c r="D707">
        <v>72.680000000000007</v>
      </c>
      <c r="E707">
        <v>73.860000999999997</v>
      </c>
      <c r="F707">
        <v>58.489345999999998</v>
      </c>
      <c r="G707">
        <v>2735800</v>
      </c>
    </row>
    <row r="708" spans="1:7" x14ac:dyDescent="0.45">
      <c r="A708" s="1">
        <v>41018</v>
      </c>
      <c r="B708">
        <v>73.360000999999997</v>
      </c>
      <c r="C708">
        <v>73.699996999999996</v>
      </c>
      <c r="D708">
        <v>72.930000000000007</v>
      </c>
      <c r="E708">
        <v>73.199996999999996</v>
      </c>
      <c r="F708">
        <v>57.966686000000003</v>
      </c>
      <c r="G708">
        <v>1746500</v>
      </c>
    </row>
    <row r="709" spans="1:7" x14ac:dyDescent="0.45">
      <c r="A709" s="1">
        <v>41019</v>
      </c>
      <c r="B709">
        <v>73.309997999999993</v>
      </c>
      <c r="C709">
        <v>73.580001999999993</v>
      </c>
      <c r="D709">
        <v>72.699996999999996</v>
      </c>
      <c r="E709">
        <v>72.779999000000004</v>
      </c>
      <c r="F709">
        <v>57.63409</v>
      </c>
      <c r="G709">
        <v>1089600</v>
      </c>
    </row>
    <row r="710" spans="1:7" x14ac:dyDescent="0.45">
      <c r="A710" s="1">
        <v>41022</v>
      </c>
      <c r="B710">
        <v>71.860000999999997</v>
      </c>
      <c r="C710">
        <v>72.080001999999993</v>
      </c>
      <c r="D710">
        <v>71.260002</v>
      </c>
      <c r="E710">
        <v>71.940002000000007</v>
      </c>
      <c r="F710">
        <v>56.968921999999999</v>
      </c>
      <c r="G710">
        <v>732900</v>
      </c>
    </row>
    <row r="711" spans="1:7" x14ac:dyDescent="0.45">
      <c r="A711" s="1">
        <v>41023</v>
      </c>
      <c r="B711">
        <v>71.220000999999996</v>
      </c>
      <c r="C711">
        <v>71.760002</v>
      </c>
      <c r="D711">
        <v>70.980002999999996</v>
      </c>
      <c r="E711">
        <v>71.449996999999996</v>
      </c>
      <c r="F711">
        <v>57.846516000000001</v>
      </c>
      <c r="G711">
        <v>1118600</v>
      </c>
    </row>
    <row r="712" spans="1:7" x14ac:dyDescent="0.45">
      <c r="A712" s="1">
        <v>41024</v>
      </c>
      <c r="B712">
        <v>72.260002</v>
      </c>
      <c r="C712">
        <v>72.290001000000004</v>
      </c>
      <c r="D712">
        <v>71.650002000000001</v>
      </c>
      <c r="E712">
        <v>71.800003000000004</v>
      </c>
      <c r="F712">
        <v>58.129883</v>
      </c>
      <c r="G712">
        <v>1140300</v>
      </c>
    </row>
    <row r="713" spans="1:7" x14ac:dyDescent="0.45">
      <c r="A713" s="1">
        <v>41025</v>
      </c>
      <c r="B713">
        <v>72.370002999999997</v>
      </c>
      <c r="C713">
        <v>72.910004000000001</v>
      </c>
      <c r="D713">
        <v>72.059997999999993</v>
      </c>
      <c r="E713">
        <v>72.650002000000001</v>
      </c>
      <c r="F713">
        <v>58.818049999999999</v>
      </c>
      <c r="G713">
        <v>893000</v>
      </c>
    </row>
    <row r="714" spans="1:7" x14ac:dyDescent="0.45">
      <c r="A714" s="1">
        <v>41026</v>
      </c>
      <c r="B714">
        <v>72.690002000000007</v>
      </c>
      <c r="C714">
        <v>73.169998000000007</v>
      </c>
      <c r="D714">
        <v>72.569999999999993</v>
      </c>
      <c r="E714">
        <v>72.639999000000003</v>
      </c>
      <c r="F714">
        <v>58.809956</v>
      </c>
      <c r="G714">
        <v>861600</v>
      </c>
    </row>
    <row r="715" spans="1:7" x14ac:dyDescent="0.45">
      <c r="A715" s="1">
        <v>41029</v>
      </c>
      <c r="B715">
        <v>71.900002000000001</v>
      </c>
      <c r="C715">
        <v>72.639999000000003</v>
      </c>
      <c r="D715">
        <v>71.330001999999993</v>
      </c>
      <c r="E715">
        <v>72.620002999999997</v>
      </c>
      <c r="F715">
        <v>58.793770000000002</v>
      </c>
      <c r="G715">
        <v>2093800</v>
      </c>
    </row>
    <row r="716" spans="1:7" x14ac:dyDescent="0.45">
      <c r="A716" s="1">
        <v>41030</v>
      </c>
      <c r="B716">
        <v>72.930000000000007</v>
      </c>
      <c r="C716">
        <v>74.150002000000001</v>
      </c>
      <c r="D716">
        <v>72.680000000000007</v>
      </c>
      <c r="E716">
        <v>73.209998999999996</v>
      </c>
      <c r="F716">
        <v>59.271434999999997</v>
      </c>
      <c r="G716">
        <v>1348300</v>
      </c>
    </row>
    <row r="717" spans="1:7" x14ac:dyDescent="0.45">
      <c r="A717" s="1">
        <v>41031</v>
      </c>
      <c r="B717">
        <v>72.930000000000007</v>
      </c>
      <c r="C717">
        <v>73.150002000000001</v>
      </c>
      <c r="D717">
        <v>72.690002000000007</v>
      </c>
      <c r="E717">
        <v>72.919998000000007</v>
      </c>
      <c r="F717">
        <v>59.036651999999997</v>
      </c>
      <c r="G717">
        <v>890300</v>
      </c>
    </row>
    <row r="718" spans="1:7" x14ac:dyDescent="0.45">
      <c r="A718" s="1">
        <v>41032</v>
      </c>
      <c r="B718">
        <v>74.980002999999996</v>
      </c>
      <c r="C718">
        <v>75.069999999999993</v>
      </c>
      <c r="D718">
        <v>74.25</v>
      </c>
      <c r="E718">
        <v>74.330001999999993</v>
      </c>
      <c r="F718">
        <v>60.178204000000001</v>
      </c>
      <c r="G718">
        <v>2300000</v>
      </c>
    </row>
    <row r="719" spans="1:7" x14ac:dyDescent="0.45">
      <c r="A719" s="1">
        <v>41033</v>
      </c>
      <c r="B719">
        <v>73.800003000000004</v>
      </c>
      <c r="C719">
        <v>74.029999000000004</v>
      </c>
      <c r="D719">
        <v>73.069999999999993</v>
      </c>
      <c r="E719">
        <v>73.559997999999993</v>
      </c>
      <c r="F719">
        <v>59.554810000000003</v>
      </c>
      <c r="G719">
        <v>1601800</v>
      </c>
    </row>
    <row r="720" spans="1:7" x14ac:dyDescent="0.45">
      <c r="A720" s="1">
        <v>41036</v>
      </c>
      <c r="B720">
        <v>74.319999999999993</v>
      </c>
      <c r="C720">
        <v>75.080001999999993</v>
      </c>
      <c r="D720">
        <v>74.260002</v>
      </c>
      <c r="E720">
        <v>74.919998000000007</v>
      </c>
      <c r="F720">
        <v>60.655853</v>
      </c>
      <c r="G720">
        <v>1589600</v>
      </c>
    </row>
    <row r="721" spans="1:7" x14ac:dyDescent="0.45">
      <c r="A721" s="1">
        <v>41037</v>
      </c>
      <c r="B721">
        <v>73.120002999999997</v>
      </c>
      <c r="C721">
        <v>73.480002999999996</v>
      </c>
      <c r="D721">
        <v>72.370002999999997</v>
      </c>
      <c r="E721">
        <v>72.800003000000004</v>
      </c>
      <c r="F721">
        <v>58.939498999999998</v>
      </c>
      <c r="G721">
        <v>1278800</v>
      </c>
    </row>
    <row r="722" spans="1:7" x14ac:dyDescent="0.45">
      <c r="A722" s="1">
        <v>41038</v>
      </c>
      <c r="B722">
        <v>71.489998</v>
      </c>
      <c r="C722">
        <v>71.970000999999996</v>
      </c>
      <c r="D722">
        <v>70.949996999999996</v>
      </c>
      <c r="E722">
        <v>71.709998999999996</v>
      </c>
      <c r="F722">
        <v>58.057026</v>
      </c>
      <c r="G722">
        <v>1446400</v>
      </c>
    </row>
    <row r="723" spans="1:7" x14ac:dyDescent="0.45">
      <c r="A723" s="1">
        <v>41039</v>
      </c>
      <c r="B723">
        <v>71.75</v>
      </c>
      <c r="C723">
        <v>72.080001999999993</v>
      </c>
      <c r="D723">
        <v>71.449996999999996</v>
      </c>
      <c r="E723">
        <v>71.559997999999993</v>
      </c>
      <c r="F723">
        <v>57.935566000000001</v>
      </c>
      <c r="G723">
        <v>1007000</v>
      </c>
    </row>
    <row r="724" spans="1:7" x14ac:dyDescent="0.45">
      <c r="A724" s="1">
        <v>41040</v>
      </c>
      <c r="B724">
        <v>71.459998999999996</v>
      </c>
      <c r="C724">
        <v>72.660004000000001</v>
      </c>
      <c r="D724">
        <v>71.360000999999997</v>
      </c>
      <c r="E724">
        <v>71.949996999999996</v>
      </c>
      <c r="F724">
        <v>58.251323999999997</v>
      </c>
      <c r="G724">
        <v>503900</v>
      </c>
    </row>
    <row r="725" spans="1:7" x14ac:dyDescent="0.45">
      <c r="A725" s="1">
        <v>41043</v>
      </c>
      <c r="B725">
        <v>70.639999000000003</v>
      </c>
      <c r="C725">
        <v>71.620002999999997</v>
      </c>
      <c r="D725">
        <v>70.5</v>
      </c>
      <c r="E725">
        <v>71.489998</v>
      </c>
      <c r="F725">
        <v>57.878906000000001</v>
      </c>
      <c r="G725">
        <v>1817900</v>
      </c>
    </row>
    <row r="726" spans="1:7" x14ac:dyDescent="0.45">
      <c r="A726" s="1">
        <v>41044</v>
      </c>
      <c r="B726">
        <v>70.720000999999996</v>
      </c>
      <c r="C726">
        <v>71.019997000000004</v>
      </c>
      <c r="D726">
        <v>70.309997999999993</v>
      </c>
      <c r="E726">
        <v>70.830001999999993</v>
      </c>
      <c r="F726">
        <v>57.344566</v>
      </c>
      <c r="G726">
        <v>1739900</v>
      </c>
    </row>
    <row r="727" spans="1:7" x14ac:dyDescent="0.45">
      <c r="A727" s="1">
        <v>41045</v>
      </c>
      <c r="B727">
        <v>69.830001999999993</v>
      </c>
      <c r="C727">
        <v>70.650002000000001</v>
      </c>
      <c r="D727">
        <v>69.709998999999996</v>
      </c>
      <c r="E727">
        <v>70.099997999999999</v>
      </c>
      <c r="F727">
        <v>56.753548000000002</v>
      </c>
      <c r="G727">
        <v>3142200</v>
      </c>
    </row>
    <row r="728" spans="1:7" x14ac:dyDescent="0.45">
      <c r="A728" s="1">
        <v>41046</v>
      </c>
      <c r="B728">
        <v>69.949996999999996</v>
      </c>
      <c r="C728">
        <v>70.239998</v>
      </c>
      <c r="D728">
        <v>69.300003000000004</v>
      </c>
      <c r="E728">
        <v>69.389999000000003</v>
      </c>
      <c r="F728">
        <v>56.178722</v>
      </c>
      <c r="G728">
        <v>3000900</v>
      </c>
    </row>
    <row r="729" spans="1:7" x14ac:dyDescent="0.45">
      <c r="A729" s="1">
        <v>41047</v>
      </c>
      <c r="B729">
        <v>68.720000999999996</v>
      </c>
      <c r="C729">
        <v>68.809997999999993</v>
      </c>
      <c r="D729">
        <v>67.800003000000004</v>
      </c>
      <c r="E729">
        <v>68.330001999999993</v>
      </c>
      <c r="F729">
        <v>55.320540999999999</v>
      </c>
      <c r="G729">
        <v>2565500</v>
      </c>
    </row>
    <row r="730" spans="1:7" x14ac:dyDescent="0.45">
      <c r="A730" s="1">
        <v>41050</v>
      </c>
      <c r="B730">
        <v>68.150002000000001</v>
      </c>
      <c r="C730">
        <v>68.830001999999993</v>
      </c>
      <c r="D730">
        <v>67.889999000000003</v>
      </c>
      <c r="E730">
        <v>68.720000999999996</v>
      </c>
      <c r="F730">
        <v>55.636291999999997</v>
      </c>
      <c r="G730">
        <v>1785500</v>
      </c>
    </row>
    <row r="731" spans="1:7" x14ac:dyDescent="0.45">
      <c r="A731" s="1">
        <v>41051</v>
      </c>
      <c r="B731">
        <v>68.860000999999997</v>
      </c>
      <c r="C731">
        <v>69.190002000000007</v>
      </c>
      <c r="D731">
        <v>68.309997999999993</v>
      </c>
      <c r="E731">
        <v>68.639999000000003</v>
      </c>
      <c r="F731">
        <v>55.571517999999998</v>
      </c>
      <c r="G731">
        <v>2113000</v>
      </c>
    </row>
    <row r="732" spans="1:7" x14ac:dyDescent="0.45">
      <c r="A732" s="1">
        <v>41052</v>
      </c>
      <c r="B732">
        <v>67.339995999999999</v>
      </c>
      <c r="C732">
        <v>67.769997000000004</v>
      </c>
      <c r="D732">
        <v>66.690002000000007</v>
      </c>
      <c r="E732">
        <v>67.589995999999999</v>
      </c>
      <c r="F732">
        <v>54.721438999999997</v>
      </c>
      <c r="G732">
        <v>3600000</v>
      </c>
    </row>
    <row r="733" spans="1:7" x14ac:dyDescent="0.45">
      <c r="A733" s="1">
        <v>41053</v>
      </c>
      <c r="B733">
        <v>67.819999999999993</v>
      </c>
      <c r="C733">
        <v>68.839995999999999</v>
      </c>
      <c r="D733">
        <v>67.660004000000001</v>
      </c>
      <c r="E733">
        <v>68.620002999999997</v>
      </c>
      <c r="F733">
        <v>55.555335999999997</v>
      </c>
      <c r="G733">
        <v>4218900</v>
      </c>
    </row>
    <row r="734" spans="1:7" x14ac:dyDescent="0.45">
      <c r="A734" s="1">
        <v>41054</v>
      </c>
      <c r="B734">
        <v>67.910004000000001</v>
      </c>
      <c r="C734">
        <v>68.690002000000007</v>
      </c>
      <c r="D734">
        <v>67.730002999999996</v>
      </c>
      <c r="E734">
        <v>68.279999000000004</v>
      </c>
      <c r="F734">
        <v>55.280067000000003</v>
      </c>
      <c r="G734">
        <v>1865800</v>
      </c>
    </row>
    <row r="735" spans="1:7" x14ac:dyDescent="0.45">
      <c r="A735" s="1">
        <v>41058</v>
      </c>
      <c r="B735">
        <v>69.010002</v>
      </c>
      <c r="C735">
        <v>69.080001999999993</v>
      </c>
      <c r="D735">
        <v>68.540001000000004</v>
      </c>
      <c r="E735">
        <v>68.949996999999996</v>
      </c>
      <c r="F735">
        <v>55.822502</v>
      </c>
      <c r="G735">
        <v>1304700</v>
      </c>
    </row>
    <row r="736" spans="1:7" x14ac:dyDescent="0.45">
      <c r="A736" s="1">
        <v>41059</v>
      </c>
      <c r="B736">
        <v>68.139999000000003</v>
      </c>
      <c r="C736">
        <v>68.309997999999993</v>
      </c>
      <c r="D736">
        <v>67.360000999999997</v>
      </c>
      <c r="E736">
        <v>67.519997000000004</v>
      </c>
      <c r="F736">
        <v>54.664752999999997</v>
      </c>
      <c r="G736">
        <v>1587600</v>
      </c>
    </row>
    <row r="737" spans="1:7" x14ac:dyDescent="0.45">
      <c r="A737" s="1">
        <v>41060</v>
      </c>
      <c r="B737">
        <v>68.059997999999993</v>
      </c>
      <c r="C737">
        <v>68.059997999999993</v>
      </c>
      <c r="D737">
        <v>66.970000999999996</v>
      </c>
      <c r="E737">
        <v>67.699996999999996</v>
      </c>
      <c r="F737">
        <v>54.810493000000001</v>
      </c>
      <c r="G737">
        <v>1326200</v>
      </c>
    </row>
    <row r="738" spans="1:7" x14ac:dyDescent="0.45">
      <c r="A738" s="1">
        <v>41061</v>
      </c>
      <c r="B738">
        <v>65.760002</v>
      </c>
      <c r="C738">
        <v>66.139999000000003</v>
      </c>
      <c r="D738">
        <v>64.989998</v>
      </c>
      <c r="E738">
        <v>65.569999999999993</v>
      </c>
      <c r="F738">
        <v>53.086024999999999</v>
      </c>
      <c r="G738">
        <v>3397400</v>
      </c>
    </row>
    <row r="739" spans="1:7" x14ac:dyDescent="0.45">
      <c r="A739" s="1">
        <v>41064</v>
      </c>
      <c r="B739">
        <v>66.059997999999993</v>
      </c>
      <c r="C739">
        <v>66.5</v>
      </c>
      <c r="D739">
        <v>65.620002999999997</v>
      </c>
      <c r="E739">
        <v>65.949996999999996</v>
      </c>
      <c r="F739">
        <v>53.393681000000001</v>
      </c>
      <c r="G739">
        <v>1457900</v>
      </c>
    </row>
    <row r="740" spans="1:7" x14ac:dyDescent="0.45">
      <c r="A740" s="1">
        <v>41065</v>
      </c>
      <c r="B740">
        <v>65.709998999999996</v>
      </c>
      <c r="C740">
        <v>66.120002999999997</v>
      </c>
      <c r="D740">
        <v>65.550003000000004</v>
      </c>
      <c r="E740">
        <v>66.019997000000004</v>
      </c>
      <c r="F740">
        <v>53.450347999999998</v>
      </c>
      <c r="G740">
        <v>1442600</v>
      </c>
    </row>
    <row r="741" spans="1:7" x14ac:dyDescent="0.45">
      <c r="A741" s="1">
        <v>41066</v>
      </c>
      <c r="B741">
        <v>67.050003000000004</v>
      </c>
      <c r="C741">
        <v>68.120002999999997</v>
      </c>
      <c r="D741">
        <v>66.819999999999993</v>
      </c>
      <c r="E741">
        <v>68.120002999999997</v>
      </c>
      <c r="F741">
        <v>55.150523999999997</v>
      </c>
      <c r="G741">
        <v>1151100</v>
      </c>
    </row>
    <row r="742" spans="1:7" x14ac:dyDescent="0.45">
      <c r="A742" s="1">
        <v>41067</v>
      </c>
      <c r="B742">
        <v>68.620002999999997</v>
      </c>
      <c r="C742">
        <v>68.620002999999997</v>
      </c>
      <c r="D742">
        <v>67.199996999999996</v>
      </c>
      <c r="E742">
        <v>67.599997999999999</v>
      </c>
      <c r="F742">
        <v>54.729523</v>
      </c>
      <c r="G742">
        <v>1747500</v>
      </c>
    </row>
    <row r="743" spans="1:7" x14ac:dyDescent="0.45">
      <c r="A743" s="1">
        <v>41068</v>
      </c>
      <c r="B743">
        <v>67.650002000000001</v>
      </c>
      <c r="C743">
        <v>68.129997000000003</v>
      </c>
      <c r="D743">
        <v>67.510002</v>
      </c>
      <c r="E743">
        <v>68.129997000000003</v>
      </c>
      <c r="F743">
        <v>55.158619000000002</v>
      </c>
      <c r="G743">
        <v>1566000</v>
      </c>
    </row>
    <row r="744" spans="1:7" x14ac:dyDescent="0.45">
      <c r="A744" s="1">
        <v>41071</v>
      </c>
      <c r="B744">
        <v>68.360000999999997</v>
      </c>
      <c r="C744">
        <v>68.569999999999993</v>
      </c>
      <c r="D744">
        <v>67.129997000000003</v>
      </c>
      <c r="E744">
        <v>67.199996999999996</v>
      </c>
      <c r="F744">
        <v>54.405692999999999</v>
      </c>
      <c r="G744">
        <v>2043200</v>
      </c>
    </row>
    <row r="745" spans="1:7" x14ac:dyDescent="0.45">
      <c r="A745" s="1">
        <v>41072</v>
      </c>
      <c r="B745">
        <v>68.400002000000001</v>
      </c>
      <c r="C745">
        <v>69.110000999999997</v>
      </c>
      <c r="D745">
        <v>67.760002</v>
      </c>
      <c r="E745">
        <v>69.010002</v>
      </c>
      <c r="F745">
        <v>55.871090000000002</v>
      </c>
      <c r="G745">
        <v>1669300</v>
      </c>
    </row>
    <row r="746" spans="1:7" x14ac:dyDescent="0.45">
      <c r="A746" s="1">
        <v>41073</v>
      </c>
      <c r="B746">
        <v>69.970000999999996</v>
      </c>
      <c r="C746">
        <v>70.400002000000001</v>
      </c>
      <c r="D746">
        <v>69.319999999999993</v>
      </c>
      <c r="E746">
        <v>69.940002000000007</v>
      </c>
      <c r="F746">
        <v>56.624020000000002</v>
      </c>
      <c r="G746">
        <v>3221200</v>
      </c>
    </row>
    <row r="747" spans="1:7" x14ac:dyDescent="0.45">
      <c r="A747" s="1">
        <v>41074</v>
      </c>
      <c r="B747">
        <v>70.709998999999996</v>
      </c>
      <c r="C747">
        <v>71.739998</v>
      </c>
      <c r="D747">
        <v>70.599997999999999</v>
      </c>
      <c r="E747">
        <v>71.330001999999993</v>
      </c>
      <c r="F747">
        <v>57.749381999999997</v>
      </c>
      <c r="G747">
        <v>1738600</v>
      </c>
    </row>
    <row r="748" spans="1:7" x14ac:dyDescent="0.45">
      <c r="A748" s="1">
        <v>41075</v>
      </c>
      <c r="B748">
        <v>71.129997000000003</v>
      </c>
      <c r="C748">
        <v>71.25</v>
      </c>
      <c r="D748">
        <v>70.709998999999996</v>
      </c>
      <c r="E748">
        <v>70.970000999999996</v>
      </c>
      <c r="F748">
        <v>57.457912</v>
      </c>
      <c r="G748">
        <v>1114300</v>
      </c>
    </row>
    <row r="749" spans="1:7" x14ac:dyDescent="0.45">
      <c r="A749" s="1">
        <v>41078</v>
      </c>
      <c r="B749">
        <v>70.440002000000007</v>
      </c>
      <c r="C749">
        <v>70.989998</v>
      </c>
      <c r="D749">
        <v>70.279999000000004</v>
      </c>
      <c r="E749">
        <v>70.769997000000004</v>
      </c>
      <c r="F749">
        <v>57.295994</v>
      </c>
      <c r="G749">
        <v>1119500</v>
      </c>
    </row>
    <row r="750" spans="1:7" x14ac:dyDescent="0.45">
      <c r="A750" s="1">
        <v>41079</v>
      </c>
      <c r="B750">
        <v>70.169998000000007</v>
      </c>
      <c r="C750">
        <v>71.809997999999993</v>
      </c>
      <c r="D750">
        <v>70.169998000000007</v>
      </c>
      <c r="E750">
        <v>71.290001000000004</v>
      </c>
      <c r="F750">
        <v>57.716991</v>
      </c>
      <c r="G750">
        <v>636100</v>
      </c>
    </row>
    <row r="751" spans="1:7" x14ac:dyDescent="0.45">
      <c r="A751" s="1">
        <v>41080</v>
      </c>
      <c r="B751">
        <v>69.669998000000007</v>
      </c>
      <c r="C751">
        <v>70.639999000000003</v>
      </c>
      <c r="D751">
        <v>69.669998000000007</v>
      </c>
      <c r="E751">
        <v>70.190002000000007</v>
      </c>
      <c r="F751">
        <v>56.826416000000002</v>
      </c>
      <c r="G751">
        <v>1296200</v>
      </c>
    </row>
    <row r="752" spans="1:7" x14ac:dyDescent="0.45">
      <c r="A752" s="1">
        <v>41081</v>
      </c>
      <c r="B752">
        <v>70.809997999999993</v>
      </c>
      <c r="C752">
        <v>70.889999000000003</v>
      </c>
      <c r="D752">
        <v>69.410004000000001</v>
      </c>
      <c r="E752">
        <v>69.449996999999996</v>
      </c>
      <c r="F752">
        <v>56.227302999999999</v>
      </c>
      <c r="G752">
        <v>669500</v>
      </c>
    </row>
    <row r="753" spans="1:7" x14ac:dyDescent="0.45">
      <c r="A753" s="1">
        <v>41082</v>
      </c>
      <c r="B753">
        <v>70.029999000000004</v>
      </c>
      <c r="C753">
        <v>70.440002000000007</v>
      </c>
      <c r="D753">
        <v>69.519997000000004</v>
      </c>
      <c r="E753">
        <v>70.290001000000004</v>
      </c>
      <c r="F753">
        <v>56.907375000000002</v>
      </c>
      <c r="G753">
        <v>919600</v>
      </c>
    </row>
    <row r="754" spans="1:7" x14ac:dyDescent="0.45">
      <c r="A754" s="1">
        <v>41085</v>
      </c>
      <c r="B754">
        <v>71.519997000000004</v>
      </c>
      <c r="C754">
        <v>71.760002</v>
      </c>
      <c r="D754">
        <v>69.669998000000007</v>
      </c>
      <c r="E754">
        <v>70.849997999999999</v>
      </c>
      <c r="F754">
        <v>57.360751999999998</v>
      </c>
      <c r="G754">
        <v>2260600</v>
      </c>
    </row>
    <row r="755" spans="1:7" x14ac:dyDescent="0.45">
      <c r="A755" s="1">
        <v>41086</v>
      </c>
      <c r="B755">
        <v>72.169998000000007</v>
      </c>
      <c r="C755">
        <v>72.830001999999993</v>
      </c>
      <c r="D755">
        <v>71.790001000000004</v>
      </c>
      <c r="E755">
        <v>72.669998000000007</v>
      </c>
      <c r="F755">
        <v>58.834248000000002</v>
      </c>
      <c r="G755">
        <v>1984200</v>
      </c>
    </row>
    <row r="756" spans="1:7" x14ac:dyDescent="0.45">
      <c r="A756" s="1">
        <v>41087</v>
      </c>
      <c r="B756">
        <v>72.730002999999996</v>
      </c>
      <c r="C756">
        <v>73.580001999999993</v>
      </c>
      <c r="D756">
        <v>72.449996999999996</v>
      </c>
      <c r="E756">
        <v>73.349997999999999</v>
      </c>
      <c r="F756">
        <v>59.384788999999998</v>
      </c>
      <c r="G756">
        <v>2234000</v>
      </c>
    </row>
    <row r="757" spans="1:7" x14ac:dyDescent="0.45">
      <c r="A757" s="1">
        <v>41088</v>
      </c>
      <c r="B757">
        <v>72.529999000000004</v>
      </c>
      <c r="C757">
        <v>73.790001000000004</v>
      </c>
      <c r="D757">
        <v>72.230002999999996</v>
      </c>
      <c r="E757">
        <v>73.790001000000004</v>
      </c>
      <c r="F757">
        <v>59.741013000000002</v>
      </c>
      <c r="G757">
        <v>1231000</v>
      </c>
    </row>
    <row r="758" spans="1:7" x14ac:dyDescent="0.45">
      <c r="A758" s="1">
        <v>41089</v>
      </c>
      <c r="B758">
        <v>76.809997999999993</v>
      </c>
      <c r="C758">
        <v>79.650002000000001</v>
      </c>
      <c r="D758">
        <v>76.519997000000004</v>
      </c>
      <c r="E758">
        <v>79.650002000000001</v>
      </c>
      <c r="F758">
        <v>64.485313000000005</v>
      </c>
      <c r="G758">
        <v>5290100</v>
      </c>
    </row>
    <row r="759" spans="1:7" x14ac:dyDescent="0.45">
      <c r="A759" s="1">
        <v>41092</v>
      </c>
      <c r="B759">
        <v>78.800003000000004</v>
      </c>
      <c r="C759">
        <v>79.349997999999999</v>
      </c>
      <c r="D759">
        <v>78.730002999999996</v>
      </c>
      <c r="E759">
        <v>79.300003000000004</v>
      </c>
      <c r="F759">
        <v>64.201949999999997</v>
      </c>
      <c r="G759">
        <v>2122000</v>
      </c>
    </row>
    <row r="760" spans="1:7" x14ac:dyDescent="0.45">
      <c r="A760" s="1">
        <v>41093</v>
      </c>
      <c r="B760">
        <v>79.180000000000007</v>
      </c>
      <c r="C760">
        <v>79.569999999999993</v>
      </c>
      <c r="D760">
        <v>78.680000000000007</v>
      </c>
      <c r="E760">
        <v>79.510002</v>
      </c>
      <c r="F760">
        <v>64.371955999999997</v>
      </c>
      <c r="G760">
        <v>955700</v>
      </c>
    </row>
    <row r="761" spans="1:7" x14ac:dyDescent="0.45">
      <c r="A761" s="1">
        <v>41095</v>
      </c>
      <c r="B761">
        <v>77.940002000000007</v>
      </c>
      <c r="C761">
        <v>78.680000000000007</v>
      </c>
      <c r="D761">
        <v>77.599997999999999</v>
      </c>
      <c r="E761">
        <v>78.239998</v>
      </c>
      <c r="F761">
        <v>63.343761000000001</v>
      </c>
      <c r="G761">
        <v>1651700</v>
      </c>
    </row>
    <row r="762" spans="1:7" x14ac:dyDescent="0.45">
      <c r="A762" s="1">
        <v>41096</v>
      </c>
      <c r="B762">
        <v>77.650002000000001</v>
      </c>
      <c r="C762">
        <v>78.029999000000004</v>
      </c>
      <c r="D762">
        <v>77.330001999999993</v>
      </c>
      <c r="E762">
        <v>77.800003000000004</v>
      </c>
      <c r="F762">
        <v>62.987549000000001</v>
      </c>
      <c r="G762">
        <v>1117900</v>
      </c>
    </row>
    <row r="763" spans="1:7" x14ac:dyDescent="0.45">
      <c r="A763" s="1">
        <v>41099</v>
      </c>
      <c r="B763">
        <v>77.669998000000007</v>
      </c>
      <c r="C763">
        <v>77.839995999999999</v>
      </c>
      <c r="D763">
        <v>76.949996999999996</v>
      </c>
      <c r="E763">
        <v>77.769997000000004</v>
      </c>
      <c r="F763">
        <v>62.963234</v>
      </c>
      <c r="G763">
        <v>1797600</v>
      </c>
    </row>
    <row r="764" spans="1:7" x14ac:dyDescent="0.45">
      <c r="A764" s="1">
        <v>41100</v>
      </c>
      <c r="B764">
        <v>78.610000999999997</v>
      </c>
      <c r="C764">
        <v>78.900002000000001</v>
      </c>
      <c r="D764">
        <v>77.980002999999996</v>
      </c>
      <c r="E764">
        <v>78.330001999999993</v>
      </c>
      <c r="F764">
        <v>63.416629999999998</v>
      </c>
      <c r="G764">
        <v>1132600</v>
      </c>
    </row>
    <row r="765" spans="1:7" x14ac:dyDescent="0.45">
      <c r="A765" s="1">
        <v>41101</v>
      </c>
      <c r="B765">
        <v>77.529999000000004</v>
      </c>
      <c r="C765">
        <v>77.709998999999996</v>
      </c>
      <c r="D765">
        <v>76.720000999999996</v>
      </c>
      <c r="E765">
        <v>77.169998000000007</v>
      </c>
      <c r="F765">
        <v>62.477477999999998</v>
      </c>
      <c r="G765">
        <v>2014600</v>
      </c>
    </row>
    <row r="766" spans="1:7" x14ac:dyDescent="0.45">
      <c r="A766" s="1">
        <v>41102</v>
      </c>
      <c r="B766">
        <v>76.690002000000007</v>
      </c>
      <c r="C766">
        <v>77.099997999999999</v>
      </c>
      <c r="D766">
        <v>76.599997999999999</v>
      </c>
      <c r="E766">
        <v>76.730002999999996</v>
      </c>
      <c r="F766">
        <v>62.121262000000002</v>
      </c>
      <c r="G766">
        <v>1189900</v>
      </c>
    </row>
    <row r="767" spans="1:7" x14ac:dyDescent="0.45">
      <c r="A767" s="1">
        <v>41103</v>
      </c>
      <c r="B767">
        <v>76.540001000000004</v>
      </c>
      <c r="C767">
        <v>77.569999999999993</v>
      </c>
      <c r="D767">
        <v>76.540001000000004</v>
      </c>
      <c r="E767">
        <v>77.470000999999996</v>
      </c>
      <c r="F767">
        <v>62.720359999999999</v>
      </c>
      <c r="G767">
        <v>1189700</v>
      </c>
    </row>
    <row r="768" spans="1:7" x14ac:dyDescent="0.45">
      <c r="A768" s="1">
        <v>41106</v>
      </c>
      <c r="B768">
        <v>76.510002</v>
      </c>
      <c r="C768">
        <v>77.519997000000004</v>
      </c>
      <c r="D768">
        <v>76.440002000000007</v>
      </c>
      <c r="E768">
        <v>77.260002</v>
      </c>
      <c r="F768">
        <v>62.550345999999998</v>
      </c>
      <c r="G768">
        <v>1075300</v>
      </c>
    </row>
    <row r="769" spans="1:7" x14ac:dyDescent="0.45">
      <c r="A769" s="1">
        <v>41107</v>
      </c>
      <c r="B769">
        <v>77.760002</v>
      </c>
      <c r="C769">
        <v>77.839995999999999</v>
      </c>
      <c r="D769">
        <v>76.699996999999996</v>
      </c>
      <c r="E769">
        <v>77.279999000000004</v>
      </c>
      <c r="F769">
        <v>62.566535999999999</v>
      </c>
      <c r="G769">
        <v>855900</v>
      </c>
    </row>
    <row r="770" spans="1:7" x14ac:dyDescent="0.45">
      <c r="A770" s="1">
        <v>41108</v>
      </c>
      <c r="B770">
        <v>77.599997999999999</v>
      </c>
      <c r="C770">
        <v>78.610000999999997</v>
      </c>
      <c r="D770">
        <v>77.459998999999996</v>
      </c>
      <c r="E770">
        <v>78.510002</v>
      </c>
      <c r="F770">
        <v>63.562354999999997</v>
      </c>
      <c r="G770">
        <v>1038100</v>
      </c>
    </row>
    <row r="771" spans="1:7" x14ac:dyDescent="0.45">
      <c r="A771" s="1">
        <v>41109</v>
      </c>
      <c r="B771">
        <v>79.599997999999999</v>
      </c>
      <c r="C771">
        <v>79.650002000000001</v>
      </c>
      <c r="D771">
        <v>79.239998</v>
      </c>
      <c r="E771">
        <v>79.440002000000007</v>
      </c>
      <c r="F771">
        <v>64.315285000000003</v>
      </c>
      <c r="G771">
        <v>1083100</v>
      </c>
    </row>
    <row r="772" spans="1:7" x14ac:dyDescent="0.45">
      <c r="A772" s="1">
        <v>41110</v>
      </c>
      <c r="B772">
        <v>77.779999000000004</v>
      </c>
      <c r="C772">
        <v>78.040001000000004</v>
      </c>
      <c r="D772">
        <v>77.400002000000001</v>
      </c>
      <c r="E772">
        <v>77.870002999999997</v>
      </c>
      <c r="F772">
        <v>63.044215999999999</v>
      </c>
      <c r="G772">
        <v>836700</v>
      </c>
    </row>
    <row r="773" spans="1:7" x14ac:dyDescent="0.45">
      <c r="A773" s="1">
        <v>41113</v>
      </c>
      <c r="B773">
        <v>76.580001999999993</v>
      </c>
      <c r="C773">
        <v>77.069999999999993</v>
      </c>
      <c r="D773">
        <v>76.169998000000007</v>
      </c>
      <c r="E773">
        <v>76.970000999999996</v>
      </c>
      <c r="F773">
        <v>62.315562999999997</v>
      </c>
      <c r="G773">
        <v>933300</v>
      </c>
    </row>
    <row r="774" spans="1:7" x14ac:dyDescent="0.45">
      <c r="A774" s="1">
        <v>41114</v>
      </c>
      <c r="B774">
        <v>76.720000999999996</v>
      </c>
      <c r="C774">
        <v>77.199996999999996</v>
      </c>
      <c r="D774">
        <v>76.269997000000004</v>
      </c>
      <c r="E774">
        <v>76.800003000000004</v>
      </c>
      <c r="F774">
        <v>62.177933000000003</v>
      </c>
      <c r="G774">
        <v>1128800</v>
      </c>
    </row>
    <row r="775" spans="1:7" x14ac:dyDescent="0.45">
      <c r="A775" s="1">
        <v>41115</v>
      </c>
      <c r="B775">
        <v>76.690002000000007</v>
      </c>
      <c r="C775">
        <v>77.019997000000004</v>
      </c>
      <c r="D775">
        <v>76.349997999999999</v>
      </c>
      <c r="E775">
        <v>76.639999000000003</v>
      </c>
      <c r="F775">
        <v>62.048389</v>
      </c>
      <c r="G775">
        <v>975200</v>
      </c>
    </row>
    <row r="776" spans="1:7" x14ac:dyDescent="0.45">
      <c r="A776" s="1">
        <v>41116</v>
      </c>
      <c r="B776">
        <v>79.739998</v>
      </c>
      <c r="C776">
        <v>80.339995999999999</v>
      </c>
      <c r="D776">
        <v>79.410004000000001</v>
      </c>
      <c r="E776">
        <v>80.010002</v>
      </c>
      <c r="F776">
        <v>64.776779000000005</v>
      </c>
      <c r="G776">
        <v>1998100</v>
      </c>
    </row>
    <row r="777" spans="1:7" x14ac:dyDescent="0.45">
      <c r="A777" s="1">
        <v>41117</v>
      </c>
      <c r="B777">
        <v>81.510002</v>
      </c>
      <c r="C777">
        <v>81.690002000000007</v>
      </c>
      <c r="D777">
        <v>80.690002000000007</v>
      </c>
      <c r="E777">
        <v>81.080001999999993</v>
      </c>
      <c r="F777">
        <v>65.643058999999994</v>
      </c>
      <c r="G777">
        <v>1730700</v>
      </c>
    </row>
    <row r="778" spans="1:7" x14ac:dyDescent="0.45">
      <c r="A778" s="1">
        <v>41120</v>
      </c>
      <c r="B778">
        <v>81.309997999999993</v>
      </c>
      <c r="C778">
        <v>81.589995999999999</v>
      </c>
      <c r="D778">
        <v>80.879997000000003</v>
      </c>
      <c r="E778">
        <v>81.069999999999993</v>
      </c>
      <c r="F778">
        <v>65.634949000000006</v>
      </c>
      <c r="G778">
        <v>1528800</v>
      </c>
    </row>
    <row r="779" spans="1:7" x14ac:dyDescent="0.45">
      <c r="A779" s="1">
        <v>41121</v>
      </c>
      <c r="B779">
        <v>79.040001000000004</v>
      </c>
      <c r="C779">
        <v>80.239998</v>
      </c>
      <c r="D779">
        <v>78.870002999999997</v>
      </c>
      <c r="E779">
        <v>79.220000999999996</v>
      </c>
      <c r="F779">
        <v>64.137191999999999</v>
      </c>
      <c r="G779">
        <v>1969400</v>
      </c>
    </row>
    <row r="780" spans="1:7" x14ac:dyDescent="0.45">
      <c r="A780" s="1">
        <v>41122</v>
      </c>
      <c r="B780">
        <v>81.239998</v>
      </c>
      <c r="C780">
        <v>84.050003000000004</v>
      </c>
      <c r="D780">
        <v>79.650002000000001</v>
      </c>
      <c r="E780">
        <v>79.879997000000003</v>
      </c>
      <c r="F780">
        <v>64.671509</v>
      </c>
      <c r="G780">
        <v>7475500</v>
      </c>
    </row>
    <row r="781" spans="1:7" x14ac:dyDescent="0.45">
      <c r="A781" s="1">
        <v>41123</v>
      </c>
      <c r="B781">
        <v>79.519997000000004</v>
      </c>
      <c r="C781">
        <v>80.330001999999993</v>
      </c>
      <c r="D781">
        <v>78.900002000000001</v>
      </c>
      <c r="E781">
        <v>78.989998</v>
      </c>
      <c r="F781">
        <v>63.950969999999998</v>
      </c>
      <c r="G781">
        <v>1232900</v>
      </c>
    </row>
    <row r="782" spans="1:7" x14ac:dyDescent="0.45">
      <c r="A782" s="1">
        <v>41124</v>
      </c>
      <c r="B782">
        <v>81.150002000000001</v>
      </c>
      <c r="C782">
        <v>82.089995999999999</v>
      </c>
      <c r="D782">
        <v>80.669998000000007</v>
      </c>
      <c r="E782">
        <v>81.75</v>
      </c>
      <c r="F782">
        <v>66.185492999999994</v>
      </c>
      <c r="G782">
        <v>2738500</v>
      </c>
    </row>
    <row r="783" spans="1:7" x14ac:dyDescent="0.45">
      <c r="A783" s="1">
        <v>41127</v>
      </c>
      <c r="B783">
        <v>82.559997999999993</v>
      </c>
      <c r="C783">
        <v>82.559997999999993</v>
      </c>
      <c r="D783">
        <v>81.680000000000007</v>
      </c>
      <c r="E783">
        <v>81.970000999999996</v>
      </c>
      <c r="F783">
        <v>66.363624999999999</v>
      </c>
      <c r="G783">
        <v>1036300</v>
      </c>
    </row>
    <row r="784" spans="1:7" x14ac:dyDescent="0.45">
      <c r="A784" s="1">
        <v>41128</v>
      </c>
      <c r="B784">
        <v>83.550003000000004</v>
      </c>
      <c r="C784">
        <v>83.610000999999997</v>
      </c>
      <c r="D784">
        <v>82.269997000000004</v>
      </c>
      <c r="E784">
        <v>82.75</v>
      </c>
      <c r="F784">
        <v>66.995109999999997</v>
      </c>
      <c r="G784">
        <v>1050100</v>
      </c>
    </row>
    <row r="785" spans="1:7" x14ac:dyDescent="0.45">
      <c r="A785" s="1">
        <v>41129</v>
      </c>
      <c r="B785">
        <v>82.279999000000004</v>
      </c>
      <c r="C785">
        <v>82.580001999999993</v>
      </c>
      <c r="D785">
        <v>81.940002000000007</v>
      </c>
      <c r="E785">
        <v>82.220000999999996</v>
      </c>
      <c r="F785">
        <v>66.566001999999997</v>
      </c>
      <c r="G785">
        <v>897900</v>
      </c>
    </row>
    <row r="786" spans="1:7" x14ac:dyDescent="0.45">
      <c r="A786" s="1">
        <v>41130</v>
      </c>
      <c r="B786">
        <v>81.889999000000003</v>
      </c>
      <c r="C786">
        <v>82.040001000000004</v>
      </c>
      <c r="D786">
        <v>81.540001000000004</v>
      </c>
      <c r="E786">
        <v>81.900002000000001</v>
      </c>
      <c r="F786">
        <v>66.306945999999996</v>
      </c>
      <c r="G786">
        <v>933000</v>
      </c>
    </row>
    <row r="787" spans="1:7" x14ac:dyDescent="0.45">
      <c r="A787" s="1">
        <v>41131</v>
      </c>
      <c r="B787">
        <v>80.510002</v>
      </c>
      <c r="C787">
        <v>81.099997999999999</v>
      </c>
      <c r="D787">
        <v>80.300003000000004</v>
      </c>
      <c r="E787">
        <v>81.089995999999999</v>
      </c>
      <c r="F787">
        <v>65.651138000000003</v>
      </c>
      <c r="G787">
        <v>912100</v>
      </c>
    </row>
    <row r="788" spans="1:7" x14ac:dyDescent="0.45">
      <c r="A788" s="1">
        <v>41134</v>
      </c>
      <c r="B788">
        <v>81.309997999999993</v>
      </c>
      <c r="C788">
        <v>81.360000999999997</v>
      </c>
      <c r="D788">
        <v>80.529999000000004</v>
      </c>
      <c r="E788">
        <v>80.900002000000001</v>
      </c>
      <c r="F788">
        <v>65.497321999999997</v>
      </c>
      <c r="G788">
        <v>600200</v>
      </c>
    </row>
    <row r="789" spans="1:7" x14ac:dyDescent="0.45">
      <c r="A789" s="1">
        <v>41135</v>
      </c>
      <c r="B789">
        <v>80.980002999999996</v>
      </c>
      <c r="C789">
        <v>81.069999999999993</v>
      </c>
      <c r="D789">
        <v>80.480002999999996</v>
      </c>
      <c r="E789">
        <v>80.559997999999993</v>
      </c>
      <c r="F789">
        <v>65.222060999999997</v>
      </c>
      <c r="G789">
        <v>369100</v>
      </c>
    </row>
    <row r="790" spans="1:7" x14ac:dyDescent="0.45">
      <c r="A790" s="1">
        <v>41136</v>
      </c>
      <c r="B790">
        <v>81.209998999999996</v>
      </c>
      <c r="C790">
        <v>81.330001999999993</v>
      </c>
      <c r="D790">
        <v>80.809997999999993</v>
      </c>
      <c r="E790">
        <v>81.129997000000003</v>
      </c>
      <c r="F790">
        <v>65.683532999999997</v>
      </c>
      <c r="G790">
        <v>503900</v>
      </c>
    </row>
    <row r="791" spans="1:7" x14ac:dyDescent="0.45">
      <c r="A791" s="1">
        <v>41137</v>
      </c>
      <c r="B791">
        <v>80.629997000000003</v>
      </c>
      <c r="C791">
        <v>81.239998</v>
      </c>
      <c r="D791">
        <v>80.529999000000004</v>
      </c>
      <c r="E791">
        <v>81.080001999999993</v>
      </c>
      <c r="F791">
        <v>65.643058999999994</v>
      </c>
      <c r="G791">
        <v>423400</v>
      </c>
    </row>
    <row r="792" spans="1:7" x14ac:dyDescent="0.45">
      <c r="A792" s="1">
        <v>41138</v>
      </c>
      <c r="B792">
        <v>81.290001000000004</v>
      </c>
      <c r="C792">
        <v>81.319999999999993</v>
      </c>
      <c r="D792">
        <v>80.680000000000007</v>
      </c>
      <c r="E792">
        <v>80.980002999999996</v>
      </c>
      <c r="F792">
        <v>65.562088000000003</v>
      </c>
      <c r="G792">
        <v>508300</v>
      </c>
    </row>
    <row r="793" spans="1:7" x14ac:dyDescent="0.45">
      <c r="A793" s="1">
        <v>41141</v>
      </c>
      <c r="B793">
        <v>81.819999999999993</v>
      </c>
      <c r="C793">
        <v>81.870002999999997</v>
      </c>
      <c r="D793">
        <v>81.190002000000007</v>
      </c>
      <c r="E793">
        <v>81.459998999999996</v>
      </c>
      <c r="F793">
        <v>65.950714000000005</v>
      </c>
      <c r="G793">
        <v>943600</v>
      </c>
    </row>
    <row r="794" spans="1:7" x14ac:dyDescent="0.45">
      <c r="A794" s="1">
        <v>41142</v>
      </c>
      <c r="B794">
        <v>82.239998</v>
      </c>
      <c r="C794">
        <v>82.339995999999999</v>
      </c>
      <c r="D794">
        <v>81.379997000000003</v>
      </c>
      <c r="E794">
        <v>81.660004000000001</v>
      </c>
      <c r="F794">
        <v>66.112633000000002</v>
      </c>
      <c r="G794">
        <v>1291000</v>
      </c>
    </row>
    <row r="795" spans="1:7" x14ac:dyDescent="0.45">
      <c r="A795" s="1">
        <v>41143</v>
      </c>
      <c r="B795">
        <v>80.809997999999993</v>
      </c>
      <c r="C795">
        <v>81.779999000000004</v>
      </c>
      <c r="D795">
        <v>80.800003000000004</v>
      </c>
      <c r="E795">
        <v>81.569999999999993</v>
      </c>
      <c r="F795">
        <v>66.039764000000005</v>
      </c>
      <c r="G795">
        <v>1030000</v>
      </c>
    </row>
    <row r="796" spans="1:7" x14ac:dyDescent="0.45">
      <c r="A796" s="1">
        <v>41144</v>
      </c>
      <c r="B796">
        <v>80.580001999999993</v>
      </c>
      <c r="C796">
        <v>80.949996999999996</v>
      </c>
      <c r="D796">
        <v>80.370002999999997</v>
      </c>
      <c r="E796">
        <v>80.940002000000007</v>
      </c>
      <c r="F796">
        <v>65.529708999999997</v>
      </c>
      <c r="G796">
        <v>935100</v>
      </c>
    </row>
    <row r="797" spans="1:7" x14ac:dyDescent="0.45">
      <c r="A797" s="1">
        <v>41145</v>
      </c>
      <c r="B797">
        <v>80.730002999999996</v>
      </c>
      <c r="C797">
        <v>82.470000999999996</v>
      </c>
      <c r="D797">
        <v>80.730002999999996</v>
      </c>
      <c r="E797">
        <v>82.239998</v>
      </c>
      <c r="F797">
        <v>66.582190999999995</v>
      </c>
      <c r="G797">
        <v>1311200</v>
      </c>
    </row>
    <row r="798" spans="1:7" x14ac:dyDescent="0.45">
      <c r="A798" s="1">
        <v>41148</v>
      </c>
      <c r="B798">
        <v>82.370002999999997</v>
      </c>
      <c r="C798">
        <v>82.919998000000007</v>
      </c>
      <c r="D798">
        <v>82.220000999999996</v>
      </c>
      <c r="E798">
        <v>82.620002999999997</v>
      </c>
      <c r="F798">
        <v>66.889861999999994</v>
      </c>
      <c r="G798">
        <v>919800</v>
      </c>
    </row>
    <row r="799" spans="1:7" x14ac:dyDescent="0.45">
      <c r="A799" s="1">
        <v>41149</v>
      </c>
      <c r="B799">
        <v>83.190002000000007</v>
      </c>
      <c r="C799">
        <v>84.089995999999999</v>
      </c>
      <c r="D799">
        <v>83.07</v>
      </c>
      <c r="E799">
        <v>84.010002</v>
      </c>
      <c r="F799">
        <v>68.015204999999995</v>
      </c>
      <c r="G799">
        <v>1263200</v>
      </c>
    </row>
    <row r="800" spans="1:7" x14ac:dyDescent="0.45">
      <c r="A800" s="1">
        <v>41150</v>
      </c>
      <c r="B800">
        <v>83.739998</v>
      </c>
      <c r="C800">
        <v>83.980002999999996</v>
      </c>
      <c r="D800">
        <v>83.510002</v>
      </c>
      <c r="E800">
        <v>83.809997999999993</v>
      </c>
      <c r="F800">
        <v>67.853286999999995</v>
      </c>
      <c r="G800">
        <v>1297400</v>
      </c>
    </row>
    <row r="801" spans="1:7" x14ac:dyDescent="0.45">
      <c r="A801" s="1">
        <v>41151</v>
      </c>
      <c r="B801">
        <v>83.760002</v>
      </c>
      <c r="C801">
        <v>84.059997999999993</v>
      </c>
      <c r="D801">
        <v>83.040001000000004</v>
      </c>
      <c r="E801">
        <v>83.349997999999999</v>
      </c>
      <c r="F801">
        <v>67.480857999999998</v>
      </c>
      <c r="G801">
        <v>1066500</v>
      </c>
    </row>
    <row r="802" spans="1:7" x14ac:dyDescent="0.45">
      <c r="A802" s="1">
        <v>41152</v>
      </c>
      <c r="B802">
        <v>84.269997000000004</v>
      </c>
      <c r="C802">
        <v>84.650002000000001</v>
      </c>
      <c r="D802">
        <v>83.75</v>
      </c>
      <c r="E802">
        <v>84.18</v>
      </c>
      <c r="F802">
        <v>68.152839999999998</v>
      </c>
      <c r="G802">
        <v>977700</v>
      </c>
    </row>
    <row r="803" spans="1:7" x14ac:dyDescent="0.45">
      <c r="A803" s="1">
        <v>41156</v>
      </c>
      <c r="B803">
        <v>86.269997000000004</v>
      </c>
      <c r="C803">
        <v>86.400002000000001</v>
      </c>
      <c r="D803">
        <v>85.099997999999999</v>
      </c>
      <c r="E803">
        <v>85.470000999999996</v>
      </c>
      <c r="F803">
        <v>69.197243</v>
      </c>
      <c r="G803">
        <v>1636400</v>
      </c>
    </row>
    <row r="804" spans="1:7" x14ac:dyDescent="0.45">
      <c r="A804" s="1">
        <v>41157</v>
      </c>
      <c r="B804">
        <v>86.839995999999999</v>
      </c>
      <c r="C804">
        <v>86.889999000000003</v>
      </c>
      <c r="D804">
        <v>85.889999000000003</v>
      </c>
      <c r="E804">
        <v>86.290001000000004</v>
      </c>
      <c r="F804">
        <v>69.861107000000004</v>
      </c>
      <c r="G804">
        <v>1463600</v>
      </c>
    </row>
    <row r="805" spans="1:7" x14ac:dyDescent="0.45">
      <c r="A805" s="1">
        <v>41158</v>
      </c>
      <c r="B805">
        <v>87.610000999999997</v>
      </c>
      <c r="C805">
        <v>88.260002</v>
      </c>
      <c r="D805">
        <v>87.379997000000003</v>
      </c>
      <c r="E805">
        <v>87.540001000000004</v>
      </c>
      <c r="F805">
        <v>70.873123000000007</v>
      </c>
      <c r="G805">
        <v>2077000</v>
      </c>
    </row>
    <row r="806" spans="1:7" x14ac:dyDescent="0.45">
      <c r="A806" s="1">
        <v>41159</v>
      </c>
      <c r="B806">
        <v>88.629997000000003</v>
      </c>
      <c r="C806">
        <v>88.790001000000004</v>
      </c>
      <c r="D806">
        <v>86.540001000000004</v>
      </c>
      <c r="E806">
        <v>86.949996999999996</v>
      </c>
      <c r="F806">
        <v>70.395447000000004</v>
      </c>
      <c r="G806">
        <v>2137700</v>
      </c>
    </row>
    <row r="807" spans="1:7" x14ac:dyDescent="0.45">
      <c r="A807" s="1">
        <v>41162</v>
      </c>
      <c r="B807">
        <v>83.959998999999996</v>
      </c>
      <c r="C807">
        <v>84.860000999999997</v>
      </c>
      <c r="D807">
        <v>83.919998000000007</v>
      </c>
      <c r="E807">
        <v>84.269997000000004</v>
      </c>
      <c r="F807">
        <v>68.225684999999999</v>
      </c>
      <c r="G807">
        <v>1300000</v>
      </c>
    </row>
    <row r="808" spans="1:7" x14ac:dyDescent="0.45">
      <c r="A808" s="1">
        <v>41163</v>
      </c>
      <c r="B808">
        <v>84.970000999999996</v>
      </c>
      <c r="C808">
        <v>85.650002000000001</v>
      </c>
      <c r="D808">
        <v>84.5</v>
      </c>
      <c r="E808">
        <v>85.029999000000004</v>
      </c>
      <c r="F808">
        <v>68.841003000000001</v>
      </c>
      <c r="G808">
        <v>1505700</v>
      </c>
    </row>
    <row r="809" spans="1:7" x14ac:dyDescent="0.45">
      <c r="A809" s="1">
        <v>41164</v>
      </c>
      <c r="B809">
        <v>84.470000999999996</v>
      </c>
      <c r="C809">
        <v>84.639999000000003</v>
      </c>
      <c r="D809">
        <v>83.779999000000004</v>
      </c>
      <c r="E809">
        <v>83.980002999999996</v>
      </c>
      <c r="F809">
        <v>67.990921</v>
      </c>
      <c r="G809">
        <v>1212200</v>
      </c>
    </row>
    <row r="810" spans="1:7" x14ac:dyDescent="0.45">
      <c r="A810" s="1">
        <v>41165</v>
      </c>
      <c r="B810">
        <v>84</v>
      </c>
      <c r="C810">
        <v>85.480002999999996</v>
      </c>
      <c r="D810">
        <v>83.75</v>
      </c>
      <c r="E810">
        <v>85.290001000000004</v>
      </c>
      <c r="F810">
        <v>69.051506000000003</v>
      </c>
      <c r="G810">
        <v>1003200</v>
      </c>
    </row>
    <row r="811" spans="1:7" x14ac:dyDescent="0.45">
      <c r="A811" s="1">
        <v>41166</v>
      </c>
      <c r="B811">
        <v>85.629997000000003</v>
      </c>
      <c r="C811">
        <v>85.769997000000004</v>
      </c>
      <c r="D811">
        <v>85.029999000000004</v>
      </c>
      <c r="E811">
        <v>85.370002999999997</v>
      </c>
      <c r="F811">
        <v>69.116271999999995</v>
      </c>
      <c r="G811">
        <v>1098900</v>
      </c>
    </row>
    <row r="812" spans="1:7" x14ac:dyDescent="0.45">
      <c r="A812" s="1">
        <v>41169</v>
      </c>
      <c r="B812">
        <v>85.480002999999996</v>
      </c>
      <c r="C812">
        <v>85.779999000000004</v>
      </c>
      <c r="D812">
        <v>84.790001000000004</v>
      </c>
      <c r="E812">
        <v>85.169998000000007</v>
      </c>
      <c r="F812">
        <v>68.954338000000007</v>
      </c>
      <c r="G812">
        <v>1937100</v>
      </c>
    </row>
    <row r="813" spans="1:7" x14ac:dyDescent="0.45">
      <c r="A813" s="1">
        <v>41170</v>
      </c>
      <c r="B813">
        <v>85.910004000000001</v>
      </c>
      <c r="C813">
        <v>86.43</v>
      </c>
      <c r="D813">
        <v>85.730002999999996</v>
      </c>
      <c r="E813">
        <v>86.110000999999997</v>
      </c>
      <c r="F813">
        <v>69.715378000000001</v>
      </c>
      <c r="G813">
        <v>1454800</v>
      </c>
    </row>
    <row r="814" spans="1:7" x14ac:dyDescent="0.45">
      <c r="A814" s="1">
        <v>41171</v>
      </c>
      <c r="B814">
        <v>86.809997999999993</v>
      </c>
      <c r="C814">
        <v>86.889999000000003</v>
      </c>
      <c r="D814">
        <v>85.989998</v>
      </c>
      <c r="E814">
        <v>86.550003000000004</v>
      </c>
      <c r="F814">
        <v>70.071617000000003</v>
      </c>
      <c r="G814">
        <v>1393800</v>
      </c>
    </row>
    <row r="815" spans="1:7" x14ac:dyDescent="0.45">
      <c r="A815" s="1">
        <v>41172</v>
      </c>
      <c r="B815">
        <v>86.379997000000003</v>
      </c>
      <c r="C815">
        <v>87.029999000000004</v>
      </c>
      <c r="D815">
        <v>86.239998</v>
      </c>
      <c r="E815">
        <v>87</v>
      </c>
      <c r="F815">
        <v>70.435928000000004</v>
      </c>
      <c r="G815">
        <v>792400</v>
      </c>
    </row>
    <row r="816" spans="1:7" x14ac:dyDescent="0.45">
      <c r="A816" s="1">
        <v>41173</v>
      </c>
      <c r="B816">
        <v>87.400002000000001</v>
      </c>
      <c r="C816">
        <v>87.459998999999996</v>
      </c>
      <c r="D816">
        <v>86.800003000000004</v>
      </c>
      <c r="E816">
        <v>87.010002</v>
      </c>
      <c r="F816">
        <v>70.444046</v>
      </c>
      <c r="G816">
        <v>723300</v>
      </c>
    </row>
    <row r="817" spans="1:7" x14ac:dyDescent="0.45">
      <c r="A817" s="1">
        <v>41176</v>
      </c>
      <c r="B817">
        <v>86.480002999999996</v>
      </c>
      <c r="C817">
        <v>86.889999000000003</v>
      </c>
      <c r="D817">
        <v>86.230002999999996</v>
      </c>
      <c r="E817">
        <v>86.82</v>
      </c>
      <c r="F817">
        <v>70.290199000000001</v>
      </c>
      <c r="G817">
        <v>409200</v>
      </c>
    </row>
    <row r="818" spans="1:7" x14ac:dyDescent="0.45">
      <c r="A818" s="1">
        <v>41177</v>
      </c>
      <c r="B818">
        <v>87.75</v>
      </c>
      <c r="C818">
        <v>87.800003000000004</v>
      </c>
      <c r="D818">
        <v>86.379997000000003</v>
      </c>
      <c r="E818">
        <v>86.459998999999996</v>
      </c>
      <c r="F818">
        <v>69.998756</v>
      </c>
      <c r="G818">
        <v>1119800</v>
      </c>
    </row>
    <row r="819" spans="1:7" x14ac:dyDescent="0.45">
      <c r="A819" s="1">
        <v>41178</v>
      </c>
      <c r="B819">
        <v>87.669998000000007</v>
      </c>
      <c r="C819">
        <v>87.699996999999996</v>
      </c>
      <c r="D819">
        <v>86.839995999999999</v>
      </c>
      <c r="E819">
        <v>87.540001000000004</v>
      </c>
      <c r="F819">
        <v>70.873123000000007</v>
      </c>
      <c r="G819">
        <v>919800</v>
      </c>
    </row>
    <row r="820" spans="1:7" x14ac:dyDescent="0.45">
      <c r="A820" s="1">
        <v>41179</v>
      </c>
      <c r="B820">
        <v>86.510002</v>
      </c>
      <c r="C820">
        <v>86.75</v>
      </c>
      <c r="D820">
        <v>85.690002000000007</v>
      </c>
      <c r="E820">
        <v>86.660004000000001</v>
      </c>
      <c r="F820">
        <v>70.160674999999998</v>
      </c>
      <c r="G820">
        <v>1111600</v>
      </c>
    </row>
    <row r="821" spans="1:7" x14ac:dyDescent="0.45">
      <c r="A821" s="1">
        <v>41180</v>
      </c>
      <c r="B821">
        <v>86.139999000000003</v>
      </c>
      <c r="C821">
        <v>86.32</v>
      </c>
      <c r="D821">
        <v>84.940002000000007</v>
      </c>
      <c r="E821">
        <v>85.910004000000001</v>
      </c>
      <c r="F821">
        <v>69.553459000000004</v>
      </c>
      <c r="G821">
        <v>1208900</v>
      </c>
    </row>
    <row r="822" spans="1:7" x14ac:dyDescent="0.45">
      <c r="A822" s="1">
        <v>41183</v>
      </c>
      <c r="B822">
        <v>86.290001000000004</v>
      </c>
      <c r="C822">
        <v>86.599997999999999</v>
      </c>
      <c r="D822">
        <v>85.400002000000001</v>
      </c>
      <c r="E822">
        <v>85.550003000000004</v>
      </c>
      <c r="F822">
        <v>69.262000999999998</v>
      </c>
      <c r="G822">
        <v>799800</v>
      </c>
    </row>
    <row r="823" spans="1:7" x14ac:dyDescent="0.45">
      <c r="A823" s="1">
        <v>41184</v>
      </c>
      <c r="B823">
        <v>88.220000999999996</v>
      </c>
      <c r="C823">
        <v>88.669998000000007</v>
      </c>
      <c r="D823">
        <v>88</v>
      </c>
      <c r="E823">
        <v>88.43</v>
      </c>
      <c r="F823">
        <v>71.593673999999993</v>
      </c>
      <c r="G823">
        <v>1412000</v>
      </c>
    </row>
    <row r="824" spans="1:7" x14ac:dyDescent="0.45">
      <c r="A824" s="1">
        <v>41185</v>
      </c>
      <c r="B824">
        <v>87.610000999999997</v>
      </c>
      <c r="C824">
        <v>88.849997999999999</v>
      </c>
      <c r="D824">
        <v>87.43</v>
      </c>
      <c r="E824">
        <v>88.379997000000003</v>
      </c>
      <c r="F824">
        <v>71.553200000000004</v>
      </c>
      <c r="G824">
        <v>2849000</v>
      </c>
    </row>
    <row r="825" spans="1:7" x14ac:dyDescent="0.45">
      <c r="A825" s="1">
        <v>41186</v>
      </c>
      <c r="B825">
        <v>88.910004000000001</v>
      </c>
      <c r="C825">
        <v>88.970000999999996</v>
      </c>
      <c r="D825">
        <v>88.370002999999997</v>
      </c>
      <c r="E825">
        <v>88.669998000000007</v>
      </c>
      <c r="F825">
        <v>71.787964000000002</v>
      </c>
      <c r="G825">
        <v>1061100</v>
      </c>
    </row>
    <row r="826" spans="1:7" x14ac:dyDescent="0.45">
      <c r="A826" s="1">
        <v>41187</v>
      </c>
      <c r="B826">
        <v>90.330001999999993</v>
      </c>
      <c r="C826">
        <v>91.209998999999996</v>
      </c>
      <c r="D826">
        <v>90.040001000000004</v>
      </c>
      <c r="E826">
        <v>90.269997000000004</v>
      </c>
      <c r="F826">
        <v>73.083374000000006</v>
      </c>
      <c r="G826">
        <v>2497200</v>
      </c>
    </row>
    <row r="827" spans="1:7" x14ac:dyDescent="0.45">
      <c r="A827" s="1">
        <v>41190</v>
      </c>
      <c r="B827">
        <v>89.580001999999993</v>
      </c>
      <c r="C827">
        <v>89.940002000000007</v>
      </c>
      <c r="D827">
        <v>89.440002000000007</v>
      </c>
      <c r="E827">
        <v>89.650002000000001</v>
      </c>
      <c r="F827">
        <v>72.581406000000001</v>
      </c>
      <c r="G827">
        <v>491700</v>
      </c>
    </row>
    <row r="828" spans="1:7" x14ac:dyDescent="0.45">
      <c r="A828" s="1">
        <v>41191</v>
      </c>
      <c r="B828">
        <v>88.480002999999996</v>
      </c>
      <c r="C828">
        <v>88.739998</v>
      </c>
      <c r="D828">
        <v>87.269997000000004</v>
      </c>
      <c r="E828">
        <v>87.309997999999993</v>
      </c>
      <c r="F828">
        <v>70.686904999999996</v>
      </c>
      <c r="G828">
        <v>1153900</v>
      </c>
    </row>
    <row r="829" spans="1:7" x14ac:dyDescent="0.45">
      <c r="A829" s="1">
        <v>41192</v>
      </c>
      <c r="B829">
        <v>86.889999000000003</v>
      </c>
      <c r="C829">
        <v>87.440002000000007</v>
      </c>
      <c r="D829">
        <v>86.449996999999996</v>
      </c>
      <c r="E829">
        <v>86.739998</v>
      </c>
      <c r="F829">
        <v>70.225425999999999</v>
      </c>
      <c r="G829">
        <v>732200</v>
      </c>
    </row>
    <row r="830" spans="1:7" x14ac:dyDescent="0.45">
      <c r="A830" s="1">
        <v>41193</v>
      </c>
      <c r="B830">
        <v>86.790001000000004</v>
      </c>
      <c r="C830">
        <v>87.779999000000004</v>
      </c>
      <c r="D830">
        <v>86.690002000000007</v>
      </c>
      <c r="E830">
        <v>86.919998000000007</v>
      </c>
      <c r="F830">
        <v>70.371161999999998</v>
      </c>
      <c r="G830">
        <v>699900</v>
      </c>
    </row>
    <row r="831" spans="1:7" x14ac:dyDescent="0.45">
      <c r="A831" s="1">
        <v>41194</v>
      </c>
      <c r="B831">
        <v>87.339995999999999</v>
      </c>
      <c r="C831">
        <v>87.510002</v>
      </c>
      <c r="D831">
        <v>86.580001999999993</v>
      </c>
      <c r="E831">
        <v>86.82</v>
      </c>
      <c r="F831">
        <v>70.290199000000001</v>
      </c>
      <c r="G831">
        <v>1097900</v>
      </c>
    </row>
    <row r="832" spans="1:7" x14ac:dyDescent="0.45">
      <c r="A832" s="1">
        <v>41197</v>
      </c>
      <c r="B832">
        <v>87.449996999999996</v>
      </c>
      <c r="C832">
        <v>87.540001000000004</v>
      </c>
      <c r="D832">
        <v>86.529999000000004</v>
      </c>
      <c r="E832">
        <v>86.910004000000001</v>
      </c>
      <c r="F832">
        <v>70.363083000000003</v>
      </c>
      <c r="G832">
        <v>1663500</v>
      </c>
    </row>
    <row r="833" spans="1:7" x14ac:dyDescent="0.45">
      <c r="A833" s="1">
        <v>41198</v>
      </c>
      <c r="B833">
        <v>88.139999000000003</v>
      </c>
      <c r="C833">
        <v>89.019997000000004</v>
      </c>
      <c r="D833">
        <v>87.970000999999996</v>
      </c>
      <c r="E833">
        <v>88.870002999999997</v>
      </c>
      <c r="F833">
        <v>71.949905000000001</v>
      </c>
      <c r="G833">
        <v>1869500</v>
      </c>
    </row>
    <row r="834" spans="1:7" x14ac:dyDescent="0.45">
      <c r="A834" s="1">
        <v>41199</v>
      </c>
      <c r="B834">
        <v>89.080001999999993</v>
      </c>
      <c r="C834">
        <v>89.330001999999993</v>
      </c>
      <c r="D834">
        <v>88.449996999999996</v>
      </c>
      <c r="E834">
        <v>88.550003000000004</v>
      </c>
      <c r="F834">
        <v>71.690833999999995</v>
      </c>
      <c r="G834">
        <v>2077400</v>
      </c>
    </row>
    <row r="835" spans="1:7" x14ac:dyDescent="0.45">
      <c r="A835" s="1">
        <v>41200</v>
      </c>
      <c r="B835">
        <v>87.400002000000001</v>
      </c>
      <c r="C835">
        <v>87.43</v>
      </c>
      <c r="D835">
        <v>86.239998</v>
      </c>
      <c r="E835">
        <v>86.370002999999997</v>
      </c>
      <c r="F835">
        <v>69.925888</v>
      </c>
      <c r="G835">
        <v>1097900</v>
      </c>
    </row>
    <row r="836" spans="1:7" x14ac:dyDescent="0.45">
      <c r="A836" s="1">
        <v>41201</v>
      </c>
      <c r="B836">
        <v>86.400002000000001</v>
      </c>
      <c r="C836">
        <v>86.419998000000007</v>
      </c>
      <c r="D836">
        <v>85.300003000000004</v>
      </c>
      <c r="E836">
        <v>85.57</v>
      </c>
      <c r="F836">
        <v>69.278198000000003</v>
      </c>
      <c r="G836">
        <v>1078200</v>
      </c>
    </row>
    <row r="837" spans="1:7" x14ac:dyDescent="0.45">
      <c r="A837" s="1">
        <v>41204</v>
      </c>
      <c r="B837">
        <v>86.400002000000001</v>
      </c>
      <c r="C837">
        <v>86.470000999999996</v>
      </c>
      <c r="D837">
        <v>85.760002</v>
      </c>
      <c r="E837">
        <v>86.18</v>
      </c>
      <c r="F837">
        <v>69.772057000000004</v>
      </c>
      <c r="G837">
        <v>851000</v>
      </c>
    </row>
    <row r="838" spans="1:7" x14ac:dyDescent="0.45">
      <c r="A838" s="1">
        <v>41205</v>
      </c>
      <c r="B838">
        <v>86.190002000000007</v>
      </c>
      <c r="C838">
        <v>86.300003000000004</v>
      </c>
      <c r="D838">
        <v>85.419998000000007</v>
      </c>
      <c r="E838">
        <v>86.089995999999999</v>
      </c>
      <c r="F838">
        <v>69.699180999999996</v>
      </c>
      <c r="G838">
        <v>607000</v>
      </c>
    </row>
    <row r="839" spans="1:7" x14ac:dyDescent="0.45">
      <c r="A839" s="1">
        <v>41206</v>
      </c>
      <c r="B839">
        <v>86.220000999999996</v>
      </c>
      <c r="C839">
        <v>86.669998000000007</v>
      </c>
      <c r="D839">
        <v>85.220000999999996</v>
      </c>
      <c r="E839">
        <v>85.459998999999996</v>
      </c>
      <c r="F839">
        <v>69.189125000000004</v>
      </c>
      <c r="G839">
        <v>994800</v>
      </c>
    </row>
    <row r="840" spans="1:7" x14ac:dyDescent="0.45">
      <c r="A840" s="1">
        <v>41207</v>
      </c>
      <c r="B840">
        <v>85.980002999999996</v>
      </c>
      <c r="C840">
        <v>86.029999000000004</v>
      </c>
      <c r="D840">
        <v>85.07</v>
      </c>
      <c r="E840">
        <v>85.529999000000004</v>
      </c>
      <c r="F840">
        <v>69.245827000000006</v>
      </c>
      <c r="G840">
        <v>493400</v>
      </c>
    </row>
    <row r="841" spans="1:7" x14ac:dyDescent="0.45">
      <c r="A841" s="1">
        <v>41208</v>
      </c>
      <c r="B841">
        <v>85.449996999999996</v>
      </c>
      <c r="C841">
        <v>85.790001000000004</v>
      </c>
      <c r="D841">
        <v>84.989998</v>
      </c>
      <c r="E841">
        <v>85.209998999999996</v>
      </c>
      <c r="F841">
        <v>68.986732000000003</v>
      </c>
      <c r="G841">
        <v>900600</v>
      </c>
    </row>
    <row r="842" spans="1:7" x14ac:dyDescent="0.45">
      <c r="A842" s="1">
        <v>41213</v>
      </c>
      <c r="B842">
        <v>85.330001999999993</v>
      </c>
      <c r="C842">
        <v>85.370002999999997</v>
      </c>
      <c r="D842">
        <v>83.580001999999993</v>
      </c>
      <c r="E842">
        <v>83.800003000000004</v>
      </c>
      <c r="F842">
        <v>67.845191999999997</v>
      </c>
      <c r="G842">
        <v>1627900</v>
      </c>
    </row>
    <row r="843" spans="1:7" x14ac:dyDescent="0.45">
      <c r="A843" s="1">
        <v>41214</v>
      </c>
      <c r="B843">
        <v>83.970000999999996</v>
      </c>
      <c r="C843">
        <v>84</v>
      </c>
      <c r="D843">
        <v>82.599997999999999</v>
      </c>
      <c r="E843">
        <v>82.779999000000004</v>
      </c>
      <c r="F843">
        <v>67.019394000000005</v>
      </c>
      <c r="G843">
        <v>1633300</v>
      </c>
    </row>
    <row r="844" spans="1:7" x14ac:dyDescent="0.45">
      <c r="A844" s="1">
        <v>41215</v>
      </c>
      <c r="B844">
        <v>83.690002000000007</v>
      </c>
      <c r="C844">
        <v>83.879997000000003</v>
      </c>
      <c r="D844">
        <v>83.339995999999999</v>
      </c>
      <c r="E844">
        <v>83.440002000000007</v>
      </c>
      <c r="F844">
        <v>67.553741000000002</v>
      </c>
      <c r="G844">
        <v>845500</v>
      </c>
    </row>
    <row r="845" spans="1:7" x14ac:dyDescent="0.45">
      <c r="A845" s="1">
        <v>41218</v>
      </c>
      <c r="B845">
        <v>82.620002999999997</v>
      </c>
      <c r="C845">
        <v>82.699996999999996</v>
      </c>
      <c r="D845">
        <v>82.110000999999997</v>
      </c>
      <c r="E845">
        <v>82.269997000000004</v>
      </c>
      <c r="F845">
        <v>66.606482999999997</v>
      </c>
      <c r="G845">
        <v>825000</v>
      </c>
    </row>
    <row r="846" spans="1:7" x14ac:dyDescent="0.45">
      <c r="A846" s="1">
        <v>41219</v>
      </c>
      <c r="B846">
        <v>83.400002000000001</v>
      </c>
      <c r="C846">
        <v>83.599997999999999</v>
      </c>
      <c r="D846">
        <v>83.099997999999999</v>
      </c>
      <c r="E846">
        <v>83.57</v>
      </c>
      <c r="F846">
        <v>67.658980999999997</v>
      </c>
      <c r="G846">
        <v>556500</v>
      </c>
    </row>
    <row r="847" spans="1:7" x14ac:dyDescent="0.45">
      <c r="A847" s="1">
        <v>41220</v>
      </c>
      <c r="B847">
        <v>82.5</v>
      </c>
      <c r="C847">
        <v>82.639999000000003</v>
      </c>
      <c r="D847">
        <v>81.839995999999999</v>
      </c>
      <c r="E847">
        <v>82.169998000000007</v>
      </c>
      <c r="F847">
        <v>66.52552</v>
      </c>
      <c r="G847">
        <v>673500</v>
      </c>
    </row>
    <row r="848" spans="1:7" x14ac:dyDescent="0.45">
      <c r="A848" s="1">
        <v>41221</v>
      </c>
      <c r="B848">
        <v>82.410004000000001</v>
      </c>
      <c r="C848">
        <v>82.639999000000003</v>
      </c>
      <c r="D848">
        <v>81.599997999999999</v>
      </c>
      <c r="E848">
        <v>81.940002000000007</v>
      </c>
      <c r="F848">
        <v>66.339309999999998</v>
      </c>
      <c r="G848">
        <v>483100</v>
      </c>
    </row>
    <row r="849" spans="1:7" x14ac:dyDescent="0.45">
      <c r="A849" s="1">
        <v>41222</v>
      </c>
      <c r="B849">
        <v>82.089995999999999</v>
      </c>
      <c r="C849">
        <v>83.239998</v>
      </c>
      <c r="D849">
        <v>82.07</v>
      </c>
      <c r="E849">
        <v>82.720000999999996</v>
      </c>
      <c r="F849">
        <v>66.970802000000006</v>
      </c>
      <c r="G849">
        <v>730300</v>
      </c>
    </row>
    <row r="850" spans="1:7" x14ac:dyDescent="0.45">
      <c r="A850" s="1">
        <v>41225</v>
      </c>
      <c r="B850">
        <v>83</v>
      </c>
      <c r="C850">
        <v>83.150002000000001</v>
      </c>
      <c r="D850">
        <v>82.68</v>
      </c>
      <c r="E850">
        <v>83.110000999999997</v>
      </c>
      <c r="F850">
        <v>67.286559999999994</v>
      </c>
      <c r="G850">
        <v>542100</v>
      </c>
    </row>
    <row r="851" spans="1:7" x14ac:dyDescent="0.45">
      <c r="A851" s="1">
        <v>41226</v>
      </c>
      <c r="B851">
        <v>83.540001000000004</v>
      </c>
      <c r="C851">
        <v>84.440002000000007</v>
      </c>
      <c r="D851">
        <v>83.32</v>
      </c>
      <c r="E851">
        <v>83.639999000000003</v>
      </c>
      <c r="F851">
        <v>67.715652000000006</v>
      </c>
      <c r="G851">
        <v>1303900</v>
      </c>
    </row>
    <row r="852" spans="1:7" x14ac:dyDescent="0.45">
      <c r="A852" s="1">
        <v>41227</v>
      </c>
      <c r="B852">
        <v>83.309997999999993</v>
      </c>
      <c r="C852">
        <v>83.440002000000007</v>
      </c>
      <c r="D852">
        <v>82.160004000000001</v>
      </c>
      <c r="E852">
        <v>82.220000999999996</v>
      </c>
      <c r="F852">
        <v>66.566001999999997</v>
      </c>
      <c r="G852">
        <v>834000</v>
      </c>
    </row>
    <row r="853" spans="1:7" x14ac:dyDescent="0.45">
      <c r="A853" s="1">
        <v>41228</v>
      </c>
      <c r="B853">
        <v>82.809997999999993</v>
      </c>
      <c r="C853">
        <v>83.139999000000003</v>
      </c>
      <c r="D853">
        <v>82.449996999999996</v>
      </c>
      <c r="E853">
        <v>82.790001000000004</v>
      </c>
      <c r="F853">
        <v>67.027489000000003</v>
      </c>
      <c r="G853">
        <v>1213600</v>
      </c>
    </row>
    <row r="854" spans="1:7" x14ac:dyDescent="0.45">
      <c r="A854" s="1">
        <v>41229</v>
      </c>
      <c r="B854">
        <v>82.589995999999999</v>
      </c>
      <c r="C854">
        <v>82.82</v>
      </c>
      <c r="D854">
        <v>81.870002999999997</v>
      </c>
      <c r="E854">
        <v>82.760002</v>
      </c>
      <c r="F854">
        <v>67.003203999999997</v>
      </c>
      <c r="G854">
        <v>569900</v>
      </c>
    </row>
    <row r="855" spans="1:7" x14ac:dyDescent="0.45">
      <c r="A855" s="1">
        <v>41232</v>
      </c>
      <c r="B855">
        <v>83.550003000000004</v>
      </c>
      <c r="C855">
        <v>84.970000999999996</v>
      </c>
      <c r="D855">
        <v>83.5</v>
      </c>
      <c r="E855">
        <v>84.669998000000007</v>
      </c>
      <c r="F855">
        <v>68.549553000000003</v>
      </c>
      <c r="G855">
        <v>891200</v>
      </c>
    </row>
    <row r="856" spans="1:7" x14ac:dyDescent="0.45">
      <c r="A856" s="1">
        <v>41233</v>
      </c>
      <c r="B856">
        <v>85.459998999999996</v>
      </c>
      <c r="C856">
        <v>85.970000999999996</v>
      </c>
      <c r="D856">
        <v>85.18</v>
      </c>
      <c r="E856">
        <v>85.889999000000003</v>
      </c>
      <c r="F856">
        <v>69.537270000000007</v>
      </c>
      <c r="G856">
        <v>805200</v>
      </c>
    </row>
    <row r="857" spans="1:7" x14ac:dyDescent="0.45">
      <c r="A857" s="1">
        <v>41234</v>
      </c>
      <c r="B857">
        <v>84.860000999999997</v>
      </c>
      <c r="C857">
        <v>85.330001999999993</v>
      </c>
      <c r="D857">
        <v>84.75</v>
      </c>
      <c r="E857">
        <v>85.099997999999999</v>
      </c>
      <c r="F857">
        <v>68.897682000000003</v>
      </c>
      <c r="G857">
        <v>592000</v>
      </c>
    </row>
    <row r="858" spans="1:7" x14ac:dyDescent="0.45">
      <c r="A858" s="1">
        <v>41236</v>
      </c>
      <c r="B858">
        <v>86.580001999999993</v>
      </c>
      <c r="C858">
        <v>86.980002999999996</v>
      </c>
      <c r="D858">
        <v>86.410004000000001</v>
      </c>
      <c r="E858">
        <v>86.980002999999996</v>
      </c>
      <c r="F858">
        <v>70.419746000000004</v>
      </c>
      <c r="G858">
        <v>270400</v>
      </c>
    </row>
    <row r="859" spans="1:7" x14ac:dyDescent="0.45">
      <c r="A859" s="1">
        <v>41239</v>
      </c>
      <c r="B859">
        <v>86.760002</v>
      </c>
      <c r="C859">
        <v>87</v>
      </c>
      <c r="D859">
        <v>86.440002000000007</v>
      </c>
      <c r="E859">
        <v>86.709998999999996</v>
      </c>
      <c r="F859">
        <v>70.201141000000007</v>
      </c>
      <c r="G859">
        <v>468600</v>
      </c>
    </row>
    <row r="860" spans="1:7" x14ac:dyDescent="0.45">
      <c r="A860" s="1">
        <v>41240</v>
      </c>
      <c r="B860">
        <v>86.290001000000004</v>
      </c>
      <c r="C860">
        <v>86.470000999999996</v>
      </c>
      <c r="D860">
        <v>85.980002999999996</v>
      </c>
      <c r="E860">
        <v>86.120002999999997</v>
      </c>
      <c r="F860">
        <v>69.723479999999995</v>
      </c>
      <c r="G860">
        <v>777400</v>
      </c>
    </row>
    <row r="861" spans="1:7" x14ac:dyDescent="0.45">
      <c r="A861" s="1">
        <v>41241</v>
      </c>
      <c r="B861">
        <v>85.129997000000003</v>
      </c>
      <c r="C861">
        <v>85.669998000000007</v>
      </c>
      <c r="D861">
        <v>85.040001000000004</v>
      </c>
      <c r="E861">
        <v>85.559997999999993</v>
      </c>
      <c r="F861">
        <v>69.270088000000001</v>
      </c>
      <c r="G861">
        <v>646300</v>
      </c>
    </row>
    <row r="862" spans="1:7" x14ac:dyDescent="0.45">
      <c r="A862" s="1">
        <v>41242</v>
      </c>
      <c r="B862">
        <v>86.07</v>
      </c>
      <c r="C862">
        <v>86.57</v>
      </c>
      <c r="D862">
        <v>85.93</v>
      </c>
      <c r="E862">
        <v>86.43</v>
      </c>
      <c r="F862">
        <v>69.974457000000001</v>
      </c>
      <c r="G862">
        <v>1038800</v>
      </c>
    </row>
    <row r="863" spans="1:7" x14ac:dyDescent="0.45">
      <c r="A863" s="1">
        <v>41243</v>
      </c>
      <c r="B863">
        <v>87.5</v>
      </c>
      <c r="C863">
        <v>88.139999000000003</v>
      </c>
      <c r="D863">
        <v>87.410004000000001</v>
      </c>
      <c r="E863">
        <v>87.970000999999996</v>
      </c>
      <c r="F863">
        <v>71.221252000000007</v>
      </c>
      <c r="G863">
        <v>864200</v>
      </c>
    </row>
    <row r="864" spans="1:7" x14ac:dyDescent="0.45">
      <c r="A864" s="1">
        <v>41246</v>
      </c>
      <c r="B864">
        <v>88.790001000000004</v>
      </c>
      <c r="C864">
        <v>88.919998000000007</v>
      </c>
      <c r="D864">
        <v>88.230002999999996</v>
      </c>
      <c r="E864">
        <v>88.290001000000004</v>
      </c>
      <c r="F864">
        <v>71.480339000000001</v>
      </c>
      <c r="G864">
        <v>978800</v>
      </c>
    </row>
    <row r="865" spans="1:7" x14ac:dyDescent="0.45">
      <c r="A865" s="1">
        <v>41247</v>
      </c>
      <c r="B865">
        <v>88.959998999999996</v>
      </c>
      <c r="C865">
        <v>89.019997000000004</v>
      </c>
      <c r="D865">
        <v>88.190002000000007</v>
      </c>
      <c r="E865">
        <v>88.279999000000004</v>
      </c>
      <c r="F865">
        <v>71.472244000000003</v>
      </c>
      <c r="G865">
        <v>1121900</v>
      </c>
    </row>
    <row r="866" spans="1:7" x14ac:dyDescent="0.45">
      <c r="A866" s="1">
        <v>41248</v>
      </c>
      <c r="B866">
        <v>87.75</v>
      </c>
      <c r="C866">
        <v>87.760002</v>
      </c>
      <c r="D866">
        <v>87.18</v>
      </c>
      <c r="E866">
        <v>87.599997999999999</v>
      </c>
      <c r="F866">
        <v>70.921700000000001</v>
      </c>
      <c r="G866">
        <v>664300</v>
      </c>
    </row>
    <row r="867" spans="1:7" x14ac:dyDescent="0.45">
      <c r="A867" s="1">
        <v>41249</v>
      </c>
      <c r="B867">
        <v>87.43</v>
      </c>
      <c r="C867">
        <v>87.550003000000004</v>
      </c>
      <c r="D867">
        <v>86.919998000000007</v>
      </c>
      <c r="E867">
        <v>87.470000999999996</v>
      </c>
      <c r="F867">
        <v>70.816460000000006</v>
      </c>
      <c r="G867">
        <v>439500</v>
      </c>
    </row>
    <row r="868" spans="1:7" x14ac:dyDescent="0.45">
      <c r="A868" s="1">
        <v>41250</v>
      </c>
      <c r="B868">
        <v>87.519997000000004</v>
      </c>
      <c r="C868">
        <v>87.760002</v>
      </c>
      <c r="D868">
        <v>87.010002</v>
      </c>
      <c r="E868">
        <v>87.75</v>
      </c>
      <c r="F868">
        <v>71.043143999999998</v>
      </c>
      <c r="G868">
        <v>1182000</v>
      </c>
    </row>
    <row r="869" spans="1:7" x14ac:dyDescent="0.45">
      <c r="A869" s="1">
        <v>41253</v>
      </c>
      <c r="B869">
        <v>87.809997999999993</v>
      </c>
      <c r="C869">
        <v>88.269997000000004</v>
      </c>
      <c r="D869">
        <v>87.730002999999996</v>
      </c>
      <c r="E869">
        <v>88.209998999999996</v>
      </c>
      <c r="F869">
        <v>71.415565000000001</v>
      </c>
      <c r="G869">
        <v>317500</v>
      </c>
    </row>
    <row r="870" spans="1:7" x14ac:dyDescent="0.45">
      <c r="A870" s="1">
        <v>41254</v>
      </c>
      <c r="B870">
        <v>89.029999000000004</v>
      </c>
      <c r="C870">
        <v>89.120002999999997</v>
      </c>
      <c r="D870">
        <v>88.629997000000003</v>
      </c>
      <c r="E870">
        <v>89.07</v>
      </c>
      <c r="F870">
        <v>72.111832000000007</v>
      </c>
      <c r="G870">
        <v>1297900</v>
      </c>
    </row>
    <row r="871" spans="1:7" x14ac:dyDescent="0.45">
      <c r="A871" s="1">
        <v>41255</v>
      </c>
      <c r="B871">
        <v>88.260002</v>
      </c>
      <c r="C871">
        <v>88.300003000000004</v>
      </c>
      <c r="D871">
        <v>87.589995999999999</v>
      </c>
      <c r="E871">
        <v>87.720000999999996</v>
      </c>
      <c r="F871">
        <v>71.018844999999999</v>
      </c>
      <c r="G871">
        <v>1220100</v>
      </c>
    </row>
    <row r="872" spans="1:7" x14ac:dyDescent="0.45">
      <c r="A872" s="1">
        <v>41256</v>
      </c>
      <c r="B872">
        <v>87.57</v>
      </c>
      <c r="C872">
        <v>87.889999000000003</v>
      </c>
      <c r="D872">
        <v>87.099997999999999</v>
      </c>
      <c r="E872">
        <v>87.339995999999999</v>
      </c>
      <c r="F872">
        <v>70.711196999999999</v>
      </c>
      <c r="G872">
        <v>723300</v>
      </c>
    </row>
    <row r="873" spans="1:7" x14ac:dyDescent="0.45">
      <c r="A873" s="1">
        <v>41257</v>
      </c>
      <c r="B873">
        <v>88</v>
      </c>
      <c r="C873">
        <v>88.360000999999997</v>
      </c>
      <c r="D873">
        <v>87.669998000000007</v>
      </c>
      <c r="E873">
        <v>88.32</v>
      </c>
      <c r="F873">
        <v>71.504608000000005</v>
      </c>
      <c r="G873">
        <v>1040600</v>
      </c>
    </row>
    <row r="874" spans="1:7" x14ac:dyDescent="0.45">
      <c r="A874" s="1">
        <v>41260</v>
      </c>
      <c r="B874">
        <v>87.290001000000004</v>
      </c>
      <c r="C874">
        <v>87.540001000000004</v>
      </c>
      <c r="D874">
        <v>86.720000999999996</v>
      </c>
      <c r="E874">
        <v>87.190002000000007</v>
      </c>
      <c r="F874">
        <v>70.589766999999995</v>
      </c>
      <c r="G874">
        <v>796000</v>
      </c>
    </row>
    <row r="875" spans="1:7" x14ac:dyDescent="0.45">
      <c r="A875" s="1">
        <v>41261</v>
      </c>
      <c r="B875">
        <v>87.690002000000007</v>
      </c>
      <c r="C875">
        <v>88.43</v>
      </c>
      <c r="D875">
        <v>87.300003000000004</v>
      </c>
      <c r="E875">
        <v>88.309997999999993</v>
      </c>
      <c r="F875">
        <v>71.496528999999995</v>
      </c>
      <c r="G875">
        <v>1165200</v>
      </c>
    </row>
    <row r="876" spans="1:7" x14ac:dyDescent="0.45">
      <c r="A876" s="1">
        <v>41262</v>
      </c>
      <c r="B876">
        <v>89.110000999999997</v>
      </c>
      <c r="C876">
        <v>89.330001999999993</v>
      </c>
      <c r="D876">
        <v>88.660004000000001</v>
      </c>
      <c r="E876">
        <v>88.830001999999993</v>
      </c>
      <c r="F876">
        <v>71.917518999999999</v>
      </c>
      <c r="G876">
        <v>500700</v>
      </c>
    </row>
    <row r="877" spans="1:7" x14ac:dyDescent="0.45">
      <c r="A877" s="1">
        <v>41263</v>
      </c>
      <c r="B877">
        <v>89.07</v>
      </c>
      <c r="C877">
        <v>89.290001000000004</v>
      </c>
      <c r="D877">
        <v>88.300003000000004</v>
      </c>
      <c r="E877">
        <v>88.550003000000004</v>
      </c>
      <c r="F877">
        <v>71.690833999999995</v>
      </c>
      <c r="G877">
        <v>1077100</v>
      </c>
    </row>
    <row r="878" spans="1:7" x14ac:dyDescent="0.45">
      <c r="A878" s="1">
        <v>41264</v>
      </c>
      <c r="B878">
        <v>88.089995999999999</v>
      </c>
      <c r="C878">
        <v>88.260002</v>
      </c>
      <c r="D878">
        <v>87.309997999999993</v>
      </c>
      <c r="E878">
        <v>87.5</v>
      </c>
      <c r="F878">
        <v>70.840751999999995</v>
      </c>
      <c r="G878">
        <v>893000</v>
      </c>
    </row>
    <row r="879" spans="1:7" x14ac:dyDescent="0.45">
      <c r="A879" s="1">
        <v>41267</v>
      </c>
      <c r="B879">
        <v>87.150002000000001</v>
      </c>
      <c r="C879">
        <v>87.589995999999999</v>
      </c>
      <c r="D879">
        <v>86.82</v>
      </c>
      <c r="E879">
        <v>87.540001000000004</v>
      </c>
      <c r="F879">
        <v>70.873123000000007</v>
      </c>
      <c r="G879">
        <v>228800</v>
      </c>
    </row>
    <row r="880" spans="1:7" x14ac:dyDescent="0.45">
      <c r="A880" s="1">
        <v>41269</v>
      </c>
      <c r="B880">
        <v>87.599997999999999</v>
      </c>
      <c r="C880">
        <v>88.089995999999999</v>
      </c>
      <c r="D880">
        <v>87.019997000000004</v>
      </c>
      <c r="E880">
        <v>87.440002000000007</v>
      </c>
      <c r="F880">
        <v>70.792152000000002</v>
      </c>
      <c r="G880">
        <v>269700</v>
      </c>
    </row>
    <row r="881" spans="1:7" x14ac:dyDescent="0.45">
      <c r="A881" s="1">
        <v>41270</v>
      </c>
      <c r="B881">
        <v>88.019997000000004</v>
      </c>
      <c r="C881">
        <v>88.059997999999993</v>
      </c>
      <c r="D881">
        <v>87.379997000000003</v>
      </c>
      <c r="E881">
        <v>87.959998999999996</v>
      </c>
      <c r="F881">
        <v>71.213165000000004</v>
      </c>
      <c r="G881">
        <v>524300</v>
      </c>
    </row>
    <row r="882" spans="1:7" x14ac:dyDescent="0.45">
      <c r="A882" s="1">
        <v>41271</v>
      </c>
      <c r="B882">
        <v>87.290001000000004</v>
      </c>
      <c r="C882">
        <v>87.440002000000007</v>
      </c>
      <c r="D882">
        <v>85.25</v>
      </c>
      <c r="E882">
        <v>86.809997999999993</v>
      </c>
      <c r="F882">
        <v>70.282096999999993</v>
      </c>
      <c r="G882">
        <v>432900</v>
      </c>
    </row>
    <row r="883" spans="1:7" x14ac:dyDescent="0.45">
      <c r="A883" s="1">
        <v>41274</v>
      </c>
      <c r="B883">
        <v>86.650002000000001</v>
      </c>
      <c r="C883">
        <v>87.580001999999993</v>
      </c>
      <c r="D883">
        <v>86.639999000000003</v>
      </c>
      <c r="E883">
        <v>87.410004000000001</v>
      </c>
      <c r="F883">
        <v>70.767876000000001</v>
      </c>
      <c r="G883">
        <v>445600</v>
      </c>
    </row>
    <row r="884" spans="1:7" x14ac:dyDescent="0.45">
      <c r="A884" s="1">
        <v>41276</v>
      </c>
      <c r="B884">
        <v>88.279999000000004</v>
      </c>
      <c r="C884">
        <v>89.040001000000004</v>
      </c>
      <c r="D884">
        <v>88.279999000000004</v>
      </c>
      <c r="E884">
        <v>89.040001000000004</v>
      </c>
      <c r="F884">
        <v>72.087547000000001</v>
      </c>
      <c r="G884">
        <v>1034200</v>
      </c>
    </row>
    <row r="885" spans="1:7" x14ac:dyDescent="0.45">
      <c r="A885" s="1">
        <v>41277</v>
      </c>
      <c r="B885">
        <v>87.339995999999999</v>
      </c>
      <c r="C885">
        <v>87.529999000000004</v>
      </c>
      <c r="D885">
        <v>86.669998000000007</v>
      </c>
      <c r="E885">
        <v>86.849997999999999</v>
      </c>
      <c r="F885">
        <v>70.314483999999993</v>
      </c>
      <c r="G885">
        <v>701200</v>
      </c>
    </row>
    <row r="886" spans="1:7" x14ac:dyDescent="0.45">
      <c r="A886" s="1">
        <v>41278</v>
      </c>
      <c r="B886">
        <v>87.07</v>
      </c>
      <c r="C886">
        <v>88.650002000000001</v>
      </c>
      <c r="D886">
        <v>87.07</v>
      </c>
      <c r="E886">
        <v>88.410004000000001</v>
      </c>
      <c r="F886">
        <v>71.577477000000002</v>
      </c>
      <c r="G886">
        <v>1021300</v>
      </c>
    </row>
    <row r="887" spans="1:7" x14ac:dyDescent="0.45">
      <c r="A887" s="1">
        <v>41281</v>
      </c>
      <c r="B887">
        <v>87.720000999999996</v>
      </c>
      <c r="C887">
        <v>87.870002999999997</v>
      </c>
      <c r="D887">
        <v>87.419998000000007</v>
      </c>
      <c r="E887">
        <v>87.599997999999999</v>
      </c>
      <c r="F887">
        <v>70.921700000000001</v>
      </c>
      <c r="G887">
        <v>1310100</v>
      </c>
    </row>
    <row r="888" spans="1:7" x14ac:dyDescent="0.45">
      <c r="A888" s="1">
        <v>41282</v>
      </c>
      <c r="B888">
        <v>86.580001999999993</v>
      </c>
      <c r="C888">
        <v>86.709998999999996</v>
      </c>
      <c r="D888">
        <v>86.07</v>
      </c>
      <c r="E888">
        <v>86.290001000000004</v>
      </c>
      <c r="F888">
        <v>69.861107000000004</v>
      </c>
      <c r="G888">
        <v>1377600</v>
      </c>
    </row>
    <row r="889" spans="1:7" x14ac:dyDescent="0.45">
      <c r="A889" s="1">
        <v>41283</v>
      </c>
      <c r="B889">
        <v>84.550003000000004</v>
      </c>
      <c r="C889">
        <v>84.830001999999993</v>
      </c>
      <c r="D889">
        <v>84.050003000000004</v>
      </c>
      <c r="E889">
        <v>84.290001000000004</v>
      </c>
      <c r="F889">
        <v>68.241889999999998</v>
      </c>
      <c r="G889">
        <v>2494400</v>
      </c>
    </row>
    <row r="890" spans="1:7" x14ac:dyDescent="0.45">
      <c r="A890" s="1">
        <v>41284</v>
      </c>
      <c r="B890">
        <v>85.400002000000001</v>
      </c>
      <c r="C890">
        <v>86.639999000000003</v>
      </c>
      <c r="D890">
        <v>85.379997000000003</v>
      </c>
      <c r="E890">
        <v>86.610000999999997</v>
      </c>
      <c r="F890">
        <v>70.120177999999996</v>
      </c>
      <c r="G890">
        <v>798400</v>
      </c>
    </row>
    <row r="891" spans="1:7" x14ac:dyDescent="0.45">
      <c r="A891" s="1">
        <v>41285</v>
      </c>
      <c r="B891">
        <v>87.519997000000004</v>
      </c>
      <c r="C891">
        <v>87.75</v>
      </c>
      <c r="D891">
        <v>87.290001000000004</v>
      </c>
      <c r="E891">
        <v>87.599997999999999</v>
      </c>
      <c r="F891">
        <v>70.921700000000001</v>
      </c>
      <c r="G891">
        <v>762400</v>
      </c>
    </row>
    <row r="892" spans="1:7" x14ac:dyDescent="0.45">
      <c r="A892" s="1">
        <v>41288</v>
      </c>
      <c r="B892">
        <v>86.949996999999996</v>
      </c>
      <c r="C892">
        <v>87.550003000000004</v>
      </c>
      <c r="D892">
        <v>86.790001000000004</v>
      </c>
      <c r="E892">
        <v>87.300003000000004</v>
      </c>
      <c r="F892">
        <v>70.678825000000003</v>
      </c>
      <c r="G892">
        <v>517100</v>
      </c>
    </row>
    <row r="893" spans="1:7" x14ac:dyDescent="0.45">
      <c r="A893" s="1">
        <v>41289</v>
      </c>
      <c r="B893">
        <v>87.980002999999996</v>
      </c>
      <c r="C893">
        <v>88.959998999999996</v>
      </c>
      <c r="D893">
        <v>87.900002000000001</v>
      </c>
      <c r="E893">
        <v>88.690002000000007</v>
      </c>
      <c r="F893">
        <v>71.804192</v>
      </c>
      <c r="G893">
        <v>531700</v>
      </c>
    </row>
    <row r="894" spans="1:7" x14ac:dyDescent="0.45">
      <c r="A894" s="1">
        <v>41290</v>
      </c>
      <c r="B894">
        <v>89.120002999999997</v>
      </c>
      <c r="C894">
        <v>89.529999000000004</v>
      </c>
      <c r="D894">
        <v>88.900002000000001</v>
      </c>
      <c r="E894">
        <v>88.989998</v>
      </c>
      <c r="F894">
        <v>72.047049999999999</v>
      </c>
      <c r="G894">
        <v>1329900</v>
      </c>
    </row>
    <row r="895" spans="1:7" x14ac:dyDescent="0.45">
      <c r="A895" s="1">
        <v>41291</v>
      </c>
      <c r="B895">
        <v>89.059997999999993</v>
      </c>
      <c r="C895">
        <v>89.139999000000003</v>
      </c>
      <c r="D895">
        <v>88.510002</v>
      </c>
      <c r="E895">
        <v>88.910004000000001</v>
      </c>
      <c r="F895">
        <v>71.982299999999995</v>
      </c>
      <c r="G895">
        <v>1827700</v>
      </c>
    </row>
    <row r="896" spans="1:7" x14ac:dyDescent="0.45">
      <c r="A896" s="1">
        <v>41292</v>
      </c>
      <c r="B896">
        <v>89.269997000000004</v>
      </c>
      <c r="C896">
        <v>89.720000999999996</v>
      </c>
      <c r="D896">
        <v>89.080001999999993</v>
      </c>
      <c r="E896">
        <v>89.720000999999996</v>
      </c>
      <c r="F896">
        <v>72.638069000000002</v>
      </c>
      <c r="G896">
        <v>469900</v>
      </c>
    </row>
    <row r="897" spans="1:7" x14ac:dyDescent="0.45">
      <c r="A897" s="1">
        <v>41296</v>
      </c>
      <c r="B897">
        <v>90.099997999999999</v>
      </c>
      <c r="C897">
        <v>90.839995999999999</v>
      </c>
      <c r="D897">
        <v>89.57</v>
      </c>
      <c r="E897">
        <v>90.839995999999999</v>
      </c>
      <c r="F897">
        <v>73.544830000000005</v>
      </c>
      <c r="G897">
        <v>598700</v>
      </c>
    </row>
    <row r="898" spans="1:7" x14ac:dyDescent="0.45">
      <c r="A898" s="1">
        <v>41297</v>
      </c>
      <c r="B898">
        <v>90.510002</v>
      </c>
      <c r="C898">
        <v>90.769997000000004</v>
      </c>
      <c r="D898">
        <v>89.860000999999997</v>
      </c>
      <c r="E898">
        <v>90.120002999999997</v>
      </c>
      <c r="F898">
        <v>72.961913999999993</v>
      </c>
      <c r="G898">
        <v>759600</v>
      </c>
    </row>
    <row r="899" spans="1:7" x14ac:dyDescent="0.45">
      <c r="A899" s="1">
        <v>41298</v>
      </c>
      <c r="B899">
        <v>90.300003000000004</v>
      </c>
      <c r="C899">
        <v>90.709998999999996</v>
      </c>
      <c r="D899">
        <v>90.190002000000007</v>
      </c>
      <c r="E899">
        <v>90.260002</v>
      </c>
      <c r="F899">
        <v>73.075264000000004</v>
      </c>
      <c r="G899">
        <v>620200</v>
      </c>
    </row>
    <row r="900" spans="1:7" x14ac:dyDescent="0.45">
      <c r="A900" s="1">
        <v>41299</v>
      </c>
      <c r="B900">
        <v>91.589995999999999</v>
      </c>
      <c r="C900">
        <v>91.779999000000004</v>
      </c>
      <c r="D900">
        <v>91.059997999999993</v>
      </c>
      <c r="E900">
        <v>91.709998999999996</v>
      </c>
      <c r="F900">
        <v>74.249190999999996</v>
      </c>
      <c r="G900">
        <v>1102400</v>
      </c>
    </row>
    <row r="901" spans="1:7" x14ac:dyDescent="0.45">
      <c r="A901" s="1">
        <v>41302</v>
      </c>
      <c r="B901">
        <v>92.480002999999996</v>
      </c>
      <c r="C901">
        <v>92.540001000000004</v>
      </c>
      <c r="D901">
        <v>91.419998000000007</v>
      </c>
      <c r="E901">
        <v>91.809997999999993</v>
      </c>
      <c r="F901">
        <v>74.330153999999993</v>
      </c>
      <c r="G901">
        <v>1829200</v>
      </c>
    </row>
    <row r="902" spans="1:7" x14ac:dyDescent="0.45">
      <c r="A902" s="1">
        <v>41303</v>
      </c>
      <c r="B902">
        <v>92.440002000000007</v>
      </c>
      <c r="C902">
        <v>93.5</v>
      </c>
      <c r="D902">
        <v>92.419998000000007</v>
      </c>
      <c r="E902">
        <v>93.239998</v>
      </c>
      <c r="F902">
        <v>75.487899999999996</v>
      </c>
      <c r="G902">
        <v>998200</v>
      </c>
    </row>
    <row r="903" spans="1:7" x14ac:dyDescent="0.45">
      <c r="A903" s="1">
        <v>41304</v>
      </c>
      <c r="B903">
        <v>94.059997999999993</v>
      </c>
      <c r="C903">
        <v>94.489998</v>
      </c>
      <c r="D903">
        <v>93.870002999999997</v>
      </c>
      <c r="E903">
        <v>94.139999000000003</v>
      </c>
      <c r="F903">
        <v>76.216530000000006</v>
      </c>
      <c r="G903">
        <v>1306000</v>
      </c>
    </row>
    <row r="904" spans="1:7" x14ac:dyDescent="0.45">
      <c r="A904" s="1">
        <v>41305</v>
      </c>
      <c r="B904">
        <v>94.32</v>
      </c>
      <c r="C904">
        <v>94.339995999999999</v>
      </c>
      <c r="D904">
        <v>86.779999000000004</v>
      </c>
      <c r="E904">
        <v>88.599997999999999</v>
      </c>
      <c r="F904">
        <v>71.731316000000007</v>
      </c>
      <c r="G904">
        <v>13492400</v>
      </c>
    </row>
    <row r="905" spans="1:7" x14ac:dyDescent="0.45">
      <c r="A905" s="1">
        <v>41306</v>
      </c>
      <c r="B905">
        <v>90.580001999999993</v>
      </c>
      <c r="C905">
        <v>92.870002999999997</v>
      </c>
      <c r="D905">
        <v>90.099997999999999</v>
      </c>
      <c r="E905">
        <v>92.279999000000004</v>
      </c>
      <c r="F905">
        <v>74.710655000000003</v>
      </c>
      <c r="G905">
        <v>4736200</v>
      </c>
    </row>
    <row r="906" spans="1:7" x14ac:dyDescent="0.45">
      <c r="A906" s="1">
        <v>41309</v>
      </c>
      <c r="B906">
        <v>89.279999000000004</v>
      </c>
      <c r="C906">
        <v>89.769997000000004</v>
      </c>
      <c r="D906">
        <v>87.550003000000004</v>
      </c>
      <c r="E906">
        <v>87.669998000000007</v>
      </c>
      <c r="F906">
        <v>70.978370999999996</v>
      </c>
      <c r="G906">
        <v>4480400</v>
      </c>
    </row>
    <row r="907" spans="1:7" x14ac:dyDescent="0.45">
      <c r="A907" s="1">
        <v>41310</v>
      </c>
      <c r="B907">
        <v>88.300003000000004</v>
      </c>
      <c r="C907">
        <v>88.5</v>
      </c>
      <c r="D907">
        <v>87.769997000000004</v>
      </c>
      <c r="E907">
        <v>88.080001999999993</v>
      </c>
      <c r="F907">
        <v>71.310317999999995</v>
      </c>
      <c r="G907">
        <v>2440800</v>
      </c>
    </row>
    <row r="908" spans="1:7" x14ac:dyDescent="0.45">
      <c r="A908" s="1">
        <v>41311</v>
      </c>
      <c r="B908">
        <v>87.230002999999996</v>
      </c>
      <c r="C908">
        <v>87.489998</v>
      </c>
      <c r="D908">
        <v>87.029999000000004</v>
      </c>
      <c r="E908">
        <v>87.370002999999997</v>
      </c>
      <c r="F908">
        <v>70.735480999999993</v>
      </c>
      <c r="G908">
        <v>1205900</v>
      </c>
    </row>
    <row r="909" spans="1:7" x14ac:dyDescent="0.45">
      <c r="A909" s="1">
        <v>41312</v>
      </c>
      <c r="B909">
        <v>87.510002</v>
      </c>
      <c r="C909">
        <v>87.589995999999999</v>
      </c>
      <c r="D909">
        <v>86.239998</v>
      </c>
      <c r="E909">
        <v>86.400002000000001</v>
      </c>
      <c r="F909">
        <v>69.950180000000003</v>
      </c>
      <c r="G909">
        <v>2237200</v>
      </c>
    </row>
    <row r="910" spans="1:7" x14ac:dyDescent="0.45">
      <c r="A910" s="1">
        <v>41313</v>
      </c>
      <c r="B910">
        <v>85.730002999999996</v>
      </c>
      <c r="C910">
        <v>86.339995999999999</v>
      </c>
      <c r="D910">
        <v>85.68</v>
      </c>
      <c r="E910">
        <v>85.739998</v>
      </c>
      <c r="F910">
        <v>69.415824999999998</v>
      </c>
      <c r="G910">
        <v>2457200</v>
      </c>
    </row>
    <row r="911" spans="1:7" x14ac:dyDescent="0.45">
      <c r="A911" s="1">
        <v>41316</v>
      </c>
      <c r="B911">
        <v>85.279999000000004</v>
      </c>
      <c r="C911">
        <v>86.370002999999997</v>
      </c>
      <c r="D911">
        <v>85.139999000000003</v>
      </c>
      <c r="E911">
        <v>86.269997000000004</v>
      </c>
      <c r="F911">
        <v>69.844916999999995</v>
      </c>
      <c r="G911">
        <v>1976600</v>
      </c>
    </row>
    <row r="912" spans="1:7" x14ac:dyDescent="0.45">
      <c r="A912" s="1">
        <v>41317</v>
      </c>
      <c r="B912">
        <v>86.580001999999993</v>
      </c>
      <c r="C912">
        <v>87.800003000000004</v>
      </c>
      <c r="D912">
        <v>86.510002</v>
      </c>
      <c r="E912">
        <v>87.519997000000004</v>
      </c>
      <c r="F912">
        <v>70.856926000000001</v>
      </c>
      <c r="G912">
        <v>2083500</v>
      </c>
    </row>
    <row r="913" spans="1:7" x14ac:dyDescent="0.45">
      <c r="A913" s="1">
        <v>41318</v>
      </c>
      <c r="B913">
        <v>88.379997000000003</v>
      </c>
      <c r="C913">
        <v>88.519997000000004</v>
      </c>
      <c r="D913">
        <v>88.010002</v>
      </c>
      <c r="E913">
        <v>88.260002</v>
      </c>
      <c r="F913">
        <v>71.456039000000004</v>
      </c>
      <c r="G913">
        <v>1671200</v>
      </c>
    </row>
    <row r="914" spans="1:7" x14ac:dyDescent="0.45">
      <c r="A914" s="1">
        <v>41319</v>
      </c>
      <c r="B914">
        <v>92.800003000000004</v>
      </c>
      <c r="C914">
        <v>94.139999000000003</v>
      </c>
      <c r="D914">
        <v>92.019997000000004</v>
      </c>
      <c r="E914">
        <v>92.760002</v>
      </c>
      <c r="F914">
        <v>75.099281000000005</v>
      </c>
      <c r="G914">
        <v>5068400</v>
      </c>
    </row>
    <row r="915" spans="1:7" x14ac:dyDescent="0.45">
      <c r="A915" s="1">
        <v>41320</v>
      </c>
      <c r="B915">
        <v>93.129997000000003</v>
      </c>
      <c r="C915">
        <v>93.389999000000003</v>
      </c>
      <c r="D915">
        <v>92.660004000000001</v>
      </c>
      <c r="E915">
        <v>92.730002999999996</v>
      </c>
      <c r="F915">
        <v>75.074989000000002</v>
      </c>
      <c r="G915">
        <v>2481900</v>
      </c>
    </row>
    <row r="916" spans="1:7" x14ac:dyDescent="0.45">
      <c r="A916" s="1">
        <v>41324</v>
      </c>
      <c r="B916">
        <v>92.580001999999993</v>
      </c>
      <c r="C916">
        <v>93.089995999999999</v>
      </c>
      <c r="D916">
        <v>92.370002999999997</v>
      </c>
      <c r="E916">
        <v>93.089995999999999</v>
      </c>
      <c r="F916">
        <v>75.366439999999997</v>
      </c>
      <c r="G916">
        <v>1762600</v>
      </c>
    </row>
    <row r="917" spans="1:7" x14ac:dyDescent="0.45">
      <c r="A917" s="1">
        <v>41325</v>
      </c>
      <c r="B917">
        <v>93.910004000000001</v>
      </c>
      <c r="C917">
        <v>94.010002</v>
      </c>
      <c r="D917">
        <v>92.43</v>
      </c>
      <c r="E917">
        <v>92.870002999999997</v>
      </c>
      <c r="F917">
        <v>75.188354000000004</v>
      </c>
      <c r="G917">
        <v>2393300</v>
      </c>
    </row>
    <row r="918" spans="1:7" x14ac:dyDescent="0.45">
      <c r="A918" s="1">
        <v>41326</v>
      </c>
      <c r="B918">
        <v>92.059997999999993</v>
      </c>
      <c r="C918">
        <v>92.18</v>
      </c>
      <c r="D918">
        <v>91.389999000000003</v>
      </c>
      <c r="E918">
        <v>92.059997999999993</v>
      </c>
      <c r="F918">
        <v>74.532546999999994</v>
      </c>
      <c r="G918">
        <v>1958000</v>
      </c>
    </row>
    <row r="919" spans="1:7" x14ac:dyDescent="0.45">
      <c r="A919" s="1">
        <v>41327</v>
      </c>
      <c r="B919">
        <v>92.730002999999996</v>
      </c>
      <c r="C919">
        <v>93.379997000000003</v>
      </c>
      <c r="D919">
        <v>91.989998</v>
      </c>
      <c r="E919">
        <v>93.379997000000003</v>
      </c>
      <c r="F919">
        <v>75.601241999999999</v>
      </c>
      <c r="G919">
        <v>948300</v>
      </c>
    </row>
    <row r="920" spans="1:7" x14ac:dyDescent="0.45">
      <c r="A920" s="1">
        <v>41330</v>
      </c>
      <c r="B920">
        <v>93.809997999999993</v>
      </c>
      <c r="C920">
        <v>94</v>
      </c>
      <c r="D920">
        <v>91.900002000000001</v>
      </c>
      <c r="E920">
        <v>91.919998000000007</v>
      </c>
      <c r="F920">
        <v>74.419212000000002</v>
      </c>
      <c r="G920">
        <v>3187700</v>
      </c>
    </row>
    <row r="921" spans="1:7" x14ac:dyDescent="0.45">
      <c r="A921" s="1">
        <v>41331</v>
      </c>
      <c r="B921">
        <v>91.279999000000004</v>
      </c>
      <c r="C921">
        <v>91.949996999999996</v>
      </c>
      <c r="D921">
        <v>90.940002000000007</v>
      </c>
      <c r="E921">
        <v>91.800003000000004</v>
      </c>
      <c r="F921">
        <v>74.322051999999999</v>
      </c>
      <c r="G921">
        <v>1884100</v>
      </c>
    </row>
    <row r="922" spans="1:7" x14ac:dyDescent="0.45">
      <c r="A922" s="1">
        <v>41332</v>
      </c>
      <c r="B922">
        <v>92.330001999999993</v>
      </c>
      <c r="C922">
        <v>93.830001999999993</v>
      </c>
      <c r="D922">
        <v>92.239998</v>
      </c>
      <c r="E922">
        <v>93.690002000000007</v>
      </c>
      <c r="F922">
        <v>75.852226000000002</v>
      </c>
      <c r="G922">
        <v>2417200</v>
      </c>
    </row>
    <row r="923" spans="1:7" x14ac:dyDescent="0.45">
      <c r="A923" s="1">
        <v>41333</v>
      </c>
      <c r="B923">
        <v>93.550003000000004</v>
      </c>
      <c r="C923">
        <v>94.269997000000004</v>
      </c>
      <c r="D923">
        <v>93.389999000000003</v>
      </c>
      <c r="E923">
        <v>93.989998</v>
      </c>
      <c r="F923">
        <v>76.095093000000006</v>
      </c>
      <c r="G923">
        <v>2353300</v>
      </c>
    </row>
    <row r="924" spans="1:7" x14ac:dyDescent="0.45">
      <c r="A924" s="1">
        <v>41334</v>
      </c>
      <c r="B924">
        <v>93.720000999999996</v>
      </c>
      <c r="C924">
        <v>94.580001999999993</v>
      </c>
      <c r="D924">
        <v>93.139999000000003</v>
      </c>
      <c r="E924">
        <v>94.540001000000004</v>
      </c>
      <c r="F924">
        <v>76.540390000000002</v>
      </c>
      <c r="G924">
        <v>1874700</v>
      </c>
    </row>
    <row r="925" spans="1:7" x14ac:dyDescent="0.45">
      <c r="A925" s="1">
        <v>41337</v>
      </c>
      <c r="B925">
        <v>93.900002000000001</v>
      </c>
      <c r="C925">
        <v>94.75</v>
      </c>
      <c r="D925">
        <v>93.580001999999993</v>
      </c>
      <c r="E925">
        <v>94.529999000000004</v>
      </c>
      <c r="F925">
        <v>76.532272000000006</v>
      </c>
      <c r="G925">
        <v>1958300</v>
      </c>
    </row>
    <row r="926" spans="1:7" x14ac:dyDescent="0.45">
      <c r="A926" s="1">
        <v>41338</v>
      </c>
      <c r="B926">
        <v>94.330001999999993</v>
      </c>
      <c r="C926">
        <v>94.980002999999996</v>
      </c>
      <c r="D926">
        <v>94.269997000000004</v>
      </c>
      <c r="E926">
        <v>94.699996999999996</v>
      </c>
      <c r="F926">
        <v>76.669906999999995</v>
      </c>
      <c r="G926">
        <v>1419500</v>
      </c>
    </row>
    <row r="927" spans="1:7" x14ac:dyDescent="0.45">
      <c r="A927" s="1">
        <v>41339</v>
      </c>
      <c r="B927">
        <v>94.480002999999996</v>
      </c>
      <c r="C927">
        <v>94.709998999999996</v>
      </c>
      <c r="D927">
        <v>94</v>
      </c>
      <c r="E927">
        <v>94.120002999999997</v>
      </c>
      <c r="F927">
        <v>76.200355999999999</v>
      </c>
      <c r="G927">
        <v>718600</v>
      </c>
    </row>
    <row r="928" spans="1:7" x14ac:dyDescent="0.45">
      <c r="A928" s="1">
        <v>41340</v>
      </c>
      <c r="B928">
        <v>95.150002000000001</v>
      </c>
      <c r="C928">
        <v>95.919998000000007</v>
      </c>
      <c r="D928">
        <v>94.699996999999996</v>
      </c>
      <c r="E928">
        <v>95.580001999999993</v>
      </c>
      <c r="F928">
        <v>77.382369999999995</v>
      </c>
      <c r="G928">
        <v>1292600</v>
      </c>
    </row>
    <row r="929" spans="1:7" x14ac:dyDescent="0.45">
      <c r="A929" s="1">
        <v>41341</v>
      </c>
      <c r="B929">
        <v>95.580001999999993</v>
      </c>
      <c r="C929">
        <v>97.309997999999993</v>
      </c>
      <c r="D929">
        <v>95.300003000000004</v>
      </c>
      <c r="E929">
        <v>97.139999000000003</v>
      </c>
      <c r="F929">
        <v>78.645354999999995</v>
      </c>
      <c r="G929">
        <v>2034900</v>
      </c>
    </row>
    <row r="930" spans="1:7" x14ac:dyDescent="0.45">
      <c r="A930" s="1">
        <v>41344</v>
      </c>
      <c r="B930">
        <v>96.68</v>
      </c>
      <c r="C930">
        <v>97.129997000000003</v>
      </c>
      <c r="D930">
        <v>96.449996999999996</v>
      </c>
      <c r="E930">
        <v>96.980002999999996</v>
      </c>
      <c r="F930">
        <v>78.515822999999997</v>
      </c>
      <c r="G930">
        <v>1197400</v>
      </c>
    </row>
    <row r="931" spans="1:7" x14ac:dyDescent="0.45">
      <c r="A931" s="1">
        <v>41345</v>
      </c>
      <c r="B931">
        <v>96.260002</v>
      </c>
      <c r="C931">
        <v>96.830001999999993</v>
      </c>
      <c r="D931">
        <v>95.5</v>
      </c>
      <c r="E931">
        <v>95.830001999999993</v>
      </c>
      <c r="F931">
        <v>77.584778</v>
      </c>
      <c r="G931">
        <v>962800</v>
      </c>
    </row>
    <row r="932" spans="1:7" x14ac:dyDescent="0.45">
      <c r="A932" s="1">
        <v>41346</v>
      </c>
      <c r="B932">
        <v>95.279999000000004</v>
      </c>
      <c r="C932">
        <v>95.900002000000001</v>
      </c>
      <c r="D932">
        <v>95.160004000000001</v>
      </c>
      <c r="E932">
        <v>95.669998000000007</v>
      </c>
      <c r="F932">
        <v>77.455246000000002</v>
      </c>
      <c r="G932">
        <v>998200</v>
      </c>
    </row>
    <row r="933" spans="1:7" x14ac:dyDescent="0.45">
      <c r="A933" s="1">
        <v>41347</v>
      </c>
      <c r="B933">
        <v>95.910004000000001</v>
      </c>
      <c r="C933">
        <v>96.529999000000004</v>
      </c>
      <c r="D933">
        <v>95.550003000000004</v>
      </c>
      <c r="E933">
        <v>96.260002</v>
      </c>
      <c r="F933">
        <v>77.932914999999994</v>
      </c>
      <c r="G933">
        <v>743600</v>
      </c>
    </row>
    <row r="934" spans="1:7" x14ac:dyDescent="0.45">
      <c r="A934" s="1">
        <v>41348</v>
      </c>
      <c r="B934">
        <v>95.93</v>
      </c>
      <c r="C934">
        <v>96.080001999999993</v>
      </c>
      <c r="D934">
        <v>94.660004000000001</v>
      </c>
      <c r="E934">
        <v>95.43</v>
      </c>
      <c r="F934">
        <v>77.260941000000003</v>
      </c>
      <c r="G934">
        <v>1311900</v>
      </c>
    </row>
    <row r="935" spans="1:7" x14ac:dyDescent="0.45">
      <c r="A935" s="1">
        <v>41351</v>
      </c>
      <c r="B935">
        <v>94.889999000000003</v>
      </c>
      <c r="C935">
        <v>96.620002999999997</v>
      </c>
      <c r="D935">
        <v>94.889999000000003</v>
      </c>
      <c r="E935">
        <v>95.620002999999997</v>
      </c>
      <c r="F935">
        <v>77.414771999999999</v>
      </c>
      <c r="G935">
        <v>1363000</v>
      </c>
    </row>
    <row r="936" spans="1:7" x14ac:dyDescent="0.45">
      <c r="A936" s="1">
        <v>41352</v>
      </c>
      <c r="B936">
        <v>95.580001999999993</v>
      </c>
      <c r="C936">
        <v>96.120002999999997</v>
      </c>
      <c r="D936">
        <v>94.580001999999993</v>
      </c>
      <c r="E936">
        <v>95.279999000000004</v>
      </c>
      <c r="F936">
        <v>77.139503000000005</v>
      </c>
      <c r="G936">
        <v>1169400</v>
      </c>
    </row>
    <row r="937" spans="1:7" x14ac:dyDescent="0.45">
      <c r="A937" s="1">
        <v>41353</v>
      </c>
      <c r="B937">
        <v>96.349997999999999</v>
      </c>
      <c r="C937">
        <v>96.559997999999993</v>
      </c>
      <c r="D937">
        <v>95.629997000000003</v>
      </c>
      <c r="E937">
        <v>96.129997000000003</v>
      </c>
      <c r="F937">
        <v>77.827667000000005</v>
      </c>
      <c r="G937">
        <v>1151000</v>
      </c>
    </row>
    <row r="938" spans="1:7" x14ac:dyDescent="0.45">
      <c r="A938" s="1">
        <v>41354</v>
      </c>
      <c r="B938">
        <v>95.519997000000004</v>
      </c>
      <c r="C938">
        <v>96.129997000000003</v>
      </c>
      <c r="D938">
        <v>95.099997999999999</v>
      </c>
      <c r="E938">
        <v>95.669998000000007</v>
      </c>
      <c r="F938">
        <v>77.455246000000002</v>
      </c>
      <c r="G938">
        <v>2061300</v>
      </c>
    </row>
    <row r="939" spans="1:7" x14ac:dyDescent="0.45">
      <c r="A939" s="1">
        <v>41355</v>
      </c>
      <c r="B939">
        <v>96.25</v>
      </c>
      <c r="C939">
        <v>98.099997999999999</v>
      </c>
      <c r="D939">
        <v>96.120002999999997</v>
      </c>
      <c r="E939">
        <v>98.099997999999999</v>
      </c>
      <c r="F939">
        <v>79.422577000000004</v>
      </c>
      <c r="G939">
        <v>2266800</v>
      </c>
    </row>
    <row r="940" spans="1:7" x14ac:dyDescent="0.45">
      <c r="A940" s="1">
        <v>41358</v>
      </c>
      <c r="B940">
        <v>98.419998000000007</v>
      </c>
      <c r="C940">
        <v>98.720000999999996</v>
      </c>
      <c r="D940">
        <v>96.889999000000003</v>
      </c>
      <c r="E940">
        <v>97.389999000000003</v>
      </c>
      <c r="F940">
        <v>78.847770999999995</v>
      </c>
      <c r="G940">
        <v>2386800</v>
      </c>
    </row>
    <row r="941" spans="1:7" x14ac:dyDescent="0.45">
      <c r="A941" s="1">
        <v>41359</v>
      </c>
      <c r="B941">
        <v>97.419998000000007</v>
      </c>
      <c r="C941">
        <v>98.839995999999999</v>
      </c>
      <c r="D941">
        <v>97.019997000000004</v>
      </c>
      <c r="E941">
        <v>98.690002000000007</v>
      </c>
      <c r="F941">
        <v>79.900276000000005</v>
      </c>
      <c r="G941">
        <v>1351700</v>
      </c>
    </row>
    <row r="942" spans="1:7" x14ac:dyDescent="0.45">
      <c r="A942" s="1">
        <v>41360</v>
      </c>
      <c r="B942">
        <v>96.440002000000007</v>
      </c>
      <c r="C942">
        <v>97.620002999999997</v>
      </c>
      <c r="D942">
        <v>96.18</v>
      </c>
      <c r="E942">
        <v>97.449996999999996</v>
      </c>
      <c r="F942">
        <v>78.896324000000007</v>
      </c>
      <c r="G942">
        <v>1156200</v>
      </c>
    </row>
    <row r="943" spans="1:7" x14ac:dyDescent="0.45">
      <c r="A943" s="1">
        <v>41361</v>
      </c>
      <c r="B943">
        <v>99.269997000000004</v>
      </c>
      <c r="C943">
        <v>99.779999000000004</v>
      </c>
      <c r="D943">
        <v>98.800003000000004</v>
      </c>
      <c r="E943">
        <v>99.550003000000004</v>
      </c>
      <c r="F943">
        <v>80.596526999999995</v>
      </c>
      <c r="G943">
        <v>1005000</v>
      </c>
    </row>
    <row r="944" spans="1:7" x14ac:dyDescent="0.45">
      <c r="A944" s="1">
        <v>41365</v>
      </c>
      <c r="B944">
        <v>99.529999000000004</v>
      </c>
      <c r="C944">
        <v>99.949996999999996</v>
      </c>
      <c r="D944">
        <v>98.919998000000007</v>
      </c>
      <c r="E944">
        <v>99.32</v>
      </c>
      <c r="F944">
        <v>80.410315999999995</v>
      </c>
      <c r="G944">
        <v>487800</v>
      </c>
    </row>
    <row r="945" spans="1:7" x14ac:dyDescent="0.45">
      <c r="A945" s="1">
        <v>41366</v>
      </c>
      <c r="B945">
        <v>99.690002000000007</v>
      </c>
      <c r="C945">
        <v>101.589996</v>
      </c>
      <c r="D945">
        <v>99.610000999999997</v>
      </c>
      <c r="E945">
        <v>100.139999</v>
      </c>
      <c r="F945">
        <v>81.074202999999997</v>
      </c>
      <c r="G945">
        <v>1679200</v>
      </c>
    </row>
    <row r="946" spans="1:7" x14ac:dyDescent="0.45">
      <c r="A946" s="1">
        <v>41367</v>
      </c>
      <c r="B946">
        <v>101.08000199999999</v>
      </c>
      <c r="C946">
        <v>101.480003</v>
      </c>
      <c r="D946">
        <v>99</v>
      </c>
      <c r="E946">
        <v>99.080001999999993</v>
      </c>
      <c r="F946">
        <v>80.216003000000001</v>
      </c>
      <c r="G946">
        <v>3954100</v>
      </c>
    </row>
    <row r="947" spans="1:7" x14ac:dyDescent="0.45">
      <c r="A947" s="1">
        <v>41368</v>
      </c>
      <c r="B947">
        <v>98.470000999999996</v>
      </c>
      <c r="C947">
        <v>100.120003</v>
      </c>
      <c r="D947">
        <v>98.129997000000003</v>
      </c>
      <c r="E947">
        <v>99.550003000000004</v>
      </c>
      <c r="F947">
        <v>80.596526999999995</v>
      </c>
      <c r="G947">
        <v>990500</v>
      </c>
    </row>
    <row r="948" spans="1:7" x14ac:dyDescent="0.45">
      <c r="A948" s="1">
        <v>41369</v>
      </c>
      <c r="B948">
        <v>97.25</v>
      </c>
      <c r="C948">
        <v>98.18</v>
      </c>
      <c r="D948">
        <v>96.720000999999996</v>
      </c>
      <c r="E948">
        <v>97.599997999999999</v>
      </c>
      <c r="F948">
        <v>79.017784000000006</v>
      </c>
      <c r="G948">
        <v>1315100</v>
      </c>
    </row>
    <row r="949" spans="1:7" x14ac:dyDescent="0.45">
      <c r="A949" s="1">
        <v>41372</v>
      </c>
      <c r="B949">
        <v>99.330001999999993</v>
      </c>
      <c r="C949">
        <v>99.709998999999996</v>
      </c>
      <c r="D949">
        <v>98.910004000000001</v>
      </c>
      <c r="E949">
        <v>99.230002999999996</v>
      </c>
      <c r="F949">
        <v>80.337447999999995</v>
      </c>
      <c r="G949">
        <v>1218300</v>
      </c>
    </row>
    <row r="950" spans="1:7" x14ac:dyDescent="0.45">
      <c r="A950" s="1">
        <v>41373</v>
      </c>
      <c r="B950">
        <v>98.449996999999996</v>
      </c>
      <c r="C950">
        <v>99.309997999999993</v>
      </c>
      <c r="D950">
        <v>98.080001999999993</v>
      </c>
      <c r="E950">
        <v>98.730002999999996</v>
      </c>
      <c r="F950">
        <v>79.932640000000006</v>
      </c>
      <c r="G950">
        <v>947700</v>
      </c>
    </row>
    <row r="951" spans="1:7" x14ac:dyDescent="0.45">
      <c r="A951" s="1">
        <v>41374</v>
      </c>
      <c r="B951">
        <v>99.290001000000004</v>
      </c>
      <c r="C951">
        <v>101.860001</v>
      </c>
      <c r="D951">
        <v>99.230002999999996</v>
      </c>
      <c r="E951">
        <v>101.839996</v>
      </c>
      <c r="F951">
        <v>82.450523000000004</v>
      </c>
      <c r="G951">
        <v>2131500</v>
      </c>
    </row>
    <row r="952" spans="1:7" x14ac:dyDescent="0.45">
      <c r="A952" s="1">
        <v>41375</v>
      </c>
      <c r="B952">
        <v>100.83000199999999</v>
      </c>
      <c r="C952">
        <v>101.41999800000001</v>
      </c>
      <c r="D952">
        <v>100.599998</v>
      </c>
      <c r="E952">
        <v>100.879997</v>
      </c>
      <c r="F952">
        <v>81.673302000000007</v>
      </c>
      <c r="G952">
        <v>897600</v>
      </c>
    </row>
    <row r="953" spans="1:7" x14ac:dyDescent="0.45">
      <c r="A953" s="1">
        <v>41376</v>
      </c>
      <c r="B953">
        <v>99.959998999999996</v>
      </c>
      <c r="C953">
        <v>100.44000200000001</v>
      </c>
      <c r="D953">
        <v>99.629997000000003</v>
      </c>
      <c r="E953">
        <v>100.379997</v>
      </c>
      <c r="F953">
        <v>81.268478000000002</v>
      </c>
      <c r="G953">
        <v>1513000</v>
      </c>
    </row>
    <row r="954" spans="1:7" x14ac:dyDescent="0.45">
      <c r="A954" s="1">
        <v>41379</v>
      </c>
      <c r="B954">
        <v>98.949996999999996</v>
      </c>
      <c r="C954">
        <v>99.43</v>
      </c>
      <c r="D954">
        <v>98.230002999999996</v>
      </c>
      <c r="E954">
        <v>98.230002999999996</v>
      </c>
      <c r="F954">
        <v>79.527846999999994</v>
      </c>
      <c r="G954">
        <v>1103200</v>
      </c>
    </row>
    <row r="955" spans="1:7" x14ac:dyDescent="0.45">
      <c r="A955" s="1">
        <v>41380</v>
      </c>
      <c r="B955">
        <v>99.339995999999999</v>
      </c>
      <c r="C955">
        <v>99.629997000000003</v>
      </c>
      <c r="D955">
        <v>98.5</v>
      </c>
      <c r="E955">
        <v>99.339995999999999</v>
      </c>
      <c r="F955">
        <v>80.426490999999999</v>
      </c>
      <c r="G955">
        <v>713200</v>
      </c>
    </row>
    <row r="956" spans="1:7" x14ac:dyDescent="0.45">
      <c r="A956" s="1">
        <v>41381</v>
      </c>
      <c r="B956">
        <v>99.080001999999993</v>
      </c>
      <c r="C956">
        <v>99.099997999999999</v>
      </c>
      <c r="D956">
        <v>96.709998999999996</v>
      </c>
      <c r="E956">
        <v>96.739998</v>
      </c>
      <c r="F956">
        <v>78.321517999999998</v>
      </c>
      <c r="G956">
        <v>1818700</v>
      </c>
    </row>
    <row r="957" spans="1:7" x14ac:dyDescent="0.45">
      <c r="A957" s="1">
        <v>41382</v>
      </c>
      <c r="B957">
        <v>97.440002000000007</v>
      </c>
      <c r="C957">
        <v>98.029999000000004</v>
      </c>
      <c r="D957">
        <v>96.550003000000004</v>
      </c>
      <c r="E957">
        <v>97.57</v>
      </c>
      <c r="F957">
        <v>78.993506999999994</v>
      </c>
      <c r="G957">
        <v>1380900</v>
      </c>
    </row>
    <row r="958" spans="1:7" x14ac:dyDescent="0.45">
      <c r="A958" s="1">
        <v>41383</v>
      </c>
      <c r="B958">
        <v>98.099997999999999</v>
      </c>
      <c r="C958">
        <v>99.699996999999996</v>
      </c>
      <c r="D958">
        <v>98.050003000000004</v>
      </c>
      <c r="E958">
        <v>99.220000999999996</v>
      </c>
      <c r="F958">
        <v>80.329361000000006</v>
      </c>
      <c r="G958">
        <v>1183100</v>
      </c>
    </row>
    <row r="959" spans="1:7" x14ac:dyDescent="0.45">
      <c r="A959" s="1">
        <v>41386</v>
      </c>
      <c r="B959">
        <v>99.059997999999993</v>
      </c>
      <c r="C959">
        <v>99.330001999999993</v>
      </c>
      <c r="D959">
        <v>98.540001000000004</v>
      </c>
      <c r="E959">
        <v>99.019997000000004</v>
      </c>
      <c r="F959">
        <v>80.167434999999998</v>
      </c>
      <c r="G959">
        <v>947800</v>
      </c>
    </row>
    <row r="960" spans="1:7" x14ac:dyDescent="0.45">
      <c r="A960" s="1">
        <v>41387</v>
      </c>
      <c r="B960">
        <v>97.589995999999999</v>
      </c>
      <c r="C960">
        <v>97.949996999999996</v>
      </c>
      <c r="D960">
        <v>97.18</v>
      </c>
      <c r="E960">
        <v>97.43</v>
      </c>
      <c r="F960">
        <v>80.683350000000004</v>
      </c>
      <c r="G960">
        <v>1334400</v>
      </c>
    </row>
    <row r="961" spans="1:7" x14ac:dyDescent="0.45">
      <c r="A961" s="1">
        <v>41388</v>
      </c>
      <c r="B961">
        <v>95.949996999999996</v>
      </c>
      <c r="C961">
        <v>97.309997999999993</v>
      </c>
      <c r="D961">
        <v>95.940002000000007</v>
      </c>
      <c r="E961">
        <v>96.279999000000004</v>
      </c>
      <c r="F961">
        <v>79.731009999999998</v>
      </c>
      <c r="G961">
        <v>1559500</v>
      </c>
    </row>
    <row r="962" spans="1:7" x14ac:dyDescent="0.45">
      <c r="A962" s="1">
        <v>41389</v>
      </c>
      <c r="B962">
        <v>97.260002</v>
      </c>
      <c r="C962">
        <v>97.330001999999993</v>
      </c>
      <c r="D962">
        <v>95.940002000000007</v>
      </c>
      <c r="E962">
        <v>96.209998999999996</v>
      </c>
      <c r="F962">
        <v>79.673034999999999</v>
      </c>
      <c r="G962">
        <v>1620200</v>
      </c>
    </row>
    <row r="963" spans="1:7" x14ac:dyDescent="0.45">
      <c r="A963" s="1">
        <v>41390</v>
      </c>
      <c r="B963">
        <v>94.480002999999996</v>
      </c>
      <c r="C963">
        <v>94.57</v>
      </c>
      <c r="D963">
        <v>93.339995999999999</v>
      </c>
      <c r="E963">
        <v>94.129997000000003</v>
      </c>
      <c r="F963">
        <v>77.950553999999997</v>
      </c>
      <c r="G963">
        <v>3503100</v>
      </c>
    </row>
    <row r="964" spans="1:7" x14ac:dyDescent="0.45">
      <c r="A964" s="1">
        <v>41393</v>
      </c>
      <c r="B964">
        <v>95.040001000000004</v>
      </c>
      <c r="C964">
        <v>95.980002999999996</v>
      </c>
      <c r="D964">
        <v>94.919998000000007</v>
      </c>
      <c r="E964">
        <v>95.480002999999996</v>
      </c>
      <c r="F964">
        <v>79.068511999999998</v>
      </c>
      <c r="G964">
        <v>3877900</v>
      </c>
    </row>
    <row r="965" spans="1:7" x14ac:dyDescent="0.45">
      <c r="A965" s="1">
        <v>41394</v>
      </c>
      <c r="B965">
        <v>93.879997000000003</v>
      </c>
      <c r="C965">
        <v>95.739998</v>
      </c>
      <c r="D965">
        <v>93.410004000000001</v>
      </c>
      <c r="E965">
        <v>95.620002999999997</v>
      </c>
      <c r="F965">
        <v>79.184455999999997</v>
      </c>
      <c r="G965">
        <v>5002900</v>
      </c>
    </row>
    <row r="966" spans="1:7" x14ac:dyDescent="0.45">
      <c r="A966" s="1">
        <v>41395</v>
      </c>
      <c r="B966">
        <v>95.660004000000001</v>
      </c>
      <c r="C966">
        <v>96.269997000000004</v>
      </c>
      <c r="D966">
        <v>94.860000999999997</v>
      </c>
      <c r="E966">
        <v>94.889999000000003</v>
      </c>
      <c r="F966">
        <v>78.579926</v>
      </c>
      <c r="G966">
        <v>1311600</v>
      </c>
    </row>
    <row r="967" spans="1:7" x14ac:dyDescent="0.45">
      <c r="A967" s="1">
        <v>41396</v>
      </c>
      <c r="B967">
        <v>94.889999000000003</v>
      </c>
      <c r="C967">
        <v>95.620002999999997</v>
      </c>
      <c r="D967">
        <v>94.68</v>
      </c>
      <c r="E967">
        <v>95.25</v>
      </c>
      <c r="F967">
        <v>78.878051999999997</v>
      </c>
      <c r="G967">
        <v>2127000</v>
      </c>
    </row>
    <row r="968" spans="1:7" x14ac:dyDescent="0.45">
      <c r="A968" s="1">
        <v>41397</v>
      </c>
      <c r="B968">
        <v>95.400002000000001</v>
      </c>
      <c r="C968">
        <v>96.550003000000004</v>
      </c>
      <c r="D968">
        <v>95.339995999999999</v>
      </c>
      <c r="E968">
        <v>96.199996999999996</v>
      </c>
      <c r="F968">
        <v>79.664764000000005</v>
      </c>
      <c r="G968">
        <v>2058800</v>
      </c>
    </row>
    <row r="969" spans="1:7" x14ac:dyDescent="0.45">
      <c r="A969" s="1">
        <v>41400</v>
      </c>
      <c r="B969">
        <v>96.110000999999997</v>
      </c>
      <c r="C969">
        <v>96.169998000000007</v>
      </c>
      <c r="D969">
        <v>95.559997999999993</v>
      </c>
      <c r="E969">
        <v>95.800003000000004</v>
      </c>
      <c r="F969">
        <v>79.333534</v>
      </c>
      <c r="G969">
        <v>607900</v>
      </c>
    </row>
    <row r="970" spans="1:7" x14ac:dyDescent="0.45">
      <c r="A970" s="1">
        <v>41401</v>
      </c>
      <c r="B970">
        <v>96.410004000000001</v>
      </c>
      <c r="C970">
        <v>96.709998999999996</v>
      </c>
      <c r="D970">
        <v>95.239998</v>
      </c>
      <c r="E970">
        <v>96.32</v>
      </c>
      <c r="F970">
        <v>79.764129999999994</v>
      </c>
      <c r="G970">
        <v>785200</v>
      </c>
    </row>
    <row r="971" spans="1:7" x14ac:dyDescent="0.45">
      <c r="A971" s="1">
        <v>41402</v>
      </c>
      <c r="B971">
        <v>97.529999000000004</v>
      </c>
      <c r="C971">
        <v>97.959998999999996</v>
      </c>
      <c r="D971">
        <v>97.300003000000004</v>
      </c>
      <c r="E971">
        <v>97.769997000000004</v>
      </c>
      <c r="F971">
        <v>80.964896999999993</v>
      </c>
      <c r="G971">
        <v>1287700</v>
      </c>
    </row>
    <row r="972" spans="1:7" x14ac:dyDescent="0.45">
      <c r="A972" s="1">
        <v>41403</v>
      </c>
      <c r="B972">
        <v>96.849997999999999</v>
      </c>
      <c r="C972">
        <v>97.029999000000004</v>
      </c>
      <c r="D972">
        <v>96.029999000000004</v>
      </c>
      <c r="E972">
        <v>96.260002</v>
      </c>
      <c r="F972">
        <v>79.714455000000001</v>
      </c>
      <c r="G972">
        <v>774000</v>
      </c>
    </row>
    <row r="973" spans="1:7" x14ac:dyDescent="0.45">
      <c r="A973" s="1">
        <v>41404</v>
      </c>
      <c r="B973">
        <v>96.440002000000007</v>
      </c>
      <c r="C973">
        <v>96.910004000000001</v>
      </c>
      <c r="D973">
        <v>96.139999000000003</v>
      </c>
      <c r="E973">
        <v>96.75</v>
      </c>
      <c r="F973">
        <v>80.120238999999998</v>
      </c>
      <c r="G973">
        <v>448700</v>
      </c>
    </row>
    <row r="974" spans="1:7" x14ac:dyDescent="0.45">
      <c r="A974" s="1">
        <v>41407</v>
      </c>
      <c r="B974">
        <v>97.25</v>
      </c>
      <c r="C974">
        <v>97.629997000000003</v>
      </c>
      <c r="D974">
        <v>96.949996999999996</v>
      </c>
      <c r="E974">
        <v>97.540001000000004</v>
      </c>
      <c r="F974">
        <v>80.774428999999998</v>
      </c>
      <c r="G974">
        <v>897000</v>
      </c>
    </row>
    <row r="975" spans="1:7" x14ac:dyDescent="0.45">
      <c r="A975" s="1">
        <v>41408</v>
      </c>
      <c r="B975">
        <v>97.809997999999993</v>
      </c>
      <c r="C975">
        <v>98.519997000000004</v>
      </c>
      <c r="D975">
        <v>97.779999000000004</v>
      </c>
      <c r="E975">
        <v>98.489998</v>
      </c>
      <c r="F975">
        <v>81.561142000000004</v>
      </c>
      <c r="G975">
        <v>855000</v>
      </c>
    </row>
    <row r="976" spans="1:7" x14ac:dyDescent="0.45">
      <c r="A976" s="1">
        <v>41409</v>
      </c>
      <c r="B976">
        <v>96.940002000000007</v>
      </c>
      <c r="C976">
        <v>98.190002000000007</v>
      </c>
      <c r="D976">
        <v>96.940002000000007</v>
      </c>
      <c r="E976">
        <v>97.760002</v>
      </c>
      <c r="F976">
        <v>80.956626999999997</v>
      </c>
      <c r="G976">
        <v>947700</v>
      </c>
    </row>
    <row r="977" spans="1:7" x14ac:dyDescent="0.45">
      <c r="A977" s="1">
        <v>41410</v>
      </c>
      <c r="B977">
        <v>97.419998000000007</v>
      </c>
      <c r="C977">
        <v>97.720000999999996</v>
      </c>
      <c r="D977">
        <v>96.629997000000003</v>
      </c>
      <c r="E977">
        <v>96.720000999999996</v>
      </c>
      <c r="F977">
        <v>80.095389999999995</v>
      </c>
      <c r="G977">
        <v>583200</v>
      </c>
    </row>
    <row r="978" spans="1:7" x14ac:dyDescent="0.45">
      <c r="A978" s="1">
        <v>41411</v>
      </c>
      <c r="B978">
        <v>96.07</v>
      </c>
      <c r="C978">
        <v>96.800003000000004</v>
      </c>
      <c r="D978">
        <v>95.510002</v>
      </c>
      <c r="E978">
        <v>96.370002999999997</v>
      </c>
      <c r="F978">
        <v>79.805556999999993</v>
      </c>
      <c r="G978">
        <v>1345300</v>
      </c>
    </row>
    <row r="979" spans="1:7" x14ac:dyDescent="0.45">
      <c r="A979" s="1">
        <v>41414</v>
      </c>
      <c r="B979">
        <v>95.730002999999996</v>
      </c>
      <c r="C979">
        <v>95.900002000000001</v>
      </c>
      <c r="D979">
        <v>95.379997000000003</v>
      </c>
      <c r="E979">
        <v>95.480002999999996</v>
      </c>
      <c r="F979">
        <v>79.068511999999998</v>
      </c>
      <c r="G979">
        <v>832900</v>
      </c>
    </row>
    <row r="980" spans="1:7" x14ac:dyDescent="0.45">
      <c r="A980" s="1">
        <v>41415</v>
      </c>
      <c r="B980">
        <v>95.400002000000001</v>
      </c>
      <c r="C980">
        <v>96.139999000000003</v>
      </c>
      <c r="D980">
        <v>95.190002000000007</v>
      </c>
      <c r="E980">
        <v>95.599997999999999</v>
      </c>
      <c r="F980">
        <v>79.167891999999995</v>
      </c>
      <c r="G980">
        <v>1081200</v>
      </c>
    </row>
    <row r="981" spans="1:7" x14ac:dyDescent="0.45">
      <c r="A981" s="1">
        <v>41416</v>
      </c>
      <c r="B981">
        <v>95.769997000000004</v>
      </c>
      <c r="C981">
        <v>96.419998000000007</v>
      </c>
      <c r="D981">
        <v>95.07</v>
      </c>
      <c r="E981">
        <v>95.269997000000004</v>
      </c>
      <c r="F981">
        <v>78.894615000000002</v>
      </c>
      <c r="G981">
        <v>948600</v>
      </c>
    </row>
    <row r="982" spans="1:7" x14ac:dyDescent="0.45">
      <c r="A982" s="1">
        <v>41417</v>
      </c>
      <c r="B982">
        <v>94.629997000000003</v>
      </c>
      <c r="C982">
        <v>95.620002999999997</v>
      </c>
      <c r="D982">
        <v>94.169998000000007</v>
      </c>
      <c r="E982">
        <v>95.599997999999999</v>
      </c>
      <c r="F982">
        <v>79.167891999999995</v>
      </c>
      <c r="G982">
        <v>948600</v>
      </c>
    </row>
    <row r="983" spans="1:7" x14ac:dyDescent="0.45">
      <c r="A983" s="1">
        <v>41418</v>
      </c>
      <c r="B983">
        <v>95.360000999999997</v>
      </c>
      <c r="C983">
        <v>95.769997000000004</v>
      </c>
      <c r="D983">
        <v>95.040001000000004</v>
      </c>
      <c r="E983">
        <v>95.610000999999997</v>
      </c>
      <c r="F983">
        <v>79.176169999999999</v>
      </c>
      <c r="G983">
        <v>623700</v>
      </c>
    </row>
    <row r="984" spans="1:7" x14ac:dyDescent="0.45">
      <c r="A984" s="1">
        <v>41422</v>
      </c>
      <c r="B984">
        <v>96.629997000000003</v>
      </c>
      <c r="C984">
        <v>97.089995999999999</v>
      </c>
      <c r="D984">
        <v>95.57</v>
      </c>
      <c r="E984">
        <v>95.790001000000004</v>
      </c>
      <c r="F984">
        <v>79.325241000000005</v>
      </c>
      <c r="G984">
        <v>567200</v>
      </c>
    </row>
    <row r="985" spans="1:7" x14ac:dyDescent="0.45">
      <c r="A985" s="1">
        <v>41423</v>
      </c>
      <c r="B985">
        <v>94.879997000000003</v>
      </c>
      <c r="C985">
        <v>95.089995999999999</v>
      </c>
      <c r="D985">
        <v>93.730002999999996</v>
      </c>
      <c r="E985">
        <v>93.769997000000004</v>
      </c>
      <c r="F985">
        <v>77.652443000000005</v>
      </c>
      <c r="G985">
        <v>767900</v>
      </c>
    </row>
    <row r="986" spans="1:7" x14ac:dyDescent="0.45">
      <c r="A986" s="1">
        <v>41424</v>
      </c>
      <c r="B986">
        <v>94.330001999999993</v>
      </c>
      <c r="C986">
        <v>94.669998000000007</v>
      </c>
      <c r="D986">
        <v>94</v>
      </c>
      <c r="E986">
        <v>94.199996999999996</v>
      </c>
      <c r="F986">
        <v>78.008521999999999</v>
      </c>
      <c r="G986">
        <v>1011200</v>
      </c>
    </row>
    <row r="987" spans="1:7" x14ac:dyDescent="0.45">
      <c r="A987" s="1">
        <v>41425</v>
      </c>
      <c r="B987">
        <v>92.709998999999996</v>
      </c>
      <c r="C987">
        <v>92.970000999999996</v>
      </c>
      <c r="D987">
        <v>91.730002999999996</v>
      </c>
      <c r="E987">
        <v>91.919998000000007</v>
      </c>
      <c r="F987">
        <v>76.120414999999994</v>
      </c>
      <c r="G987">
        <v>1568200</v>
      </c>
    </row>
    <row r="988" spans="1:7" x14ac:dyDescent="0.45">
      <c r="A988" s="1">
        <v>41428</v>
      </c>
      <c r="B988">
        <v>91.43</v>
      </c>
      <c r="C988">
        <v>92.309997999999993</v>
      </c>
      <c r="D988">
        <v>90.980002999999996</v>
      </c>
      <c r="E988">
        <v>92.309997999999993</v>
      </c>
      <c r="F988">
        <v>76.443389999999994</v>
      </c>
      <c r="G988">
        <v>999200</v>
      </c>
    </row>
    <row r="989" spans="1:7" x14ac:dyDescent="0.45">
      <c r="A989" s="1">
        <v>41429</v>
      </c>
      <c r="B989">
        <v>92.400002000000001</v>
      </c>
      <c r="C989">
        <v>92.650002000000001</v>
      </c>
      <c r="D989">
        <v>92.029999000000004</v>
      </c>
      <c r="E989">
        <v>92.330001999999993</v>
      </c>
      <c r="F989">
        <v>76.459961000000007</v>
      </c>
      <c r="G989">
        <v>725800</v>
      </c>
    </row>
    <row r="990" spans="1:7" x14ac:dyDescent="0.45">
      <c r="A990" s="1">
        <v>41430</v>
      </c>
      <c r="B990">
        <v>91.089995999999999</v>
      </c>
      <c r="C990">
        <v>91.449996999999996</v>
      </c>
      <c r="D990">
        <v>90.010002</v>
      </c>
      <c r="E990">
        <v>90.529999000000004</v>
      </c>
      <c r="F990">
        <v>74.969345000000004</v>
      </c>
      <c r="G990">
        <v>1499100</v>
      </c>
    </row>
    <row r="991" spans="1:7" x14ac:dyDescent="0.45">
      <c r="A991" s="1">
        <v>41431</v>
      </c>
      <c r="B991">
        <v>91.800003000000004</v>
      </c>
      <c r="C991">
        <v>92.739998</v>
      </c>
      <c r="D991">
        <v>91.580001999999993</v>
      </c>
      <c r="E991">
        <v>92.699996999999996</v>
      </c>
      <c r="F991">
        <v>76.766364999999993</v>
      </c>
      <c r="G991">
        <v>1168600</v>
      </c>
    </row>
    <row r="992" spans="1:7" x14ac:dyDescent="0.45">
      <c r="A992" s="1">
        <v>41432</v>
      </c>
      <c r="B992">
        <v>93.110000999999997</v>
      </c>
      <c r="C992">
        <v>95.349997999999999</v>
      </c>
      <c r="D992">
        <v>93.07</v>
      </c>
      <c r="E992">
        <v>94.410004000000001</v>
      </c>
      <c r="F992">
        <v>78.182441999999995</v>
      </c>
      <c r="G992">
        <v>1623200</v>
      </c>
    </row>
    <row r="993" spans="1:7" x14ac:dyDescent="0.45">
      <c r="A993" s="1">
        <v>41435</v>
      </c>
      <c r="B993">
        <v>94.199996999999996</v>
      </c>
      <c r="C993">
        <v>94.220000999999996</v>
      </c>
      <c r="D993">
        <v>93.599997999999999</v>
      </c>
      <c r="E993">
        <v>93.720000999999996</v>
      </c>
      <c r="F993">
        <v>77.611030999999997</v>
      </c>
      <c r="G993">
        <v>717900</v>
      </c>
    </row>
    <row r="994" spans="1:7" x14ac:dyDescent="0.45">
      <c r="A994" s="1">
        <v>41436</v>
      </c>
      <c r="B994">
        <v>92.019997000000004</v>
      </c>
      <c r="C994">
        <v>93.230002999999996</v>
      </c>
      <c r="D994">
        <v>91.900002000000001</v>
      </c>
      <c r="E994">
        <v>92.760002</v>
      </c>
      <c r="F994">
        <v>76.816032000000007</v>
      </c>
      <c r="G994">
        <v>759200</v>
      </c>
    </row>
    <row r="995" spans="1:7" x14ac:dyDescent="0.45">
      <c r="A995" s="1">
        <v>41437</v>
      </c>
      <c r="B995">
        <v>94.440002000000007</v>
      </c>
      <c r="C995">
        <v>94.529999000000004</v>
      </c>
      <c r="D995">
        <v>92.449996999999996</v>
      </c>
      <c r="E995">
        <v>92.68</v>
      </c>
      <c r="F995">
        <v>76.749793999999994</v>
      </c>
      <c r="G995">
        <v>791700</v>
      </c>
    </row>
    <row r="996" spans="1:7" x14ac:dyDescent="0.45">
      <c r="A996" s="1">
        <v>41438</v>
      </c>
      <c r="B996">
        <v>91.75</v>
      </c>
      <c r="C996">
        <v>93.400002000000001</v>
      </c>
      <c r="D996">
        <v>91.75</v>
      </c>
      <c r="E996">
        <v>93.269997000000004</v>
      </c>
      <c r="F996">
        <v>77.238365000000002</v>
      </c>
      <c r="G996">
        <v>1008100</v>
      </c>
    </row>
    <row r="997" spans="1:7" x14ac:dyDescent="0.45">
      <c r="A997" s="1">
        <v>41439</v>
      </c>
      <c r="B997">
        <v>94.080001999999993</v>
      </c>
      <c r="C997">
        <v>94.57</v>
      </c>
      <c r="D997">
        <v>93.639999000000003</v>
      </c>
      <c r="E997">
        <v>93.730002999999996</v>
      </c>
      <c r="F997">
        <v>77.619331000000003</v>
      </c>
      <c r="G997">
        <v>767500</v>
      </c>
    </row>
    <row r="998" spans="1:7" x14ac:dyDescent="0.45">
      <c r="A998" s="1">
        <v>41442</v>
      </c>
      <c r="B998">
        <v>94.769997000000004</v>
      </c>
      <c r="C998">
        <v>95.059997999999993</v>
      </c>
      <c r="D998">
        <v>94.279999000000004</v>
      </c>
      <c r="E998">
        <v>94.669998000000007</v>
      </c>
      <c r="F998">
        <v>78.397743000000006</v>
      </c>
      <c r="G998">
        <v>2350500</v>
      </c>
    </row>
    <row r="999" spans="1:7" x14ac:dyDescent="0.45">
      <c r="A999" s="1">
        <v>41443</v>
      </c>
      <c r="B999">
        <v>93.580001999999993</v>
      </c>
      <c r="C999">
        <v>94.309997999999993</v>
      </c>
      <c r="D999">
        <v>93.470000999999996</v>
      </c>
      <c r="E999">
        <v>93.639999000000003</v>
      </c>
      <c r="F999">
        <v>77.544785000000005</v>
      </c>
      <c r="G999">
        <v>1882200</v>
      </c>
    </row>
    <row r="1000" spans="1:7" x14ac:dyDescent="0.45">
      <c r="A1000" s="1">
        <v>41444</v>
      </c>
      <c r="B1000">
        <v>94.089995999999999</v>
      </c>
      <c r="C1000">
        <v>94.220000999999996</v>
      </c>
      <c r="D1000">
        <v>91.720000999999996</v>
      </c>
      <c r="E1000">
        <v>91.760002</v>
      </c>
      <c r="F1000">
        <v>75.987922999999995</v>
      </c>
      <c r="G1000">
        <v>1308600</v>
      </c>
    </row>
    <row r="1001" spans="1:7" x14ac:dyDescent="0.45">
      <c r="A1001" s="1">
        <v>41445</v>
      </c>
      <c r="B1001">
        <v>88.550003000000004</v>
      </c>
      <c r="C1001">
        <v>89.269997000000004</v>
      </c>
      <c r="D1001">
        <v>87.360000999999997</v>
      </c>
      <c r="E1001">
        <v>87.480002999999996</v>
      </c>
      <c r="F1001">
        <v>72.443603999999993</v>
      </c>
      <c r="G1001">
        <v>4033700</v>
      </c>
    </row>
    <row r="1002" spans="1:7" x14ac:dyDescent="0.45">
      <c r="A1002" s="1">
        <v>41446</v>
      </c>
      <c r="B1002">
        <v>89</v>
      </c>
      <c r="C1002">
        <v>89.029999000000004</v>
      </c>
      <c r="D1002">
        <v>86.940002000000007</v>
      </c>
      <c r="E1002">
        <v>87.239998</v>
      </c>
      <c r="F1002">
        <v>72.244834999999995</v>
      </c>
      <c r="G1002">
        <v>2266500</v>
      </c>
    </row>
    <row r="1003" spans="1:7" x14ac:dyDescent="0.45">
      <c r="A1003" s="1">
        <v>41449</v>
      </c>
      <c r="B1003">
        <v>84.519997000000004</v>
      </c>
      <c r="C1003">
        <v>87.43</v>
      </c>
      <c r="D1003">
        <v>83.940002000000007</v>
      </c>
      <c r="E1003">
        <v>86.639999000000003</v>
      </c>
      <c r="F1003">
        <v>71.747971000000007</v>
      </c>
      <c r="G1003">
        <v>4767000</v>
      </c>
    </row>
    <row r="1004" spans="1:7" x14ac:dyDescent="0.45">
      <c r="A1004" s="1">
        <v>41450</v>
      </c>
      <c r="B1004">
        <v>86.480002999999996</v>
      </c>
      <c r="C1004">
        <v>87.370002999999997</v>
      </c>
      <c r="D1004">
        <v>86.089995999999999</v>
      </c>
      <c r="E1004">
        <v>86.919998000000007</v>
      </c>
      <c r="F1004">
        <v>71.979836000000006</v>
      </c>
      <c r="G1004">
        <v>2200200</v>
      </c>
    </row>
    <row r="1005" spans="1:7" x14ac:dyDescent="0.45">
      <c r="A1005" s="1">
        <v>41451</v>
      </c>
      <c r="B1005">
        <v>88.300003000000004</v>
      </c>
      <c r="C1005">
        <v>89.370002999999997</v>
      </c>
      <c r="D1005">
        <v>88.260002</v>
      </c>
      <c r="E1005">
        <v>88.669998000000007</v>
      </c>
      <c r="F1005">
        <v>73.429039000000003</v>
      </c>
      <c r="G1005">
        <v>2089400</v>
      </c>
    </row>
    <row r="1006" spans="1:7" x14ac:dyDescent="0.45">
      <c r="A1006" s="1">
        <v>41452</v>
      </c>
      <c r="B1006">
        <v>89.559997999999993</v>
      </c>
      <c r="C1006">
        <v>90.900002000000001</v>
      </c>
      <c r="D1006">
        <v>89.5</v>
      </c>
      <c r="E1006">
        <v>90.040001000000004</v>
      </c>
      <c r="F1006">
        <v>74.563559999999995</v>
      </c>
      <c r="G1006">
        <v>1574700</v>
      </c>
    </row>
    <row r="1007" spans="1:7" x14ac:dyDescent="0.45">
      <c r="A1007" s="1">
        <v>41453</v>
      </c>
      <c r="B1007">
        <v>89.980002999999996</v>
      </c>
      <c r="C1007">
        <v>90.68</v>
      </c>
      <c r="D1007">
        <v>88.900002000000001</v>
      </c>
      <c r="E1007">
        <v>90.260002</v>
      </c>
      <c r="F1007">
        <v>74.745750000000001</v>
      </c>
      <c r="G1007">
        <v>2383100</v>
      </c>
    </row>
    <row r="1008" spans="1:7" x14ac:dyDescent="0.45">
      <c r="A1008" s="1">
        <v>41456</v>
      </c>
      <c r="B1008">
        <v>90.449996999999996</v>
      </c>
      <c r="C1008">
        <v>90.910004000000001</v>
      </c>
      <c r="D1008">
        <v>89.779999000000004</v>
      </c>
      <c r="E1008">
        <v>90.769997000000004</v>
      </c>
      <c r="F1008">
        <v>75.168082999999996</v>
      </c>
      <c r="G1008">
        <v>2371300</v>
      </c>
    </row>
    <row r="1009" spans="1:7" x14ac:dyDescent="0.45">
      <c r="A1009" s="1">
        <v>41457</v>
      </c>
      <c r="B1009">
        <v>89.589995999999999</v>
      </c>
      <c r="C1009">
        <v>89.980002999999996</v>
      </c>
      <c r="D1009">
        <v>88.970000999999996</v>
      </c>
      <c r="E1009">
        <v>89.389999000000003</v>
      </c>
      <c r="F1009">
        <v>74.025290999999996</v>
      </c>
      <c r="G1009">
        <v>1138300</v>
      </c>
    </row>
    <row r="1010" spans="1:7" x14ac:dyDescent="0.45">
      <c r="A1010" s="1">
        <v>41458</v>
      </c>
      <c r="B1010">
        <v>86.260002</v>
      </c>
      <c r="C1010">
        <v>87.5</v>
      </c>
      <c r="D1010">
        <v>86.059997999999993</v>
      </c>
      <c r="E1010">
        <v>87.459998999999996</v>
      </c>
      <c r="F1010">
        <v>72.427009999999996</v>
      </c>
      <c r="G1010">
        <v>1922900</v>
      </c>
    </row>
    <row r="1011" spans="1:7" x14ac:dyDescent="0.45">
      <c r="A1011" s="1">
        <v>41460</v>
      </c>
      <c r="B1011">
        <v>88.440002000000007</v>
      </c>
      <c r="C1011">
        <v>88.459998999999996</v>
      </c>
      <c r="D1011">
        <v>86.919998000000007</v>
      </c>
      <c r="E1011">
        <v>88</v>
      </c>
      <c r="F1011">
        <v>72.874206999999998</v>
      </c>
      <c r="G1011">
        <v>969200</v>
      </c>
    </row>
    <row r="1012" spans="1:7" x14ac:dyDescent="0.45">
      <c r="A1012" s="1">
        <v>41463</v>
      </c>
      <c r="B1012">
        <v>89.529999000000004</v>
      </c>
      <c r="C1012">
        <v>89.879997000000003</v>
      </c>
      <c r="D1012">
        <v>89.279999000000004</v>
      </c>
      <c r="E1012">
        <v>89.660004000000001</v>
      </c>
      <c r="F1012">
        <v>74.248878000000005</v>
      </c>
      <c r="G1012">
        <v>1315100</v>
      </c>
    </row>
    <row r="1013" spans="1:7" x14ac:dyDescent="0.45">
      <c r="A1013" s="1">
        <v>41464</v>
      </c>
      <c r="B1013">
        <v>90.610000999999997</v>
      </c>
      <c r="C1013">
        <v>90.68</v>
      </c>
      <c r="D1013">
        <v>89.510002</v>
      </c>
      <c r="E1013">
        <v>90.019997000000004</v>
      </c>
      <c r="F1013">
        <v>74.547011999999995</v>
      </c>
      <c r="G1013">
        <v>835900</v>
      </c>
    </row>
    <row r="1014" spans="1:7" x14ac:dyDescent="0.45">
      <c r="A1014" s="1">
        <v>41465</v>
      </c>
      <c r="B1014">
        <v>90.669998000000007</v>
      </c>
      <c r="C1014">
        <v>91.190002000000007</v>
      </c>
      <c r="D1014">
        <v>90.309997999999993</v>
      </c>
      <c r="E1014">
        <v>90.949996999999996</v>
      </c>
      <c r="F1014">
        <v>75.317145999999994</v>
      </c>
      <c r="G1014">
        <v>968900</v>
      </c>
    </row>
    <row r="1015" spans="1:7" x14ac:dyDescent="0.45">
      <c r="A1015" s="1">
        <v>41466</v>
      </c>
      <c r="B1015">
        <v>93.43</v>
      </c>
      <c r="C1015">
        <v>93.480002999999996</v>
      </c>
      <c r="D1015">
        <v>92.449996999999996</v>
      </c>
      <c r="E1015">
        <v>92.93</v>
      </c>
      <c r="F1015">
        <v>76.956824999999995</v>
      </c>
      <c r="G1015">
        <v>2143800</v>
      </c>
    </row>
    <row r="1016" spans="1:7" x14ac:dyDescent="0.45">
      <c r="A1016" s="1">
        <v>41467</v>
      </c>
      <c r="B1016">
        <v>91.720000999999996</v>
      </c>
      <c r="C1016">
        <v>92.099997999999999</v>
      </c>
      <c r="D1016">
        <v>91.019997000000004</v>
      </c>
      <c r="E1016">
        <v>91.660004000000001</v>
      </c>
      <c r="F1016">
        <v>75.905128000000005</v>
      </c>
      <c r="G1016">
        <v>2142400</v>
      </c>
    </row>
    <row r="1017" spans="1:7" x14ac:dyDescent="0.45">
      <c r="A1017" s="1">
        <v>41470</v>
      </c>
      <c r="B1017">
        <v>92.330001999999993</v>
      </c>
      <c r="C1017">
        <v>92.440002000000007</v>
      </c>
      <c r="D1017">
        <v>91.720000999999996</v>
      </c>
      <c r="E1017">
        <v>91.93</v>
      </c>
      <c r="F1017">
        <v>76.128708000000003</v>
      </c>
      <c r="G1017">
        <v>1128500</v>
      </c>
    </row>
    <row r="1018" spans="1:7" x14ac:dyDescent="0.45">
      <c r="A1018" s="1">
        <v>41471</v>
      </c>
      <c r="B1018">
        <v>91.82</v>
      </c>
      <c r="C1018">
        <v>91.849997999999999</v>
      </c>
      <c r="D1018">
        <v>90.769997000000004</v>
      </c>
      <c r="E1018">
        <v>91.809997999999993</v>
      </c>
      <c r="F1018">
        <v>76.029326999999995</v>
      </c>
      <c r="G1018">
        <v>2427200</v>
      </c>
    </row>
    <row r="1019" spans="1:7" x14ac:dyDescent="0.45">
      <c r="A1019" s="1">
        <v>41472</v>
      </c>
      <c r="B1019">
        <v>91.639999000000003</v>
      </c>
      <c r="C1019">
        <v>91.82</v>
      </c>
      <c r="D1019">
        <v>90.480002999999996</v>
      </c>
      <c r="E1019">
        <v>90.790001000000004</v>
      </c>
      <c r="F1019">
        <v>75.184653999999995</v>
      </c>
      <c r="G1019">
        <v>1545900</v>
      </c>
    </row>
    <row r="1020" spans="1:7" x14ac:dyDescent="0.45">
      <c r="A1020" s="1">
        <v>41473</v>
      </c>
      <c r="B1020">
        <v>89.25</v>
      </c>
      <c r="C1020">
        <v>89.830001999999993</v>
      </c>
      <c r="D1020">
        <v>89.199996999999996</v>
      </c>
      <c r="E1020">
        <v>89.650002000000001</v>
      </c>
      <c r="F1020">
        <v>74.240607999999995</v>
      </c>
      <c r="G1020">
        <v>3048400</v>
      </c>
    </row>
    <row r="1021" spans="1:7" x14ac:dyDescent="0.45">
      <c r="A1021" s="1">
        <v>41474</v>
      </c>
      <c r="B1021">
        <v>89.269997000000004</v>
      </c>
      <c r="C1021">
        <v>89.82</v>
      </c>
      <c r="D1021">
        <v>88.790001000000004</v>
      </c>
      <c r="E1021">
        <v>89.43</v>
      </c>
      <c r="F1021">
        <v>74.058411000000007</v>
      </c>
      <c r="G1021">
        <v>1655600</v>
      </c>
    </row>
    <row r="1022" spans="1:7" x14ac:dyDescent="0.45">
      <c r="A1022" s="1">
        <v>41477</v>
      </c>
      <c r="B1022">
        <v>89.510002</v>
      </c>
      <c r="C1022">
        <v>89.800003000000004</v>
      </c>
      <c r="D1022">
        <v>89.209998999999996</v>
      </c>
      <c r="E1022">
        <v>89.220000999999996</v>
      </c>
      <c r="F1022">
        <v>73.884499000000005</v>
      </c>
      <c r="G1022">
        <v>1175600</v>
      </c>
    </row>
    <row r="1023" spans="1:7" x14ac:dyDescent="0.45">
      <c r="A1023" s="1">
        <v>41478</v>
      </c>
      <c r="B1023">
        <v>88.790001000000004</v>
      </c>
      <c r="C1023">
        <v>89.010002</v>
      </c>
      <c r="D1023">
        <v>88.160004000000001</v>
      </c>
      <c r="E1023">
        <v>88.559997999999993</v>
      </c>
      <c r="F1023">
        <v>73.337952000000001</v>
      </c>
      <c r="G1023">
        <v>2999400</v>
      </c>
    </row>
    <row r="1024" spans="1:7" x14ac:dyDescent="0.45">
      <c r="A1024" s="1">
        <v>41479</v>
      </c>
      <c r="B1024">
        <v>89.349997999999999</v>
      </c>
      <c r="C1024">
        <v>89.559997999999993</v>
      </c>
      <c r="D1024">
        <v>88.839995999999999</v>
      </c>
      <c r="E1024">
        <v>89.330001999999993</v>
      </c>
      <c r="F1024">
        <v>73.975600999999997</v>
      </c>
      <c r="G1024">
        <v>2845600</v>
      </c>
    </row>
    <row r="1025" spans="1:7" x14ac:dyDescent="0.45">
      <c r="A1025" s="1">
        <v>41480</v>
      </c>
      <c r="B1025">
        <v>88.019997000000004</v>
      </c>
      <c r="C1025">
        <v>88.970000999999996</v>
      </c>
      <c r="D1025">
        <v>87.830001999999993</v>
      </c>
      <c r="E1025">
        <v>88.919998000000007</v>
      </c>
      <c r="F1025">
        <v>73.636070000000004</v>
      </c>
      <c r="G1025">
        <v>1255000</v>
      </c>
    </row>
    <row r="1026" spans="1:7" x14ac:dyDescent="0.45">
      <c r="A1026" s="1">
        <v>41481</v>
      </c>
      <c r="B1026">
        <v>88.07</v>
      </c>
      <c r="C1026">
        <v>89.389999000000003</v>
      </c>
      <c r="D1026">
        <v>88.050003000000004</v>
      </c>
      <c r="E1026">
        <v>89.330001999999993</v>
      </c>
      <c r="F1026">
        <v>73.975600999999997</v>
      </c>
      <c r="G1026">
        <v>1185900</v>
      </c>
    </row>
    <row r="1027" spans="1:7" x14ac:dyDescent="0.45">
      <c r="A1027" s="1">
        <v>41484</v>
      </c>
      <c r="B1027">
        <v>88.610000999999997</v>
      </c>
      <c r="C1027">
        <v>89.260002</v>
      </c>
      <c r="D1027">
        <v>88.580001999999993</v>
      </c>
      <c r="E1027">
        <v>88.790001000000004</v>
      </c>
      <c r="F1027">
        <v>73.528419</v>
      </c>
      <c r="G1027">
        <v>987100</v>
      </c>
    </row>
    <row r="1028" spans="1:7" x14ac:dyDescent="0.45">
      <c r="A1028" s="1">
        <v>41485</v>
      </c>
      <c r="B1028">
        <v>90.730002999999996</v>
      </c>
      <c r="C1028">
        <v>90.830001999999993</v>
      </c>
      <c r="D1028">
        <v>89.650002000000001</v>
      </c>
      <c r="E1028">
        <v>89.970000999999996</v>
      </c>
      <c r="F1028">
        <v>74.505591999999993</v>
      </c>
      <c r="G1028">
        <v>1545300</v>
      </c>
    </row>
    <row r="1029" spans="1:7" x14ac:dyDescent="0.45">
      <c r="A1029" s="1">
        <v>41486</v>
      </c>
      <c r="B1029">
        <v>95.860000999999997</v>
      </c>
      <c r="C1029">
        <v>96.839995999999999</v>
      </c>
      <c r="D1029">
        <v>95.18</v>
      </c>
      <c r="E1029">
        <v>95.709998999999996</v>
      </c>
      <c r="F1029">
        <v>79.258979999999994</v>
      </c>
      <c r="G1029">
        <v>4720700</v>
      </c>
    </row>
    <row r="1030" spans="1:7" x14ac:dyDescent="0.45">
      <c r="A1030" s="1">
        <v>41487</v>
      </c>
      <c r="B1030">
        <v>97.389999000000003</v>
      </c>
      <c r="C1030">
        <v>98.089995999999999</v>
      </c>
      <c r="D1030">
        <v>97.129997000000003</v>
      </c>
      <c r="E1030">
        <v>97.940002000000007</v>
      </c>
      <c r="F1030">
        <v>81.105682000000002</v>
      </c>
      <c r="G1030">
        <v>2440500</v>
      </c>
    </row>
    <row r="1031" spans="1:7" x14ac:dyDescent="0.45">
      <c r="A1031" s="1">
        <v>41488</v>
      </c>
      <c r="B1031">
        <v>98.540001000000004</v>
      </c>
      <c r="C1031">
        <v>98.589995999999999</v>
      </c>
      <c r="D1031">
        <v>97.769997000000004</v>
      </c>
      <c r="E1031">
        <v>98.150002000000001</v>
      </c>
      <c r="F1031">
        <v>81.279594000000003</v>
      </c>
      <c r="G1031">
        <v>1617200</v>
      </c>
    </row>
    <row r="1032" spans="1:7" x14ac:dyDescent="0.45">
      <c r="A1032" s="1">
        <v>41491</v>
      </c>
      <c r="B1032">
        <v>97.959998999999996</v>
      </c>
      <c r="C1032">
        <v>98.489998</v>
      </c>
      <c r="D1032">
        <v>97.489998</v>
      </c>
      <c r="E1032">
        <v>98.260002</v>
      </c>
      <c r="F1032">
        <v>81.370688999999999</v>
      </c>
      <c r="G1032">
        <v>865400</v>
      </c>
    </row>
    <row r="1033" spans="1:7" x14ac:dyDescent="0.45">
      <c r="A1033" s="1">
        <v>41492</v>
      </c>
      <c r="B1033">
        <v>98.989998</v>
      </c>
      <c r="C1033">
        <v>99.150002000000001</v>
      </c>
      <c r="D1033">
        <v>98.190002000000007</v>
      </c>
      <c r="E1033">
        <v>98.419998000000007</v>
      </c>
      <c r="F1033">
        <v>81.503165999999993</v>
      </c>
      <c r="G1033">
        <v>979000</v>
      </c>
    </row>
    <row r="1034" spans="1:7" x14ac:dyDescent="0.45">
      <c r="A1034" s="1">
        <v>41493</v>
      </c>
      <c r="B1034">
        <v>99.220000999999996</v>
      </c>
      <c r="C1034">
        <v>99.300003000000004</v>
      </c>
      <c r="D1034">
        <v>98.540001000000004</v>
      </c>
      <c r="E1034">
        <v>99.019997000000004</v>
      </c>
      <c r="F1034">
        <v>82.000052999999994</v>
      </c>
      <c r="G1034">
        <v>1380400</v>
      </c>
    </row>
    <row r="1035" spans="1:7" x14ac:dyDescent="0.45">
      <c r="A1035" s="1">
        <v>41494</v>
      </c>
      <c r="B1035">
        <v>99.720000999999996</v>
      </c>
      <c r="C1035">
        <v>101.050003</v>
      </c>
      <c r="D1035">
        <v>99.440002000000007</v>
      </c>
      <c r="E1035">
        <v>101.010002</v>
      </c>
      <c r="F1035">
        <v>83.647994999999995</v>
      </c>
      <c r="G1035">
        <v>2630600</v>
      </c>
    </row>
    <row r="1036" spans="1:7" x14ac:dyDescent="0.45">
      <c r="A1036" s="1">
        <v>41495</v>
      </c>
      <c r="B1036">
        <v>99.860000999999997</v>
      </c>
      <c r="C1036">
        <v>100.339996</v>
      </c>
      <c r="D1036">
        <v>99.099997999999999</v>
      </c>
      <c r="E1036">
        <v>99.32</v>
      </c>
      <c r="F1036">
        <v>82.248474000000002</v>
      </c>
      <c r="G1036">
        <v>1281000</v>
      </c>
    </row>
    <row r="1037" spans="1:7" x14ac:dyDescent="0.45">
      <c r="A1037" s="1">
        <v>41498</v>
      </c>
      <c r="B1037">
        <v>99.199996999999996</v>
      </c>
      <c r="C1037">
        <v>100.07</v>
      </c>
      <c r="D1037">
        <v>99.199996999999996</v>
      </c>
      <c r="E1037">
        <v>100.029999</v>
      </c>
      <c r="F1037">
        <v>82.836433</v>
      </c>
      <c r="G1037">
        <v>1052300</v>
      </c>
    </row>
    <row r="1038" spans="1:7" x14ac:dyDescent="0.45">
      <c r="A1038" s="1">
        <v>41499</v>
      </c>
      <c r="B1038">
        <v>99.900002000000001</v>
      </c>
      <c r="C1038">
        <v>100.389999</v>
      </c>
      <c r="D1038">
        <v>99.160004000000001</v>
      </c>
      <c r="E1038">
        <v>100.220001</v>
      </c>
      <c r="F1038">
        <v>82.993790000000004</v>
      </c>
      <c r="G1038">
        <v>671200</v>
      </c>
    </row>
    <row r="1039" spans="1:7" x14ac:dyDescent="0.45">
      <c r="A1039" s="1">
        <v>41500</v>
      </c>
      <c r="B1039">
        <v>100.05999799999999</v>
      </c>
      <c r="C1039">
        <v>100.30999799999999</v>
      </c>
      <c r="D1039">
        <v>98.769997000000004</v>
      </c>
      <c r="E1039">
        <v>98.949996999999996</v>
      </c>
      <c r="F1039">
        <v>81.942085000000006</v>
      </c>
      <c r="G1039">
        <v>1224100</v>
      </c>
    </row>
    <row r="1040" spans="1:7" x14ac:dyDescent="0.45">
      <c r="A1040" s="1">
        <v>41501</v>
      </c>
      <c r="B1040">
        <v>97.190002000000007</v>
      </c>
      <c r="C1040">
        <v>98.330001999999993</v>
      </c>
      <c r="D1040">
        <v>96.910004000000001</v>
      </c>
      <c r="E1040">
        <v>98.080001999999993</v>
      </c>
      <c r="F1040">
        <v>81.221633999999995</v>
      </c>
      <c r="G1040">
        <v>1328500</v>
      </c>
    </row>
    <row r="1041" spans="1:7" x14ac:dyDescent="0.45">
      <c r="A1041" s="1">
        <v>41502</v>
      </c>
      <c r="B1041">
        <v>98.410004000000001</v>
      </c>
      <c r="C1041">
        <v>98.540001000000004</v>
      </c>
      <c r="D1041">
        <v>97.589995999999999</v>
      </c>
      <c r="E1041">
        <v>97.629997000000003</v>
      </c>
      <c r="F1041">
        <v>80.848975999999993</v>
      </c>
      <c r="G1041">
        <v>975500</v>
      </c>
    </row>
    <row r="1042" spans="1:7" x14ac:dyDescent="0.45">
      <c r="A1042" s="1">
        <v>41505</v>
      </c>
      <c r="B1042">
        <v>97.699996999999996</v>
      </c>
      <c r="C1042">
        <v>97.769997000000004</v>
      </c>
      <c r="D1042">
        <v>97</v>
      </c>
      <c r="E1042">
        <v>97.010002</v>
      </c>
      <c r="F1042">
        <v>80.335541000000006</v>
      </c>
      <c r="G1042">
        <v>1260600</v>
      </c>
    </row>
    <row r="1043" spans="1:7" x14ac:dyDescent="0.45">
      <c r="A1043" s="1">
        <v>41506</v>
      </c>
      <c r="B1043">
        <v>96.720000999999996</v>
      </c>
      <c r="C1043">
        <v>97.209998999999996</v>
      </c>
      <c r="D1043">
        <v>96.160004000000001</v>
      </c>
      <c r="E1043">
        <v>96.5</v>
      </c>
      <c r="F1043">
        <v>79.913184999999999</v>
      </c>
      <c r="G1043">
        <v>1308400</v>
      </c>
    </row>
    <row r="1044" spans="1:7" x14ac:dyDescent="0.45">
      <c r="A1044" s="1">
        <v>41507</v>
      </c>
      <c r="B1044">
        <v>96.029999000000004</v>
      </c>
      <c r="C1044">
        <v>97.099997999999999</v>
      </c>
      <c r="D1044">
        <v>96</v>
      </c>
      <c r="E1044">
        <v>96.239998</v>
      </c>
      <c r="F1044">
        <v>79.697890999999998</v>
      </c>
      <c r="G1044">
        <v>1253400</v>
      </c>
    </row>
    <row r="1045" spans="1:7" x14ac:dyDescent="0.45">
      <c r="A1045" s="1">
        <v>41508</v>
      </c>
      <c r="B1045">
        <v>95.849997999999999</v>
      </c>
      <c r="C1045">
        <v>96.68</v>
      </c>
      <c r="D1045">
        <v>95.690002000000007</v>
      </c>
      <c r="E1045">
        <v>96.489998</v>
      </c>
      <c r="F1045">
        <v>79.904921999999999</v>
      </c>
      <c r="G1045">
        <v>545500</v>
      </c>
    </row>
    <row r="1046" spans="1:7" x14ac:dyDescent="0.45">
      <c r="A1046" s="1">
        <v>41509</v>
      </c>
      <c r="B1046">
        <v>96.309997999999993</v>
      </c>
      <c r="C1046">
        <v>97.389999000000003</v>
      </c>
      <c r="D1046">
        <v>96.199996999999996</v>
      </c>
      <c r="E1046">
        <v>97.360000999999997</v>
      </c>
      <c r="F1046">
        <v>80.625373999999994</v>
      </c>
      <c r="G1046">
        <v>663400</v>
      </c>
    </row>
    <row r="1047" spans="1:7" x14ac:dyDescent="0.45">
      <c r="A1047" s="1">
        <v>41512</v>
      </c>
      <c r="B1047">
        <v>96.650002000000001</v>
      </c>
      <c r="C1047">
        <v>97.089995999999999</v>
      </c>
      <c r="D1047">
        <v>96.489998</v>
      </c>
      <c r="E1047">
        <v>96.849997999999999</v>
      </c>
      <c r="F1047">
        <v>80.203040999999999</v>
      </c>
      <c r="G1047">
        <v>578000</v>
      </c>
    </row>
    <row r="1048" spans="1:7" x14ac:dyDescent="0.45">
      <c r="A1048" s="1">
        <v>41513</v>
      </c>
      <c r="B1048">
        <v>95.32</v>
      </c>
      <c r="C1048">
        <v>95.860000999999997</v>
      </c>
      <c r="D1048">
        <v>94.639999000000003</v>
      </c>
      <c r="E1048">
        <v>94.839995999999999</v>
      </c>
      <c r="F1048">
        <v>78.538512999999995</v>
      </c>
      <c r="G1048">
        <v>1048500</v>
      </c>
    </row>
    <row r="1049" spans="1:7" x14ac:dyDescent="0.45">
      <c r="A1049" s="1">
        <v>41514</v>
      </c>
      <c r="B1049">
        <v>93.199996999999996</v>
      </c>
      <c r="C1049">
        <v>94.330001999999993</v>
      </c>
      <c r="D1049">
        <v>93.019997000000004</v>
      </c>
      <c r="E1049">
        <v>94</v>
      </c>
      <c r="F1049">
        <v>77.842895999999996</v>
      </c>
      <c r="G1049">
        <v>1309400</v>
      </c>
    </row>
    <row r="1050" spans="1:7" x14ac:dyDescent="0.45">
      <c r="A1050" s="1">
        <v>41515</v>
      </c>
      <c r="B1050">
        <v>93.5</v>
      </c>
      <c r="C1050">
        <v>94.32</v>
      </c>
      <c r="D1050">
        <v>93.160004000000001</v>
      </c>
      <c r="E1050">
        <v>93.949996999999996</v>
      </c>
      <c r="F1050">
        <v>77.801475999999994</v>
      </c>
      <c r="G1050">
        <v>1022300</v>
      </c>
    </row>
    <row r="1051" spans="1:7" x14ac:dyDescent="0.45">
      <c r="A1051" s="1">
        <v>41516</v>
      </c>
      <c r="B1051">
        <v>93.769997000000004</v>
      </c>
      <c r="C1051">
        <v>93.779999000000004</v>
      </c>
      <c r="D1051">
        <v>92.760002</v>
      </c>
      <c r="E1051">
        <v>93.349997999999999</v>
      </c>
      <c r="F1051">
        <v>77.304642000000001</v>
      </c>
      <c r="G1051">
        <v>1064000</v>
      </c>
    </row>
    <row r="1052" spans="1:7" x14ac:dyDescent="0.45">
      <c r="A1052" s="1">
        <v>41520</v>
      </c>
      <c r="B1052">
        <v>94.800003000000004</v>
      </c>
      <c r="C1052">
        <v>95.25</v>
      </c>
      <c r="D1052">
        <v>94.25</v>
      </c>
      <c r="E1052">
        <v>94.839995999999999</v>
      </c>
      <c r="F1052">
        <v>78.538512999999995</v>
      </c>
      <c r="G1052">
        <v>908300</v>
      </c>
    </row>
    <row r="1053" spans="1:7" x14ac:dyDescent="0.45">
      <c r="A1053" s="1">
        <v>41521</v>
      </c>
      <c r="B1053">
        <v>93.599997999999999</v>
      </c>
      <c r="C1053">
        <v>95.669998000000007</v>
      </c>
      <c r="D1053">
        <v>93.57</v>
      </c>
      <c r="E1053">
        <v>95.519997000000004</v>
      </c>
      <c r="F1053">
        <v>79.101653999999996</v>
      </c>
      <c r="G1053">
        <v>860900</v>
      </c>
    </row>
    <row r="1054" spans="1:7" x14ac:dyDescent="0.45">
      <c r="A1054" s="1">
        <v>41522</v>
      </c>
      <c r="B1054">
        <v>94.620002999999997</v>
      </c>
      <c r="C1054">
        <v>95.050003000000004</v>
      </c>
      <c r="D1054">
        <v>94.080001999999993</v>
      </c>
      <c r="E1054">
        <v>94.730002999999996</v>
      </c>
      <c r="F1054">
        <v>78.447425999999993</v>
      </c>
      <c r="G1054">
        <v>871100</v>
      </c>
    </row>
    <row r="1055" spans="1:7" x14ac:dyDescent="0.45">
      <c r="A1055" s="1">
        <v>41523</v>
      </c>
      <c r="B1055">
        <v>95.32</v>
      </c>
      <c r="C1055">
        <v>96.650002000000001</v>
      </c>
      <c r="D1055">
        <v>94.699996999999996</v>
      </c>
      <c r="E1055">
        <v>95.769997000000004</v>
      </c>
      <c r="F1055">
        <v>79.308661999999998</v>
      </c>
      <c r="G1055">
        <v>1446400</v>
      </c>
    </row>
    <row r="1056" spans="1:7" x14ac:dyDescent="0.45">
      <c r="A1056" s="1">
        <v>41526</v>
      </c>
      <c r="B1056">
        <v>95.059997999999993</v>
      </c>
      <c r="C1056">
        <v>95.730002999999996</v>
      </c>
      <c r="D1056">
        <v>94.790001000000004</v>
      </c>
      <c r="E1056">
        <v>95.660004000000001</v>
      </c>
      <c r="F1056">
        <v>79.217574999999997</v>
      </c>
      <c r="G1056">
        <v>1068100</v>
      </c>
    </row>
    <row r="1057" spans="1:7" x14ac:dyDescent="0.45">
      <c r="A1057" s="1">
        <v>41527</v>
      </c>
      <c r="B1057">
        <v>95.860000999999997</v>
      </c>
      <c r="C1057">
        <v>96.599997999999999</v>
      </c>
      <c r="D1057">
        <v>95.720000999999996</v>
      </c>
      <c r="E1057">
        <v>96.400002000000001</v>
      </c>
      <c r="F1057">
        <v>79.830405999999996</v>
      </c>
      <c r="G1057">
        <v>744000</v>
      </c>
    </row>
    <row r="1058" spans="1:7" x14ac:dyDescent="0.45">
      <c r="A1058" s="1">
        <v>41528</v>
      </c>
      <c r="B1058">
        <v>95.559997999999993</v>
      </c>
      <c r="C1058">
        <v>97.650002000000001</v>
      </c>
      <c r="D1058">
        <v>95.449996999999996</v>
      </c>
      <c r="E1058">
        <v>97.650002000000001</v>
      </c>
      <c r="F1058">
        <v>80.865523999999994</v>
      </c>
      <c r="G1058">
        <v>1267100</v>
      </c>
    </row>
    <row r="1059" spans="1:7" x14ac:dyDescent="0.45">
      <c r="A1059" s="1">
        <v>41529</v>
      </c>
      <c r="B1059">
        <v>96.209998999999996</v>
      </c>
      <c r="C1059">
        <v>96.900002000000001</v>
      </c>
      <c r="D1059">
        <v>96</v>
      </c>
      <c r="E1059">
        <v>96.800003000000004</v>
      </c>
      <c r="F1059">
        <v>80.161629000000005</v>
      </c>
      <c r="G1059">
        <v>3344300</v>
      </c>
    </row>
    <row r="1060" spans="1:7" x14ac:dyDescent="0.45">
      <c r="A1060" s="1">
        <v>41530</v>
      </c>
      <c r="B1060">
        <v>97.910004000000001</v>
      </c>
      <c r="C1060">
        <v>98.400002000000001</v>
      </c>
      <c r="D1060">
        <v>97.68</v>
      </c>
      <c r="E1060">
        <v>98.339995999999999</v>
      </c>
      <c r="F1060">
        <v>81.436927999999995</v>
      </c>
      <c r="G1060">
        <v>1060700</v>
      </c>
    </row>
    <row r="1061" spans="1:7" x14ac:dyDescent="0.45">
      <c r="A1061" s="1">
        <v>41533</v>
      </c>
      <c r="B1061">
        <v>99.830001999999993</v>
      </c>
      <c r="C1061">
        <v>99.940002000000007</v>
      </c>
      <c r="D1061">
        <v>99.230002999999996</v>
      </c>
      <c r="E1061">
        <v>99.68</v>
      </c>
      <c r="F1061">
        <v>82.546608000000006</v>
      </c>
      <c r="G1061">
        <v>1413100</v>
      </c>
    </row>
    <row r="1062" spans="1:7" x14ac:dyDescent="0.45">
      <c r="A1062" s="1">
        <v>41534</v>
      </c>
      <c r="B1062">
        <v>98.989998</v>
      </c>
      <c r="C1062">
        <v>99.730002999999996</v>
      </c>
      <c r="D1062">
        <v>98.989998</v>
      </c>
      <c r="E1062">
        <v>99.660004000000001</v>
      </c>
      <c r="F1062">
        <v>82.530051999999998</v>
      </c>
      <c r="G1062">
        <v>1292100</v>
      </c>
    </row>
    <row r="1063" spans="1:7" x14ac:dyDescent="0.45">
      <c r="A1063" s="1">
        <v>41535</v>
      </c>
      <c r="B1063">
        <v>100</v>
      </c>
      <c r="C1063">
        <v>102.550003</v>
      </c>
      <c r="D1063">
        <v>99.480002999999996</v>
      </c>
      <c r="E1063">
        <v>102.43</v>
      </c>
      <c r="F1063">
        <v>84.823914000000002</v>
      </c>
      <c r="G1063">
        <v>1583300</v>
      </c>
    </row>
    <row r="1064" spans="1:7" x14ac:dyDescent="0.45">
      <c r="A1064" s="1">
        <v>41536</v>
      </c>
      <c r="B1064">
        <v>103.800003</v>
      </c>
      <c r="C1064">
        <v>103.849998</v>
      </c>
      <c r="D1064">
        <v>102</v>
      </c>
      <c r="E1064">
        <v>102.57</v>
      </c>
      <c r="F1064">
        <v>84.939864999999998</v>
      </c>
      <c r="G1064">
        <v>2665800</v>
      </c>
    </row>
    <row r="1065" spans="1:7" x14ac:dyDescent="0.45">
      <c r="A1065" s="1">
        <v>41537</v>
      </c>
      <c r="B1065">
        <v>101.739998</v>
      </c>
      <c r="C1065">
        <v>101.75</v>
      </c>
      <c r="D1065">
        <v>100.400002</v>
      </c>
      <c r="E1065">
        <v>100.55999799999999</v>
      </c>
      <c r="F1065">
        <v>83.275351999999998</v>
      </c>
      <c r="G1065">
        <v>1418700</v>
      </c>
    </row>
    <row r="1066" spans="1:7" x14ac:dyDescent="0.45">
      <c r="A1066" s="1">
        <v>41540</v>
      </c>
      <c r="B1066">
        <v>101.16999800000001</v>
      </c>
      <c r="C1066">
        <v>101.220001</v>
      </c>
      <c r="D1066">
        <v>99.419998000000007</v>
      </c>
      <c r="E1066">
        <v>99.550003000000004</v>
      </c>
      <c r="F1066">
        <v>82.438957000000002</v>
      </c>
      <c r="G1066">
        <v>1250800</v>
      </c>
    </row>
    <row r="1067" spans="1:7" x14ac:dyDescent="0.45">
      <c r="A1067" s="1">
        <v>41541</v>
      </c>
      <c r="B1067">
        <v>98.839995999999999</v>
      </c>
      <c r="C1067">
        <v>99.300003000000004</v>
      </c>
      <c r="D1067">
        <v>98.400002000000001</v>
      </c>
      <c r="E1067">
        <v>99.110000999999997</v>
      </c>
      <c r="F1067">
        <v>82.074584999999999</v>
      </c>
      <c r="G1067">
        <v>1107100</v>
      </c>
    </row>
    <row r="1068" spans="1:7" x14ac:dyDescent="0.45">
      <c r="A1068" s="1">
        <v>41542</v>
      </c>
      <c r="B1068">
        <v>98.839995999999999</v>
      </c>
      <c r="C1068">
        <v>99.889999000000003</v>
      </c>
      <c r="D1068">
        <v>98.839995999999999</v>
      </c>
      <c r="E1068">
        <v>99.459998999999996</v>
      </c>
      <c r="F1068">
        <v>82.364425999999995</v>
      </c>
      <c r="G1068">
        <v>1643400</v>
      </c>
    </row>
    <row r="1069" spans="1:7" x14ac:dyDescent="0.45">
      <c r="A1069" s="1">
        <v>41543</v>
      </c>
      <c r="B1069">
        <v>100.220001</v>
      </c>
      <c r="C1069">
        <v>100.459999</v>
      </c>
      <c r="D1069">
        <v>99.610000999999997</v>
      </c>
      <c r="E1069">
        <v>100.209999</v>
      </c>
      <c r="F1069">
        <v>82.985504000000006</v>
      </c>
      <c r="G1069">
        <v>3022900</v>
      </c>
    </row>
    <row r="1070" spans="1:7" x14ac:dyDescent="0.45">
      <c r="A1070" s="1">
        <v>41544</v>
      </c>
      <c r="B1070">
        <v>99.449996999999996</v>
      </c>
      <c r="C1070">
        <v>100</v>
      </c>
      <c r="D1070">
        <v>99.449996999999996</v>
      </c>
      <c r="E1070">
        <v>99.610000999999997</v>
      </c>
      <c r="F1070">
        <v>82.488617000000005</v>
      </c>
      <c r="G1070">
        <v>1464000</v>
      </c>
    </row>
    <row r="1071" spans="1:7" x14ac:dyDescent="0.45">
      <c r="A1071" s="1">
        <v>41547</v>
      </c>
      <c r="B1071">
        <v>100.010002</v>
      </c>
      <c r="C1071">
        <v>100.16999800000001</v>
      </c>
      <c r="D1071">
        <v>98.760002</v>
      </c>
      <c r="E1071">
        <v>99.199996999999996</v>
      </c>
      <c r="F1071">
        <v>82.149101000000002</v>
      </c>
      <c r="G1071">
        <v>1183400</v>
      </c>
    </row>
    <row r="1072" spans="1:7" x14ac:dyDescent="0.45">
      <c r="A1072" s="1">
        <v>41548</v>
      </c>
      <c r="B1072">
        <v>97.709998999999996</v>
      </c>
      <c r="C1072">
        <v>98.709998999999996</v>
      </c>
      <c r="D1072">
        <v>97.419998000000007</v>
      </c>
      <c r="E1072">
        <v>98.690002000000007</v>
      </c>
      <c r="F1072">
        <v>81.726768000000007</v>
      </c>
      <c r="G1072">
        <v>1643500</v>
      </c>
    </row>
    <row r="1073" spans="1:7" x14ac:dyDescent="0.45">
      <c r="A1073" s="1">
        <v>41549</v>
      </c>
      <c r="B1073">
        <v>98</v>
      </c>
      <c r="C1073">
        <v>98.379997000000003</v>
      </c>
      <c r="D1073">
        <v>97.309997999999993</v>
      </c>
      <c r="E1073">
        <v>98.379997000000003</v>
      </c>
      <c r="F1073">
        <v>81.470039</v>
      </c>
      <c r="G1073">
        <v>978900</v>
      </c>
    </row>
    <row r="1074" spans="1:7" x14ac:dyDescent="0.45">
      <c r="A1074" s="1">
        <v>41550</v>
      </c>
      <c r="B1074">
        <v>98.559997999999993</v>
      </c>
      <c r="C1074">
        <v>98.610000999999997</v>
      </c>
      <c r="D1074">
        <v>97.75</v>
      </c>
      <c r="E1074">
        <v>98.199996999999996</v>
      </c>
      <c r="F1074">
        <v>81.320992000000004</v>
      </c>
      <c r="G1074">
        <v>302900</v>
      </c>
    </row>
    <row r="1075" spans="1:7" x14ac:dyDescent="0.45">
      <c r="A1075" s="1">
        <v>41551</v>
      </c>
      <c r="B1075">
        <v>98.709998999999996</v>
      </c>
      <c r="C1075">
        <v>99.029999000000004</v>
      </c>
      <c r="D1075">
        <v>98.400002000000001</v>
      </c>
      <c r="E1075">
        <v>98.959998999999996</v>
      </c>
      <c r="F1075">
        <v>81.950362999999996</v>
      </c>
      <c r="G1075">
        <v>504400</v>
      </c>
    </row>
    <row r="1076" spans="1:7" x14ac:dyDescent="0.45">
      <c r="A1076" s="1">
        <v>41554</v>
      </c>
      <c r="B1076">
        <v>97.419998000000007</v>
      </c>
      <c r="C1076">
        <v>97.980002999999996</v>
      </c>
      <c r="D1076">
        <v>97.309997999999993</v>
      </c>
      <c r="E1076">
        <v>97.720000999999996</v>
      </c>
      <c r="F1076">
        <v>80.923491999999996</v>
      </c>
      <c r="G1076">
        <v>1079200</v>
      </c>
    </row>
    <row r="1077" spans="1:7" x14ac:dyDescent="0.45">
      <c r="A1077" s="1">
        <v>41555</v>
      </c>
      <c r="B1077">
        <v>97.040001000000004</v>
      </c>
      <c r="C1077">
        <v>97.18</v>
      </c>
      <c r="D1077">
        <v>96.540001000000004</v>
      </c>
      <c r="E1077">
        <v>96.760002</v>
      </c>
      <c r="F1077">
        <v>80.128501999999997</v>
      </c>
      <c r="G1077">
        <v>1228100</v>
      </c>
    </row>
    <row r="1078" spans="1:7" x14ac:dyDescent="0.45">
      <c r="A1078" s="1">
        <v>41556</v>
      </c>
      <c r="B1078">
        <v>95.75</v>
      </c>
      <c r="C1078">
        <v>96.489998</v>
      </c>
      <c r="D1078">
        <v>95.639999000000003</v>
      </c>
      <c r="E1078">
        <v>95.839995999999999</v>
      </c>
      <c r="F1078">
        <v>79.366646000000003</v>
      </c>
      <c r="G1078">
        <v>2980200</v>
      </c>
    </row>
    <row r="1079" spans="1:7" x14ac:dyDescent="0.45">
      <c r="A1079" s="1">
        <v>41557</v>
      </c>
      <c r="B1079">
        <v>96.110000999999997</v>
      </c>
      <c r="C1079">
        <v>97.610000999999997</v>
      </c>
      <c r="D1079">
        <v>96.080001999999993</v>
      </c>
      <c r="E1079">
        <v>97.440002000000007</v>
      </c>
      <c r="F1079">
        <v>80.691635000000005</v>
      </c>
      <c r="G1079">
        <v>1057200</v>
      </c>
    </row>
    <row r="1080" spans="1:7" x14ac:dyDescent="0.45">
      <c r="A1080" s="1">
        <v>41558</v>
      </c>
      <c r="B1080">
        <v>97.949996999999996</v>
      </c>
      <c r="C1080">
        <v>98.410004000000001</v>
      </c>
      <c r="D1080">
        <v>97.739998</v>
      </c>
      <c r="E1080">
        <v>98.410004000000001</v>
      </c>
      <c r="F1080">
        <v>81.494895999999997</v>
      </c>
      <c r="G1080">
        <v>996000</v>
      </c>
    </row>
    <row r="1081" spans="1:7" x14ac:dyDescent="0.45">
      <c r="A1081" s="1">
        <v>41561</v>
      </c>
      <c r="B1081">
        <v>98.010002</v>
      </c>
      <c r="C1081">
        <v>98.82</v>
      </c>
      <c r="D1081">
        <v>97.699996999999996</v>
      </c>
      <c r="E1081">
        <v>98.769997000000004</v>
      </c>
      <c r="F1081">
        <v>81.793014999999997</v>
      </c>
      <c r="G1081">
        <v>642500</v>
      </c>
    </row>
    <row r="1082" spans="1:7" x14ac:dyDescent="0.45">
      <c r="A1082" s="1">
        <v>41562</v>
      </c>
      <c r="B1082">
        <v>98.489998</v>
      </c>
      <c r="C1082">
        <v>98.699996999999996</v>
      </c>
      <c r="D1082">
        <v>97.849997999999999</v>
      </c>
      <c r="E1082">
        <v>98.07</v>
      </c>
      <c r="F1082">
        <v>81.213341</v>
      </c>
      <c r="G1082">
        <v>675000</v>
      </c>
    </row>
    <row r="1083" spans="1:7" x14ac:dyDescent="0.45">
      <c r="A1083" s="1">
        <v>41563</v>
      </c>
      <c r="B1083">
        <v>98.860000999999997</v>
      </c>
      <c r="C1083">
        <v>99.18</v>
      </c>
      <c r="D1083">
        <v>98.349997999999999</v>
      </c>
      <c r="E1083">
        <v>98.860000999999997</v>
      </c>
      <c r="F1083">
        <v>81.867546000000004</v>
      </c>
      <c r="G1083">
        <v>485800</v>
      </c>
    </row>
    <row r="1084" spans="1:7" x14ac:dyDescent="0.45">
      <c r="A1084" s="1">
        <v>41564</v>
      </c>
      <c r="B1084">
        <v>100.55999799999999</v>
      </c>
      <c r="C1084">
        <v>101.05999799999999</v>
      </c>
      <c r="D1084">
        <v>99.849997999999999</v>
      </c>
      <c r="E1084">
        <v>101</v>
      </c>
      <c r="F1084">
        <v>83.639724999999999</v>
      </c>
      <c r="G1084">
        <v>1088000</v>
      </c>
    </row>
    <row r="1085" spans="1:7" x14ac:dyDescent="0.45">
      <c r="A1085" s="1">
        <v>41565</v>
      </c>
      <c r="B1085">
        <v>102.33000199999999</v>
      </c>
      <c r="C1085">
        <v>102.870003</v>
      </c>
      <c r="D1085">
        <v>102.040001</v>
      </c>
      <c r="E1085">
        <v>102.699997</v>
      </c>
      <c r="F1085">
        <v>85.047516000000002</v>
      </c>
      <c r="G1085">
        <v>950100</v>
      </c>
    </row>
    <row r="1086" spans="1:7" x14ac:dyDescent="0.45">
      <c r="A1086" s="1">
        <v>41568</v>
      </c>
      <c r="B1086">
        <v>102.209999</v>
      </c>
      <c r="C1086">
        <v>102.68</v>
      </c>
      <c r="D1086">
        <v>102.110001</v>
      </c>
      <c r="E1086">
        <v>102.629997</v>
      </c>
      <c r="F1086">
        <v>84.989540000000005</v>
      </c>
      <c r="G1086">
        <v>789700</v>
      </c>
    </row>
    <row r="1087" spans="1:7" x14ac:dyDescent="0.45">
      <c r="A1087" s="1">
        <v>41569</v>
      </c>
      <c r="B1087">
        <v>102.860001</v>
      </c>
      <c r="C1087">
        <v>104.55999799999999</v>
      </c>
      <c r="D1087">
        <v>102.849998</v>
      </c>
      <c r="E1087">
        <v>103.69000200000001</v>
      </c>
      <c r="F1087">
        <v>85.867339999999999</v>
      </c>
      <c r="G1087">
        <v>881800</v>
      </c>
    </row>
    <row r="1088" spans="1:7" x14ac:dyDescent="0.45">
      <c r="A1088" s="1">
        <v>41570</v>
      </c>
      <c r="B1088">
        <v>103.459999</v>
      </c>
      <c r="C1088">
        <v>103.510002</v>
      </c>
      <c r="D1088">
        <v>102.800003</v>
      </c>
      <c r="E1088">
        <v>103.05999799999999</v>
      </c>
      <c r="F1088">
        <v>85.345641999999998</v>
      </c>
      <c r="G1088">
        <v>1133600</v>
      </c>
    </row>
    <row r="1089" spans="1:7" x14ac:dyDescent="0.45">
      <c r="A1089" s="1">
        <v>41571</v>
      </c>
      <c r="B1089">
        <v>103.43</v>
      </c>
      <c r="C1089">
        <v>103.510002</v>
      </c>
      <c r="D1089">
        <v>102.760002</v>
      </c>
      <c r="E1089">
        <v>103.18</v>
      </c>
      <c r="F1089">
        <v>85.445007000000004</v>
      </c>
      <c r="G1089">
        <v>635800</v>
      </c>
    </row>
    <row r="1090" spans="1:7" x14ac:dyDescent="0.45">
      <c r="A1090" s="1">
        <v>41572</v>
      </c>
      <c r="B1090">
        <v>104.05999799999999</v>
      </c>
      <c r="C1090">
        <v>104.739998</v>
      </c>
      <c r="D1090">
        <v>103.83000199999999</v>
      </c>
      <c r="E1090">
        <v>104.709999</v>
      </c>
      <c r="F1090">
        <v>86.712020999999993</v>
      </c>
      <c r="G1090">
        <v>1404800</v>
      </c>
    </row>
    <row r="1091" spans="1:7" x14ac:dyDescent="0.45">
      <c r="A1091" s="1">
        <v>41575</v>
      </c>
      <c r="B1091">
        <v>104.18</v>
      </c>
      <c r="C1091">
        <v>104.720001</v>
      </c>
      <c r="D1091">
        <v>103.620003</v>
      </c>
      <c r="E1091">
        <v>104.279999</v>
      </c>
      <c r="F1091">
        <v>86.355934000000005</v>
      </c>
      <c r="G1091">
        <v>1285600</v>
      </c>
    </row>
    <row r="1092" spans="1:7" x14ac:dyDescent="0.45">
      <c r="A1092" s="1">
        <v>41576</v>
      </c>
      <c r="B1092">
        <v>104.040001</v>
      </c>
      <c r="C1092">
        <v>104.5</v>
      </c>
      <c r="D1092">
        <v>103.94000200000001</v>
      </c>
      <c r="E1092">
        <v>104.339996</v>
      </c>
      <c r="F1092">
        <v>86.405624000000003</v>
      </c>
      <c r="G1092">
        <v>1024500</v>
      </c>
    </row>
    <row r="1093" spans="1:7" x14ac:dyDescent="0.45">
      <c r="A1093" s="1">
        <v>41577</v>
      </c>
      <c r="B1093">
        <v>102.839996</v>
      </c>
      <c r="C1093">
        <v>103.339996</v>
      </c>
      <c r="D1093">
        <v>102.30999799999999</v>
      </c>
      <c r="E1093">
        <v>103.239998</v>
      </c>
      <c r="F1093">
        <v>85.494704999999996</v>
      </c>
      <c r="G1093">
        <v>2158100</v>
      </c>
    </row>
    <row r="1094" spans="1:7" x14ac:dyDescent="0.45">
      <c r="A1094" s="1">
        <v>41578</v>
      </c>
      <c r="B1094">
        <v>104.099998</v>
      </c>
      <c r="C1094">
        <v>104.790001</v>
      </c>
      <c r="D1094">
        <v>103.16999800000001</v>
      </c>
      <c r="E1094">
        <v>103.730003</v>
      </c>
      <c r="F1094">
        <v>85.900481999999997</v>
      </c>
      <c r="G1094">
        <v>2958400</v>
      </c>
    </row>
    <row r="1095" spans="1:7" x14ac:dyDescent="0.45">
      <c r="A1095" s="1">
        <v>41579</v>
      </c>
      <c r="B1095">
        <v>102.459999</v>
      </c>
      <c r="C1095">
        <v>102.720001</v>
      </c>
      <c r="D1095">
        <v>101.629997</v>
      </c>
      <c r="E1095">
        <v>102.58000199999999</v>
      </c>
      <c r="F1095">
        <v>84.948134999999994</v>
      </c>
      <c r="G1095">
        <v>1153600</v>
      </c>
    </row>
    <row r="1096" spans="1:7" x14ac:dyDescent="0.45">
      <c r="A1096" s="1">
        <v>41582</v>
      </c>
      <c r="B1096">
        <v>102.370003</v>
      </c>
      <c r="C1096">
        <v>102.57</v>
      </c>
      <c r="D1096">
        <v>101.959999</v>
      </c>
      <c r="E1096">
        <v>102.370003</v>
      </c>
      <c r="F1096">
        <v>84.774246000000005</v>
      </c>
      <c r="G1096">
        <v>1396300</v>
      </c>
    </row>
    <row r="1097" spans="1:7" x14ac:dyDescent="0.45">
      <c r="A1097" s="1">
        <v>41583</v>
      </c>
      <c r="B1097">
        <v>101.279999</v>
      </c>
      <c r="C1097">
        <v>102.610001</v>
      </c>
      <c r="D1097">
        <v>101.160004</v>
      </c>
      <c r="E1097">
        <v>102.25</v>
      </c>
      <c r="F1097">
        <v>84.674858</v>
      </c>
      <c r="G1097">
        <v>665900</v>
      </c>
    </row>
    <row r="1098" spans="1:7" x14ac:dyDescent="0.45">
      <c r="A1098" s="1">
        <v>41584</v>
      </c>
      <c r="B1098">
        <v>103.68</v>
      </c>
      <c r="C1098">
        <v>104.33000199999999</v>
      </c>
      <c r="D1098">
        <v>103.540001</v>
      </c>
      <c r="E1098">
        <v>103.800003</v>
      </c>
      <c r="F1098">
        <v>85.958443000000003</v>
      </c>
      <c r="G1098">
        <v>857200</v>
      </c>
    </row>
    <row r="1099" spans="1:7" x14ac:dyDescent="0.45">
      <c r="A1099" s="1">
        <v>41585</v>
      </c>
      <c r="B1099">
        <v>102.93</v>
      </c>
      <c r="C1099">
        <v>103.120003</v>
      </c>
      <c r="D1099">
        <v>101.290001</v>
      </c>
      <c r="E1099">
        <v>101.529999</v>
      </c>
      <c r="F1099">
        <v>84.744827000000001</v>
      </c>
      <c r="G1099">
        <v>856800</v>
      </c>
    </row>
    <row r="1100" spans="1:7" x14ac:dyDescent="0.45">
      <c r="A1100" s="1">
        <v>41586</v>
      </c>
      <c r="B1100">
        <v>100.279999</v>
      </c>
      <c r="C1100">
        <v>102.900002</v>
      </c>
      <c r="D1100">
        <v>100.25</v>
      </c>
      <c r="E1100">
        <v>102.800003</v>
      </c>
      <c r="F1100">
        <v>85.804862999999997</v>
      </c>
      <c r="G1100">
        <v>1740100</v>
      </c>
    </row>
    <row r="1101" spans="1:7" x14ac:dyDescent="0.45">
      <c r="A1101" s="1">
        <v>41589</v>
      </c>
      <c r="B1101">
        <v>103.129997</v>
      </c>
      <c r="C1101">
        <v>104.5</v>
      </c>
      <c r="D1101">
        <v>102.93</v>
      </c>
      <c r="E1101">
        <v>104.349998</v>
      </c>
      <c r="F1101">
        <v>87.098618000000002</v>
      </c>
      <c r="G1101">
        <v>2609700</v>
      </c>
    </row>
    <row r="1102" spans="1:7" x14ac:dyDescent="0.45">
      <c r="A1102" s="1">
        <v>41590</v>
      </c>
      <c r="B1102">
        <v>103.739998</v>
      </c>
      <c r="C1102">
        <v>104.30999799999999</v>
      </c>
      <c r="D1102">
        <v>103.160004</v>
      </c>
      <c r="E1102">
        <v>103.849998</v>
      </c>
      <c r="F1102">
        <v>86.681267000000005</v>
      </c>
      <c r="G1102">
        <v>1781700</v>
      </c>
    </row>
    <row r="1103" spans="1:7" x14ac:dyDescent="0.45">
      <c r="A1103" s="1">
        <v>41591</v>
      </c>
      <c r="B1103">
        <v>102.760002</v>
      </c>
      <c r="C1103">
        <v>103.860001</v>
      </c>
      <c r="D1103">
        <v>102.379997</v>
      </c>
      <c r="E1103">
        <v>103.760002</v>
      </c>
      <c r="F1103">
        <v>86.606155000000001</v>
      </c>
      <c r="G1103">
        <v>1040400</v>
      </c>
    </row>
    <row r="1104" spans="1:7" x14ac:dyDescent="0.45">
      <c r="A1104" s="1">
        <v>41592</v>
      </c>
      <c r="B1104">
        <v>104.209999</v>
      </c>
      <c r="C1104">
        <v>104.989998</v>
      </c>
      <c r="D1104">
        <v>104.029999</v>
      </c>
      <c r="E1104">
        <v>104.709999</v>
      </c>
      <c r="F1104">
        <v>87.399094000000005</v>
      </c>
      <c r="G1104">
        <v>1475200</v>
      </c>
    </row>
    <row r="1105" spans="1:7" x14ac:dyDescent="0.45">
      <c r="A1105" s="1">
        <v>41593</v>
      </c>
      <c r="B1105">
        <v>104.790001</v>
      </c>
      <c r="C1105">
        <v>104.989998</v>
      </c>
      <c r="D1105">
        <v>104.57</v>
      </c>
      <c r="E1105">
        <v>104.620003</v>
      </c>
      <c r="F1105">
        <v>87.323966999999996</v>
      </c>
      <c r="G1105">
        <v>1116800</v>
      </c>
    </row>
    <row r="1106" spans="1:7" x14ac:dyDescent="0.45">
      <c r="A1106" s="1">
        <v>41596</v>
      </c>
      <c r="B1106">
        <v>105.199997</v>
      </c>
      <c r="C1106">
        <v>105.480003</v>
      </c>
      <c r="D1106">
        <v>104.660004</v>
      </c>
      <c r="E1106">
        <v>104.83000199999999</v>
      </c>
      <c r="F1106">
        <v>87.499260000000007</v>
      </c>
      <c r="G1106">
        <v>1471200</v>
      </c>
    </row>
    <row r="1107" spans="1:7" x14ac:dyDescent="0.45">
      <c r="A1107" s="1">
        <v>41597</v>
      </c>
      <c r="B1107">
        <v>104.279999</v>
      </c>
      <c r="C1107">
        <v>105.05999799999999</v>
      </c>
      <c r="D1107">
        <v>104.040001</v>
      </c>
      <c r="E1107">
        <v>104.489998</v>
      </c>
      <c r="F1107">
        <v>87.215468999999999</v>
      </c>
      <c r="G1107">
        <v>1142700</v>
      </c>
    </row>
    <row r="1108" spans="1:7" x14ac:dyDescent="0.45">
      <c r="A1108" s="1">
        <v>41598</v>
      </c>
      <c r="B1108">
        <v>103.91999800000001</v>
      </c>
      <c r="C1108">
        <v>104.769997</v>
      </c>
      <c r="D1108">
        <v>103.07</v>
      </c>
      <c r="E1108">
        <v>103.540001</v>
      </c>
      <c r="F1108">
        <v>86.422531000000006</v>
      </c>
      <c r="G1108">
        <v>730700</v>
      </c>
    </row>
    <row r="1109" spans="1:7" x14ac:dyDescent="0.45">
      <c r="A1109" s="1">
        <v>41599</v>
      </c>
      <c r="B1109">
        <v>103.58000199999999</v>
      </c>
      <c r="C1109">
        <v>103.709999</v>
      </c>
      <c r="D1109">
        <v>102.949997</v>
      </c>
      <c r="E1109">
        <v>103.550003</v>
      </c>
      <c r="F1109">
        <v>86.430869999999999</v>
      </c>
      <c r="G1109">
        <v>466600</v>
      </c>
    </row>
    <row r="1110" spans="1:7" x14ac:dyDescent="0.45">
      <c r="A1110" s="1">
        <v>41600</v>
      </c>
      <c r="B1110">
        <v>102.779999</v>
      </c>
      <c r="C1110">
        <v>103.849998</v>
      </c>
      <c r="D1110">
        <v>102.620003</v>
      </c>
      <c r="E1110">
        <v>103.360001</v>
      </c>
      <c r="F1110">
        <v>86.272278</v>
      </c>
      <c r="G1110">
        <v>1166900</v>
      </c>
    </row>
    <row r="1111" spans="1:7" x14ac:dyDescent="0.45">
      <c r="A1111" s="1">
        <v>41603</v>
      </c>
      <c r="B1111">
        <v>103.019997</v>
      </c>
      <c r="C1111">
        <v>103.910004</v>
      </c>
      <c r="D1111">
        <v>102.18</v>
      </c>
      <c r="E1111">
        <v>102.400002</v>
      </c>
      <c r="F1111">
        <v>85.471001000000001</v>
      </c>
      <c r="G1111">
        <v>1055800</v>
      </c>
    </row>
    <row r="1112" spans="1:7" x14ac:dyDescent="0.45">
      <c r="A1112" s="1">
        <v>41604</v>
      </c>
      <c r="B1112">
        <v>102.220001</v>
      </c>
      <c r="C1112">
        <v>103.150002</v>
      </c>
      <c r="D1112">
        <v>102.050003</v>
      </c>
      <c r="E1112">
        <v>102.720001</v>
      </c>
      <c r="F1112">
        <v>85.738097999999994</v>
      </c>
      <c r="G1112">
        <v>797300</v>
      </c>
    </row>
    <row r="1113" spans="1:7" x14ac:dyDescent="0.45">
      <c r="A1113" s="1">
        <v>41605</v>
      </c>
      <c r="B1113">
        <v>102.610001</v>
      </c>
      <c r="C1113">
        <v>103.25</v>
      </c>
      <c r="D1113">
        <v>102.43</v>
      </c>
      <c r="E1113">
        <v>102.720001</v>
      </c>
      <c r="F1113">
        <v>85.738097999999994</v>
      </c>
      <c r="G1113">
        <v>696900</v>
      </c>
    </row>
    <row r="1114" spans="1:7" x14ac:dyDescent="0.45">
      <c r="A1114" s="1">
        <v>41607</v>
      </c>
      <c r="B1114">
        <v>102.449997</v>
      </c>
      <c r="C1114">
        <v>102.620003</v>
      </c>
      <c r="D1114">
        <v>101.900002</v>
      </c>
      <c r="E1114">
        <v>102.110001</v>
      </c>
      <c r="F1114">
        <v>85.228927999999996</v>
      </c>
      <c r="G1114">
        <v>347100</v>
      </c>
    </row>
    <row r="1115" spans="1:7" x14ac:dyDescent="0.45">
      <c r="A1115" s="1">
        <v>41610</v>
      </c>
      <c r="B1115">
        <v>101.370003</v>
      </c>
      <c r="C1115">
        <v>102.370003</v>
      </c>
      <c r="D1115">
        <v>101.33000199999999</v>
      </c>
      <c r="E1115">
        <v>102.08000199999999</v>
      </c>
      <c r="F1115">
        <v>85.203896</v>
      </c>
      <c r="G1115">
        <v>1070000</v>
      </c>
    </row>
    <row r="1116" spans="1:7" x14ac:dyDescent="0.45">
      <c r="A1116" s="1">
        <v>41611</v>
      </c>
      <c r="B1116">
        <v>101.120003</v>
      </c>
      <c r="C1116">
        <v>101.75</v>
      </c>
      <c r="D1116">
        <v>101.08000199999999</v>
      </c>
      <c r="E1116">
        <v>101.739998</v>
      </c>
      <c r="F1116">
        <v>84.920096999999998</v>
      </c>
      <c r="G1116">
        <v>1495800</v>
      </c>
    </row>
    <row r="1117" spans="1:7" x14ac:dyDescent="0.45">
      <c r="A1117" s="1">
        <v>41612</v>
      </c>
      <c r="B1117">
        <v>100.400002</v>
      </c>
      <c r="C1117">
        <v>101.620003</v>
      </c>
      <c r="D1117">
        <v>100.25</v>
      </c>
      <c r="E1117">
        <v>101.5</v>
      </c>
      <c r="F1117">
        <v>84.71978</v>
      </c>
      <c r="G1117">
        <v>1283200</v>
      </c>
    </row>
    <row r="1118" spans="1:7" x14ac:dyDescent="0.45">
      <c r="A1118" s="1">
        <v>41613</v>
      </c>
      <c r="B1118">
        <v>100.790001</v>
      </c>
      <c r="C1118">
        <v>101.230003</v>
      </c>
      <c r="D1118">
        <v>100.33000199999999</v>
      </c>
      <c r="E1118">
        <v>100.720001</v>
      </c>
      <c r="F1118">
        <v>84.068741000000003</v>
      </c>
      <c r="G1118">
        <v>1629800</v>
      </c>
    </row>
    <row r="1119" spans="1:7" x14ac:dyDescent="0.45">
      <c r="A1119" s="1">
        <v>41614</v>
      </c>
      <c r="B1119">
        <v>101.230003</v>
      </c>
      <c r="C1119">
        <v>102.699997</v>
      </c>
      <c r="D1119">
        <v>101.220001</v>
      </c>
      <c r="E1119">
        <v>102.629997</v>
      </c>
      <c r="F1119">
        <v>85.662964000000002</v>
      </c>
      <c r="G1119">
        <v>811500</v>
      </c>
    </row>
    <row r="1120" spans="1:7" x14ac:dyDescent="0.45">
      <c r="A1120" s="1">
        <v>41617</v>
      </c>
      <c r="B1120">
        <v>101.900002</v>
      </c>
      <c r="C1120">
        <v>102.739998</v>
      </c>
      <c r="D1120">
        <v>101.870003</v>
      </c>
      <c r="E1120">
        <v>102.489998</v>
      </c>
      <c r="F1120">
        <v>85.546104</v>
      </c>
      <c r="G1120">
        <v>832200</v>
      </c>
    </row>
    <row r="1121" spans="1:7" x14ac:dyDescent="0.45">
      <c r="A1121" s="1">
        <v>41618</v>
      </c>
      <c r="B1121">
        <v>101.980003</v>
      </c>
      <c r="C1121">
        <v>102.379997</v>
      </c>
      <c r="D1121">
        <v>101.769997</v>
      </c>
      <c r="E1121">
        <v>102.07</v>
      </c>
      <c r="F1121">
        <v>85.195541000000006</v>
      </c>
      <c r="G1121">
        <v>977900</v>
      </c>
    </row>
    <row r="1122" spans="1:7" x14ac:dyDescent="0.45">
      <c r="A1122" s="1">
        <v>41619</v>
      </c>
      <c r="B1122">
        <v>102.260002</v>
      </c>
      <c r="C1122">
        <v>102.410004</v>
      </c>
      <c r="D1122">
        <v>101.33000199999999</v>
      </c>
      <c r="E1122">
        <v>101.410004</v>
      </c>
      <c r="F1122">
        <v>84.644660999999999</v>
      </c>
      <c r="G1122">
        <v>1089400</v>
      </c>
    </row>
    <row r="1123" spans="1:7" x14ac:dyDescent="0.45">
      <c r="A1123" s="1">
        <v>41620</v>
      </c>
      <c r="B1123">
        <v>100.75</v>
      </c>
      <c r="C1123">
        <v>101.19000200000001</v>
      </c>
      <c r="D1123">
        <v>100.07</v>
      </c>
      <c r="E1123">
        <v>100.43</v>
      </c>
      <c r="F1123">
        <v>83.826674999999994</v>
      </c>
      <c r="G1123">
        <v>840400</v>
      </c>
    </row>
    <row r="1124" spans="1:7" x14ac:dyDescent="0.45">
      <c r="A1124" s="1">
        <v>41621</v>
      </c>
      <c r="B1124">
        <v>100.110001</v>
      </c>
      <c r="C1124">
        <v>100.470001</v>
      </c>
      <c r="D1124">
        <v>99.459998999999996</v>
      </c>
      <c r="E1124">
        <v>100.209999</v>
      </c>
      <c r="F1124">
        <v>83.643051</v>
      </c>
      <c r="G1124">
        <v>1115900</v>
      </c>
    </row>
    <row r="1125" spans="1:7" x14ac:dyDescent="0.45">
      <c r="A1125" s="1">
        <v>41624</v>
      </c>
      <c r="B1125">
        <v>101.860001</v>
      </c>
      <c r="C1125">
        <v>102.290001</v>
      </c>
      <c r="D1125">
        <v>101.839996</v>
      </c>
      <c r="E1125">
        <v>102.099998</v>
      </c>
      <c r="F1125">
        <v>85.220580999999996</v>
      </c>
      <c r="G1125">
        <v>815300</v>
      </c>
    </row>
    <row r="1126" spans="1:7" x14ac:dyDescent="0.45">
      <c r="A1126" s="1">
        <v>41625</v>
      </c>
      <c r="B1126">
        <v>101.900002</v>
      </c>
      <c r="C1126">
        <v>102.099998</v>
      </c>
      <c r="D1126">
        <v>101.099998</v>
      </c>
      <c r="E1126">
        <v>101.489998</v>
      </c>
      <c r="F1126">
        <v>84.711449000000002</v>
      </c>
      <c r="G1126">
        <v>759600</v>
      </c>
    </row>
    <row r="1127" spans="1:7" x14ac:dyDescent="0.45">
      <c r="A1127" s="1">
        <v>41626</v>
      </c>
      <c r="B1127">
        <v>102.08000199999999</v>
      </c>
      <c r="C1127">
        <v>103.41999800000001</v>
      </c>
      <c r="D1127">
        <v>101.139999</v>
      </c>
      <c r="E1127">
        <v>103.389999</v>
      </c>
      <c r="F1127">
        <v>86.297318000000004</v>
      </c>
      <c r="G1127">
        <v>752200</v>
      </c>
    </row>
    <row r="1128" spans="1:7" x14ac:dyDescent="0.45">
      <c r="A1128" s="1">
        <v>41627</v>
      </c>
      <c r="B1128">
        <v>103.66999800000001</v>
      </c>
      <c r="C1128">
        <v>103.68</v>
      </c>
      <c r="D1128">
        <v>102.980003</v>
      </c>
      <c r="E1128">
        <v>103.18</v>
      </c>
      <c r="F1128">
        <v>86.122039999999998</v>
      </c>
      <c r="G1128">
        <v>1325900</v>
      </c>
    </row>
    <row r="1129" spans="1:7" x14ac:dyDescent="0.45">
      <c r="A1129" s="1">
        <v>41628</v>
      </c>
      <c r="B1129">
        <v>103.55999799999999</v>
      </c>
      <c r="C1129">
        <v>103.91999800000001</v>
      </c>
      <c r="D1129">
        <v>103.290001</v>
      </c>
      <c r="E1129">
        <v>103.370003</v>
      </c>
      <c r="F1129">
        <v>86.280631999999997</v>
      </c>
      <c r="G1129">
        <v>877600</v>
      </c>
    </row>
    <row r="1130" spans="1:7" x14ac:dyDescent="0.45">
      <c r="A1130" s="1">
        <v>41631</v>
      </c>
      <c r="B1130">
        <v>104.110001</v>
      </c>
      <c r="C1130">
        <v>104.120003</v>
      </c>
      <c r="D1130">
        <v>103.610001</v>
      </c>
      <c r="E1130">
        <v>103.660004</v>
      </c>
      <c r="F1130">
        <v>86.522675000000007</v>
      </c>
      <c r="G1130">
        <v>889200</v>
      </c>
    </row>
    <row r="1131" spans="1:7" x14ac:dyDescent="0.45">
      <c r="A1131" s="1">
        <v>41632</v>
      </c>
      <c r="B1131">
        <v>103.879997</v>
      </c>
      <c r="C1131">
        <v>104</v>
      </c>
      <c r="D1131">
        <v>103.529999</v>
      </c>
      <c r="E1131">
        <v>103.75</v>
      </c>
      <c r="F1131">
        <v>86.597801000000004</v>
      </c>
      <c r="G1131">
        <v>248800</v>
      </c>
    </row>
    <row r="1132" spans="1:7" x14ac:dyDescent="0.45">
      <c r="A1132" s="1">
        <v>41634</v>
      </c>
      <c r="B1132">
        <v>104.18</v>
      </c>
      <c r="C1132">
        <v>105.129997</v>
      </c>
      <c r="D1132">
        <v>103.91999800000001</v>
      </c>
      <c r="E1132">
        <v>105.05999799999999</v>
      </c>
      <c r="F1132">
        <v>87.691222999999994</v>
      </c>
      <c r="G1132">
        <v>605200</v>
      </c>
    </row>
    <row r="1133" spans="1:7" x14ac:dyDescent="0.45">
      <c r="A1133" s="1">
        <v>41635</v>
      </c>
      <c r="B1133">
        <v>106.08000199999999</v>
      </c>
      <c r="C1133">
        <v>106.599998</v>
      </c>
      <c r="D1133">
        <v>105.650002</v>
      </c>
      <c r="E1133">
        <v>106.040001</v>
      </c>
      <c r="F1133">
        <v>88.509224000000003</v>
      </c>
      <c r="G1133">
        <v>871500</v>
      </c>
    </row>
    <row r="1134" spans="1:7" x14ac:dyDescent="0.45">
      <c r="A1134" s="1">
        <v>41638</v>
      </c>
      <c r="B1134">
        <v>105.83000199999999</v>
      </c>
      <c r="C1134">
        <v>106.349998</v>
      </c>
      <c r="D1134">
        <v>104.80999799999999</v>
      </c>
      <c r="E1134">
        <v>105.360001</v>
      </c>
      <c r="F1134">
        <v>87.941642999999999</v>
      </c>
      <c r="G1134">
        <v>984100</v>
      </c>
    </row>
    <row r="1135" spans="1:7" x14ac:dyDescent="0.45">
      <c r="A1135" s="1">
        <v>41639</v>
      </c>
      <c r="B1135">
        <v>106.339996</v>
      </c>
      <c r="C1135">
        <v>106.83000199999999</v>
      </c>
      <c r="D1135">
        <v>105.83000199999999</v>
      </c>
      <c r="E1135">
        <v>106.459999</v>
      </c>
      <c r="F1135">
        <v>88.859779000000003</v>
      </c>
      <c r="G1135">
        <v>493100</v>
      </c>
    </row>
    <row r="1136" spans="1:7" x14ac:dyDescent="0.45">
      <c r="A1136" s="1">
        <v>41641</v>
      </c>
      <c r="B1136">
        <v>103.66999800000001</v>
      </c>
      <c r="C1136">
        <v>104.050003</v>
      </c>
      <c r="D1136">
        <v>102.889999</v>
      </c>
      <c r="E1136">
        <v>103.550003</v>
      </c>
      <c r="F1136">
        <v>86.430869999999999</v>
      </c>
      <c r="G1136">
        <v>1379700</v>
      </c>
    </row>
    <row r="1137" spans="1:7" x14ac:dyDescent="0.45">
      <c r="A1137" s="1">
        <v>41642</v>
      </c>
      <c r="B1137">
        <v>103.33000199999999</v>
      </c>
      <c r="C1137">
        <v>104.410004</v>
      </c>
      <c r="D1137">
        <v>103.25</v>
      </c>
      <c r="E1137">
        <v>103.739998</v>
      </c>
      <c r="F1137">
        <v>86.589455000000001</v>
      </c>
      <c r="G1137">
        <v>512200</v>
      </c>
    </row>
    <row r="1138" spans="1:7" x14ac:dyDescent="0.45">
      <c r="A1138" s="1">
        <v>41645</v>
      </c>
      <c r="B1138">
        <v>103.16999800000001</v>
      </c>
      <c r="C1138">
        <v>103.33000199999999</v>
      </c>
      <c r="D1138">
        <v>102.260002</v>
      </c>
      <c r="E1138">
        <v>102.540001</v>
      </c>
      <c r="F1138">
        <v>85.587845000000002</v>
      </c>
      <c r="G1138">
        <v>1805300</v>
      </c>
    </row>
    <row r="1139" spans="1:7" x14ac:dyDescent="0.45">
      <c r="A1139" s="1">
        <v>41646</v>
      </c>
      <c r="B1139">
        <v>103.769997</v>
      </c>
      <c r="C1139">
        <v>104.599998</v>
      </c>
      <c r="D1139">
        <v>103.739998</v>
      </c>
      <c r="E1139">
        <v>104.480003</v>
      </c>
      <c r="F1139">
        <v>87.207115000000002</v>
      </c>
      <c r="G1139">
        <v>1326600</v>
      </c>
    </row>
    <row r="1140" spans="1:7" x14ac:dyDescent="0.45">
      <c r="A1140" s="1">
        <v>41647</v>
      </c>
      <c r="B1140">
        <v>104.050003</v>
      </c>
      <c r="C1140">
        <v>105.010002</v>
      </c>
      <c r="D1140">
        <v>103.849998</v>
      </c>
      <c r="E1140">
        <v>104.93</v>
      </c>
      <c r="F1140">
        <v>87.582725999999994</v>
      </c>
      <c r="G1140">
        <v>965400</v>
      </c>
    </row>
    <row r="1141" spans="1:7" x14ac:dyDescent="0.45">
      <c r="A1141" s="1">
        <v>41648</v>
      </c>
      <c r="B1141">
        <v>105.55999799999999</v>
      </c>
      <c r="C1141">
        <v>105.870003</v>
      </c>
      <c r="D1141">
        <v>104.470001</v>
      </c>
      <c r="E1141">
        <v>104.93</v>
      </c>
      <c r="F1141">
        <v>87.582725999999994</v>
      </c>
      <c r="G1141">
        <v>1101400</v>
      </c>
    </row>
    <row r="1142" spans="1:7" x14ac:dyDescent="0.45">
      <c r="A1142" s="1">
        <v>41649</v>
      </c>
      <c r="B1142">
        <v>105.220001</v>
      </c>
      <c r="C1142">
        <v>105.290001</v>
      </c>
      <c r="D1142">
        <v>104.290001</v>
      </c>
      <c r="E1142">
        <v>105.199997</v>
      </c>
      <c r="F1142">
        <v>87.808075000000002</v>
      </c>
      <c r="G1142">
        <v>787900</v>
      </c>
    </row>
    <row r="1143" spans="1:7" x14ac:dyDescent="0.45">
      <c r="A1143" s="1">
        <v>41652</v>
      </c>
      <c r="B1143">
        <v>103.55999799999999</v>
      </c>
      <c r="C1143">
        <v>104.110001</v>
      </c>
      <c r="D1143">
        <v>102.360001</v>
      </c>
      <c r="E1143">
        <v>102.529999</v>
      </c>
      <c r="F1143">
        <v>85.579491000000004</v>
      </c>
      <c r="G1143">
        <v>1496500</v>
      </c>
    </row>
    <row r="1144" spans="1:7" x14ac:dyDescent="0.45">
      <c r="A1144" s="1">
        <v>41653</v>
      </c>
      <c r="B1144">
        <v>102.699997</v>
      </c>
      <c r="C1144">
        <v>103.30999799999999</v>
      </c>
      <c r="D1144">
        <v>102.470001</v>
      </c>
      <c r="E1144">
        <v>102.93</v>
      </c>
      <c r="F1144">
        <v>85.913368000000006</v>
      </c>
      <c r="G1144">
        <v>1488200</v>
      </c>
    </row>
    <row r="1145" spans="1:7" x14ac:dyDescent="0.45">
      <c r="A1145" s="1">
        <v>41654</v>
      </c>
      <c r="B1145">
        <v>101.970001</v>
      </c>
      <c r="C1145">
        <v>103.620003</v>
      </c>
      <c r="D1145">
        <v>101.75</v>
      </c>
      <c r="E1145">
        <v>103.110001</v>
      </c>
      <c r="F1145">
        <v>86.063614000000001</v>
      </c>
      <c r="G1145">
        <v>1541900</v>
      </c>
    </row>
    <row r="1146" spans="1:7" x14ac:dyDescent="0.45">
      <c r="A1146" s="1">
        <v>41655</v>
      </c>
      <c r="B1146">
        <v>103.550003</v>
      </c>
      <c r="C1146">
        <v>103.709999</v>
      </c>
      <c r="D1146">
        <v>102.699997</v>
      </c>
      <c r="E1146">
        <v>103.449997</v>
      </c>
      <c r="F1146">
        <v>86.347397000000001</v>
      </c>
      <c r="G1146">
        <v>911500</v>
      </c>
    </row>
    <row r="1147" spans="1:7" x14ac:dyDescent="0.45">
      <c r="A1147" s="1">
        <v>41656</v>
      </c>
      <c r="B1147">
        <v>102.050003</v>
      </c>
      <c r="C1147">
        <v>102.16999800000001</v>
      </c>
      <c r="D1147">
        <v>101.290001</v>
      </c>
      <c r="E1147">
        <v>101.470001</v>
      </c>
      <c r="F1147">
        <v>84.694739999999996</v>
      </c>
      <c r="G1147">
        <v>2721100</v>
      </c>
    </row>
    <row r="1148" spans="1:7" x14ac:dyDescent="0.45">
      <c r="A1148" s="1">
        <v>41660</v>
      </c>
      <c r="B1148">
        <v>104.57</v>
      </c>
      <c r="C1148">
        <v>104.629997</v>
      </c>
      <c r="D1148">
        <v>102.660004</v>
      </c>
      <c r="E1148">
        <v>103.75</v>
      </c>
      <c r="F1148">
        <v>86.597801000000004</v>
      </c>
      <c r="G1148">
        <v>1913500</v>
      </c>
    </row>
    <row r="1149" spans="1:7" x14ac:dyDescent="0.45">
      <c r="A1149" s="1">
        <v>41661</v>
      </c>
      <c r="B1149">
        <v>104.089996</v>
      </c>
      <c r="C1149">
        <v>104.30999799999999</v>
      </c>
      <c r="D1149">
        <v>103.540001</v>
      </c>
      <c r="E1149">
        <v>103.55999799999999</v>
      </c>
      <c r="F1149">
        <v>86.439209000000005</v>
      </c>
      <c r="G1149">
        <v>959100</v>
      </c>
    </row>
    <row r="1150" spans="1:7" x14ac:dyDescent="0.45">
      <c r="A1150" s="1">
        <v>41662</v>
      </c>
      <c r="B1150">
        <v>104.010002</v>
      </c>
      <c r="C1150">
        <v>104.050003</v>
      </c>
      <c r="D1150">
        <v>102.099998</v>
      </c>
      <c r="E1150">
        <v>102.41999800000001</v>
      </c>
      <c r="F1150">
        <v>85.487679</v>
      </c>
      <c r="G1150">
        <v>1492900</v>
      </c>
    </row>
    <row r="1151" spans="1:7" x14ac:dyDescent="0.45">
      <c r="A1151" s="1">
        <v>41663</v>
      </c>
      <c r="B1151">
        <v>100.18</v>
      </c>
      <c r="C1151">
        <v>100.25</v>
      </c>
      <c r="D1151">
        <v>98.010002</v>
      </c>
      <c r="E1151">
        <v>98.050003000000004</v>
      </c>
      <c r="F1151">
        <v>81.840148999999997</v>
      </c>
      <c r="G1151">
        <v>2788200</v>
      </c>
    </row>
    <row r="1152" spans="1:7" x14ac:dyDescent="0.45">
      <c r="A1152" s="1">
        <v>41666</v>
      </c>
      <c r="B1152">
        <v>99.209998999999996</v>
      </c>
      <c r="C1152">
        <v>99.260002</v>
      </c>
      <c r="D1152">
        <v>98.150002000000001</v>
      </c>
      <c r="E1152">
        <v>98.230002999999996</v>
      </c>
      <c r="F1152">
        <v>81.990395000000007</v>
      </c>
      <c r="G1152">
        <v>1499600</v>
      </c>
    </row>
    <row r="1153" spans="1:7" x14ac:dyDescent="0.45">
      <c r="A1153" s="1">
        <v>41667</v>
      </c>
      <c r="B1153">
        <v>98.690002000000007</v>
      </c>
      <c r="C1153">
        <v>98.860000999999997</v>
      </c>
      <c r="D1153">
        <v>98.169998000000007</v>
      </c>
      <c r="E1153">
        <v>98.580001999999993</v>
      </c>
      <c r="F1153">
        <v>82.282523999999995</v>
      </c>
      <c r="G1153">
        <v>1795500</v>
      </c>
    </row>
    <row r="1154" spans="1:7" x14ac:dyDescent="0.45">
      <c r="A1154" s="1">
        <v>41668</v>
      </c>
      <c r="B1154">
        <v>97.620002999999997</v>
      </c>
      <c r="C1154">
        <v>98.019997000000004</v>
      </c>
      <c r="D1154">
        <v>96.650002000000001</v>
      </c>
      <c r="E1154">
        <v>96.720000999999996</v>
      </c>
      <c r="F1154">
        <v>80.730018999999999</v>
      </c>
      <c r="G1154">
        <v>2718000</v>
      </c>
    </row>
    <row r="1155" spans="1:7" x14ac:dyDescent="0.45">
      <c r="A1155" s="1">
        <v>41669</v>
      </c>
      <c r="B1155">
        <v>96.510002</v>
      </c>
      <c r="C1155">
        <v>97</v>
      </c>
      <c r="D1155">
        <v>95.900002000000001</v>
      </c>
      <c r="E1155">
        <v>96.589995999999999</v>
      </c>
      <c r="F1155">
        <v>80.621505999999997</v>
      </c>
      <c r="G1155">
        <v>1516200</v>
      </c>
    </row>
    <row r="1156" spans="1:7" x14ac:dyDescent="0.45">
      <c r="A1156" s="1">
        <v>41670</v>
      </c>
      <c r="B1156">
        <v>94.309997999999993</v>
      </c>
      <c r="C1156">
        <v>96.389999000000003</v>
      </c>
      <c r="D1156">
        <v>94.169998000000007</v>
      </c>
      <c r="E1156">
        <v>95.889999000000003</v>
      </c>
      <c r="F1156">
        <v>80.037231000000006</v>
      </c>
      <c r="G1156">
        <v>2385900</v>
      </c>
    </row>
    <row r="1157" spans="1:7" x14ac:dyDescent="0.45">
      <c r="A1157" s="1">
        <v>41673</v>
      </c>
      <c r="B1157">
        <v>95.510002</v>
      </c>
      <c r="C1157">
        <v>95.82</v>
      </c>
      <c r="D1157">
        <v>94.089995999999999</v>
      </c>
      <c r="E1157">
        <v>94.309997999999993</v>
      </c>
      <c r="F1157">
        <v>78.718451999999999</v>
      </c>
      <c r="G1157">
        <v>3157300</v>
      </c>
    </row>
    <row r="1158" spans="1:7" x14ac:dyDescent="0.45">
      <c r="A1158" s="1">
        <v>41674</v>
      </c>
      <c r="B1158">
        <v>93.800003000000004</v>
      </c>
      <c r="C1158">
        <v>94.739998</v>
      </c>
      <c r="D1158">
        <v>93.720000999999996</v>
      </c>
      <c r="E1158">
        <v>94.260002</v>
      </c>
      <c r="F1158">
        <v>78.676720000000003</v>
      </c>
      <c r="G1158">
        <v>2712500</v>
      </c>
    </row>
    <row r="1159" spans="1:7" x14ac:dyDescent="0.45">
      <c r="A1159" s="1">
        <v>41675</v>
      </c>
      <c r="B1159">
        <v>93.919998000000007</v>
      </c>
      <c r="C1159">
        <v>94.43</v>
      </c>
      <c r="D1159">
        <v>93.849997999999999</v>
      </c>
      <c r="E1159">
        <v>94.169998000000007</v>
      </c>
      <c r="F1159">
        <v>78.601601000000002</v>
      </c>
      <c r="G1159">
        <v>1716100</v>
      </c>
    </row>
    <row r="1160" spans="1:7" x14ac:dyDescent="0.45">
      <c r="A1160" s="1">
        <v>41676</v>
      </c>
      <c r="B1160">
        <v>95.339995999999999</v>
      </c>
      <c r="C1160">
        <v>96.400002000000001</v>
      </c>
      <c r="D1160">
        <v>95.239998</v>
      </c>
      <c r="E1160">
        <v>96.269997000000004</v>
      </c>
      <c r="F1160">
        <v>80.354423999999995</v>
      </c>
      <c r="G1160">
        <v>1266200</v>
      </c>
    </row>
    <row r="1161" spans="1:7" x14ac:dyDescent="0.45">
      <c r="A1161" s="1">
        <v>41677</v>
      </c>
      <c r="B1161">
        <v>97.449996999999996</v>
      </c>
      <c r="C1161">
        <v>97.550003000000004</v>
      </c>
      <c r="D1161">
        <v>96.919998000000007</v>
      </c>
      <c r="E1161">
        <v>97.410004000000001</v>
      </c>
      <c r="F1161">
        <v>81.305946000000006</v>
      </c>
      <c r="G1161">
        <v>1337400</v>
      </c>
    </row>
    <row r="1162" spans="1:7" x14ac:dyDescent="0.45">
      <c r="A1162" s="1">
        <v>41680</v>
      </c>
      <c r="B1162">
        <v>97.93</v>
      </c>
      <c r="C1162">
        <v>98</v>
      </c>
      <c r="D1162">
        <v>97.18</v>
      </c>
      <c r="E1162">
        <v>97.550003000000004</v>
      </c>
      <c r="F1162">
        <v>81.422805999999994</v>
      </c>
      <c r="G1162">
        <v>991700</v>
      </c>
    </row>
    <row r="1163" spans="1:7" x14ac:dyDescent="0.45">
      <c r="A1163" s="1">
        <v>41681</v>
      </c>
      <c r="B1163">
        <v>98.650002000000001</v>
      </c>
      <c r="C1163">
        <v>99.730002999999996</v>
      </c>
      <c r="D1163">
        <v>98.5</v>
      </c>
      <c r="E1163">
        <v>99.57</v>
      </c>
      <c r="F1163">
        <v>83.108849000000006</v>
      </c>
      <c r="G1163">
        <v>1570200</v>
      </c>
    </row>
    <row r="1164" spans="1:7" x14ac:dyDescent="0.45">
      <c r="A1164" s="1">
        <v>41682</v>
      </c>
      <c r="B1164">
        <v>99.910004000000001</v>
      </c>
      <c r="C1164">
        <v>100.07</v>
      </c>
      <c r="D1164">
        <v>99.529999000000004</v>
      </c>
      <c r="E1164">
        <v>99.68</v>
      </c>
      <c r="F1164">
        <v>83.200660999999997</v>
      </c>
      <c r="G1164">
        <v>1126700</v>
      </c>
    </row>
    <row r="1165" spans="1:7" x14ac:dyDescent="0.45">
      <c r="A1165" s="1">
        <v>41683</v>
      </c>
      <c r="B1165">
        <v>99.209998999999996</v>
      </c>
      <c r="C1165">
        <v>100.279999</v>
      </c>
      <c r="D1165">
        <v>99.040001000000004</v>
      </c>
      <c r="E1165">
        <v>100.25</v>
      </c>
      <c r="F1165">
        <v>83.676437000000007</v>
      </c>
      <c r="G1165">
        <v>765500</v>
      </c>
    </row>
    <row r="1166" spans="1:7" x14ac:dyDescent="0.45">
      <c r="A1166" s="1">
        <v>41684</v>
      </c>
      <c r="B1166">
        <v>100.290001</v>
      </c>
      <c r="C1166">
        <v>101.800003</v>
      </c>
      <c r="D1166">
        <v>100.18</v>
      </c>
      <c r="E1166">
        <v>101.610001</v>
      </c>
      <c r="F1166">
        <v>84.811606999999995</v>
      </c>
      <c r="G1166">
        <v>1214200</v>
      </c>
    </row>
    <row r="1167" spans="1:7" x14ac:dyDescent="0.45">
      <c r="A1167" s="1">
        <v>41688</v>
      </c>
      <c r="B1167">
        <v>101.769997</v>
      </c>
      <c r="C1167">
        <v>101.93</v>
      </c>
      <c r="D1167">
        <v>100.550003</v>
      </c>
      <c r="E1167">
        <v>100.82</v>
      </c>
      <c r="F1167">
        <v>84.152191000000002</v>
      </c>
      <c r="G1167">
        <v>1333900</v>
      </c>
    </row>
    <row r="1168" spans="1:7" x14ac:dyDescent="0.45">
      <c r="A1168" s="1">
        <v>41689</v>
      </c>
      <c r="B1168">
        <v>101.349998</v>
      </c>
      <c r="C1168">
        <v>102.019997</v>
      </c>
      <c r="D1168">
        <v>101.089996</v>
      </c>
      <c r="E1168">
        <v>101.360001</v>
      </c>
      <c r="F1168">
        <v>84.602936</v>
      </c>
      <c r="G1168">
        <v>919900</v>
      </c>
    </row>
    <row r="1169" spans="1:7" x14ac:dyDescent="0.45">
      <c r="A1169" s="1">
        <v>41690</v>
      </c>
      <c r="B1169">
        <v>101.410004</v>
      </c>
      <c r="C1169">
        <v>101.68</v>
      </c>
      <c r="D1169">
        <v>100.889999</v>
      </c>
      <c r="E1169">
        <v>101.33000199999999</v>
      </c>
      <c r="F1169">
        <v>84.577888000000002</v>
      </c>
      <c r="G1169">
        <v>824300</v>
      </c>
    </row>
    <row r="1170" spans="1:7" x14ac:dyDescent="0.45">
      <c r="A1170" s="1">
        <v>41691</v>
      </c>
      <c r="B1170">
        <v>101.5</v>
      </c>
      <c r="C1170">
        <v>101.83000199999999</v>
      </c>
      <c r="D1170">
        <v>101.269997</v>
      </c>
      <c r="E1170">
        <v>101.480003</v>
      </c>
      <c r="F1170">
        <v>84.703102000000001</v>
      </c>
      <c r="G1170">
        <v>958700</v>
      </c>
    </row>
    <row r="1171" spans="1:7" x14ac:dyDescent="0.45">
      <c r="A1171" s="1">
        <v>41694</v>
      </c>
      <c r="B1171">
        <v>102.110001</v>
      </c>
      <c r="C1171">
        <v>103.260002</v>
      </c>
      <c r="D1171">
        <v>102.050003</v>
      </c>
      <c r="E1171">
        <v>103.150002</v>
      </c>
      <c r="F1171">
        <v>86.097008000000002</v>
      </c>
      <c r="G1171">
        <v>2210200</v>
      </c>
    </row>
    <row r="1172" spans="1:7" x14ac:dyDescent="0.45">
      <c r="A1172" s="1">
        <v>41695</v>
      </c>
      <c r="B1172">
        <v>102.300003</v>
      </c>
      <c r="C1172">
        <v>102.610001</v>
      </c>
      <c r="D1172">
        <v>101.519997</v>
      </c>
      <c r="E1172">
        <v>102.16999800000001</v>
      </c>
      <c r="F1172">
        <v>85.279015000000001</v>
      </c>
      <c r="G1172">
        <v>2018100</v>
      </c>
    </row>
    <row r="1173" spans="1:7" x14ac:dyDescent="0.45">
      <c r="A1173" s="1">
        <v>41696</v>
      </c>
      <c r="B1173">
        <v>102.93</v>
      </c>
      <c r="C1173">
        <v>104.75</v>
      </c>
      <c r="D1173">
        <v>102.870003</v>
      </c>
      <c r="E1173">
        <v>103.75</v>
      </c>
      <c r="F1173">
        <v>86.597801000000004</v>
      </c>
      <c r="G1173">
        <v>2934000</v>
      </c>
    </row>
    <row r="1174" spans="1:7" x14ac:dyDescent="0.45">
      <c r="A1174" s="1">
        <v>41697</v>
      </c>
      <c r="B1174">
        <v>104.019997</v>
      </c>
      <c r="C1174">
        <v>104.16999800000001</v>
      </c>
      <c r="D1174">
        <v>103.349998</v>
      </c>
      <c r="E1174">
        <v>103.989998</v>
      </c>
      <c r="F1174">
        <v>86.798125999999996</v>
      </c>
      <c r="G1174">
        <v>851300</v>
      </c>
    </row>
    <row r="1175" spans="1:7" x14ac:dyDescent="0.45">
      <c r="A1175" s="1">
        <v>41698</v>
      </c>
      <c r="B1175">
        <v>104.529999</v>
      </c>
      <c r="C1175">
        <v>105.519997</v>
      </c>
      <c r="D1175">
        <v>104.260002</v>
      </c>
      <c r="E1175">
        <v>104.610001</v>
      </c>
      <c r="F1175">
        <v>87.315635999999998</v>
      </c>
      <c r="G1175">
        <v>1565200</v>
      </c>
    </row>
    <row r="1176" spans="1:7" x14ac:dyDescent="0.45">
      <c r="A1176" s="1">
        <v>41701</v>
      </c>
      <c r="B1176">
        <v>102.290001</v>
      </c>
      <c r="C1176">
        <v>103.029999</v>
      </c>
      <c r="D1176">
        <v>101.849998</v>
      </c>
      <c r="E1176">
        <v>102.120003</v>
      </c>
      <c r="F1176">
        <v>85.237281999999993</v>
      </c>
      <c r="G1176">
        <v>1901500</v>
      </c>
    </row>
    <row r="1177" spans="1:7" x14ac:dyDescent="0.45">
      <c r="A1177" s="1">
        <v>41702</v>
      </c>
      <c r="B1177">
        <v>104.25</v>
      </c>
      <c r="C1177">
        <v>104.279999</v>
      </c>
      <c r="D1177">
        <v>103.5</v>
      </c>
      <c r="E1177">
        <v>103.760002</v>
      </c>
      <c r="F1177">
        <v>86.606155000000001</v>
      </c>
      <c r="G1177">
        <v>792000</v>
      </c>
    </row>
    <row r="1178" spans="1:7" x14ac:dyDescent="0.45">
      <c r="A1178" s="1">
        <v>41703</v>
      </c>
      <c r="B1178">
        <v>103.040001</v>
      </c>
      <c r="C1178">
        <v>103.66999800000001</v>
      </c>
      <c r="D1178">
        <v>102.91999800000001</v>
      </c>
      <c r="E1178">
        <v>103.5</v>
      </c>
      <c r="F1178">
        <v>86.389137000000005</v>
      </c>
      <c r="G1178">
        <v>1183600</v>
      </c>
    </row>
    <row r="1179" spans="1:7" x14ac:dyDescent="0.45">
      <c r="A1179" s="1">
        <v>41704</v>
      </c>
      <c r="B1179">
        <v>103.57</v>
      </c>
      <c r="C1179">
        <v>104.83000199999999</v>
      </c>
      <c r="D1179">
        <v>103.540001</v>
      </c>
      <c r="E1179">
        <v>104.510002</v>
      </c>
      <c r="F1179">
        <v>87.232146999999998</v>
      </c>
      <c r="G1179">
        <v>1001500</v>
      </c>
    </row>
    <row r="1180" spans="1:7" x14ac:dyDescent="0.45">
      <c r="A1180" s="1">
        <v>41705</v>
      </c>
      <c r="B1180">
        <v>103.550003</v>
      </c>
      <c r="C1180">
        <v>104.16999800000001</v>
      </c>
      <c r="D1180">
        <v>102.82</v>
      </c>
      <c r="E1180">
        <v>103.389999</v>
      </c>
      <c r="F1180">
        <v>86.297318000000004</v>
      </c>
      <c r="G1180">
        <v>1064100</v>
      </c>
    </row>
    <row r="1181" spans="1:7" x14ac:dyDescent="0.45">
      <c r="A1181" s="1">
        <v>41708</v>
      </c>
      <c r="B1181">
        <v>102.889999</v>
      </c>
      <c r="C1181">
        <v>103.379997</v>
      </c>
      <c r="D1181">
        <v>102.470001</v>
      </c>
      <c r="E1181">
        <v>103.269997</v>
      </c>
      <c r="F1181">
        <v>86.197158999999999</v>
      </c>
      <c r="G1181">
        <v>647000</v>
      </c>
    </row>
    <row r="1182" spans="1:7" x14ac:dyDescent="0.45">
      <c r="A1182" s="1">
        <v>41709</v>
      </c>
      <c r="B1182">
        <v>103.300003</v>
      </c>
      <c r="C1182">
        <v>103.860001</v>
      </c>
      <c r="D1182">
        <v>102.989998</v>
      </c>
      <c r="E1182">
        <v>103.07</v>
      </c>
      <c r="F1182">
        <v>86.030227999999994</v>
      </c>
      <c r="G1182">
        <v>757300</v>
      </c>
    </row>
    <row r="1183" spans="1:7" x14ac:dyDescent="0.45">
      <c r="A1183" s="1">
        <v>41710</v>
      </c>
      <c r="B1183">
        <v>101.25</v>
      </c>
      <c r="C1183">
        <v>102.379997</v>
      </c>
      <c r="D1183">
        <v>101.160004</v>
      </c>
      <c r="E1183">
        <v>102.160004</v>
      </c>
      <c r="F1183">
        <v>85.270668000000001</v>
      </c>
      <c r="G1183">
        <v>1375300</v>
      </c>
    </row>
    <row r="1184" spans="1:7" x14ac:dyDescent="0.45">
      <c r="A1184" s="1">
        <v>41711</v>
      </c>
      <c r="B1184">
        <v>102.489998</v>
      </c>
      <c r="C1184">
        <v>103.709999</v>
      </c>
      <c r="D1184">
        <v>100.400002</v>
      </c>
      <c r="E1184">
        <v>100.760002</v>
      </c>
      <c r="F1184">
        <v>84.102126999999996</v>
      </c>
      <c r="G1184">
        <v>2096600</v>
      </c>
    </row>
    <row r="1185" spans="1:7" x14ac:dyDescent="0.45">
      <c r="A1185" s="1">
        <v>41712</v>
      </c>
      <c r="B1185">
        <v>100.230003</v>
      </c>
      <c r="C1185">
        <v>100.75</v>
      </c>
      <c r="D1185">
        <v>99.699996999999996</v>
      </c>
      <c r="E1185">
        <v>99.800003000000004</v>
      </c>
      <c r="F1185">
        <v>83.300835000000006</v>
      </c>
      <c r="G1185">
        <v>1528600</v>
      </c>
    </row>
    <row r="1186" spans="1:7" x14ac:dyDescent="0.45">
      <c r="A1186" s="1">
        <v>41715</v>
      </c>
      <c r="B1186">
        <v>100.019997</v>
      </c>
      <c r="C1186">
        <v>100.970001</v>
      </c>
      <c r="D1186">
        <v>99.959998999999996</v>
      </c>
      <c r="E1186">
        <v>100.529999</v>
      </c>
      <c r="F1186">
        <v>83.910133000000002</v>
      </c>
      <c r="G1186">
        <v>1360700</v>
      </c>
    </row>
    <row r="1187" spans="1:7" x14ac:dyDescent="0.45">
      <c r="A1187" s="1">
        <v>41716</v>
      </c>
      <c r="B1187">
        <v>100.75</v>
      </c>
      <c r="C1187">
        <v>102.050003</v>
      </c>
      <c r="D1187">
        <v>100.75</v>
      </c>
      <c r="E1187">
        <v>101.900002</v>
      </c>
      <c r="F1187">
        <v>85.053650000000005</v>
      </c>
      <c r="G1187">
        <v>1621700</v>
      </c>
    </row>
    <row r="1188" spans="1:7" x14ac:dyDescent="0.45">
      <c r="A1188" s="1">
        <v>41717</v>
      </c>
      <c r="B1188">
        <v>100.480003</v>
      </c>
      <c r="C1188">
        <v>101.260002</v>
      </c>
      <c r="D1188">
        <v>99.589995999999999</v>
      </c>
      <c r="E1188">
        <v>100.07</v>
      </c>
      <c r="F1188">
        <v>83.526206999999999</v>
      </c>
      <c r="G1188">
        <v>1601100</v>
      </c>
    </row>
    <row r="1189" spans="1:7" x14ac:dyDescent="0.45">
      <c r="A1189" s="1">
        <v>41718</v>
      </c>
      <c r="B1189">
        <v>99.660004000000001</v>
      </c>
      <c r="C1189">
        <v>100.730003</v>
      </c>
      <c r="D1189">
        <v>99.400002000000001</v>
      </c>
      <c r="E1189">
        <v>100.529999</v>
      </c>
      <c r="F1189">
        <v>83.910133000000002</v>
      </c>
      <c r="G1189">
        <v>886800</v>
      </c>
    </row>
    <row r="1190" spans="1:7" x14ac:dyDescent="0.45">
      <c r="A1190" s="1">
        <v>41719</v>
      </c>
      <c r="B1190">
        <v>101.05999799999999</v>
      </c>
      <c r="C1190">
        <v>102.25</v>
      </c>
      <c r="D1190">
        <v>100.989998</v>
      </c>
      <c r="E1190">
        <v>101.94000200000001</v>
      </c>
      <c r="F1190">
        <v>85.087035999999998</v>
      </c>
      <c r="G1190">
        <v>1157100</v>
      </c>
    </row>
    <row r="1191" spans="1:7" x14ac:dyDescent="0.45">
      <c r="A1191" s="1">
        <v>41722</v>
      </c>
      <c r="B1191">
        <v>101.260002</v>
      </c>
      <c r="C1191">
        <v>101.980003</v>
      </c>
      <c r="D1191">
        <v>101</v>
      </c>
      <c r="E1191">
        <v>101.5</v>
      </c>
      <c r="F1191">
        <v>84.71978</v>
      </c>
      <c r="G1191">
        <v>881900</v>
      </c>
    </row>
    <row r="1192" spans="1:7" x14ac:dyDescent="0.45">
      <c r="A1192" s="1">
        <v>41723</v>
      </c>
      <c r="B1192">
        <v>102.449997</v>
      </c>
      <c r="C1192">
        <v>103.260002</v>
      </c>
      <c r="D1192">
        <v>102.139999</v>
      </c>
      <c r="E1192">
        <v>102.91999800000001</v>
      </c>
      <c r="F1192">
        <v>85.905022000000002</v>
      </c>
      <c r="G1192">
        <v>728600</v>
      </c>
    </row>
    <row r="1193" spans="1:7" x14ac:dyDescent="0.45">
      <c r="A1193" s="1">
        <v>41724</v>
      </c>
      <c r="B1193">
        <v>103.339996</v>
      </c>
      <c r="C1193">
        <v>104.260002</v>
      </c>
      <c r="D1193">
        <v>103.07</v>
      </c>
      <c r="E1193">
        <v>103.07</v>
      </c>
      <c r="F1193">
        <v>86.030227999999994</v>
      </c>
      <c r="G1193">
        <v>841000</v>
      </c>
    </row>
    <row r="1194" spans="1:7" x14ac:dyDescent="0.45">
      <c r="A1194" s="1">
        <v>41725</v>
      </c>
      <c r="B1194">
        <v>104.230003</v>
      </c>
      <c r="C1194">
        <v>104.510002</v>
      </c>
      <c r="D1194">
        <v>103.900002</v>
      </c>
      <c r="E1194">
        <v>104.25</v>
      </c>
      <c r="F1194">
        <v>87.015144000000006</v>
      </c>
      <c r="G1194">
        <v>1033400</v>
      </c>
    </row>
    <row r="1195" spans="1:7" x14ac:dyDescent="0.45">
      <c r="A1195" s="1">
        <v>41726</v>
      </c>
      <c r="B1195">
        <v>105.760002</v>
      </c>
      <c r="C1195">
        <v>106.360001</v>
      </c>
      <c r="D1195">
        <v>105.44000200000001</v>
      </c>
      <c r="E1195">
        <v>105.80999799999999</v>
      </c>
      <c r="F1195">
        <v>88.317238000000003</v>
      </c>
      <c r="G1195">
        <v>1203500</v>
      </c>
    </row>
    <row r="1196" spans="1:7" x14ac:dyDescent="0.45">
      <c r="A1196" s="1">
        <v>41729</v>
      </c>
      <c r="B1196">
        <v>106.099998</v>
      </c>
      <c r="C1196">
        <v>106.16999800000001</v>
      </c>
      <c r="D1196">
        <v>104.730003</v>
      </c>
      <c r="E1196">
        <v>105.300003</v>
      </c>
      <c r="F1196">
        <v>87.891548</v>
      </c>
      <c r="G1196">
        <v>1349000</v>
      </c>
    </row>
    <row r="1197" spans="1:7" x14ac:dyDescent="0.45">
      <c r="A1197" s="1">
        <v>41730</v>
      </c>
      <c r="B1197">
        <v>105.900002</v>
      </c>
      <c r="C1197">
        <v>106.68</v>
      </c>
      <c r="D1197">
        <v>105.82</v>
      </c>
      <c r="E1197">
        <v>106.589996</v>
      </c>
      <c r="F1197">
        <v>88.968269000000006</v>
      </c>
      <c r="G1197">
        <v>1297800</v>
      </c>
    </row>
    <row r="1198" spans="1:7" x14ac:dyDescent="0.45">
      <c r="A1198" s="1">
        <v>41731</v>
      </c>
      <c r="B1198">
        <v>106.790001</v>
      </c>
      <c r="C1198">
        <v>107.269997</v>
      </c>
      <c r="D1198">
        <v>106.629997</v>
      </c>
      <c r="E1198">
        <v>106.94000200000001</v>
      </c>
      <c r="F1198">
        <v>89.260436999999996</v>
      </c>
      <c r="G1198">
        <v>651900</v>
      </c>
    </row>
    <row r="1199" spans="1:7" x14ac:dyDescent="0.45">
      <c r="A1199" s="1">
        <v>41732</v>
      </c>
      <c r="B1199">
        <v>107.040001</v>
      </c>
      <c r="C1199">
        <v>107.269997</v>
      </c>
      <c r="D1199">
        <v>106.68</v>
      </c>
      <c r="E1199">
        <v>107.07</v>
      </c>
      <c r="F1199">
        <v>89.368942000000004</v>
      </c>
      <c r="G1199">
        <v>1225100</v>
      </c>
    </row>
    <row r="1200" spans="1:7" x14ac:dyDescent="0.45">
      <c r="A1200" s="1">
        <v>41733</v>
      </c>
      <c r="B1200">
        <v>106.790001</v>
      </c>
      <c r="C1200">
        <v>107.459999</v>
      </c>
      <c r="D1200">
        <v>106.230003</v>
      </c>
      <c r="E1200">
        <v>106.629997</v>
      </c>
      <c r="F1200">
        <v>89.001671000000002</v>
      </c>
      <c r="G1200">
        <v>1365200</v>
      </c>
    </row>
    <row r="1201" spans="1:7" x14ac:dyDescent="0.45">
      <c r="A1201" s="1">
        <v>41736</v>
      </c>
      <c r="B1201">
        <v>107.019997</v>
      </c>
      <c r="C1201">
        <v>107.099998</v>
      </c>
      <c r="D1201">
        <v>105.290001</v>
      </c>
      <c r="E1201">
        <v>105.699997</v>
      </c>
      <c r="F1201">
        <v>88.225425999999999</v>
      </c>
      <c r="G1201">
        <v>2462100</v>
      </c>
    </row>
    <row r="1202" spans="1:7" x14ac:dyDescent="0.45">
      <c r="A1202" s="1">
        <v>41737</v>
      </c>
      <c r="B1202">
        <v>105.720001</v>
      </c>
      <c r="C1202">
        <v>106.410004</v>
      </c>
      <c r="D1202">
        <v>105.370003</v>
      </c>
      <c r="E1202">
        <v>106.089996</v>
      </c>
      <c r="F1202">
        <v>88.550949000000003</v>
      </c>
      <c r="G1202">
        <v>1779800</v>
      </c>
    </row>
    <row r="1203" spans="1:7" x14ac:dyDescent="0.45">
      <c r="A1203" s="1">
        <v>41738</v>
      </c>
      <c r="B1203">
        <v>107.610001</v>
      </c>
      <c r="C1203">
        <v>107.660004</v>
      </c>
      <c r="D1203">
        <v>106.41999800000001</v>
      </c>
      <c r="E1203">
        <v>107.57</v>
      </c>
      <c r="F1203">
        <v>89.786277999999996</v>
      </c>
      <c r="G1203">
        <v>1267000</v>
      </c>
    </row>
    <row r="1204" spans="1:7" x14ac:dyDescent="0.45">
      <c r="A1204" s="1">
        <v>41739</v>
      </c>
      <c r="B1204">
        <v>107.800003</v>
      </c>
      <c r="C1204">
        <v>107.839996</v>
      </c>
      <c r="D1204">
        <v>105.529999</v>
      </c>
      <c r="E1204">
        <v>105.529999</v>
      </c>
      <c r="F1204">
        <v>88.083527000000004</v>
      </c>
      <c r="G1204">
        <v>1062700</v>
      </c>
    </row>
    <row r="1205" spans="1:7" x14ac:dyDescent="0.45">
      <c r="A1205" s="1">
        <v>41740</v>
      </c>
      <c r="B1205">
        <v>105.69000200000001</v>
      </c>
      <c r="C1205">
        <v>106.05999799999999</v>
      </c>
      <c r="D1205">
        <v>105.510002</v>
      </c>
      <c r="E1205">
        <v>105.599998</v>
      </c>
      <c r="F1205">
        <v>88.141959999999997</v>
      </c>
      <c r="G1205">
        <v>1099700</v>
      </c>
    </row>
    <row r="1206" spans="1:7" x14ac:dyDescent="0.45">
      <c r="A1206" s="1">
        <v>41743</v>
      </c>
      <c r="B1206">
        <v>107.629997</v>
      </c>
      <c r="C1206">
        <v>108.339996</v>
      </c>
      <c r="D1206">
        <v>107.129997</v>
      </c>
      <c r="E1206">
        <v>108.230003</v>
      </c>
      <c r="F1206">
        <v>90.337165999999996</v>
      </c>
      <c r="G1206">
        <v>1717000</v>
      </c>
    </row>
    <row r="1207" spans="1:7" x14ac:dyDescent="0.45">
      <c r="A1207" s="1">
        <v>41744</v>
      </c>
      <c r="B1207">
        <v>108.18</v>
      </c>
      <c r="C1207">
        <v>108.260002</v>
      </c>
      <c r="D1207">
        <v>106.860001</v>
      </c>
      <c r="E1207">
        <v>108.230003</v>
      </c>
      <c r="F1207">
        <v>90.337165999999996</v>
      </c>
      <c r="G1207">
        <v>2029600</v>
      </c>
    </row>
    <row r="1208" spans="1:7" x14ac:dyDescent="0.45">
      <c r="A1208" s="1">
        <v>41745</v>
      </c>
      <c r="B1208">
        <v>109.040001</v>
      </c>
      <c r="C1208">
        <v>109.25</v>
      </c>
      <c r="D1208">
        <v>108.510002</v>
      </c>
      <c r="E1208">
        <v>108.959999</v>
      </c>
      <c r="F1208">
        <v>90.946479999999994</v>
      </c>
      <c r="G1208">
        <v>1038600</v>
      </c>
    </row>
    <row r="1209" spans="1:7" x14ac:dyDescent="0.45">
      <c r="A1209" s="1">
        <v>41746</v>
      </c>
      <c r="B1209">
        <v>108.57</v>
      </c>
      <c r="C1209">
        <v>109.410004</v>
      </c>
      <c r="D1209">
        <v>108.370003</v>
      </c>
      <c r="E1209">
        <v>109.199997</v>
      </c>
      <c r="F1209">
        <v>91.146789999999996</v>
      </c>
      <c r="G1209">
        <v>970700</v>
      </c>
    </row>
    <row r="1210" spans="1:7" x14ac:dyDescent="0.45">
      <c r="A1210" s="1">
        <v>41750</v>
      </c>
      <c r="B1210">
        <v>109.209999</v>
      </c>
      <c r="C1210">
        <v>109.379997</v>
      </c>
      <c r="D1210">
        <v>108.629997</v>
      </c>
      <c r="E1210">
        <v>108.910004</v>
      </c>
      <c r="F1210">
        <v>90.904731999999996</v>
      </c>
      <c r="G1210">
        <v>521800</v>
      </c>
    </row>
    <row r="1211" spans="1:7" x14ac:dyDescent="0.45">
      <c r="A1211" s="1">
        <v>41751</v>
      </c>
      <c r="B1211">
        <v>109.779999</v>
      </c>
      <c r="C1211">
        <v>109.790001</v>
      </c>
      <c r="D1211">
        <v>109.19000200000001</v>
      </c>
      <c r="E1211">
        <v>109.720001</v>
      </c>
      <c r="F1211">
        <v>91.580817999999994</v>
      </c>
      <c r="G1211">
        <v>547700</v>
      </c>
    </row>
    <row r="1212" spans="1:7" x14ac:dyDescent="0.45">
      <c r="A1212" s="1">
        <v>41752</v>
      </c>
      <c r="B1212">
        <v>108.989998</v>
      </c>
      <c r="C1212">
        <v>109.040001</v>
      </c>
      <c r="D1212">
        <v>108.160004</v>
      </c>
      <c r="E1212">
        <v>108.400002</v>
      </c>
      <c r="F1212">
        <v>90.479056999999997</v>
      </c>
      <c r="G1212">
        <v>736900</v>
      </c>
    </row>
    <row r="1213" spans="1:7" x14ac:dyDescent="0.45">
      <c r="A1213" s="1">
        <v>41753</v>
      </c>
      <c r="B1213">
        <v>108.889999</v>
      </c>
      <c r="C1213">
        <v>109.400002</v>
      </c>
      <c r="D1213">
        <v>108.33000199999999</v>
      </c>
      <c r="E1213">
        <v>109.139999</v>
      </c>
      <c r="F1213">
        <v>91.096717999999996</v>
      </c>
      <c r="G1213">
        <v>793300</v>
      </c>
    </row>
    <row r="1214" spans="1:7" x14ac:dyDescent="0.45">
      <c r="A1214" s="1">
        <v>41754</v>
      </c>
      <c r="B1214">
        <v>109.370003</v>
      </c>
      <c r="C1214">
        <v>109.69000200000001</v>
      </c>
      <c r="D1214">
        <v>108.279999</v>
      </c>
      <c r="E1214">
        <v>109.099998</v>
      </c>
      <c r="F1214">
        <v>91.063323999999994</v>
      </c>
      <c r="G1214">
        <v>789500</v>
      </c>
    </row>
    <row r="1215" spans="1:7" x14ac:dyDescent="0.45">
      <c r="A1215" s="1">
        <v>41757</v>
      </c>
      <c r="B1215">
        <v>110.160004</v>
      </c>
      <c r="C1215">
        <v>110.75</v>
      </c>
      <c r="D1215">
        <v>109.69000200000001</v>
      </c>
      <c r="E1215">
        <v>110.19000200000001</v>
      </c>
      <c r="F1215">
        <v>91.973129</v>
      </c>
      <c r="G1215">
        <v>1594200</v>
      </c>
    </row>
    <row r="1216" spans="1:7" x14ac:dyDescent="0.45">
      <c r="A1216" s="1">
        <v>41758</v>
      </c>
      <c r="B1216">
        <v>111.040001</v>
      </c>
      <c r="C1216">
        <v>111.379997</v>
      </c>
      <c r="D1216">
        <v>110.730003</v>
      </c>
      <c r="E1216">
        <v>111.099998</v>
      </c>
      <c r="F1216">
        <v>92.732674000000003</v>
      </c>
      <c r="G1216">
        <v>1719700</v>
      </c>
    </row>
    <row r="1217" spans="1:7" x14ac:dyDescent="0.45">
      <c r="A1217" s="1">
        <v>41759</v>
      </c>
      <c r="B1217">
        <v>108.220001</v>
      </c>
      <c r="C1217">
        <v>108.239998</v>
      </c>
      <c r="D1217">
        <v>105.69000200000001</v>
      </c>
      <c r="E1217">
        <v>105.82</v>
      </c>
      <c r="F1217">
        <v>89.944748000000004</v>
      </c>
      <c r="G1217">
        <v>2849400</v>
      </c>
    </row>
    <row r="1218" spans="1:7" x14ac:dyDescent="0.45">
      <c r="A1218" s="1">
        <v>41760</v>
      </c>
      <c r="B1218">
        <v>106.68</v>
      </c>
      <c r="C1218">
        <v>107.230003</v>
      </c>
      <c r="D1218">
        <v>106.110001</v>
      </c>
      <c r="E1218">
        <v>106.69000200000001</v>
      </c>
      <c r="F1218">
        <v>90.684235000000001</v>
      </c>
      <c r="G1218">
        <v>990300</v>
      </c>
    </row>
    <row r="1219" spans="1:7" x14ac:dyDescent="0.45">
      <c r="A1219" s="1">
        <v>41761</v>
      </c>
      <c r="B1219">
        <v>106.010002</v>
      </c>
      <c r="C1219">
        <v>106.839996</v>
      </c>
      <c r="D1219">
        <v>105.860001</v>
      </c>
      <c r="E1219">
        <v>106.260002</v>
      </c>
      <c r="F1219">
        <v>90.318747999999999</v>
      </c>
      <c r="G1219">
        <v>705000</v>
      </c>
    </row>
    <row r="1220" spans="1:7" x14ac:dyDescent="0.45">
      <c r="A1220" s="1">
        <v>41764</v>
      </c>
      <c r="B1220">
        <v>106.510002</v>
      </c>
      <c r="C1220">
        <v>107.44000200000001</v>
      </c>
      <c r="D1220">
        <v>106.18</v>
      </c>
      <c r="E1220">
        <v>107.379997</v>
      </c>
      <c r="F1220">
        <v>91.270729000000003</v>
      </c>
      <c r="G1220">
        <v>649600</v>
      </c>
    </row>
    <row r="1221" spans="1:7" x14ac:dyDescent="0.45">
      <c r="A1221" s="1">
        <v>41765</v>
      </c>
      <c r="B1221">
        <v>106.949997</v>
      </c>
      <c r="C1221">
        <v>107.269997</v>
      </c>
      <c r="D1221">
        <v>106.41999800000001</v>
      </c>
      <c r="E1221">
        <v>106.459999</v>
      </c>
      <c r="F1221">
        <v>90.488747000000004</v>
      </c>
      <c r="G1221">
        <v>704000</v>
      </c>
    </row>
    <row r="1222" spans="1:7" x14ac:dyDescent="0.45">
      <c r="A1222" s="1">
        <v>41766</v>
      </c>
      <c r="B1222">
        <v>106.269997</v>
      </c>
      <c r="C1222">
        <v>108.459999</v>
      </c>
      <c r="D1222">
        <v>106.269997</v>
      </c>
      <c r="E1222">
        <v>108.32</v>
      </c>
      <c r="F1222">
        <v>92.069694999999996</v>
      </c>
      <c r="G1222">
        <v>1413400</v>
      </c>
    </row>
    <row r="1223" spans="1:7" x14ac:dyDescent="0.45">
      <c r="A1223" s="1">
        <v>41767</v>
      </c>
      <c r="B1223">
        <v>109.739998</v>
      </c>
      <c r="C1223">
        <v>110.400002</v>
      </c>
      <c r="D1223">
        <v>108.80999799999999</v>
      </c>
      <c r="E1223">
        <v>109.209999</v>
      </c>
      <c r="F1223">
        <v>92.826187000000004</v>
      </c>
      <c r="G1223">
        <v>1099000</v>
      </c>
    </row>
    <row r="1224" spans="1:7" x14ac:dyDescent="0.45">
      <c r="A1224" s="1">
        <v>41768</v>
      </c>
      <c r="B1224">
        <v>109.889999</v>
      </c>
      <c r="C1224">
        <v>109.910004</v>
      </c>
      <c r="D1224">
        <v>108.550003</v>
      </c>
      <c r="E1224">
        <v>109</v>
      </c>
      <c r="F1224">
        <v>92.647689999999997</v>
      </c>
      <c r="G1224">
        <v>739000</v>
      </c>
    </row>
    <row r="1225" spans="1:7" x14ac:dyDescent="0.45">
      <c r="A1225" s="1">
        <v>41771</v>
      </c>
      <c r="B1225">
        <v>109.790001</v>
      </c>
      <c r="C1225">
        <v>110.150002</v>
      </c>
      <c r="D1225">
        <v>109.589996</v>
      </c>
      <c r="E1225">
        <v>109.970001</v>
      </c>
      <c r="F1225">
        <v>93.472160000000002</v>
      </c>
      <c r="G1225">
        <v>653100</v>
      </c>
    </row>
    <row r="1226" spans="1:7" x14ac:dyDescent="0.45">
      <c r="A1226" s="1">
        <v>41772</v>
      </c>
      <c r="B1226">
        <v>109.629997</v>
      </c>
      <c r="C1226">
        <v>110.18</v>
      </c>
      <c r="D1226">
        <v>108.989998</v>
      </c>
      <c r="E1226">
        <v>109.94000200000001</v>
      </c>
      <c r="F1226">
        <v>93.446663000000001</v>
      </c>
      <c r="G1226">
        <v>995300</v>
      </c>
    </row>
    <row r="1227" spans="1:7" x14ac:dyDescent="0.45">
      <c r="A1227" s="1">
        <v>41773</v>
      </c>
      <c r="B1227">
        <v>109.529999</v>
      </c>
      <c r="C1227">
        <v>109.80999799999999</v>
      </c>
      <c r="D1227">
        <v>109.110001</v>
      </c>
      <c r="E1227">
        <v>109.139999</v>
      </c>
      <c r="F1227">
        <v>92.766684999999995</v>
      </c>
      <c r="G1227">
        <v>674500</v>
      </c>
    </row>
    <row r="1228" spans="1:7" x14ac:dyDescent="0.45">
      <c r="A1228" s="1">
        <v>41774</v>
      </c>
      <c r="B1228">
        <v>109.290001</v>
      </c>
      <c r="C1228">
        <v>109.300003</v>
      </c>
      <c r="D1228">
        <v>108.129997</v>
      </c>
      <c r="E1228">
        <v>108.339996</v>
      </c>
      <c r="F1228">
        <v>92.086699999999993</v>
      </c>
      <c r="G1228">
        <v>1199500</v>
      </c>
    </row>
    <row r="1229" spans="1:7" x14ac:dyDescent="0.45">
      <c r="A1229" s="1">
        <v>41775</v>
      </c>
      <c r="B1229">
        <v>110.629997</v>
      </c>
      <c r="C1229">
        <v>110.900002</v>
      </c>
      <c r="D1229">
        <v>109.860001</v>
      </c>
      <c r="E1229">
        <v>110.849998</v>
      </c>
      <c r="F1229">
        <v>94.220146</v>
      </c>
      <c r="G1229">
        <v>1360300</v>
      </c>
    </row>
    <row r="1230" spans="1:7" x14ac:dyDescent="0.45">
      <c r="A1230" s="1">
        <v>41778</v>
      </c>
      <c r="B1230">
        <v>110.410004</v>
      </c>
      <c r="C1230">
        <v>110.510002</v>
      </c>
      <c r="D1230">
        <v>109.730003</v>
      </c>
      <c r="E1230">
        <v>110.220001</v>
      </c>
      <c r="F1230">
        <v>93.684669</v>
      </c>
      <c r="G1230">
        <v>1860600</v>
      </c>
    </row>
    <row r="1231" spans="1:7" x14ac:dyDescent="0.45">
      <c r="A1231" s="1">
        <v>41779</v>
      </c>
      <c r="B1231">
        <v>109.849998</v>
      </c>
      <c r="C1231">
        <v>110.43</v>
      </c>
      <c r="D1231">
        <v>109.760002</v>
      </c>
      <c r="E1231">
        <v>110.209999</v>
      </c>
      <c r="F1231">
        <v>93.676154999999994</v>
      </c>
      <c r="G1231">
        <v>799100</v>
      </c>
    </row>
    <row r="1232" spans="1:7" x14ac:dyDescent="0.45">
      <c r="A1232" s="1">
        <v>41780</v>
      </c>
      <c r="B1232">
        <v>109.68</v>
      </c>
      <c r="C1232">
        <v>110.779999</v>
      </c>
      <c r="D1232">
        <v>109.620003</v>
      </c>
      <c r="E1232">
        <v>110.75</v>
      </c>
      <c r="F1232">
        <v>94.135161999999994</v>
      </c>
      <c r="G1232">
        <v>552200</v>
      </c>
    </row>
    <row r="1233" spans="1:7" x14ac:dyDescent="0.45">
      <c r="A1233" s="1">
        <v>41781</v>
      </c>
      <c r="B1233">
        <v>110.589996</v>
      </c>
      <c r="C1233">
        <v>110.82</v>
      </c>
      <c r="D1233">
        <v>110.029999</v>
      </c>
      <c r="E1233">
        <v>110.5</v>
      </c>
      <c r="F1233">
        <v>93.922661000000005</v>
      </c>
      <c r="G1233">
        <v>537900</v>
      </c>
    </row>
    <row r="1234" spans="1:7" x14ac:dyDescent="0.45">
      <c r="A1234" s="1">
        <v>41782</v>
      </c>
      <c r="B1234">
        <v>109.220001</v>
      </c>
      <c r="C1234">
        <v>110.199997</v>
      </c>
      <c r="D1234">
        <v>109.089996</v>
      </c>
      <c r="E1234">
        <v>110.050003</v>
      </c>
      <c r="F1234">
        <v>93.540169000000006</v>
      </c>
      <c r="G1234">
        <v>549300</v>
      </c>
    </row>
    <row r="1235" spans="1:7" x14ac:dyDescent="0.45">
      <c r="A1235" s="1">
        <v>41786</v>
      </c>
      <c r="B1235">
        <v>110.66999800000001</v>
      </c>
      <c r="C1235">
        <v>111.30999799999999</v>
      </c>
      <c r="D1235">
        <v>110.519997</v>
      </c>
      <c r="E1235">
        <v>110.970001</v>
      </c>
      <c r="F1235">
        <v>94.322136</v>
      </c>
      <c r="G1235">
        <v>827900</v>
      </c>
    </row>
    <row r="1236" spans="1:7" x14ac:dyDescent="0.45">
      <c r="A1236" s="1">
        <v>41787</v>
      </c>
      <c r="B1236">
        <v>109.18</v>
      </c>
      <c r="C1236">
        <v>110.489998</v>
      </c>
      <c r="D1236">
        <v>109.18</v>
      </c>
      <c r="E1236">
        <v>109.93</v>
      </c>
      <c r="F1236">
        <v>93.438170999999997</v>
      </c>
      <c r="G1236">
        <v>1319600</v>
      </c>
    </row>
    <row r="1237" spans="1:7" x14ac:dyDescent="0.45">
      <c r="A1237" s="1">
        <v>41788</v>
      </c>
      <c r="B1237">
        <v>109.769997</v>
      </c>
      <c r="C1237">
        <v>110.260002</v>
      </c>
      <c r="D1237">
        <v>109.550003</v>
      </c>
      <c r="E1237">
        <v>110.029999</v>
      </c>
      <c r="F1237">
        <v>93.523162999999997</v>
      </c>
      <c r="G1237">
        <v>1361900</v>
      </c>
    </row>
    <row r="1238" spans="1:7" x14ac:dyDescent="0.45">
      <c r="A1238" s="1">
        <v>41789</v>
      </c>
      <c r="B1238">
        <v>109.959999</v>
      </c>
      <c r="C1238">
        <v>110.139999</v>
      </c>
      <c r="D1238">
        <v>109.68</v>
      </c>
      <c r="E1238">
        <v>109.91999800000001</v>
      </c>
      <c r="F1238">
        <v>93.429657000000006</v>
      </c>
      <c r="G1238">
        <v>1160500</v>
      </c>
    </row>
    <row r="1239" spans="1:7" x14ac:dyDescent="0.45">
      <c r="A1239" s="1">
        <v>41792</v>
      </c>
      <c r="B1239">
        <v>109.540001</v>
      </c>
      <c r="C1239">
        <v>109.900002</v>
      </c>
      <c r="D1239">
        <v>109.209999</v>
      </c>
      <c r="E1239">
        <v>109.650002</v>
      </c>
      <c r="F1239">
        <v>93.200187999999997</v>
      </c>
      <c r="G1239">
        <v>752900</v>
      </c>
    </row>
    <row r="1240" spans="1:7" x14ac:dyDescent="0.45">
      <c r="A1240" s="1">
        <v>41793</v>
      </c>
      <c r="B1240">
        <v>109.860001</v>
      </c>
      <c r="C1240">
        <v>110.129997</v>
      </c>
      <c r="D1240">
        <v>109.58000199999999</v>
      </c>
      <c r="E1240">
        <v>109.910004</v>
      </c>
      <c r="F1240">
        <v>93.421165000000002</v>
      </c>
      <c r="G1240">
        <v>395900</v>
      </c>
    </row>
    <row r="1241" spans="1:7" x14ac:dyDescent="0.45">
      <c r="A1241" s="1">
        <v>41794</v>
      </c>
      <c r="B1241">
        <v>110.790001</v>
      </c>
      <c r="C1241">
        <v>110.800003</v>
      </c>
      <c r="D1241">
        <v>109.709999</v>
      </c>
      <c r="E1241">
        <v>110.150002</v>
      </c>
      <c r="F1241">
        <v>93.625145000000003</v>
      </c>
      <c r="G1241">
        <v>712500</v>
      </c>
    </row>
    <row r="1242" spans="1:7" x14ac:dyDescent="0.45">
      <c r="A1242" s="1">
        <v>41795</v>
      </c>
      <c r="B1242">
        <v>110.150002</v>
      </c>
      <c r="C1242">
        <v>110.69000200000001</v>
      </c>
      <c r="D1242">
        <v>109.870003</v>
      </c>
      <c r="E1242">
        <v>110.410004</v>
      </c>
      <c r="F1242">
        <v>93.846153000000001</v>
      </c>
      <c r="G1242">
        <v>671200</v>
      </c>
    </row>
    <row r="1243" spans="1:7" x14ac:dyDescent="0.45">
      <c r="A1243" s="1">
        <v>41796</v>
      </c>
      <c r="B1243">
        <v>110.69000200000001</v>
      </c>
      <c r="C1243">
        <v>111.16999800000001</v>
      </c>
      <c r="D1243">
        <v>110.379997</v>
      </c>
      <c r="E1243">
        <v>111.089996</v>
      </c>
      <c r="F1243">
        <v>94.424149</v>
      </c>
      <c r="G1243">
        <v>829600</v>
      </c>
    </row>
    <row r="1244" spans="1:7" x14ac:dyDescent="0.45">
      <c r="A1244" s="1">
        <v>41799</v>
      </c>
      <c r="B1244">
        <v>110.019997</v>
      </c>
      <c r="C1244">
        <v>111.029999</v>
      </c>
      <c r="D1244">
        <v>109.900002</v>
      </c>
      <c r="E1244">
        <v>110.910004</v>
      </c>
      <c r="F1244">
        <v>94.271156000000005</v>
      </c>
      <c r="G1244">
        <v>971500</v>
      </c>
    </row>
    <row r="1245" spans="1:7" x14ac:dyDescent="0.45">
      <c r="A1245" s="1">
        <v>41800</v>
      </c>
      <c r="B1245">
        <v>112.230003</v>
      </c>
      <c r="C1245">
        <v>114.230003</v>
      </c>
      <c r="D1245">
        <v>112.089996</v>
      </c>
      <c r="E1245">
        <v>114.07</v>
      </c>
      <c r="F1245">
        <v>96.957069000000004</v>
      </c>
      <c r="G1245">
        <v>3141600</v>
      </c>
    </row>
    <row r="1246" spans="1:7" x14ac:dyDescent="0.45">
      <c r="A1246" s="1">
        <v>41801</v>
      </c>
      <c r="B1246">
        <v>113.019997</v>
      </c>
      <c r="C1246">
        <v>113.16999800000001</v>
      </c>
      <c r="D1246">
        <v>112.239998</v>
      </c>
      <c r="E1246">
        <v>112.91999800000001</v>
      </c>
      <c r="F1246">
        <v>95.979598999999993</v>
      </c>
      <c r="G1246">
        <v>1419800</v>
      </c>
    </row>
    <row r="1247" spans="1:7" x14ac:dyDescent="0.45">
      <c r="A1247" s="1">
        <v>41802</v>
      </c>
      <c r="B1247">
        <v>111.760002</v>
      </c>
      <c r="C1247">
        <v>112.55999799999999</v>
      </c>
      <c r="D1247">
        <v>111.529999</v>
      </c>
      <c r="E1247">
        <v>111.839996</v>
      </c>
      <c r="F1247">
        <v>95.061615000000003</v>
      </c>
      <c r="G1247">
        <v>1296600</v>
      </c>
    </row>
    <row r="1248" spans="1:7" x14ac:dyDescent="0.45">
      <c r="A1248" s="1">
        <v>41803</v>
      </c>
      <c r="B1248">
        <v>111.16999800000001</v>
      </c>
      <c r="C1248">
        <v>111.470001</v>
      </c>
      <c r="D1248">
        <v>110.93</v>
      </c>
      <c r="E1248">
        <v>111.099998</v>
      </c>
      <c r="F1248">
        <v>94.432631999999998</v>
      </c>
      <c r="G1248">
        <v>797700</v>
      </c>
    </row>
    <row r="1249" spans="1:7" x14ac:dyDescent="0.45">
      <c r="A1249" s="1">
        <v>41806</v>
      </c>
      <c r="B1249">
        <v>111.470001</v>
      </c>
      <c r="C1249">
        <v>111.93</v>
      </c>
      <c r="D1249">
        <v>110.970001</v>
      </c>
      <c r="E1249">
        <v>111.58000199999999</v>
      </c>
      <c r="F1249">
        <v>94.840630000000004</v>
      </c>
      <c r="G1249">
        <v>751600</v>
      </c>
    </row>
    <row r="1250" spans="1:7" x14ac:dyDescent="0.45">
      <c r="A1250" s="1">
        <v>41807</v>
      </c>
      <c r="B1250">
        <v>111.800003</v>
      </c>
      <c r="C1250">
        <v>112.370003</v>
      </c>
      <c r="D1250">
        <v>111.449997</v>
      </c>
      <c r="E1250">
        <v>112.110001</v>
      </c>
      <c r="F1250">
        <v>95.291122000000001</v>
      </c>
      <c r="G1250">
        <v>795600</v>
      </c>
    </row>
    <row r="1251" spans="1:7" x14ac:dyDescent="0.45">
      <c r="A1251" s="1">
        <v>41808</v>
      </c>
      <c r="B1251">
        <v>111.870003</v>
      </c>
      <c r="C1251">
        <v>113.449997</v>
      </c>
      <c r="D1251">
        <v>111.790001</v>
      </c>
      <c r="E1251">
        <v>113.33000199999999</v>
      </c>
      <c r="F1251">
        <v>96.328093999999993</v>
      </c>
      <c r="G1251">
        <v>775700</v>
      </c>
    </row>
    <row r="1252" spans="1:7" x14ac:dyDescent="0.45">
      <c r="A1252" s="1">
        <v>41809</v>
      </c>
      <c r="B1252">
        <v>114.83000199999999</v>
      </c>
      <c r="C1252">
        <v>114.93</v>
      </c>
      <c r="D1252">
        <v>114.199997</v>
      </c>
      <c r="E1252">
        <v>114.75</v>
      </c>
      <c r="F1252">
        <v>97.535072</v>
      </c>
      <c r="G1252">
        <v>781500</v>
      </c>
    </row>
    <row r="1253" spans="1:7" x14ac:dyDescent="0.45">
      <c r="A1253" s="1">
        <v>41810</v>
      </c>
      <c r="B1253">
        <v>115.199997</v>
      </c>
      <c r="C1253">
        <v>116.650002</v>
      </c>
      <c r="D1253">
        <v>115.16999800000001</v>
      </c>
      <c r="E1253">
        <v>116.16999800000001</v>
      </c>
      <c r="F1253">
        <v>98.742042999999995</v>
      </c>
      <c r="G1253">
        <v>5124700</v>
      </c>
    </row>
    <row r="1254" spans="1:7" x14ac:dyDescent="0.45">
      <c r="A1254" s="1">
        <v>41813</v>
      </c>
      <c r="B1254">
        <v>115.349998</v>
      </c>
      <c r="C1254">
        <v>115.639999</v>
      </c>
      <c r="D1254">
        <v>114.889999</v>
      </c>
      <c r="E1254">
        <v>115.489998</v>
      </c>
      <c r="F1254">
        <v>98.16404</v>
      </c>
      <c r="G1254">
        <v>2490600</v>
      </c>
    </row>
    <row r="1255" spans="1:7" x14ac:dyDescent="0.45">
      <c r="A1255" s="1">
        <v>41814</v>
      </c>
      <c r="B1255">
        <v>114.68</v>
      </c>
      <c r="C1255">
        <v>115.5</v>
      </c>
      <c r="D1255">
        <v>114.629997</v>
      </c>
      <c r="E1255">
        <v>115.07</v>
      </c>
      <c r="F1255">
        <v>97.807060000000007</v>
      </c>
      <c r="G1255">
        <v>1264700</v>
      </c>
    </row>
    <row r="1256" spans="1:7" x14ac:dyDescent="0.45">
      <c r="A1256" s="1">
        <v>41815</v>
      </c>
      <c r="B1256">
        <v>114.720001</v>
      </c>
      <c r="C1256">
        <v>115.58000199999999</v>
      </c>
      <c r="D1256">
        <v>114.480003</v>
      </c>
      <c r="E1256">
        <v>115.480003</v>
      </c>
      <c r="F1256">
        <v>98.155563000000001</v>
      </c>
      <c r="G1256">
        <v>1378400</v>
      </c>
    </row>
    <row r="1257" spans="1:7" x14ac:dyDescent="0.45">
      <c r="A1257" s="1">
        <v>41816</v>
      </c>
      <c r="B1257">
        <v>114.290001</v>
      </c>
      <c r="C1257">
        <v>114.410004</v>
      </c>
      <c r="D1257">
        <v>113.139999</v>
      </c>
      <c r="E1257">
        <v>114.110001</v>
      </c>
      <c r="F1257">
        <v>96.991080999999994</v>
      </c>
      <c r="G1257">
        <v>2005300</v>
      </c>
    </row>
    <row r="1258" spans="1:7" x14ac:dyDescent="0.45">
      <c r="A1258" s="1">
        <v>41817</v>
      </c>
      <c r="B1258">
        <v>113.889999</v>
      </c>
      <c r="C1258">
        <v>114.889999</v>
      </c>
      <c r="D1258">
        <v>113.510002</v>
      </c>
      <c r="E1258">
        <v>114.870003</v>
      </c>
      <c r="F1258">
        <v>97.637062</v>
      </c>
      <c r="G1258">
        <v>733900</v>
      </c>
    </row>
    <row r="1259" spans="1:7" x14ac:dyDescent="0.45">
      <c r="A1259" s="1">
        <v>41820</v>
      </c>
      <c r="B1259">
        <v>114.870003</v>
      </c>
      <c r="C1259">
        <v>115.480003</v>
      </c>
      <c r="D1259">
        <v>114.55999799999999</v>
      </c>
      <c r="E1259">
        <v>114.94000200000001</v>
      </c>
      <c r="F1259">
        <v>97.696556000000001</v>
      </c>
      <c r="G1259">
        <v>964000</v>
      </c>
    </row>
    <row r="1260" spans="1:7" x14ac:dyDescent="0.45">
      <c r="A1260" s="1">
        <v>41821</v>
      </c>
      <c r="B1260">
        <v>114.68</v>
      </c>
      <c r="C1260">
        <v>115.33000199999999</v>
      </c>
      <c r="D1260">
        <v>114.44000200000001</v>
      </c>
      <c r="E1260">
        <v>114.779999</v>
      </c>
      <c r="F1260">
        <v>97.560569999999998</v>
      </c>
      <c r="G1260">
        <v>1114700</v>
      </c>
    </row>
    <row r="1261" spans="1:7" x14ac:dyDescent="0.45">
      <c r="A1261" s="1">
        <v>41822</v>
      </c>
      <c r="B1261">
        <v>114.389999</v>
      </c>
      <c r="C1261">
        <v>114.730003</v>
      </c>
      <c r="D1261">
        <v>114.07</v>
      </c>
      <c r="E1261">
        <v>114.33000199999999</v>
      </c>
      <c r="F1261">
        <v>97.178070000000005</v>
      </c>
      <c r="G1261">
        <v>1046200</v>
      </c>
    </row>
    <row r="1262" spans="1:7" x14ac:dyDescent="0.45">
      <c r="A1262" s="1">
        <v>41823</v>
      </c>
      <c r="B1262">
        <v>115.160004</v>
      </c>
      <c r="C1262">
        <v>115.839996</v>
      </c>
      <c r="D1262">
        <v>114.80999799999999</v>
      </c>
      <c r="E1262">
        <v>115.650002</v>
      </c>
      <c r="F1262">
        <v>98.300040999999993</v>
      </c>
      <c r="G1262">
        <v>440100</v>
      </c>
    </row>
    <row r="1263" spans="1:7" x14ac:dyDescent="0.45">
      <c r="A1263" s="1">
        <v>41827</v>
      </c>
      <c r="B1263">
        <v>114.94000200000001</v>
      </c>
      <c r="C1263">
        <v>115.360001</v>
      </c>
      <c r="D1263">
        <v>114.730003</v>
      </c>
      <c r="E1263">
        <v>115.099998</v>
      </c>
      <c r="F1263">
        <v>97.832565000000002</v>
      </c>
      <c r="G1263">
        <v>711400</v>
      </c>
    </row>
    <row r="1264" spans="1:7" x14ac:dyDescent="0.45">
      <c r="A1264" s="1">
        <v>41828</v>
      </c>
      <c r="B1264">
        <v>115.120003</v>
      </c>
      <c r="C1264">
        <v>115.230003</v>
      </c>
      <c r="D1264">
        <v>114.089996</v>
      </c>
      <c r="E1264">
        <v>114.25</v>
      </c>
      <c r="F1264">
        <v>97.110077000000004</v>
      </c>
      <c r="G1264">
        <v>816000</v>
      </c>
    </row>
    <row r="1265" spans="1:7" x14ac:dyDescent="0.45">
      <c r="A1265" s="1">
        <v>41829</v>
      </c>
      <c r="B1265">
        <v>114.650002</v>
      </c>
      <c r="C1265">
        <v>115.18</v>
      </c>
      <c r="D1265">
        <v>114.300003</v>
      </c>
      <c r="E1265">
        <v>114.75</v>
      </c>
      <c r="F1265">
        <v>97.535072</v>
      </c>
      <c r="G1265">
        <v>618100</v>
      </c>
    </row>
    <row r="1266" spans="1:7" x14ac:dyDescent="0.45">
      <c r="A1266" s="1">
        <v>41830</v>
      </c>
      <c r="B1266">
        <v>113.230003</v>
      </c>
      <c r="C1266">
        <v>114.040001</v>
      </c>
      <c r="D1266">
        <v>113.16999800000001</v>
      </c>
      <c r="E1266">
        <v>113.44000200000001</v>
      </c>
      <c r="F1266">
        <v>96.421593000000001</v>
      </c>
      <c r="G1266">
        <v>822600</v>
      </c>
    </row>
    <row r="1267" spans="1:7" x14ac:dyDescent="0.45">
      <c r="A1267" s="1">
        <v>41831</v>
      </c>
      <c r="B1267">
        <v>112.949997</v>
      </c>
      <c r="C1267">
        <v>113.300003</v>
      </c>
      <c r="D1267">
        <v>112.620003</v>
      </c>
      <c r="E1267">
        <v>113.05999799999999</v>
      </c>
      <c r="F1267">
        <v>96.098595000000003</v>
      </c>
      <c r="G1267">
        <v>906000</v>
      </c>
    </row>
    <row r="1268" spans="1:7" x14ac:dyDescent="0.45">
      <c r="A1268" s="1">
        <v>41834</v>
      </c>
      <c r="B1268">
        <v>113.58000199999999</v>
      </c>
      <c r="C1268">
        <v>113.870003</v>
      </c>
      <c r="D1268">
        <v>113.25</v>
      </c>
      <c r="E1268">
        <v>113.290001</v>
      </c>
      <c r="F1268">
        <v>96.294105999999999</v>
      </c>
      <c r="G1268">
        <v>548300</v>
      </c>
    </row>
    <row r="1269" spans="1:7" x14ac:dyDescent="0.45">
      <c r="A1269" s="1">
        <v>41835</v>
      </c>
      <c r="B1269">
        <v>113.010002</v>
      </c>
      <c r="C1269">
        <v>113.269997</v>
      </c>
      <c r="D1269">
        <v>112.139999</v>
      </c>
      <c r="E1269">
        <v>112.660004</v>
      </c>
      <c r="F1269">
        <v>95.758613999999994</v>
      </c>
      <c r="G1269">
        <v>879300</v>
      </c>
    </row>
    <row r="1270" spans="1:7" x14ac:dyDescent="0.45">
      <c r="A1270" s="1">
        <v>41836</v>
      </c>
      <c r="B1270">
        <v>112.720001</v>
      </c>
      <c r="C1270">
        <v>113.07</v>
      </c>
      <c r="D1270">
        <v>112.290001</v>
      </c>
      <c r="E1270">
        <v>112.709999</v>
      </c>
      <c r="F1270">
        <v>95.801108999999997</v>
      </c>
      <c r="G1270">
        <v>703100</v>
      </c>
    </row>
    <row r="1271" spans="1:7" x14ac:dyDescent="0.45">
      <c r="A1271" s="1">
        <v>41837</v>
      </c>
      <c r="B1271">
        <v>111.68</v>
      </c>
      <c r="C1271">
        <v>112.43</v>
      </c>
      <c r="D1271">
        <v>110.769997</v>
      </c>
      <c r="E1271">
        <v>110.889999</v>
      </c>
      <c r="F1271">
        <v>94.254142999999999</v>
      </c>
      <c r="G1271">
        <v>1199200</v>
      </c>
    </row>
    <row r="1272" spans="1:7" x14ac:dyDescent="0.45">
      <c r="A1272" s="1">
        <v>41838</v>
      </c>
      <c r="B1272">
        <v>111.739998</v>
      </c>
      <c r="C1272">
        <v>112.839996</v>
      </c>
      <c r="D1272">
        <v>111.620003</v>
      </c>
      <c r="E1272">
        <v>112.650002</v>
      </c>
      <c r="F1272">
        <v>95.750107</v>
      </c>
      <c r="G1272">
        <v>741800</v>
      </c>
    </row>
    <row r="1273" spans="1:7" x14ac:dyDescent="0.45">
      <c r="A1273" s="1">
        <v>41841</v>
      </c>
      <c r="B1273">
        <v>111.410004</v>
      </c>
      <c r="C1273">
        <v>112.110001</v>
      </c>
      <c r="D1273">
        <v>111.230003</v>
      </c>
      <c r="E1273">
        <v>111.839996</v>
      </c>
      <c r="F1273">
        <v>95.061615000000003</v>
      </c>
      <c r="G1273">
        <v>865000</v>
      </c>
    </row>
    <row r="1274" spans="1:7" x14ac:dyDescent="0.45">
      <c r="A1274" s="1">
        <v>41842</v>
      </c>
      <c r="B1274">
        <v>112.730003</v>
      </c>
      <c r="C1274">
        <v>113.08000199999999</v>
      </c>
      <c r="D1274">
        <v>112.44000200000001</v>
      </c>
      <c r="E1274">
        <v>112.82</v>
      </c>
      <c r="F1274">
        <v>95.894608000000005</v>
      </c>
      <c r="G1274">
        <v>638900</v>
      </c>
    </row>
    <row r="1275" spans="1:7" x14ac:dyDescent="0.45">
      <c r="A1275" s="1">
        <v>41843</v>
      </c>
      <c r="B1275">
        <v>113.410004</v>
      </c>
      <c r="C1275">
        <v>113.410004</v>
      </c>
      <c r="D1275">
        <v>112.30999799999999</v>
      </c>
      <c r="E1275">
        <v>112.849998</v>
      </c>
      <c r="F1275">
        <v>95.920105000000007</v>
      </c>
      <c r="G1275">
        <v>509800</v>
      </c>
    </row>
    <row r="1276" spans="1:7" x14ac:dyDescent="0.45">
      <c r="A1276" s="1">
        <v>41844</v>
      </c>
      <c r="B1276">
        <v>112.720001</v>
      </c>
      <c r="C1276">
        <v>113.230003</v>
      </c>
      <c r="D1276">
        <v>112.370003</v>
      </c>
      <c r="E1276">
        <v>113.010002</v>
      </c>
      <c r="F1276">
        <v>96.056099000000003</v>
      </c>
      <c r="G1276">
        <v>776700</v>
      </c>
    </row>
    <row r="1277" spans="1:7" x14ac:dyDescent="0.45">
      <c r="A1277" s="1">
        <v>41845</v>
      </c>
      <c r="B1277">
        <v>111.720001</v>
      </c>
      <c r="C1277">
        <v>112.040001</v>
      </c>
      <c r="D1277">
        <v>110.57</v>
      </c>
      <c r="E1277">
        <v>110.879997</v>
      </c>
      <c r="F1277">
        <v>94.245643999999999</v>
      </c>
      <c r="G1277">
        <v>1053900</v>
      </c>
    </row>
    <row r="1278" spans="1:7" x14ac:dyDescent="0.45">
      <c r="A1278" s="1">
        <v>41848</v>
      </c>
      <c r="B1278">
        <v>110.05999799999999</v>
      </c>
      <c r="C1278">
        <v>110.16999800000001</v>
      </c>
      <c r="D1278">
        <v>109.230003</v>
      </c>
      <c r="E1278">
        <v>109.790001</v>
      </c>
      <c r="F1278">
        <v>93.319175999999999</v>
      </c>
      <c r="G1278">
        <v>1290100</v>
      </c>
    </row>
    <row r="1279" spans="1:7" x14ac:dyDescent="0.45">
      <c r="A1279" s="1">
        <v>41849</v>
      </c>
      <c r="B1279">
        <v>110.400002</v>
      </c>
      <c r="C1279">
        <v>110.58000199999999</v>
      </c>
      <c r="D1279">
        <v>109.68</v>
      </c>
      <c r="E1279">
        <v>109.69000200000001</v>
      </c>
      <c r="F1279">
        <v>93.234183999999999</v>
      </c>
      <c r="G1279">
        <v>1222400</v>
      </c>
    </row>
    <row r="1280" spans="1:7" x14ac:dyDescent="0.45">
      <c r="A1280" s="1">
        <v>41850</v>
      </c>
      <c r="B1280">
        <v>110.470001</v>
      </c>
      <c r="C1280">
        <v>110.540001</v>
      </c>
      <c r="D1280">
        <v>109</v>
      </c>
      <c r="E1280">
        <v>109.68</v>
      </c>
      <c r="F1280">
        <v>93.225662</v>
      </c>
      <c r="G1280">
        <v>821400</v>
      </c>
    </row>
    <row r="1281" spans="1:7" x14ac:dyDescent="0.45">
      <c r="A1281" s="1">
        <v>41851</v>
      </c>
      <c r="B1281">
        <v>109.970001</v>
      </c>
      <c r="C1281">
        <v>110</v>
      </c>
      <c r="D1281">
        <v>107.83000199999999</v>
      </c>
      <c r="E1281">
        <v>107.980003</v>
      </c>
      <c r="F1281">
        <v>91.780700999999993</v>
      </c>
      <c r="G1281">
        <v>1728300</v>
      </c>
    </row>
    <row r="1282" spans="1:7" x14ac:dyDescent="0.45">
      <c r="A1282" s="1">
        <v>41852</v>
      </c>
      <c r="B1282">
        <v>106.58000199999999</v>
      </c>
      <c r="C1282">
        <v>107.599998</v>
      </c>
      <c r="D1282">
        <v>106.370003</v>
      </c>
      <c r="E1282">
        <v>107.040001</v>
      </c>
      <c r="F1282">
        <v>90.981735</v>
      </c>
      <c r="G1282">
        <v>1925400</v>
      </c>
    </row>
    <row r="1283" spans="1:7" x14ac:dyDescent="0.45">
      <c r="A1283" s="1">
        <v>41855</v>
      </c>
      <c r="B1283">
        <v>107.720001</v>
      </c>
      <c r="C1283">
        <v>108.82</v>
      </c>
      <c r="D1283">
        <v>107.43</v>
      </c>
      <c r="E1283">
        <v>108.510002</v>
      </c>
      <c r="F1283">
        <v>92.231200999999999</v>
      </c>
      <c r="G1283">
        <v>1450900</v>
      </c>
    </row>
    <row r="1284" spans="1:7" x14ac:dyDescent="0.45">
      <c r="A1284" s="1">
        <v>41856</v>
      </c>
      <c r="B1284">
        <v>108.07</v>
      </c>
      <c r="C1284">
        <v>108.5</v>
      </c>
      <c r="D1284">
        <v>107.610001</v>
      </c>
      <c r="E1284">
        <v>107.800003</v>
      </c>
      <c r="F1284">
        <v>91.627716000000007</v>
      </c>
      <c r="G1284">
        <v>1761700</v>
      </c>
    </row>
    <row r="1285" spans="1:7" x14ac:dyDescent="0.45">
      <c r="A1285" s="1">
        <v>41857</v>
      </c>
      <c r="B1285">
        <v>106.19000200000001</v>
      </c>
      <c r="C1285">
        <v>108.089996</v>
      </c>
      <c r="D1285">
        <v>106.099998</v>
      </c>
      <c r="E1285">
        <v>107.889999</v>
      </c>
      <c r="F1285">
        <v>91.704207999999994</v>
      </c>
      <c r="G1285">
        <v>1025600</v>
      </c>
    </row>
    <row r="1286" spans="1:7" x14ac:dyDescent="0.45">
      <c r="A1286" s="1">
        <v>41858</v>
      </c>
      <c r="B1286">
        <v>108.089996</v>
      </c>
      <c r="C1286">
        <v>108.30999799999999</v>
      </c>
      <c r="D1286">
        <v>106.470001</v>
      </c>
      <c r="E1286">
        <v>106.790001</v>
      </c>
      <c r="F1286">
        <v>90.769226000000003</v>
      </c>
      <c r="G1286">
        <v>747400</v>
      </c>
    </row>
    <row r="1287" spans="1:7" x14ac:dyDescent="0.45">
      <c r="A1287" s="1">
        <v>41859</v>
      </c>
      <c r="B1287">
        <v>106.290001</v>
      </c>
      <c r="C1287">
        <v>107.75</v>
      </c>
      <c r="D1287">
        <v>105.839996</v>
      </c>
      <c r="E1287">
        <v>107.68</v>
      </c>
      <c r="F1287">
        <v>91.525718999999995</v>
      </c>
      <c r="G1287">
        <v>924000</v>
      </c>
    </row>
    <row r="1288" spans="1:7" x14ac:dyDescent="0.45">
      <c r="A1288" s="1">
        <v>41862</v>
      </c>
      <c r="B1288">
        <v>108.220001</v>
      </c>
      <c r="C1288">
        <v>108.68</v>
      </c>
      <c r="D1288">
        <v>108.16999800000001</v>
      </c>
      <c r="E1288">
        <v>108.470001</v>
      </c>
      <c r="F1288">
        <v>92.197204999999997</v>
      </c>
      <c r="G1288">
        <v>737100</v>
      </c>
    </row>
    <row r="1289" spans="1:7" x14ac:dyDescent="0.45">
      <c r="A1289" s="1">
        <v>41863</v>
      </c>
      <c r="B1289">
        <v>107.709999</v>
      </c>
      <c r="C1289">
        <v>108.44000200000001</v>
      </c>
      <c r="D1289">
        <v>107.519997</v>
      </c>
      <c r="E1289">
        <v>108.33000199999999</v>
      </c>
      <c r="F1289">
        <v>92.078201000000007</v>
      </c>
      <c r="G1289">
        <v>1263300</v>
      </c>
    </row>
    <row r="1290" spans="1:7" x14ac:dyDescent="0.45">
      <c r="A1290" s="1">
        <v>41864</v>
      </c>
      <c r="B1290">
        <v>107.980003</v>
      </c>
      <c r="C1290">
        <v>108.620003</v>
      </c>
      <c r="D1290">
        <v>107.720001</v>
      </c>
      <c r="E1290">
        <v>108.08000199999999</v>
      </c>
      <c r="F1290">
        <v>91.865714999999994</v>
      </c>
      <c r="G1290">
        <v>911500</v>
      </c>
    </row>
    <row r="1291" spans="1:7" x14ac:dyDescent="0.45">
      <c r="A1291" s="1">
        <v>41865</v>
      </c>
      <c r="B1291">
        <v>109.05999799999999</v>
      </c>
      <c r="C1291">
        <v>109.370003</v>
      </c>
      <c r="D1291">
        <v>108.889999</v>
      </c>
      <c r="E1291">
        <v>109.370003</v>
      </c>
      <c r="F1291">
        <v>92.962188999999995</v>
      </c>
      <c r="G1291">
        <v>521100</v>
      </c>
    </row>
    <row r="1292" spans="1:7" x14ac:dyDescent="0.45">
      <c r="A1292" s="1">
        <v>41866</v>
      </c>
      <c r="B1292">
        <v>110.68</v>
      </c>
      <c r="C1292">
        <v>110.870003</v>
      </c>
      <c r="D1292">
        <v>109.07</v>
      </c>
      <c r="E1292">
        <v>110.08000199999999</v>
      </c>
      <c r="F1292">
        <v>93.565665999999993</v>
      </c>
      <c r="G1292">
        <v>863700</v>
      </c>
    </row>
    <row r="1293" spans="1:7" x14ac:dyDescent="0.45">
      <c r="A1293" s="1">
        <v>41869</v>
      </c>
      <c r="B1293">
        <v>110.33000199999999</v>
      </c>
      <c r="C1293">
        <v>110.93</v>
      </c>
      <c r="D1293">
        <v>109.769997</v>
      </c>
      <c r="E1293">
        <v>110.730003</v>
      </c>
      <c r="F1293">
        <v>94.118140999999994</v>
      </c>
      <c r="G1293">
        <v>833000</v>
      </c>
    </row>
    <row r="1294" spans="1:7" x14ac:dyDescent="0.45">
      <c r="A1294" s="1">
        <v>41870</v>
      </c>
      <c r="B1294">
        <v>111.010002</v>
      </c>
      <c r="C1294">
        <v>111.410004</v>
      </c>
      <c r="D1294">
        <v>110.980003</v>
      </c>
      <c r="E1294">
        <v>111.139999</v>
      </c>
      <c r="F1294">
        <v>94.466628999999998</v>
      </c>
      <c r="G1294">
        <v>422500</v>
      </c>
    </row>
    <row r="1295" spans="1:7" x14ac:dyDescent="0.45">
      <c r="A1295" s="1">
        <v>41871</v>
      </c>
      <c r="B1295">
        <v>110.33000199999999</v>
      </c>
      <c r="C1295">
        <v>110.91999800000001</v>
      </c>
      <c r="D1295">
        <v>110.220001</v>
      </c>
      <c r="E1295">
        <v>110.370003</v>
      </c>
      <c r="F1295">
        <v>93.812156999999999</v>
      </c>
      <c r="G1295">
        <v>816100</v>
      </c>
    </row>
    <row r="1296" spans="1:7" x14ac:dyDescent="0.45">
      <c r="A1296" s="1">
        <v>41872</v>
      </c>
      <c r="B1296">
        <v>110.650002</v>
      </c>
      <c r="C1296">
        <v>111.550003</v>
      </c>
      <c r="D1296">
        <v>110.389999</v>
      </c>
      <c r="E1296">
        <v>111.139999</v>
      </c>
      <c r="F1296">
        <v>94.466628999999998</v>
      </c>
      <c r="G1296">
        <v>519100</v>
      </c>
    </row>
    <row r="1297" spans="1:7" x14ac:dyDescent="0.45">
      <c r="A1297" s="1">
        <v>41873</v>
      </c>
      <c r="B1297">
        <v>110.610001</v>
      </c>
      <c r="C1297">
        <v>111.120003</v>
      </c>
      <c r="D1297">
        <v>110.089996</v>
      </c>
      <c r="E1297">
        <v>110.139999</v>
      </c>
      <c r="F1297">
        <v>93.616669000000002</v>
      </c>
      <c r="G1297">
        <v>563200</v>
      </c>
    </row>
    <row r="1298" spans="1:7" x14ac:dyDescent="0.45">
      <c r="A1298" s="1">
        <v>41876</v>
      </c>
      <c r="B1298">
        <v>110.779999</v>
      </c>
      <c r="C1298">
        <v>112.16999800000001</v>
      </c>
      <c r="D1298">
        <v>110.480003</v>
      </c>
      <c r="E1298">
        <v>111.699997</v>
      </c>
      <c r="F1298">
        <v>94.942618999999993</v>
      </c>
      <c r="G1298">
        <v>696300</v>
      </c>
    </row>
    <row r="1299" spans="1:7" x14ac:dyDescent="0.45">
      <c r="A1299" s="1">
        <v>41877</v>
      </c>
      <c r="B1299">
        <v>112.139999</v>
      </c>
      <c r="C1299">
        <v>112.66999800000001</v>
      </c>
      <c r="D1299">
        <v>111.91999800000001</v>
      </c>
      <c r="E1299">
        <v>112.010002</v>
      </c>
      <c r="F1299">
        <v>95.206130999999999</v>
      </c>
      <c r="G1299">
        <v>795600</v>
      </c>
    </row>
    <row r="1300" spans="1:7" x14ac:dyDescent="0.45">
      <c r="A1300" s="1">
        <v>41878</v>
      </c>
      <c r="B1300">
        <v>112.239998</v>
      </c>
      <c r="C1300">
        <v>112.30999799999999</v>
      </c>
      <c r="D1300">
        <v>111.80999799999999</v>
      </c>
      <c r="E1300">
        <v>111.91999800000001</v>
      </c>
      <c r="F1300">
        <v>95.129608000000005</v>
      </c>
      <c r="G1300">
        <v>925000</v>
      </c>
    </row>
    <row r="1301" spans="1:7" x14ac:dyDescent="0.45">
      <c r="A1301" s="1">
        <v>41879</v>
      </c>
      <c r="B1301">
        <v>110.75</v>
      </c>
      <c r="C1301">
        <v>111.400002</v>
      </c>
      <c r="D1301">
        <v>110.730003</v>
      </c>
      <c r="E1301">
        <v>111.279999</v>
      </c>
      <c r="F1301">
        <v>94.585648000000006</v>
      </c>
      <c r="G1301">
        <v>487700</v>
      </c>
    </row>
    <row r="1302" spans="1:7" x14ac:dyDescent="0.45">
      <c r="A1302" s="1">
        <v>41880</v>
      </c>
      <c r="B1302">
        <v>111.239998</v>
      </c>
      <c r="C1302">
        <v>111.839996</v>
      </c>
      <c r="D1302">
        <v>110.279999</v>
      </c>
      <c r="E1302">
        <v>111.779999</v>
      </c>
      <c r="F1302">
        <v>95.010627999999997</v>
      </c>
      <c r="G1302">
        <v>937000</v>
      </c>
    </row>
    <row r="1303" spans="1:7" x14ac:dyDescent="0.45">
      <c r="A1303" s="1">
        <v>41884</v>
      </c>
      <c r="B1303">
        <v>111.349998</v>
      </c>
      <c r="C1303">
        <v>111.620003</v>
      </c>
      <c r="D1303">
        <v>110.900002</v>
      </c>
      <c r="E1303">
        <v>111.300003</v>
      </c>
      <c r="F1303">
        <v>94.602645999999993</v>
      </c>
      <c r="G1303">
        <v>857500</v>
      </c>
    </row>
    <row r="1304" spans="1:7" x14ac:dyDescent="0.45">
      <c r="A1304" s="1">
        <v>41885</v>
      </c>
      <c r="B1304">
        <v>112.739998</v>
      </c>
      <c r="C1304">
        <v>112.790001</v>
      </c>
      <c r="D1304">
        <v>111.949997</v>
      </c>
      <c r="E1304">
        <v>112.410004</v>
      </c>
      <c r="F1304">
        <v>95.546120000000002</v>
      </c>
      <c r="G1304">
        <v>802600</v>
      </c>
    </row>
    <row r="1305" spans="1:7" x14ac:dyDescent="0.45">
      <c r="A1305" s="1">
        <v>41886</v>
      </c>
      <c r="B1305">
        <v>113.099998</v>
      </c>
      <c r="C1305">
        <v>114.199997</v>
      </c>
      <c r="D1305">
        <v>112.989998</v>
      </c>
      <c r="E1305">
        <v>113.41999800000001</v>
      </c>
      <c r="F1305">
        <v>96.404594000000003</v>
      </c>
      <c r="G1305">
        <v>1438500</v>
      </c>
    </row>
    <row r="1306" spans="1:7" x14ac:dyDescent="0.45">
      <c r="A1306" s="1">
        <v>41887</v>
      </c>
      <c r="B1306">
        <v>112.94000200000001</v>
      </c>
      <c r="C1306">
        <v>113.160004</v>
      </c>
      <c r="D1306">
        <v>112.300003</v>
      </c>
      <c r="E1306">
        <v>113.050003</v>
      </c>
      <c r="F1306">
        <v>96.090096000000003</v>
      </c>
      <c r="G1306">
        <v>580700</v>
      </c>
    </row>
    <row r="1307" spans="1:7" x14ac:dyDescent="0.45">
      <c r="A1307" s="1">
        <v>41890</v>
      </c>
      <c r="B1307">
        <v>111.68</v>
      </c>
      <c r="C1307">
        <v>112.050003</v>
      </c>
      <c r="D1307">
        <v>111.150002</v>
      </c>
      <c r="E1307">
        <v>111.449997</v>
      </c>
      <c r="F1307">
        <v>94.730132999999995</v>
      </c>
      <c r="G1307">
        <v>611900</v>
      </c>
    </row>
    <row r="1308" spans="1:7" x14ac:dyDescent="0.45">
      <c r="A1308" s="1">
        <v>41891</v>
      </c>
      <c r="B1308">
        <v>111.730003</v>
      </c>
      <c r="C1308">
        <v>111.83000199999999</v>
      </c>
      <c r="D1308">
        <v>111.05999799999999</v>
      </c>
      <c r="E1308">
        <v>111.480003</v>
      </c>
      <c r="F1308">
        <v>94.755645999999999</v>
      </c>
      <c r="G1308">
        <v>652600</v>
      </c>
    </row>
    <row r="1309" spans="1:7" x14ac:dyDescent="0.45">
      <c r="A1309" s="1">
        <v>41892</v>
      </c>
      <c r="B1309">
        <v>111</v>
      </c>
      <c r="C1309">
        <v>111.709999</v>
      </c>
      <c r="D1309">
        <v>110.75</v>
      </c>
      <c r="E1309">
        <v>111.709999</v>
      </c>
      <c r="F1309">
        <v>94.951133999999996</v>
      </c>
      <c r="G1309">
        <v>647800</v>
      </c>
    </row>
    <row r="1310" spans="1:7" x14ac:dyDescent="0.45">
      <c r="A1310" s="1">
        <v>41893</v>
      </c>
      <c r="B1310">
        <v>111.55999799999999</v>
      </c>
      <c r="C1310">
        <v>112.199997</v>
      </c>
      <c r="D1310">
        <v>111.400002</v>
      </c>
      <c r="E1310">
        <v>112.110001</v>
      </c>
      <c r="F1310">
        <v>95.291122000000001</v>
      </c>
      <c r="G1310">
        <v>597600</v>
      </c>
    </row>
    <row r="1311" spans="1:7" x14ac:dyDescent="0.45">
      <c r="A1311" s="1">
        <v>41894</v>
      </c>
      <c r="B1311">
        <v>111.05999799999999</v>
      </c>
      <c r="C1311">
        <v>111.209999</v>
      </c>
      <c r="D1311">
        <v>110.529999</v>
      </c>
      <c r="E1311">
        <v>110.949997</v>
      </c>
      <c r="F1311">
        <v>94.305153000000004</v>
      </c>
      <c r="G1311">
        <v>871000</v>
      </c>
    </row>
    <row r="1312" spans="1:7" x14ac:dyDescent="0.45">
      <c r="A1312" s="1">
        <v>41897</v>
      </c>
      <c r="B1312">
        <v>113.769997</v>
      </c>
      <c r="C1312">
        <v>114.91999800000001</v>
      </c>
      <c r="D1312">
        <v>113.709999</v>
      </c>
      <c r="E1312">
        <v>114.449997</v>
      </c>
      <c r="F1312">
        <v>97.280083000000005</v>
      </c>
      <c r="G1312">
        <v>3772600</v>
      </c>
    </row>
    <row r="1313" spans="1:7" x14ac:dyDescent="0.45">
      <c r="A1313" s="1">
        <v>41898</v>
      </c>
      <c r="B1313">
        <v>112.900002</v>
      </c>
      <c r="C1313">
        <v>114.879997</v>
      </c>
      <c r="D1313">
        <v>112.760002</v>
      </c>
      <c r="E1313">
        <v>114.459999</v>
      </c>
      <c r="F1313">
        <v>97.288573999999997</v>
      </c>
      <c r="G1313">
        <v>3066700</v>
      </c>
    </row>
    <row r="1314" spans="1:7" x14ac:dyDescent="0.45">
      <c r="A1314" s="1">
        <v>41899</v>
      </c>
      <c r="B1314">
        <v>114.199997</v>
      </c>
      <c r="C1314">
        <v>114.389999</v>
      </c>
      <c r="D1314">
        <v>113.150002</v>
      </c>
      <c r="E1314">
        <v>113.260002</v>
      </c>
      <c r="F1314">
        <v>96.268592999999996</v>
      </c>
      <c r="G1314">
        <v>917600</v>
      </c>
    </row>
    <row r="1315" spans="1:7" x14ac:dyDescent="0.45">
      <c r="A1315" s="1">
        <v>41900</v>
      </c>
      <c r="B1315">
        <v>114.18</v>
      </c>
      <c r="C1315">
        <v>115.089996</v>
      </c>
      <c r="D1315">
        <v>113.57</v>
      </c>
      <c r="E1315">
        <v>114.709999</v>
      </c>
      <c r="F1315">
        <v>97.501068000000004</v>
      </c>
      <c r="G1315">
        <v>1036000</v>
      </c>
    </row>
    <row r="1316" spans="1:7" x14ac:dyDescent="0.45">
      <c r="A1316" s="1">
        <v>41901</v>
      </c>
      <c r="B1316">
        <v>114.599998</v>
      </c>
      <c r="C1316">
        <v>115.099998</v>
      </c>
      <c r="D1316">
        <v>114.18</v>
      </c>
      <c r="E1316">
        <v>114.80999799999999</v>
      </c>
      <c r="F1316">
        <v>97.586051999999995</v>
      </c>
      <c r="G1316">
        <v>1059900</v>
      </c>
    </row>
    <row r="1317" spans="1:7" x14ac:dyDescent="0.45">
      <c r="A1317" s="1">
        <v>41904</v>
      </c>
      <c r="B1317">
        <v>114.19000200000001</v>
      </c>
      <c r="C1317">
        <v>114.769997</v>
      </c>
      <c r="D1317">
        <v>113.879997</v>
      </c>
      <c r="E1317">
        <v>114.55999799999999</v>
      </c>
      <c r="F1317">
        <v>97.373572999999993</v>
      </c>
      <c r="G1317">
        <v>1076700</v>
      </c>
    </row>
    <row r="1318" spans="1:7" x14ac:dyDescent="0.45">
      <c r="A1318" s="1">
        <v>41905</v>
      </c>
      <c r="B1318">
        <v>113.33000199999999</v>
      </c>
      <c r="C1318">
        <v>114.089996</v>
      </c>
      <c r="D1318">
        <v>113.279999</v>
      </c>
      <c r="E1318">
        <v>114</v>
      </c>
      <c r="F1318">
        <v>96.897582999999997</v>
      </c>
      <c r="G1318">
        <v>1949000</v>
      </c>
    </row>
    <row r="1319" spans="1:7" x14ac:dyDescent="0.45">
      <c r="A1319" s="1">
        <v>41906</v>
      </c>
      <c r="B1319">
        <v>113.129997</v>
      </c>
      <c r="C1319">
        <v>114.550003</v>
      </c>
      <c r="D1319">
        <v>113.010002</v>
      </c>
      <c r="E1319">
        <v>114.290001</v>
      </c>
      <c r="F1319">
        <v>97.144073000000006</v>
      </c>
      <c r="G1319">
        <v>834100</v>
      </c>
    </row>
    <row r="1320" spans="1:7" x14ac:dyDescent="0.45">
      <c r="A1320" s="1">
        <v>41907</v>
      </c>
      <c r="B1320">
        <v>113.55999799999999</v>
      </c>
      <c r="C1320">
        <v>113.639999</v>
      </c>
      <c r="D1320">
        <v>112.099998</v>
      </c>
      <c r="E1320">
        <v>112.529999</v>
      </c>
      <c r="F1320">
        <v>95.648109000000005</v>
      </c>
      <c r="G1320">
        <v>728200</v>
      </c>
    </row>
    <row r="1321" spans="1:7" x14ac:dyDescent="0.45">
      <c r="A1321" s="1">
        <v>41908</v>
      </c>
      <c r="B1321">
        <v>112.050003</v>
      </c>
      <c r="C1321">
        <v>112.339996</v>
      </c>
      <c r="D1321">
        <v>111.410004</v>
      </c>
      <c r="E1321">
        <v>112.019997</v>
      </c>
      <c r="F1321">
        <v>95.214614999999995</v>
      </c>
      <c r="G1321">
        <v>867300</v>
      </c>
    </row>
    <row r="1322" spans="1:7" x14ac:dyDescent="0.45">
      <c r="A1322" s="1">
        <v>41911</v>
      </c>
      <c r="B1322">
        <v>110.209999</v>
      </c>
      <c r="C1322">
        <v>110.959999</v>
      </c>
      <c r="D1322">
        <v>110.010002</v>
      </c>
      <c r="E1322">
        <v>110.69000200000001</v>
      </c>
      <c r="F1322">
        <v>94.084145000000007</v>
      </c>
      <c r="G1322">
        <v>1115900</v>
      </c>
    </row>
    <row r="1323" spans="1:7" x14ac:dyDescent="0.45">
      <c r="A1323" s="1">
        <v>41912</v>
      </c>
      <c r="B1323">
        <v>110.459999</v>
      </c>
      <c r="C1323">
        <v>111.760002</v>
      </c>
      <c r="D1323">
        <v>110.029999</v>
      </c>
      <c r="E1323">
        <v>110.849998</v>
      </c>
      <c r="F1323">
        <v>94.220146</v>
      </c>
      <c r="G1323">
        <v>1493700</v>
      </c>
    </row>
    <row r="1324" spans="1:7" x14ac:dyDescent="0.45">
      <c r="A1324" s="1">
        <v>41913</v>
      </c>
      <c r="B1324">
        <v>109.199997</v>
      </c>
      <c r="C1324">
        <v>109.349998</v>
      </c>
      <c r="D1324">
        <v>107.300003</v>
      </c>
      <c r="E1324">
        <v>107.75</v>
      </c>
      <c r="F1324">
        <v>91.585220000000007</v>
      </c>
      <c r="G1324">
        <v>2787000</v>
      </c>
    </row>
    <row r="1325" spans="1:7" x14ac:dyDescent="0.45">
      <c r="A1325" s="1">
        <v>41914</v>
      </c>
      <c r="B1325">
        <v>107.300003</v>
      </c>
      <c r="C1325">
        <v>107.41999800000001</v>
      </c>
      <c r="D1325">
        <v>106.19000200000001</v>
      </c>
      <c r="E1325">
        <v>106.94000200000001</v>
      </c>
      <c r="F1325">
        <v>90.896743999999998</v>
      </c>
      <c r="G1325">
        <v>2045900</v>
      </c>
    </row>
    <row r="1326" spans="1:7" x14ac:dyDescent="0.45">
      <c r="A1326" s="1">
        <v>41915</v>
      </c>
      <c r="B1326">
        <v>106.19000200000001</v>
      </c>
      <c r="C1326">
        <v>107.650002</v>
      </c>
      <c r="D1326">
        <v>106.08000199999999</v>
      </c>
      <c r="E1326">
        <v>107.449997</v>
      </c>
      <c r="F1326">
        <v>91.330214999999995</v>
      </c>
      <c r="G1326">
        <v>1673900</v>
      </c>
    </row>
    <row r="1327" spans="1:7" x14ac:dyDescent="0.45">
      <c r="A1327" s="1">
        <v>41918</v>
      </c>
      <c r="B1327">
        <v>108.19000200000001</v>
      </c>
      <c r="C1327">
        <v>108.5</v>
      </c>
      <c r="D1327">
        <v>107.43</v>
      </c>
      <c r="E1327">
        <v>108.41999800000001</v>
      </c>
      <c r="F1327">
        <v>92.154694000000006</v>
      </c>
      <c r="G1327">
        <v>982600</v>
      </c>
    </row>
    <row r="1328" spans="1:7" x14ac:dyDescent="0.45">
      <c r="A1328" s="1">
        <v>41919</v>
      </c>
      <c r="B1328">
        <v>106.900002</v>
      </c>
      <c r="C1328">
        <v>107</v>
      </c>
      <c r="D1328">
        <v>105.279999</v>
      </c>
      <c r="E1328">
        <v>105.360001</v>
      </c>
      <c r="F1328">
        <v>89.553771999999995</v>
      </c>
      <c r="G1328">
        <v>1953700</v>
      </c>
    </row>
    <row r="1329" spans="1:7" x14ac:dyDescent="0.45">
      <c r="A1329" s="1">
        <v>41920</v>
      </c>
      <c r="B1329">
        <v>105.849998</v>
      </c>
      <c r="C1329">
        <v>106.660004</v>
      </c>
      <c r="D1329">
        <v>105.300003</v>
      </c>
      <c r="E1329">
        <v>106.550003</v>
      </c>
      <c r="F1329">
        <v>90.565239000000005</v>
      </c>
      <c r="G1329">
        <v>2894500</v>
      </c>
    </row>
    <row r="1330" spans="1:7" x14ac:dyDescent="0.45">
      <c r="A1330" s="1">
        <v>41921</v>
      </c>
      <c r="B1330">
        <v>106.58000199999999</v>
      </c>
      <c r="C1330">
        <v>107.089996</v>
      </c>
      <c r="D1330">
        <v>104.779999</v>
      </c>
      <c r="E1330">
        <v>105.019997</v>
      </c>
      <c r="F1330">
        <v>89.264770999999996</v>
      </c>
      <c r="G1330">
        <v>2134700</v>
      </c>
    </row>
    <row r="1331" spans="1:7" x14ac:dyDescent="0.45">
      <c r="A1331" s="1">
        <v>41922</v>
      </c>
      <c r="B1331">
        <v>106.160004</v>
      </c>
      <c r="C1331">
        <v>107.040001</v>
      </c>
      <c r="D1331">
        <v>105.639999</v>
      </c>
      <c r="E1331">
        <v>106.260002</v>
      </c>
      <c r="F1331">
        <v>90.318747999999999</v>
      </c>
      <c r="G1331">
        <v>2565000</v>
      </c>
    </row>
    <row r="1332" spans="1:7" x14ac:dyDescent="0.45">
      <c r="A1332" s="1">
        <v>41925</v>
      </c>
      <c r="B1332">
        <v>106.25</v>
      </c>
      <c r="C1332">
        <v>107.120003</v>
      </c>
      <c r="D1332">
        <v>105.83000199999999</v>
      </c>
      <c r="E1332">
        <v>106.029999</v>
      </c>
      <c r="F1332">
        <v>90.123238000000001</v>
      </c>
      <c r="G1332">
        <v>1416800</v>
      </c>
    </row>
    <row r="1333" spans="1:7" x14ac:dyDescent="0.45">
      <c r="A1333" s="1">
        <v>41926</v>
      </c>
      <c r="B1333">
        <v>106.55999799999999</v>
      </c>
      <c r="C1333">
        <v>107.150002</v>
      </c>
      <c r="D1333">
        <v>105.58000199999999</v>
      </c>
      <c r="E1333">
        <v>105.83000199999999</v>
      </c>
      <c r="F1333">
        <v>89.953254999999999</v>
      </c>
      <c r="G1333">
        <v>1162200</v>
      </c>
    </row>
    <row r="1334" spans="1:7" x14ac:dyDescent="0.45">
      <c r="A1334" s="1">
        <v>41927</v>
      </c>
      <c r="B1334">
        <v>105.620003</v>
      </c>
      <c r="C1334">
        <v>105.760002</v>
      </c>
      <c r="D1334">
        <v>103</v>
      </c>
      <c r="E1334">
        <v>105.540001</v>
      </c>
      <c r="F1334">
        <v>89.706749000000002</v>
      </c>
      <c r="G1334">
        <v>2422400</v>
      </c>
    </row>
    <row r="1335" spans="1:7" x14ac:dyDescent="0.45">
      <c r="A1335" s="1">
        <v>41928</v>
      </c>
      <c r="B1335">
        <v>102.33000199999999</v>
      </c>
      <c r="C1335">
        <v>105.029999</v>
      </c>
      <c r="D1335">
        <v>102.209999</v>
      </c>
      <c r="E1335">
        <v>103.849998</v>
      </c>
      <c r="F1335">
        <v>88.270294000000007</v>
      </c>
      <c r="G1335">
        <v>3838300</v>
      </c>
    </row>
    <row r="1336" spans="1:7" x14ac:dyDescent="0.45">
      <c r="A1336" s="1">
        <v>41929</v>
      </c>
      <c r="B1336">
        <v>105.199997</v>
      </c>
      <c r="C1336">
        <v>107.019997</v>
      </c>
      <c r="D1336">
        <v>104.870003</v>
      </c>
      <c r="E1336">
        <v>106.449997</v>
      </c>
      <c r="F1336">
        <v>90.480225000000004</v>
      </c>
      <c r="G1336">
        <v>1333600</v>
      </c>
    </row>
    <row r="1337" spans="1:7" x14ac:dyDescent="0.45">
      <c r="A1337" s="1">
        <v>41932</v>
      </c>
      <c r="B1337">
        <v>106.349998</v>
      </c>
      <c r="C1337">
        <v>107.18</v>
      </c>
      <c r="D1337">
        <v>106.209999</v>
      </c>
      <c r="E1337">
        <v>107.08000199999999</v>
      </c>
      <c r="F1337">
        <v>91.015732</v>
      </c>
      <c r="G1337">
        <v>915200</v>
      </c>
    </row>
    <row r="1338" spans="1:7" x14ac:dyDescent="0.45">
      <c r="A1338" s="1">
        <v>41933</v>
      </c>
      <c r="B1338">
        <v>107.16999800000001</v>
      </c>
      <c r="C1338">
        <v>108.730003</v>
      </c>
      <c r="D1338">
        <v>107.129997</v>
      </c>
      <c r="E1338">
        <v>108.230003</v>
      </c>
      <c r="F1338">
        <v>91.993210000000005</v>
      </c>
      <c r="G1338">
        <v>1667400</v>
      </c>
    </row>
    <row r="1339" spans="1:7" x14ac:dyDescent="0.45">
      <c r="A1339" s="1">
        <v>41934</v>
      </c>
      <c r="B1339">
        <v>107.010002</v>
      </c>
      <c r="C1339">
        <v>107.82</v>
      </c>
      <c r="D1339">
        <v>106.57</v>
      </c>
      <c r="E1339">
        <v>106.989998</v>
      </c>
      <c r="F1339">
        <v>90.939223999999996</v>
      </c>
      <c r="G1339">
        <v>2052900</v>
      </c>
    </row>
    <row r="1340" spans="1:7" x14ac:dyDescent="0.45">
      <c r="A1340" s="1">
        <v>41935</v>
      </c>
      <c r="B1340">
        <v>108.25</v>
      </c>
      <c r="C1340">
        <v>108.41999800000001</v>
      </c>
      <c r="D1340">
        <v>107.650002</v>
      </c>
      <c r="E1340">
        <v>107.75</v>
      </c>
      <c r="F1340">
        <v>91.585220000000007</v>
      </c>
      <c r="G1340">
        <v>1035800</v>
      </c>
    </row>
    <row r="1341" spans="1:7" x14ac:dyDescent="0.45">
      <c r="A1341" s="1">
        <v>41936</v>
      </c>
      <c r="B1341">
        <v>108.349998</v>
      </c>
      <c r="C1341">
        <v>108.889999</v>
      </c>
      <c r="D1341">
        <v>107.970001</v>
      </c>
      <c r="E1341">
        <v>108.75</v>
      </c>
      <c r="F1341">
        <v>92.435187999999997</v>
      </c>
      <c r="G1341">
        <v>618800</v>
      </c>
    </row>
    <row r="1342" spans="1:7" x14ac:dyDescent="0.45">
      <c r="A1342" s="1">
        <v>41939</v>
      </c>
      <c r="B1342">
        <v>106.959999</v>
      </c>
      <c r="C1342">
        <v>108.66999800000001</v>
      </c>
      <c r="D1342">
        <v>106.93</v>
      </c>
      <c r="E1342">
        <v>108</v>
      </c>
      <c r="F1342">
        <v>91.797698999999994</v>
      </c>
      <c r="G1342">
        <v>1436500</v>
      </c>
    </row>
    <row r="1343" spans="1:7" x14ac:dyDescent="0.45">
      <c r="A1343" s="1">
        <v>41940</v>
      </c>
      <c r="B1343">
        <v>109.720001</v>
      </c>
      <c r="C1343">
        <v>110.199997</v>
      </c>
      <c r="D1343">
        <v>109.550003</v>
      </c>
      <c r="E1343">
        <v>110.19000200000001</v>
      </c>
      <c r="F1343">
        <v>93.659156999999993</v>
      </c>
      <c r="G1343">
        <v>730100</v>
      </c>
    </row>
    <row r="1344" spans="1:7" x14ac:dyDescent="0.45">
      <c r="A1344" s="1">
        <v>41941</v>
      </c>
      <c r="B1344">
        <v>110.849998</v>
      </c>
      <c r="C1344">
        <v>111.379997</v>
      </c>
      <c r="D1344">
        <v>109.480003</v>
      </c>
      <c r="E1344">
        <v>109.91999800000001</v>
      </c>
      <c r="F1344">
        <v>93.429657000000006</v>
      </c>
      <c r="G1344">
        <v>936800</v>
      </c>
    </row>
    <row r="1345" spans="1:7" x14ac:dyDescent="0.45">
      <c r="A1345" s="1">
        <v>41942</v>
      </c>
      <c r="B1345">
        <v>109.010002</v>
      </c>
      <c r="C1345">
        <v>110.790001</v>
      </c>
      <c r="D1345">
        <v>108.900002</v>
      </c>
      <c r="E1345">
        <v>110.010002</v>
      </c>
      <c r="F1345">
        <v>93.506157000000002</v>
      </c>
      <c r="G1345">
        <v>1467100</v>
      </c>
    </row>
    <row r="1346" spans="1:7" x14ac:dyDescent="0.45">
      <c r="A1346" s="1">
        <v>41943</v>
      </c>
      <c r="B1346">
        <v>108.33000199999999</v>
      </c>
      <c r="C1346">
        <v>111.110001</v>
      </c>
      <c r="D1346">
        <v>107.80999799999999</v>
      </c>
      <c r="E1346">
        <v>110.980003</v>
      </c>
      <c r="F1346">
        <v>94.330658</v>
      </c>
      <c r="G1346">
        <v>2314000</v>
      </c>
    </row>
    <row r="1347" spans="1:7" x14ac:dyDescent="0.45">
      <c r="A1347" s="1">
        <v>41946</v>
      </c>
      <c r="B1347">
        <v>109.839996</v>
      </c>
      <c r="C1347">
        <v>110.30999799999999</v>
      </c>
      <c r="D1347">
        <v>109.449997</v>
      </c>
      <c r="E1347">
        <v>109.550003</v>
      </c>
      <c r="F1347">
        <v>93.115181000000007</v>
      </c>
      <c r="G1347">
        <v>1348900</v>
      </c>
    </row>
    <row r="1348" spans="1:7" x14ac:dyDescent="0.45">
      <c r="A1348" s="1">
        <v>41947</v>
      </c>
      <c r="B1348">
        <v>110.279999</v>
      </c>
      <c r="C1348">
        <v>110.540001</v>
      </c>
      <c r="D1348">
        <v>108.43</v>
      </c>
      <c r="E1348">
        <v>109.400002</v>
      </c>
      <c r="F1348">
        <v>92.987685999999997</v>
      </c>
      <c r="G1348">
        <v>1646200</v>
      </c>
    </row>
    <row r="1349" spans="1:7" x14ac:dyDescent="0.45">
      <c r="A1349" s="1">
        <v>41948</v>
      </c>
      <c r="B1349">
        <v>109.33000199999999</v>
      </c>
      <c r="C1349">
        <v>110.379997</v>
      </c>
      <c r="D1349">
        <v>108.959999</v>
      </c>
      <c r="E1349">
        <v>109.900002</v>
      </c>
      <c r="F1349">
        <v>93.412659000000005</v>
      </c>
      <c r="G1349">
        <v>1460300</v>
      </c>
    </row>
    <row r="1350" spans="1:7" x14ac:dyDescent="0.45">
      <c r="A1350" s="1">
        <v>41949</v>
      </c>
      <c r="B1350">
        <v>109.16999800000001</v>
      </c>
      <c r="C1350">
        <v>109.730003</v>
      </c>
      <c r="D1350">
        <v>108.410004</v>
      </c>
      <c r="E1350">
        <v>108.5</v>
      </c>
      <c r="F1350">
        <v>93.286285000000007</v>
      </c>
      <c r="G1350">
        <v>1457500</v>
      </c>
    </row>
    <row r="1351" spans="1:7" x14ac:dyDescent="0.45">
      <c r="A1351" s="1">
        <v>41950</v>
      </c>
      <c r="B1351">
        <v>108.05999799999999</v>
      </c>
      <c r="C1351">
        <v>108.459999</v>
      </c>
      <c r="D1351">
        <v>107.589996</v>
      </c>
      <c r="E1351">
        <v>108.339996</v>
      </c>
      <c r="F1351">
        <v>93.148712000000003</v>
      </c>
      <c r="G1351">
        <v>730800</v>
      </c>
    </row>
    <row r="1352" spans="1:7" x14ac:dyDescent="0.45">
      <c r="A1352" s="1">
        <v>41953</v>
      </c>
      <c r="B1352">
        <v>109.279999</v>
      </c>
      <c r="C1352">
        <v>109.730003</v>
      </c>
      <c r="D1352">
        <v>108.790001</v>
      </c>
      <c r="E1352">
        <v>109.519997</v>
      </c>
      <c r="F1352">
        <v>94.163253999999995</v>
      </c>
      <c r="G1352">
        <v>556300</v>
      </c>
    </row>
    <row r="1353" spans="1:7" x14ac:dyDescent="0.45">
      <c r="A1353" s="1">
        <v>41954</v>
      </c>
      <c r="B1353">
        <v>110.16999800000001</v>
      </c>
      <c r="C1353">
        <v>110.519997</v>
      </c>
      <c r="D1353">
        <v>109.790001</v>
      </c>
      <c r="E1353">
        <v>110.400002</v>
      </c>
      <c r="F1353">
        <v>94.919876000000002</v>
      </c>
      <c r="G1353">
        <v>893800</v>
      </c>
    </row>
    <row r="1354" spans="1:7" x14ac:dyDescent="0.45">
      <c r="A1354" s="1">
        <v>41955</v>
      </c>
      <c r="B1354">
        <v>109.80999799999999</v>
      </c>
      <c r="C1354">
        <v>110.349998</v>
      </c>
      <c r="D1354">
        <v>108.949997</v>
      </c>
      <c r="E1354">
        <v>109.290001</v>
      </c>
      <c r="F1354">
        <v>93.965514999999996</v>
      </c>
      <c r="G1354">
        <v>888100</v>
      </c>
    </row>
    <row r="1355" spans="1:7" x14ac:dyDescent="0.45">
      <c r="A1355" s="1">
        <v>41956</v>
      </c>
      <c r="B1355">
        <v>110.019997</v>
      </c>
      <c r="C1355">
        <v>111.44000200000001</v>
      </c>
      <c r="D1355">
        <v>109.83000199999999</v>
      </c>
      <c r="E1355">
        <v>110.800003</v>
      </c>
      <c r="F1355">
        <v>95.263779</v>
      </c>
      <c r="G1355">
        <v>787700</v>
      </c>
    </row>
    <row r="1356" spans="1:7" x14ac:dyDescent="0.45">
      <c r="A1356" s="1">
        <v>41957</v>
      </c>
      <c r="B1356">
        <v>109.910004</v>
      </c>
      <c r="C1356">
        <v>110.849998</v>
      </c>
      <c r="D1356">
        <v>109.730003</v>
      </c>
      <c r="E1356">
        <v>110.769997</v>
      </c>
      <c r="F1356">
        <v>95.237976000000003</v>
      </c>
      <c r="G1356">
        <v>760100</v>
      </c>
    </row>
    <row r="1357" spans="1:7" x14ac:dyDescent="0.45">
      <c r="A1357" s="1">
        <v>41960</v>
      </c>
      <c r="B1357">
        <v>110.279999</v>
      </c>
      <c r="C1357">
        <v>111.470001</v>
      </c>
      <c r="D1357">
        <v>110.230003</v>
      </c>
      <c r="E1357">
        <v>110.720001</v>
      </c>
      <c r="F1357">
        <v>95.194999999999993</v>
      </c>
      <c r="G1357">
        <v>609600</v>
      </c>
    </row>
    <row r="1358" spans="1:7" x14ac:dyDescent="0.45">
      <c r="A1358" s="1">
        <v>41961</v>
      </c>
      <c r="B1358">
        <v>111.269997</v>
      </c>
      <c r="C1358">
        <v>111.91999800000001</v>
      </c>
      <c r="D1358">
        <v>111.029999</v>
      </c>
      <c r="E1358">
        <v>111.470001</v>
      </c>
      <c r="F1358">
        <v>95.839827999999997</v>
      </c>
      <c r="G1358">
        <v>964300</v>
      </c>
    </row>
    <row r="1359" spans="1:7" x14ac:dyDescent="0.45">
      <c r="A1359" s="1">
        <v>41962</v>
      </c>
      <c r="B1359">
        <v>112.44000200000001</v>
      </c>
      <c r="C1359">
        <v>112.510002</v>
      </c>
      <c r="D1359">
        <v>111.889999</v>
      </c>
      <c r="E1359">
        <v>112.199997</v>
      </c>
      <c r="F1359">
        <v>96.467467999999997</v>
      </c>
      <c r="G1359">
        <v>1219900</v>
      </c>
    </row>
    <row r="1360" spans="1:7" x14ac:dyDescent="0.45">
      <c r="A1360" s="1">
        <v>41963</v>
      </c>
      <c r="B1360">
        <v>112.779999</v>
      </c>
      <c r="C1360">
        <v>113.19000200000001</v>
      </c>
      <c r="D1360">
        <v>112.510002</v>
      </c>
      <c r="E1360">
        <v>112.83000199999999</v>
      </c>
      <c r="F1360">
        <v>97.009124999999997</v>
      </c>
      <c r="G1360">
        <v>1385200</v>
      </c>
    </row>
    <row r="1361" spans="1:7" x14ac:dyDescent="0.45">
      <c r="A1361" s="1">
        <v>41964</v>
      </c>
      <c r="B1361">
        <v>114.720001</v>
      </c>
      <c r="C1361">
        <v>114.970001</v>
      </c>
      <c r="D1361">
        <v>114.16999800000001</v>
      </c>
      <c r="E1361">
        <v>114.540001</v>
      </c>
      <c r="F1361">
        <v>98.479370000000003</v>
      </c>
      <c r="G1361">
        <v>1154300</v>
      </c>
    </row>
    <row r="1362" spans="1:7" x14ac:dyDescent="0.45">
      <c r="A1362" s="1">
        <v>41967</v>
      </c>
      <c r="B1362">
        <v>116.32</v>
      </c>
      <c r="C1362">
        <v>116.379997</v>
      </c>
      <c r="D1362">
        <v>114.910004</v>
      </c>
      <c r="E1362">
        <v>115.30999799999999</v>
      </c>
      <c r="F1362">
        <v>99.141396</v>
      </c>
      <c r="G1362">
        <v>1755000</v>
      </c>
    </row>
    <row r="1363" spans="1:7" x14ac:dyDescent="0.45">
      <c r="A1363" s="1">
        <v>41968</v>
      </c>
      <c r="B1363">
        <v>114.760002</v>
      </c>
      <c r="C1363">
        <v>115.339996</v>
      </c>
      <c r="D1363">
        <v>114.720001</v>
      </c>
      <c r="E1363">
        <v>115.08000199999999</v>
      </c>
      <c r="F1363">
        <v>98.943641999999997</v>
      </c>
      <c r="G1363">
        <v>1063000</v>
      </c>
    </row>
    <row r="1364" spans="1:7" x14ac:dyDescent="0.45">
      <c r="A1364" s="1">
        <v>41969</v>
      </c>
      <c r="B1364">
        <v>115.779999</v>
      </c>
      <c r="C1364">
        <v>115.949997</v>
      </c>
      <c r="D1364">
        <v>114.879997</v>
      </c>
      <c r="E1364">
        <v>115.139999</v>
      </c>
      <c r="F1364">
        <v>98.995247000000006</v>
      </c>
      <c r="G1364">
        <v>747200</v>
      </c>
    </row>
    <row r="1365" spans="1:7" x14ac:dyDescent="0.45">
      <c r="A1365" s="1">
        <v>41971</v>
      </c>
      <c r="B1365">
        <v>116.550003</v>
      </c>
      <c r="C1365">
        <v>117.470001</v>
      </c>
      <c r="D1365">
        <v>116.389999</v>
      </c>
      <c r="E1365">
        <v>116.989998</v>
      </c>
      <c r="F1365">
        <v>100.585823</v>
      </c>
      <c r="G1365">
        <v>671100</v>
      </c>
    </row>
    <row r="1366" spans="1:7" x14ac:dyDescent="0.45">
      <c r="A1366" s="1">
        <v>41974</v>
      </c>
      <c r="B1366">
        <v>116.94000200000001</v>
      </c>
      <c r="C1366">
        <v>116.989998</v>
      </c>
      <c r="D1366">
        <v>115.720001</v>
      </c>
      <c r="E1366">
        <v>116.150002</v>
      </c>
      <c r="F1366">
        <v>99.863608999999997</v>
      </c>
      <c r="G1366">
        <v>3348100</v>
      </c>
    </row>
    <row r="1367" spans="1:7" x14ac:dyDescent="0.45">
      <c r="A1367" s="1">
        <v>41975</v>
      </c>
      <c r="B1367">
        <v>115.959999</v>
      </c>
      <c r="C1367">
        <v>116.050003</v>
      </c>
      <c r="D1367">
        <v>114.510002</v>
      </c>
      <c r="E1367">
        <v>114.900002</v>
      </c>
      <c r="F1367">
        <v>98.788887000000003</v>
      </c>
      <c r="G1367">
        <v>893700</v>
      </c>
    </row>
    <row r="1368" spans="1:7" x14ac:dyDescent="0.45">
      <c r="A1368" s="1">
        <v>41976</v>
      </c>
      <c r="B1368">
        <v>114.779999</v>
      </c>
      <c r="C1368">
        <v>114.959999</v>
      </c>
      <c r="D1368">
        <v>113.57</v>
      </c>
      <c r="E1368">
        <v>114.449997</v>
      </c>
      <c r="F1368">
        <v>98.401993000000004</v>
      </c>
      <c r="G1368">
        <v>877400</v>
      </c>
    </row>
    <row r="1369" spans="1:7" x14ac:dyDescent="0.45">
      <c r="A1369" s="1">
        <v>41977</v>
      </c>
      <c r="B1369">
        <v>113.959999</v>
      </c>
      <c r="C1369">
        <v>114.589996</v>
      </c>
      <c r="D1369">
        <v>113.32</v>
      </c>
      <c r="E1369">
        <v>114.139999</v>
      </c>
      <c r="F1369">
        <v>98.135459999999995</v>
      </c>
      <c r="G1369">
        <v>1375200</v>
      </c>
    </row>
    <row r="1370" spans="1:7" x14ac:dyDescent="0.45">
      <c r="A1370" s="1">
        <v>41978</v>
      </c>
      <c r="B1370">
        <v>115.629997</v>
      </c>
      <c r="C1370">
        <v>116.050003</v>
      </c>
      <c r="D1370">
        <v>114.900002</v>
      </c>
      <c r="E1370">
        <v>116</v>
      </c>
      <c r="F1370">
        <v>99.734641999999994</v>
      </c>
      <c r="G1370">
        <v>1102100</v>
      </c>
    </row>
    <row r="1371" spans="1:7" x14ac:dyDescent="0.45">
      <c r="A1371" s="1">
        <v>41981</v>
      </c>
      <c r="B1371">
        <v>115.30999799999999</v>
      </c>
      <c r="C1371">
        <v>116.16999800000001</v>
      </c>
      <c r="D1371">
        <v>114.400002</v>
      </c>
      <c r="E1371">
        <v>115.08000199999999</v>
      </c>
      <c r="F1371">
        <v>98.943641999999997</v>
      </c>
      <c r="G1371">
        <v>2079400</v>
      </c>
    </row>
    <row r="1372" spans="1:7" x14ac:dyDescent="0.45">
      <c r="A1372" s="1">
        <v>41982</v>
      </c>
      <c r="B1372">
        <v>113.18</v>
      </c>
      <c r="C1372">
        <v>113.779999</v>
      </c>
      <c r="D1372">
        <v>112.739998</v>
      </c>
      <c r="E1372">
        <v>113.639999</v>
      </c>
      <c r="F1372">
        <v>97.705558999999994</v>
      </c>
      <c r="G1372">
        <v>2182700</v>
      </c>
    </row>
    <row r="1373" spans="1:7" x14ac:dyDescent="0.45">
      <c r="A1373" s="1">
        <v>41983</v>
      </c>
      <c r="B1373">
        <v>114.199997</v>
      </c>
      <c r="C1373">
        <v>114.300003</v>
      </c>
      <c r="D1373">
        <v>113.120003</v>
      </c>
      <c r="E1373">
        <v>113.33000199999999</v>
      </c>
      <c r="F1373">
        <v>97.439025999999998</v>
      </c>
      <c r="G1373">
        <v>1561700</v>
      </c>
    </row>
    <row r="1374" spans="1:7" x14ac:dyDescent="0.45">
      <c r="A1374" s="1">
        <v>41984</v>
      </c>
      <c r="B1374">
        <v>113.25</v>
      </c>
      <c r="C1374">
        <v>114.150002</v>
      </c>
      <c r="D1374">
        <v>112.55999799999999</v>
      </c>
      <c r="E1374">
        <v>112.69000200000001</v>
      </c>
      <c r="F1374">
        <v>96.888762999999997</v>
      </c>
      <c r="G1374">
        <v>1059800</v>
      </c>
    </row>
    <row r="1375" spans="1:7" x14ac:dyDescent="0.45">
      <c r="A1375" s="1">
        <v>41985</v>
      </c>
      <c r="B1375">
        <v>112.760002</v>
      </c>
      <c r="C1375">
        <v>113.25</v>
      </c>
      <c r="D1375">
        <v>110.029999</v>
      </c>
      <c r="E1375">
        <v>110.33000199999999</v>
      </c>
      <c r="F1375">
        <v>94.859679999999997</v>
      </c>
      <c r="G1375">
        <v>2099700</v>
      </c>
    </row>
    <row r="1376" spans="1:7" x14ac:dyDescent="0.45">
      <c r="A1376" s="1">
        <v>41988</v>
      </c>
      <c r="B1376">
        <v>111.040001</v>
      </c>
      <c r="C1376">
        <v>111.650002</v>
      </c>
      <c r="D1376">
        <v>108.860001</v>
      </c>
      <c r="E1376">
        <v>109.199997</v>
      </c>
      <c r="F1376">
        <v>93.888130000000004</v>
      </c>
      <c r="G1376">
        <v>2088300</v>
      </c>
    </row>
    <row r="1377" spans="1:7" x14ac:dyDescent="0.45">
      <c r="A1377" s="1">
        <v>41989</v>
      </c>
      <c r="B1377">
        <v>107.760002</v>
      </c>
      <c r="C1377">
        <v>111.040001</v>
      </c>
      <c r="D1377">
        <v>107.629997</v>
      </c>
      <c r="E1377">
        <v>108.93</v>
      </c>
      <c r="F1377">
        <v>93.655991</v>
      </c>
      <c r="G1377">
        <v>2996200</v>
      </c>
    </row>
    <row r="1378" spans="1:7" x14ac:dyDescent="0.45">
      <c r="A1378" s="1">
        <v>41990</v>
      </c>
      <c r="B1378">
        <v>108.620003</v>
      </c>
      <c r="C1378">
        <v>110.69000200000001</v>
      </c>
      <c r="D1378">
        <v>108.529999</v>
      </c>
      <c r="E1378">
        <v>110.230003</v>
      </c>
      <c r="F1378">
        <v>94.773712000000003</v>
      </c>
      <c r="G1378">
        <v>1885200</v>
      </c>
    </row>
    <row r="1379" spans="1:7" x14ac:dyDescent="0.45">
      <c r="A1379" s="1">
        <v>41991</v>
      </c>
      <c r="B1379">
        <v>112.239998</v>
      </c>
      <c r="C1379">
        <v>114.660004</v>
      </c>
      <c r="D1379">
        <v>112.199997</v>
      </c>
      <c r="E1379">
        <v>114.639999</v>
      </c>
      <c r="F1379">
        <v>98.565337999999997</v>
      </c>
      <c r="G1379">
        <v>1981700</v>
      </c>
    </row>
    <row r="1380" spans="1:7" x14ac:dyDescent="0.45">
      <c r="A1380" s="1">
        <v>41992</v>
      </c>
      <c r="B1380">
        <v>113.470001</v>
      </c>
      <c r="C1380">
        <v>115</v>
      </c>
      <c r="D1380">
        <v>113.370003</v>
      </c>
      <c r="E1380">
        <v>114.269997</v>
      </c>
      <c r="F1380">
        <v>98.247223000000005</v>
      </c>
      <c r="G1380">
        <v>905000</v>
      </c>
    </row>
    <row r="1381" spans="1:7" x14ac:dyDescent="0.45">
      <c r="A1381" s="1">
        <v>41995</v>
      </c>
      <c r="B1381">
        <v>114.199997</v>
      </c>
      <c r="C1381">
        <v>114.93</v>
      </c>
      <c r="D1381">
        <v>114.040001</v>
      </c>
      <c r="E1381">
        <v>114.519997</v>
      </c>
      <c r="F1381">
        <v>98.462173000000007</v>
      </c>
      <c r="G1381">
        <v>1107500</v>
      </c>
    </row>
    <row r="1382" spans="1:7" x14ac:dyDescent="0.45">
      <c r="A1382" s="1">
        <v>41996</v>
      </c>
      <c r="B1382">
        <v>114.75</v>
      </c>
      <c r="C1382">
        <v>115.91999800000001</v>
      </c>
      <c r="D1382">
        <v>114.639999</v>
      </c>
      <c r="E1382">
        <v>115.41999800000001</v>
      </c>
      <c r="F1382">
        <v>99.235969999999995</v>
      </c>
      <c r="G1382">
        <v>726600</v>
      </c>
    </row>
    <row r="1383" spans="1:7" x14ac:dyDescent="0.45">
      <c r="A1383" s="1">
        <v>41997</v>
      </c>
      <c r="B1383">
        <v>115.400002</v>
      </c>
      <c r="C1383">
        <v>115.769997</v>
      </c>
      <c r="D1383">
        <v>114.910004</v>
      </c>
      <c r="E1383">
        <v>115.510002</v>
      </c>
      <c r="F1383">
        <v>99.313361999999998</v>
      </c>
      <c r="G1383">
        <v>179400</v>
      </c>
    </row>
    <row r="1384" spans="1:7" x14ac:dyDescent="0.45">
      <c r="A1384" s="1">
        <v>41999</v>
      </c>
      <c r="B1384">
        <v>115.769997</v>
      </c>
      <c r="C1384">
        <v>115.900002</v>
      </c>
      <c r="D1384">
        <v>115.050003</v>
      </c>
      <c r="E1384">
        <v>115.30999799999999</v>
      </c>
      <c r="F1384">
        <v>99.141396</v>
      </c>
      <c r="G1384">
        <v>289200</v>
      </c>
    </row>
    <row r="1385" spans="1:7" x14ac:dyDescent="0.45">
      <c r="A1385" s="1">
        <v>42002</v>
      </c>
      <c r="B1385">
        <v>115</v>
      </c>
      <c r="C1385">
        <v>115.5</v>
      </c>
      <c r="D1385">
        <v>114.650002</v>
      </c>
      <c r="E1385">
        <v>114.83000199999999</v>
      </c>
      <c r="F1385">
        <v>98.728699000000006</v>
      </c>
      <c r="G1385">
        <v>417400</v>
      </c>
    </row>
    <row r="1386" spans="1:7" x14ac:dyDescent="0.45">
      <c r="A1386" s="1">
        <v>42003</v>
      </c>
      <c r="B1386">
        <v>113.900002</v>
      </c>
      <c r="C1386">
        <v>114.199997</v>
      </c>
      <c r="D1386">
        <v>112.459999</v>
      </c>
      <c r="E1386">
        <v>113</v>
      </c>
      <c r="F1386">
        <v>97.155296000000007</v>
      </c>
      <c r="G1386">
        <v>979500</v>
      </c>
    </row>
    <row r="1387" spans="1:7" x14ac:dyDescent="0.45">
      <c r="A1387" s="1">
        <v>42004</v>
      </c>
      <c r="B1387">
        <v>113.82</v>
      </c>
      <c r="C1387">
        <v>113.900002</v>
      </c>
      <c r="D1387">
        <v>112.230003</v>
      </c>
      <c r="E1387">
        <v>112.32</v>
      </c>
      <c r="F1387">
        <v>96.570656</v>
      </c>
      <c r="G1387">
        <v>661900</v>
      </c>
    </row>
    <row r="1388" spans="1:7" x14ac:dyDescent="0.45">
      <c r="A1388" s="1">
        <v>42006</v>
      </c>
      <c r="B1388">
        <v>112.300003</v>
      </c>
      <c r="C1388">
        <v>112.480003</v>
      </c>
      <c r="D1388">
        <v>110.980003</v>
      </c>
      <c r="E1388">
        <v>111.739998</v>
      </c>
      <c r="F1388">
        <v>96.071976000000006</v>
      </c>
      <c r="G1388">
        <v>908400</v>
      </c>
    </row>
    <row r="1389" spans="1:7" x14ac:dyDescent="0.45">
      <c r="A1389" s="1">
        <v>42009</v>
      </c>
      <c r="B1389">
        <v>109.040001</v>
      </c>
      <c r="C1389">
        <v>109.709999</v>
      </c>
      <c r="D1389">
        <v>107.769997</v>
      </c>
      <c r="E1389">
        <v>108.089996</v>
      </c>
      <c r="F1389">
        <v>92.933762000000002</v>
      </c>
      <c r="G1389">
        <v>2010600</v>
      </c>
    </row>
    <row r="1390" spans="1:7" x14ac:dyDescent="0.45">
      <c r="A1390" s="1">
        <v>42010</v>
      </c>
      <c r="B1390">
        <v>107.279999</v>
      </c>
      <c r="C1390">
        <v>108.540001</v>
      </c>
      <c r="D1390">
        <v>106.57</v>
      </c>
      <c r="E1390">
        <v>107.849998</v>
      </c>
      <c r="F1390">
        <v>92.727417000000003</v>
      </c>
      <c r="G1390">
        <v>1717700</v>
      </c>
    </row>
    <row r="1391" spans="1:7" x14ac:dyDescent="0.45">
      <c r="A1391" s="1">
        <v>42011</v>
      </c>
      <c r="B1391">
        <v>108.44000200000001</v>
      </c>
      <c r="C1391">
        <v>109.949997</v>
      </c>
      <c r="D1391">
        <v>108.139999</v>
      </c>
      <c r="E1391">
        <v>109.41999800000001</v>
      </c>
      <c r="F1391">
        <v>94.077270999999996</v>
      </c>
      <c r="G1391">
        <v>1837000</v>
      </c>
    </row>
    <row r="1392" spans="1:7" x14ac:dyDescent="0.45">
      <c r="A1392" s="1">
        <v>42012</v>
      </c>
      <c r="B1392">
        <v>111.589996</v>
      </c>
      <c r="C1392">
        <v>113.769997</v>
      </c>
      <c r="D1392">
        <v>111.379997</v>
      </c>
      <c r="E1392">
        <v>112.879997</v>
      </c>
      <c r="F1392">
        <v>97.052124000000006</v>
      </c>
      <c r="G1392">
        <v>1257200</v>
      </c>
    </row>
    <row r="1393" spans="1:7" x14ac:dyDescent="0.45">
      <c r="A1393" s="1">
        <v>42013</v>
      </c>
      <c r="B1393">
        <v>113.290001</v>
      </c>
      <c r="C1393">
        <v>113.44000200000001</v>
      </c>
      <c r="D1393">
        <v>111.489998</v>
      </c>
      <c r="E1393">
        <v>111.970001</v>
      </c>
      <c r="F1393">
        <v>96.269722000000002</v>
      </c>
      <c r="G1393">
        <v>968900</v>
      </c>
    </row>
    <row r="1394" spans="1:7" x14ac:dyDescent="0.45">
      <c r="A1394" s="1">
        <v>42016</v>
      </c>
      <c r="B1394">
        <v>113.629997</v>
      </c>
      <c r="C1394">
        <v>113.849998</v>
      </c>
      <c r="D1394">
        <v>112.449997</v>
      </c>
      <c r="E1394">
        <v>113.459999</v>
      </c>
      <c r="F1394">
        <v>97.550803999999999</v>
      </c>
      <c r="G1394">
        <v>1176800</v>
      </c>
    </row>
    <row r="1395" spans="1:7" x14ac:dyDescent="0.45">
      <c r="A1395" s="1">
        <v>42017</v>
      </c>
      <c r="B1395">
        <v>114.93</v>
      </c>
      <c r="C1395">
        <v>115.43</v>
      </c>
      <c r="D1395">
        <v>113.19000200000001</v>
      </c>
      <c r="E1395">
        <v>113.889999</v>
      </c>
      <c r="F1395">
        <v>97.920501999999999</v>
      </c>
      <c r="G1395">
        <v>3495600</v>
      </c>
    </row>
    <row r="1396" spans="1:7" x14ac:dyDescent="0.45">
      <c r="A1396" s="1">
        <v>42018</v>
      </c>
      <c r="B1396">
        <v>113.779999</v>
      </c>
      <c r="C1396">
        <v>114.370003</v>
      </c>
      <c r="D1396">
        <v>112.660004</v>
      </c>
      <c r="E1396">
        <v>113.529999</v>
      </c>
      <c r="F1396">
        <v>97.610984999999999</v>
      </c>
      <c r="G1396">
        <v>892800</v>
      </c>
    </row>
    <row r="1397" spans="1:7" x14ac:dyDescent="0.45">
      <c r="A1397" s="1">
        <v>42019</v>
      </c>
      <c r="B1397">
        <v>114.41999800000001</v>
      </c>
      <c r="C1397">
        <v>115.040001</v>
      </c>
      <c r="D1397">
        <v>113.75</v>
      </c>
      <c r="E1397">
        <v>114.239998</v>
      </c>
      <c r="F1397">
        <v>98.221428000000003</v>
      </c>
      <c r="G1397">
        <v>1218000</v>
      </c>
    </row>
    <row r="1398" spans="1:7" x14ac:dyDescent="0.45">
      <c r="A1398" s="1">
        <v>42020</v>
      </c>
      <c r="B1398">
        <v>115.989998</v>
      </c>
      <c r="C1398">
        <v>117.089996</v>
      </c>
      <c r="D1398">
        <v>114.839996</v>
      </c>
      <c r="E1398">
        <v>117.010002</v>
      </c>
      <c r="F1398">
        <v>100.603027</v>
      </c>
      <c r="G1398">
        <v>1504400</v>
      </c>
    </row>
    <row r="1399" spans="1:7" x14ac:dyDescent="0.45">
      <c r="A1399" s="1">
        <v>42024</v>
      </c>
      <c r="B1399">
        <v>118.230003</v>
      </c>
      <c r="C1399">
        <v>118.25</v>
      </c>
      <c r="D1399">
        <v>115.75</v>
      </c>
      <c r="E1399">
        <v>116.739998</v>
      </c>
      <c r="F1399">
        <v>100.37088</v>
      </c>
      <c r="G1399">
        <v>1195300</v>
      </c>
    </row>
    <row r="1400" spans="1:7" x14ac:dyDescent="0.45">
      <c r="A1400" s="1">
        <v>42025</v>
      </c>
      <c r="B1400">
        <v>117.519997</v>
      </c>
      <c r="C1400">
        <v>118.57</v>
      </c>
      <c r="D1400">
        <v>116.739998</v>
      </c>
      <c r="E1400">
        <v>117.75</v>
      </c>
      <c r="F1400">
        <v>101.239265</v>
      </c>
      <c r="G1400">
        <v>1705800</v>
      </c>
    </row>
    <row r="1401" spans="1:7" x14ac:dyDescent="0.45">
      <c r="A1401" s="1">
        <v>42026</v>
      </c>
      <c r="B1401">
        <v>117.360001</v>
      </c>
      <c r="C1401">
        <v>119.120003</v>
      </c>
      <c r="D1401">
        <v>116.489998</v>
      </c>
      <c r="E1401">
        <v>118.949997</v>
      </c>
      <c r="F1401">
        <v>102.270988</v>
      </c>
      <c r="G1401">
        <v>1297700</v>
      </c>
    </row>
    <row r="1402" spans="1:7" x14ac:dyDescent="0.45">
      <c r="A1402" s="1">
        <v>42027</v>
      </c>
      <c r="B1402">
        <v>120.449997</v>
      </c>
      <c r="C1402">
        <v>121.199997</v>
      </c>
      <c r="D1402">
        <v>119.58000199999999</v>
      </c>
      <c r="E1402">
        <v>119.91999800000001</v>
      </c>
      <c r="F1402">
        <v>103.10498</v>
      </c>
      <c r="G1402">
        <v>3710600</v>
      </c>
    </row>
    <row r="1403" spans="1:7" x14ac:dyDescent="0.45">
      <c r="A1403" s="1">
        <v>42030</v>
      </c>
      <c r="B1403">
        <v>121.55999799999999</v>
      </c>
      <c r="C1403">
        <v>121.58000199999999</v>
      </c>
      <c r="D1403">
        <v>119.800003</v>
      </c>
      <c r="E1403">
        <v>121.07</v>
      </c>
      <c r="F1403">
        <v>104.093735</v>
      </c>
      <c r="G1403">
        <v>3595500</v>
      </c>
    </row>
    <row r="1404" spans="1:7" x14ac:dyDescent="0.45">
      <c r="A1404" s="1">
        <v>42031</v>
      </c>
      <c r="B1404">
        <v>120.160004</v>
      </c>
      <c r="C1404">
        <v>121.470001</v>
      </c>
      <c r="D1404">
        <v>119.970001</v>
      </c>
      <c r="E1404">
        <v>120.860001</v>
      </c>
      <c r="F1404">
        <v>103.913177</v>
      </c>
      <c r="G1404">
        <v>2284800</v>
      </c>
    </row>
    <row r="1405" spans="1:7" x14ac:dyDescent="0.45">
      <c r="A1405" s="1">
        <v>42032</v>
      </c>
      <c r="B1405">
        <v>122.129997</v>
      </c>
      <c r="C1405">
        <v>122.389999</v>
      </c>
      <c r="D1405">
        <v>120.08000199999999</v>
      </c>
      <c r="E1405">
        <v>120.349998</v>
      </c>
      <c r="F1405">
        <v>103.474693</v>
      </c>
      <c r="G1405">
        <v>2195400</v>
      </c>
    </row>
    <row r="1406" spans="1:7" x14ac:dyDescent="0.45">
      <c r="A1406" s="1">
        <v>42033</v>
      </c>
      <c r="B1406">
        <v>122.389999</v>
      </c>
      <c r="C1406">
        <v>123.470001</v>
      </c>
      <c r="D1406">
        <v>121.339996</v>
      </c>
      <c r="E1406">
        <v>123.470001</v>
      </c>
      <c r="F1406">
        <v>106.157211</v>
      </c>
      <c r="G1406">
        <v>3548800</v>
      </c>
    </row>
    <row r="1407" spans="1:7" x14ac:dyDescent="0.45">
      <c r="A1407" s="1">
        <v>42034</v>
      </c>
      <c r="B1407">
        <v>122.089996</v>
      </c>
      <c r="C1407">
        <v>122.32</v>
      </c>
      <c r="D1407">
        <v>120.610001</v>
      </c>
      <c r="E1407">
        <v>122.07</v>
      </c>
      <c r="F1407">
        <v>104.95352200000001</v>
      </c>
      <c r="G1407">
        <v>3071700</v>
      </c>
    </row>
    <row r="1408" spans="1:7" x14ac:dyDescent="0.45">
      <c r="A1408" s="1">
        <v>42037</v>
      </c>
      <c r="B1408">
        <v>121.529999</v>
      </c>
      <c r="C1408">
        <v>123.30999799999999</v>
      </c>
      <c r="D1408">
        <v>120.970001</v>
      </c>
      <c r="E1408">
        <v>123.199997</v>
      </c>
      <c r="F1408">
        <v>105.92506400000001</v>
      </c>
      <c r="G1408">
        <v>1298800</v>
      </c>
    </row>
    <row r="1409" spans="1:7" x14ac:dyDescent="0.45">
      <c r="A1409" s="1">
        <v>42038</v>
      </c>
      <c r="B1409">
        <v>123.949997</v>
      </c>
      <c r="C1409">
        <v>125.57</v>
      </c>
      <c r="D1409">
        <v>123.709999</v>
      </c>
      <c r="E1409">
        <v>125.550003</v>
      </c>
      <c r="F1409">
        <v>107.945572</v>
      </c>
      <c r="G1409">
        <v>2143700</v>
      </c>
    </row>
    <row r="1410" spans="1:7" x14ac:dyDescent="0.45">
      <c r="A1410" s="1">
        <v>42039</v>
      </c>
      <c r="B1410">
        <v>123.510002</v>
      </c>
      <c r="C1410">
        <v>124.889999</v>
      </c>
      <c r="D1410">
        <v>122.94000200000001</v>
      </c>
      <c r="E1410">
        <v>123.660004</v>
      </c>
      <c r="F1410">
        <v>106.320564</v>
      </c>
      <c r="G1410">
        <v>2204800</v>
      </c>
    </row>
    <row r="1411" spans="1:7" x14ac:dyDescent="0.45">
      <c r="A1411" s="1">
        <v>42040</v>
      </c>
      <c r="B1411">
        <v>124.349998</v>
      </c>
      <c r="C1411">
        <v>124.489998</v>
      </c>
      <c r="D1411">
        <v>123.389999</v>
      </c>
      <c r="E1411">
        <v>124.19000200000001</v>
      </c>
      <c r="F1411">
        <v>106.77625999999999</v>
      </c>
      <c r="G1411">
        <v>1548200</v>
      </c>
    </row>
    <row r="1412" spans="1:7" x14ac:dyDescent="0.45">
      <c r="A1412" s="1">
        <v>42041</v>
      </c>
      <c r="B1412">
        <v>121.80999799999999</v>
      </c>
      <c r="C1412">
        <v>122.050003</v>
      </c>
      <c r="D1412">
        <v>120.93</v>
      </c>
      <c r="E1412">
        <v>121.290001</v>
      </c>
      <c r="F1412">
        <v>104.28288999999999</v>
      </c>
      <c r="G1412">
        <v>2167100</v>
      </c>
    </row>
    <row r="1413" spans="1:7" x14ac:dyDescent="0.45">
      <c r="A1413" s="1">
        <v>42044</v>
      </c>
      <c r="B1413">
        <v>118.550003</v>
      </c>
      <c r="C1413">
        <v>121.16999800000001</v>
      </c>
      <c r="D1413">
        <v>118.540001</v>
      </c>
      <c r="E1413">
        <v>120.389999</v>
      </c>
      <c r="F1413">
        <v>103.509094</v>
      </c>
      <c r="G1413">
        <v>2221200</v>
      </c>
    </row>
    <row r="1414" spans="1:7" x14ac:dyDescent="0.45">
      <c r="A1414" s="1">
        <v>42045</v>
      </c>
      <c r="B1414">
        <v>121.510002</v>
      </c>
      <c r="C1414">
        <v>122.160004</v>
      </c>
      <c r="D1414">
        <v>120.510002</v>
      </c>
      <c r="E1414">
        <v>121.93</v>
      </c>
      <c r="F1414">
        <v>104.833153</v>
      </c>
      <c r="G1414">
        <v>1436800</v>
      </c>
    </row>
    <row r="1415" spans="1:7" x14ac:dyDescent="0.45">
      <c r="A1415" s="1">
        <v>42046</v>
      </c>
      <c r="B1415">
        <v>121.449997</v>
      </c>
      <c r="C1415">
        <v>121.879997</v>
      </c>
      <c r="D1415">
        <v>120.860001</v>
      </c>
      <c r="E1415">
        <v>121.230003</v>
      </c>
      <c r="F1415">
        <v>104.2313</v>
      </c>
      <c r="G1415">
        <v>1094800</v>
      </c>
    </row>
    <row r="1416" spans="1:7" x14ac:dyDescent="0.45">
      <c r="A1416" s="1">
        <v>42047</v>
      </c>
      <c r="B1416">
        <v>122.459999</v>
      </c>
      <c r="C1416">
        <v>122.989998</v>
      </c>
      <c r="D1416">
        <v>122.120003</v>
      </c>
      <c r="E1416">
        <v>122.519997</v>
      </c>
      <c r="F1416">
        <v>105.340401</v>
      </c>
      <c r="G1416">
        <v>1450000</v>
      </c>
    </row>
    <row r="1417" spans="1:7" x14ac:dyDescent="0.45">
      <c r="A1417" s="1">
        <v>42048</v>
      </c>
      <c r="B1417">
        <v>121.83000199999999</v>
      </c>
      <c r="C1417">
        <v>121.949997</v>
      </c>
      <c r="D1417">
        <v>120.519997</v>
      </c>
      <c r="E1417">
        <v>121.720001</v>
      </c>
      <c r="F1417">
        <v>104.65258799999999</v>
      </c>
      <c r="G1417">
        <v>1261900</v>
      </c>
    </row>
    <row r="1418" spans="1:7" x14ac:dyDescent="0.45">
      <c r="A1418" s="1">
        <v>42052</v>
      </c>
      <c r="B1418">
        <v>122.30999799999999</v>
      </c>
      <c r="C1418">
        <v>122.949997</v>
      </c>
      <c r="D1418">
        <v>121.58000199999999</v>
      </c>
      <c r="E1418">
        <v>121.989998</v>
      </c>
      <c r="F1418">
        <v>104.884743</v>
      </c>
      <c r="G1418">
        <v>1523600</v>
      </c>
    </row>
    <row r="1419" spans="1:7" x14ac:dyDescent="0.45">
      <c r="A1419" s="1">
        <v>42053</v>
      </c>
      <c r="B1419">
        <v>121.160004</v>
      </c>
      <c r="C1419">
        <v>121.93</v>
      </c>
      <c r="D1419">
        <v>120.75</v>
      </c>
      <c r="E1419">
        <v>121.870003</v>
      </c>
      <c r="F1419">
        <v>104.781555</v>
      </c>
      <c r="G1419">
        <v>987600</v>
      </c>
    </row>
    <row r="1420" spans="1:7" x14ac:dyDescent="0.45">
      <c r="A1420" s="1">
        <v>42054</v>
      </c>
      <c r="B1420">
        <v>123.110001</v>
      </c>
      <c r="C1420">
        <v>123.82</v>
      </c>
      <c r="D1420">
        <v>122.540001</v>
      </c>
      <c r="E1420">
        <v>122.739998</v>
      </c>
      <c r="F1420">
        <v>105.52956399999999</v>
      </c>
      <c r="G1420">
        <v>1168700</v>
      </c>
    </row>
    <row r="1421" spans="1:7" x14ac:dyDescent="0.45">
      <c r="A1421" s="1">
        <v>42055</v>
      </c>
      <c r="B1421">
        <v>121.360001</v>
      </c>
      <c r="C1421">
        <v>123.889999</v>
      </c>
      <c r="D1421">
        <v>121.160004</v>
      </c>
      <c r="E1421">
        <v>123.57</v>
      </c>
      <c r="F1421">
        <v>106.24318700000001</v>
      </c>
      <c r="G1421">
        <v>1364100</v>
      </c>
    </row>
    <row r="1422" spans="1:7" x14ac:dyDescent="0.45">
      <c r="A1422" s="1">
        <v>42058</v>
      </c>
      <c r="B1422">
        <v>124.279999</v>
      </c>
      <c r="C1422">
        <v>125.620003</v>
      </c>
      <c r="D1422">
        <v>124.230003</v>
      </c>
      <c r="E1422">
        <v>125.269997</v>
      </c>
      <c r="F1422">
        <v>107.704803</v>
      </c>
      <c r="G1422">
        <v>1619400</v>
      </c>
    </row>
    <row r="1423" spans="1:7" x14ac:dyDescent="0.45">
      <c r="A1423" s="1">
        <v>42059</v>
      </c>
      <c r="B1423">
        <v>126.41999800000001</v>
      </c>
      <c r="C1423">
        <v>126.43</v>
      </c>
      <c r="D1423">
        <v>125.029999</v>
      </c>
      <c r="E1423">
        <v>125.510002</v>
      </c>
      <c r="F1423">
        <v>107.911171</v>
      </c>
      <c r="G1423">
        <v>2132000</v>
      </c>
    </row>
    <row r="1424" spans="1:7" x14ac:dyDescent="0.45">
      <c r="A1424" s="1">
        <v>42060</v>
      </c>
      <c r="B1424">
        <v>125.860001</v>
      </c>
      <c r="C1424">
        <v>125.860001</v>
      </c>
      <c r="D1424">
        <v>123.589996</v>
      </c>
      <c r="E1424">
        <v>124.44000200000001</v>
      </c>
      <c r="F1424">
        <v>106.991196</v>
      </c>
      <c r="G1424">
        <v>1608900</v>
      </c>
    </row>
    <row r="1425" spans="1:7" x14ac:dyDescent="0.45">
      <c r="A1425" s="1">
        <v>42061</v>
      </c>
      <c r="B1425">
        <v>126.400002</v>
      </c>
      <c r="C1425">
        <v>128.35000600000001</v>
      </c>
      <c r="D1425">
        <v>126.19000200000001</v>
      </c>
      <c r="E1425">
        <v>127.489998</v>
      </c>
      <c r="F1425">
        <v>109.613541</v>
      </c>
      <c r="G1425">
        <v>1655600</v>
      </c>
    </row>
    <row r="1426" spans="1:7" x14ac:dyDescent="0.45">
      <c r="A1426" s="1">
        <v>42062</v>
      </c>
      <c r="B1426">
        <v>126.41999800000001</v>
      </c>
      <c r="C1426">
        <v>128.05999800000001</v>
      </c>
      <c r="D1426">
        <v>125.980003</v>
      </c>
      <c r="E1426">
        <v>126.660004</v>
      </c>
      <c r="F1426">
        <v>108.899918</v>
      </c>
      <c r="G1426">
        <v>1855400</v>
      </c>
    </row>
    <row r="1427" spans="1:7" x14ac:dyDescent="0.45">
      <c r="A1427" s="1">
        <v>42065</v>
      </c>
      <c r="B1427">
        <v>127.550003</v>
      </c>
      <c r="C1427">
        <v>127.839996</v>
      </c>
      <c r="D1427">
        <v>126.459999</v>
      </c>
      <c r="E1427">
        <v>126.769997</v>
      </c>
      <c r="F1427">
        <v>108.994484</v>
      </c>
      <c r="G1427">
        <v>1454400</v>
      </c>
    </row>
    <row r="1428" spans="1:7" x14ac:dyDescent="0.45">
      <c r="A1428" s="1">
        <v>42066</v>
      </c>
      <c r="B1428">
        <v>127.07</v>
      </c>
      <c r="C1428">
        <v>127.5</v>
      </c>
      <c r="D1428">
        <v>125.889999</v>
      </c>
      <c r="E1428">
        <v>126.269997</v>
      </c>
      <c r="F1428">
        <v>108.56459</v>
      </c>
      <c r="G1428">
        <v>2406500</v>
      </c>
    </row>
    <row r="1429" spans="1:7" x14ac:dyDescent="0.45">
      <c r="A1429" s="1">
        <v>42067</v>
      </c>
      <c r="B1429">
        <v>126.459999</v>
      </c>
      <c r="C1429">
        <v>126.68</v>
      </c>
      <c r="D1429">
        <v>125.68</v>
      </c>
      <c r="E1429">
        <v>126.32</v>
      </c>
      <c r="F1429">
        <v>108.60759</v>
      </c>
      <c r="G1429">
        <v>1629500</v>
      </c>
    </row>
    <row r="1430" spans="1:7" x14ac:dyDescent="0.45">
      <c r="A1430" s="1">
        <v>42068</v>
      </c>
      <c r="B1430">
        <v>127.550003</v>
      </c>
      <c r="C1430">
        <v>127.889999</v>
      </c>
      <c r="D1430">
        <v>127.050003</v>
      </c>
      <c r="E1430">
        <v>127.69000200000001</v>
      </c>
      <c r="F1430">
        <v>109.785492</v>
      </c>
      <c r="G1430">
        <v>896100</v>
      </c>
    </row>
    <row r="1431" spans="1:7" x14ac:dyDescent="0.45">
      <c r="A1431" s="1">
        <v>42069</v>
      </c>
      <c r="B1431">
        <v>126.44000200000001</v>
      </c>
      <c r="C1431">
        <v>126.510002</v>
      </c>
      <c r="D1431">
        <v>124.589996</v>
      </c>
      <c r="E1431">
        <v>124.800003</v>
      </c>
      <c r="F1431">
        <v>107.30070499999999</v>
      </c>
      <c r="G1431">
        <v>2049100</v>
      </c>
    </row>
    <row r="1432" spans="1:7" x14ac:dyDescent="0.45">
      <c r="A1432" s="1">
        <v>42072</v>
      </c>
      <c r="B1432">
        <v>124.879997</v>
      </c>
      <c r="C1432">
        <v>125.120003</v>
      </c>
      <c r="D1432">
        <v>123.699997</v>
      </c>
      <c r="E1432">
        <v>124.029999</v>
      </c>
      <c r="F1432">
        <v>106.63867999999999</v>
      </c>
      <c r="G1432">
        <v>1341000</v>
      </c>
    </row>
    <row r="1433" spans="1:7" x14ac:dyDescent="0.45">
      <c r="A1433" s="1">
        <v>42073</v>
      </c>
      <c r="B1433">
        <v>120.889999</v>
      </c>
      <c r="C1433">
        <v>120.94000200000001</v>
      </c>
      <c r="D1433">
        <v>119.41999800000001</v>
      </c>
      <c r="E1433">
        <v>119.69000200000001</v>
      </c>
      <c r="F1433">
        <v>102.907242</v>
      </c>
      <c r="G1433">
        <v>3305500</v>
      </c>
    </row>
    <row r="1434" spans="1:7" x14ac:dyDescent="0.45">
      <c r="A1434" s="1">
        <v>42074</v>
      </c>
      <c r="B1434">
        <v>120.910004</v>
      </c>
      <c r="C1434">
        <v>122.470001</v>
      </c>
      <c r="D1434">
        <v>120.620003</v>
      </c>
      <c r="E1434">
        <v>121.43</v>
      </c>
      <c r="F1434">
        <v>104.40325199999999</v>
      </c>
      <c r="G1434">
        <v>1842300</v>
      </c>
    </row>
    <row r="1435" spans="1:7" x14ac:dyDescent="0.45">
      <c r="A1435" s="1">
        <v>42075</v>
      </c>
      <c r="B1435">
        <v>122.540001</v>
      </c>
      <c r="C1435">
        <v>122.93</v>
      </c>
      <c r="D1435">
        <v>121.489998</v>
      </c>
      <c r="E1435">
        <v>122.93</v>
      </c>
      <c r="F1435">
        <v>105.692924</v>
      </c>
      <c r="G1435">
        <v>1415400</v>
      </c>
    </row>
    <row r="1436" spans="1:7" x14ac:dyDescent="0.45">
      <c r="A1436" s="1">
        <v>42076</v>
      </c>
      <c r="B1436">
        <v>121.019997</v>
      </c>
      <c r="C1436">
        <v>121.449997</v>
      </c>
      <c r="D1436">
        <v>120.019997</v>
      </c>
      <c r="E1436">
        <v>120.709999</v>
      </c>
      <c r="F1436">
        <v>103.78421</v>
      </c>
      <c r="G1436">
        <v>1723600</v>
      </c>
    </row>
    <row r="1437" spans="1:7" x14ac:dyDescent="0.45">
      <c r="A1437" s="1">
        <v>42079</v>
      </c>
      <c r="B1437">
        <v>121.550003</v>
      </c>
      <c r="C1437">
        <v>122.620003</v>
      </c>
      <c r="D1437">
        <v>121.540001</v>
      </c>
      <c r="E1437">
        <v>122.30999799999999</v>
      </c>
      <c r="F1437">
        <v>105.159859</v>
      </c>
      <c r="G1437">
        <v>1118400</v>
      </c>
    </row>
    <row r="1438" spans="1:7" x14ac:dyDescent="0.45">
      <c r="A1438" s="1">
        <v>42080</v>
      </c>
      <c r="B1438">
        <v>121.449997</v>
      </c>
      <c r="C1438">
        <v>121.610001</v>
      </c>
      <c r="D1438">
        <v>120.379997</v>
      </c>
      <c r="E1438">
        <v>121</v>
      </c>
      <c r="F1438">
        <v>104.033562</v>
      </c>
      <c r="G1438">
        <v>766000</v>
      </c>
    </row>
    <row r="1439" spans="1:7" x14ac:dyDescent="0.45">
      <c r="A1439" s="1">
        <v>42081</v>
      </c>
      <c r="B1439">
        <v>120.779999</v>
      </c>
      <c r="C1439">
        <v>123.269997</v>
      </c>
      <c r="D1439">
        <v>120.18</v>
      </c>
      <c r="E1439">
        <v>122.760002</v>
      </c>
      <c r="F1439">
        <v>105.546761</v>
      </c>
      <c r="G1439">
        <v>1295100</v>
      </c>
    </row>
    <row r="1440" spans="1:7" x14ac:dyDescent="0.45">
      <c r="A1440" s="1">
        <v>42082</v>
      </c>
      <c r="B1440">
        <v>120.900002</v>
      </c>
      <c r="C1440">
        <v>121.739998</v>
      </c>
      <c r="D1440">
        <v>120.900002</v>
      </c>
      <c r="E1440">
        <v>121.449997</v>
      </c>
      <c r="F1440">
        <v>104.420456</v>
      </c>
      <c r="G1440">
        <v>1168100</v>
      </c>
    </row>
    <row r="1441" spans="1:7" x14ac:dyDescent="0.45">
      <c r="A1441" s="1">
        <v>42083</v>
      </c>
      <c r="B1441">
        <v>122.519997</v>
      </c>
      <c r="C1441">
        <v>123.480003</v>
      </c>
      <c r="D1441">
        <v>121.900002</v>
      </c>
      <c r="E1441">
        <v>122.849998</v>
      </c>
      <c r="F1441">
        <v>105.624138</v>
      </c>
      <c r="G1441">
        <v>1028700</v>
      </c>
    </row>
    <row r="1442" spans="1:7" x14ac:dyDescent="0.45">
      <c r="A1442" s="1">
        <v>42086</v>
      </c>
      <c r="B1442">
        <v>123.55999799999999</v>
      </c>
      <c r="C1442">
        <v>124.089996</v>
      </c>
      <c r="D1442">
        <v>123.050003</v>
      </c>
      <c r="E1442">
        <v>123.33000199999999</v>
      </c>
      <c r="F1442">
        <v>106.03684199999999</v>
      </c>
      <c r="G1442">
        <v>1060500</v>
      </c>
    </row>
    <row r="1443" spans="1:7" x14ac:dyDescent="0.45">
      <c r="A1443" s="1">
        <v>42087</v>
      </c>
      <c r="B1443">
        <v>123.449997</v>
      </c>
      <c r="C1443">
        <v>123.57</v>
      </c>
      <c r="D1443">
        <v>122.300003</v>
      </c>
      <c r="E1443">
        <v>122.339996</v>
      </c>
      <c r="F1443">
        <v>105.18564600000001</v>
      </c>
      <c r="G1443">
        <v>614600</v>
      </c>
    </row>
    <row r="1444" spans="1:7" x14ac:dyDescent="0.45">
      <c r="A1444" s="1">
        <v>42088</v>
      </c>
      <c r="B1444">
        <v>123.75</v>
      </c>
      <c r="C1444">
        <v>123.900002</v>
      </c>
      <c r="D1444">
        <v>121.68</v>
      </c>
      <c r="E1444">
        <v>121.860001</v>
      </c>
      <c r="F1444">
        <v>104.772964</v>
      </c>
      <c r="G1444">
        <v>1488300</v>
      </c>
    </row>
    <row r="1445" spans="1:7" x14ac:dyDescent="0.45">
      <c r="A1445" s="1">
        <v>42089</v>
      </c>
      <c r="B1445">
        <v>121.150002</v>
      </c>
      <c r="C1445">
        <v>121.699997</v>
      </c>
      <c r="D1445">
        <v>120.43</v>
      </c>
      <c r="E1445">
        <v>121.110001</v>
      </c>
      <c r="F1445">
        <v>104.12812</v>
      </c>
      <c r="G1445">
        <v>1743800</v>
      </c>
    </row>
    <row r="1446" spans="1:7" x14ac:dyDescent="0.45">
      <c r="A1446" s="1">
        <v>42090</v>
      </c>
      <c r="B1446">
        <v>121.43</v>
      </c>
      <c r="C1446">
        <v>122.94000200000001</v>
      </c>
      <c r="D1446">
        <v>120.980003</v>
      </c>
      <c r="E1446">
        <v>122.550003</v>
      </c>
      <c r="F1446">
        <v>105.366219</v>
      </c>
      <c r="G1446">
        <v>1206400</v>
      </c>
    </row>
    <row r="1447" spans="1:7" x14ac:dyDescent="0.45">
      <c r="A1447" s="1">
        <v>42093</v>
      </c>
      <c r="B1447">
        <v>123.44000200000001</v>
      </c>
      <c r="C1447">
        <v>123.959999</v>
      </c>
      <c r="D1447">
        <v>123.220001</v>
      </c>
      <c r="E1447">
        <v>123.550003</v>
      </c>
      <c r="F1447">
        <v>106.225998</v>
      </c>
      <c r="G1447">
        <v>756700</v>
      </c>
    </row>
    <row r="1448" spans="1:7" x14ac:dyDescent="0.45">
      <c r="A1448" s="1">
        <v>42094</v>
      </c>
      <c r="B1448">
        <v>122.239998</v>
      </c>
      <c r="C1448">
        <v>122.93</v>
      </c>
      <c r="D1448">
        <v>121.860001</v>
      </c>
      <c r="E1448">
        <v>121.910004</v>
      </c>
      <c r="F1448">
        <v>104.81594800000001</v>
      </c>
      <c r="G1448">
        <v>813800</v>
      </c>
    </row>
    <row r="1449" spans="1:7" x14ac:dyDescent="0.45">
      <c r="A1449" s="1">
        <v>42095</v>
      </c>
      <c r="B1449">
        <v>123.629997</v>
      </c>
      <c r="C1449">
        <v>123.790001</v>
      </c>
      <c r="D1449">
        <v>122.55999799999999</v>
      </c>
      <c r="E1449">
        <v>123.489998</v>
      </c>
      <c r="F1449">
        <v>106.174408</v>
      </c>
      <c r="G1449">
        <v>1207500</v>
      </c>
    </row>
    <row r="1450" spans="1:7" x14ac:dyDescent="0.45">
      <c r="A1450" s="1">
        <v>42096</v>
      </c>
      <c r="B1450">
        <v>124.870003</v>
      </c>
      <c r="C1450">
        <v>125.839996</v>
      </c>
      <c r="D1450">
        <v>124.699997</v>
      </c>
      <c r="E1450">
        <v>125.709999</v>
      </c>
      <c r="F1450">
        <v>108.08311500000001</v>
      </c>
      <c r="G1450">
        <v>965500</v>
      </c>
    </row>
    <row r="1451" spans="1:7" x14ac:dyDescent="0.45">
      <c r="A1451" s="1">
        <v>42100</v>
      </c>
      <c r="B1451">
        <v>125.80999799999999</v>
      </c>
      <c r="C1451">
        <v>127.5</v>
      </c>
      <c r="D1451">
        <v>125.470001</v>
      </c>
      <c r="E1451">
        <v>126.660004</v>
      </c>
      <c r="F1451">
        <v>108.899918</v>
      </c>
      <c r="G1451">
        <v>603800</v>
      </c>
    </row>
    <row r="1452" spans="1:7" x14ac:dyDescent="0.45">
      <c r="A1452" s="1">
        <v>42101</v>
      </c>
      <c r="B1452">
        <v>126.900002</v>
      </c>
      <c r="C1452">
        <v>127.629997</v>
      </c>
      <c r="D1452">
        <v>126.529999</v>
      </c>
      <c r="E1452">
        <v>126.660004</v>
      </c>
      <c r="F1452">
        <v>108.899918</v>
      </c>
      <c r="G1452">
        <v>707800</v>
      </c>
    </row>
    <row r="1453" spans="1:7" x14ac:dyDescent="0.45">
      <c r="A1453" s="1">
        <v>42102</v>
      </c>
      <c r="B1453">
        <v>126.349998</v>
      </c>
      <c r="C1453">
        <v>126.650002</v>
      </c>
      <c r="D1453">
        <v>124.870003</v>
      </c>
      <c r="E1453">
        <v>125.540001</v>
      </c>
      <c r="F1453">
        <v>107.936943</v>
      </c>
      <c r="G1453">
        <v>1264500</v>
      </c>
    </row>
    <row r="1454" spans="1:7" x14ac:dyDescent="0.45">
      <c r="A1454" s="1">
        <v>42103</v>
      </c>
      <c r="B1454">
        <v>125.889999</v>
      </c>
      <c r="C1454">
        <v>125.980003</v>
      </c>
      <c r="D1454">
        <v>124.769997</v>
      </c>
      <c r="E1454">
        <v>125.91999800000001</v>
      </c>
      <c r="F1454">
        <v>108.26366400000001</v>
      </c>
      <c r="G1454">
        <v>862400</v>
      </c>
    </row>
    <row r="1455" spans="1:7" x14ac:dyDescent="0.45">
      <c r="A1455" s="1">
        <v>42104</v>
      </c>
      <c r="B1455">
        <v>124.209999</v>
      </c>
      <c r="C1455">
        <v>125.370003</v>
      </c>
      <c r="D1455">
        <v>123.910004</v>
      </c>
      <c r="E1455">
        <v>125.089996</v>
      </c>
      <c r="F1455">
        <v>107.550049</v>
      </c>
      <c r="G1455">
        <v>740900</v>
      </c>
    </row>
    <row r="1456" spans="1:7" x14ac:dyDescent="0.45">
      <c r="A1456" s="1">
        <v>42107</v>
      </c>
      <c r="B1456">
        <v>125.18</v>
      </c>
      <c r="C1456">
        <v>125.55999799999999</v>
      </c>
      <c r="D1456">
        <v>124.66999800000001</v>
      </c>
      <c r="E1456">
        <v>124.739998</v>
      </c>
      <c r="F1456">
        <v>107.249138</v>
      </c>
      <c r="G1456">
        <v>459000</v>
      </c>
    </row>
    <row r="1457" spans="1:7" x14ac:dyDescent="0.45">
      <c r="A1457" s="1">
        <v>42108</v>
      </c>
      <c r="B1457">
        <v>125.040001</v>
      </c>
      <c r="C1457">
        <v>125.389999</v>
      </c>
      <c r="D1457">
        <v>124.650002</v>
      </c>
      <c r="E1457">
        <v>125.239998</v>
      </c>
      <c r="F1457">
        <v>107.679016</v>
      </c>
      <c r="G1457">
        <v>500700</v>
      </c>
    </row>
    <row r="1458" spans="1:7" x14ac:dyDescent="0.45">
      <c r="A1458" s="1">
        <v>42109</v>
      </c>
      <c r="B1458">
        <v>125.349998</v>
      </c>
      <c r="C1458">
        <v>125.470001</v>
      </c>
      <c r="D1458">
        <v>124.010002</v>
      </c>
      <c r="E1458">
        <v>124.599998</v>
      </c>
      <c r="F1458">
        <v>107.128761</v>
      </c>
      <c r="G1458">
        <v>606300</v>
      </c>
    </row>
    <row r="1459" spans="1:7" x14ac:dyDescent="0.45">
      <c r="A1459" s="1">
        <v>42110</v>
      </c>
      <c r="B1459">
        <v>123.800003</v>
      </c>
      <c r="C1459">
        <v>124.980003</v>
      </c>
      <c r="D1459">
        <v>123.5</v>
      </c>
      <c r="E1459">
        <v>124.589996</v>
      </c>
      <c r="F1459">
        <v>107.12016300000001</v>
      </c>
      <c r="G1459">
        <v>802300</v>
      </c>
    </row>
    <row r="1460" spans="1:7" x14ac:dyDescent="0.45">
      <c r="A1460" s="1">
        <v>42111</v>
      </c>
      <c r="B1460">
        <v>123.879997</v>
      </c>
      <c r="C1460">
        <v>124.08000199999999</v>
      </c>
      <c r="D1460">
        <v>122.849998</v>
      </c>
      <c r="E1460">
        <v>123.709999</v>
      </c>
      <c r="F1460">
        <v>106.363556</v>
      </c>
      <c r="G1460">
        <v>683900</v>
      </c>
    </row>
    <row r="1461" spans="1:7" x14ac:dyDescent="0.45">
      <c r="A1461" s="1">
        <v>42114</v>
      </c>
      <c r="B1461">
        <v>123.18</v>
      </c>
      <c r="C1461">
        <v>123.639999</v>
      </c>
      <c r="D1461">
        <v>122.120003</v>
      </c>
      <c r="E1461">
        <v>122.599998</v>
      </c>
      <c r="F1461">
        <v>105.409195</v>
      </c>
      <c r="G1461">
        <v>1041700</v>
      </c>
    </row>
    <row r="1462" spans="1:7" x14ac:dyDescent="0.45">
      <c r="A1462" s="1">
        <v>42115</v>
      </c>
      <c r="B1462">
        <v>122.769997</v>
      </c>
      <c r="C1462">
        <v>123.80999799999999</v>
      </c>
      <c r="D1462">
        <v>122.68</v>
      </c>
      <c r="E1462">
        <v>123.400002</v>
      </c>
      <c r="F1462">
        <v>106.09702299999999</v>
      </c>
      <c r="G1462">
        <v>570600</v>
      </c>
    </row>
    <row r="1463" spans="1:7" x14ac:dyDescent="0.45">
      <c r="A1463" s="1">
        <v>42116</v>
      </c>
      <c r="B1463">
        <v>122.41999800000001</v>
      </c>
      <c r="C1463">
        <v>122.540001</v>
      </c>
      <c r="D1463">
        <v>121.260002</v>
      </c>
      <c r="E1463">
        <v>122.19000200000001</v>
      </c>
      <c r="F1463">
        <v>105.05669399999999</v>
      </c>
      <c r="G1463">
        <v>874500</v>
      </c>
    </row>
    <row r="1464" spans="1:7" x14ac:dyDescent="0.45">
      <c r="A1464" s="1">
        <v>42117</v>
      </c>
      <c r="B1464">
        <v>120.83000199999999</v>
      </c>
      <c r="C1464">
        <v>122.769997</v>
      </c>
      <c r="D1464">
        <v>120.720001</v>
      </c>
      <c r="E1464">
        <v>122.5</v>
      </c>
      <c r="F1464">
        <v>105.323235</v>
      </c>
      <c r="G1464">
        <v>1335300</v>
      </c>
    </row>
    <row r="1465" spans="1:7" x14ac:dyDescent="0.45">
      <c r="A1465" s="1">
        <v>42118</v>
      </c>
      <c r="B1465">
        <v>122.639999</v>
      </c>
      <c r="C1465">
        <v>123.889999</v>
      </c>
      <c r="D1465">
        <v>122.349998</v>
      </c>
      <c r="E1465">
        <v>123.720001</v>
      </c>
      <c r="F1465">
        <v>106.372147</v>
      </c>
      <c r="G1465">
        <v>793300</v>
      </c>
    </row>
    <row r="1466" spans="1:7" x14ac:dyDescent="0.45">
      <c r="A1466" s="1">
        <v>42121</v>
      </c>
      <c r="B1466">
        <v>125.30999799999999</v>
      </c>
      <c r="C1466">
        <v>125.720001</v>
      </c>
      <c r="D1466">
        <v>124.720001</v>
      </c>
      <c r="E1466">
        <v>124.839996</v>
      </c>
      <c r="F1466">
        <v>107.335106</v>
      </c>
      <c r="G1466">
        <v>899600</v>
      </c>
    </row>
    <row r="1467" spans="1:7" x14ac:dyDescent="0.45">
      <c r="A1467" s="1">
        <v>42122</v>
      </c>
      <c r="B1467">
        <v>124.230003</v>
      </c>
      <c r="C1467">
        <v>124.800003</v>
      </c>
      <c r="D1467">
        <v>123.760002</v>
      </c>
      <c r="E1467">
        <v>124.410004</v>
      </c>
      <c r="F1467">
        <v>106.965408</v>
      </c>
      <c r="G1467">
        <v>773300</v>
      </c>
    </row>
    <row r="1468" spans="1:7" x14ac:dyDescent="0.45">
      <c r="A1468" s="1">
        <v>42123</v>
      </c>
      <c r="B1468">
        <v>121.33000199999999</v>
      </c>
      <c r="C1468">
        <v>121.489998</v>
      </c>
      <c r="D1468">
        <v>119.010002</v>
      </c>
      <c r="E1468">
        <v>119.660004</v>
      </c>
      <c r="F1468">
        <v>104.71122699999999</v>
      </c>
      <c r="G1468">
        <v>1987500</v>
      </c>
    </row>
    <row r="1469" spans="1:7" x14ac:dyDescent="0.45">
      <c r="A1469" s="1">
        <v>42124</v>
      </c>
      <c r="B1469">
        <v>119.91999800000001</v>
      </c>
      <c r="C1469">
        <v>120.589996</v>
      </c>
      <c r="D1469">
        <v>119.66999800000001</v>
      </c>
      <c r="E1469">
        <v>120.040001</v>
      </c>
      <c r="F1469">
        <v>105.043739</v>
      </c>
      <c r="G1469">
        <v>845000</v>
      </c>
    </row>
    <row r="1470" spans="1:7" x14ac:dyDescent="0.45">
      <c r="A1470" s="1">
        <v>42125</v>
      </c>
      <c r="B1470">
        <v>120</v>
      </c>
      <c r="C1470">
        <v>121.41999800000001</v>
      </c>
      <c r="D1470">
        <v>119.900002</v>
      </c>
      <c r="E1470">
        <v>121.389999</v>
      </c>
      <c r="F1470">
        <v>106.225082</v>
      </c>
      <c r="G1470">
        <v>798600</v>
      </c>
    </row>
    <row r="1471" spans="1:7" x14ac:dyDescent="0.45">
      <c r="A1471" s="1">
        <v>42128</v>
      </c>
      <c r="B1471">
        <v>120.260002</v>
      </c>
      <c r="C1471">
        <v>120.33000199999999</v>
      </c>
      <c r="D1471">
        <v>118.230003</v>
      </c>
      <c r="E1471">
        <v>118.269997</v>
      </c>
      <c r="F1471">
        <v>103.49485799999999</v>
      </c>
      <c r="G1471">
        <v>1735900</v>
      </c>
    </row>
    <row r="1472" spans="1:7" x14ac:dyDescent="0.45">
      <c r="A1472" s="1">
        <v>42129</v>
      </c>
      <c r="B1472">
        <v>119.110001</v>
      </c>
      <c r="C1472">
        <v>119.199997</v>
      </c>
      <c r="D1472">
        <v>117.010002</v>
      </c>
      <c r="E1472">
        <v>117.199997</v>
      </c>
      <c r="F1472">
        <v>102.55853999999999</v>
      </c>
      <c r="G1472">
        <v>1621100</v>
      </c>
    </row>
    <row r="1473" spans="1:7" x14ac:dyDescent="0.45">
      <c r="A1473" s="1">
        <v>42130</v>
      </c>
      <c r="B1473">
        <v>120.599998</v>
      </c>
      <c r="C1473">
        <v>120.860001</v>
      </c>
      <c r="D1473">
        <v>119.449997</v>
      </c>
      <c r="E1473">
        <v>119.879997</v>
      </c>
      <c r="F1473">
        <v>104.90372499999999</v>
      </c>
      <c r="G1473">
        <v>2361900</v>
      </c>
    </row>
    <row r="1474" spans="1:7" x14ac:dyDescent="0.45">
      <c r="A1474" s="1">
        <v>42131</v>
      </c>
      <c r="B1474">
        <v>119.08000199999999</v>
      </c>
      <c r="C1474">
        <v>120.480003</v>
      </c>
      <c r="D1474">
        <v>118.760002</v>
      </c>
      <c r="E1474">
        <v>119.69000200000001</v>
      </c>
      <c r="F1474">
        <v>104.73747299999999</v>
      </c>
      <c r="G1474">
        <v>1355000</v>
      </c>
    </row>
    <row r="1475" spans="1:7" x14ac:dyDescent="0.45">
      <c r="A1475" s="1">
        <v>42132</v>
      </c>
      <c r="B1475">
        <v>121.949997</v>
      </c>
      <c r="C1475">
        <v>123.07</v>
      </c>
      <c r="D1475">
        <v>121.83000199999999</v>
      </c>
      <c r="E1475">
        <v>122.589996</v>
      </c>
      <c r="F1475">
        <v>107.27516900000001</v>
      </c>
      <c r="G1475">
        <v>2050000</v>
      </c>
    </row>
    <row r="1476" spans="1:7" x14ac:dyDescent="0.45">
      <c r="A1476" s="1">
        <v>42135</v>
      </c>
      <c r="B1476">
        <v>120.949997</v>
      </c>
      <c r="C1476">
        <v>122.800003</v>
      </c>
      <c r="D1476">
        <v>120.860001</v>
      </c>
      <c r="E1476">
        <v>121.199997</v>
      </c>
      <c r="F1476">
        <v>106.05883</v>
      </c>
      <c r="G1476">
        <v>1091600</v>
      </c>
    </row>
    <row r="1477" spans="1:7" x14ac:dyDescent="0.45">
      <c r="A1477" s="1">
        <v>42136</v>
      </c>
      <c r="B1477">
        <v>121.529999</v>
      </c>
      <c r="C1477">
        <v>121.540001</v>
      </c>
      <c r="D1477">
        <v>120.239998</v>
      </c>
      <c r="E1477">
        <v>120.66999800000001</v>
      </c>
      <c r="F1477">
        <v>105.595039</v>
      </c>
      <c r="G1477">
        <v>1169700</v>
      </c>
    </row>
    <row r="1478" spans="1:7" x14ac:dyDescent="0.45">
      <c r="A1478" s="1">
        <v>42137</v>
      </c>
      <c r="B1478">
        <v>121.989998</v>
      </c>
      <c r="C1478">
        <v>122.32</v>
      </c>
      <c r="D1478">
        <v>120.459999</v>
      </c>
      <c r="E1478">
        <v>120.80999799999999</v>
      </c>
      <c r="F1478">
        <v>105.71753699999999</v>
      </c>
      <c r="G1478">
        <v>794700</v>
      </c>
    </row>
    <row r="1479" spans="1:7" x14ac:dyDescent="0.45">
      <c r="A1479" s="1">
        <v>42138</v>
      </c>
      <c r="B1479">
        <v>122.029999</v>
      </c>
      <c r="C1479">
        <v>122.80999799999999</v>
      </c>
      <c r="D1479">
        <v>121.870003</v>
      </c>
      <c r="E1479">
        <v>122.709999</v>
      </c>
      <c r="F1479">
        <v>107.38018</v>
      </c>
      <c r="G1479">
        <v>1007100</v>
      </c>
    </row>
    <row r="1480" spans="1:7" x14ac:dyDescent="0.45">
      <c r="A1480" s="1">
        <v>42139</v>
      </c>
      <c r="B1480">
        <v>122.599998</v>
      </c>
      <c r="C1480">
        <v>123.339996</v>
      </c>
      <c r="D1480">
        <v>122.110001</v>
      </c>
      <c r="E1480">
        <v>122.980003</v>
      </c>
      <c r="F1480">
        <v>107.616463</v>
      </c>
      <c r="G1480">
        <v>926900</v>
      </c>
    </row>
    <row r="1481" spans="1:7" x14ac:dyDescent="0.45">
      <c r="A1481" s="1">
        <v>42142</v>
      </c>
      <c r="B1481">
        <v>121.769997</v>
      </c>
      <c r="C1481">
        <v>122.699997</v>
      </c>
      <c r="D1481">
        <v>121.449997</v>
      </c>
      <c r="E1481">
        <v>122.019997</v>
      </c>
      <c r="F1481">
        <v>106.77639000000001</v>
      </c>
      <c r="G1481">
        <v>1099700</v>
      </c>
    </row>
    <row r="1482" spans="1:7" x14ac:dyDescent="0.45">
      <c r="A1482" s="1">
        <v>42143</v>
      </c>
      <c r="B1482">
        <v>123.519997</v>
      </c>
      <c r="C1482">
        <v>124.220001</v>
      </c>
      <c r="D1482">
        <v>123.18</v>
      </c>
      <c r="E1482">
        <v>123.800003</v>
      </c>
      <c r="F1482">
        <v>108.334023</v>
      </c>
      <c r="G1482">
        <v>949900</v>
      </c>
    </row>
    <row r="1483" spans="1:7" x14ac:dyDescent="0.45">
      <c r="A1483" s="1">
        <v>42144</v>
      </c>
      <c r="B1483">
        <v>123.5</v>
      </c>
      <c r="C1483">
        <v>124.029999</v>
      </c>
      <c r="D1483">
        <v>123.160004</v>
      </c>
      <c r="E1483">
        <v>123.400002</v>
      </c>
      <c r="F1483">
        <v>107.983986</v>
      </c>
      <c r="G1483">
        <v>626100</v>
      </c>
    </row>
    <row r="1484" spans="1:7" x14ac:dyDescent="0.45">
      <c r="A1484" s="1">
        <v>42145</v>
      </c>
      <c r="B1484">
        <v>123.5</v>
      </c>
      <c r="C1484">
        <v>124.33000199999999</v>
      </c>
      <c r="D1484">
        <v>123.480003</v>
      </c>
      <c r="E1484">
        <v>123.910004</v>
      </c>
      <c r="F1484">
        <v>108.43027499999999</v>
      </c>
      <c r="G1484">
        <v>609400</v>
      </c>
    </row>
    <row r="1485" spans="1:7" x14ac:dyDescent="0.45">
      <c r="A1485" s="1">
        <v>42146</v>
      </c>
      <c r="B1485">
        <v>123.959999</v>
      </c>
      <c r="C1485">
        <v>123.959999</v>
      </c>
      <c r="D1485">
        <v>122.32</v>
      </c>
      <c r="E1485">
        <v>122.540001</v>
      </c>
      <c r="F1485">
        <v>107.231438</v>
      </c>
      <c r="G1485">
        <v>593600</v>
      </c>
    </row>
    <row r="1486" spans="1:7" x14ac:dyDescent="0.45">
      <c r="A1486" s="1">
        <v>42150</v>
      </c>
      <c r="B1486">
        <v>122.05999799999999</v>
      </c>
      <c r="C1486">
        <v>122.220001</v>
      </c>
      <c r="D1486">
        <v>120.040001</v>
      </c>
      <c r="E1486">
        <v>120.05999799999999</v>
      </c>
      <c r="F1486">
        <v>105.061234</v>
      </c>
      <c r="G1486">
        <v>792600</v>
      </c>
    </row>
    <row r="1487" spans="1:7" x14ac:dyDescent="0.45">
      <c r="A1487" s="1">
        <v>42151</v>
      </c>
      <c r="B1487">
        <v>120.379997</v>
      </c>
      <c r="C1487">
        <v>122.489998</v>
      </c>
      <c r="D1487">
        <v>120.300003</v>
      </c>
      <c r="E1487">
        <v>121.94000200000001</v>
      </c>
      <c r="F1487">
        <v>106.706383</v>
      </c>
      <c r="G1487">
        <v>1437800</v>
      </c>
    </row>
    <row r="1488" spans="1:7" x14ac:dyDescent="0.45">
      <c r="A1488" s="1">
        <v>42152</v>
      </c>
      <c r="B1488">
        <v>122.489998</v>
      </c>
      <c r="C1488">
        <v>122.58000199999999</v>
      </c>
      <c r="D1488">
        <v>121.349998</v>
      </c>
      <c r="E1488">
        <v>122.379997</v>
      </c>
      <c r="F1488">
        <v>107.091408</v>
      </c>
      <c r="G1488">
        <v>624400</v>
      </c>
    </row>
    <row r="1489" spans="1:7" x14ac:dyDescent="0.45">
      <c r="A1489" s="1">
        <v>42153</v>
      </c>
      <c r="B1489">
        <v>122.010002</v>
      </c>
      <c r="C1489">
        <v>122.099998</v>
      </c>
      <c r="D1489">
        <v>119.91999800000001</v>
      </c>
      <c r="E1489">
        <v>120.55999799999999</v>
      </c>
      <c r="F1489">
        <v>105.49878699999999</v>
      </c>
      <c r="G1489">
        <v>1019200</v>
      </c>
    </row>
    <row r="1490" spans="1:7" x14ac:dyDescent="0.45">
      <c r="A1490" s="1">
        <v>42156</v>
      </c>
      <c r="B1490">
        <v>120.239998</v>
      </c>
      <c r="C1490">
        <v>120.410004</v>
      </c>
      <c r="D1490">
        <v>119.07</v>
      </c>
      <c r="E1490">
        <v>119.290001</v>
      </c>
      <c r="F1490">
        <v>104.387451</v>
      </c>
      <c r="G1490">
        <v>898000</v>
      </c>
    </row>
    <row r="1491" spans="1:7" x14ac:dyDescent="0.45">
      <c r="A1491" s="1">
        <v>42157</v>
      </c>
      <c r="B1491">
        <v>120.629997</v>
      </c>
      <c r="C1491">
        <v>122.41999800000001</v>
      </c>
      <c r="D1491">
        <v>120.30999799999999</v>
      </c>
      <c r="E1491">
        <v>122</v>
      </c>
      <c r="F1491">
        <v>106.758881</v>
      </c>
      <c r="G1491">
        <v>1458000</v>
      </c>
    </row>
    <row r="1492" spans="1:7" x14ac:dyDescent="0.45">
      <c r="A1492" s="1">
        <v>42158</v>
      </c>
      <c r="B1492">
        <v>123.599998</v>
      </c>
      <c r="C1492">
        <v>123.849998</v>
      </c>
      <c r="D1492">
        <v>122.75</v>
      </c>
      <c r="E1492">
        <v>123.07</v>
      </c>
      <c r="F1492">
        <v>107.695206</v>
      </c>
      <c r="G1492">
        <v>1601200</v>
      </c>
    </row>
    <row r="1493" spans="1:7" x14ac:dyDescent="0.45">
      <c r="A1493" s="1">
        <v>42159</v>
      </c>
      <c r="B1493">
        <v>121.529999</v>
      </c>
      <c r="C1493">
        <v>123.239998</v>
      </c>
      <c r="D1493">
        <v>121.33000199999999</v>
      </c>
      <c r="E1493">
        <v>121.779999</v>
      </c>
      <c r="F1493">
        <v>106.566368</v>
      </c>
      <c r="G1493">
        <v>1523400</v>
      </c>
    </row>
    <row r="1494" spans="1:7" x14ac:dyDescent="0.45">
      <c r="A1494" s="1">
        <v>42160</v>
      </c>
      <c r="B1494">
        <v>119.58000199999999</v>
      </c>
      <c r="C1494">
        <v>125.139999</v>
      </c>
      <c r="D1494">
        <v>118.639999</v>
      </c>
      <c r="E1494">
        <v>124.5</v>
      </c>
      <c r="F1494">
        <v>108.946579</v>
      </c>
      <c r="G1494">
        <v>4752400</v>
      </c>
    </row>
    <row r="1495" spans="1:7" x14ac:dyDescent="0.45">
      <c r="A1495" s="1">
        <v>42163</v>
      </c>
      <c r="B1495">
        <v>120.540001</v>
      </c>
      <c r="C1495">
        <v>121.839996</v>
      </c>
      <c r="D1495">
        <v>119.93</v>
      </c>
      <c r="E1495">
        <v>120.589996</v>
      </c>
      <c r="F1495">
        <v>105.525032</v>
      </c>
      <c r="G1495">
        <v>2792000</v>
      </c>
    </row>
    <row r="1496" spans="1:7" x14ac:dyDescent="0.45">
      <c r="A1496" s="1">
        <v>42164</v>
      </c>
      <c r="B1496">
        <v>120.120003</v>
      </c>
      <c r="C1496">
        <v>120.970001</v>
      </c>
      <c r="D1496">
        <v>119.379997</v>
      </c>
      <c r="E1496">
        <v>120.230003</v>
      </c>
      <c r="F1496">
        <v>105.210007</v>
      </c>
      <c r="G1496">
        <v>939100</v>
      </c>
    </row>
    <row r="1497" spans="1:7" x14ac:dyDescent="0.45">
      <c r="A1497" s="1">
        <v>42165</v>
      </c>
      <c r="B1497">
        <v>120.910004</v>
      </c>
      <c r="C1497">
        <v>123.360001</v>
      </c>
      <c r="D1497">
        <v>120.650002</v>
      </c>
      <c r="E1497">
        <v>122.410004</v>
      </c>
      <c r="F1497">
        <v>107.11766799999999</v>
      </c>
      <c r="G1497">
        <v>907600</v>
      </c>
    </row>
    <row r="1498" spans="1:7" x14ac:dyDescent="0.45">
      <c r="A1498" s="1">
        <v>42166</v>
      </c>
      <c r="B1498">
        <v>123.80999799999999</v>
      </c>
      <c r="C1498">
        <v>124.589996</v>
      </c>
      <c r="D1498">
        <v>122.610001</v>
      </c>
      <c r="E1498">
        <v>122.94000200000001</v>
      </c>
      <c r="F1498">
        <v>107.581451</v>
      </c>
      <c r="G1498">
        <v>1089800</v>
      </c>
    </row>
    <row r="1499" spans="1:7" x14ac:dyDescent="0.45">
      <c r="A1499" s="1">
        <v>42167</v>
      </c>
      <c r="B1499">
        <v>120.849998</v>
      </c>
      <c r="C1499">
        <v>122.489998</v>
      </c>
      <c r="D1499">
        <v>120.550003</v>
      </c>
      <c r="E1499">
        <v>122.019997</v>
      </c>
      <c r="F1499">
        <v>106.77639000000001</v>
      </c>
      <c r="G1499">
        <v>1220400</v>
      </c>
    </row>
    <row r="1500" spans="1:7" x14ac:dyDescent="0.45">
      <c r="A1500" s="1">
        <v>42170</v>
      </c>
      <c r="B1500">
        <v>120.389999</v>
      </c>
      <c r="C1500">
        <v>121.410004</v>
      </c>
      <c r="D1500">
        <v>120.05999799999999</v>
      </c>
      <c r="E1500">
        <v>120.400002</v>
      </c>
      <c r="F1500">
        <v>105.35876500000001</v>
      </c>
      <c r="G1500">
        <v>1556400</v>
      </c>
    </row>
    <row r="1501" spans="1:7" x14ac:dyDescent="0.45">
      <c r="A1501" s="1">
        <v>42171</v>
      </c>
      <c r="B1501">
        <v>120.08000199999999</v>
      </c>
      <c r="C1501">
        <v>121.699997</v>
      </c>
      <c r="D1501">
        <v>119.80999799999999</v>
      </c>
      <c r="E1501">
        <v>121.410004</v>
      </c>
      <c r="F1501">
        <v>106.24260700000001</v>
      </c>
      <c r="G1501">
        <v>603000</v>
      </c>
    </row>
    <row r="1502" spans="1:7" x14ac:dyDescent="0.45">
      <c r="A1502" s="1">
        <v>42172</v>
      </c>
      <c r="B1502">
        <v>120.30999799999999</v>
      </c>
      <c r="C1502">
        <v>121.93</v>
      </c>
      <c r="D1502">
        <v>120.30999799999999</v>
      </c>
      <c r="E1502">
        <v>121.43</v>
      </c>
      <c r="F1502">
        <v>106.260086</v>
      </c>
      <c r="G1502">
        <v>1061700</v>
      </c>
    </row>
    <row r="1503" spans="1:7" x14ac:dyDescent="0.45">
      <c r="A1503" s="1">
        <v>42173</v>
      </c>
      <c r="B1503">
        <v>122.089996</v>
      </c>
      <c r="C1503">
        <v>123.470001</v>
      </c>
      <c r="D1503">
        <v>121.44000200000001</v>
      </c>
      <c r="E1503">
        <v>122.69000200000001</v>
      </c>
      <c r="F1503">
        <v>107.362686</v>
      </c>
      <c r="G1503">
        <v>1252400</v>
      </c>
    </row>
    <row r="1504" spans="1:7" x14ac:dyDescent="0.45">
      <c r="A1504" s="1">
        <v>42174</v>
      </c>
      <c r="B1504">
        <v>122.69000200000001</v>
      </c>
      <c r="C1504">
        <v>122.849998</v>
      </c>
      <c r="D1504">
        <v>121.91999800000001</v>
      </c>
      <c r="E1504">
        <v>122.010002</v>
      </c>
      <c r="F1504">
        <v>106.76763200000001</v>
      </c>
      <c r="G1504">
        <v>1285000</v>
      </c>
    </row>
    <row r="1505" spans="1:7" x14ac:dyDescent="0.45">
      <c r="A1505" s="1">
        <v>42177</v>
      </c>
      <c r="B1505">
        <v>125.07</v>
      </c>
      <c r="C1505">
        <v>126.589996</v>
      </c>
      <c r="D1505">
        <v>124.790001</v>
      </c>
      <c r="E1505">
        <v>124.980003</v>
      </c>
      <c r="F1505">
        <v>109.366608</v>
      </c>
      <c r="G1505">
        <v>1311400</v>
      </c>
    </row>
    <row r="1506" spans="1:7" x14ac:dyDescent="0.45">
      <c r="A1506" s="1">
        <v>42178</v>
      </c>
      <c r="B1506">
        <v>126.19000200000001</v>
      </c>
      <c r="C1506">
        <v>126.449997</v>
      </c>
      <c r="D1506">
        <v>125.389999</v>
      </c>
      <c r="E1506">
        <v>126.16999800000001</v>
      </c>
      <c r="F1506">
        <v>110.40793600000001</v>
      </c>
      <c r="G1506">
        <v>1010000</v>
      </c>
    </row>
    <row r="1507" spans="1:7" x14ac:dyDescent="0.45">
      <c r="A1507" s="1">
        <v>42179</v>
      </c>
      <c r="B1507">
        <v>126.43</v>
      </c>
      <c r="C1507">
        <v>127.349998</v>
      </c>
      <c r="D1507">
        <v>126</v>
      </c>
      <c r="E1507">
        <v>126.089996</v>
      </c>
      <c r="F1507">
        <v>110.33792099999999</v>
      </c>
      <c r="G1507">
        <v>1035700</v>
      </c>
    </row>
    <row r="1508" spans="1:7" x14ac:dyDescent="0.45">
      <c r="A1508" s="1">
        <v>42180</v>
      </c>
      <c r="B1508">
        <v>126.089996</v>
      </c>
      <c r="C1508">
        <v>126.529999</v>
      </c>
      <c r="D1508">
        <v>124.459999</v>
      </c>
      <c r="E1508">
        <v>125.5</v>
      </c>
      <c r="F1508">
        <v>109.82164</v>
      </c>
      <c r="G1508">
        <v>1525800</v>
      </c>
    </row>
    <row r="1509" spans="1:7" x14ac:dyDescent="0.45">
      <c r="A1509" s="1">
        <v>42181</v>
      </c>
      <c r="B1509">
        <v>126.519997</v>
      </c>
      <c r="C1509">
        <v>126.93</v>
      </c>
      <c r="D1509">
        <v>125.360001</v>
      </c>
      <c r="E1509">
        <v>125.94000200000001</v>
      </c>
      <c r="F1509">
        <v>110.20667299999999</v>
      </c>
      <c r="G1509">
        <v>582000</v>
      </c>
    </row>
    <row r="1510" spans="1:7" x14ac:dyDescent="0.45">
      <c r="A1510" s="1">
        <v>42184</v>
      </c>
      <c r="B1510">
        <v>122.790001</v>
      </c>
      <c r="C1510">
        <v>123.339996</v>
      </c>
      <c r="D1510">
        <v>121.589996</v>
      </c>
      <c r="E1510">
        <v>121.849998</v>
      </c>
      <c r="F1510">
        <v>106.62763200000001</v>
      </c>
      <c r="G1510">
        <v>1540800</v>
      </c>
    </row>
    <row r="1511" spans="1:7" x14ac:dyDescent="0.45">
      <c r="A1511" s="1">
        <v>42185</v>
      </c>
      <c r="B1511">
        <v>122.900002</v>
      </c>
      <c r="C1511">
        <v>122.900002</v>
      </c>
      <c r="D1511">
        <v>119.739998</v>
      </c>
      <c r="E1511">
        <v>120.66999800000001</v>
      </c>
      <c r="F1511">
        <v>105.595039</v>
      </c>
      <c r="G1511">
        <v>2325700</v>
      </c>
    </row>
    <row r="1512" spans="1:7" x14ac:dyDescent="0.45">
      <c r="A1512" s="1">
        <v>42186</v>
      </c>
      <c r="B1512">
        <v>122.970001</v>
      </c>
      <c r="C1512">
        <v>123.33000199999999</v>
      </c>
      <c r="D1512">
        <v>121.709999</v>
      </c>
      <c r="E1512">
        <v>122.55999799999999</v>
      </c>
      <c r="F1512">
        <v>107.248924</v>
      </c>
      <c r="G1512">
        <v>1162000</v>
      </c>
    </row>
    <row r="1513" spans="1:7" x14ac:dyDescent="0.45">
      <c r="A1513" s="1">
        <v>42187</v>
      </c>
      <c r="B1513">
        <v>121.900002</v>
      </c>
      <c r="C1513">
        <v>122.129997</v>
      </c>
      <c r="D1513">
        <v>121.199997</v>
      </c>
      <c r="E1513">
        <v>121.959999</v>
      </c>
      <c r="F1513">
        <v>106.723877</v>
      </c>
      <c r="G1513">
        <v>698400</v>
      </c>
    </row>
    <row r="1514" spans="1:7" x14ac:dyDescent="0.45">
      <c r="A1514" s="1">
        <v>42191</v>
      </c>
      <c r="B1514">
        <v>117.949997</v>
      </c>
      <c r="C1514">
        <v>119.339996</v>
      </c>
      <c r="D1514">
        <v>117.660004</v>
      </c>
      <c r="E1514">
        <v>118.410004</v>
      </c>
      <c r="F1514">
        <v>103.61737100000001</v>
      </c>
      <c r="G1514">
        <v>2195900</v>
      </c>
    </row>
    <row r="1515" spans="1:7" x14ac:dyDescent="0.45">
      <c r="A1515" s="1">
        <v>42192</v>
      </c>
      <c r="B1515">
        <v>117.379997</v>
      </c>
      <c r="C1515">
        <v>119.489998</v>
      </c>
      <c r="D1515">
        <v>115.949997</v>
      </c>
      <c r="E1515">
        <v>119.400002</v>
      </c>
      <c r="F1515">
        <v>104.48369599999999</v>
      </c>
      <c r="G1515">
        <v>2344700</v>
      </c>
    </row>
    <row r="1516" spans="1:7" x14ac:dyDescent="0.45">
      <c r="A1516" s="1">
        <v>42193</v>
      </c>
      <c r="B1516">
        <v>119.470001</v>
      </c>
      <c r="C1516">
        <v>119.589996</v>
      </c>
      <c r="D1516">
        <v>118.32</v>
      </c>
      <c r="E1516">
        <v>118.629997</v>
      </c>
      <c r="F1516">
        <v>103.80989099999999</v>
      </c>
      <c r="G1516">
        <v>828000</v>
      </c>
    </row>
    <row r="1517" spans="1:7" x14ac:dyDescent="0.45">
      <c r="A1517" s="1">
        <v>42194</v>
      </c>
      <c r="B1517">
        <v>121.449997</v>
      </c>
      <c r="C1517">
        <v>121.91999800000001</v>
      </c>
      <c r="D1517">
        <v>120.349998</v>
      </c>
      <c r="E1517">
        <v>120.400002</v>
      </c>
      <c r="F1517">
        <v>105.35876500000001</v>
      </c>
      <c r="G1517">
        <v>1670300</v>
      </c>
    </row>
    <row r="1518" spans="1:7" x14ac:dyDescent="0.45">
      <c r="A1518" s="1">
        <v>42195</v>
      </c>
      <c r="B1518">
        <v>126.239998</v>
      </c>
      <c r="C1518">
        <v>126.949997</v>
      </c>
      <c r="D1518">
        <v>125.339996</v>
      </c>
      <c r="E1518">
        <v>126.610001</v>
      </c>
      <c r="F1518">
        <v>110.792976</v>
      </c>
      <c r="G1518">
        <v>3460300</v>
      </c>
    </row>
    <row r="1519" spans="1:7" x14ac:dyDescent="0.45">
      <c r="A1519" s="1">
        <v>42198</v>
      </c>
      <c r="B1519">
        <v>126.839996</v>
      </c>
      <c r="C1519">
        <v>127.139999</v>
      </c>
      <c r="D1519">
        <v>126.08000199999999</v>
      </c>
      <c r="E1519">
        <v>126.660004</v>
      </c>
      <c r="F1519">
        <v>110.836731</v>
      </c>
      <c r="G1519">
        <v>1563700</v>
      </c>
    </row>
    <row r="1520" spans="1:7" x14ac:dyDescent="0.45">
      <c r="A1520" s="1">
        <v>42199</v>
      </c>
      <c r="B1520">
        <v>127.139999</v>
      </c>
      <c r="C1520">
        <v>127.41999800000001</v>
      </c>
      <c r="D1520">
        <v>126.290001</v>
      </c>
      <c r="E1520">
        <v>127.050003</v>
      </c>
      <c r="F1520">
        <v>111.17800099999999</v>
      </c>
      <c r="G1520">
        <v>2036100</v>
      </c>
    </row>
    <row r="1521" spans="1:7" x14ac:dyDescent="0.45">
      <c r="A1521" s="1">
        <v>42200</v>
      </c>
      <c r="B1521">
        <v>127.620003</v>
      </c>
      <c r="C1521">
        <v>128.050003</v>
      </c>
      <c r="D1521">
        <v>126.949997</v>
      </c>
      <c r="E1521">
        <v>127.18</v>
      </c>
      <c r="F1521">
        <v>111.291763</v>
      </c>
      <c r="G1521">
        <v>1062100</v>
      </c>
    </row>
    <row r="1522" spans="1:7" x14ac:dyDescent="0.45">
      <c r="A1522" s="1">
        <v>42201</v>
      </c>
      <c r="B1522">
        <v>128.949997</v>
      </c>
      <c r="C1522">
        <v>128.96000699999999</v>
      </c>
      <c r="D1522">
        <v>127.970001</v>
      </c>
      <c r="E1522">
        <v>128.429993</v>
      </c>
      <c r="F1522">
        <v>112.385605</v>
      </c>
      <c r="G1522">
        <v>1826500</v>
      </c>
    </row>
    <row r="1523" spans="1:7" x14ac:dyDescent="0.45">
      <c r="A1523" s="1">
        <v>42202</v>
      </c>
      <c r="B1523">
        <v>128.270004</v>
      </c>
      <c r="C1523">
        <v>128.509995</v>
      </c>
      <c r="D1523">
        <v>127.589996</v>
      </c>
      <c r="E1523">
        <v>128.5</v>
      </c>
      <c r="F1523">
        <v>112.446854</v>
      </c>
      <c r="G1523">
        <v>844200</v>
      </c>
    </row>
    <row r="1524" spans="1:7" x14ac:dyDescent="0.45">
      <c r="A1524" s="1">
        <v>42205</v>
      </c>
      <c r="B1524">
        <v>128.759995</v>
      </c>
      <c r="C1524">
        <v>129.240005</v>
      </c>
      <c r="D1524">
        <v>128.41999799999999</v>
      </c>
      <c r="E1524">
        <v>128.509995</v>
      </c>
      <c r="F1524">
        <v>112.455612</v>
      </c>
      <c r="G1524">
        <v>1026400</v>
      </c>
    </row>
    <row r="1525" spans="1:7" x14ac:dyDescent="0.45">
      <c r="A1525" s="1">
        <v>42206</v>
      </c>
      <c r="B1525">
        <v>128.229996</v>
      </c>
      <c r="C1525">
        <v>128.36999499999999</v>
      </c>
      <c r="D1525">
        <v>127.260002</v>
      </c>
      <c r="E1525">
        <v>128.070007</v>
      </c>
      <c r="F1525">
        <v>112.070595</v>
      </c>
      <c r="G1525">
        <v>1535100</v>
      </c>
    </row>
    <row r="1526" spans="1:7" x14ac:dyDescent="0.45">
      <c r="A1526" s="1">
        <v>42207</v>
      </c>
      <c r="B1526">
        <v>126.730003</v>
      </c>
      <c r="C1526">
        <v>127.959999</v>
      </c>
      <c r="D1526">
        <v>126.720001</v>
      </c>
      <c r="E1526">
        <v>127.470001</v>
      </c>
      <c r="F1526">
        <v>111.54553199999999</v>
      </c>
      <c r="G1526">
        <v>854400</v>
      </c>
    </row>
    <row r="1527" spans="1:7" x14ac:dyDescent="0.45">
      <c r="A1527" s="1">
        <v>42208</v>
      </c>
      <c r="B1527">
        <v>127.129997</v>
      </c>
      <c r="C1527">
        <v>127.139999</v>
      </c>
      <c r="D1527">
        <v>125.519997</v>
      </c>
      <c r="E1527">
        <v>125.800003</v>
      </c>
      <c r="F1527">
        <v>110.08416699999999</v>
      </c>
      <c r="G1527">
        <v>1412600</v>
      </c>
    </row>
    <row r="1528" spans="1:7" x14ac:dyDescent="0.45">
      <c r="A1528" s="1">
        <v>42209</v>
      </c>
      <c r="B1528">
        <v>125.870003</v>
      </c>
      <c r="C1528">
        <v>126.040001</v>
      </c>
      <c r="D1528">
        <v>124.269997</v>
      </c>
      <c r="E1528">
        <v>124.389999</v>
      </c>
      <c r="F1528">
        <v>108.85030399999999</v>
      </c>
      <c r="G1528">
        <v>1116100</v>
      </c>
    </row>
    <row r="1529" spans="1:7" x14ac:dyDescent="0.45">
      <c r="A1529" s="1">
        <v>42212</v>
      </c>
      <c r="B1529">
        <v>123.69000200000001</v>
      </c>
      <c r="C1529">
        <v>123.91999800000001</v>
      </c>
      <c r="D1529">
        <v>122.800003</v>
      </c>
      <c r="E1529">
        <v>123.339996</v>
      </c>
      <c r="F1529">
        <v>107.93147999999999</v>
      </c>
      <c r="G1529">
        <v>1400700</v>
      </c>
    </row>
    <row r="1530" spans="1:7" x14ac:dyDescent="0.45">
      <c r="A1530" s="1">
        <v>42213</v>
      </c>
      <c r="B1530">
        <v>123.529999</v>
      </c>
      <c r="C1530">
        <v>124.230003</v>
      </c>
      <c r="D1530">
        <v>122.900002</v>
      </c>
      <c r="E1530">
        <v>123.800003</v>
      </c>
      <c r="F1530">
        <v>108.334023</v>
      </c>
      <c r="G1530">
        <v>983400</v>
      </c>
    </row>
    <row r="1531" spans="1:7" x14ac:dyDescent="0.45">
      <c r="A1531" s="1">
        <v>42214</v>
      </c>
      <c r="B1531">
        <v>124.529999</v>
      </c>
      <c r="C1531">
        <v>125.629997</v>
      </c>
      <c r="D1531">
        <v>124.470001</v>
      </c>
      <c r="E1531">
        <v>125.089996</v>
      </c>
      <c r="F1531">
        <v>109.462852</v>
      </c>
      <c r="G1531">
        <v>1115900</v>
      </c>
    </row>
    <row r="1532" spans="1:7" x14ac:dyDescent="0.45">
      <c r="A1532" s="1">
        <v>42215</v>
      </c>
      <c r="B1532">
        <v>119.010002</v>
      </c>
      <c r="C1532">
        <v>120.5</v>
      </c>
      <c r="D1532">
        <v>118.80999799999999</v>
      </c>
      <c r="E1532">
        <v>119.900002</v>
      </c>
      <c r="F1532">
        <v>104.921234</v>
      </c>
      <c r="G1532">
        <v>3943000</v>
      </c>
    </row>
    <row r="1533" spans="1:7" x14ac:dyDescent="0.45">
      <c r="A1533" s="1">
        <v>42216</v>
      </c>
      <c r="B1533">
        <v>118.019997</v>
      </c>
      <c r="C1533">
        <v>119.870003</v>
      </c>
      <c r="D1533">
        <v>117.879997</v>
      </c>
      <c r="E1533">
        <v>119.550003</v>
      </c>
      <c r="F1533">
        <v>104.61496</v>
      </c>
      <c r="G1533">
        <v>2065100</v>
      </c>
    </row>
    <row r="1534" spans="1:7" x14ac:dyDescent="0.45">
      <c r="A1534" s="1">
        <v>42219</v>
      </c>
      <c r="B1534">
        <v>121.779999</v>
      </c>
      <c r="C1534">
        <v>122.19000200000001</v>
      </c>
      <c r="D1534">
        <v>119.32</v>
      </c>
      <c r="E1534">
        <v>120.150002</v>
      </c>
      <c r="F1534">
        <v>105.139999</v>
      </c>
      <c r="G1534">
        <v>1921100</v>
      </c>
    </row>
    <row r="1535" spans="1:7" x14ac:dyDescent="0.45">
      <c r="A1535" s="1">
        <v>42220</v>
      </c>
      <c r="B1535">
        <v>120.849998</v>
      </c>
      <c r="C1535">
        <v>120.900002</v>
      </c>
      <c r="D1535">
        <v>119.44000200000001</v>
      </c>
      <c r="E1535">
        <v>119.629997</v>
      </c>
      <c r="F1535">
        <v>104.68495900000001</v>
      </c>
      <c r="G1535">
        <v>865400</v>
      </c>
    </row>
    <row r="1536" spans="1:7" x14ac:dyDescent="0.45">
      <c r="A1536" s="1">
        <v>42221</v>
      </c>
      <c r="B1536">
        <v>120.779999</v>
      </c>
      <c r="C1536">
        <v>121.80999799999999</v>
      </c>
      <c r="D1536">
        <v>120.620003</v>
      </c>
      <c r="E1536">
        <v>121.760002</v>
      </c>
      <c r="F1536">
        <v>106.548866</v>
      </c>
      <c r="G1536">
        <v>807900</v>
      </c>
    </row>
    <row r="1537" spans="1:7" x14ac:dyDescent="0.45">
      <c r="A1537" s="1">
        <v>42222</v>
      </c>
      <c r="B1537">
        <v>122.839996</v>
      </c>
      <c r="C1537">
        <v>122.94000200000001</v>
      </c>
      <c r="D1537">
        <v>121.279999</v>
      </c>
      <c r="E1537">
        <v>121.889999</v>
      </c>
      <c r="F1537">
        <v>106.662628</v>
      </c>
      <c r="G1537">
        <v>794500</v>
      </c>
    </row>
    <row r="1538" spans="1:7" x14ac:dyDescent="0.45">
      <c r="A1538" s="1">
        <v>42223</v>
      </c>
      <c r="B1538">
        <v>120.44000200000001</v>
      </c>
      <c r="C1538">
        <v>120.839996</v>
      </c>
      <c r="D1538">
        <v>119.75</v>
      </c>
      <c r="E1538">
        <v>120.620003</v>
      </c>
      <c r="F1538">
        <v>105.55128499999999</v>
      </c>
      <c r="G1538">
        <v>742900</v>
      </c>
    </row>
    <row r="1539" spans="1:7" x14ac:dyDescent="0.45">
      <c r="A1539" s="1">
        <v>42226</v>
      </c>
      <c r="B1539">
        <v>121.620003</v>
      </c>
      <c r="C1539">
        <v>122</v>
      </c>
      <c r="D1539">
        <v>121.199997</v>
      </c>
      <c r="E1539">
        <v>121.949997</v>
      </c>
      <c r="F1539">
        <v>106.71513400000001</v>
      </c>
      <c r="G1539">
        <v>874600</v>
      </c>
    </row>
    <row r="1540" spans="1:7" x14ac:dyDescent="0.45">
      <c r="A1540" s="1">
        <v>42227</v>
      </c>
      <c r="B1540">
        <v>121.69000200000001</v>
      </c>
      <c r="C1540">
        <v>121.75</v>
      </c>
      <c r="D1540">
        <v>120.18</v>
      </c>
      <c r="E1540">
        <v>120.949997</v>
      </c>
      <c r="F1540">
        <v>105.840057</v>
      </c>
      <c r="G1540">
        <v>979300</v>
      </c>
    </row>
    <row r="1541" spans="1:7" x14ac:dyDescent="0.45">
      <c r="A1541" s="1">
        <v>42228</v>
      </c>
      <c r="B1541">
        <v>118.83000199999999</v>
      </c>
      <c r="C1541">
        <v>119.43</v>
      </c>
      <c r="D1541">
        <v>117.769997</v>
      </c>
      <c r="E1541">
        <v>119.239998</v>
      </c>
      <c r="F1541">
        <v>104.34367399999999</v>
      </c>
      <c r="G1541">
        <v>1576700</v>
      </c>
    </row>
    <row r="1542" spans="1:7" x14ac:dyDescent="0.45">
      <c r="A1542" s="1">
        <v>42229</v>
      </c>
      <c r="B1542">
        <v>119.120003</v>
      </c>
      <c r="C1542">
        <v>119.480003</v>
      </c>
      <c r="D1542">
        <v>118.69000200000001</v>
      </c>
      <c r="E1542">
        <v>118.959999</v>
      </c>
      <c r="F1542">
        <v>104.098671</v>
      </c>
      <c r="G1542">
        <v>534900</v>
      </c>
    </row>
    <row r="1543" spans="1:7" x14ac:dyDescent="0.45">
      <c r="A1543" s="1">
        <v>42230</v>
      </c>
      <c r="B1543">
        <v>117.360001</v>
      </c>
      <c r="C1543">
        <v>117.75</v>
      </c>
      <c r="D1543">
        <v>116.550003</v>
      </c>
      <c r="E1543">
        <v>117.32</v>
      </c>
      <c r="F1543">
        <v>102.66353599999999</v>
      </c>
      <c r="G1543">
        <v>1407800</v>
      </c>
    </row>
    <row r="1544" spans="1:7" x14ac:dyDescent="0.45">
      <c r="A1544" s="1">
        <v>42233</v>
      </c>
      <c r="B1544">
        <v>115.050003</v>
      </c>
      <c r="C1544">
        <v>116.849998</v>
      </c>
      <c r="D1544">
        <v>114.629997</v>
      </c>
      <c r="E1544">
        <v>116.760002</v>
      </c>
      <c r="F1544">
        <v>102.1735</v>
      </c>
      <c r="G1544">
        <v>2478800</v>
      </c>
    </row>
    <row r="1545" spans="1:7" x14ac:dyDescent="0.45">
      <c r="A1545" s="1">
        <v>42234</v>
      </c>
      <c r="B1545">
        <v>115.279999</v>
      </c>
      <c r="C1545">
        <v>117.550003</v>
      </c>
      <c r="D1545">
        <v>115.18</v>
      </c>
      <c r="E1545">
        <v>116.94000200000001</v>
      </c>
      <c r="F1545">
        <v>102.331024</v>
      </c>
      <c r="G1545">
        <v>2666900</v>
      </c>
    </row>
    <row r="1546" spans="1:7" x14ac:dyDescent="0.45">
      <c r="A1546" s="1">
        <v>42235</v>
      </c>
      <c r="B1546">
        <v>115.33000199999999</v>
      </c>
      <c r="C1546">
        <v>115.33000199999999</v>
      </c>
      <c r="D1546">
        <v>114.129997</v>
      </c>
      <c r="E1546">
        <v>114.540001</v>
      </c>
      <c r="F1546">
        <v>100.23085</v>
      </c>
      <c r="G1546">
        <v>1763700</v>
      </c>
    </row>
    <row r="1547" spans="1:7" x14ac:dyDescent="0.45">
      <c r="A1547" s="1">
        <v>42236</v>
      </c>
      <c r="B1547">
        <v>113.449997</v>
      </c>
      <c r="C1547">
        <v>113.449997</v>
      </c>
      <c r="D1547">
        <v>112.110001</v>
      </c>
      <c r="E1547">
        <v>112.150002</v>
      </c>
      <c r="F1547">
        <v>98.139420000000001</v>
      </c>
      <c r="G1547">
        <v>2026100</v>
      </c>
    </row>
    <row r="1548" spans="1:7" x14ac:dyDescent="0.45">
      <c r="A1548" s="1">
        <v>42237</v>
      </c>
      <c r="B1548">
        <v>111.94000200000001</v>
      </c>
      <c r="C1548">
        <v>111.980003</v>
      </c>
      <c r="D1548">
        <v>108.91999800000001</v>
      </c>
      <c r="E1548">
        <v>108.959999</v>
      </c>
      <c r="F1548">
        <v>95.347938999999997</v>
      </c>
      <c r="G1548">
        <v>3153900</v>
      </c>
    </row>
    <row r="1549" spans="1:7" x14ac:dyDescent="0.45">
      <c r="A1549" s="1">
        <v>42240</v>
      </c>
      <c r="B1549">
        <v>104.529999</v>
      </c>
      <c r="C1549">
        <v>113.099998</v>
      </c>
      <c r="D1549">
        <v>102.58000199999999</v>
      </c>
      <c r="E1549">
        <v>107.459999</v>
      </c>
      <c r="F1549">
        <v>94.035331999999997</v>
      </c>
      <c r="G1549">
        <v>5104200</v>
      </c>
    </row>
    <row r="1550" spans="1:7" x14ac:dyDescent="0.45">
      <c r="A1550" s="1">
        <v>42241</v>
      </c>
      <c r="B1550">
        <v>109.66999800000001</v>
      </c>
      <c r="C1550">
        <v>109.75</v>
      </c>
      <c r="D1550">
        <v>106.050003</v>
      </c>
      <c r="E1550">
        <v>106.16999800000001</v>
      </c>
      <c r="F1550">
        <v>92.906479000000004</v>
      </c>
      <c r="G1550">
        <v>2038700</v>
      </c>
    </row>
    <row r="1551" spans="1:7" x14ac:dyDescent="0.45">
      <c r="A1551" s="1">
        <v>42242</v>
      </c>
      <c r="B1551">
        <v>108.57</v>
      </c>
      <c r="C1551">
        <v>108.760002</v>
      </c>
      <c r="D1551">
        <v>106.18</v>
      </c>
      <c r="E1551">
        <v>108.18</v>
      </c>
      <c r="F1551">
        <v>94.665367000000003</v>
      </c>
      <c r="G1551">
        <v>2411900</v>
      </c>
    </row>
    <row r="1552" spans="1:7" x14ac:dyDescent="0.45">
      <c r="A1552" s="1">
        <v>42243</v>
      </c>
      <c r="B1552">
        <v>108.900002</v>
      </c>
      <c r="C1552">
        <v>110.41999800000001</v>
      </c>
      <c r="D1552">
        <v>107.94000200000001</v>
      </c>
      <c r="E1552">
        <v>110.32</v>
      </c>
      <c r="F1552">
        <v>96.538039999999995</v>
      </c>
      <c r="G1552">
        <v>2172200</v>
      </c>
    </row>
    <row r="1553" spans="1:7" x14ac:dyDescent="0.45">
      <c r="A1553" s="1">
        <v>42244</v>
      </c>
      <c r="B1553">
        <v>109.150002</v>
      </c>
      <c r="C1553">
        <v>109.959999</v>
      </c>
      <c r="D1553">
        <v>108.5</v>
      </c>
      <c r="E1553">
        <v>109.889999</v>
      </c>
      <c r="F1553">
        <v>96.161750999999995</v>
      </c>
      <c r="G1553">
        <v>1340500</v>
      </c>
    </row>
    <row r="1554" spans="1:7" x14ac:dyDescent="0.45">
      <c r="A1554" s="1">
        <v>42247</v>
      </c>
      <c r="B1554">
        <v>108.739998</v>
      </c>
      <c r="C1554">
        <v>109.389999</v>
      </c>
      <c r="D1554">
        <v>108.18</v>
      </c>
      <c r="E1554">
        <v>108.910004</v>
      </c>
      <c r="F1554">
        <v>95.304175999999998</v>
      </c>
      <c r="G1554">
        <v>1244100</v>
      </c>
    </row>
    <row r="1555" spans="1:7" x14ac:dyDescent="0.45">
      <c r="A1555" s="1">
        <v>42248</v>
      </c>
      <c r="B1555">
        <v>106.540001</v>
      </c>
      <c r="C1555">
        <v>106.959999</v>
      </c>
      <c r="D1555">
        <v>105.410004</v>
      </c>
      <c r="E1555">
        <v>106.07</v>
      </c>
      <c r="F1555">
        <v>92.818969999999993</v>
      </c>
      <c r="G1555">
        <v>1636300</v>
      </c>
    </row>
    <row r="1556" spans="1:7" x14ac:dyDescent="0.45">
      <c r="A1556" s="1">
        <v>42249</v>
      </c>
      <c r="B1556">
        <v>108.010002</v>
      </c>
      <c r="C1556">
        <v>108.339996</v>
      </c>
      <c r="D1556">
        <v>107.099998</v>
      </c>
      <c r="E1556">
        <v>108.260002</v>
      </c>
      <c r="F1556">
        <v>94.735389999999995</v>
      </c>
      <c r="G1556">
        <v>1119200</v>
      </c>
    </row>
    <row r="1557" spans="1:7" x14ac:dyDescent="0.45">
      <c r="A1557" s="1">
        <v>42250</v>
      </c>
      <c r="B1557">
        <v>108.44000200000001</v>
      </c>
      <c r="C1557">
        <v>109.050003</v>
      </c>
      <c r="D1557">
        <v>107.510002</v>
      </c>
      <c r="E1557">
        <v>107.839996</v>
      </c>
      <c r="F1557">
        <v>94.367844000000005</v>
      </c>
      <c r="G1557">
        <v>1015200</v>
      </c>
    </row>
    <row r="1558" spans="1:7" x14ac:dyDescent="0.45">
      <c r="A1558" s="1">
        <v>42251</v>
      </c>
      <c r="B1558">
        <v>105.599998</v>
      </c>
      <c r="C1558">
        <v>106.449997</v>
      </c>
      <c r="D1558">
        <v>105.449997</v>
      </c>
      <c r="E1558">
        <v>105.900002</v>
      </c>
      <c r="F1558">
        <v>92.670203999999998</v>
      </c>
      <c r="G1558">
        <v>759100</v>
      </c>
    </row>
    <row r="1559" spans="1:7" x14ac:dyDescent="0.45">
      <c r="A1559" s="1">
        <v>42255</v>
      </c>
      <c r="B1559">
        <v>107.91999800000001</v>
      </c>
      <c r="C1559">
        <v>108.230003</v>
      </c>
      <c r="D1559">
        <v>106.870003</v>
      </c>
      <c r="E1559">
        <v>107.94000200000001</v>
      </c>
      <c r="F1559">
        <v>94.455353000000002</v>
      </c>
      <c r="G1559">
        <v>768200</v>
      </c>
    </row>
    <row r="1560" spans="1:7" x14ac:dyDescent="0.45">
      <c r="A1560" s="1">
        <v>42256</v>
      </c>
      <c r="B1560">
        <v>110.55999799999999</v>
      </c>
      <c r="C1560">
        <v>110.68</v>
      </c>
      <c r="D1560">
        <v>107.91999800000001</v>
      </c>
      <c r="E1560">
        <v>108.05999799999999</v>
      </c>
      <c r="F1560">
        <v>94.560371000000004</v>
      </c>
      <c r="G1560">
        <v>2646200</v>
      </c>
    </row>
    <row r="1561" spans="1:7" x14ac:dyDescent="0.45">
      <c r="A1561" s="1">
        <v>42257</v>
      </c>
      <c r="B1561">
        <v>106.69000200000001</v>
      </c>
      <c r="C1561">
        <v>109</v>
      </c>
      <c r="D1561">
        <v>106.5</v>
      </c>
      <c r="E1561">
        <v>108.129997</v>
      </c>
      <c r="F1561">
        <v>94.621619999999993</v>
      </c>
      <c r="G1561">
        <v>4540200</v>
      </c>
    </row>
    <row r="1562" spans="1:7" x14ac:dyDescent="0.45">
      <c r="A1562" s="1">
        <v>42258</v>
      </c>
      <c r="B1562">
        <v>106.83000199999999</v>
      </c>
      <c r="C1562">
        <v>107.779999</v>
      </c>
      <c r="D1562">
        <v>106.389999</v>
      </c>
      <c r="E1562">
        <v>107.550003</v>
      </c>
      <c r="F1562">
        <v>94.114090000000004</v>
      </c>
      <c r="G1562">
        <v>1707000</v>
      </c>
    </row>
    <row r="1563" spans="1:7" x14ac:dyDescent="0.45">
      <c r="A1563" s="1">
        <v>42261</v>
      </c>
      <c r="B1563">
        <v>107.099998</v>
      </c>
      <c r="C1563">
        <v>107.41999800000001</v>
      </c>
      <c r="D1563">
        <v>106.260002</v>
      </c>
      <c r="E1563">
        <v>106.400002</v>
      </c>
      <c r="F1563">
        <v>93.107758000000004</v>
      </c>
      <c r="G1563">
        <v>2369800</v>
      </c>
    </row>
    <row r="1564" spans="1:7" x14ac:dyDescent="0.45">
      <c r="A1564" s="1">
        <v>42262</v>
      </c>
      <c r="B1564">
        <v>106</v>
      </c>
      <c r="C1564">
        <v>108.230003</v>
      </c>
      <c r="D1564">
        <v>105.550003</v>
      </c>
      <c r="E1564">
        <v>108.040001</v>
      </c>
      <c r="F1564">
        <v>94.542877000000004</v>
      </c>
      <c r="G1564">
        <v>3156100</v>
      </c>
    </row>
    <row r="1565" spans="1:7" x14ac:dyDescent="0.45">
      <c r="A1565" s="1">
        <v>42263</v>
      </c>
      <c r="B1565">
        <v>114.32</v>
      </c>
      <c r="C1565">
        <v>116.879997</v>
      </c>
      <c r="D1565">
        <v>112.800003</v>
      </c>
      <c r="E1565">
        <v>115.43</v>
      </c>
      <c r="F1565">
        <v>101.009659</v>
      </c>
      <c r="G1565">
        <v>10876900</v>
      </c>
    </row>
    <row r="1566" spans="1:7" x14ac:dyDescent="0.45">
      <c r="A1566" s="1">
        <v>42264</v>
      </c>
      <c r="B1566">
        <v>113.629997</v>
      </c>
      <c r="C1566">
        <v>116.629997</v>
      </c>
      <c r="D1566">
        <v>113.300003</v>
      </c>
      <c r="E1566">
        <v>114.80999799999999</v>
      </c>
      <c r="F1566">
        <v>100.467102</v>
      </c>
      <c r="G1566">
        <v>2509500</v>
      </c>
    </row>
    <row r="1567" spans="1:7" x14ac:dyDescent="0.45">
      <c r="A1567" s="1">
        <v>42265</v>
      </c>
      <c r="B1567">
        <v>111.720001</v>
      </c>
      <c r="C1567">
        <v>116.129997</v>
      </c>
      <c r="D1567">
        <v>111.639999</v>
      </c>
      <c r="E1567">
        <v>114.33000199999999</v>
      </c>
      <c r="F1567">
        <v>100.047073</v>
      </c>
      <c r="G1567">
        <v>4562700</v>
      </c>
    </row>
    <row r="1568" spans="1:7" x14ac:dyDescent="0.45">
      <c r="A1568" s="1">
        <v>42268</v>
      </c>
      <c r="B1568">
        <v>111.230003</v>
      </c>
      <c r="C1568">
        <v>111.529999</v>
      </c>
      <c r="D1568">
        <v>110.040001</v>
      </c>
      <c r="E1568">
        <v>110.459999</v>
      </c>
      <c r="F1568">
        <v>96.660538000000003</v>
      </c>
      <c r="G1568">
        <v>4296700</v>
      </c>
    </row>
    <row r="1569" spans="1:7" x14ac:dyDescent="0.45">
      <c r="A1569" s="1">
        <v>42269</v>
      </c>
      <c r="B1569">
        <v>107.449997</v>
      </c>
      <c r="C1569">
        <v>107.699997</v>
      </c>
      <c r="D1569">
        <v>106.32</v>
      </c>
      <c r="E1569">
        <v>107.470001</v>
      </c>
      <c r="F1569">
        <v>94.044083000000001</v>
      </c>
      <c r="G1569">
        <v>3149600</v>
      </c>
    </row>
    <row r="1570" spans="1:7" x14ac:dyDescent="0.45">
      <c r="A1570" s="1">
        <v>42270</v>
      </c>
      <c r="B1570">
        <v>108.57</v>
      </c>
      <c r="C1570">
        <v>109.110001</v>
      </c>
      <c r="D1570">
        <v>107.32</v>
      </c>
      <c r="E1570">
        <v>107.82</v>
      </c>
      <c r="F1570">
        <v>94.350357000000002</v>
      </c>
      <c r="G1570">
        <v>2296600</v>
      </c>
    </row>
    <row r="1571" spans="1:7" x14ac:dyDescent="0.45">
      <c r="A1571" s="1">
        <v>42271</v>
      </c>
      <c r="B1571">
        <v>106.94000200000001</v>
      </c>
      <c r="C1571">
        <v>107.33000199999999</v>
      </c>
      <c r="D1571">
        <v>105.5</v>
      </c>
      <c r="E1571">
        <v>106.860001</v>
      </c>
      <c r="F1571">
        <v>93.510277000000002</v>
      </c>
      <c r="G1571">
        <v>2204400</v>
      </c>
    </row>
    <row r="1572" spans="1:7" x14ac:dyDescent="0.45">
      <c r="A1572" s="1">
        <v>42272</v>
      </c>
      <c r="B1572">
        <v>107.989998</v>
      </c>
      <c r="C1572">
        <v>109.660004</v>
      </c>
      <c r="D1572">
        <v>107.800003</v>
      </c>
      <c r="E1572">
        <v>109.510002</v>
      </c>
      <c r="F1572">
        <v>95.829223999999996</v>
      </c>
      <c r="G1572">
        <v>2451600</v>
      </c>
    </row>
    <row r="1573" spans="1:7" x14ac:dyDescent="0.45">
      <c r="A1573" s="1">
        <v>42275</v>
      </c>
      <c r="B1573">
        <v>109.269997</v>
      </c>
      <c r="C1573">
        <v>109.269997</v>
      </c>
      <c r="D1573">
        <v>105.589996</v>
      </c>
      <c r="E1573">
        <v>105.720001</v>
      </c>
      <c r="F1573">
        <v>92.512694999999994</v>
      </c>
      <c r="G1573">
        <v>3889800</v>
      </c>
    </row>
    <row r="1574" spans="1:7" x14ac:dyDescent="0.45">
      <c r="A1574" s="1">
        <v>42276</v>
      </c>
      <c r="B1574">
        <v>105.470001</v>
      </c>
      <c r="C1574">
        <v>106.220001</v>
      </c>
      <c r="D1574">
        <v>103.19000200000001</v>
      </c>
      <c r="E1574">
        <v>103.860001</v>
      </c>
      <c r="F1574">
        <v>90.885056000000006</v>
      </c>
      <c r="G1574">
        <v>3718100</v>
      </c>
    </row>
    <row r="1575" spans="1:7" x14ac:dyDescent="0.45">
      <c r="A1575" s="1">
        <v>42277</v>
      </c>
      <c r="B1575">
        <v>106.43</v>
      </c>
      <c r="C1575">
        <v>106.540001</v>
      </c>
      <c r="D1575">
        <v>105.449997</v>
      </c>
      <c r="E1575">
        <v>106.32</v>
      </c>
      <c r="F1575">
        <v>93.037757999999997</v>
      </c>
      <c r="G1575">
        <v>1706600</v>
      </c>
    </row>
    <row r="1576" spans="1:7" x14ac:dyDescent="0.45">
      <c r="A1576" s="1">
        <v>42278</v>
      </c>
      <c r="B1576">
        <v>106.099998</v>
      </c>
      <c r="C1576">
        <v>106.66999800000001</v>
      </c>
      <c r="D1576">
        <v>105.339996</v>
      </c>
      <c r="E1576">
        <v>106.66999800000001</v>
      </c>
      <c r="F1576">
        <v>93.344016999999994</v>
      </c>
      <c r="G1576">
        <v>1420100</v>
      </c>
    </row>
    <row r="1577" spans="1:7" x14ac:dyDescent="0.45">
      <c r="A1577" s="1">
        <v>42279</v>
      </c>
      <c r="B1577">
        <v>106.33000199999999</v>
      </c>
      <c r="C1577">
        <v>110.16999800000001</v>
      </c>
      <c r="D1577">
        <v>105.989998</v>
      </c>
      <c r="E1577">
        <v>110.040001</v>
      </c>
      <c r="F1577">
        <v>96.293014999999997</v>
      </c>
      <c r="G1577">
        <v>2725000</v>
      </c>
    </row>
    <row r="1578" spans="1:7" x14ac:dyDescent="0.45">
      <c r="A1578" s="1">
        <v>42282</v>
      </c>
      <c r="B1578">
        <v>110.459999</v>
      </c>
      <c r="C1578">
        <v>110.870003</v>
      </c>
      <c r="D1578">
        <v>109.900002</v>
      </c>
      <c r="E1578">
        <v>110.739998</v>
      </c>
      <c r="F1578">
        <v>96.905563000000001</v>
      </c>
      <c r="G1578">
        <v>1074600</v>
      </c>
    </row>
    <row r="1579" spans="1:7" x14ac:dyDescent="0.45">
      <c r="A1579" s="1">
        <v>42283</v>
      </c>
      <c r="B1579">
        <v>109.650002</v>
      </c>
      <c r="C1579">
        <v>110.800003</v>
      </c>
      <c r="D1579">
        <v>109.199997</v>
      </c>
      <c r="E1579">
        <v>109.599998</v>
      </c>
      <c r="F1579">
        <v>95.907966999999999</v>
      </c>
      <c r="G1579">
        <v>1240100</v>
      </c>
    </row>
    <row r="1580" spans="1:7" x14ac:dyDescent="0.45">
      <c r="A1580" s="1">
        <v>42284</v>
      </c>
      <c r="B1580">
        <v>111.769997</v>
      </c>
      <c r="C1580">
        <v>112.209999</v>
      </c>
      <c r="D1580">
        <v>110.33000199999999</v>
      </c>
      <c r="E1580">
        <v>110.959999</v>
      </c>
      <c r="F1580">
        <v>97.098076000000006</v>
      </c>
      <c r="G1580">
        <v>1984200</v>
      </c>
    </row>
    <row r="1581" spans="1:7" x14ac:dyDescent="0.45">
      <c r="A1581" s="1">
        <v>42285</v>
      </c>
      <c r="B1581">
        <v>109.489998</v>
      </c>
      <c r="C1581">
        <v>110.900002</v>
      </c>
      <c r="D1581">
        <v>109.470001</v>
      </c>
      <c r="E1581">
        <v>110.69000200000001</v>
      </c>
      <c r="F1581">
        <v>96.861808999999994</v>
      </c>
      <c r="G1581">
        <v>1267500</v>
      </c>
    </row>
    <row r="1582" spans="1:7" x14ac:dyDescent="0.45">
      <c r="A1582" s="1">
        <v>42286</v>
      </c>
      <c r="B1582">
        <v>111.41999800000001</v>
      </c>
      <c r="C1582">
        <v>112.08000199999999</v>
      </c>
      <c r="D1582">
        <v>111.19000200000001</v>
      </c>
      <c r="E1582">
        <v>111.879997</v>
      </c>
      <c r="F1582">
        <v>97.903144999999995</v>
      </c>
      <c r="G1582">
        <v>1615600</v>
      </c>
    </row>
    <row r="1583" spans="1:7" x14ac:dyDescent="0.45">
      <c r="A1583" s="1">
        <v>42289</v>
      </c>
      <c r="B1583">
        <v>112</v>
      </c>
      <c r="C1583">
        <v>112.58000199999999</v>
      </c>
      <c r="D1583">
        <v>111.400002</v>
      </c>
      <c r="E1583">
        <v>111.489998</v>
      </c>
      <c r="F1583">
        <v>97.561874000000003</v>
      </c>
      <c r="G1583">
        <v>1903200</v>
      </c>
    </row>
    <row r="1584" spans="1:7" x14ac:dyDescent="0.45">
      <c r="A1584" s="1">
        <v>42290</v>
      </c>
      <c r="B1584">
        <v>113.050003</v>
      </c>
      <c r="C1584">
        <v>114.349998</v>
      </c>
      <c r="D1584">
        <v>112.870003</v>
      </c>
      <c r="E1584">
        <v>113.83000199999999</v>
      </c>
      <c r="F1584">
        <v>99.609549999999999</v>
      </c>
      <c r="G1584">
        <v>4221600</v>
      </c>
    </row>
    <row r="1585" spans="1:7" x14ac:dyDescent="0.45">
      <c r="A1585" s="1">
        <v>42291</v>
      </c>
      <c r="B1585">
        <v>115.379997</v>
      </c>
      <c r="C1585">
        <v>116.089996</v>
      </c>
      <c r="D1585">
        <v>114.910004</v>
      </c>
      <c r="E1585">
        <v>115.43</v>
      </c>
      <c r="F1585">
        <v>101.009659</v>
      </c>
      <c r="G1585">
        <v>3918400</v>
      </c>
    </row>
    <row r="1586" spans="1:7" x14ac:dyDescent="0.45">
      <c r="A1586" s="1">
        <v>42292</v>
      </c>
      <c r="B1586">
        <v>115.470001</v>
      </c>
      <c r="C1586">
        <v>115.93</v>
      </c>
      <c r="D1586">
        <v>114.349998</v>
      </c>
      <c r="E1586">
        <v>115.260002</v>
      </c>
      <c r="F1586">
        <v>100.860901</v>
      </c>
      <c r="G1586">
        <v>2544700</v>
      </c>
    </row>
    <row r="1587" spans="1:7" x14ac:dyDescent="0.45">
      <c r="A1587" s="1">
        <v>42293</v>
      </c>
      <c r="B1587">
        <v>114.949997</v>
      </c>
      <c r="C1587">
        <v>115.650002</v>
      </c>
      <c r="D1587">
        <v>114.629997</v>
      </c>
      <c r="E1587">
        <v>115.099998</v>
      </c>
      <c r="F1587">
        <v>100.72088599999999</v>
      </c>
      <c r="G1587">
        <v>1310300</v>
      </c>
    </row>
    <row r="1588" spans="1:7" x14ac:dyDescent="0.45">
      <c r="A1588" s="1">
        <v>42296</v>
      </c>
      <c r="B1588">
        <v>116.199997</v>
      </c>
      <c r="C1588">
        <v>116.470001</v>
      </c>
      <c r="D1588">
        <v>115.83000199999999</v>
      </c>
      <c r="E1588">
        <v>116.129997</v>
      </c>
      <c r="F1588">
        <v>101.622208</v>
      </c>
      <c r="G1588">
        <v>902500</v>
      </c>
    </row>
    <row r="1589" spans="1:7" x14ac:dyDescent="0.45">
      <c r="A1589" s="1">
        <v>42297</v>
      </c>
      <c r="B1589">
        <v>115.800003</v>
      </c>
      <c r="C1589">
        <v>116.470001</v>
      </c>
      <c r="D1589">
        <v>115.349998</v>
      </c>
      <c r="E1589">
        <v>116.029999</v>
      </c>
      <c r="F1589">
        <v>101.534706</v>
      </c>
      <c r="G1589">
        <v>1459800</v>
      </c>
    </row>
    <row r="1590" spans="1:7" x14ac:dyDescent="0.45">
      <c r="A1590" s="1">
        <v>42298</v>
      </c>
      <c r="B1590">
        <v>115.83000199999999</v>
      </c>
      <c r="C1590">
        <v>115.910004</v>
      </c>
      <c r="D1590">
        <v>114.099998</v>
      </c>
      <c r="E1590">
        <v>114.129997</v>
      </c>
      <c r="F1590">
        <v>99.872062999999997</v>
      </c>
      <c r="G1590">
        <v>1355700</v>
      </c>
    </row>
    <row r="1591" spans="1:7" x14ac:dyDescent="0.45">
      <c r="A1591" s="1">
        <v>42299</v>
      </c>
      <c r="B1591">
        <v>117</v>
      </c>
      <c r="C1591">
        <v>117.480003</v>
      </c>
      <c r="D1591">
        <v>116.25</v>
      </c>
      <c r="E1591">
        <v>117.269997</v>
      </c>
      <c r="F1591">
        <v>102.61979700000001</v>
      </c>
      <c r="G1591">
        <v>1743200</v>
      </c>
    </row>
    <row r="1592" spans="1:7" x14ac:dyDescent="0.45">
      <c r="A1592" s="1">
        <v>42300</v>
      </c>
      <c r="B1592">
        <v>119.019997</v>
      </c>
      <c r="C1592">
        <v>119.110001</v>
      </c>
      <c r="D1592">
        <v>117.58000199999999</v>
      </c>
      <c r="E1592">
        <v>118.730003</v>
      </c>
      <c r="F1592">
        <v>103.8974</v>
      </c>
      <c r="G1592">
        <v>1592600</v>
      </c>
    </row>
    <row r="1593" spans="1:7" x14ac:dyDescent="0.45">
      <c r="A1593" s="1">
        <v>42303</v>
      </c>
      <c r="B1593">
        <v>118.32</v>
      </c>
      <c r="C1593">
        <v>118.730003</v>
      </c>
      <c r="D1593">
        <v>117.550003</v>
      </c>
      <c r="E1593">
        <v>117.900002</v>
      </c>
      <c r="F1593">
        <v>103.17108899999999</v>
      </c>
      <c r="G1593">
        <v>986900</v>
      </c>
    </row>
    <row r="1594" spans="1:7" x14ac:dyDescent="0.45">
      <c r="A1594" s="1">
        <v>42304</v>
      </c>
      <c r="B1594">
        <v>117.80999799999999</v>
      </c>
      <c r="C1594">
        <v>118</v>
      </c>
      <c r="D1594">
        <v>117.040001</v>
      </c>
      <c r="E1594">
        <v>117.209999</v>
      </c>
      <c r="F1594">
        <v>102.567291</v>
      </c>
      <c r="G1594">
        <v>1261700</v>
      </c>
    </row>
    <row r="1595" spans="1:7" x14ac:dyDescent="0.45">
      <c r="A1595" s="1">
        <v>42305</v>
      </c>
      <c r="B1595">
        <v>118.730003</v>
      </c>
      <c r="C1595">
        <v>119.57</v>
      </c>
      <c r="D1595">
        <v>117.470001</v>
      </c>
      <c r="E1595">
        <v>118.730003</v>
      </c>
      <c r="F1595">
        <v>103.8974</v>
      </c>
      <c r="G1595">
        <v>1438200</v>
      </c>
    </row>
    <row r="1596" spans="1:7" x14ac:dyDescent="0.45">
      <c r="A1596" s="1">
        <v>42306</v>
      </c>
      <c r="B1596">
        <v>117.269997</v>
      </c>
      <c r="C1596">
        <v>117.889999</v>
      </c>
      <c r="D1596">
        <v>116.510002</v>
      </c>
      <c r="E1596">
        <v>117.739998</v>
      </c>
      <c r="F1596">
        <v>103.031082</v>
      </c>
      <c r="G1596">
        <v>1537600</v>
      </c>
    </row>
    <row r="1597" spans="1:7" x14ac:dyDescent="0.45">
      <c r="A1597" s="1">
        <v>42307</v>
      </c>
      <c r="B1597">
        <v>120.519997</v>
      </c>
      <c r="C1597">
        <v>120.660004</v>
      </c>
      <c r="D1597">
        <v>119.160004</v>
      </c>
      <c r="E1597">
        <v>119.33000199999999</v>
      </c>
      <c r="F1597">
        <v>104.42243999999999</v>
      </c>
      <c r="G1597">
        <v>2102500</v>
      </c>
    </row>
    <row r="1598" spans="1:7" x14ac:dyDescent="0.45">
      <c r="A1598" s="1">
        <v>42310</v>
      </c>
      <c r="B1598">
        <v>120</v>
      </c>
      <c r="C1598">
        <v>120.18</v>
      </c>
      <c r="D1598">
        <v>119.019997</v>
      </c>
      <c r="E1598">
        <v>119.55999799999999</v>
      </c>
      <c r="F1598">
        <v>104.623695</v>
      </c>
      <c r="G1598">
        <v>1488800</v>
      </c>
    </row>
    <row r="1599" spans="1:7" x14ac:dyDescent="0.45">
      <c r="A1599" s="1">
        <v>42311</v>
      </c>
      <c r="B1599">
        <v>119.389999</v>
      </c>
      <c r="C1599">
        <v>119.41999800000001</v>
      </c>
      <c r="D1599">
        <v>118.099998</v>
      </c>
      <c r="E1599">
        <v>118.80999799999999</v>
      </c>
      <c r="F1599">
        <v>103.9674</v>
      </c>
      <c r="G1599">
        <v>1939000</v>
      </c>
    </row>
    <row r="1600" spans="1:7" x14ac:dyDescent="0.45">
      <c r="A1600" s="1">
        <v>42312</v>
      </c>
      <c r="B1600">
        <v>119.459999</v>
      </c>
      <c r="C1600">
        <v>119.470001</v>
      </c>
      <c r="D1600">
        <v>118.379997</v>
      </c>
      <c r="E1600">
        <v>119.260002</v>
      </c>
      <c r="F1600">
        <v>104.36119100000001</v>
      </c>
      <c r="G1600">
        <v>1178400</v>
      </c>
    </row>
    <row r="1601" spans="1:7" x14ac:dyDescent="0.45">
      <c r="A1601" s="1">
        <v>42313</v>
      </c>
      <c r="B1601">
        <v>119.769997</v>
      </c>
      <c r="C1601">
        <v>120.730003</v>
      </c>
      <c r="D1601">
        <v>119.16999800000001</v>
      </c>
      <c r="E1601">
        <v>120.629997</v>
      </c>
      <c r="F1601">
        <v>105.56004299999999</v>
      </c>
      <c r="G1601">
        <v>1991100</v>
      </c>
    </row>
    <row r="1602" spans="1:7" x14ac:dyDescent="0.45">
      <c r="A1602" s="1">
        <v>42314</v>
      </c>
      <c r="B1602">
        <v>118.400002</v>
      </c>
      <c r="C1602">
        <v>118.980003</v>
      </c>
      <c r="D1602">
        <v>117.260002</v>
      </c>
      <c r="E1602">
        <v>118.959999</v>
      </c>
      <c r="F1602">
        <v>105.648849</v>
      </c>
      <c r="G1602">
        <v>1257600</v>
      </c>
    </row>
    <row r="1603" spans="1:7" x14ac:dyDescent="0.45">
      <c r="A1603" s="1">
        <v>42317</v>
      </c>
      <c r="B1603">
        <v>118.099998</v>
      </c>
      <c r="C1603">
        <v>118.470001</v>
      </c>
      <c r="D1603">
        <v>117.540001</v>
      </c>
      <c r="E1603">
        <v>118.099998</v>
      </c>
      <c r="F1603">
        <v>104.885071</v>
      </c>
      <c r="G1603">
        <v>641900</v>
      </c>
    </row>
    <row r="1604" spans="1:7" x14ac:dyDescent="0.45">
      <c r="A1604" s="1">
        <v>42318</v>
      </c>
      <c r="B1604">
        <v>116.55999799999999</v>
      </c>
      <c r="C1604">
        <v>118.94000200000001</v>
      </c>
      <c r="D1604">
        <v>116.459999</v>
      </c>
      <c r="E1604">
        <v>118.349998</v>
      </c>
      <c r="F1604">
        <v>105.107101</v>
      </c>
      <c r="G1604">
        <v>1217600</v>
      </c>
    </row>
    <row r="1605" spans="1:7" x14ac:dyDescent="0.45">
      <c r="A1605" s="1">
        <v>42319</v>
      </c>
      <c r="B1605">
        <v>119.699997</v>
      </c>
      <c r="C1605">
        <v>122.860001</v>
      </c>
      <c r="D1605">
        <v>119.290001</v>
      </c>
      <c r="E1605">
        <v>121.629997</v>
      </c>
      <c r="F1605">
        <v>108.020081</v>
      </c>
      <c r="G1605">
        <v>2802800</v>
      </c>
    </row>
    <row r="1606" spans="1:7" x14ac:dyDescent="0.45">
      <c r="A1606" s="1">
        <v>42320</v>
      </c>
      <c r="B1606">
        <v>121.610001</v>
      </c>
      <c r="C1606">
        <v>121.980003</v>
      </c>
      <c r="D1606">
        <v>120.69000200000001</v>
      </c>
      <c r="E1606">
        <v>121.230003</v>
      </c>
      <c r="F1606">
        <v>107.66484800000001</v>
      </c>
      <c r="G1606">
        <v>1052000</v>
      </c>
    </row>
    <row r="1607" spans="1:7" x14ac:dyDescent="0.45">
      <c r="A1607" s="1">
        <v>42321</v>
      </c>
      <c r="B1607">
        <v>119.94000200000001</v>
      </c>
      <c r="C1607">
        <v>120.839996</v>
      </c>
      <c r="D1607">
        <v>119.730003</v>
      </c>
      <c r="E1607">
        <v>120.129997</v>
      </c>
      <c r="F1607">
        <v>106.687935</v>
      </c>
      <c r="G1607">
        <v>961700</v>
      </c>
    </row>
    <row r="1608" spans="1:7" x14ac:dyDescent="0.45">
      <c r="A1608" s="1">
        <v>42324</v>
      </c>
      <c r="B1608">
        <v>122.269997</v>
      </c>
      <c r="C1608">
        <v>122.519997</v>
      </c>
      <c r="D1608">
        <v>121.25</v>
      </c>
      <c r="E1608">
        <v>122.389999</v>
      </c>
      <c r="F1608">
        <v>108.69504499999999</v>
      </c>
      <c r="G1608">
        <v>1512700</v>
      </c>
    </row>
    <row r="1609" spans="1:7" x14ac:dyDescent="0.45">
      <c r="A1609" s="1">
        <v>42325</v>
      </c>
      <c r="B1609">
        <v>124.720001</v>
      </c>
      <c r="C1609">
        <v>125.5</v>
      </c>
      <c r="D1609">
        <v>124.400002</v>
      </c>
      <c r="E1609">
        <v>124.910004</v>
      </c>
      <c r="F1609">
        <v>110.93306699999999</v>
      </c>
      <c r="G1609">
        <v>2078800</v>
      </c>
    </row>
    <row r="1610" spans="1:7" x14ac:dyDescent="0.45">
      <c r="A1610" s="1">
        <v>42326</v>
      </c>
      <c r="B1610">
        <v>125.660004</v>
      </c>
      <c r="C1610">
        <v>126.040001</v>
      </c>
      <c r="D1610">
        <v>124.599998</v>
      </c>
      <c r="E1610">
        <v>126.040001</v>
      </c>
      <c r="F1610">
        <v>111.93662999999999</v>
      </c>
      <c r="G1610">
        <v>1108500</v>
      </c>
    </row>
    <row r="1611" spans="1:7" x14ac:dyDescent="0.45">
      <c r="A1611" s="1">
        <v>42327</v>
      </c>
      <c r="B1611">
        <v>125.360001</v>
      </c>
      <c r="C1611">
        <v>125.43</v>
      </c>
      <c r="D1611">
        <v>124.099998</v>
      </c>
      <c r="E1611">
        <v>124.769997</v>
      </c>
      <c r="F1611">
        <v>110.80873099999999</v>
      </c>
      <c r="G1611">
        <v>961000</v>
      </c>
    </row>
    <row r="1612" spans="1:7" x14ac:dyDescent="0.45">
      <c r="A1612" s="1">
        <v>42328</v>
      </c>
      <c r="B1612">
        <v>126.360001</v>
      </c>
      <c r="C1612">
        <v>126.94000200000001</v>
      </c>
      <c r="D1612">
        <v>125.510002</v>
      </c>
      <c r="E1612">
        <v>125.849998</v>
      </c>
      <c r="F1612">
        <v>111.767883</v>
      </c>
      <c r="G1612">
        <v>1395100</v>
      </c>
    </row>
    <row r="1613" spans="1:7" x14ac:dyDescent="0.45">
      <c r="A1613" s="1">
        <v>42331</v>
      </c>
      <c r="B1613">
        <v>127.839996</v>
      </c>
      <c r="C1613">
        <v>127.989998</v>
      </c>
      <c r="D1613">
        <v>126.300003</v>
      </c>
      <c r="E1613">
        <v>126.489998</v>
      </c>
      <c r="F1613">
        <v>112.33626599999999</v>
      </c>
      <c r="G1613">
        <v>1404400</v>
      </c>
    </row>
    <row r="1614" spans="1:7" x14ac:dyDescent="0.45">
      <c r="A1614" s="1">
        <v>42332</v>
      </c>
      <c r="B1614">
        <v>127.279999</v>
      </c>
      <c r="C1614">
        <v>128.16999799999999</v>
      </c>
      <c r="D1614">
        <v>126.900002</v>
      </c>
      <c r="E1614">
        <v>127.93</v>
      </c>
      <c r="F1614">
        <v>113.615143</v>
      </c>
      <c r="G1614">
        <v>1560100</v>
      </c>
    </row>
    <row r="1615" spans="1:7" x14ac:dyDescent="0.45">
      <c r="A1615" s="1">
        <v>42333</v>
      </c>
      <c r="B1615">
        <v>129.279999</v>
      </c>
      <c r="C1615">
        <v>129.509995</v>
      </c>
      <c r="D1615">
        <v>128.30999800000001</v>
      </c>
      <c r="E1615">
        <v>129.13999899999999</v>
      </c>
      <c r="F1615">
        <v>114.68974300000001</v>
      </c>
      <c r="G1615">
        <v>2142700</v>
      </c>
    </row>
    <row r="1616" spans="1:7" x14ac:dyDescent="0.45">
      <c r="A1616" s="1">
        <v>42335</v>
      </c>
      <c r="B1616">
        <v>130.020004</v>
      </c>
      <c r="C1616">
        <v>130.08000200000001</v>
      </c>
      <c r="D1616">
        <v>129.05999800000001</v>
      </c>
      <c r="E1616">
        <v>129.13999899999999</v>
      </c>
      <c r="F1616">
        <v>114.68974300000001</v>
      </c>
      <c r="G1616">
        <v>599300</v>
      </c>
    </row>
    <row r="1617" spans="1:7" x14ac:dyDescent="0.45">
      <c r="A1617" s="1">
        <v>42338</v>
      </c>
      <c r="B1617">
        <v>129.720001</v>
      </c>
      <c r="C1617">
        <v>129.88000500000001</v>
      </c>
      <c r="D1617">
        <v>128.25</v>
      </c>
      <c r="E1617">
        <v>128.46000699999999</v>
      </c>
      <c r="F1617">
        <v>114.085838</v>
      </c>
      <c r="G1617">
        <v>1611900</v>
      </c>
    </row>
    <row r="1618" spans="1:7" x14ac:dyDescent="0.45">
      <c r="A1618" s="1">
        <v>42339</v>
      </c>
      <c r="B1618">
        <v>128.60000600000001</v>
      </c>
      <c r="C1618">
        <v>129.279999</v>
      </c>
      <c r="D1618">
        <v>127.790001</v>
      </c>
      <c r="E1618">
        <v>128.61999499999999</v>
      </c>
      <c r="F1618">
        <v>114.22792800000001</v>
      </c>
      <c r="G1618">
        <v>1218100</v>
      </c>
    </row>
    <row r="1619" spans="1:7" x14ac:dyDescent="0.45">
      <c r="A1619" s="1">
        <v>42340</v>
      </c>
      <c r="B1619">
        <v>128.44000199999999</v>
      </c>
      <c r="C1619">
        <v>128.89999399999999</v>
      </c>
      <c r="D1619">
        <v>127.269997</v>
      </c>
      <c r="E1619">
        <v>127.739998</v>
      </c>
      <c r="F1619">
        <v>113.446411</v>
      </c>
      <c r="G1619">
        <v>1165900</v>
      </c>
    </row>
    <row r="1620" spans="1:7" x14ac:dyDescent="0.45">
      <c r="A1620" s="1">
        <v>42341</v>
      </c>
      <c r="B1620">
        <v>128.61999499999999</v>
      </c>
      <c r="C1620">
        <v>128.83999600000001</v>
      </c>
      <c r="D1620">
        <v>126.550003</v>
      </c>
      <c r="E1620">
        <v>126.849998</v>
      </c>
      <c r="F1620">
        <v>112.655998</v>
      </c>
      <c r="G1620">
        <v>1447600</v>
      </c>
    </row>
    <row r="1621" spans="1:7" x14ac:dyDescent="0.45">
      <c r="A1621" s="1">
        <v>42342</v>
      </c>
      <c r="B1621">
        <v>126.709999</v>
      </c>
      <c r="C1621">
        <v>128.699997</v>
      </c>
      <c r="D1621">
        <v>126.459999</v>
      </c>
      <c r="E1621">
        <v>127.870003</v>
      </c>
      <c r="F1621">
        <v>113.561859</v>
      </c>
      <c r="G1621">
        <v>1262900</v>
      </c>
    </row>
    <row r="1622" spans="1:7" x14ac:dyDescent="0.45">
      <c r="A1622" s="1">
        <v>42345</v>
      </c>
      <c r="B1622">
        <v>129.979996</v>
      </c>
      <c r="C1622">
        <v>130</v>
      </c>
      <c r="D1622">
        <v>128.179993</v>
      </c>
      <c r="E1622">
        <v>128.89999399999999</v>
      </c>
      <c r="F1622">
        <v>114.47659299999999</v>
      </c>
      <c r="G1622">
        <v>1613900</v>
      </c>
    </row>
    <row r="1623" spans="1:7" x14ac:dyDescent="0.45">
      <c r="A1623" s="1">
        <v>42346</v>
      </c>
      <c r="B1623">
        <v>128.38000500000001</v>
      </c>
      <c r="C1623">
        <v>128.85000600000001</v>
      </c>
      <c r="D1623">
        <v>127.379997</v>
      </c>
      <c r="E1623">
        <v>128.679993</v>
      </c>
      <c r="F1623">
        <v>114.281212</v>
      </c>
      <c r="G1623">
        <v>2511500</v>
      </c>
    </row>
    <row r="1624" spans="1:7" x14ac:dyDescent="0.45">
      <c r="A1624" s="1">
        <v>42347</v>
      </c>
      <c r="B1624">
        <v>128.320007</v>
      </c>
      <c r="C1624">
        <v>129.070007</v>
      </c>
      <c r="D1624">
        <v>126.510002</v>
      </c>
      <c r="E1624">
        <v>126.790001</v>
      </c>
      <c r="F1624">
        <v>112.602699</v>
      </c>
      <c r="G1624">
        <v>1259300</v>
      </c>
    </row>
    <row r="1625" spans="1:7" x14ac:dyDescent="0.45">
      <c r="A1625" s="1">
        <v>42348</v>
      </c>
      <c r="B1625">
        <v>127.58000199999999</v>
      </c>
      <c r="C1625">
        <v>127.66999800000001</v>
      </c>
      <c r="D1625">
        <v>126.19000200000001</v>
      </c>
      <c r="E1625">
        <v>126.33000199999999</v>
      </c>
      <c r="F1625">
        <v>112.194176</v>
      </c>
      <c r="G1625">
        <v>1124800</v>
      </c>
    </row>
    <row r="1626" spans="1:7" x14ac:dyDescent="0.45">
      <c r="A1626" s="1">
        <v>42349</v>
      </c>
      <c r="B1626">
        <v>124.099998</v>
      </c>
      <c r="C1626">
        <v>124.470001</v>
      </c>
      <c r="D1626">
        <v>121.860001</v>
      </c>
      <c r="E1626">
        <v>122.599998</v>
      </c>
      <c r="F1626">
        <v>108.88153800000001</v>
      </c>
      <c r="G1626">
        <v>4328200</v>
      </c>
    </row>
    <row r="1627" spans="1:7" x14ac:dyDescent="0.45">
      <c r="A1627" s="1">
        <v>42352</v>
      </c>
      <c r="B1627">
        <v>123.470001</v>
      </c>
      <c r="C1627">
        <v>123.5</v>
      </c>
      <c r="D1627">
        <v>121.650002</v>
      </c>
      <c r="E1627">
        <v>122.800003</v>
      </c>
      <c r="F1627">
        <v>109.059174</v>
      </c>
      <c r="G1627">
        <v>2703200</v>
      </c>
    </row>
    <row r="1628" spans="1:7" x14ac:dyDescent="0.45">
      <c r="A1628" s="1">
        <v>42353</v>
      </c>
      <c r="B1628">
        <v>122.69000200000001</v>
      </c>
      <c r="C1628">
        <v>123.779999</v>
      </c>
      <c r="D1628">
        <v>122.290001</v>
      </c>
      <c r="E1628">
        <v>122.480003</v>
      </c>
      <c r="F1628">
        <v>108.774986</v>
      </c>
      <c r="G1628">
        <v>2193900</v>
      </c>
    </row>
    <row r="1629" spans="1:7" x14ac:dyDescent="0.45">
      <c r="A1629" s="1">
        <v>42354</v>
      </c>
      <c r="B1629">
        <v>124.629997</v>
      </c>
      <c r="C1629">
        <v>125.349998</v>
      </c>
      <c r="D1629">
        <v>123.300003</v>
      </c>
      <c r="E1629">
        <v>125.110001</v>
      </c>
      <c r="F1629">
        <v>111.11069500000001</v>
      </c>
      <c r="G1629">
        <v>2298700</v>
      </c>
    </row>
    <row r="1630" spans="1:7" x14ac:dyDescent="0.45">
      <c r="A1630" s="1">
        <v>42355</v>
      </c>
      <c r="B1630">
        <v>126.790001</v>
      </c>
      <c r="C1630">
        <v>126.870003</v>
      </c>
      <c r="D1630">
        <v>124.699997</v>
      </c>
      <c r="E1630">
        <v>124.790001</v>
      </c>
      <c r="F1630">
        <v>110.826492</v>
      </c>
      <c r="G1630">
        <v>2239900</v>
      </c>
    </row>
    <row r="1631" spans="1:7" x14ac:dyDescent="0.45">
      <c r="A1631" s="1">
        <v>42356</v>
      </c>
      <c r="B1631">
        <v>124.75</v>
      </c>
      <c r="C1631">
        <v>124.83000199999999</v>
      </c>
      <c r="D1631">
        <v>122.959999</v>
      </c>
      <c r="E1631">
        <v>124</v>
      </c>
      <c r="F1631">
        <v>110.12490099999999</v>
      </c>
      <c r="G1631">
        <v>2090300</v>
      </c>
    </row>
    <row r="1632" spans="1:7" x14ac:dyDescent="0.45">
      <c r="A1632" s="1">
        <v>42359</v>
      </c>
      <c r="B1632">
        <v>125.790001</v>
      </c>
      <c r="C1632">
        <v>126.050003</v>
      </c>
      <c r="D1632">
        <v>123.050003</v>
      </c>
      <c r="E1632">
        <v>123.80999799999999</v>
      </c>
      <c r="F1632">
        <v>109.95616099999999</v>
      </c>
      <c r="G1632">
        <v>1202600</v>
      </c>
    </row>
    <row r="1633" spans="1:7" x14ac:dyDescent="0.45">
      <c r="A1633" s="1">
        <v>42360</v>
      </c>
      <c r="B1633">
        <v>124.510002</v>
      </c>
      <c r="C1633">
        <v>124.75</v>
      </c>
      <c r="D1633">
        <v>123.33000199999999</v>
      </c>
      <c r="E1633">
        <v>124.5</v>
      </c>
      <c r="F1633">
        <v>110.568939</v>
      </c>
      <c r="G1633">
        <v>782000</v>
      </c>
    </row>
    <row r="1634" spans="1:7" x14ac:dyDescent="0.45">
      <c r="A1634" s="1">
        <v>42361</v>
      </c>
      <c r="B1634">
        <v>124.199997</v>
      </c>
      <c r="C1634">
        <v>125.879997</v>
      </c>
      <c r="D1634">
        <v>124.160004</v>
      </c>
      <c r="E1634">
        <v>125.849998</v>
      </c>
      <c r="F1634">
        <v>111.767883</v>
      </c>
      <c r="G1634">
        <v>2240400</v>
      </c>
    </row>
    <row r="1635" spans="1:7" x14ac:dyDescent="0.45">
      <c r="A1635" s="1">
        <v>42362</v>
      </c>
      <c r="B1635">
        <v>125.599998</v>
      </c>
      <c r="C1635">
        <v>126.05999799999999</v>
      </c>
      <c r="D1635">
        <v>125.389999</v>
      </c>
      <c r="E1635">
        <v>125.75</v>
      </c>
      <c r="F1635">
        <v>111.67907700000001</v>
      </c>
      <c r="G1635">
        <v>295400</v>
      </c>
    </row>
    <row r="1636" spans="1:7" x14ac:dyDescent="0.45">
      <c r="A1636" s="1">
        <v>42366</v>
      </c>
      <c r="B1636">
        <v>125.910004</v>
      </c>
      <c r="C1636">
        <v>126.199997</v>
      </c>
      <c r="D1636">
        <v>125.279999</v>
      </c>
      <c r="E1636">
        <v>125.839996</v>
      </c>
      <c r="F1636">
        <v>111.758995</v>
      </c>
      <c r="G1636">
        <v>878200</v>
      </c>
    </row>
    <row r="1637" spans="1:7" x14ac:dyDescent="0.45">
      <c r="A1637" s="1">
        <v>42367</v>
      </c>
      <c r="B1637">
        <v>126.44000200000001</v>
      </c>
      <c r="C1637">
        <v>127.790001</v>
      </c>
      <c r="D1637">
        <v>126.389999</v>
      </c>
      <c r="E1637">
        <v>127.389999</v>
      </c>
      <c r="F1637">
        <v>113.13557400000001</v>
      </c>
      <c r="G1637">
        <v>674500</v>
      </c>
    </row>
    <row r="1638" spans="1:7" x14ac:dyDescent="0.45">
      <c r="A1638" s="1">
        <v>42368</v>
      </c>
      <c r="B1638">
        <v>126.660004</v>
      </c>
      <c r="C1638">
        <v>126.889999</v>
      </c>
      <c r="D1638">
        <v>126.129997</v>
      </c>
      <c r="E1638">
        <v>126.129997</v>
      </c>
      <c r="F1638">
        <v>112.01655599999999</v>
      </c>
      <c r="G1638">
        <v>642200</v>
      </c>
    </row>
    <row r="1639" spans="1:7" x14ac:dyDescent="0.45">
      <c r="A1639" s="1">
        <v>42369</v>
      </c>
      <c r="B1639">
        <v>124.790001</v>
      </c>
      <c r="C1639">
        <v>125.849998</v>
      </c>
      <c r="D1639">
        <v>124.43</v>
      </c>
      <c r="E1639">
        <v>125</v>
      </c>
      <c r="F1639">
        <v>111.01300000000001</v>
      </c>
      <c r="G1639">
        <v>766000</v>
      </c>
    </row>
    <row r="1640" spans="1:7" x14ac:dyDescent="0.45">
      <c r="A1640" s="1">
        <v>42373</v>
      </c>
      <c r="B1640">
        <v>122.58000199999999</v>
      </c>
      <c r="C1640">
        <v>122.720001</v>
      </c>
      <c r="D1640">
        <v>120.849998</v>
      </c>
      <c r="E1640">
        <v>122.470001</v>
      </c>
      <c r="F1640">
        <v>108.766098</v>
      </c>
      <c r="G1640">
        <v>1342800</v>
      </c>
    </row>
    <row r="1641" spans="1:7" x14ac:dyDescent="0.45">
      <c r="A1641" s="1">
        <v>42374</v>
      </c>
      <c r="B1641">
        <v>122.589996</v>
      </c>
      <c r="C1641">
        <v>122.80999799999999</v>
      </c>
      <c r="D1641">
        <v>121.800003</v>
      </c>
      <c r="E1641">
        <v>122.550003</v>
      </c>
      <c r="F1641">
        <v>108.837143</v>
      </c>
      <c r="G1641">
        <v>1058700</v>
      </c>
    </row>
    <row r="1642" spans="1:7" x14ac:dyDescent="0.45">
      <c r="A1642" s="1">
        <v>42375</v>
      </c>
      <c r="B1642">
        <v>120.30999799999999</v>
      </c>
      <c r="C1642">
        <v>121.239998</v>
      </c>
      <c r="D1642">
        <v>119.839996</v>
      </c>
      <c r="E1642">
        <v>120.230003</v>
      </c>
      <c r="F1642">
        <v>106.776741</v>
      </c>
      <c r="G1642">
        <v>1625600</v>
      </c>
    </row>
    <row r="1643" spans="1:7" x14ac:dyDescent="0.45">
      <c r="A1643" s="1">
        <v>42376</v>
      </c>
      <c r="B1643">
        <v>120.010002</v>
      </c>
      <c r="C1643">
        <v>121.08000199999999</v>
      </c>
      <c r="D1643">
        <v>118.449997</v>
      </c>
      <c r="E1643">
        <v>119.470001</v>
      </c>
      <c r="F1643">
        <v>106.10178399999999</v>
      </c>
      <c r="G1643">
        <v>2045600</v>
      </c>
    </row>
    <row r="1644" spans="1:7" x14ac:dyDescent="0.45">
      <c r="A1644" s="1">
        <v>42377</v>
      </c>
      <c r="B1644">
        <v>119.760002</v>
      </c>
      <c r="C1644">
        <v>119.769997</v>
      </c>
      <c r="D1644">
        <v>116.94000200000001</v>
      </c>
      <c r="E1644">
        <v>117.129997</v>
      </c>
      <c r="F1644">
        <v>104.023613</v>
      </c>
      <c r="G1644">
        <v>2264400</v>
      </c>
    </row>
    <row r="1645" spans="1:7" x14ac:dyDescent="0.45">
      <c r="A1645" s="1">
        <v>42380</v>
      </c>
      <c r="B1645">
        <v>119.910004</v>
      </c>
      <c r="C1645">
        <v>120.19000200000001</v>
      </c>
      <c r="D1645">
        <v>118.470001</v>
      </c>
      <c r="E1645">
        <v>119.16999800000001</v>
      </c>
      <c r="F1645">
        <v>105.83535000000001</v>
      </c>
      <c r="G1645">
        <v>1762300</v>
      </c>
    </row>
    <row r="1646" spans="1:7" x14ac:dyDescent="0.45">
      <c r="A1646" s="1">
        <v>42381</v>
      </c>
      <c r="B1646">
        <v>119.19000200000001</v>
      </c>
      <c r="C1646">
        <v>119.33000199999999</v>
      </c>
      <c r="D1646">
        <v>117.83000199999999</v>
      </c>
      <c r="E1646">
        <v>119</v>
      </c>
      <c r="F1646">
        <v>105.684372</v>
      </c>
      <c r="G1646">
        <v>1239600</v>
      </c>
    </row>
    <row r="1647" spans="1:7" x14ac:dyDescent="0.45">
      <c r="A1647" s="1">
        <v>42382</v>
      </c>
      <c r="B1647">
        <v>118.860001</v>
      </c>
      <c r="C1647">
        <v>119.239998</v>
      </c>
      <c r="D1647">
        <v>115.699997</v>
      </c>
      <c r="E1647">
        <v>116.139999</v>
      </c>
      <c r="F1647">
        <v>103.14439400000001</v>
      </c>
      <c r="G1647">
        <v>3321900</v>
      </c>
    </row>
    <row r="1648" spans="1:7" x14ac:dyDescent="0.45">
      <c r="A1648" s="1">
        <v>42383</v>
      </c>
      <c r="B1648">
        <v>116.260002</v>
      </c>
      <c r="C1648">
        <v>117.58000199999999</v>
      </c>
      <c r="D1648">
        <v>114.769997</v>
      </c>
      <c r="E1648">
        <v>117.129997</v>
      </c>
      <c r="F1648">
        <v>104.023613</v>
      </c>
      <c r="G1648">
        <v>1980800</v>
      </c>
    </row>
    <row r="1649" spans="1:7" x14ac:dyDescent="0.45">
      <c r="A1649" s="1">
        <v>42384</v>
      </c>
      <c r="B1649">
        <v>116.19000200000001</v>
      </c>
      <c r="C1649">
        <v>116.849998</v>
      </c>
      <c r="D1649">
        <v>115.57</v>
      </c>
      <c r="E1649">
        <v>116.410004</v>
      </c>
      <c r="F1649">
        <v>103.384193</v>
      </c>
      <c r="G1649">
        <v>3842900</v>
      </c>
    </row>
    <row r="1650" spans="1:7" x14ac:dyDescent="0.45">
      <c r="A1650" s="1">
        <v>42388</v>
      </c>
      <c r="B1650">
        <v>119.599998</v>
      </c>
      <c r="C1650">
        <v>120.099998</v>
      </c>
      <c r="D1650">
        <v>118.400002</v>
      </c>
      <c r="E1650">
        <v>118.839996</v>
      </c>
      <c r="F1650">
        <v>105.542282</v>
      </c>
      <c r="G1650">
        <v>3312300</v>
      </c>
    </row>
    <row r="1651" spans="1:7" x14ac:dyDescent="0.45">
      <c r="A1651" s="1">
        <v>42389</v>
      </c>
      <c r="B1651">
        <v>116.949997</v>
      </c>
      <c r="C1651">
        <v>117.290001</v>
      </c>
      <c r="D1651">
        <v>113.360001</v>
      </c>
      <c r="E1651">
        <v>115.94000200000001</v>
      </c>
      <c r="F1651">
        <v>102.96678900000001</v>
      </c>
      <c r="G1651">
        <v>3660200</v>
      </c>
    </row>
    <row r="1652" spans="1:7" x14ac:dyDescent="0.45">
      <c r="A1652" s="1">
        <v>42390</v>
      </c>
      <c r="B1652">
        <v>116.019997</v>
      </c>
      <c r="C1652">
        <v>117.459999</v>
      </c>
      <c r="D1652">
        <v>115.099998</v>
      </c>
      <c r="E1652">
        <v>116.739998</v>
      </c>
      <c r="F1652">
        <v>103.677254</v>
      </c>
      <c r="G1652">
        <v>1680300</v>
      </c>
    </row>
    <row r="1653" spans="1:7" x14ac:dyDescent="0.45">
      <c r="A1653" s="1">
        <v>42391</v>
      </c>
      <c r="B1653">
        <v>119.470001</v>
      </c>
      <c r="C1653">
        <v>121.220001</v>
      </c>
      <c r="D1653">
        <v>119.16999800000001</v>
      </c>
      <c r="E1653">
        <v>120.989998</v>
      </c>
      <c r="F1653">
        <v>107.45169799999999</v>
      </c>
      <c r="G1653">
        <v>1622000</v>
      </c>
    </row>
    <row r="1654" spans="1:7" x14ac:dyDescent="0.45">
      <c r="A1654" s="1">
        <v>42394</v>
      </c>
      <c r="B1654">
        <v>121.410004</v>
      </c>
      <c r="C1654">
        <v>122.550003</v>
      </c>
      <c r="D1654">
        <v>120.970001</v>
      </c>
      <c r="E1654">
        <v>121.290001</v>
      </c>
      <c r="F1654">
        <v>107.718124</v>
      </c>
      <c r="G1654">
        <v>1153200</v>
      </c>
    </row>
    <row r="1655" spans="1:7" x14ac:dyDescent="0.45">
      <c r="A1655" s="1">
        <v>42395</v>
      </c>
      <c r="B1655">
        <v>121.389999</v>
      </c>
      <c r="C1655">
        <v>122.75</v>
      </c>
      <c r="D1655">
        <v>121.33000199999999</v>
      </c>
      <c r="E1655">
        <v>122.620003</v>
      </c>
      <c r="F1655">
        <v>108.89930699999999</v>
      </c>
      <c r="G1655">
        <v>1241400</v>
      </c>
    </row>
    <row r="1656" spans="1:7" x14ac:dyDescent="0.45">
      <c r="A1656" s="1">
        <v>42396</v>
      </c>
      <c r="B1656">
        <v>122.739998</v>
      </c>
      <c r="C1656">
        <v>124.199997</v>
      </c>
      <c r="D1656">
        <v>121.370003</v>
      </c>
      <c r="E1656">
        <v>121.900002</v>
      </c>
      <c r="F1656">
        <v>108.25988</v>
      </c>
      <c r="G1656">
        <v>1847100</v>
      </c>
    </row>
    <row r="1657" spans="1:7" x14ac:dyDescent="0.45">
      <c r="A1657" s="1">
        <v>42397</v>
      </c>
      <c r="B1657">
        <v>122.400002</v>
      </c>
      <c r="C1657">
        <v>122.889999</v>
      </c>
      <c r="D1657">
        <v>121.199997</v>
      </c>
      <c r="E1657">
        <v>122.300003</v>
      </c>
      <c r="F1657">
        <v>108.615128</v>
      </c>
      <c r="G1657">
        <v>2115900</v>
      </c>
    </row>
    <row r="1658" spans="1:7" x14ac:dyDescent="0.45">
      <c r="A1658" s="1">
        <v>42398</v>
      </c>
      <c r="B1658">
        <v>123.33000199999999</v>
      </c>
      <c r="C1658">
        <v>126.220001</v>
      </c>
      <c r="D1658">
        <v>123.05999799999999</v>
      </c>
      <c r="E1658">
        <v>125.839996</v>
      </c>
      <c r="F1658">
        <v>111.758995</v>
      </c>
      <c r="G1658">
        <v>2273200</v>
      </c>
    </row>
    <row r="1659" spans="1:7" x14ac:dyDescent="0.45">
      <c r="A1659" s="1">
        <v>42401</v>
      </c>
      <c r="B1659">
        <v>125.470001</v>
      </c>
      <c r="C1659">
        <v>127.110001</v>
      </c>
      <c r="D1659">
        <v>125.25</v>
      </c>
      <c r="E1659">
        <v>126.709999</v>
      </c>
      <c r="F1659">
        <v>112.531654</v>
      </c>
      <c r="G1659">
        <v>1440100</v>
      </c>
    </row>
    <row r="1660" spans="1:7" x14ac:dyDescent="0.45">
      <c r="A1660" s="1">
        <v>42402</v>
      </c>
      <c r="B1660">
        <v>126.91999800000001</v>
      </c>
      <c r="C1660">
        <v>127.099998</v>
      </c>
      <c r="D1660">
        <v>124.800003</v>
      </c>
      <c r="E1660">
        <v>124.989998</v>
      </c>
      <c r="F1660">
        <v>111.00411200000001</v>
      </c>
      <c r="G1660">
        <v>1169500</v>
      </c>
    </row>
    <row r="1661" spans="1:7" x14ac:dyDescent="0.45">
      <c r="A1661" s="1">
        <v>42403</v>
      </c>
      <c r="B1661">
        <v>125.25</v>
      </c>
      <c r="C1661">
        <v>125.339996</v>
      </c>
      <c r="D1661">
        <v>122.769997</v>
      </c>
      <c r="E1661">
        <v>124.959999</v>
      </c>
      <c r="F1661">
        <v>110.97747</v>
      </c>
      <c r="G1661">
        <v>3314600</v>
      </c>
    </row>
    <row r="1662" spans="1:7" x14ac:dyDescent="0.45">
      <c r="A1662" s="1">
        <v>42404</v>
      </c>
      <c r="B1662">
        <v>124.120003</v>
      </c>
      <c r="C1662">
        <v>124.5</v>
      </c>
      <c r="D1662">
        <v>122</v>
      </c>
      <c r="E1662">
        <v>122.370003</v>
      </c>
      <c r="F1662">
        <v>108.67729199999999</v>
      </c>
      <c r="G1662">
        <v>2071900</v>
      </c>
    </row>
    <row r="1663" spans="1:7" x14ac:dyDescent="0.45">
      <c r="A1663" s="1">
        <v>42405</v>
      </c>
      <c r="B1663">
        <v>121.57</v>
      </c>
      <c r="C1663">
        <v>121.730003</v>
      </c>
      <c r="D1663">
        <v>118.07</v>
      </c>
      <c r="E1663">
        <v>118.300003</v>
      </c>
      <c r="F1663">
        <v>105.06270600000001</v>
      </c>
      <c r="G1663">
        <v>2277300</v>
      </c>
    </row>
    <row r="1664" spans="1:7" x14ac:dyDescent="0.45">
      <c r="A1664" s="1">
        <v>42408</v>
      </c>
      <c r="B1664">
        <v>117.379997</v>
      </c>
      <c r="C1664">
        <v>117.639999</v>
      </c>
      <c r="D1664">
        <v>114.05999799999999</v>
      </c>
      <c r="E1664">
        <v>115.19000200000001</v>
      </c>
      <c r="F1664">
        <v>102.300697</v>
      </c>
      <c r="G1664">
        <v>3137300</v>
      </c>
    </row>
    <row r="1665" spans="1:7" x14ac:dyDescent="0.45">
      <c r="A1665" s="1">
        <v>42409</v>
      </c>
      <c r="B1665">
        <v>114.040001</v>
      </c>
      <c r="C1665">
        <v>116.80999799999999</v>
      </c>
      <c r="D1665">
        <v>113.900002</v>
      </c>
      <c r="E1665">
        <v>116.110001</v>
      </c>
      <c r="F1665">
        <v>103.117752</v>
      </c>
      <c r="G1665">
        <v>2848600</v>
      </c>
    </row>
    <row r="1666" spans="1:7" x14ac:dyDescent="0.45">
      <c r="A1666" s="1">
        <v>42410</v>
      </c>
      <c r="B1666">
        <v>118.339996</v>
      </c>
      <c r="C1666">
        <v>118.459999</v>
      </c>
      <c r="D1666">
        <v>116.269997</v>
      </c>
      <c r="E1666">
        <v>116.290001</v>
      </c>
      <c r="F1666">
        <v>103.277603</v>
      </c>
      <c r="G1666">
        <v>1194400</v>
      </c>
    </row>
    <row r="1667" spans="1:7" x14ac:dyDescent="0.45">
      <c r="A1667" s="1">
        <v>42411</v>
      </c>
      <c r="B1667">
        <v>115.68</v>
      </c>
      <c r="C1667">
        <v>115.75</v>
      </c>
      <c r="D1667">
        <v>113.91999800000001</v>
      </c>
      <c r="E1667">
        <v>114.620003</v>
      </c>
      <c r="F1667">
        <v>101.794487</v>
      </c>
      <c r="G1667">
        <v>1664300</v>
      </c>
    </row>
    <row r="1668" spans="1:7" x14ac:dyDescent="0.45">
      <c r="A1668" s="1">
        <v>42412</v>
      </c>
      <c r="B1668">
        <v>114.800003</v>
      </c>
      <c r="C1668">
        <v>115.599998</v>
      </c>
      <c r="D1668">
        <v>114.199997</v>
      </c>
      <c r="E1668">
        <v>115.41999800000001</v>
      </c>
      <c r="F1668">
        <v>102.504959</v>
      </c>
      <c r="G1668">
        <v>1129700</v>
      </c>
    </row>
    <row r="1669" spans="1:7" x14ac:dyDescent="0.45">
      <c r="A1669" s="1">
        <v>42416</v>
      </c>
      <c r="B1669">
        <v>116.5</v>
      </c>
      <c r="C1669">
        <v>117.099998</v>
      </c>
      <c r="D1669">
        <v>115.33000199999999</v>
      </c>
      <c r="E1669">
        <v>116.68</v>
      </c>
      <c r="F1669">
        <v>103.62397799999999</v>
      </c>
      <c r="G1669">
        <v>1372000</v>
      </c>
    </row>
    <row r="1670" spans="1:7" x14ac:dyDescent="0.45">
      <c r="A1670" s="1">
        <v>42417</v>
      </c>
      <c r="B1670">
        <v>117.900002</v>
      </c>
      <c r="C1670">
        <v>118.41999800000001</v>
      </c>
      <c r="D1670">
        <v>117.129997</v>
      </c>
      <c r="E1670">
        <v>117.449997</v>
      </c>
      <c r="F1670">
        <v>104.307816</v>
      </c>
      <c r="G1670">
        <v>2432600</v>
      </c>
    </row>
    <row r="1671" spans="1:7" x14ac:dyDescent="0.45">
      <c r="A1671" s="1">
        <v>42418</v>
      </c>
      <c r="B1671">
        <v>117.599998</v>
      </c>
      <c r="C1671">
        <v>117.650002</v>
      </c>
      <c r="D1671">
        <v>116.040001</v>
      </c>
      <c r="E1671">
        <v>116.349998</v>
      </c>
      <c r="F1671">
        <v>103.33090199999999</v>
      </c>
      <c r="G1671">
        <v>1473800</v>
      </c>
    </row>
    <row r="1672" spans="1:7" x14ac:dyDescent="0.45">
      <c r="A1672" s="1">
        <v>42419</v>
      </c>
      <c r="B1672">
        <v>115.949997</v>
      </c>
      <c r="C1672">
        <v>116.470001</v>
      </c>
      <c r="D1672">
        <v>115.639999</v>
      </c>
      <c r="E1672">
        <v>116.400002</v>
      </c>
      <c r="F1672">
        <v>103.37531300000001</v>
      </c>
      <c r="G1672">
        <v>1360400</v>
      </c>
    </row>
    <row r="1673" spans="1:7" x14ac:dyDescent="0.45">
      <c r="A1673" s="1">
        <v>42422</v>
      </c>
      <c r="B1673">
        <v>116.639999</v>
      </c>
      <c r="C1673">
        <v>117.699997</v>
      </c>
      <c r="D1673">
        <v>116.639999</v>
      </c>
      <c r="E1673">
        <v>117.129997</v>
      </c>
      <c r="F1673">
        <v>104.023613</v>
      </c>
      <c r="G1673">
        <v>851500</v>
      </c>
    </row>
    <row r="1674" spans="1:7" x14ac:dyDescent="0.45">
      <c r="A1674" s="1">
        <v>42423</v>
      </c>
      <c r="B1674">
        <v>117.400002</v>
      </c>
      <c r="C1674">
        <v>117.900002</v>
      </c>
      <c r="D1674">
        <v>116.099998</v>
      </c>
      <c r="E1674">
        <v>116.260002</v>
      </c>
      <c r="F1674">
        <v>103.250969</v>
      </c>
      <c r="G1674">
        <v>1065800</v>
      </c>
    </row>
    <row r="1675" spans="1:7" x14ac:dyDescent="0.45">
      <c r="A1675" s="1">
        <v>42424</v>
      </c>
      <c r="B1675">
        <v>114.290001</v>
      </c>
      <c r="C1675">
        <v>115.970001</v>
      </c>
      <c r="D1675">
        <v>113.550003</v>
      </c>
      <c r="E1675">
        <v>115.66999800000001</v>
      </c>
      <c r="F1675">
        <v>102.726974</v>
      </c>
      <c r="G1675">
        <v>1695200</v>
      </c>
    </row>
    <row r="1676" spans="1:7" x14ac:dyDescent="0.45">
      <c r="A1676" s="1">
        <v>42425</v>
      </c>
      <c r="B1676">
        <v>112.43</v>
      </c>
      <c r="C1676">
        <v>113.5</v>
      </c>
      <c r="D1676">
        <v>111.91999800000001</v>
      </c>
      <c r="E1676">
        <v>113.43</v>
      </c>
      <c r="F1676">
        <v>100.73764</v>
      </c>
      <c r="G1676">
        <v>2056100</v>
      </c>
    </row>
    <row r="1677" spans="1:7" x14ac:dyDescent="0.45">
      <c r="A1677" s="1">
        <v>42426</v>
      </c>
      <c r="B1677">
        <v>113.43</v>
      </c>
      <c r="C1677">
        <v>113.43</v>
      </c>
      <c r="D1677">
        <v>111.410004</v>
      </c>
      <c r="E1677">
        <v>112.269997</v>
      </c>
      <c r="F1677">
        <v>99.707436000000001</v>
      </c>
      <c r="G1677">
        <v>2481500</v>
      </c>
    </row>
    <row r="1678" spans="1:7" x14ac:dyDescent="0.45">
      <c r="A1678" s="1">
        <v>42429</v>
      </c>
      <c r="B1678">
        <v>110.589996</v>
      </c>
      <c r="C1678">
        <v>113</v>
      </c>
      <c r="D1678">
        <v>110.589996</v>
      </c>
      <c r="E1678">
        <v>111.5</v>
      </c>
      <c r="F1678">
        <v>99.023598000000007</v>
      </c>
      <c r="G1678">
        <v>1248700</v>
      </c>
    </row>
    <row r="1679" spans="1:7" x14ac:dyDescent="0.45">
      <c r="A1679" s="1">
        <v>42430</v>
      </c>
      <c r="B1679">
        <v>112.110001</v>
      </c>
      <c r="C1679">
        <v>114.540001</v>
      </c>
      <c r="D1679">
        <v>111.970001</v>
      </c>
      <c r="E1679">
        <v>114.089996</v>
      </c>
      <c r="F1679">
        <v>101.323784</v>
      </c>
      <c r="G1679">
        <v>1464900</v>
      </c>
    </row>
    <row r="1680" spans="1:7" x14ac:dyDescent="0.45">
      <c r="A1680" s="1">
        <v>42431</v>
      </c>
      <c r="B1680">
        <v>111.730003</v>
      </c>
      <c r="C1680">
        <v>113.82</v>
      </c>
      <c r="D1680">
        <v>111.58000199999999</v>
      </c>
      <c r="E1680">
        <v>113.610001</v>
      </c>
      <c r="F1680">
        <v>100.897491</v>
      </c>
      <c r="G1680">
        <v>2667000</v>
      </c>
    </row>
    <row r="1681" spans="1:7" x14ac:dyDescent="0.45">
      <c r="A1681" s="1">
        <v>42432</v>
      </c>
      <c r="B1681">
        <v>113.209999</v>
      </c>
      <c r="C1681">
        <v>114.519997</v>
      </c>
      <c r="D1681">
        <v>112.910004</v>
      </c>
      <c r="E1681">
        <v>114.459999</v>
      </c>
      <c r="F1681">
        <v>101.65237399999999</v>
      </c>
      <c r="G1681">
        <v>1517100</v>
      </c>
    </row>
    <row r="1682" spans="1:7" x14ac:dyDescent="0.45">
      <c r="A1682" s="1">
        <v>42433</v>
      </c>
      <c r="B1682">
        <v>116.099998</v>
      </c>
      <c r="C1682">
        <v>116.720001</v>
      </c>
      <c r="D1682">
        <v>115.769997</v>
      </c>
      <c r="E1682">
        <v>116.260002</v>
      </c>
      <c r="F1682">
        <v>103.250969</v>
      </c>
      <c r="G1682">
        <v>2136600</v>
      </c>
    </row>
    <row r="1683" spans="1:7" x14ac:dyDescent="0.45">
      <c r="A1683" s="1">
        <v>42436</v>
      </c>
      <c r="B1683">
        <v>115.599998</v>
      </c>
      <c r="C1683">
        <v>116.32</v>
      </c>
      <c r="D1683">
        <v>115.279999</v>
      </c>
      <c r="E1683">
        <v>115.849998</v>
      </c>
      <c r="F1683">
        <v>102.886841</v>
      </c>
      <c r="G1683">
        <v>1749000</v>
      </c>
    </row>
    <row r="1684" spans="1:7" x14ac:dyDescent="0.45">
      <c r="A1684" s="1">
        <v>42437</v>
      </c>
      <c r="B1684">
        <v>115.489998</v>
      </c>
      <c r="C1684">
        <v>115.66999800000001</v>
      </c>
      <c r="D1684">
        <v>114.660004</v>
      </c>
      <c r="E1684">
        <v>115.010002</v>
      </c>
      <c r="F1684">
        <v>102.140839</v>
      </c>
      <c r="G1684">
        <v>850200</v>
      </c>
    </row>
    <row r="1685" spans="1:7" x14ac:dyDescent="0.45">
      <c r="A1685" s="1">
        <v>42438</v>
      </c>
      <c r="B1685">
        <v>116.290001</v>
      </c>
      <c r="C1685">
        <v>116.699997</v>
      </c>
      <c r="D1685">
        <v>115.699997</v>
      </c>
      <c r="E1685">
        <v>115.870003</v>
      </c>
      <c r="F1685">
        <v>102.90461000000001</v>
      </c>
      <c r="G1685">
        <v>704500</v>
      </c>
    </row>
    <row r="1686" spans="1:7" x14ac:dyDescent="0.45">
      <c r="A1686" s="1">
        <v>42439</v>
      </c>
      <c r="B1686">
        <v>118.389999</v>
      </c>
      <c r="C1686">
        <v>119.150002</v>
      </c>
      <c r="D1686">
        <v>115.800003</v>
      </c>
      <c r="E1686">
        <v>116.790001</v>
      </c>
      <c r="F1686">
        <v>103.721672</v>
      </c>
      <c r="G1686">
        <v>2135000</v>
      </c>
    </row>
    <row r="1687" spans="1:7" x14ac:dyDescent="0.45">
      <c r="A1687" s="1">
        <v>42440</v>
      </c>
      <c r="B1687">
        <v>118.120003</v>
      </c>
      <c r="C1687">
        <v>118.220001</v>
      </c>
      <c r="D1687">
        <v>117.019997</v>
      </c>
      <c r="E1687">
        <v>117.75</v>
      </c>
      <c r="F1687">
        <v>104.57424899999999</v>
      </c>
      <c r="G1687">
        <v>1083600</v>
      </c>
    </row>
    <row r="1688" spans="1:7" x14ac:dyDescent="0.45">
      <c r="A1688" s="1">
        <v>42443</v>
      </c>
      <c r="B1688">
        <v>117</v>
      </c>
      <c r="C1688">
        <v>117.68</v>
      </c>
      <c r="D1688">
        <v>116.959999</v>
      </c>
      <c r="E1688">
        <v>117.16999800000001</v>
      </c>
      <c r="F1688">
        <v>104.05914300000001</v>
      </c>
      <c r="G1688">
        <v>606900</v>
      </c>
    </row>
    <row r="1689" spans="1:7" x14ac:dyDescent="0.45">
      <c r="A1689" s="1">
        <v>42444</v>
      </c>
      <c r="B1689">
        <v>116.69000200000001</v>
      </c>
      <c r="C1689">
        <v>117.05999799999999</v>
      </c>
      <c r="D1689">
        <v>116.230003</v>
      </c>
      <c r="E1689">
        <v>116.510002</v>
      </c>
      <c r="F1689">
        <v>103.473007</v>
      </c>
      <c r="G1689">
        <v>754500</v>
      </c>
    </row>
    <row r="1690" spans="1:7" x14ac:dyDescent="0.45">
      <c r="A1690" s="1">
        <v>42445</v>
      </c>
      <c r="B1690">
        <v>114.849998</v>
      </c>
      <c r="C1690">
        <v>117.459999</v>
      </c>
      <c r="D1690">
        <v>114.800003</v>
      </c>
      <c r="E1690">
        <v>117.230003</v>
      </c>
      <c r="F1690">
        <v>104.11243399999999</v>
      </c>
      <c r="G1690">
        <v>1573100</v>
      </c>
    </row>
    <row r="1691" spans="1:7" x14ac:dyDescent="0.45">
      <c r="A1691" s="1">
        <v>42446</v>
      </c>
      <c r="B1691">
        <v>117.18</v>
      </c>
      <c r="C1691">
        <v>118.639999</v>
      </c>
      <c r="D1691">
        <v>116.709999</v>
      </c>
      <c r="E1691">
        <v>118.400002</v>
      </c>
      <c r="F1691">
        <v>105.151512</v>
      </c>
      <c r="G1691">
        <v>1570800</v>
      </c>
    </row>
    <row r="1692" spans="1:7" x14ac:dyDescent="0.45">
      <c r="A1692" s="1">
        <v>42447</v>
      </c>
      <c r="B1692">
        <v>118.400002</v>
      </c>
      <c r="C1692">
        <v>122.08000199999999</v>
      </c>
      <c r="D1692">
        <v>118.400002</v>
      </c>
      <c r="E1692">
        <v>121.550003</v>
      </c>
      <c r="F1692">
        <v>107.949043</v>
      </c>
      <c r="G1692">
        <v>2375500</v>
      </c>
    </row>
    <row r="1693" spans="1:7" x14ac:dyDescent="0.45">
      <c r="A1693" s="1">
        <v>42450</v>
      </c>
      <c r="B1693">
        <v>120.32</v>
      </c>
      <c r="C1693">
        <v>121.19000200000001</v>
      </c>
      <c r="D1693">
        <v>120.32</v>
      </c>
      <c r="E1693">
        <v>120.760002</v>
      </c>
      <c r="F1693">
        <v>107.247444</v>
      </c>
      <c r="G1693">
        <v>1155500</v>
      </c>
    </row>
    <row r="1694" spans="1:7" x14ac:dyDescent="0.45">
      <c r="A1694" s="1">
        <v>42451</v>
      </c>
      <c r="B1694">
        <v>120.959999</v>
      </c>
      <c r="C1694">
        <v>122.220001</v>
      </c>
      <c r="D1694">
        <v>120.910004</v>
      </c>
      <c r="E1694">
        <v>122.19000200000001</v>
      </c>
      <c r="F1694">
        <v>108.517433</v>
      </c>
      <c r="G1694">
        <v>1508300</v>
      </c>
    </row>
    <row r="1695" spans="1:7" x14ac:dyDescent="0.45">
      <c r="A1695" s="1">
        <v>42452</v>
      </c>
      <c r="B1695">
        <v>123.18</v>
      </c>
      <c r="C1695">
        <v>123.239998</v>
      </c>
      <c r="D1695">
        <v>121.75</v>
      </c>
      <c r="E1695">
        <v>122.160004</v>
      </c>
      <c r="F1695">
        <v>108.490784</v>
      </c>
      <c r="G1695">
        <v>1465400</v>
      </c>
    </row>
    <row r="1696" spans="1:7" x14ac:dyDescent="0.45">
      <c r="A1696" s="1">
        <v>42453</v>
      </c>
      <c r="B1696">
        <v>120.639999</v>
      </c>
      <c r="C1696">
        <v>121.720001</v>
      </c>
      <c r="D1696">
        <v>120.400002</v>
      </c>
      <c r="E1696">
        <v>121.58000199999999</v>
      </c>
      <c r="F1696">
        <v>107.975685</v>
      </c>
      <c r="G1696">
        <v>1562000</v>
      </c>
    </row>
    <row r="1697" spans="1:7" x14ac:dyDescent="0.45">
      <c r="A1697" s="1">
        <v>42457</v>
      </c>
      <c r="B1697">
        <v>121.889999</v>
      </c>
      <c r="C1697">
        <v>122.120003</v>
      </c>
      <c r="D1697">
        <v>121.589996</v>
      </c>
      <c r="E1697">
        <v>121.889999</v>
      </c>
      <c r="F1697">
        <v>108.250992</v>
      </c>
      <c r="G1697">
        <v>819800</v>
      </c>
    </row>
    <row r="1698" spans="1:7" x14ac:dyDescent="0.45">
      <c r="A1698" s="1">
        <v>42458</v>
      </c>
      <c r="B1698">
        <v>122.519997</v>
      </c>
      <c r="C1698">
        <v>124.44000200000001</v>
      </c>
      <c r="D1698">
        <v>122.269997</v>
      </c>
      <c r="E1698">
        <v>124.379997</v>
      </c>
      <c r="F1698">
        <v>110.462379</v>
      </c>
      <c r="G1698">
        <v>1974600</v>
      </c>
    </row>
    <row r="1699" spans="1:7" x14ac:dyDescent="0.45">
      <c r="A1699" s="1">
        <v>42459</v>
      </c>
      <c r="B1699">
        <v>126.540001</v>
      </c>
      <c r="C1699">
        <v>126.959999</v>
      </c>
      <c r="D1699">
        <v>125.41999800000001</v>
      </c>
      <c r="E1699">
        <v>125.739998</v>
      </c>
      <c r="F1699">
        <v>111.67018899999999</v>
      </c>
      <c r="G1699">
        <v>2797800</v>
      </c>
    </row>
    <row r="1700" spans="1:7" x14ac:dyDescent="0.45">
      <c r="A1700" s="1">
        <v>42460</v>
      </c>
      <c r="B1700">
        <v>125.30999799999999</v>
      </c>
      <c r="C1700">
        <v>125.379997</v>
      </c>
      <c r="D1700">
        <v>124.199997</v>
      </c>
      <c r="E1700">
        <v>124.660004</v>
      </c>
      <c r="F1700">
        <v>110.711052</v>
      </c>
      <c r="G1700">
        <v>1949400</v>
      </c>
    </row>
    <row r="1701" spans="1:7" x14ac:dyDescent="0.45">
      <c r="A1701" s="1">
        <v>42461</v>
      </c>
      <c r="B1701">
        <v>122.480003</v>
      </c>
      <c r="C1701">
        <v>125.75</v>
      </c>
      <c r="D1701">
        <v>122.370003</v>
      </c>
      <c r="E1701">
        <v>125.650002</v>
      </c>
      <c r="F1701">
        <v>111.59026299999999</v>
      </c>
      <c r="G1701">
        <v>3041000</v>
      </c>
    </row>
    <row r="1702" spans="1:7" x14ac:dyDescent="0.45">
      <c r="A1702" s="1">
        <v>42464</v>
      </c>
      <c r="B1702">
        <v>126.900002</v>
      </c>
      <c r="C1702">
        <v>127.040001</v>
      </c>
      <c r="D1702">
        <v>125.510002</v>
      </c>
      <c r="E1702">
        <v>126.120003</v>
      </c>
      <c r="F1702">
        <v>112.007683</v>
      </c>
      <c r="G1702">
        <v>1959400</v>
      </c>
    </row>
    <row r="1703" spans="1:7" x14ac:dyDescent="0.45">
      <c r="A1703" s="1">
        <v>42465</v>
      </c>
      <c r="B1703">
        <v>124.230003</v>
      </c>
      <c r="C1703">
        <v>124.599998</v>
      </c>
      <c r="D1703">
        <v>123.510002</v>
      </c>
      <c r="E1703">
        <v>124.019997</v>
      </c>
      <c r="F1703">
        <v>110.14265399999999</v>
      </c>
      <c r="G1703">
        <v>2321900</v>
      </c>
    </row>
    <row r="1704" spans="1:7" x14ac:dyDescent="0.45">
      <c r="A1704" s="1">
        <v>42466</v>
      </c>
      <c r="B1704">
        <v>123.08000199999999</v>
      </c>
      <c r="C1704">
        <v>123.849998</v>
      </c>
      <c r="D1704">
        <v>122.650002</v>
      </c>
      <c r="E1704">
        <v>123.389999</v>
      </c>
      <c r="F1704">
        <v>109.583145</v>
      </c>
      <c r="G1704">
        <v>1147400</v>
      </c>
    </row>
    <row r="1705" spans="1:7" x14ac:dyDescent="0.45">
      <c r="A1705" s="1">
        <v>42467</v>
      </c>
      <c r="B1705">
        <v>121.629997</v>
      </c>
      <c r="C1705">
        <v>122.33000199999999</v>
      </c>
      <c r="D1705">
        <v>120.83000199999999</v>
      </c>
      <c r="E1705">
        <v>121.010002</v>
      </c>
      <c r="F1705">
        <v>107.46946699999999</v>
      </c>
      <c r="G1705">
        <v>1647400</v>
      </c>
    </row>
    <row r="1706" spans="1:7" x14ac:dyDescent="0.45">
      <c r="A1706" s="1">
        <v>42468</v>
      </c>
      <c r="B1706">
        <v>121.57</v>
      </c>
      <c r="C1706">
        <v>122.08000199999999</v>
      </c>
      <c r="D1706">
        <v>121.349998</v>
      </c>
      <c r="E1706">
        <v>121.620003</v>
      </c>
      <c r="F1706">
        <v>108.011208</v>
      </c>
      <c r="G1706">
        <v>1166600</v>
      </c>
    </row>
    <row r="1707" spans="1:7" x14ac:dyDescent="0.45">
      <c r="A1707" s="1">
        <v>42471</v>
      </c>
      <c r="B1707">
        <v>121.139999</v>
      </c>
      <c r="C1707">
        <v>122.18</v>
      </c>
      <c r="D1707">
        <v>120.480003</v>
      </c>
      <c r="E1707">
        <v>120.540001</v>
      </c>
      <c r="F1707">
        <v>107.052055</v>
      </c>
      <c r="G1707">
        <v>1276600</v>
      </c>
    </row>
    <row r="1708" spans="1:7" x14ac:dyDescent="0.45">
      <c r="A1708" s="1">
        <v>42472</v>
      </c>
      <c r="B1708">
        <v>120.41999800000001</v>
      </c>
      <c r="C1708">
        <v>121.459999</v>
      </c>
      <c r="D1708">
        <v>120.290001</v>
      </c>
      <c r="E1708">
        <v>121.129997</v>
      </c>
      <c r="F1708">
        <v>107.576042</v>
      </c>
      <c r="G1708">
        <v>1050500</v>
      </c>
    </row>
    <row r="1709" spans="1:7" x14ac:dyDescent="0.45">
      <c r="A1709" s="1">
        <v>42473</v>
      </c>
      <c r="B1709">
        <v>122.480003</v>
      </c>
      <c r="C1709">
        <v>122.720001</v>
      </c>
      <c r="D1709">
        <v>121.550003</v>
      </c>
      <c r="E1709">
        <v>122.209999</v>
      </c>
      <c r="F1709">
        <v>108.535194</v>
      </c>
      <c r="G1709">
        <v>1537200</v>
      </c>
    </row>
    <row r="1710" spans="1:7" x14ac:dyDescent="0.45">
      <c r="A1710" s="1">
        <v>42474</v>
      </c>
      <c r="B1710">
        <v>123.870003</v>
      </c>
      <c r="C1710">
        <v>126.68</v>
      </c>
      <c r="D1710">
        <v>123.44000200000001</v>
      </c>
      <c r="E1710">
        <v>125.720001</v>
      </c>
      <c r="F1710">
        <v>111.652435</v>
      </c>
      <c r="G1710">
        <v>2850700</v>
      </c>
    </row>
    <row r="1711" spans="1:7" x14ac:dyDescent="0.45">
      <c r="A1711" s="1">
        <v>42475</v>
      </c>
      <c r="B1711">
        <v>126.75</v>
      </c>
      <c r="C1711">
        <v>126.989998</v>
      </c>
      <c r="D1711">
        <v>126</v>
      </c>
      <c r="E1711">
        <v>126.269997</v>
      </c>
      <c r="F1711">
        <v>112.140884</v>
      </c>
      <c r="G1711">
        <v>1434900</v>
      </c>
    </row>
    <row r="1712" spans="1:7" x14ac:dyDescent="0.45">
      <c r="A1712" s="1">
        <v>42478</v>
      </c>
      <c r="B1712">
        <v>126.029999</v>
      </c>
      <c r="C1712">
        <v>128.05999800000001</v>
      </c>
      <c r="D1712">
        <v>125.970001</v>
      </c>
      <c r="E1712">
        <v>127.91999800000001</v>
      </c>
      <c r="F1712">
        <v>113.606255</v>
      </c>
      <c r="G1712">
        <v>1984400</v>
      </c>
    </row>
    <row r="1713" spans="1:7" x14ac:dyDescent="0.45">
      <c r="A1713" s="1">
        <v>42479</v>
      </c>
      <c r="B1713">
        <v>131.63999899999999</v>
      </c>
      <c r="C1713">
        <v>132.91000399999999</v>
      </c>
      <c r="D1713">
        <v>130.570007</v>
      </c>
      <c r="E1713">
        <v>131.770004</v>
      </c>
      <c r="F1713">
        <v>117.025459</v>
      </c>
      <c r="G1713">
        <v>3449900</v>
      </c>
    </row>
    <row r="1714" spans="1:7" x14ac:dyDescent="0.45">
      <c r="A1714" s="1">
        <v>42480</v>
      </c>
      <c r="B1714">
        <v>130.729996</v>
      </c>
      <c r="C1714">
        <v>131.64999399999999</v>
      </c>
      <c r="D1714">
        <v>130.28999300000001</v>
      </c>
      <c r="E1714">
        <v>131.14999399999999</v>
      </c>
      <c r="F1714">
        <v>116.47483099999999</v>
      </c>
      <c r="G1714">
        <v>1284400</v>
      </c>
    </row>
    <row r="1715" spans="1:7" x14ac:dyDescent="0.45">
      <c r="A1715" s="1">
        <v>42481</v>
      </c>
      <c r="B1715">
        <v>128.009995</v>
      </c>
      <c r="C1715">
        <v>129.55999800000001</v>
      </c>
      <c r="D1715">
        <v>127.870003</v>
      </c>
      <c r="E1715">
        <v>128.55999800000001</v>
      </c>
      <c r="F1715">
        <v>114.174644</v>
      </c>
      <c r="G1715">
        <v>2027800</v>
      </c>
    </row>
    <row r="1716" spans="1:7" x14ac:dyDescent="0.45">
      <c r="A1716" s="1">
        <v>42482</v>
      </c>
      <c r="B1716">
        <v>127.519997</v>
      </c>
      <c r="C1716">
        <v>128.270004</v>
      </c>
      <c r="D1716">
        <v>127.019997</v>
      </c>
      <c r="E1716">
        <v>128.270004</v>
      </c>
      <c r="F1716">
        <v>113.917107</v>
      </c>
      <c r="G1716">
        <v>1407400</v>
      </c>
    </row>
    <row r="1717" spans="1:7" x14ac:dyDescent="0.45">
      <c r="A1717" s="1">
        <v>42485</v>
      </c>
      <c r="B1717">
        <v>128.029999</v>
      </c>
      <c r="C1717">
        <v>129.11999499999999</v>
      </c>
      <c r="D1717">
        <v>127.94000200000001</v>
      </c>
      <c r="E1717">
        <v>129.03999300000001</v>
      </c>
      <c r="F1717">
        <v>114.60092899999999</v>
      </c>
      <c r="G1717">
        <v>814200</v>
      </c>
    </row>
    <row r="1718" spans="1:7" x14ac:dyDescent="0.45">
      <c r="A1718" s="1">
        <v>42486</v>
      </c>
      <c r="B1718">
        <v>128.729996</v>
      </c>
      <c r="C1718">
        <v>129.240005</v>
      </c>
      <c r="D1718">
        <v>127.980003</v>
      </c>
      <c r="E1718">
        <v>128.509995</v>
      </c>
      <c r="F1718">
        <v>114.130241</v>
      </c>
      <c r="G1718">
        <v>1127300</v>
      </c>
    </row>
    <row r="1719" spans="1:7" x14ac:dyDescent="0.45">
      <c r="A1719" s="1">
        <v>42487</v>
      </c>
      <c r="B1719">
        <v>128.11000100000001</v>
      </c>
      <c r="C1719">
        <v>128.720001</v>
      </c>
      <c r="D1719">
        <v>127.529999</v>
      </c>
      <c r="E1719">
        <v>128.38999899999999</v>
      </c>
      <c r="F1719">
        <v>114.02366600000001</v>
      </c>
      <c r="G1719">
        <v>1189300</v>
      </c>
    </row>
    <row r="1720" spans="1:7" x14ac:dyDescent="0.45">
      <c r="A1720" s="1">
        <v>42488</v>
      </c>
      <c r="B1720">
        <v>123.82</v>
      </c>
      <c r="C1720">
        <v>126.139999</v>
      </c>
      <c r="D1720">
        <v>123.769997</v>
      </c>
      <c r="E1720">
        <v>125.160004</v>
      </c>
      <c r="F1720">
        <v>113.14946</v>
      </c>
      <c r="G1720">
        <v>1481300</v>
      </c>
    </row>
    <row r="1721" spans="1:7" x14ac:dyDescent="0.45">
      <c r="A1721" s="1">
        <v>42489</v>
      </c>
      <c r="B1721">
        <v>124.540001</v>
      </c>
      <c r="C1721">
        <v>125.209999</v>
      </c>
      <c r="D1721">
        <v>123.720001</v>
      </c>
      <c r="E1721">
        <v>124.18</v>
      </c>
      <c r="F1721">
        <v>112.263504</v>
      </c>
      <c r="G1721">
        <v>1531100</v>
      </c>
    </row>
    <row r="1722" spans="1:7" x14ac:dyDescent="0.45">
      <c r="A1722" s="1">
        <v>42492</v>
      </c>
      <c r="B1722">
        <v>125.30999799999999</v>
      </c>
      <c r="C1722">
        <v>126.010002</v>
      </c>
      <c r="D1722">
        <v>125.029999</v>
      </c>
      <c r="E1722">
        <v>125.839996</v>
      </c>
      <c r="F1722">
        <v>113.764206</v>
      </c>
      <c r="G1722">
        <v>722700</v>
      </c>
    </row>
    <row r="1723" spans="1:7" x14ac:dyDescent="0.45">
      <c r="A1723" s="1">
        <v>42493</v>
      </c>
      <c r="B1723">
        <v>124.83000199999999</v>
      </c>
      <c r="C1723">
        <v>125.379997</v>
      </c>
      <c r="D1723">
        <v>124.360001</v>
      </c>
      <c r="E1723">
        <v>124.970001</v>
      </c>
      <c r="F1723">
        <v>112.977692</v>
      </c>
      <c r="G1723">
        <v>1653800</v>
      </c>
    </row>
    <row r="1724" spans="1:7" x14ac:dyDescent="0.45">
      <c r="A1724" s="1">
        <v>42494</v>
      </c>
      <c r="B1724">
        <v>122.379997</v>
      </c>
      <c r="C1724">
        <v>123.43</v>
      </c>
      <c r="D1724">
        <v>121.68</v>
      </c>
      <c r="E1724">
        <v>123.050003</v>
      </c>
      <c r="F1724">
        <v>111.24194300000001</v>
      </c>
      <c r="G1724">
        <v>3650000</v>
      </c>
    </row>
    <row r="1725" spans="1:7" x14ac:dyDescent="0.45">
      <c r="A1725" s="1">
        <v>42495</v>
      </c>
      <c r="B1725">
        <v>122.75</v>
      </c>
      <c r="C1725">
        <v>125.230003</v>
      </c>
      <c r="D1725">
        <v>122.69000200000001</v>
      </c>
      <c r="E1725">
        <v>125.209999</v>
      </c>
      <c r="F1725">
        <v>113.194664</v>
      </c>
      <c r="G1725">
        <v>1477800</v>
      </c>
    </row>
    <row r="1726" spans="1:7" x14ac:dyDescent="0.45">
      <c r="A1726" s="1">
        <v>42496</v>
      </c>
      <c r="B1726">
        <v>124.94000200000001</v>
      </c>
      <c r="C1726">
        <v>125.599998</v>
      </c>
      <c r="D1726">
        <v>124.41999800000001</v>
      </c>
      <c r="E1726">
        <v>125.010002</v>
      </c>
      <c r="F1726">
        <v>113.013863</v>
      </c>
      <c r="G1726">
        <v>1569900</v>
      </c>
    </row>
    <row r="1727" spans="1:7" x14ac:dyDescent="0.45">
      <c r="A1727" s="1">
        <v>42499</v>
      </c>
      <c r="B1727">
        <v>126.599998</v>
      </c>
      <c r="C1727">
        <v>127.82</v>
      </c>
      <c r="D1727">
        <v>125.639999</v>
      </c>
      <c r="E1727">
        <v>127.260002</v>
      </c>
      <c r="F1727">
        <v>115.047935</v>
      </c>
      <c r="G1727">
        <v>1942500</v>
      </c>
    </row>
    <row r="1728" spans="1:7" x14ac:dyDescent="0.45">
      <c r="A1728" s="1">
        <v>42500</v>
      </c>
      <c r="B1728">
        <v>127.199997</v>
      </c>
      <c r="C1728">
        <v>128.10000600000001</v>
      </c>
      <c r="D1728">
        <v>127.129997</v>
      </c>
      <c r="E1728">
        <v>128.10000600000001</v>
      </c>
      <c r="F1728">
        <v>115.80735</v>
      </c>
      <c r="G1728">
        <v>954400</v>
      </c>
    </row>
    <row r="1729" spans="1:7" x14ac:dyDescent="0.45">
      <c r="A1729" s="1">
        <v>42501</v>
      </c>
      <c r="B1729">
        <v>126.800003</v>
      </c>
      <c r="C1729">
        <v>127.379997</v>
      </c>
      <c r="D1729">
        <v>126.760002</v>
      </c>
      <c r="E1729">
        <v>126.839996</v>
      </c>
      <c r="F1729">
        <v>114.668243</v>
      </c>
      <c r="G1729">
        <v>912300</v>
      </c>
    </row>
    <row r="1730" spans="1:7" x14ac:dyDescent="0.45">
      <c r="A1730" s="1">
        <v>42502</v>
      </c>
      <c r="B1730">
        <v>127.449997</v>
      </c>
      <c r="C1730">
        <v>127.529999</v>
      </c>
      <c r="D1730">
        <v>125.94000200000001</v>
      </c>
      <c r="E1730">
        <v>126.5</v>
      </c>
      <c r="F1730">
        <v>114.360878</v>
      </c>
      <c r="G1730">
        <v>796500</v>
      </c>
    </row>
    <row r="1731" spans="1:7" x14ac:dyDescent="0.45">
      <c r="A1731" s="1">
        <v>42503</v>
      </c>
      <c r="B1731">
        <v>126.029999</v>
      </c>
      <c r="C1731">
        <v>126.389999</v>
      </c>
      <c r="D1731">
        <v>124.83000199999999</v>
      </c>
      <c r="E1731">
        <v>124.889999</v>
      </c>
      <c r="F1731">
        <v>112.905373</v>
      </c>
      <c r="G1731">
        <v>1174800</v>
      </c>
    </row>
    <row r="1732" spans="1:7" x14ac:dyDescent="0.45">
      <c r="A1732" s="1">
        <v>42506</v>
      </c>
      <c r="B1732">
        <v>124.790001</v>
      </c>
      <c r="C1732">
        <v>125.879997</v>
      </c>
      <c r="D1732">
        <v>124.709999</v>
      </c>
      <c r="E1732">
        <v>125.489998</v>
      </c>
      <c r="F1732">
        <v>113.44779200000001</v>
      </c>
      <c r="G1732">
        <v>575700</v>
      </c>
    </row>
    <row r="1733" spans="1:7" x14ac:dyDescent="0.45">
      <c r="A1733" s="1">
        <v>42507</v>
      </c>
      <c r="B1733">
        <v>124.129997</v>
      </c>
      <c r="C1733">
        <v>124.69000200000001</v>
      </c>
      <c r="D1733">
        <v>123.040001</v>
      </c>
      <c r="E1733">
        <v>123.279999</v>
      </c>
      <c r="F1733">
        <v>111.44987500000001</v>
      </c>
      <c r="G1733">
        <v>1008900</v>
      </c>
    </row>
    <row r="1734" spans="1:7" x14ac:dyDescent="0.45">
      <c r="A1734" s="1">
        <v>42508</v>
      </c>
      <c r="B1734">
        <v>122.839996</v>
      </c>
      <c r="C1734">
        <v>123.480003</v>
      </c>
      <c r="D1734">
        <v>121.44000200000001</v>
      </c>
      <c r="E1734">
        <v>122.260002</v>
      </c>
      <c r="F1734">
        <v>110.527756</v>
      </c>
      <c r="G1734">
        <v>976700</v>
      </c>
    </row>
    <row r="1735" spans="1:7" x14ac:dyDescent="0.45">
      <c r="A1735" s="1">
        <v>42509</v>
      </c>
      <c r="B1735">
        <v>121.010002</v>
      </c>
      <c r="C1735">
        <v>122.620003</v>
      </c>
      <c r="D1735">
        <v>120.769997</v>
      </c>
      <c r="E1735">
        <v>122.349998</v>
      </c>
      <c r="F1735">
        <v>110.609116</v>
      </c>
      <c r="G1735">
        <v>1305200</v>
      </c>
    </row>
    <row r="1736" spans="1:7" x14ac:dyDescent="0.45">
      <c r="A1736" s="1">
        <v>42510</v>
      </c>
      <c r="B1736">
        <v>122.290001</v>
      </c>
      <c r="C1736">
        <v>122.91999800000001</v>
      </c>
      <c r="D1736">
        <v>121.720001</v>
      </c>
      <c r="E1736">
        <v>121.989998</v>
      </c>
      <c r="F1736">
        <v>110.283669</v>
      </c>
      <c r="G1736">
        <v>1551300</v>
      </c>
    </row>
    <row r="1737" spans="1:7" x14ac:dyDescent="0.45">
      <c r="A1737" s="1">
        <v>42513</v>
      </c>
      <c r="B1737">
        <v>121.959999</v>
      </c>
      <c r="C1737">
        <v>122.349998</v>
      </c>
      <c r="D1737">
        <v>121.449997</v>
      </c>
      <c r="E1737">
        <v>121.519997</v>
      </c>
      <c r="F1737">
        <v>109.858757</v>
      </c>
      <c r="G1737">
        <v>767200</v>
      </c>
    </row>
    <row r="1738" spans="1:7" x14ac:dyDescent="0.45">
      <c r="A1738" s="1">
        <v>42514</v>
      </c>
      <c r="B1738">
        <v>123.480003</v>
      </c>
      <c r="C1738">
        <v>125.370003</v>
      </c>
      <c r="D1738">
        <v>123.260002</v>
      </c>
      <c r="E1738">
        <v>124.849998</v>
      </c>
      <c r="F1738">
        <v>112.86921700000001</v>
      </c>
      <c r="G1738">
        <v>1283000</v>
      </c>
    </row>
    <row r="1739" spans="1:7" x14ac:dyDescent="0.45">
      <c r="A1739" s="1">
        <v>42515</v>
      </c>
      <c r="B1739">
        <v>126.459999</v>
      </c>
      <c r="C1739">
        <v>127.44000200000001</v>
      </c>
      <c r="D1739">
        <v>126.07</v>
      </c>
      <c r="E1739">
        <v>126.07</v>
      </c>
      <c r="F1739">
        <v>113.972145</v>
      </c>
      <c r="G1739">
        <v>1376900</v>
      </c>
    </row>
    <row r="1740" spans="1:7" x14ac:dyDescent="0.45">
      <c r="A1740" s="1">
        <v>42516</v>
      </c>
      <c r="B1740">
        <v>127.30999799999999</v>
      </c>
      <c r="C1740">
        <v>127.44000200000001</v>
      </c>
      <c r="D1740">
        <v>126.650002</v>
      </c>
      <c r="E1740">
        <v>127.16999800000001</v>
      </c>
      <c r="F1740">
        <v>114.966583</v>
      </c>
      <c r="G1740">
        <v>924500</v>
      </c>
    </row>
    <row r="1741" spans="1:7" x14ac:dyDescent="0.45">
      <c r="A1741" s="1">
        <v>42517</v>
      </c>
      <c r="B1741">
        <v>126.41999800000001</v>
      </c>
      <c r="C1741">
        <v>126.800003</v>
      </c>
      <c r="D1741">
        <v>125.900002</v>
      </c>
      <c r="E1741">
        <v>126.290001</v>
      </c>
      <c r="F1741">
        <v>114.17102800000001</v>
      </c>
      <c r="G1741">
        <v>645900</v>
      </c>
    </row>
    <row r="1742" spans="1:7" x14ac:dyDescent="0.45">
      <c r="A1742" s="1">
        <v>42521</v>
      </c>
      <c r="B1742">
        <v>127.18</v>
      </c>
      <c r="C1742">
        <v>127.279999</v>
      </c>
      <c r="D1742">
        <v>125.769997</v>
      </c>
      <c r="E1742">
        <v>126.220001</v>
      </c>
      <c r="F1742">
        <v>114.107742</v>
      </c>
      <c r="G1742">
        <v>1055200</v>
      </c>
    </row>
    <row r="1743" spans="1:7" x14ac:dyDescent="0.45">
      <c r="A1743" s="1">
        <v>42522</v>
      </c>
      <c r="B1743">
        <v>126.739998</v>
      </c>
      <c r="C1743">
        <v>129.11999499999999</v>
      </c>
      <c r="D1743">
        <v>126.129997</v>
      </c>
      <c r="E1743">
        <v>129.029999</v>
      </c>
      <c r="F1743">
        <v>116.648094</v>
      </c>
      <c r="G1743">
        <v>1864500</v>
      </c>
    </row>
    <row r="1744" spans="1:7" x14ac:dyDescent="0.45">
      <c r="A1744" s="1">
        <v>42523</v>
      </c>
      <c r="B1744">
        <v>127.860001</v>
      </c>
      <c r="C1744">
        <v>128.36999499999999</v>
      </c>
      <c r="D1744">
        <v>127.470001</v>
      </c>
      <c r="E1744">
        <v>128.259995</v>
      </c>
      <c r="F1744">
        <v>115.951981</v>
      </c>
      <c r="G1744">
        <v>888800</v>
      </c>
    </row>
    <row r="1745" spans="1:7" x14ac:dyDescent="0.45">
      <c r="A1745" s="1">
        <v>42524</v>
      </c>
      <c r="B1745">
        <v>127.589996</v>
      </c>
      <c r="C1745">
        <v>128.60000600000001</v>
      </c>
      <c r="D1745">
        <v>127.589996</v>
      </c>
      <c r="E1745">
        <v>128.009995</v>
      </c>
      <c r="F1745">
        <v>115.725967</v>
      </c>
      <c r="G1745">
        <v>835500</v>
      </c>
    </row>
    <row r="1746" spans="1:7" x14ac:dyDescent="0.45">
      <c r="A1746" s="1">
        <v>42527</v>
      </c>
      <c r="B1746">
        <v>130</v>
      </c>
      <c r="C1746">
        <v>130.800003</v>
      </c>
      <c r="D1746">
        <v>129.320007</v>
      </c>
      <c r="E1746">
        <v>130.179993</v>
      </c>
      <c r="F1746">
        <v>117.687721</v>
      </c>
      <c r="G1746">
        <v>1203200</v>
      </c>
    </row>
    <row r="1747" spans="1:7" x14ac:dyDescent="0.45">
      <c r="A1747" s="1">
        <v>42528</v>
      </c>
      <c r="B1747">
        <v>130.53999300000001</v>
      </c>
      <c r="C1747">
        <v>131.279999</v>
      </c>
      <c r="D1747">
        <v>130.279999</v>
      </c>
      <c r="E1747">
        <v>130.41000399999999</v>
      </c>
      <c r="F1747">
        <v>117.89567599999999</v>
      </c>
      <c r="G1747">
        <v>811600</v>
      </c>
    </row>
    <row r="1748" spans="1:7" x14ac:dyDescent="0.45">
      <c r="A1748" s="1">
        <v>42529</v>
      </c>
      <c r="B1748">
        <v>130.96000699999999</v>
      </c>
      <c r="C1748">
        <v>131.699997</v>
      </c>
      <c r="D1748">
        <v>130.60000600000001</v>
      </c>
      <c r="E1748">
        <v>131.66999799999999</v>
      </c>
      <c r="F1748">
        <v>119.034752</v>
      </c>
      <c r="G1748">
        <v>821700</v>
      </c>
    </row>
    <row r="1749" spans="1:7" x14ac:dyDescent="0.45">
      <c r="A1749" s="1">
        <v>42530</v>
      </c>
      <c r="B1749">
        <v>129.61000100000001</v>
      </c>
      <c r="C1749">
        <v>130.36999499999999</v>
      </c>
      <c r="D1749">
        <v>129.320007</v>
      </c>
      <c r="E1749">
        <v>129.91999799999999</v>
      </c>
      <c r="F1749">
        <v>117.452682</v>
      </c>
      <c r="G1749">
        <v>1080400</v>
      </c>
    </row>
    <row r="1750" spans="1:7" x14ac:dyDescent="0.45">
      <c r="A1750" s="1">
        <v>42531</v>
      </c>
      <c r="B1750">
        <v>126.57</v>
      </c>
      <c r="C1750">
        <v>127.010002</v>
      </c>
      <c r="D1750">
        <v>125.300003</v>
      </c>
      <c r="E1750">
        <v>125.489998</v>
      </c>
      <c r="F1750">
        <v>113.44779200000001</v>
      </c>
      <c r="G1750">
        <v>2330400</v>
      </c>
    </row>
    <row r="1751" spans="1:7" x14ac:dyDescent="0.45">
      <c r="A1751" s="1">
        <v>42534</v>
      </c>
      <c r="B1751">
        <v>124.019997</v>
      </c>
      <c r="C1751">
        <v>124.949997</v>
      </c>
      <c r="D1751">
        <v>123.66999800000001</v>
      </c>
      <c r="E1751">
        <v>123.94000200000001</v>
      </c>
      <c r="F1751">
        <v>112.046539</v>
      </c>
      <c r="G1751">
        <v>1995500</v>
      </c>
    </row>
    <row r="1752" spans="1:7" x14ac:dyDescent="0.45">
      <c r="A1752" s="1">
        <v>42535</v>
      </c>
      <c r="B1752">
        <v>122.44000200000001</v>
      </c>
      <c r="C1752">
        <v>123.540001</v>
      </c>
      <c r="D1752">
        <v>121.599998</v>
      </c>
      <c r="E1752">
        <v>122.279999</v>
      </c>
      <c r="F1752">
        <v>110.54583</v>
      </c>
      <c r="G1752">
        <v>2279000</v>
      </c>
    </row>
    <row r="1753" spans="1:7" x14ac:dyDescent="0.45">
      <c r="A1753" s="1">
        <v>42536</v>
      </c>
      <c r="B1753">
        <v>124.720001</v>
      </c>
      <c r="C1753">
        <v>125.260002</v>
      </c>
      <c r="D1753">
        <v>124.089996</v>
      </c>
      <c r="E1753">
        <v>124.269997</v>
      </c>
      <c r="F1753">
        <v>112.344864</v>
      </c>
      <c r="G1753">
        <v>1610700</v>
      </c>
    </row>
    <row r="1754" spans="1:7" x14ac:dyDescent="0.45">
      <c r="A1754" s="1">
        <v>42537</v>
      </c>
      <c r="B1754">
        <v>122.269997</v>
      </c>
      <c r="C1754">
        <v>125.660004</v>
      </c>
      <c r="D1754">
        <v>122.010002</v>
      </c>
      <c r="E1754">
        <v>125.540001</v>
      </c>
      <c r="F1754">
        <v>113.493004</v>
      </c>
      <c r="G1754">
        <v>1881100</v>
      </c>
    </row>
    <row r="1755" spans="1:7" x14ac:dyDescent="0.45">
      <c r="A1755" s="1">
        <v>42538</v>
      </c>
      <c r="B1755">
        <v>124.610001</v>
      </c>
      <c r="C1755">
        <v>124.720001</v>
      </c>
      <c r="D1755">
        <v>123.349998</v>
      </c>
      <c r="E1755">
        <v>124.230003</v>
      </c>
      <c r="F1755">
        <v>112.308708</v>
      </c>
      <c r="G1755">
        <v>1683400</v>
      </c>
    </row>
    <row r="1756" spans="1:7" x14ac:dyDescent="0.45">
      <c r="A1756" s="1">
        <v>42541</v>
      </c>
      <c r="B1756">
        <v>128.229996</v>
      </c>
      <c r="C1756">
        <v>128.83000200000001</v>
      </c>
      <c r="D1756">
        <v>126.400002</v>
      </c>
      <c r="E1756">
        <v>126.449997</v>
      </c>
      <c r="F1756">
        <v>114.31566599999999</v>
      </c>
      <c r="G1756">
        <v>1912500</v>
      </c>
    </row>
    <row r="1757" spans="1:7" x14ac:dyDescent="0.45">
      <c r="A1757" s="1">
        <v>42542</v>
      </c>
      <c r="B1757">
        <v>128.490005</v>
      </c>
      <c r="C1757">
        <v>129.11999499999999</v>
      </c>
      <c r="D1757">
        <v>127.980003</v>
      </c>
      <c r="E1757">
        <v>128.55999800000001</v>
      </c>
      <c r="F1757">
        <v>116.22319</v>
      </c>
      <c r="G1757">
        <v>1428000</v>
      </c>
    </row>
    <row r="1758" spans="1:7" x14ac:dyDescent="0.45">
      <c r="A1758" s="1">
        <v>42543</v>
      </c>
      <c r="B1758">
        <v>129.270004</v>
      </c>
      <c r="C1758">
        <v>129.800003</v>
      </c>
      <c r="D1758">
        <v>128.38999899999999</v>
      </c>
      <c r="E1758">
        <v>128.449997</v>
      </c>
      <c r="F1758">
        <v>116.123741</v>
      </c>
      <c r="G1758">
        <v>994900</v>
      </c>
    </row>
    <row r="1759" spans="1:7" x14ac:dyDescent="0.45">
      <c r="A1759" s="1">
        <v>42544</v>
      </c>
      <c r="B1759">
        <v>130.58999600000001</v>
      </c>
      <c r="C1759">
        <v>130.61999499999999</v>
      </c>
      <c r="D1759">
        <v>128.66000399999999</v>
      </c>
      <c r="E1759">
        <v>129.58000200000001</v>
      </c>
      <c r="F1759">
        <v>117.14531700000001</v>
      </c>
      <c r="G1759">
        <v>1452300</v>
      </c>
    </row>
    <row r="1760" spans="1:7" x14ac:dyDescent="0.45">
      <c r="A1760" s="1">
        <v>42545</v>
      </c>
      <c r="B1760">
        <v>122.639999</v>
      </c>
      <c r="C1760">
        <v>125.82</v>
      </c>
      <c r="D1760">
        <v>121.949997</v>
      </c>
      <c r="E1760">
        <v>122.470001</v>
      </c>
      <c r="F1760">
        <v>110.717606</v>
      </c>
      <c r="G1760">
        <v>3490700</v>
      </c>
    </row>
    <row r="1761" spans="1:7" x14ac:dyDescent="0.45">
      <c r="A1761" s="1">
        <v>42548</v>
      </c>
      <c r="B1761">
        <v>121.379997</v>
      </c>
      <c r="C1761">
        <v>121.959999</v>
      </c>
      <c r="D1761">
        <v>119.779999</v>
      </c>
      <c r="E1761">
        <v>121.410004</v>
      </c>
      <c r="F1761">
        <v>109.759315</v>
      </c>
      <c r="G1761">
        <v>2477800</v>
      </c>
    </row>
    <row r="1762" spans="1:7" x14ac:dyDescent="0.45">
      <c r="A1762" s="1">
        <v>42549</v>
      </c>
      <c r="B1762">
        <v>123.349998</v>
      </c>
      <c r="C1762">
        <v>123.470001</v>
      </c>
      <c r="D1762">
        <v>121.69000200000001</v>
      </c>
      <c r="E1762">
        <v>123.370003</v>
      </c>
      <c r="F1762">
        <v>111.531235</v>
      </c>
      <c r="G1762">
        <v>1663500</v>
      </c>
    </row>
    <row r="1763" spans="1:7" x14ac:dyDescent="0.45">
      <c r="A1763" s="1">
        <v>42550</v>
      </c>
      <c r="B1763">
        <v>125.400002</v>
      </c>
      <c r="C1763">
        <v>127.279999</v>
      </c>
      <c r="D1763">
        <v>125.129997</v>
      </c>
      <c r="E1763">
        <v>126.300003</v>
      </c>
      <c r="F1763">
        <v>114.180069</v>
      </c>
      <c r="G1763">
        <v>1456400</v>
      </c>
    </row>
    <row r="1764" spans="1:7" x14ac:dyDescent="0.45">
      <c r="A1764" s="1">
        <v>42551</v>
      </c>
      <c r="B1764">
        <v>129.91999799999999</v>
      </c>
      <c r="C1764">
        <v>131.89999399999999</v>
      </c>
      <c r="D1764">
        <v>129.199997</v>
      </c>
      <c r="E1764">
        <v>131.679993</v>
      </c>
      <c r="F1764">
        <v>119.04377700000001</v>
      </c>
      <c r="G1764">
        <v>2818100</v>
      </c>
    </row>
    <row r="1765" spans="1:7" x14ac:dyDescent="0.45">
      <c r="A1765" s="1">
        <v>42552</v>
      </c>
      <c r="B1765">
        <v>131.679993</v>
      </c>
      <c r="C1765">
        <v>132.89999399999999</v>
      </c>
      <c r="D1765">
        <v>131.179993</v>
      </c>
      <c r="E1765">
        <v>131.39999399999999</v>
      </c>
      <c r="F1765">
        <v>118.790657</v>
      </c>
      <c r="G1765">
        <v>1834500</v>
      </c>
    </row>
    <row r="1766" spans="1:7" x14ac:dyDescent="0.45">
      <c r="A1766" s="1">
        <v>42556</v>
      </c>
      <c r="B1766">
        <v>128.88999899999999</v>
      </c>
      <c r="C1766">
        <v>129.33000200000001</v>
      </c>
      <c r="D1766">
        <v>128</v>
      </c>
      <c r="E1766">
        <v>128.570007</v>
      </c>
      <c r="F1766">
        <v>116.23223900000001</v>
      </c>
      <c r="G1766">
        <v>1380400</v>
      </c>
    </row>
    <row r="1767" spans="1:7" x14ac:dyDescent="0.45">
      <c r="A1767" s="1">
        <v>42557</v>
      </c>
      <c r="B1767">
        <v>126.400002</v>
      </c>
      <c r="C1767">
        <v>128.240005</v>
      </c>
      <c r="D1767">
        <v>125.44000200000001</v>
      </c>
      <c r="E1767">
        <v>128.070007</v>
      </c>
      <c r="F1767">
        <v>115.78021200000001</v>
      </c>
      <c r="G1767">
        <v>1792500</v>
      </c>
    </row>
    <row r="1768" spans="1:7" x14ac:dyDescent="0.45">
      <c r="A1768" s="1">
        <v>42558</v>
      </c>
      <c r="B1768">
        <v>127.33000199999999</v>
      </c>
      <c r="C1768">
        <v>128.83999600000001</v>
      </c>
      <c r="D1768">
        <v>126.910004</v>
      </c>
      <c r="E1768">
        <v>127.19000200000001</v>
      </c>
      <c r="F1768">
        <v>114.984673</v>
      </c>
      <c r="G1768">
        <v>926000</v>
      </c>
    </row>
    <row r="1769" spans="1:7" x14ac:dyDescent="0.45">
      <c r="A1769" s="1">
        <v>42559</v>
      </c>
      <c r="B1769">
        <v>127.769997</v>
      </c>
      <c r="C1769">
        <v>128.25</v>
      </c>
      <c r="D1769">
        <v>127.129997</v>
      </c>
      <c r="E1769">
        <v>127.75</v>
      </c>
      <c r="F1769">
        <v>115.490921</v>
      </c>
      <c r="G1769">
        <v>972400</v>
      </c>
    </row>
    <row r="1770" spans="1:7" x14ac:dyDescent="0.45">
      <c r="A1770" s="1">
        <v>42562</v>
      </c>
      <c r="B1770">
        <v>128.13000500000001</v>
      </c>
      <c r="C1770">
        <v>128.38000500000001</v>
      </c>
      <c r="D1770">
        <v>127.43</v>
      </c>
      <c r="E1770">
        <v>127.43</v>
      </c>
      <c r="F1770">
        <v>115.20162999999999</v>
      </c>
      <c r="G1770">
        <v>992300</v>
      </c>
    </row>
    <row r="1771" spans="1:7" x14ac:dyDescent="0.45">
      <c r="A1771" s="1">
        <v>42563</v>
      </c>
      <c r="B1771">
        <v>128.28999300000001</v>
      </c>
      <c r="C1771">
        <v>128.78999300000001</v>
      </c>
      <c r="D1771">
        <v>127.459999</v>
      </c>
      <c r="E1771">
        <v>128.009995</v>
      </c>
      <c r="F1771">
        <v>115.725967</v>
      </c>
      <c r="G1771">
        <v>868100</v>
      </c>
    </row>
    <row r="1772" spans="1:7" x14ac:dyDescent="0.45">
      <c r="A1772" s="1">
        <v>42564</v>
      </c>
      <c r="B1772">
        <v>127.379997</v>
      </c>
      <c r="C1772">
        <v>128.38999899999999</v>
      </c>
      <c r="D1772">
        <v>127.239998</v>
      </c>
      <c r="E1772">
        <v>127.720001</v>
      </c>
      <c r="F1772">
        <v>115.46380600000001</v>
      </c>
      <c r="G1772">
        <v>731000</v>
      </c>
    </row>
    <row r="1773" spans="1:7" x14ac:dyDescent="0.45">
      <c r="A1773" s="1">
        <v>42565</v>
      </c>
      <c r="B1773">
        <v>127.769997</v>
      </c>
      <c r="C1773">
        <v>128.08999600000001</v>
      </c>
      <c r="D1773">
        <v>126.30999799999999</v>
      </c>
      <c r="E1773">
        <v>126.360001</v>
      </c>
      <c r="F1773">
        <v>114.234314</v>
      </c>
      <c r="G1773">
        <v>1535400</v>
      </c>
    </row>
    <row r="1774" spans="1:7" x14ac:dyDescent="0.45">
      <c r="A1774" s="1">
        <v>42566</v>
      </c>
      <c r="B1774">
        <v>125.550003</v>
      </c>
      <c r="C1774">
        <v>125.730003</v>
      </c>
      <c r="D1774">
        <v>124.529999</v>
      </c>
      <c r="E1774">
        <v>125.43</v>
      </c>
      <c r="F1774">
        <v>113.393562</v>
      </c>
      <c r="G1774">
        <v>1666200</v>
      </c>
    </row>
    <row r="1775" spans="1:7" x14ac:dyDescent="0.45">
      <c r="A1775" s="1">
        <v>42569</v>
      </c>
      <c r="B1775">
        <v>125.300003</v>
      </c>
      <c r="C1775">
        <v>126.089996</v>
      </c>
      <c r="D1775">
        <v>125.230003</v>
      </c>
      <c r="E1775">
        <v>125.93</v>
      </c>
      <c r="F1775">
        <v>113.845573</v>
      </c>
      <c r="G1775">
        <v>1376400</v>
      </c>
    </row>
    <row r="1776" spans="1:7" x14ac:dyDescent="0.45">
      <c r="A1776" s="1">
        <v>42570</v>
      </c>
      <c r="B1776">
        <v>124.889999</v>
      </c>
      <c r="C1776">
        <v>125.220001</v>
      </c>
      <c r="D1776">
        <v>124.279999</v>
      </c>
      <c r="E1776">
        <v>124.589996</v>
      </c>
      <c r="F1776">
        <v>112.63415500000001</v>
      </c>
      <c r="G1776">
        <v>1053600</v>
      </c>
    </row>
    <row r="1777" spans="1:7" x14ac:dyDescent="0.45">
      <c r="A1777" s="1">
        <v>42571</v>
      </c>
      <c r="B1777">
        <v>123.18</v>
      </c>
      <c r="C1777">
        <v>128.050003</v>
      </c>
      <c r="D1777">
        <v>123.160004</v>
      </c>
      <c r="E1777">
        <v>126.220001</v>
      </c>
      <c r="F1777">
        <v>114.107742</v>
      </c>
      <c r="G1777">
        <v>3086600</v>
      </c>
    </row>
    <row r="1778" spans="1:7" x14ac:dyDescent="0.45">
      <c r="A1778" s="1">
        <v>42572</v>
      </c>
      <c r="B1778">
        <v>124.870003</v>
      </c>
      <c r="C1778">
        <v>125.489998</v>
      </c>
      <c r="D1778">
        <v>124.239998</v>
      </c>
      <c r="E1778">
        <v>124.5</v>
      </c>
      <c r="F1778">
        <v>112.552803</v>
      </c>
      <c r="G1778">
        <v>1781000</v>
      </c>
    </row>
    <row r="1779" spans="1:7" x14ac:dyDescent="0.45">
      <c r="A1779" s="1">
        <v>42573</v>
      </c>
      <c r="B1779">
        <v>125.129997</v>
      </c>
      <c r="C1779">
        <v>126.370003</v>
      </c>
      <c r="D1779">
        <v>125.050003</v>
      </c>
      <c r="E1779">
        <v>126.120003</v>
      </c>
      <c r="F1779">
        <v>114.017357</v>
      </c>
      <c r="G1779">
        <v>1333900</v>
      </c>
    </row>
    <row r="1780" spans="1:7" x14ac:dyDescent="0.45">
      <c r="A1780" s="1">
        <v>42576</v>
      </c>
      <c r="B1780">
        <v>126.55999799999999</v>
      </c>
      <c r="C1780">
        <v>126.55999799999999</v>
      </c>
      <c r="D1780">
        <v>125.629997</v>
      </c>
      <c r="E1780">
        <v>125.959999</v>
      </c>
      <c r="F1780">
        <v>113.872696</v>
      </c>
      <c r="G1780">
        <v>544500</v>
      </c>
    </row>
    <row r="1781" spans="1:7" x14ac:dyDescent="0.45">
      <c r="A1781" s="1">
        <v>42577</v>
      </c>
      <c r="B1781">
        <v>127.459999</v>
      </c>
      <c r="C1781">
        <v>127.58000199999999</v>
      </c>
      <c r="D1781">
        <v>126.550003</v>
      </c>
      <c r="E1781">
        <v>126.599998</v>
      </c>
      <c r="F1781">
        <v>114.451286</v>
      </c>
      <c r="G1781">
        <v>1685200</v>
      </c>
    </row>
    <row r="1782" spans="1:7" x14ac:dyDescent="0.45">
      <c r="A1782" s="1">
        <v>42578</v>
      </c>
      <c r="B1782">
        <v>125.610001</v>
      </c>
      <c r="C1782">
        <v>125.699997</v>
      </c>
      <c r="D1782">
        <v>121.529999</v>
      </c>
      <c r="E1782">
        <v>121.94000200000001</v>
      </c>
      <c r="F1782">
        <v>110.23846399999999</v>
      </c>
      <c r="G1782">
        <v>4384400</v>
      </c>
    </row>
    <row r="1783" spans="1:7" x14ac:dyDescent="0.45">
      <c r="A1783" s="1">
        <v>42579</v>
      </c>
      <c r="B1783">
        <v>122.07</v>
      </c>
      <c r="C1783">
        <v>126.08000199999999</v>
      </c>
      <c r="D1783">
        <v>121.379997</v>
      </c>
      <c r="E1783">
        <v>125.91999800000001</v>
      </c>
      <c r="F1783">
        <v>113.83654</v>
      </c>
      <c r="G1783">
        <v>5034200</v>
      </c>
    </row>
    <row r="1784" spans="1:7" x14ac:dyDescent="0.45">
      <c r="A1784" s="1">
        <v>42580</v>
      </c>
      <c r="B1784">
        <v>126.449997</v>
      </c>
      <c r="C1784">
        <v>129.86000100000001</v>
      </c>
      <c r="D1784">
        <v>125.739998</v>
      </c>
      <c r="E1784">
        <v>129.44000199999999</v>
      </c>
      <c r="F1784">
        <v>117.018761</v>
      </c>
      <c r="G1784">
        <v>3001000</v>
      </c>
    </row>
    <row r="1785" spans="1:7" x14ac:dyDescent="0.45">
      <c r="A1785" s="1">
        <v>42583</v>
      </c>
      <c r="B1785">
        <v>126.900002</v>
      </c>
      <c r="C1785">
        <v>127.08000199999999</v>
      </c>
      <c r="D1785">
        <v>125.010002</v>
      </c>
      <c r="E1785">
        <v>125.230003</v>
      </c>
      <c r="F1785">
        <v>113.21275300000001</v>
      </c>
      <c r="G1785">
        <v>2087700</v>
      </c>
    </row>
    <row r="1786" spans="1:7" x14ac:dyDescent="0.45">
      <c r="A1786" s="1">
        <v>42584</v>
      </c>
      <c r="B1786">
        <v>126.029999</v>
      </c>
      <c r="C1786">
        <v>126.08000199999999</v>
      </c>
      <c r="D1786">
        <v>124.349998</v>
      </c>
      <c r="E1786">
        <v>124.629997</v>
      </c>
      <c r="F1786">
        <v>112.67031900000001</v>
      </c>
      <c r="G1786">
        <v>1355100</v>
      </c>
    </row>
    <row r="1787" spans="1:7" x14ac:dyDescent="0.45">
      <c r="A1787" s="1">
        <v>42585</v>
      </c>
      <c r="B1787">
        <v>124.5</v>
      </c>
      <c r="C1787">
        <v>124.650002</v>
      </c>
      <c r="D1787">
        <v>123.139999</v>
      </c>
      <c r="E1787">
        <v>123.650002</v>
      </c>
      <c r="F1787">
        <v>111.784378</v>
      </c>
      <c r="G1787">
        <v>1296600</v>
      </c>
    </row>
    <row r="1788" spans="1:7" x14ac:dyDescent="0.45">
      <c r="A1788" s="1">
        <v>42586</v>
      </c>
      <c r="B1788">
        <v>123.199997</v>
      </c>
      <c r="C1788">
        <v>124.389999</v>
      </c>
      <c r="D1788">
        <v>123.139999</v>
      </c>
      <c r="E1788">
        <v>123.93</v>
      </c>
      <c r="F1788">
        <v>112.037498</v>
      </c>
      <c r="G1788">
        <v>1346900</v>
      </c>
    </row>
    <row r="1789" spans="1:7" x14ac:dyDescent="0.45">
      <c r="A1789" s="1">
        <v>42587</v>
      </c>
      <c r="B1789">
        <v>123.019997</v>
      </c>
      <c r="C1789">
        <v>124.16999800000001</v>
      </c>
      <c r="D1789">
        <v>122.910004</v>
      </c>
      <c r="E1789">
        <v>123.849998</v>
      </c>
      <c r="F1789">
        <v>111.96517900000001</v>
      </c>
      <c r="G1789">
        <v>1654200</v>
      </c>
    </row>
    <row r="1790" spans="1:7" x14ac:dyDescent="0.45">
      <c r="A1790" s="1">
        <v>42590</v>
      </c>
      <c r="B1790">
        <v>123.379997</v>
      </c>
      <c r="C1790">
        <v>123.82</v>
      </c>
      <c r="D1790">
        <v>122.68</v>
      </c>
      <c r="E1790">
        <v>122.93</v>
      </c>
      <c r="F1790">
        <v>111.133461</v>
      </c>
      <c r="G1790">
        <v>1368000</v>
      </c>
    </row>
    <row r="1791" spans="1:7" x14ac:dyDescent="0.45">
      <c r="A1791" s="1">
        <v>42591</v>
      </c>
      <c r="B1791">
        <v>123.19000200000001</v>
      </c>
      <c r="C1791">
        <v>123.44000200000001</v>
      </c>
      <c r="D1791">
        <v>122.860001</v>
      </c>
      <c r="E1791">
        <v>123.110001</v>
      </c>
      <c r="F1791">
        <v>111.296188</v>
      </c>
      <c r="G1791">
        <v>1981900</v>
      </c>
    </row>
    <row r="1792" spans="1:7" x14ac:dyDescent="0.45">
      <c r="A1792" s="1">
        <v>42592</v>
      </c>
      <c r="B1792">
        <v>123.599998</v>
      </c>
      <c r="C1792">
        <v>124.129997</v>
      </c>
      <c r="D1792">
        <v>123.32</v>
      </c>
      <c r="E1792">
        <v>123.650002</v>
      </c>
      <c r="F1792">
        <v>111.784378</v>
      </c>
      <c r="G1792">
        <v>822700</v>
      </c>
    </row>
    <row r="1793" spans="1:7" x14ac:dyDescent="0.45">
      <c r="A1793" s="1">
        <v>42593</v>
      </c>
      <c r="B1793">
        <v>124.120003</v>
      </c>
      <c r="C1793">
        <v>124.800003</v>
      </c>
      <c r="D1793">
        <v>123.889999</v>
      </c>
      <c r="E1793">
        <v>124.599998</v>
      </c>
      <c r="F1793">
        <v>112.64321099999999</v>
      </c>
      <c r="G1793">
        <v>793500</v>
      </c>
    </row>
    <row r="1794" spans="1:7" x14ac:dyDescent="0.45">
      <c r="A1794" s="1">
        <v>42594</v>
      </c>
      <c r="B1794">
        <v>125.83000199999999</v>
      </c>
      <c r="C1794">
        <v>126.290001</v>
      </c>
      <c r="D1794">
        <v>125.629997</v>
      </c>
      <c r="E1794">
        <v>126.19000200000001</v>
      </c>
      <c r="F1794">
        <v>114.08062</v>
      </c>
      <c r="G1794">
        <v>1283100</v>
      </c>
    </row>
    <row r="1795" spans="1:7" x14ac:dyDescent="0.45">
      <c r="A1795" s="1">
        <v>42597</v>
      </c>
      <c r="B1795">
        <v>126.489998</v>
      </c>
      <c r="C1795">
        <v>126.550003</v>
      </c>
      <c r="D1795">
        <v>125.639999</v>
      </c>
      <c r="E1795">
        <v>125.650002</v>
      </c>
      <c r="F1795">
        <v>113.592438</v>
      </c>
      <c r="G1795">
        <v>782100</v>
      </c>
    </row>
    <row r="1796" spans="1:7" x14ac:dyDescent="0.45">
      <c r="A1796" s="1">
        <v>42598</v>
      </c>
      <c r="B1796">
        <v>125.80999799999999</v>
      </c>
      <c r="C1796">
        <v>126.16999800000001</v>
      </c>
      <c r="D1796">
        <v>125.290001</v>
      </c>
      <c r="E1796">
        <v>126</v>
      </c>
      <c r="F1796">
        <v>113.908867</v>
      </c>
      <c r="G1796">
        <v>683900</v>
      </c>
    </row>
    <row r="1797" spans="1:7" x14ac:dyDescent="0.45">
      <c r="A1797" s="1">
        <v>42599</v>
      </c>
      <c r="B1797">
        <v>126.150002</v>
      </c>
      <c r="C1797">
        <v>126.760002</v>
      </c>
      <c r="D1797">
        <v>125.459999</v>
      </c>
      <c r="E1797">
        <v>126.540001</v>
      </c>
      <c r="F1797">
        <v>114.397041</v>
      </c>
      <c r="G1797">
        <v>703200</v>
      </c>
    </row>
    <row r="1798" spans="1:7" x14ac:dyDescent="0.45">
      <c r="A1798" s="1">
        <v>42600</v>
      </c>
      <c r="B1798">
        <v>126.540001</v>
      </c>
      <c r="C1798">
        <v>126.910004</v>
      </c>
      <c r="D1798">
        <v>126.379997</v>
      </c>
      <c r="E1798">
        <v>126.80999799999999</v>
      </c>
      <c r="F1798">
        <v>114.641136</v>
      </c>
      <c r="G1798">
        <v>536100</v>
      </c>
    </row>
    <row r="1799" spans="1:7" x14ac:dyDescent="0.45">
      <c r="A1799" s="1">
        <v>42601</v>
      </c>
      <c r="B1799">
        <v>126.089996</v>
      </c>
      <c r="C1799">
        <v>126.760002</v>
      </c>
      <c r="D1799">
        <v>125.730003</v>
      </c>
      <c r="E1799">
        <v>126.379997</v>
      </c>
      <c r="F1799">
        <v>114.25238</v>
      </c>
      <c r="G1799">
        <v>920400</v>
      </c>
    </row>
    <row r="1800" spans="1:7" x14ac:dyDescent="0.45">
      <c r="A1800" s="1">
        <v>42604</v>
      </c>
      <c r="B1800">
        <v>125.379997</v>
      </c>
      <c r="C1800">
        <v>125.870003</v>
      </c>
      <c r="D1800">
        <v>125.260002</v>
      </c>
      <c r="E1800">
        <v>125.449997</v>
      </c>
      <c r="F1800">
        <v>113.411636</v>
      </c>
      <c r="G1800">
        <v>705200</v>
      </c>
    </row>
    <row r="1801" spans="1:7" x14ac:dyDescent="0.45">
      <c r="A1801" s="1">
        <v>42605</v>
      </c>
      <c r="B1801">
        <v>127.099998</v>
      </c>
      <c r="C1801">
        <v>127.349998</v>
      </c>
      <c r="D1801">
        <v>126.43</v>
      </c>
      <c r="E1801">
        <v>126.449997</v>
      </c>
      <c r="F1801">
        <v>114.31566599999999</v>
      </c>
      <c r="G1801">
        <v>724900</v>
      </c>
    </row>
    <row r="1802" spans="1:7" x14ac:dyDescent="0.45">
      <c r="A1802" s="1">
        <v>42606</v>
      </c>
      <c r="B1802">
        <v>125.82</v>
      </c>
      <c r="C1802">
        <v>126.110001</v>
      </c>
      <c r="D1802">
        <v>125.279999</v>
      </c>
      <c r="E1802">
        <v>125.870003</v>
      </c>
      <c r="F1802">
        <v>113.791344</v>
      </c>
      <c r="G1802">
        <v>621600</v>
      </c>
    </row>
    <row r="1803" spans="1:7" x14ac:dyDescent="0.45">
      <c r="A1803" s="1">
        <v>42607</v>
      </c>
      <c r="B1803">
        <v>126.19000200000001</v>
      </c>
      <c r="C1803">
        <v>126.57</v>
      </c>
      <c r="D1803">
        <v>125.720001</v>
      </c>
      <c r="E1803">
        <v>125.800003</v>
      </c>
      <c r="F1803">
        <v>113.72805</v>
      </c>
      <c r="G1803">
        <v>381200</v>
      </c>
    </row>
    <row r="1804" spans="1:7" x14ac:dyDescent="0.45">
      <c r="A1804" s="1">
        <v>42608</v>
      </c>
      <c r="B1804">
        <v>127.58000199999999</v>
      </c>
      <c r="C1804">
        <v>128.05999800000001</v>
      </c>
      <c r="D1804">
        <v>125.300003</v>
      </c>
      <c r="E1804">
        <v>125.739998</v>
      </c>
      <c r="F1804">
        <v>113.673805</v>
      </c>
      <c r="G1804">
        <v>697000</v>
      </c>
    </row>
    <row r="1805" spans="1:7" x14ac:dyDescent="0.45">
      <c r="A1805" s="1">
        <v>42611</v>
      </c>
      <c r="B1805">
        <v>125.510002</v>
      </c>
      <c r="C1805">
        <v>126.57</v>
      </c>
      <c r="D1805">
        <v>125.470001</v>
      </c>
      <c r="E1805">
        <v>126.339996</v>
      </c>
      <c r="F1805">
        <v>114.21622499999999</v>
      </c>
      <c r="G1805">
        <v>411900</v>
      </c>
    </row>
    <row r="1806" spans="1:7" x14ac:dyDescent="0.45">
      <c r="A1806" s="1">
        <v>42612</v>
      </c>
      <c r="B1806">
        <v>125.989998</v>
      </c>
      <c r="C1806">
        <v>126.239998</v>
      </c>
      <c r="D1806">
        <v>125.129997</v>
      </c>
      <c r="E1806">
        <v>125.370003</v>
      </c>
      <c r="F1806">
        <v>113.339325</v>
      </c>
      <c r="G1806">
        <v>687500</v>
      </c>
    </row>
    <row r="1807" spans="1:7" x14ac:dyDescent="0.45">
      <c r="A1807" s="1">
        <v>42613</v>
      </c>
      <c r="B1807">
        <v>125.110001</v>
      </c>
      <c r="C1807">
        <v>125.19000200000001</v>
      </c>
      <c r="D1807">
        <v>123.699997</v>
      </c>
      <c r="E1807">
        <v>124.029999</v>
      </c>
      <c r="F1807">
        <v>112.127899</v>
      </c>
      <c r="G1807">
        <v>1428500</v>
      </c>
    </row>
    <row r="1808" spans="1:7" x14ac:dyDescent="0.45">
      <c r="A1808" s="1">
        <v>42614</v>
      </c>
      <c r="B1808">
        <v>123.68</v>
      </c>
      <c r="C1808">
        <v>125.05999799999999</v>
      </c>
      <c r="D1808">
        <v>123.370003</v>
      </c>
      <c r="E1808">
        <v>124.80999799999999</v>
      </c>
      <c r="F1808">
        <v>112.833054</v>
      </c>
      <c r="G1808">
        <v>633700</v>
      </c>
    </row>
    <row r="1809" spans="1:7" x14ac:dyDescent="0.45">
      <c r="A1809" s="1">
        <v>42615</v>
      </c>
      <c r="B1809">
        <v>126.80999799999999</v>
      </c>
      <c r="C1809">
        <v>127</v>
      </c>
      <c r="D1809">
        <v>126.41999800000001</v>
      </c>
      <c r="E1809">
        <v>126.760002</v>
      </c>
      <c r="F1809">
        <v>114.595932</v>
      </c>
      <c r="G1809">
        <v>824600</v>
      </c>
    </row>
    <row r="1810" spans="1:7" x14ac:dyDescent="0.45">
      <c r="A1810" s="1">
        <v>42619</v>
      </c>
      <c r="B1810">
        <v>127.41999800000001</v>
      </c>
      <c r="C1810">
        <v>128.11999499999999</v>
      </c>
      <c r="D1810">
        <v>127.19000200000001</v>
      </c>
      <c r="E1810">
        <v>127.94000200000001</v>
      </c>
      <c r="F1810">
        <v>115.66269699999999</v>
      </c>
      <c r="G1810">
        <v>784800</v>
      </c>
    </row>
    <row r="1811" spans="1:7" x14ac:dyDescent="0.45">
      <c r="A1811" s="1">
        <v>42620</v>
      </c>
      <c r="B1811">
        <v>128.46000699999999</v>
      </c>
      <c r="C1811">
        <v>128.570007</v>
      </c>
      <c r="D1811">
        <v>127.269997</v>
      </c>
      <c r="E1811">
        <v>127.370003</v>
      </c>
      <c r="F1811">
        <v>115.1474</v>
      </c>
      <c r="G1811">
        <v>757500</v>
      </c>
    </row>
    <row r="1812" spans="1:7" x14ac:dyDescent="0.45">
      <c r="A1812" s="1">
        <v>42621</v>
      </c>
      <c r="B1812">
        <v>127.269997</v>
      </c>
      <c r="C1812">
        <v>127.69000200000001</v>
      </c>
      <c r="D1812">
        <v>126.44000200000001</v>
      </c>
      <c r="E1812">
        <v>126.55999799999999</v>
      </c>
      <c r="F1812">
        <v>114.41512299999999</v>
      </c>
      <c r="G1812">
        <v>649200</v>
      </c>
    </row>
    <row r="1813" spans="1:7" x14ac:dyDescent="0.45">
      <c r="A1813" s="1">
        <v>42622</v>
      </c>
      <c r="B1813">
        <v>125.529999</v>
      </c>
      <c r="C1813">
        <v>125.650002</v>
      </c>
      <c r="D1813">
        <v>123.230003</v>
      </c>
      <c r="E1813">
        <v>123.230003</v>
      </c>
      <c r="F1813">
        <v>111.404678</v>
      </c>
      <c r="G1813">
        <v>1331500</v>
      </c>
    </row>
    <row r="1814" spans="1:7" x14ac:dyDescent="0.45">
      <c r="A1814" s="1">
        <v>42625</v>
      </c>
      <c r="B1814">
        <v>122.82</v>
      </c>
      <c r="C1814">
        <v>124.989998</v>
      </c>
      <c r="D1814">
        <v>122.82</v>
      </c>
      <c r="E1814">
        <v>124.800003</v>
      </c>
      <c r="F1814">
        <v>112.824005</v>
      </c>
      <c r="G1814">
        <v>1209300</v>
      </c>
    </row>
    <row r="1815" spans="1:7" x14ac:dyDescent="0.45">
      <c r="A1815" s="1">
        <v>42626</v>
      </c>
      <c r="B1815">
        <v>123.68</v>
      </c>
      <c r="C1815">
        <v>124.370003</v>
      </c>
      <c r="D1815">
        <v>122.18</v>
      </c>
      <c r="E1815">
        <v>122.550003</v>
      </c>
      <c r="F1815">
        <v>110.78993199999999</v>
      </c>
      <c r="G1815">
        <v>1194000</v>
      </c>
    </row>
    <row r="1816" spans="1:7" x14ac:dyDescent="0.45">
      <c r="A1816" s="1">
        <v>42627</v>
      </c>
      <c r="B1816">
        <v>122.43</v>
      </c>
      <c r="C1816">
        <v>123.33000199999999</v>
      </c>
      <c r="D1816">
        <v>122.230003</v>
      </c>
      <c r="E1816">
        <v>122.779999</v>
      </c>
      <c r="F1816">
        <v>110.997856</v>
      </c>
      <c r="G1816">
        <v>629300</v>
      </c>
    </row>
    <row r="1817" spans="1:7" x14ac:dyDescent="0.45">
      <c r="A1817" s="1">
        <v>42628</v>
      </c>
      <c r="B1817">
        <v>123.410004</v>
      </c>
      <c r="C1817">
        <v>124.720001</v>
      </c>
      <c r="D1817">
        <v>122.839996</v>
      </c>
      <c r="E1817">
        <v>124.55999799999999</v>
      </c>
      <c r="F1817">
        <v>112.60704800000001</v>
      </c>
      <c r="G1817">
        <v>833300</v>
      </c>
    </row>
    <row r="1818" spans="1:7" x14ac:dyDescent="0.45">
      <c r="A1818" s="1">
        <v>42629</v>
      </c>
      <c r="B1818">
        <v>124.25</v>
      </c>
      <c r="C1818">
        <v>124.480003</v>
      </c>
      <c r="D1818">
        <v>123.529999</v>
      </c>
      <c r="E1818">
        <v>124.089996</v>
      </c>
      <c r="F1818">
        <v>112.182137</v>
      </c>
      <c r="G1818">
        <v>762200</v>
      </c>
    </row>
    <row r="1819" spans="1:7" x14ac:dyDescent="0.45">
      <c r="A1819" s="1">
        <v>42632</v>
      </c>
      <c r="B1819">
        <v>125.30999799999999</v>
      </c>
      <c r="C1819">
        <v>125.800003</v>
      </c>
      <c r="D1819">
        <v>124.709999</v>
      </c>
      <c r="E1819">
        <v>125.300003</v>
      </c>
      <c r="F1819">
        <v>113.276039</v>
      </c>
      <c r="G1819">
        <v>815000</v>
      </c>
    </row>
    <row r="1820" spans="1:7" x14ac:dyDescent="0.45">
      <c r="A1820" s="1">
        <v>42633</v>
      </c>
      <c r="B1820">
        <v>126.459999</v>
      </c>
      <c r="C1820">
        <v>126.5</v>
      </c>
      <c r="D1820">
        <v>125.879997</v>
      </c>
      <c r="E1820">
        <v>125.879997</v>
      </c>
      <c r="F1820">
        <v>113.800377</v>
      </c>
      <c r="G1820">
        <v>506300</v>
      </c>
    </row>
    <row r="1821" spans="1:7" x14ac:dyDescent="0.45">
      <c r="A1821" s="1">
        <v>42634</v>
      </c>
      <c r="B1821">
        <v>125.55999799999999</v>
      </c>
      <c r="C1821">
        <v>127.5</v>
      </c>
      <c r="D1821">
        <v>125.540001</v>
      </c>
      <c r="E1821">
        <v>127.300003</v>
      </c>
      <c r="F1821">
        <v>115.08410600000001</v>
      </c>
      <c r="G1821">
        <v>706900</v>
      </c>
    </row>
    <row r="1822" spans="1:7" x14ac:dyDescent="0.45">
      <c r="A1822" s="1">
        <v>42635</v>
      </c>
      <c r="B1822">
        <v>130.229996</v>
      </c>
      <c r="C1822">
        <v>130.88000500000001</v>
      </c>
      <c r="D1822">
        <v>130</v>
      </c>
      <c r="E1822">
        <v>130.05999800000001</v>
      </c>
      <c r="F1822">
        <v>117.57925400000001</v>
      </c>
      <c r="G1822">
        <v>1355500</v>
      </c>
    </row>
    <row r="1823" spans="1:7" x14ac:dyDescent="0.45">
      <c r="A1823" s="1">
        <v>42636</v>
      </c>
      <c r="B1823">
        <v>129.770004</v>
      </c>
      <c r="C1823">
        <v>130.61999499999999</v>
      </c>
      <c r="D1823">
        <v>129.69000199999999</v>
      </c>
      <c r="E1823">
        <v>130.16000399999999</v>
      </c>
      <c r="F1823">
        <v>117.669662</v>
      </c>
      <c r="G1823">
        <v>777000</v>
      </c>
    </row>
    <row r="1824" spans="1:7" x14ac:dyDescent="0.45">
      <c r="A1824" s="1">
        <v>42639</v>
      </c>
      <c r="B1824">
        <v>130.729996</v>
      </c>
      <c r="C1824">
        <v>136.08000200000001</v>
      </c>
      <c r="D1824">
        <v>129.990005</v>
      </c>
      <c r="E1824">
        <v>132.199997</v>
      </c>
      <c r="F1824">
        <v>119.513908</v>
      </c>
      <c r="G1824">
        <v>3041200</v>
      </c>
    </row>
    <row r="1825" spans="1:7" x14ac:dyDescent="0.45">
      <c r="A1825" s="1">
        <v>42640</v>
      </c>
      <c r="B1825">
        <v>130.85000600000001</v>
      </c>
      <c r="C1825">
        <v>132.550003</v>
      </c>
      <c r="D1825">
        <v>130.759995</v>
      </c>
      <c r="E1825">
        <v>131.88000500000001</v>
      </c>
      <c r="F1825">
        <v>119.224609</v>
      </c>
      <c r="G1825">
        <v>2086600</v>
      </c>
    </row>
    <row r="1826" spans="1:7" x14ac:dyDescent="0.45">
      <c r="A1826" s="1">
        <v>42641</v>
      </c>
      <c r="B1826">
        <v>132.16999799999999</v>
      </c>
      <c r="C1826">
        <v>133.63999899999999</v>
      </c>
      <c r="D1826">
        <v>132.16999799999999</v>
      </c>
      <c r="E1826">
        <v>133.44000199999999</v>
      </c>
      <c r="F1826">
        <v>120.634911</v>
      </c>
      <c r="G1826">
        <v>2214200</v>
      </c>
    </row>
    <row r="1827" spans="1:7" x14ac:dyDescent="0.45">
      <c r="A1827" s="1">
        <v>42642</v>
      </c>
      <c r="B1827">
        <v>132.36000100000001</v>
      </c>
      <c r="C1827">
        <v>132.5</v>
      </c>
      <c r="D1827">
        <v>130.66000399999999</v>
      </c>
      <c r="E1827">
        <v>131.16000399999999</v>
      </c>
      <c r="F1827">
        <v>118.5737</v>
      </c>
      <c r="G1827">
        <v>3480600</v>
      </c>
    </row>
    <row r="1828" spans="1:7" x14ac:dyDescent="0.45">
      <c r="A1828" s="1">
        <v>42643</v>
      </c>
      <c r="B1828">
        <v>130.75</v>
      </c>
      <c r="C1828">
        <v>131.91000399999999</v>
      </c>
      <c r="D1828">
        <v>130.5</v>
      </c>
      <c r="E1828">
        <v>131.41000399999999</v>
      </c>
      <c r="F1828">
        <v>118.799706</v>
      </c>
      <c r="G1828">
        <v>1477400</v>
      </c>
    </row>
    <row r="1829" spans="1:7" x14ac:dyDescent="0.45">
      <c r="A1829" s="1">
        <v>42646</v>
      </c>
      <c r="B1829">
        <v>130.21000699999999</v>
      </c>
      <c r="C1829">
        <v>130.470001</v>
      </c>
      <c r="D1829">
        <v>128.86000100000001</v>
      </c>
      <c r="E1829">
        <v>128.91000399999999</v>
      </c>
      <c r="F1829">
        <v>116.539619</v>
      </c>
      <c r="G1829">
        <v>1426300</v>
      </c>
    </row>
    <row r="1830" spans="1:7" x14ac:dyDescent="0.45">
      <c r="A1830" s="1">
        <v>42647</v>
      </c>
      <c r="B1830">
        <v>129.509995</v>
      </c>
      <c r="C1830">
        <v>129.83000200000001</v>
      </c>
      <c r="D1830">
        <v>128.41000399999999</v>
      </c>
      <c r="E1830">
        <v>128.720001</v>
      </c>
      <c r="F1830">
        <v>116.36784400000001</v>
      </c>
      <c r="G1830">
        <v>1640800</v>
      </c>
    </row>
    <row r="1831" spans="1:7" x14ac:dyDescent="0.45">
      <c r="A1831" s="1">
        <v>42648</v>
      </c>
      <c r="B1831">
        <v>129.41999799999999</v>
      </c>
      <c r="C1831">
        <v>129.66999799999999</v>
      </c>
      <c r="D1831">
        <v>128.89999399999999</v>
      </c>
      <c r="E1831">
        <v>129.259995</v>
      </c>
      <c r="F1831">
        <v>116.85601800000001</v>
      </c>
      <c r="G1831">
        <v>1846200</v>
      </c>
    </row>
    <row r="1832" spans="1:7" x14ac:dyDescent="0.45">
      <c r="A1832" s="1">
        <v>42649</v>
      </c>
      <c r="B1832">
        <v>127.760002</v>
      </c>
      <c r="C1832">
        <v>128.479996</v>
      </c>
      <c r="D1832">
        <v>127.150002</v>
      </c>
      <c r="E1832">
        <v>127.260002</v>
      </c>
      <c r="F1832">
        <v>115.047935</v>
      </c>
      <c r="G1832">
        <v>1583300</v>
      </c>
    </row>
    <row r="1833" spans="1:7" x14ac:dyDescent="0.45">
      <c r="A1833" s="1">
        <v>42650</v>
      </c>
      <c r="B1833">
        <v>127.019997</v>
      </c>
      <c r="C1833">
        <v>127.44000200000001</v>
      </c>
      <c r="D1833">
        <v>126.010002</v>
      </c>
      <c r="E1833">
        <v>127.25</v>
      </c>
      <c r="F1833">
        <v>115.03891</v>
      </c>
      <c r="G1833">
        <v>1109800</v>
      </c>
    </row>
    <row r="1834" spans="1:7" x14ac:dyDescent="0.45">
      <c r="A1834" s="1">
        <v>42653</v>
      </c>
      <c r="B1834">
        <v>126.94000200000001</v>
      </c>
      <c r="C1834">
        <v>128.490005</v>
      </c>
      <c r="D1834">
        <v>126.800003</v>
      </c>
      <c r="E1834">
        <v>127.489998</v>
      </c>
      <c r="F1834">
        <v>115.255875</v>
      </c>
      <c r="G1834">
        <v>996400</v>
      </c>
    </row>
    <row r="1835" spans="1:7" x14ac:dyDescent="0.45">
      <c r="A1835" s="1">
        <v>42654</v>
      </c>
      <c r="B1835">
        <v>128</v>
      </c>
      <c r="C1835">
        <v>128.470001</v>
      </c>
      <c r="D1835">
        <v>127.18</v>
      </c>
      <c r="E1835">
        <v>128.16999799999999</v>
      </c>
      <c r="F1835">
        <v>115.870628</v>
      </c>
      <c r="G1835">
        <v>1235700</v>
      </c>
    </row>
    <row r="1836" spans="1:7" x14ac:dyDescent="0.45">
      <c r="A1836" s="1">
        <v>42655</v>
      </c>
      <c r="B1836">
        <v>127.599998</v>
      </c>
      <c r="C1836">
        <v>127.790001</v>
      </c>
      <c r="D1836">
        <v>126.69000200000001</v>
      </c>
      <c r="E1836">
        <v>127.370003</v>
      </c>
      <c r="F1836">
        <v>115.1474</v>
      </c>
      <c r="G1836">
        <v>1317800</v>
      </c>
    </row>
    <row r="1837" spans="1:7" x14ac:dyDescent="0.45">
      <c r="A1837" s="1">
        <v>42656</v>
      </c>
      <c r="B1837">
        <v>127.150002</v>
      </c>
      <c r="C1837">
        <v>127.80999799999999</v>
      </c>
      <c r="D1837">
        <v>126.41999800000001</v>
      </c>
      <c r="E1837">
        <v>127.279999</v>
      </c>
      <c r="F1837">
        <v>115.066025</v>
      </c>
      <c r="G1837">
        <v>1198000</v>
      </c>
    </row>
    <row r="1838" spans="1:7" x14ac:dyDescent="0.45">
      <c r="A1838" s="1">
        <v>42657</v>
      </c>
      <c r="B1838">
        <v>128.179993</v>
      </c>
      <c r="C1838">
        <v>129.08999600000001</v>
      </c>
      <c r="D1838">
        <v>127.94000200000001</v>
      </c>
      <c r="E1838">
        <v>128.64999399999999</v>
      </c>
      <c r="F1838">
        <v>116.304558</v>
      </c>
      <c r="G1838">
        <v>1084200</v>
      </c>
    </row>
    <row r="1839" spans="1:7" x14ac:dyDescent="0.45">
      <c r="A1839" s="1">
        <v>42660</v>
      </c>
      <c r="B1839">
        <v>128.33999600000001</v>
      </c>
      <c r="C1839">
        <v>128.69000199999999</v>
      </c>
      <c r="D1839">
        <v>127.720001</v>
      </c>
      <c r="E1839">
        <v>128.21000699999999</v>
      </c>
      <c r="F1839">
        <v>115.90679900000001</v>
      </c>
      <c r="G1839">
        <v>1108400</v>
      </c>
    </row>
    <row r="1840" spans="1:7" x14ac:dyDescent="0.45">
      <c r="A1840" s="1">
        <v>42661</v>
      </c>
      <c r="B1840">
        <v>128.490005</v>
      </c>
      <c r="C1840">
        <v>128.550003</v>
      </c>
      <c r="D1840">
        <v>127.589996</v>
      </c>
      <c r="E1840">
        <v>127.959999</v>
      </c>
      <c r="F1840">
        <v>115.68077099999999</v>
      </c>
      <c r="G1840">
        <v>1873400</v>
      </c>
    </row>
    <row r="1841" spans="1:7" x14ac:dyDescent="0.45">
      <c r="A1841" s="1">
        <v>42662</v>
      </c>
      <c r="B1841">
        <v>128.66999799999999</v>
      </c>
      <c r="C1841">
        <v>128.91999799999999</v>
      </c>
      <c r="D1841">
        <v>128.179993</v>
      </c>
      <c r="E1841">
        <v>128.71000699999999</v>
      </c>
      <c r="F1841">
        <v>116.35881000000001</v>
      </c>
      <c r="G1841">
        <v>1535100</v>
      </c>
    </row>
    <row r="1842" spans="1:7" x14ac:dyDescent="0.45">
      <c r="A1842" s="1">
        <v>42663</v>
      </c>
      <c r="B1842">
        <v>127.629997</v>
      </c>
      <c r="C1842">
        <v>128.300003</v>
      </c>
      <c r="D1842">
        <v>126.870003</v>
      </c>
      <c r="E1842">
        <v>127.44000200000001</v>
      </c>
      <c r="F1842">
        <v>115.210678</v>
      </c>
      <c r="G1842">
        <v>1463600</v>
      </c>
    </row>
    <row r="1843" spans="1:7" x14ac:dyDescent="0.45">
      <c r="A1843" s="1">
        <v>42664</v>
      </c>
      <c r="B1843">
        <v>126.94000200000001</v>
      </c>
      <c r="C1843">
        <v>127.32</v>
      </c>
      <c r="D1843">
        <v>126.489998</v>
      </c>
      <c r="E1843">
        <v>126.769997</v>
      </c>
      <c r="F1843">
        <v>114.60498</v>
      </c>
      <c r="G1843">
        <v>1194200</v>
      </c>
    </row>
    <row r="1844" spans="1:7" x14ac:dyDescent="0.45">
      <c r="A1844" s="1">
        <v>42667</v>
      </c>
      <c r="B1844">
        <v>126.089996</v>
      </c>
      <c r="C1844">
        <v>126.32</v>
      </c>
      <c r="D1844">
        <v>124.790001</v>
      </c>
      <c r="E1844">
        <v>125.08000199999999</v>
      </c>
      <c r="F1844">
        <v>113.07714799999999</v>
      </c>
      <c r="G1844">
        <v>1294100</v>
      </c>
    </row>
    <row r="1845" spans="1:7" x14ac:dyDescent="0.45">
      <c r="A1845" s="1">
        <v>42668</v>
      </c>
      <c r="B1845">
        <v>125.08000199999999</v>
      </c>
      <c r="C1845">
        <v>125.08000199999999</v>
      </c>
      <c r="D1845">
        <v>123.5</v>
      </c>
      <c r="E1845">
        <v>123.779999</v>
      </c>
      <c r="F1845">
        <v>111.901894</v>
      </c>
      <c r="G1845">
        <v>1477800</v>
      </c>
    </row>
    <row r="1846" spans="1:7" x14ac:dyDescent="0.45">
      <c r="A1846" s="1">
        <v>42669</v>
      </c>
      <c r="B1846">
        <v>121.449997</v>
      </c>
      <c r="C1846">
        <v>122.349998</v>
      </c>
      <c r="D1846">
        <v>121.120003</v>
      </c>
      <c r="E1846">
        <v>121.55999799999999</v>
      </c>
      <c r="F1846">
        <v>109.89492</v>
      </c>
      <c r="G1846">
        <v>2513800</v>
      </c>
    </row>
    <row r="1847" spans="1:7" x14ac:dyDescent="0.45">
      <c r="A1847" s="1">
        <v>42670</v>
      </c>
      <c r="B1847">
        <v>122.470001</v>
      </c>
      <c r="C1847">
        <v>122.66999800000001</v>
      </c>
      <c r="D1847">
        <v>120.910004</v>
      </c>
      <c r="E1847">
        <v>121.459999</v>
      </c>
      <c r="F1847">
        <v>109.80452699999999</v>
      </c>
      <c r="G1847">
        <v>1777600</v>
      </c>
    </row>
    <row r="1848" spans="1:7" x14ac:dyDescent="0.45">
      <c r="A1848" s="1">
        <v>42671</v>
      </c>
      <c r="B1848">
        <v>118.480003</v>
      </c>
      <c r="C1848">
        <v>118.879997</v>
      </c>
      <c r="D1848">
        <v>116.769997</v>
      </c>
      <c r="E1848">
        <v>116.839996</v>
      </c>
      <c r="F1848">
        <v>105.627861</v>
      </c>
      <c r="G1848">
        <v>5399200</v>
      </c>
    </row>
    <row r="1849" spans="1:7" x14ac:dyDescent="0.45">
      <c r="A1849" s="1">
        <v>42674</v>
      </c>
      <c r="B1849">
        <v>115.57</v>
      </c>
      <c r="C1849">
        <v>115.650002</v>
      </c>
      <c r="D1849">
        <v>114.269997</v>
      </c>
      <c r="E1849">
        <v>115.489998</v>
      </c>
      <c r="F1849">
        <v>104.40741</v>
      </c>
      <c r="G1849">
        <v>2365200</v>
      </c>
    </row>
    <row r="1850" spans="1:7" x14ac:dyDescent="0.45">
      <c r="A1850" s="1">
        <v>42675</v>
      </c>
      <c r="B1850">
        <v>116.220001</v>
      </c>
      <c r="C1850">
        <v>116.339996</v>
      </c>
      <c r="D1850">
        <v>114.529999</v>
      </c>
      <c r="E1850">
        <v>114.989998</v>
      </c>
      <c r="F1850">
        <v>103.95539100000001</v>
      </c>
      <c r="G1850">
        <v>1805300</v>
      </c>
    </row>
    <row r="1851" spans="1:7" x14ac:dyDescent="0.45">
      <c r="A1851" s="1">
        <v>42676</v>
      </c>
      <c r="B1851">
        <v>115.230003</v>
      </c>
      <c r="C1851">
        <v>115.290001</v>
      </c>
      <c r="D1851">
        <v>114.209999</v>
      </c>
      <c r="E1851">
        <v>114.589996</v>
      </c>
      <c r="F1851">
        <v>103.593773</v>
      </c>
      <c r="G1851">
        <v>1857300</v>
      </c>
    </row>
    <row r="1852" spans="1:7" x14ac:dyDescent="0.45">
      <c r="A1852" s="1">
        <v>42677</v>
      </c>
      <c r="B1852">
        <v>113.129997</v>
      </c>
      <c r="C1852">
        <v>113.18</v>
      </c>
      <c r="D1852">
        <v>112.199997</v>
      </c>
      <c r="E1852">
        <v>112.400002</v>
      </c>
      <c r="F1852">
        <v>101.61393700000001</v>
      </c>
      <c r="G1852">
        <v>3246400</v>
      </c>
    </row>
    <row r="1853" spans="1:7" x14ac:dyDescent="0.45">
      <c r="A1853" s="1">
        <v>42678</v>
      </c>
      <c r="B1853">
        <v>113.07</v>
      </c>
      <c r="C1853">
        <v>113.239998</v>
      </c>
      <c r="D1853">
        <v>111.849998</v>
      </c>
      <c r="E1853">
        <v>112.089996</v>
      </c>
      <c r="F1853">
        <v>101.333679</v>
      </c>
      <c r="G1853">
        <v>2377500</v>
      </c>
    </row>
    <row r="1854" spans="1:7" x14ac:dyDescent="0.45">
      <c r="A1854" s="1">
        <v>42681</v>
      </c>
      <c r="B1854">
        <v>112.620003</v>
      </c>
      <c r="C1854">
        <v>113.220001</v>
      </c>
      <c r="D1854">
        <v>111.959999</v>
      </c>
      <c r="E1854">
        <v>113.040001</v>
      </c>
      <c r="F1854">
        <v>102.19252</v>
      </c>
      <c r="G1854">
        <v>3028900</v>
      </c>
    </row>
    <row r="1855" spans="1:7" x14ac:dyDescent="0.45">
      <c r="A1855" s="1">
        <v>42682</v>
      </c>
      <c r="B1855">
        <v>114</v>
      </c>
      <c r="C1855">
        <v>115.739998</v>
      </c>
      <c r="D1855">
        <v>113.93</v>
      </c>
      <c r="E1855">
        <v>115.599998</v>
      </c>
      <c r="F1855">
        <v>104.506851</v>
      </c>
      <c r="G1855">
        <v>2897700</v>
      </c>
    </row>
    <row r="1856" spans="1:7" x14ac:dyDescent="0.45">
      <c r="A1856" s="1">
        <v>42683</v>
      </c>
      <c r="B1856">
        <v>113.800003</v>
      </c>
      <c r="C1856">
        <v>113.800003</v>
      </c>
      <c r="D1856">
        <v>109.980003</v>
      </c>
      <c r="E1856">
        <v>112.33000199999999</v>
      </c>
      <c r="F1856">
        <v>101.550652</v>
      </c>
      <c r="G1856">
        <v>3942400</v>
      </c>
    </row>
    <row r="1857" spans="1:7" x14ac:dyDescent="0.45">
      <c r="A1857" s="1">
        <v>42684</v>
      </c>
      <c r="B1857">
        <v>109.739998</v>
      </c>
      <c r="C1857">
        <v>109.970001</v>
      </c>
      <c r="D1857">
        <v>107.120003</v>
      </c>
      <c r="E1857">
        <v>108.5</v>
      </c>
      <c r="F1857">
        <v>98.088181000000006</v>
      </c>
      <c r="G1857">
        <v>6072800</v>
      </c>
    </row>
    <row r="1858" spans="1:7" x14ac:dyDescent="0.45">
      <c r="A1858" s="1">
        <v>42685</v>
      </c>
      <c r="B1858">
        <v>107.41999800000001</v>
      </c>
      <c r="C1858">
        <v>108.389999</v>
      </c>
      <c r="D1858">
        <v>107</v>
      </c>
      <c r="E1858">
        <v>107.800003</v>
      </c>
      <c r="F1858">
        <v>97.455359999999999</v>
      </c>
      <c r="G1858">
        <v>5579200</v>
      </c>
    </row>
    <row r="1859" spans="1:7" x14ac:dyDescent="0.45">
      <c r="A1859" s="1">
        <v>42688</v>
      </c>
      <c r="B1859">
        <v>104</v>
      </c>
      <c r="C1859">
        <v>104.25</v>
      </c>
      <c r="D1859">
        <v>101.410004</v>
      </c>
      <c r="E1859">
        <v>101.980003</v>
      </c>
      <c r="F1859">
        <v>93.714316999999994</v>
      </c>
      <c r="G1859">
        <v>6424100</v>
      </c>
    </row>
    <row r="1860" spans="1:7" x14ac:dyDescent="0.45">
      <c r="A1860" s="1">
        <v>42689</v>
      </c>
      <c r="B1860">
        <v>102.05999799999999</v>
      </c>
      <c r="C1860">
        <v>103.300003</v>
      </c>
      <c r="D1860">
        <v>101.94000200000001</v>
      </c>
      <c r="E1860">
        <v>103.18</v>
      </c>
      <c r="F1860">
        <v>94.817054999999996</v>
      </c>
      <c r="G1860">
        <v>2925700</v>
      </c>
    </row>
    <row r="1861" spans="1:7" x14ac:dyDescent="0.45">
      <c r="A1861" s="1">
        <v>42690</v>
      </c>
      <c r="B1861">
        <v>102.519997</v>
      </c>
      <c r="C1861">
        <v>103.639999</v>
      </c>
      <c r="D1861">
        <v>102.010002</v>
      </c>
      <c r="E1861">
        <v>102.269997</v>
      </c>
      <c r="F1861">
        <v>93.980812</v>
      </c>
      <c r="G1861">
        <v>2955300</v>
      </c>
    </row>
    <row r="1862" spans="1:7" x14ac:dyDescent="0.45">
      <c r="A1862" s="1">
        <v>42691</v>
      </c>
      <c r="B1862">
        <v>103.19000200000001</v>
      </c>
      <c r="C1862">
        <v>103.75</v>
      </c>
      <c r="D1862">
        <v>102.989998</v>
      </c>
      <c r="E1862">
        <v>103</v>
      </c>
      <c r="F1862">
        <v>94.651641999999995</v>
      </c>
      <c r="G1862">
        <v>4376200</v>
      </c>
    </row>
    <row r="1863" spans="1:7" x14ac:dyDescent="0.45">
      <c r="A1863" s="1">
        <v>42692</v>
      </c>
      <c r="B1863">
        <v>102.05999799999999</v>
      </c>
      <c r="C1863">
        <v>102.139999</v>
      </c>
      <c r="D1863">
        <v>101</v>
      </c>
      <c r="E1863">
        <v>101.879997</v>
      </c>
      <c r="F1863">
        <v>93.622421000000003</v>
      </c>
      <c r="G1863">
        <v>3579200</v>
      </c>
    </row>
    <row r="1864" spans="1:7" x14ac:dyDescent="0.45">
      <c r="A1864" s="1">
        <v>42695</v>
      </c>
      <c r="B1864">
        <v>102.199997</v>
      </c>
      <c r="C1864">
        <v>103.650002</v>
      </c>
      <c r="D1864">
        <v>102.16999800000001</v>
      </c>
      <c r="E1864">
        <v>103.33000199999999</v>
      </c>
      <c r="F1864">
        <v>94.954903000000002</v>
      </c>
      <c r="G1864">
        <v>3722100</v>
      </c>
    </row>
    <row r="1865" spans="1:7" x14ac:dyDescent="0.45">
      <c r="A1865" s="1">
        <v>42696</v>
      </c>
      <c r="B1865">
        <v>102.660004</v>
      </c>
      <c r="C1865">
        <v>103.050003</v>
      </c>
      <c r="D1865">
        <v>102.389999</v>
      </c>
      <c r="E1865">
        <v>102.660004</v>
      </c>
      <c r="F1865">
        <v>94.339211000000006</v>
      </c>
      <c r="G1865">
        <v>3591500</v>
      </c>
    </row>
    <row r="1866" spans="1:7" x14ac:dyDescent="0.45">
      <c r="A1866" s="1">
        <v>42697</v>
      </c>
      <c r="B1866">
        <v>102.550003</v>
      </c>
      <c r="C1866">
        <v>102.949997</v>
      </c>
      <c r="D1866">
        <v>102.269997</v>
      </c>
      <c r="E1866">
        <v>102.400002</v>
      </c>
      <c r="F1866">
        <v>94.100273000000001</v>
      </c>
      <c r="G1866">
        <v>1869000</v>
      </c>
    </row>
    <row r="1867" spans="1:7" x14ac:dyDescent="0.45">
      <c r="A1867" s="1">
        <v>42699</v>
      </c>
      <c r="B1867">
        <v>104.760002</v>
      </c>
      <c r="C1867">
        <v>104.760002</v>
      </c>
      <c r="D1867">
        <v>103.709999</v>
      </c>
      <c r="E1867">
        <v>103.839996</v>
      </c>
      <c r="F1867">
        <v>95.423552999999998</v>
      </c>
      <c r="G1867">
        <v>1360200</v>
      </c>
    </row>
    <row r="1868" spans="1:7" x14ac:dyDescent="0.45">
      <c r="A1868" s="1">
        <v>42702</v>
      </c>
      <c r="B1868">
        <v>104.08000199999999</v>
      </c>
      <c r="C1868">
        <v>104.900002</v>
      </c>
      <c r="D1868">
        <v>104</v>
      </c>
      <c r="E1868">
        <v>104.82</v>
      </c>
      <c r="F1868">
        <v>96.324141999999995</v>
      </c>
      <c r="G1868">
        <v>2275500</v>
      </c>
    </row>
    <row r="1869" spans="1:7" x14ac:dyDescent="0.45">
      <c r="A1869" s="1">
        <v>42703</v>
      </c>
      <c r="B1869">
        <v>104.629997</v>
      </c>
      <c r="C1869">
        <v>105.040001</v>
      </c>
      <c r="D1869">
        <v>104.379997</v>
      </c>
      <c r="E1869">
        <v>104.80999799999999</v>
      </c>
      <c r="F1869">
        <v>96.314941000000005</v>
      </c>
      <c r="G1869">
        <v>2576100</v>
      </c>
    </row>
    <row r="1870" spans="1:7" x14ac:dyDescent="0.45">
      <c r="A1870" s="1">
        <v>42704</v>
      </c>
      <c r="B1870">
        <v>105.589996</v>
      </c>
      <c r="C1870">
        <v>105.699997</v>
      </c>
      <c r="D1870">
        <v>103.07</v>
      </c>
      <c r="E1870">
        <v>103.269997</v>
      </c>
      <c r="F1870">
        <v>94.899765000000002</v>
      </c>
      <c r="G1870">
        <v>2574800</v>
      </c>
    </row>
    <row r="1871" spans="1:7" x14ac:dyDescent="0.45">
      <c r="A1871" s="1">
        <v>42705</v>
      </c>
      <c r="B1871">
        <v>101.029999</v>
      </c>
      <c r="C1871">
        <v>101.19000200000001</v>
      </c>
      <c r="D1871">
        <v>98.279999000000004</v>
      </c>
      <c r="E1871">
        <v>99.910004000000001</v>
      </c>
      <c r="F1871">
        <v>91.812102999999993</v>
      </c>
      <c r="G1871">
        <v>7462000</v>
      </c>
    </row>
    <row r="1872" spans="1:7" x14ac:dyDescent="0.45">
      <c r="A1872" s="1">
        <v>42706</v>
      </c>
      <c r="B1872">
        <v>99.860000999999997</v>
      </c>
      <c r="C1872">
        <v>101.489998</v>
      </c>
      <c r="D1872">
        <v>99.830001999999993</v>
      </c>
      <c r="E1872">
        <v>101.389999</v>
      </c>
      <c r="F1872">
        <v>93.172141999999994</v>
      </c>
      <c r="G1872">
        <v>2559200</v>
      </c>
    </row>
    <row r="1873" spans="1:7" x14ac:dyDescent="0.45">
      <c r="A1873" s="1">
        <v>42709</v>
      </c>
      <c r="B1873">
        <v>103.489998</v>
      </c>
      <c r="C1873">
        <v>103.610001</v>
      </c>
      <c r="D1873">
        <v>102.769997</v>
      </c>
      <c r="E1873">
        <v>103.260002</v>
      </c>
      <c r="F1873">
        <v>94.890586999999996</v>
      </c>
      <c r="G1873">
        <v>2705500</v>
      </c>
    </row>
    <row r="1874" spans="1:7" x14ac:dyDescent="0.45">
      <c r="A1874" s="1">
        <v>42710</v>
      </c>
      <c r="B1874">
        <v>103.779999</v>
      </c>
      <c r="C1874">
        <v>104.150002</v>
      </c>
      <c r="D1874">
        <v>103.220001</v>
      </c>
      <c r="E1874">
        <v>104.050003</v>
      </c>
      <c r="F1874">
        <v>95.616553999999994</v>
      </c>
      <c r="G1874">
        <v>2500000</v>
      </c>
    </row>
    <row r="1875" spans="1:7" x14ac:dyDescent="0.45">
      <c r="A1875" s="1">
        <v>42711</v>
      </c>
      <c r="B1875">
        <v>103.93</v>
      </c>
      <c r="C1875">
        <v>104.769997</v>
      </c>
      <c r="D1875">
        <v>103.730003</v>
      </c>
      <c r="E1875">
        <v>104.339996</v>
      </c>
      <c r="F1875">
        <v>95.883026000000001</v>
      </c>
      <c r="G1875">
        <v>2525700</v>
      </c>
    </row>
    <row r="1876" spans="1:7" x14ac:dyDescent="0.45">
      <c r="A1876" s="1">
        <v>42712</v>
      </c>
      <c r="B1876">
        <v>102.849998</v>
      </c>
      <c r="C1876">
        <v>103.08000199999999</v>
      </c>
      <c r="D1876">
        <v>102.08000199999999</v>
      </c>
      <c r="E1876">
        <v>102.650002</v>
      </c>
      <c r="F1876">
        <v>94.330016999999998</v>
      </c>
      <c r="G1876">
        <v>2534000</v>
      </c>
    </row>
    <row r="1877" spans="1:7" x14ac:dyDescent="0.45">
      <c r="A1877" s="1">
        <v>42713</v>
      </c>
      <c r="B1877">
        <v>103.32</v>
      </c>
      <c r="C1877">
        <v>103.550003</v>
      </c>
      <c r="D1877">
        <v>102.93</v>
      </c>
      <c r="E1877">
        <v>103.540001</v>
      </c>
      <c r="F1877">
        <v>95.147873000000004</v>
      </c>
      <c r="G1877">
        <v>2199100</v>
      </c>
    </row>
    <row r="1878" spans="1:7" x14ac:dyDescent="0.45">
      <c r="A1878" s="1">
        <v>42716</v>
      </c>
      <c r="B1878">
        <v>104.290001</v>
      </c>
      <c r="C1878">
        <v>104.410004</v>
      </c>
      <c r="D1878">
        <v>103.029999</v>
      </c>
      <c r="E1878">
        <v>103.69000200000001</v>
      </c>
      <c r="F1878">
        <v>95.285720999999995</v>
      </c>
      <c r="G1878">
        <v>1553900</v>
      </c>
    </row>
    <row r="1879" spans="1:7" x14ac:dyDescent="0.45">
      <c r="A1879" s="1">
        <v>42717</v>
      </c>
      <c r="B1879">
        <v>105.19000200000001</v>
      </c>
      <c r="C1879">
        <v>105.699997</v>
      </c>
      <c r="D1879">
        <v>104.800003</v>
      </c>
      <c r="E1879">
        <v>105.050003</v>
      </c>
      <c r="F1879">
        <v>96.535492000000005</v>
      </c>
      <c r="G1879">
        <v>2008000</v>
      </c>
    </row>
    <row r="1880" spans="1:7" x14ac:dyDescent="0.45">
      <c r="A1880" s="1">
        <v>42718</v>
      </c>
      <c r="B1880">
        <v>105.230003</v>
      </c>
      <c r="C1880">
        <v>105.449997</v>
      </c>
      <c r="D1880">
        <v>102.480003</v>
      </c>
      <c r="E1880">
        <v>102.910004</v>
      </c>
      <c r="F1880">
        <v>94.568954000000005</v>
      </c>
      <c r="G1880">
        <v>3553200</v>
      </c>
    </row>
    <row r="1881" spans="1:7" x14ac:dyDescent="0.45">
      <c r="A1881" s="1">
        <v>42719</v>
      </c>
      <c r="B1881">
        <v>100.989998</v>
      </c>
      <c r="C1881">
        <v>102.120003</v>
      </c>
      <c r="D1881">
        <v>100.900002</v>
      </c>
      <c r="E1881">
        <v>101.55999799999999</v>
      </c>
      <c r="F1881">
        <v>93.328361999999998</v>
      </c>
      <c r="G1881">
        <v>2282800</v>
      </c>
    </row>
    <row r="1882" spans="1:7" x14ac:dyDescent="0.45">
      <c r="A1882" s="1">
        <v>42720</v>
      </c>
      <c r="B1882">
        <v>102.839996</v>
      </c>
      <c r="C1882">
        <v>103.449997</v>
      </c>
      <c r="D1882">
        <v>102.5</v>
      </c>
      <c r="E1882">
        <v>103</v>
      </c>
      <c r="F1882">
        <v>94.651641999999995</v>
      </c>
      <c r="G1882">
        <v>1995700</v>
      </c>
    </row>
    <row r="1883" spans="1:7" x14ac:dyDescent="0.45">
      <c r="A1883" s="1">
        <v>42723</v>
      </c>
      <c r="B1883">
        <v>103.839996</v>
      </c>
      <c r="C1883">
        <v>103.860001</v>
      </c>
      <c r="D1883">
        <v>102.519997</v>
      </c>
      <c r="E1883">
        <v>102.730003</v>
      </c>
      <c r="F1883">
        <v>94.403533999999993</v>
      </c>
      <c r="G1883">
        <v>1543300</v>
      </c>
    </row>
    <row r="1884" spans="1:7" x14ac:dyDescent="0.45">
      <c r="A1884" s="1">
        <v>42724</v>
      </c>
      <c r="B1884">
        <v>103.300003</v>
      </c>
      <c r="C1884">
        <v>103.400002</v>
      </c>
      <c r="D1884">
        <v>102.699997</v>
      </c>
      <c r="E1884">
        <v>102.980003</v>
      </c>
      <c r="F1884">
        <v>94.633269999999996</v>
      </c>
      <c r="G1884">
        <v>1817000</v>
      </c>
    </row>
    <row r="1885" spans="1:7" x14ac:dyDescent="0.45">
      <c r="A1885" s="1">
        <v>42725</v>
      </c>
      <c r="B1885">
        <v>103.800003</v>
      </c>
      <c r="C1885">
        <v>104.099998</v>
      </c>
      <c r="D1885">
        <v>103.19000200000001</v>
      </c>
      <c r="E1885">
        <v>103.610001</v>
      </c>
      <c r="F1885">
        <v>95.212196000000006</v>
      </c>
      <c r="G1885">
        <v>1545700</v>
      </c>
    </row>
    <row r="1886" spans="1:7" x14ac:dyDescent="0.45">
      <c r="A1886" s="1">
        <v>42726</v>
      </c>
      <c r="B1886">
        <v>103.349998</v>
      </c>
      <c r="C1886">
        <v>103.389999</v>
      </c>
      <c r="D1886">
        <v>102.620003</v>
      </c>
      <c r="E1886">
        <v>102.82</v>
      </c>
      <c r="F1886">
        <v>94.486228999999994</v>
      </c>
      <c r="G1886">
        <v>1678700</v>
      </c>
    </row>
    <row r="1887" spans="1:7" x14ac:dyDescent="0.45">
      <c r="A1887" s="1">
        <v>42727</v>
      </c>
      <c r="B1887">
        <v>103.389999</v>
      </c>
      <c r="C1887">
        <v>103.589996</v>
      </c>
      <c r="D1887">
        <v>103.120003</v>
      </c>
      <c r="E1887">
        <v>103.489998</v>
      </c>
      <c r="F1887">
        <v>95.101935999999995</v>
      </c>
      <c r="G1887">
        <v>795700</v>
      </c>
    </row>
    <row r="1888" spans="1:7" x14ac:dyDescent="0.45">
      <c r="A1888" s="1">
        <v>42731</v>
      </c>
      <c r="B1888">
        <v>104.66999800000001</v>
      </c>
      <c r="C1888">
        <v>104.68</v>
      </c>
      <c r="D1888">
        <v>103.68</v>
      </c>
      <c r="E1888">
        <v>103.91999800000001</v>
      </c>
      <c r="F1888">
        <v>95.497069999999994</v>
      </c>
      <c r="G1888">
        <v>1357800</v>
      </c>
    </row>
    <row r="1889" spans="1:7" x14ac:dyDescent="0.45">
      <c r="A1889" s="1">
        <v>42732</v>
      </c>
      <c r="B1889">
        <v>103.43</v>
      </c>
      <c r="C1889">
        <v>104.150002</v>
      </c>
      <c r="D1889">
        <v>103.400002</v>
      </c>
      <c r="E1889">
        <v>103.900002</v>
      </c>
      <c r="F1889">
        <v>95.478690999999998</v>
      </c>
      <c r="G1889">
        <v>1031700</v>
      </c>
    </row>
    <row r="1890" spans="1:7" x14ac:dyDescent="0.45">
      <c r="A1890" s="1">
        <v>42733</v>
      </c>
      <c r="B1890">
        <v>104.650002</v>
      </c>
      <c r="C1890">
        <v>104.93</v>
      </c>
      <c r="D1890">
        <v>104.459999</v>
      </c>
      <c r="E1890">
        <v>104.889999</v>
      </c>
      <c r="F1890">
        <v>96.388458</v>
      </c>
      <c r="G1890">
        <v>1079700</v>
      </c>
    </row>
    <row r="1891" spans="1:7" x14ac:dyDescent="0.45">
      <c r="A1891" s="1">
        <v>42734</v>
      </c>
      <c r="B1891">
        <v>105.980003</v>
      </c>
      <c r="C1891">
        <v>106.199997</v>
      </c>
      <c r="D1891">
        <v>105.010002</v>
      </c>
      <c r="E1891">
        <v>105.44000200000001</v>
      </c>
      <c r="F1891">
        <v>96.893883000000002</v>
      </c>
      <c r="G1891">
        <v>1721200</v>
      </c>
    </row>
    <row r="1892" spans="1:7" x14ac:dyDescent="0.45">
      <c r="A1892" s="1">
        <v>42738</v>
      </c>
      <c r="B1892">
        <v>104.779999</v>
      </c>
      <c r="C1892">
        <v>104.779999</v>
      </c>
      <c r="D1892">
        <v>103.910004</v>
      </c>
      <c r="E1892">
        <v>104.540001</v>
      </c>
      <c r="F1892">
        <v>96.066826000000006</v>
      </c>
      <c r="G1892">
        <v>1606900</v>
      </c>
    </row>
    <row r="1893" spans="1:7" x14ac:dyDescent="0.45">
      <c r="A1893" s="1">
        <v>42739</v>
      </c>
      <c r="B1893">
        <v>105.68</v>
      </c>
      <c r="C1893">
        <v>105.68</v>
      </c>
      <c r="D1893">
        <v>104.900002</v>
      </c>
      <c r="E1893">
        <v>105.220001</v>
      </c>
      <c r="F1893">
        <v>96.691719000000006</v>
      </c>
      <c r="G1893">
        <v>1816300</v>
      </c>
    </row>
    <row r="1894" spans="1:7" x14ac:dyDescent="0.45">
      <c r="A1894" s="1">
        <v>42740</v>
      </c>
      <c r="B1894">
        <v>105.849998</v>
      </c>
      <c r="C1894">
        <v>107.25</v>
      </c>
      <c r="D1894">
        <v>105.720001</v>
      </c>
      <c r="E1894">
        <v>106.800003</v>
      </c>
      <c r="F1894">
        <v>98.143660999999994</v>
      </c>
      <c r="G1894">
        <v>2046200</v>
      </c>
    </row>
    <row r="1895" spans="1:7" x14ac:dyDescent="0.45">
      <c r="A1895" s="1">
        <v>42741</v>
      </c>
      <c r="B1895">
        <v>105.949997</v>
      </c>
      <c r="C1895">
        <v>106.239998</v>
      </c>
      <c r="D1895">
        <v>105.730003</v>
      </c>
      <c r="E1895">
        <v>105.93</v>
      </c>
      <c r="F1895">
        <v>97.344161999999997</v>
      </c>
      <c r="G1895">
        <v>1424400</v>
      </c>
    </row>
    <row r="1896" spans="1:7" x14ac:dyDescent="0.45">
      <c r="A1896" s="1">
        <v>42744</v>
      </c>
      <c r="B1896">
        <v>106.239998</v>
      </c>
      <c r="C1896">
        <v>106.32</v>
      </c>
      <c r="D1896">
        <v>105.400002</v>
      </c>
      <c r="E1896">
        <v>105.94000200000001</v>
      </c>
      <c r="F1896">
        <v>97.353354999999993</v>
      </c>
      <c r="G1896">
        <v>1188900</v>
      </c>
    </row>
    <row r="1897" spans="1:7" x14ac:dyDescent="0.45">
      <c r="A1897" s="1">
        <v>42745</v>
      </c>
      <c r="B1897">
        <v>106.05999799999999</v>
      </c>
      <c r="C1897">
        <v>106.25</v>
      </c>
      <c r="D1897">
        <v>105.300003</v>
      </c>
      <c r="E1897">
        <v>105.43</v>
      </c>
      <c r="F1897">
        <v>96.884688999999995</v>
      </c>
      <c r="G1897">
        <v>1222200</v>
      </c>
    </row>
    <row r="1898" spans="1:7" x14ac:dyDescent="0.45">
      <c r="A1898" s="1">
        <v>42746</v>
      </c>
      <c r="B1898">
        <v>105.279999</v>
      </c>
      <c r="C1898">
        <v>105.80999799999999</v>
      </c>
      <c r="D1898">
        <v>104.410004</v>
      </c>
      <c r="E1898">
        <v>105.150002</v>
      </c>
      <c r="F1898">
        <v>96.627380000000002</v>
      </c>
      <c r="G1898">
        <v>1160000</v>
      </c>
    </row>
    <row r="1899" spans="1:7" x14ac:dyDescent="0.45">
      <c r="A1899" s="1">
        <v>42747</v>
      </c>
      <c r="B1899">
        <v>106.099998</v>
      </c>
      <c r="C1899">
        <v>106.18</v>
      </c>
      <c r="D1899">
        <v>105.400002</v>
      </c>
      <c r="E1899">
        <v>105.94000200000001</v>
      </c>
      <c r="F1899">
        <v>97.353354999999993</v>
      </c>
      <c r="G1899">
        <v>1513000</v>
      </c>
    </row>
    <row r="1900" spans="1:7" x14ac:dyDescent="0.45">
      <c r="A1900" s="1">
        <v>42748</v>
      </c>
      <c r="B1900">
        <v>106.010002</v>
      </c>
      <c r="C1900">
        <v>106.120003</v>
      </c>
      <c r="D1900">
        <v>105.269997</v>
      </c>
      <c r="E1900">
        <v>105.860001</v>
      </c>
      <c r="F1900">
        <v>97.279838999999996</v>
      </c>
      <c r="G1900">
        <v>1070700</v>
      </c>
    </row>
    <row r="1901" spans="1:7" x14ac:dyDescent="0.45">
      <c r="A1901" s="1">
        <v>42752</v>
      </c>
      <c r="B1901">
        <v>105.209999</v>
      </c>
      <c r="C1901">
        <v>106.290001</v>
      </c>
      <c r="D1901">
        <v>105.16999800000001</v>
      </c>
      <c r="E1901">
        <v>106.25</v>
      </c>
      <c r="F1901">
        <v>97.638221999999999</v>
      </c>
      <c r="G1901">
        <v>1554900</v>
      </c>
    </row>
    <row r="1902" spans="1:7" x14ac:dyDescent="0.45">
      <c r="A1902" s="1">
        <v>42753</v>
      </c>
      <c r="B1902">
        <v>105.720001</v>
      </c>
      <c r="C1902">
        <v>105.849998</v>
      </c>
      <c r="D1902">
        <v>105.19000200000001</v>
      </c>
      <c r="E1902">
        <v>105.370003</v>
      </c>
      <c r="F1902">
        <v>96.829559000000003</v>
      </c>
      <c r="G1902">
        <v>998100</v>
      </c>
    </row>
    <row r="1903" spans="1:7" x14ac:dyDescent="0.45">
      <c r="A1903" s="1">
        <v>42754</v>
      </c>
      <c r="B1903">
        <v>105.57</v>
      </c>
      <c r="C1903">
        <v>105.650002</v>
      </c>
      <c r="D1903">
        <v>104.730003</v>
      </c>
      <c r="E1903">
        <v>104.860001</v>
      </c>
      <c r="F1903">
        <v>96.360893000000004</v>
      </c>
      <c r="G1903">
        <v>977500</v>
      </c>
    </row>
    <row r="1904" spans="1:7" x14ac:dyDescent="0.45">
      <c r="A1904" s="1">
        <v>42755</v>
      </c>
      <c r="B1904">
        <v>105.720001</v>
      </c>
      <c r="C1904">
        <v>105.790001</v>
      </c>
      <c r="D1904">
        <v>105.099998</v>
      </c>
      <c r="E1904">
        <v>105.389999</v>
      </c>
      <c r="F1904">
        <v>96.847931000000003</v>
      </c>
      <c r="G1904">
        <v>1434700</v>
      </c>
    </row>
    <row r="1905" spans="1:7" x14ac:dyDescent="0.45">
      <c r="A1905" s="1">
        <v>42758</v>
      </c>
      <c r="B1905">
        <v>106.19000200000001</v>
      </c>
      <c r="C1905">
        <v>106.44000200000001</v>
      </c>
      <c r="D1905">
        <v>105.43</v>
      </c>
      <c r="E1905">
        <v>106.239998</v>
      </c>
      <c r="F1905">
        <v>97.629035999999999</v>
      </c>
      <c r="G1905">
        <v>1268300</v>
      </c>
    </row>
    <row r="1906" spans="1:7" x14ac:dyDescent="0.45">
      <c r="A1906" s="1">
        <v>42759</v>
      </c>
      <c r="B1906">
        <v>106.050003</v>
      </c>
      <c r="C1906">
        <v>106.349998</v>
      </c>
      <c r="D1906">
        <v>105.68</v>
      </c>
      <c r="E1906">
        <v>106.160004</v>
      </c>
      <c r="F1906">
        <v>97.555526999999998</v>
      </c>
      <c r="G1906">
        <v>854300</v>
      </c>
    </row>
    <row r="1907" spans="1:7" x14ac:dyDescent="0.45">
      <c r="A1907" s="1">
        <v>42760</v>
      </c>
      <c r="B1907">
        <v>106.400002</v>
      </c>
      <c r="C1907">
        <v>106.599998</v>
      </c>
      <c r="D1907">
        <v>105.949997</v>
      </c>
      <c r="E1907">
        <v>106.199997</v>
      </c>
      <c r="F1907">
        <v>97.592277999999993</v>
      </c>
      <c r="G1907">
        <v>1043700</v>
      </c>
    </row>
    <row r="1908" spans="1:7" x14ac:dyDescent="0.45">
      <c r="A1908" s="1">
        <v>42761</v>
      </c>
      <c r="B1908">
        <v>105.5</v>
      </c>
      <c r="C1908">
        <v>105.720001</v>
      </c>
      <c r="D1908">
        <v>104.739998</v>
      </c>
      <c r="E1908">
        <v>104.80999799999999</v>
      </c>
      <c r="F1908">
        <v>96.314941000000005</v>
      </c>
      <c r="G1908">
        <v>1486600</v>
      </c>
    </row>
    <row r="1909" spans="1:7" x14ac:dyDescent="0.45">
      <c r="A1909" s="1">
        <v>42762</v>
      </c>
      <c r="B1909">
        <v>105.660004</v>
      </c>
      <c r="C1909">
        <v>105.760002</v>
      </c>
      <c r="D1909">
        <v>105.099998</v>
      </c>
      <c r="E1909">
        <v>105.16999800000001</v>
      </c>
      <c r="F1909">
        <v>96.645759999999996</v>
      </c>
      <c r="G1909">
        <v>1167100</v>
      </c>
    </row>
    <row r="1910" spans="1:7" x14ac:dyDescent="0.45">
      <c r="A1910" s="1">
        <v>42765</v>
      </c>
      <c r="B1910">
        <v>103.959999</v>
      </c>
      <c r="C1910">
        <v>104.769997</v>
      </c>
      <c r="D1910">
        <v>103.93</v>
      </c>
      <c r="E1910">
        <v>104.489998</v>
      </c>
      <c r="F1910">
        <v>96.020882</v>
      </c>
      <c r="G1910">
        <v>1206100</v>
      </c>
    </row>
    <row r="1911" spans="1:7" x14ac:dyDescent="0.45">
      <c r="A1911" s="1">
        <v>42766</v>
      </c>
      <c r="B1911">
        <v>104.099998</v>
      </c>
      <c r="C1911">
        <v>104.459999</v>
      </c>
      <c r="D1911">
        <v>103.82</v>
      </c>
      <c r="E1911">
        <v>104.260002</v>
      </c>
      <c r="F1911">
        <v>95.809524999999994</v>
      </c>
      <c r="G1911">
        <v>1143000</v>
      </c>
    </row>
    <row r="1912" spans="1:7" x14ac:dyDescent="0.45">
      <c r="A1912" s="1">
        <v>42767</v>
      </c>
      <c r="B1912">
        <v>103.709999</v>
      </c>
      <c r="C1912">
        <v>104.790001</v>
      </c>
      <c r="D1912">
        <v>103.550003</v>
      </c>
      <c r="E1912">
        <v>104.349998</v>
      </c>
      <c r="F1912">
        <v>95.892219999999995</v>
      </c>
      <c r="G1912">
        <v>1119900</v>
      </c>
    </row>
    <row r="1913" spans="1:7" x14ac:dyDescent="0.45">
      <c r="A1913" s="1">
        <v>42768</v>
      </c>
      <c r="B1913">
        <v>105.110001</v>
      </c>
      <c r="C1913">
        <v>105.519997</v>
      </c>
      <c r="D1913">
        <v>104.129997</v>
      </c>
      <c r="E1913">
        <v>104.489998</v>
      </c>
      <c r="F1913">
        <v>96.020882</v>
      </c>
      <c r="G1913">
        <v>1570200</v>
      </c>
    </row>
    <row r="1914" spans="1:7" x14ac:dyDescent="0.45">
      <c r="A1914" s="1">
        <v>42769</v>
      </c>
      <c r="B1914">
        <v>105.980003</v>
      </c>
      <c r="C1914">
        <v>106.279999</v>
      </c>
      <c r="D1914">
        <v>105.269997</v>
      </c>
      <c r="E1914">
        <v>105.300003</v>
      </c>
      <c r="F1914">
        <v>96.765236000000002</v>
      </c>
      <c r="G1914">
        <v>1487700</v>
      </c>
    </row>
    <row r="1915" spans="1:7" x14ac:dyDescent="0.45">
      <c r="A1915" s="1">
        <v>42772</v>
      </c>
      <c r="B1915">
        <v>105.099998</v>
      </c>
      <c r="C1915">
        <v>105.120003</v>
      </c>
      <c r="D1915">
        <v>104.589996</v>
      </c>
      <c r="E1915">
        <v>105.010002</v>
      </c>
      <c r="F1915">
        <v>96.498733999999999</v>
      </c>
      <c r="G1915">
        <v>1216900</v>
      </c>
    </row>
    <row r="1916" spans="1:7" x14ac:dyDescent="0.45">
      <c r="A1916" s="1">
        <v>42773</v>
      </c>
      <c r="B1916">
        <v>105.349998</v>
      </c>
      <c r="C1916">
        <v>105.540001</v>
      </c>
      <c r="D1916">
        <v>105.120003</v>
      </c>
      <c r="E1916">
        <v>105.389999</v>
      </c>
      <c r="F1916">
        <v>96.847931000000003</v>
      </c>
      <c r="G1916">
        <v>1329100</v>
      </c>
    </row>
    <row r="1917" spans="1:7" x14ac:dyDescent="0.45">
      <c r="A1917" s="1">
        <v>42774</v>
      </c>
      <c r="B1917">
        <v>106.269997</v>
      </c>
      <c r="C1917">
        <v>106.43</v>
      </c>
      <c r="D1917">
        <v>105.75</v>
      </c>
      <c r="E1917">
        <v>105.900002</v>
      </c>
      <c r="F1917">
        <v>97.316597000000002</v>
      </c>
      <c r="G1917">
        <v>1640100</v>
      </c>
    </row>
    <row r="1918" spans="1:7" x14ac:dyDescent="0.45">
      <c r="A1918" s="1">
        <v>42775</v>
      </c>
      <c r="B1918">
        <v>105.900002</v>
      </c>
      <c r="C1918">
        <v>106.720001</v>
      </c>
      <c r="D1918">
        <v>105.900002</v>
      </c>
      <c r="E1918">
        <v>106.360001</v>
      </c>
      <c r="F1918">
        <v>97.739318999999995</v>
      </c>
      <c r="G1918">
        <v>1525800</v>
      </c>
    </row>
    <row r="1919" spans="1:7" x14ac:dyDescent="0.45">
      <c r="A1919" s="1">
        <v>42776</v>
      </c>
      <c r="B1919">
        <v>105.480003</v>
      </c>
      <c r="C1919">
        <v>106.55999799999999</v>
      </c>
      <c r="D1919">
        <v>105.410004</v>
      </c>
      <c r="E1919">
        <v>105.879997</v>
      </c>
      <c r="F1919">
        <v>97.298218000000006</v>
      </c>
      <c r="G1919">
        <v>1806600</v>
      </c>
    </row>
    <row r="1920" spans="1:7" x14ac:dyDescent="0.45">
      <c r="A1920" s="1">
        <v>42779</v>
      </c>
      <c r="B1920">
        <v>106.510002</v>
      </c>
      <c r="C1920">
        <v>107</v>
      </c>
      <c r="D1920">
        <v>106.290001</v>
      </c>
      <c r="E1920">
        <v>106.82</v>
      </c>
      <c r="F1920">
        <v>98.162032999999994</v>
      </c>
      <c r="G1920">
        <v>893100</v>
      </c>
    </row>
    <row r="1921" spans="1:7" x14ac:dyDescent="0.45">
      <c r="A1921" s="1">
        <v>42780</v>
      </c>
      <c r="B1921">
        <v>107.32</v>
      </c>
      <c r="C1921">
        <v>108.55999799999999</v>
      </c>
      <c r="D1921">
        <v>106.620003</v>
      </c>
      <c r="E1921">
        <v>108.44000200000001</v>
      </c>
      <c r="F1921">
        <v>99.650726000000006</v>
      </c>
      <c r="G1921">
        <v>2268400</v>
      </c>
    </row>
    <row r="1922" spans="1:7" x14ac:dyDescent="0.45">
      <c r="A1922" s="1">
        <v>42781</v>
      </c>
      <c r="B1922">
        <v>107.129997</v>
      </c>
      <c r="C1922">
        <v>108.120003</v>
      </c>
      <c r="D1922">
        <v>106.94000200000001</v>
      </c>
      <c r="E1922">
        <v>107.949997</v>
      </c>
      <c r="F1922">
        <v>99.200439000000003</v>
      </c>
      <c r="G1922">
        <v>1746800</v>
      </c>
    </row>
    <row r="1923" spans="1:7" x14ac:dyDescent="0.45">
      <c r="A1923" s="1">
        <v>42782</v>
      </c>
      <c r="B1923">
        <v>108.139999</v>
      </c>
      <c r="C1923">
        <v>108.860001</v>
      </c>
      <c r="D1923">
        <v>107.949997</v>
      </c>
      <c r="E1923">
        <v>108.769997</v>
      </c>
      <c r="F1923">
        <v>99.953971999999993</v>
      </c>
      <c r="G1923">
        <v>934800</v>
      </c>
    </row>
    <row r="1924" spans="1:7" x14ac:dyDescent="0.45">
      <c r="A1924" s="1">
        <v>42783</v>
      </c>
      <c r="B1924">
        <v>108.599998</v>
      </c>
      <c r="C1924">
        <v>109.120003</v>
      </c>
      <c r="D1924">
        <v>108.279999</v>
      </c>
      <c r="E1924">
        <v>108.82</v>
      </c>
      <c r="F1924">
        <v>99.999923999999993</v>
      </c>
      <c r="G1924">
        <v>1801800</v>
      </c>
    </row>
    <row r="1925" spans="1:7" x14ac:dyDescent="0.45">
      <c r="A1925" s="1">
        <v>42787</v>
      </c>
      <c r="B1925">
        <v>109.120003</v>
      </c>
      <c r="C1925">
        <v>109.5</v>
      </c>
      <c r="D1925">
        <v>108.93</v>
      </c>
      <c r="E1925">
        <v>109.33000199999999</v>
      </c>
      <c r="F1925">
        <v>100.46859000000001</v>
      </c>
      <c r="G1925">
        <v>1395500</v>
      </c>
    </row>
    <row r="1926" spans="1:7" x14ac:dyDescent="0.45">
      <c r="A1926" s="1">
        <v>42788</v>
      </c>
      <c r="B1926">
        <v>107.660004</v>
      </c>
      <c r="C1926">
        <v>109.400002</v>
      </c>
      <c r="D1926">
        <v>107.660004</v>
      </c>
      <c r="E1926">
        <v>109.160004</v>
      </c>
      <c r="F1926">
        <v>100.312363</v>
      </c>
      <c r="G1926">
        <v>1561500</v>
      </c>
    </row>
    <row r="1927" spans="1:7" x14ac:dyDescent="0.45">
      <c r="A1927" s="1">
        <v>42789</v>
      </c>
      <c r="B1927">
        <v>108.860001</v>
      </c>
      <c r="C1927">
        <v>109.32</v>
      </c>
      <c r="D1927">
        <v>108.699997</v>
      </c>
      <c r="E1927">
        <v>108.760002</v>
      </c>
      <c r="F1927">
        <v>99.944785999999993</v>
      </c>
      <c r="G1927">
        <v>1004500</v>
      </c>
    </row>
    <row r="1928" spans="1:7" x14ac:dyDescent="0.45">
      <c r="A1928" s="1">
        <v>42790</v>
      </c>
      <c r="B1928">
        <v>108.69000200000001</v>
      </c>
      <c r="C1928">
        <v>109.360001</v>
      </c>
      <c r="D1928">
        <v>108.44000200000001</v>
      </c>
      <c r="E1928">
        <v>109.260002</v>
      </c>
      <c r="F1928">
        <v>100.404259</v>
      </c>
      <c r="G1928">
        <v>924700</v>
      </c>
    </row>
    <row r="1929" spans="1:7" x14ac:dyDescent="0.45">
      <c r="A1929" s="1">
        <v>42793</v>
      </c>
      <c r="B1929">
        <v>108.959999</v>
      </c>
      <c r="C1929">
        <v>109.449997</v>
      </c>
      <c r="D1929">
        <v>108.910004</v>
      </c>
      <c r="E1929">
        <v>109.339996</v>
      </c>
      <c r="F1929">
        <v>100.477768</v>
      </c>
      <c r="G1929">
        <v>1086000</v>
      </c>
    </row>
    <row r="1930" spans="1:7" x14ac:dyDescent="0.45">
      <c r="A1930" s="1">
        <v>42794</v>
      </c>
      <c r="B1930">
        <v>108.769997</v>
      </c>
      <c r="C1930">
        <v>109.629997</v>
      </c>
      <c r="D1930">
        <v>108.519997</v>
      </c>
      <c r="E1930">
        <v>109.489998</v>
      </c>
      <c r="F1930">
        <v>100.615623</v>
      </c>
      <c r="G1930">
        <v>1115600</v>
      </c>
    </row>
    <row r="1931" spans="1:7" x14ac:dyDescent="0.45">
      <c r="A1931" s="1">
        <v>42795</v>
      </c>
      <c r="B1931">
        <v>109.709999</v>
      </c>
      <c r="C1931">
        <v>110.18</v>
      </c>
      <c r="D1931">
        <v>109.370003</v>
      </c>
      <c r="E1931">
        <v>109.94000200000001</v>
      </c>
      <c r="F1931">
        <v>101.029152</v>
      </c>
      <c r="G1931">
        <v>2410800</v>
      </c>
    </row>
    <row r="1932" spans="1:7" x14ac:dyDescent="0.45">
      <c r="A1932" s="1">
        <v>42796</v>
      </c>
      <c r="B1932">
        <v>106.540001</v>
      </c>
      <c r="C1932">
        <v>107.08000199999999</v>
      </c>
      <c r="D1932">
        <v>105.610001</v>
      </c>
      <c r="E1932">
        <v>105.849998</v>
      </c>
      <c r="F1932">
        <v>97.270645000000002</v>
      </c>
      <c r="G1932">
        <v>5856400</v>
      </c>
    </row>
    <row r="1933" spans="1:7" x14ac:dyDescent="0.45">
      <c r="A1933" s="1">
        <v>42797</v>
      </c>
      <c r="B1933">
        <v>107.139999</v>
      </c>
      <c r="C1933">
        <v>108.959999</v>
      </c>
      <c r="D1933">
        <v>107.05999799999999</v>
      </c>
      <c r="E1933">
        <v>108.730003</v>
      </c>
      <c r="F1933">
        <v>99.917229000000006</v>
      </c>
      <c r="G1933">
        <v>2838000</v>
      </c>
    </row>
    <row r="1934" spans="1:7" x14ac:dyDescent="0.45">
      <c r="A1934" s="1">
        <v>42800</v>
      </c>
      <c r="B1934">
        <v>107.93</v>
      </c>
      <c r="C1934">
        <v>108.160004</v>
      </c>
      <c r="D1934">
        <v>107.099998</v>
      </c>
      <c r="E1934">
        <v>107.230003</v>
      </c>
      <c r="F1934">
        <v>98.538794999999993</v>
      </c>
      <c r="G1934">
        <v>1897900</v>
      </c>
    </row>
    <row r="1935" spans="1:7" x14ac:dyDescent="0.45">
      <c r="A1935" s="1">
        <v>42801</v>
      </c>
      <c r="B1935">
        <v>106.489998</v>
      </c>
      <c r="C1935">
        <v>108.339996</v>
      </c>
      <c r="D1935">
        <v>106.029999</v>
      </c>
      <c r="E1935">
        <v>107.69000200000001</v>
      </c>
      <c r="F1935">
        <v>98.961524999999995</v>
      </c>
      <c r="G1935">
        <v>4399100</v>
      </c>
    </row>
    <row r="1936" spans="1:7" x14ac:dyDescent="0.45">
      <c r="A1936" s="1">
        <v>42802</v>
      </c>
      <c r="B1936">
        <v>106.779999</v>
      </c>
      <c r="C1936">
        <v>107.040001</v>
      </c>
      <c r="D1936">
        <v>105.779999</v>
      </c>
      <c r="E1936">
        <v>106.019997</v>
      </c>
      <c r="F1936">
        <v>97.426865000000006</v>
      </c>
      <c r="G1936">
        <v>2846100</v>
      </c>
    </row>
    <row r="1937" spans="1:7" x14ac:dyDescent="0.45">
      <c r="A1937" s="1">
        <v>42803</v>
      </c>
      <c r="B1937">
        <v>106.19000200000001</v>
      </c>
      <c r="C1937">
        <v>106.93</v>
      </c>
      <c r="D1937">
        <v>105.970001</v>
      </c>
      <c r="E1937">
        <v>106.80999799999999</v>
      </c>
      <c r="F1937">
        <v>98.152832000000004</v>
      </c>
      <c r="G1937">
        <v>1410600</v>
      </c>
    </row>
    <row r="1938" spans="1:7" x14ac:dyDescent="0.45">
      <c r="A1938" s="1">
        <v>42804</v>
      </c>
      <c r="B1938">
        <v>106.80999799999999</v>
      </c>
      <c r="C1938">
        <v>107.93</v>
      </c>
      <c r="D1938">
        <v>106.80999799999999</v>
      </c>
      <c r="E1938">
        <v>107.610001</v>
      </c>
      <c r="F1938">
        <v>98.888007999999999</v>
      </c>
      <c r="G1938">
        <v>1743700</v>
      </c>
    </row>
    <row r="1939" spans="1:7" x14ac:dyDescent="0.45">
      <c r="A1939" s="1">
        <v>42807</v>
      </c>
      <c r="B1939">
        <v>107</v>
      </c>
      <c r="C1939">
        <v>108</v>
      </c>
      <c r="D1939">
        <v>106.93</v>
      </c>
      <c r="E1939">
        <v>107.93</v>
      </c>
      <c r="F1939">
        <v>99.182068000000001</v>
      </c>
      <c r="G1939">
        <v>1236600</v>
      </c>
    </row>
    <row r="1940" spans="1:7" x14ac:dyDescent="0.45">
      <c r="A1940" s="1">
        <v>42808</v>
      </c>
      <c r="B1940">
        <v>107.489998</v>
      </c>
      <c r="C1940">
        <v>107.860001</v>
      </c>
      <c r="D1940">
        <v>107.08000199999999</v>
      </c>
      <c r="E1940">
        <v>107.239998</v>
      </c>
      <c r="F1940">
        <v>98.547989000000001</v>
      </c>
      <c r="G1940">
        <v>987800</v>
      </c>
    </row>
    <row r="1941" spans="1:7" x14ac:dyDescent="0.45">
      <c r="A1941" s="1">
        <v>42809</v>
      </c>
      <c r="B1941">
        <v>107.470001</v>
      </c>
      <c r="C1941">
        <v>108.910004</v>
      </c>
      <c r="D1941">
        <v>106.970001</v>
      </c>
      <c r="E1941">
        <v>108.639999</v>
      </c>
      <c r="F1941">
        <v>99.834511000000006</v>
      </c>
      <c r="G1941">
        <v>1480500</v>
      </c>
    </row>
    <row r="1942" spans="1:7" x14ac:dyDescent="0.45">
      <c r="A1942" s="1">
        <v>42810</v>
      </c>
      <c r="B1942">
        <v>109.959999</v>
      </c>
      <c r="C1942">
        <v>110.94000200000001</v>
      </c>
      <c r="D1942">
        <v>109.660004</v>
      </c>
      <c r="E1942">
        <v>110.849998</v>
      </c>
      <c r="F1942">
        <v>101.865379</v>
      </c>
      <c r="G1942">
        <v>2920300</v>
      </c>
    </row>
    <row r="1943" spans="1:7" x14ac:dyDescent="0.45">
      <c r="A1943" s="1">
        <v>42811</v>
      </c>
      <c r="B1943">
        <v>111.779999</v>
      </c>
      <c r="C1943">
        <v>112.529999</v>
      </c>
      <c r="D1943">
        <v>111.5</v>
      </c>
      <c r="E1943">
        <v>111.75</v>
      </c>
      <c r="F1943">
        <v>102.69244399999999</v>
      </c>
      <c r="G1943">
        <v>2546300</v>
      </c>
    </row>
    <row r="1944" spans="1:7" x14ac:dyDescent="0.45">
      <c r="A1944" s="1">
        <v>42814</v>
      </c>
      <c r="B1944">
        <v>111.91999800000001</v>
      </c>
      <c r="C1944">
        <v>112.44000200000001</v>
      </c>
      <c r="D1944">
        <v>111.57</v>
      </c>
      <c r="E1944">
        <v>111.949997</v>
      </c>
      <c r="F1944">
        <v>102.876221</v>
      </c>
      <c r="G1944">
        <v>1249000</v>
      </c>
    </row>
    <row r="1945" spans="1:7" x14ac:dyDescent="0.45">
      <c r="A1945" s="1">
        <v>42815</v>
      </c>
      <c r="B1945">
        <v>112.629997</v>
      </c>
      <c r="C1945">
        <v>113.019997</v>
      </c>
      <c r="D1945">
        <v>111.389999</v>
      </c>
      <c r="E1945">
        <v>111.519997</v>
      </c>
      <c r="F1945">
        <v>102.481087</v>
      </c>
      <c r="G1945">
        <v>1294300</v>
      </c>
    </row>
    <row r="1946" spans="1:7" x14ac:dyDescent="0.45">
      <c r="A1946" s="1">
        <v>42816</v>
      </c>
      <c r="B1946">
        <v>111.379997</v>
      </c>
      <c r="C1946">
        <v>111.43</v>
      </c>
      <c r="D1946">
        <v>110.660004</v>
      </c>
      <c r="E1946">
        <v>110.94000200000001</v>
      </c>
      <c r="F1946">
        <v>101.948105</v>
      </c>
      <c r="G1946">
        <v>1066200</v>
      </c>
    </row>
    <row r="1947" spans="1:7" x14ac:dyDescent="0.45">
      <c r="A1947" s="1">
        <v>42817</v>
      </c>
      <c r="B1947">
        <v>110.360001</v>
      </c>
      <c r="C1947">
        <v>111.349998</v>
      </c>
      <c r="D1947">
        <v>110.290001</v>
      </c>
      <c r="E1947">
        <v>110.980003</v>
      </c>
      <c r="F1947">
        <v>101.984863</v>
      </c>
      <c r="G1947">
        <v>958100</v>
      </c>
    </row>
    <row r="1948" spans="1:7" x14ac:dyDescent="0.45">
      <c r="A1948" s="1">
        <v>42818</v>
      </c>
      <c r="B1948">
        <v>110.900002</v>
      </c>
      <c r="C1948">
        <v>111.010002</v>
      </c>
      <c r="D1948">
        <v>110.400002</v>
      </c>
      <c r="E1948">
        <v>110.860001</v>
      </c>
      <c r="F1948">
        <v>101.87457999999999</v>
      </c>
      <c r="G1948">
        <v>933700</v>
      </c>
    </row>
    <row r="1949" spans="1:7" x14ac:dyDescent="0.45">
      <c r="A1949" s="1">
        <v>42821</v>
      </c>
      <c r="B1949">
        <v>111.260002</v>
      </c>
      <c r="C1949">
        <v>111.639999</v>
      </c>
      <c r="D1949">
        <v>110.709999</v>
      </c>
      <c r="E1949">
        <v>111.370003</v>
      </c>
      <c r="F1949">
        <v>102.343239</v>
      </c>
      <c r="G1949">
        <v>1117200</v>
      </c>
    </row>
    <row r="1950" spans="1:7" x14ac:dyDescent="0.45">
      <c r="A1950" s="1">
        <v>42822</v>
      </c>
      <c r="B1950">
        <v>111.209999</v>
      </c>
      <c r="C1950">
        <v>111.900002</v>
      </c>
      <c r="D1950">
        <v>111.029999</v>
      </c>
      <c r="E1950">
        <v>111.529999</v>
      </c>
      <c r="F1950">
        <v>102.49026499999999</v>
      </c>
      <c r="G1950">
        <v>922500</v>
      </c>
    </row>
    <row r="1951" spans="1:7" x14ac:dyDescent="0.45">
      <c r="A1951" s="1">
        <v>42823</v>
      </c>
      <c r="B1951">
        <v>110.470001</v>
      </c>
      <c r="C1951">
        <v>111.620003</v>
      </c>
      <c r="D1951">
        <v>110.220001</v>
      </c>
      <c r="E1951">
        <v>111.33000199999999</v>
      </c>
      <c r="F1951">
        <v>102.306488</v>
      </c>
      <c r="G1951">
        <v>1981100</v>
      </c>
    </row>
    <row r="1952" spans="1:7" x14ac:dyDescent="0.45">
      <c r="A1952" s="1">
        <v>42824</v>
      </c>
      <c r="B1952">
        <v>110.150002</v>
      </c>
      <c r="C1952">
        <v>110.75</v>
      </c>
      <c r="D1952">
        <v>109.620003</v>
      </c>
      <c r="E1952">
        <v>110.260002</v>
      </c>
      <c r="F1952">
        <v>101.323212</v>
      </c>
      <c r="G1952">
        <v>3030200</v>
      </c>
    </row>
    <row r="1953" spans="1:7" x14ac:dyDescent="0.45">
      <c r="A1953" s="1">
        <v>42825</v>
      </c>
      <c r="B1953">
        <v>109.739998</v>
      </c>
      <c r="C1953">
        <v>110.33000199999999</v>
      </c>
      <c r="D1953">
        <v>109.510002</v>
      </c>
      <c r="E1953">
        <v>109.760002</v>
      </c>
      <c r="F1953">
        <v>100.863731</v>
      </c>
      <c r="G1953">
        <v>1339600</v>
      </c>
    </row>
    <row r="1954" spans="1:7" x14ac:dyDescent="0.45">
      <c r="A1954" s="1">
        <v>42828</v>
      </c>
      <c r="B1954">
        <v>109.69000200000001</v>
      </c>
      <c r="C1954">
        <v>110.790001</v>
      </c>
      <c r="D1954">
        <v>109.69000200000001</v>
      </c>
      <c r="E1954">
        <v>110.739998</v>
      </c>
      <c r="F1954">
        <v>101.76430499999999</v>
      </c>
      <c r="G1954">
        <v>1133000</v>
      </c>
    </row>
    <row r="1955" spans="1:7" x14ac:dyDescent="0.45">
      <c r="A1955" s="1">
        <v>42829</v>
      </c>
      <c r="B1955">
        <v>110.360001</v>
      </c>
      <c r="C1955">
        <v>110.93</v>
      </c>
      <c r="D1955">
        <v>110.18</v>
      </c>
      <c r="E1955">
        <v>110.849998</v>
      </c>
      <c r="F1955">
        <v>101.865379</v>
      </c>
      <c r="G1955">
        <v>757900</v>
      </c>
    </row>
    <row r="1956" spans="1:7" x14ac:dyDescent="0.45">
      <c r="A1956" s="1">
        <v>42830</v>
      </c>
      <c r="B1956">
        <v>110.519997</v>
      </c>
      <c r="C1956">
        <v>111.220001</v>
      </c>
      <c r="D1956">
        <v>109.949997</v>
      </c>
      <c r="E1956">
        <v>110.480003</v>
      </c>
      <c r="F1956">
        <v>101.52538300000001</v>
      </c>
      <c r="G1956">
        <v>1411800</v>
      </c>
    </row>
    <row r="1957" spans="1:7" x14ac:dyDescent="0.45">
      <c r="A1957" s="1">
        <v>42831</v>
      </c>
      <c r="B1957">
        <v>110.480003</v>
      </c>
      <c r="C1957">
        <v>110.610001</v>
      </c>
      <c r="D1957">
        <v>110.160004</v>
      </c>
      <c r="E1957">
        <v>110.489998</v>
      </c>
      <c r="F1957">
        <v>101.534561</v>
      </c>
      <c r="G1957">
        <v>1079300</v>
      </c>
    </row>
    <row r="1958" spans="1:7" x14ac:dyDescent="0.45">
      <c r="A1958" s="1">
        <v>42832</v>
      </c>
      <c r="B1958">
        <v>109.900002</v>
      </c>
      <c r="C1958">
        <v>110.400002</v>
      </c>
      <c r="D1958">
        <v>109.849998</v>
      </c>
      <c r="E1958">
        <v>109.94000200000001</v>
      </c>
      <c r="F1958">
        <v>101.029152</v>
      </c>
      <c r="G1958">
        <v>1470500</v>
      </c>
    </row>
    <row r="1959" spans="1:7" x14ac:dyDescent="0.45">
      <c r="A1959" s="1">
        <v>42835</v>
      </c>
      <c r="B1959">
        <v>109.900002</v>
      </c>
      <c r="C1959">
        <v>110.980003</v>
      </c>
      <c r="D1959">
        <v>109.849998</v>
      </c>
      <c r="E1959">
        <v>110.66999800000001</v>
      </c>
      <c r="F1959">
        <v>101.69998200000001</v>
      </c>
      <c r="G1959">
        <v>961700</v>
      </c>
    </row>
    <row r="1960" spans="1:7" x14ac:dyDescent="0.45">
      <c r="A1960" s="1">
        <v>42836</v>
      </c>
      <c r="B1960">
        <v>110.449997</v>
      </c>
      <c r="C1960">
        <v>110.83000199999999</v>
      </c>
      <c r="D1960">
        <v>109.55999799999999</v>
      </c>
      <c r="E1960">
        <v>110.040001</v>
      </c>
      <c r="F1960">
        <v>101.12103999999999</v>
      </c>
      <c r="G1960">
        <v>1136900</v>
      </c>
    </row>
    <row r="1961" spans="1:7" x14ac:dyDescent="0.45">
      <c r="A1961" s="1">
        <v>42837</v>
      </c>
      <c r="B1961">
        <v>109.470001</v>
      </c>
      <c r="C1961">
        <v>110.260002</v>
      </c>
      <c r="D1961">
        <v>109.339996</v>
      </c>
      <c r="E1961">
        <v>110.239998</v>
      </c>
      <c r="F1961">
        <v>101.304832</v>
      </c>
      <c r="G1961">
        <v>991800</v>
      </c>
    </row>
    <row r="1962" spans="1:7" x14ac:dyDescent="0.45">
      <c r="A1962" s="1">
        <v>42838</v>
      </c>
      <c r="B1962">
        <v>109.790001</v>
      </c>
      <c r="C1962">
        <v>109.889999</v>
      </c>
      <c r="D1962">
        <v>109.029999</v>
      </c>
      <c r="E1962">
        <v>109.029999</v>
      </c>
      <c r="F1962">
        <v>100.192909</v>
      </c>
      <c r="G1962">
        <v>804100</v>
      </c>
    </row>
    <row r="1963" spans="1:7" x14ac:dyDescent="0.45">
      <c r="A1963" s="1">
        <v>42842</v>
      </c>
      <c r="B1963">
        <v>109.650002</v>
      </c>
      <c r="C1963">
        <v>110.449997</v>
      </c>
      <c r="D1963">
        <v>109.449997</v>
      </c>
      <c r="E1963">
        <v>110.379997</v>
      </c>
      <c r="F1963">
        <v>101.433487</v>
      </c>
      <c r="G1963">
        <v>1003700</v>
      </c>
    </row>
    <row r="1964" spans="1:7" x14ac:dyDescent="0.45">
      <c r="A1964" s="1">
        <v>42843</v>
      </c>
      <c r="B1964">
        <v>110.050003</v>
      </c>
      <c r="C1964">
        <v>110.980003</v>
      </c>
      <c r="D1964">
        <v>110.050003</v>
      </c>
      <c r="E1964">
        <v>110.82</v>
      </c>
      <c r="F1964">
        <v>101.837822</v>
      </c>
      <c r="G1964">
        <v>1162300</v>
      </c>
    </row>
    <row r="1965" spans="1:7" x14ac:dyDescent="0.45">
      <c r="A1965" s="1">
        <v>42844</v>
      </c>
      <c r="B1965">
        <v>110.110001</v>
      </c>
      <c r="C1965">
        <v>110.57</v>
      </c>
      <c r="D1965">
        <v>109.730003</v>
      </c>
      <c r="E1965">
        <v>109.949997</v>
      </c>
      <c r="F1965">
        <v>101.03833</v>
      </c>
      <c r="G1965">
        <v>2353500</v>
      </c>
    </row>
    <row r="1966" spans="1:7" x14ac:dyDescent="0.45">
      <c r="A1966" s="1">
        <v>42845</v>
      </c>
      <c r="B1966">
        <v>109.730003</v>
      </c>
      <c r="C1966">
        <v>109.739998</v>
      </c>
      <c r="D1966">
        <v>108.91999800000001</v>
      </c>
      <c r="E1966">
        <v>109.089996</v>
      </c>
      <c r="F1966">
        <v>100.248047</v>
      </c>
      <c r="G1966">
        <v>1730600</v>
      </c>
    </row>
    <row r="1967" spans="1:7" x14ac:dyDescent="0.45">
      <c r="A1967" s="1">
        <v>42846</v>
      </c>
      <c r="B1967">
        <v>108.57</v>
      </c>
      <c r="C1967">
        <v>108.870003</v>
      </c>
      <c r="D1967">
        <v>107.949997</v>
      </c>
      <c r="E1967">
        <v>108.279999</v>
      </c>
      <c r="F1967">
        <v>99.503692999999998</v>
      </c>
      <c r="G1967">
        <v>1880500</v>
      </c>
    </row>
    <row r="1968" spans="1:7" x14ac:dyDescent="0.45">
      <c r="A1968" s="1">
        <v>42849</v>
      </c>
      <c r="B1968">
        <v>111.870003</v>
      </c>
      <c r="C1968">
        <v>112.910004</v>
      </c>
      <c r="D1968">
        <v>111.849998</v>
      </c>
      <c r="E1968">
        <v>112.550003</v>
      </c>
      <c r="F1968">
        <v>103.427605</v>
      </c>
      <c r="G1968">
        <v>2937300</v>
      </c>
    </row>
    <row r="1969" spans="1:7" x14ac:dyDescent="0.45">
      <c r="A1969" s="1">
        <v>42850</v>
      </c>
      <c r="B1969">
        <v>113.32</v>
      </c>
      <c r="C1969">
        <v>114.33000199999999</v>
      </c>
      <c r="D1969">
        <v>113.019997</v>
      </c>
      <c r="E1969">
        <v>113.91999800000001</v>
      </c>
      <c r="F1969">
        <v>104.686554</v>
      </c>
      <c r="G1969">
        <v>2332800</v>
      </c>
    </row>
    <row r="1970" spans="1:7" x14ac:dyDescent="0.45">
      <c r="A1970" s="1">
        <v>42851</v>
      </c>
      <c r="B1970">
        <v>113.269997</v>
      </c>
      <c r="C1970">
        <v>113.510002</v>
      </c>
      <c r="D1970">
        <v>111.900002</v>
      </c>
      <c r="E1970">
        <v>112.199997</v>
      </c>
      <c r="F1970">
        <v>103.105965</v>
      </c>
      <c r="G1970">
        <v>2002400</v>
      </c>
    </row>
    <row r="1971" spans="1:7" x14ac:dyDescent="0.45">
      <c r="A1971" s="1">
        <v>42852</v>
      </c>
      <c r="B1971">
        <v>112.050003</v>
      </c>
      <c r="C1971">
        <v>112.510002</v>
      </c>
      <c r="D1971">
        <v>111.779999</v>
      </c>
      <c r="E1971">
        <v>112.230003</v>
      </c>
      <c r="F1971">
        <v>103.133537</v>
      </c>
      <c r="G1971">
        <v>1669200</v>
      </c>
    </row>
    <row r="1972" spans="1:7" x14ac:dyDescent="0.45">
      <c r="A1972" s="1">
        <v>42853</v>
      </c>
      <c r="B1972">
        <v>112.510002</v>
      </c>
      <c r="C1972">
        <v>113.489998</v>
      </c>
      <c r="D1972">
        <v>112.44000200000001</v>
      </c>
      <c r="E1972">
        <v>113.239998</v>
      </c>
      <c r="F1972">
        <v>104.06167600000001</v>
      </c>
      <c r="G1972">
        <v>1878700</v>
      </c>
    </row>
    <row r="1973" spans="1:7" x14ac:dyDescent="0.45">
      <c r="A1973" s="1">
        <v>42856</v>
      </c>
      <c r="B1973">
        <v>111.199997</v>
      </c>
      <c r="C1973">
        <v>112.099998</v>
      </c>
      <c r="D1973">
        <v>111</v>
      </c>
      <c r="E1973">
        <v>111.400002</v>
      </c>
      <c r="F1973">
        <v>104.323891</v>
      </c>
      <c r="G1973">
        <v>1672700</v>
      </c>
    </row>
    <row r="1974" spans="1:7" x14ac:dyDescent="0.45">
      <c r="A1974" s="1">
        <v>42857</v>
      </c>
      <c r="B1974">
        <v>111.970001</v>
      </c>
      <c r="C1974">
        <v>112.55999799999999</v>
      </c>
      <c r="D1974">
        <v>111.610001</v>
      </c>
      <c r="E1974">
        <v>112.269997</v>
      </c>
      <c r="F1974">
        <v>105.138626</v>
      </c>
      <c r="G1974">
        <v>1280000</v>
      </c>
    </row>
    <row r="1975" spans="1:7" x14ac:dyDescent="0.45">
      <c r="A1975" s="1">
        <v>42858</v>
      </c>
      <c r="B1975">
        <v>113.879997</v>
      </c>
      <c r="C1975">
        <v>114.129997</v>
      </c>
      <c r="D1975">
        <v>112.730003</v>
      </c>
      <c r="E1975">
        <v>113.040001</v>
      </c>
      <c r="F1975">
        <v>105.859718</v>
      </c>
      <c r="G1975">
        <v>3183900</v>
      </c>
    </row>
    <row r="1976" spans="1:7" x14ac:dyDescent="0.45">
      <c r="A1976" s="1">
        <v>42859</v>
      </c>
      <c r="B1976">
        <v>118</v>
      </c>
      <c r="C1976">
        <v>119.709999</v>
      </c>
      <c r="D1976">
        <v>117.800003</v>
      </c>
      <c r="E1976">
        <v>119.470001</v>
      </c>
      <c r="F1976">
        <v>111.881287</v>
      </c>
      <c r="G1976">
        <v>3969200</v>
      </c>
    </row>
    <row r="1977" spans="1:7" x14ac:dyDescent="0.45">
      <c r="A1977" s="1">
        <v>42860</v>
      </c>
      <c r="B1977">
        <v>119.650002</v>
      </c>
      <c r="C1977">
        <v>120.610001</v>
      </c>
      <c r="D1977">
        <v>119.360001</v>
      </c>
      <c r="E1977">
        <v>120.58000199999999</v>
      </c>
      <c r="F1977">
        <v>112.920776</v>
      </c>
      <c r="G1977">
        <v>2943700</v>
      </c>
    </row>
    <row r="1978" spans="1:7" x14ac:dyDescent="0.45">
      <c r="A1978" s="1">
        <v>42863</v>
      </c>
      <c r="B1978">
        <v>119.75</v>
      </c>
      <c r="C1978">
        <v>119.790001</v>
      </c>
      <c r="D1978">
        <v>118.870003</v>
      </c>
      <c r="E1978">
        <v>119.110001</v>
      </c>
      <c r="F1978">
        <v>111.544151</v>
      </c>
      <c r="G1978">
        <v>1448100</v>
      </c>
    </row>
    <row r="1979" spans="1:7" x14ac:dyDescent="0.45">
      <c r="A1979" s="1">
        <v>42864</v>
      </c>
      <c r="B1979">
        <v>119.459999</v>
      </c>
      <c r="C1979">
        <v>119.55999799999999</v>
      </c>
      <c r="D1979">
        <v>118.699997</v>
      </c>
      <c r="E1979">
        <v>119.110001</v>
      </c>
      <c r="F1979">
        <v>111.544151</v>
      </c>
      <c r="G1979">
        <v>1322700</v>
      </c>
    </row>
    <row r="1980" spans="1:7" x14ac:dyDescent="0.45">
      <c r="A1980" s="1">
        <v>42865</v>
      </c>
      <c r="B1980">
        <v>118.57</v>
      </c>
      <c r="C1980">
        <v>119.16999800000001</v>
      </c>
      <c r="D1980">
        <v>118.57</v>
      </c>
      <c r="E1980">
        <v>118.989998</v>
      </c>
      <c r="F1980">
        <v>111.43177</v>
      </c>
      <c r="G1980">
        <v>1068800</v>
      </c>
    </row>
    <row r="1981" spans="1:7" x14ac:dyDescent="0.45">
      <c r="A1981" s="1">
        <v>42866</v>
      </c>
      <c r="B1981">
        <v>118.58000199999999</v>
      </c>
      <c r="C1981">
        <v>119.099998</v>
      </c>
      <c r="D1981">
        <v>118.41999800000001</v>
      </c>
      <c r="E1981">
        <v>118.889999</v>
      </c>
      <c r="F1981">
        <v>111.338127</v>
      </c>
      <c r="G1981">
        <v>823500</v>
      </c>
    </row>
    <row r="1982" spans="1:7" x14ac:dyDescent="0.45">
      <c r="A1982" s="1">
        <v>42867</v>
      </c>
      <c r="B1982">
        <v>119.480003</v>
      </c>
      <c r="C1982">
        <v>120.209999</v>
      </c>
      <c r="D1982">
        <v>118.93</v>
      </c>
      <c r="E1982">
        <v>119.83000199999999</v>
      </c>
      <c r="F1982">
        <v>112.218422</v>
      </c>
      <c r="G1982">
        <v>1373800</v>
      </c>
    </row>
    <row r="1983" spans="1:7" x14ac:dyDescent="0.45">
      <c r="A1983" s="1">
        <v>42870</v>
      </c>
      <c r="B1983">
        <v>119.769997</v>
      </c>
      <c r="C1983">
        <v>119.870003</v>
      </c>
      <c r="D1983">
        <v>119.30999799999999</v>
      </c>
      <c r="E1983">
        <v>119.620003</v>
      </c>
      <c r="F1983">
        <v>112.02175099999999</v>
      </c>
      <c r="G1983">
        <v>1131700</v>
      </c>
    </row>
    <row r="1984" spans="1:7" x14ac:dyDescent="0.45">
      <c r="A1984" s="1">
        <v>42871</v>
      </c>
      <c r="B1984">
        <v>119.989998</v>
      </c>
      <c r="C1984">
        <v>120.480003</v>
      </c>
      <c r="D1984">
        <v>119.589996</v>
      </c>
      <c r="E1984">
        <v>120.449997</v>
      </c>
      <c r="F1984">
        <v>112.79903400000001</v>
      </c>
      <c r="G1984">
        <v>1020700</v>
      </c>
    </row>
    <row r="1985" spans="1:7" x14ac:dyDescent="0.45">
      <c r="A1985" s="1">
        <v>42872</v>
      </c>
      <c r="B1985">
        <v>120.519997</v>
      </c>
      <c r="C1985">
        <v>121.040001</v>
      </c>
      <c r="D1985">
        <v>119.410004</v>
      </c>
      <c r="E1985">
        <v>119.510002</v>
      </c>
      <c r="F1985">
        <v>111.918747</v>
      </c>
      <c r="G1985">
        <v>1349600</v>
      </c>
    </row>
    <row r="1986" spans="1:7" x14ac:dyDescent="0.45">
      <c r="A1986" s="1">
        <v>42873</v>
      </c>
      <c r="B1986">
        <v>115.69000200000001</v>
      </c>
      <c r="C1986">
        <v>117.05999799999999</v>
      </c>
      <c r="D1986">
        <v>115.129997</v>
      </c>
      <c r="E1986">
        <v>117</v>
      </c>
      <c r="F1986">
        <v>109.568169</v>
      </c>
      <c r="G1986">
        <v>5584700</v>
      </c>
    </row>
    <row r="1987" spans="1:7" x14ac:dyDescent="0.45">
      <c r="A1987" s="1">
        <v>42874</v>
      </c>
      <c r="B1987">
        <v>117.739998</v>
      </c>
      <c r="C1987">
        <v>118.5</v>
      </c>
      <c r="D1987">
        <v>117.69000200000001</v>
      </c>
      <c r="E1987">
        <v>118.010002</v>
      </c>
      <c r="F1987">
        <v>110.51402299999999</v>
      </c>
      <c r="G1987">
        <v>1479200</v>
      </c>
    </row>
    <row r="1988" spans="1:7" x14ac:dyDescent="0.45">
      <c r="A1988" s="1">
        <v>42877</v>
      </c>
      <c r="B1988">
        <v>118.779999</v>
      </c>
      <c r="C1988">
        <v>118.849998</v>
      </c>
      <c r="D1988">
        <v>118.209999</v>
      </c>
      <c r="E1988">
        <v>118.41999800000001</v>
      </c>
      <c r="F1988">
        <v>110.897972</v>
      </c>
      <c r="G1988">
        <v>1059700</v>
      </c>
    </row>
    <row r="1989" spans="1:7" x14ac:dyDescent="0.45">
      <c r="A1989" s="1">
        <v>42878</v>
      </c>
      <c r="B1989">
        <v>118.540001</v>
      </c>
      <c r="C1989">
        <v>118.889999</v>
      </c>
      <c r="D1989">
        <v>118.269997</v>
      </c>
      <c r="E1989">
        <v>118.589996</v>
      </c>
      <c r="F1989">
        <v>111.057182</v>
      </c>
      <c r="G1989">
        <v>765700</v>
      </c>
    </row>
    <row r="1990" spans="1:7" x14ac:dyDescent="0.45">
      <c r="A1990" s="1">
        <v>42879</v>
      </c>
      <c r="B1990">
        <v>118.300003</v>
      </c>
      <c r="C1990">
        <v>118.57</v>
      </c>
      <c r="D1990">
        <v>117.599998</v>
      </c>
      <c r="E1990">
        <v>118.529999</v>
      </c>
      <c r="F1990">
        <v>111.000992</v>
      </c>
      <c r="G1990">
        <v>963700</v>
      </c>
    </row>
    <row r="1991" spans="1:7" x14ac:dyDescent="0.45">
      <c r="A1991" s="1">
        <v>42880</v>
      </c>
      <c r="B1991">
        <v>118.75</v>
      </c>
      <c r="C1991">
        <v>118.800003</v>
      </c>
      <c r="D1991">
        <v>118.230003</v>
      </c>
      <c r="E1991">
        <v>118.360001</v>
      </c>
      <c r="F1991">
        <v>110.841797</v>
      </c>
      <c r="G1991">
        <v>867100</v>
      </c>
    </row>
    <row r="1992" spans="1:7" x14ac:dyDescent="0.45">
      <c r="A1992" s="1">
        <v>42881</v>
      </c>
      <c r="B1992">
        <v>116.980003</v>
      </c>
      <c r="C1992">
        <v>118.5</v>
      </c>
      <c r="D1992">
        <v>116.91999800000001</v>
      </c>
      <c r="E1992">
        <v>118.489998</v>
      </c>
      <c r="F1992">
        <v>110.963531</v>
      </c>
      <c r="G1992">
        <v>991700</v>
      </c>
    </row>
    <row r="1993" spans="1:7" x14ac:dyDescent="0.45">
      <c r="A1993" s="1">
        <v>42885</v>
      </c>
      <c r="B1993">
        <v>116.860001</v>
      </c>
      <c r="C1993">
        <v>117.160004</v>
      </c>
      <c r="D1993">
        <v>116.489998</v>
      </c>
      <c r="E1993">
        <v>116.699997</v>
      </c>
      <c r="F1993">
        <v>109.28723100000001</v>
      </c>
      <c r="G1993">
        <v>2070300</v>
      </c>
    </row>
    <row r="1994" spans="1:7" x14ac:dyDescent="0.45">
      <c r="A1994" s="1">
        <v>42886</v>
      </c>
      <c r="B1994">
        <v>117.5</v>
      </c>
      <c r="C1994">
        <v>118.050003</v>
      </c>
      <c r="D1994">
        <v>116.720001</v>
      </c>
      <c r="E1994">
        <v>116.949997</v>
      </c>
      <c r="F1994">
        <v>109.52134700000001</v>
      </c>
      <c r="G1994">
        <v>1097000</v>
      </c>
    </row>
    <row r="1995" spans="1:7" x14ac:dyDescent="0.45">
      <c r="A1995" s="1">
        <v>42887</v>
      </c>
      <c r="B1995">
        <v>116.790001</v>
      </c>
      <c r="C1995">
        <v>117.620003</v>
      </c>
      <c r="D1995">
        <v>116.58000199999999</v>
      </c>
      <c r="E1995">
        <v>117.370003</v>
      </c>
      <c r="F1995">
        <v>109.91468</v>
      </c>
      <c r="G1995">
        <v>1013500</v>
      </c>
    </row>
    <row r="1996" spans="1:7" x14ac:dyDescent="0.45">
      <c r="A1996" s="1">
        <v>42888</v>
      </c>
      <c r="B1996">
        <v>118.55999799999999</v>
      </c>
      <c r="C1996">
        <v>118.80999799999999</v>
      </c>
      <c r="D1996">
        <v>117.849998</v>
      </c>
      <c r="E1996">
        <v>118.209999</v>
      </c>
      <c r="F1996">
        <v>110.70130899999999</v>
      </c>
      <c r="G1996">
        <v>739200</v>
      </c>
    </row>
    <row r="1997" spans="1:7" x14ac:dyDescent="0.45">
      <c r="A1997" s="1">
        <v>42891</v>
      </c>
      <c r="B1997">
        <v>117.980003</v>
      </c>
      <c r="C1997">
        <v>118.470001</v>
      </c>
      <c r="D1997">
        <v>117.620003</v>
      </c>
      <c r="E1997">
        <v>118.400002</v>
      </c>
      <c r="F1997">
        <v>110.879242</v>
      </c>
      <c r="G1997">
        <v>651800</v>
      </c>
    </row>
    <row r="1998" spans="1:7" x14ac:dyDescent="0.45">
      <c r="A1998" s="1">
        <v>42892</v>
      </c>
      <c r="B1998">
        <v>117.379997</v>
      </c>
      <c r="C1998">
        <v>118.349998</v>
      </c>
      <c r="D1998">
        <v>117.360001</v>
      </c>
      <c r="E1998">
        <v>118.019997</v>
      </c>
      <c r="F1998">
        <v>110.52338399999999</v>
      </c>
      <c r="G1998">
        <v>697300</v>
      </c>
    </row>
    <row r="1999" spans="1:7" x14ac:dyDescent="0.45">
      <c r="A1999" s="1">
        <v>42893</v>
      </c>
      <c r="B1999">
        <v>117.860001</v>
      </c>
      <c r="C1999">
        <v>118.33000199999999</v>
      </c>
      <c r="D1999">
        <v>116.470001</v>
      </c>
      <c r="E1999">
        <v>117.150002</v>
      </c>
      <c r="F1999">
        <v>109.708641</v>
      </c>
      <c r="G1999">
        <v>1504700</v>
      </c>
    </row>
    <row r="2000" spans="1:7" x14ac:dyDescent="0.45">
      <c r="A2000" s="1">
        <v>42894</v>
      </c>
      <c r="B2000">
        <v>115.410004</v>
      </c>
      <c r="C2000">
        <v>115.57</v>
      </c>
      <c r="D2000">
        <v>113.620003</v>
      </c>
      <c r="E2000">
        <v>114.480003</v>
      </c>
      <c r="F2000">
        <v>107.208252</v>
      </c>
      <c r="G2000">
        <v>4617300</v>
      </c>
    </row>
    <row r="2001" spans="1:7" x14ac:dyDescent="0.45">
      <c r="A2001" s="1">
        <v>42895</v>
      </c>
      <c r="B2001">
        <v>113.339996</v>
      </c>
      <c r="C2001">
        <v>113.82</v>
      </c>
      <c r="D2001">
        <v>113.160004</v>
      </c>
      <c r="E2001">
        <v>113.5</v>
      </c>
      <c r="F2001">
        <v>106.290497</v>
      </c>
      <c r="G2001">
        <v>1729400</v>
      </c>
    </row>
    <row r="2002" spans="1:7" x14ac:dyDescent="0.45">
      <c r="A2002" s="1">
        <v>42898</v>
      </c>
      <c r="B2002">
        <v>113.5</v>
      </c>
      <c r="C2002">
        <v>113.5</v>
      </c>
      <c r="D2002">
        <v>112.66999800000001</v>
      </c>
      <c r="E2002">
        <v>112.959999</v>
      </c>
      <c r="F2002">
        <v>105.78479799999999</v>
      </c>
      <c r="G2002">
        <v>1414800</v>
      </c>
    </row>
    <row r="2003" spans="1:7" x14ac:dyDescent="0.45">
      <c r="A2003" s="1">
        <v>42899</v>
      </c>
      <c r="B2003">
        <v>113.489998</v>
      </c>
      <c r="C2003">
        <v>114.25</v>
      </c>
      <c r="D2003">
        <v>113.290001</v>
      </c>
      <c r="E2003">
        <v>113.879997</v>
      </c>
      <c r="F2003">
        <v>106.646355</v>
      </c>
      <c r="G2003">
        <v>716300</v>
      </c>
    </row>
    <row r="2004" spans="1:7" x14ac:dyDescent="0.45">
      <c r="A2004" s="1">
        <v>42900</v>
      </c>
      <c r="B2004">
        <v>114.660004</v>
      </c>
      <c r="C2004">
        <v>114.760002</v>
      </c>
      <c r="D2004">
        <v>113.550003</v>
      </c>
      <c r="E2004">
        <v>113.980003</v>
      </c>
      <c r="F2004">
        <v>106.740013</v>
      </c>
      <c r="G2004">
        <v>818300</v>
      </c>
    </row>
    <row r="2005" spans="1:7" x14ac:dyDescent="0.45">
      <c r="A2005" s="1">
        <v>42901</v>
      </c>
      <c r="B2005">
        <v>112.69000200000001</v>
      </c>
      <c r="C2005">
        <v>113.68</v>
      </c>
      <c r="D2005">
        <v>112.379997</v>
      </c>
      <c r="E2005">
        <v>113.209999</v>
      </c>
      <c r="F2005">
        <v>106.01892100000001</v>
      </c>
      <c r="G2005">
        <v>952500</v>
      </c>
    </row>
    <row r="2006" spans="1:7" x14ac:dyDescent="0.45">
      <c r="A2006" s="1">
        <v>42902</v>
      </c>
      <c r="B2006">
        <v>114</v>
      </c>
      <c r="C2006">
        <v>114.110001</v>
      </c>
      <c r="D2006">
        <v>113.279999</v>
      </c>
      <c r="E2006">
        <v>113.900002</v>
      </c>
      <c r="F2006">
        <v>106.665092</v>
      </c>
      <c r="G2006">
        <v>967200</v>
      </c>
    </row>
    <row r="2007" spans="1:7" x14ac:dyDescent="0.45">
      <c r="A2007" s="1">
        <v>42905</v>
      </c>
      <c r="B2007">
        <v>114.410004</v>
      </c>
      <c r="C2007">
        <v>114.620003</v>
      </c>
      <c r="D2007">
        <v>114</v>
      </c>
      <c r="E2007">
        <v>114.150002</v>
      </c>
      <c r="F2007">
        <v>106.89919999999999</v>
      </c>
      <c r="G2007">
        <v>957100</v>
      </c>
    </row>
    <row r="2008" spans="1:7" x14ac:dyDescent="0.45">
      <c r="A2008" s="1">
        <v>42906</v>
      </c>
      <c r="B2008">
        <v>115.269997</v>
      </c>
      <c r="C2008">
        <v>115.360001</v>
      </c>
      <c r="D2008">
        <v>113.839996</v>
      </c>
      <c r="E2008">
        <v>114.18</v>
      </c>
      <c r="F2008">
        <v>106.927307</v>
      </c>
      <c r="G2008">
        <v>1050600</v>
      </c>
    </row>
    <row r="2009" spans="1:7" x14ac:dyDescent="0.45">
      <c r="A2009" s="1">
        <v>42907</v>
      </c>
      <c r="B2009">
        <v>113.980003</v>
      </c>
      <c r="C2009">
        <v>114.43</v>
      </c>
      <c r="D2009">
        <v>113.610001</v>
      </c>
      <c r="E2009">
        <v>113.82</v>
      </c>
      <c r="F2009">
        <v>106.590172</v>
      </c>
      <c r="G2009">
        <v>1093200</v>
      </c>
    </row>
    <row r="2010" spans="1:7" x14ac:dyDescent="0.45">
      <c r="A2010" s="1">
        <v>42908</v>
      </c>
      <c r="B2010">
        <v>113.980003</v>
      </c>
      <c r="C2010">
        <v>114.120003</v>
      </c>
      <c r="D2010">
        <v>113.290001</v>
      </c>
      <c r="E2010">
        <v>113.349998</v>
      </c>
      <c r="F2010">
        <v>106.150024</v>
      </c>
      <c r="G2010">
        <v>1445900</v>
      </c>
    </row>
    <row r="2011" spans="1:7" x14ac:dyDescent="0.45">
      <c r="A2011" s="1">
        <v>42909</v>
      </c>
      <c r="B2011">
        <v>112.959999</v>
      </c>
      <c r="C2011">
        <v>113.459999</v>
      </c>
      <c r="D2011">
        <v>112.660004</v>
      </c>
      <c r="E2011">
        <v>113.300003</v>
      </c>
      <c r="F2011">
        <v>106.103195</v>
      </c>
      <c r="G2011">
        <v>908400</v>
      </c>
    </row>
    <row r="2012" spans="1:7" x14ac:dyDescent="0.45">
      <c r="A2012" s="1">
        <v>42912</v>
      </c>
      <c r="B2012">
        <v>114.980003</v>
      </c>
      <c r="C2012">
        <v>115.160004</v>
      </c>
      <c r="D2012">
        <v>113.870003</v>
      </c>
      <c r="E2012">
        <v>113.91999800000001</v>
      </c>
      <c r="F2012">
        <v>106.683815</v>
      </c>
      <c r="G2012">
        <v>853500</v>
      </c>
    </row>
    <row r="2013" spans="1:7" x14ac:dyDescent="0.45">
      <c r="A2013" s="1">
        <v>42913</v>
      </c>
      <c r="B2013">
        <v>114.099998</v>
      </c>
      <c r="C2013">
        <v>114.43</v>
      </c>
      <c r="D2013">
        <v>113.58000199999999</v>
      </c>
      <c r="E2013">
        <v>113.620003</v>
      </c>
      <c r="F2013">
        <v>106.402878</v>
      </c>
      <c r="G2013">
        <v>795600</v>
      </c>
    </row>
    <row r="2014" spans="1:7" x14ac:dyDescent="0.45">
      <c r="A2014" s="1">
        <v>42914</v>
      </c>
      <c r="B2014">
        <v>113.879997</v>
      </c>
      <c r="C2014">
        <v>114.089996</v>
      </c>
      <c r="D2014">
        <v>113.379997</v>
      </c>
      <c r="E2014">
        <v>113.699997</v>
      </c>
      <c r="F2014">
        <v>106.477783</v>
      </c>
      <c r="G2014">
        <v>910100</v>
      </c>
    </row>
    <row r="2015" spans="1:7" x14ac:dyDescent="0.45">
      <c r="A2015" s="1">
        <v>42915</v>
      </c>
      <c r="B2015">
        <v>112.209999</v>
      </c>
      <c r="C2015">
        <v>112.260002</v>
      </c>
      <c r="D2015">
        <v>109.879997</v>
      </c>
      <c r="E2015">
        <v>110.660004</v>
      </c>
      <c r="F2015">
        <v>103.630898</v>
      </c>
      <c r="G2015">
        <v>3108100</v>
      </c>
    </row>
    <row r="2016" spans="1:7" x14ac:dyDescent="0.45">
      <c r="A2016" s="1">
        <v>42916</v>
      </c>
      <c r="B2016">
        <v>111.25</v>
      </c>
      <c r="C2016">
        <v>111.290001</v>
      </c>
      <c r="D2016">
        <v>110.160004</v>
      </c>
      <c r="E2016">
        <v>110.360001</v>
      </c>
      <c r="F2016">
        <v>103.349953</v>
      </c>
      <c r="G2016">
        <v>1558500</v>
      </c>
    </row>
    <row r="2017" spans="1:7" x14ac:dyDescent="0.45">
      <c r="A2017" s="1">
        <v>42919</v>
      </c>
      <c r="B2017">
        <v>110</v>
      </c>
      <c r="C2017">
        <v>110.620003</v>
      </c>
      <c r="D2017">
        <v>109.82</v>
      </c>
      <c r="E2017">
        <v>110.41999800000001</v>
      </c>
      <c r="F2017">
        <v>103.406136</v>
      </c>
      <c r="G2017">
        <v>496800</v>
      </c>
    </row>
    <row r="2018" spans="1:7" x14ac:dyDescent="0.45">
      <c r="A2018" s="1">
        <v>42921</v>
      </c>
      <c r="B2018">
        <v>110.150002</v>
      </c>
      <c r="C2018">
        <v>110.160004</v>
      </c>
      <c r="D2018">
        <v>109.55999799999999</v>
      </c>
      <c r="E2018">
        <v>110</v>
      </c>
      <c r="F2018">
        <v>103.012817</v>
      </c>
      <c r="G2018">
        <v>817200</v>
      </c>
    </row>
    <row r="2019" spans="1:7" x14ac:dyDescent="0.45">
      <c r="A2019" s="1">
        <v>42922</v>
      </c>
      <c r="B2019">
        <v>109.260002</v>
      </c>
      <c r="C2019">
        <v>110.540001</v>
      </c>
      <c r="D2019">
        <v>108.970001</v>
      </c>
      <c r="E2019">
        <v>110.370003</v>
      </c>
      <c r="F2019">
        <v>103.359314</v>
      </c>
      <c r="G2019">
        <v>3441900</v>
      </c>
    </row>
    <row r="2020" spans="1:7" x14ac:dyDescent="0.45">
      <c r="A2020" s="1">
        <v>42923</v>
      </c>
      <c r="B2020">
        <v>110.30999799999999</v>
      </c>
      <c r="C2020">
        <v>111.230003</v>
      </c>
      <c r="D2020">
        <v>110.220001</v>
      </c>
      <c r="E2020">
        <v>110.82</v>
      </c>
      <c r="F2020">
        <v>103.780731</v>
      </c>
      <c r="G2020">
        <v>1381600</v>
      </c>
    </row>
    <row r="2021" spans="1:7" x14ac:dyDescent="0.45">
      <c r="A2021" s="1">
        <v>42926</v>
      </c>
      <c r="B2021">
        <v>112.089996</v>
      </c>
      <c r="C2021">
        <v>112.620003</v>
      </c>
      <c r="D2021">
        <v>111.620003</v>
      </c>
      <c r="E2021">
        <v>111.760002</v>
      </c>
      <c r="F2021">
        <v>104.661018</v>
      </c>
      <c r="G2021">
        <v>1138500</v>
      </c>
    </row>
    <row r="2022" spans="1:7" x14ac:dyDescent="0.45">
      <c r="A2022" s="1">
        <v>42927</v>
      </c>
      <c r="B2022">
        <v>110.160004</v>
      </c>
      <c r="C2022">
        <v>111.400002</v>
      </c>
      <c r="D2022">
        <v>109.75</v>
      </c>
      <c r="E2022">
        <v>111.07</v>
      </c>
      <c r="F2022">
        <v>104.014847</v>
      </c>
      <c r="G2022">
        <v>1892100</v>
      </c>
    </row>
    <row r="2023" spans="1:7" x14ac:dyDescent="0.45">
      <c r="A2023" s="1">
        <v>42928</v>
      </c>
      <c r="B2023">
        <v>112.019997</v>
      </c>
      <c r="C2023">
        <v>113.050003</v>
      </c>
      <c r="D2023">
        <v>112</v>
      </c>
      <c r="E2023">
        <v>112.510002</v>
      </c>
      <c r="F2023">
        <v>105.36338000000001</v>
      </c>
      <c r="G2023">
        <v>919200</v>
      </c>
    </row>
    <row r="2024" spans="1:7" x14ac:dyDescent="0.45">
      <c r="A2024" s="1">
        <v>42929</v>
      </c>
      <c r="B2024">
        <v>112.970001</v>
      </c>
      <c r="C2024">
        <v>113.16999800000001</v>
      </c>
      <c r="D2024">
        <v>112.720001</v>
      </c>
      <c r="E2024">
        <v>113.050003</v>
      </c>
      <c r="F2024">
        <v>105.86908699999999</v>
      </c>
      <c r="G2024">
        <v>631900</v>
      </c>
    </row>
    <row r="2025" spans="1:7" x14ac:dyDescent="0.45">
      <c r="A2025" s="1">
        <v>42930</v>
      </c>
      <c r="B2025">
        <v>113.94000200000001</v>
      </c>
      <c r="C2025">
        <v>114.459999</v>
      </c>
      <c r="D2025">
        <v>113.5</v>
      </c>
      <c r="E2025">
        <v>114.290001</v>
      </c>
      <c r="F2025">
        <v>107.03031900000001</v>
      </c>
      <c r="G2025">
        <v>1115600</v>
      </c>
    </row>
    <row r="2026" spans="1:7" x14ac:dyDescent="0.45">
      <c r="A2026" s="1">
        <v>42933</v>
      </c>
      <c r="B2026">
        <v>114.260002</v>
      </c>
      <c r="C2026">
        <v>115.029999</v>
      </c>
      <c r="D2026">
        <v>114.089996</v>
      </c>
      <c r="E2026">
        <v>114.19000200000001</v>
      </c>
      <c r="F2026">
        <v>106.936668</v>
      </c>
      <c r="G2026">
        <v>2205500</v>
      </c>
    </row>
    <row r="2027" spans="1:7" x14ac:dyDescent="0.45">
      <c r="A2027" s="1">
        <v>42934</v>
      </c>
      <c r="B2027">
        <v>114.449997</v>
      </c>
      <c r="C2027">
        <v>114.83000199999999</v>
      </c>
      <c r="D2027">
        <v>114.110001</v>
      </c>
      <c r="E2027">
        <v>114.489998</v>
      </c>
      <c r="F2027">
        <v>107.217606</v>
      </c>
      <c r="G2027">
        <v>911400</v>
      </c>
    </row>
    <row r="2028" spans="1:7" x14ac:dyDescent="0.45">
      <c r="A2028" s="1">
        <v>42935</v>
      </c>
      <c r="B2028">
        <v>114.239998</v>
      </c>
      <c r="C2028">
        <v>114.80999799999999</v>
      </c>
      <c r="D2028">
        <v>113.849998</v>
      </c>
      <c r="E2028">
        <v>114.80999799999999</v>
      </c>
      <c r="F2028">
        <v>107.517281</v>
      </c>
      <c r="G2028">
        <v>780600</v>
      </c>
    </row>
    <row r="2029" spans="1:7" x14ac:dyDescent="0.45">
      <c r="A2029" s="1">
        <v>42936</v>
      </c>
      <c r="B2029">
        <v>115.889999</v>
      </c>
      <c r="C2029">
        <v>116.58000199999999</v>
      </c>
      <c r="D2029">
        <v>115.150002</v>
      </c>
      <c r="E2029">
        <v>115.510002</v>
      </c>
      <c r="F2029">
        <v>108.17282899999999</v>
      </c>
      <c r="G2029">
        <v>1981200</v>
      </c>
    </row>
    <row r="2030" spans="1:7" x14ac:dyDescent="0.45">
      <c r="A2030" s="1">
        <v>42937</v>
      </c>
      <c r="B2030">
        <v>114.959999</v>
      </c>
      <c r="C2030">
        <v>115.379997</v>
      </c>
      <c r="D2030">
        <v>114.43</v>
      </c>
      <c r="E2030">
        <v>114.739998</v>
      </c>
      <c r="F2030">
        <v>107.451729</v>
      </c>
      <c r="G2030">
        <v>1405600</v>
      </c>
    </row>
    <row r="2031" spans="1:7" x14ac:dyDescent="0.45">
      <c r="A2031" s="1">
        <v>42940</v>
      </c>
      <c r="B2031">
        <v>114.029999</v>
      </c>
      <c r="C2031">
        <v>114.19000200000001</v>
      </c>
      <c r="D2031">
        <v>113.58000199999999</v>
      </c>
      <c r="E2031">
        <v>113.769997</v>
      </c>
      <c r="F2031">
        <v>106.54335</v>
      </c>
      <c r="G2031">
        <v>999400</v>
      </c>
    </row>
    <row r="2032" spans="1:7" x14ac:dyDescent="0.45">
      <c r="A2032" s="1">
        <v>42941</v>
      </c>
      <c r="B2032">
        <v>114.720001</v>
      </c>
      <c r="C2032">
        <v>114.800003</v>
      </c>
      <c r="D2032">
        <v>113.57</v>
      </c>
      <c r="E2032">
        <v>113.959999</v>
      </c>
      <c r="F2032">
        <v>106.72127500000001</v>
      </c>
      <c r="G2032">
        <v>1022900</v>
      </c>
    </row>
    <row r="2033" spans="1:7" x14ac:dyDescent="0.45">
      <c r="A2033" s="1">
        <v>42942</v>
      </c>
      <c r="B2033">
        <v>115.30999799999999</v>
      </c>
      <c r="C2033">
        <v>116.239998</v>
      </c>
      <c r="D2033">
        <v>115.120003</v>
      </c>
      <c r="E2033">
        <v>115.709999</v>
      </c>
      <c r="F2033">
        <v>108.36011499999999</v>
      </c>
      <c r="G2033">
        <v>2802000</v>
      </c>
    </row>
    <row r="2034" spans="1:7" x14ac:dyDescent="0.45">
      <c r="A2034" s="1">
        <v>42943</v>
      </c>
      <c r="B2034">
        <v>122.139999</v>
      </c>
      <c r="C2034">
        <v>124.010002</v>
      </c>
      <c r="D2034">
        <v>121.720001</v>
      </c>
      <c r="E2034">
        <v>122.839996</v>
      </c>
      <c r="F2034">
        <v>115.03722399999999</v>
      </c>
      <c r="G2034">
        <v>7421100</v>
      </c>
    </row>
    <row r="2035" spans="1:7" x14ac:dyDescent="0.45">
      <c r="A2035" s="1">
        <v>42944</v>
      </c>
      <c r="B2035">
        <v>120.91999800000001</v>
      </c>
      <c r="C2035">
        <v>121.989998</v>
      </c>
      <c r="D2035">
        <v>120.610001</v>
      </c>
      <c r="E2035">
        <v>121.18</v>
      </c>
      <c r="F2035">
        <v>113.482658</v>
      </c>
      <c r="G2035">
        <v>2116000</v>
      </c>
    </row>
    <row r="2036" spans="1:7" x14ac:dyDescent="0.45">
      <c r="A2036" s="1">
        <v>42947</v>
      </c>
      <c r="B2036">
        <v>121.589996</v>
      </c>
      <c r="C2036">
        <v>121.730003</v>
      </c>
      <c r="D2036">
        <v>119.93</v>
      </c>
      <c r="E2036">
        <v>120.660004</v>
      </c>
      <c r="F2036">
        <v>112.995705</v>
      </c>
      <c r="G2036">
        <v>1105600</v>
      </c>
    </row>
    <row r="2037" spans="1:7" x14ac:dyDescent="0.45">
      <c r="A2037" s="1">
        <v>42948</v>
      </c>
      <c r="B2037">
        <v>120.010002</v>
      </c>
      <c r="C2037">
        <v>120.339996</v>
      </c>
      <c r="D2037">
        <v>119.279999</v>
      </c>
      <c r="E2037">
        <v>119.82</v>
      </c>
      <c r="F2037">
        <v>112.209045</v>
      </c>
      <c r="G2037">
        <v>1349100</v>
      </c>
    </row>
    <row r="2038" spans="1:7" x14ac:dyDescent="0.45">
      <c r="A2038" s="1">
        <v>42949</v>
      </c>
      <c r="B2038">
        <v>119.55999799999999</v>
      </c>
      <c r="C2038">
        <v>119.69000200000001</v>
      </c>
      <c r="D2038">
        <v>118.41999800000001</v>
      </c>
      <c r="E2038">
        <v>118.760002</v>
      </c>
      <c r="F2038">
        <v>111.216385</v>
      </c>
      <c r="G2038">
        <v>2525800</v>
      </c>
    </row>
    <row r="2039" spans="1:7" x14ac:dyDescent="0.45">
      <c r="A2039" s="1">
        <v>42950</v>
      </c>
      <c r="B2039">
        <v>119.849998</v>
      </c>
      <c r="C2039">
        <v>120.470001</v>
      </c>
      <c r="D2039">
        <v>118.709999</v>
      </c>
      <c r="E2039">
        <v>119.790001</v>
      </c>
      <c r="F2039">
        <v>112.180954</v>
      </c>
      <c r="G2039">
        <v>1084700</v>
      </c>
    </row>
    <row r="2040" spans="1:7" x14ac:dyDescent="0.45">
      <c r="A2040" s="1">
        <v>42951</v>
      </c>
      <c r="B2040">
        <v>120.019997</v>
      </c>
      <c r="C2040">
        <v>120.30999799999999</v>
      </c>
      <c r="D2040">
        <v>119.32</v>
      </c>
      <c r="E2040">
        <v>120.029999</v>
      </c>
      <c r="F2040">
        <v>112.405708</v>
      </c>
      <c r="G2040">
        <v>886700</v>
      </c>
    </row>
    <row r="2041" spans="1:7" x14ac:dyDescent="0.45">
      <c r="A2041" s="1">
        <v>42954</v>
      </c>
      <c r="B2041">
        <v>119.139999</v>
      </c>
      <c r="C2041">
        <v>120.010002</v>
      </c>
      <c r="D2041">
        <v>119.099998</v>
      </c>
      <c r="E2041">
        <v>119.529999</v>
      </c>
      <c r="F2041">
        <v>111.93746899999999</v>
      </c>
      <c r="G2041">
        <v>510900</v>
      </c>
    </row>
    <row r="2042" spans="1:7" x14ac:dyDescent="0.45">
      <c r="A2042" s="1">
        <v>42955</v>
      </c>
      <c r="B2042">
        <v>119.199997</v>
      </c>
      <c r="C2042">
        <v>119.660004</v>
      </c>
      <c r="D2042">
        <v>118.370003</v>
      </c>
      <c r="E2042">
        <v>118.82</v>
      </c>
      <c r="F2042">
        <v>111.272575</v>
      </c>
      <c r="G2042">
        <v>978700</v>
      </c>
    </row>
    <row r="2043" spans="1:7" x14ac:dyDescent="0.45">
      <c r="A2043" s="1">
        <v>42956</v>
      </c>
      <c r="B2043">
        <v>117.470001</v>
      </c>
      <c r="C2043">
        <v>118.099998</v>
      </c>
      <c r="D2043">
        <v>117.339996</v>
      </c>
      <c r="E2043">
        <v>117.639999</v>
      </c>
      <c r="F2043">
        <v>110.167519</v>
      </c>
      <c r="G2043">
        <v>2470600</v>
      </c>
    </row>
    <row r="2044" spans="1:7" x14ac:dyDescent="0.45">
      <c r="A2044" s="1">
        <v>42957</v>
      </c>
      <c r="B2044">
        <v>116.290001</v>
      </c>
      <c r="C2044">
        <v>116.879997</v>
      </c>
      <c r="D2044">
        <v>115.980003</v>
      </c>
      <c r="E2044">
        <v>116.05999799999999</v>
      </c>
      <c r="F2044">
        <v>108.687889</v>
      </c>
      <c r="G2044">
        <v>1367500</v>
      </c>
    </row>
    <row r="2045" spans="1:7" x14ac:dyDescent="0.45">
      <c r="A2045" s="1">
        <v>42958</v>
      </c>
      <c r="B2045">
        <v>115.93</v>
      </c>
      <c r="C2045">
        <v>116.69000200000001</v>
      </c>
      <c r="D2045">
        <v>115.389999</v>
      </c>
      <c r="E2045">
        <v>115.82</v>
      </c>
      <c r="F2045">
        <v>108.463127</v>
      </c>
      <c r="G2045">
        <v>1332200</v>
      </c>
    </row>
    <row r="2046" spans="1:7" x14ac:dyDescent="0.45">
      <c r="A2046" s="1">
        <v>42961</v>
      </c>
      <c r="B2046">
        <v>117</v>
      </c>
      <c r="C2046">
        <v>117.220001</v>
      </c>
      <c r="D2046">
        <v>116.379997</v>
      </c>
      <c r="E2046">
        <v>116.410004</v>
      </c>
      <c r="F2046">
        <v>109.015663</v>
      </c>
      <c r="G2046">
        <v>707300</v>
      </c>
    </row>
    <row r="2047" spans="1:7" x14ac:dyDescent="0.45">
      <c r="A2047" s="1">
        <v>42962</v>
      </c>
      <c r="B2047">
        <v>116.650002</v>
      </c>
      <c r="C2047">
        <v>117.050003</v>
      </c>
      <c r="D2047">
        <v>116.379997</v>
      </c>
      <c r="E2047">
        <v>117.029999</v>
      </c>
      <c r="F2047">
        <v>109.59627500000001</v>
      </c>
      <c r="G2047">
        <v>923900</v>
      </c>
    </row>
    <row r="2048" spans="1:7" x14ac:dyDescent="0.45">
      <c r="A2048" s="1">
        <v>42963</v>
      </c>
      <c r="B2048">
        <v>117.650002</v>
      </c>
      <c r="C2048">
        <v>118.05999799999999</v>
      </c>
      <c r="D2048">
        <v>117.279999</v>
      </c>
      <c r="E2048">
        <v>117.75</v>
      </c>
      <c r="F2048">
        <v>110.270538</v>
      </c>
      <c r="G2048">
        <v>1419200</v>
      </c>
    </row>
    <row r="2049" spans="1:7" x14ac:dyDescent="0.45">
      <c r="A2049" s="1">
        <v>42964</v>
      </c>
      <c r="B2049">
        <v>118.269997</v>
      </c>
      <c r="C2049">
        <v>118.470001</v>
      </c>
      <c r="D2049">
        <v>116.849998</v>
      </c>
      <c r="E2049">
        <v>116.870003</v>
      </c>
      <c r="F2049">
        <v>109.446442</v>
      </c>
      <c r="G2049">
        <v>873800</v>
      </c>
    </row>
    <row r="2050" spans="1:7" x14ac:dyDescent="0.45">
      <c r="A2050" s="1">
        <v>42965</v>
      </c>
      <c r="B2050">
        <v>116.339996</v>
      </c>
      <c r="C2050">
        <v>116.699997</v>
      </c>
      <c r="D2050">
        <v>115.94000200000001</v>
      </c>
      <c r="E2050">
        <v>116.300003</v>
      </c>
      <c r="F2050">
        <v>108.912643</v>
      </c>
      <c r="G2050">
        <v>1449400</v>
      </c>
    </row>
    <row r="2051" spans="1:7" x14ac:dyDescent="0.45">
      <c r="A2051" s="1">
        <v>42968</v>
      </c>
      <c r="B2051">
        <v>117.260002</v>
      </c>
      <c r="C2051">
        <v>117.389999</v>
      </c>
      <c r="D2051">
        <v>116.470001</v>
      </c>
      <c r="E2051">
        <v>116.760002</v>
      </c>
      <c r="F2051">
        <v>109.343422</v>
      </c>
      <c r="G2051">
        <v>992900</v>
      </c>
    </row>
    <row r="2052" spans="1:7" x14ac:dyDescent="0.45">
      <c r="A2052" s="1">
        <v>42969</v>
      </c>
      <c r="B2052">
        <v>116.550003</v>
      </c>
      <c r="C2052">
        <v>117.269997</v>
      </c>
      <c r="D2052">
        <v>116.379997</v>
      </c>
      <c r="E2052">
        <v>116.889999</v>
      </c>
      <c r="F2052">
        <v>109.465164</v>
      </c>
      <c r="G2052">
        <v>1370500</v>
      </c>
    </row>
    <row r="2053" spans="1:7" x14ac:dyDescent="0.45">
      <c r="A2053" s="1">
        <v>42970</v>
      </c>
      <c r="B2053">
        <v>116.089996</v>
      </c>
      <c r="C2053">
        <v>116.519997</v>
      </c>
      <c r="D2053">
        <v>115.889999</v>
      </c>
      <c r="E2053">
        <v>116.089996</v>
      </c>
      <c r="F2053">
        <v>108.71597300000001</v>
      </c>
      <c r="G2053">
        <v>1162800</v>
      </c>
    </row>
    <row r="2054" spans="1:7" x14ac:dyDescent="0.45">
      <c r="A2054" s="1">
        <v>42971</v>
      </c>
      <c r="B2054">
        <v>116.540001</v>
      </c>
      <c r="C2054">
        <v>116.639999</v>
      </c>
      <c r="D2054">
        <v>115.779999</v>
      </c>
      <c r="E2054">
        <v>115.870003</v>
      </c>
      <c r="F2054">
        <v>108.509956</v>
      </c>
      <c r="G2054">
        <v>1153300</v>
      </c>
    </row>
    <row r="2055" spans="1:7" x14ac:dyDescent="0.45">
      <c r="A2055" s="1">
        <v>42972</v>
      </c>
      <c r="B2055">
        <v>116.510002</v>
      </c>
      <c r="C2055">
        <v>116.889999</v>
      </c>
      <c r="D2055">
        <v>116.07</v>
      </c>
      <c r="E2055">
        <v>116.489998</v>
      </c>
      <c r="F2055">
        <v>109.090569</v>
      </c>
      <c r="G2055">
        <v>756900</v>
      </c>
    </row>
    <row r="2056" spans="1:7" x14ac:dyDescent="0.45">
      <c r="A2056" s="1">
        <v>42975</v>
      </c>
      <c r="B2056">
        <v>116.839996</v>
      </c>
      <c r="C2056">
        <v>116.839996</v>
      </c>
      <c r="D2056">
        <v>115.610001</v>
      </c>
      <c r="E2056">
        <v>115.80999799999999</v>
      </c>
      <c r="F2056">
        <v>108.453766</v>
      </c>
      <c r="G2056">
        <v>753200</v>
      </c>
    </row>
    <row r="2057" spans="1:7" x14ac:dyDescent="0.45">
      <c r="A2057" s="1">
        <v>42976</v>
      </c>
      <c r="B2057">
        <v>116.459999</v>
      </c>
      <c r="C2057">
        <v>116.980003</v>
      </c>
      <c r="D2057">
        <v>116.33000199999999</v>
      </c>
      <c r="E2057">
        <v>116.849998</v>
      </c>
      <c r="F2057">
        <v>109.42770400000001</v>
      </c>
      <c r="G2057">
        <v>1023100</v>
      </c>
    </row>
    <row r="2058" spans="1:7" x14ac:dyDescent="0.45">
      <c r="A2058" s="1">
        <v>42977</v>
      </c>
      <c r="B2058">
        <v>117.68</v>
      </c>
      <c r="C2058">
        <v>118.239998</v>
      </c>
      <c r="D2058">
        <v>117.5</v>
      </c>
      <c r="E2058">
        <v>117.760002</v>
      </c>
      <c r="F2058">
        <v>110.27990699999999</v>
      </c>
      <c r="G2058">
        <v>1044800</v>
      </c>
    </row>
    <row r="2059" spans="1:7" x14ac:dyDescent="0.45">
      <c r="A2059" s="1">
        <v>42978</v>
      </c>
      <c r="B2059">
        <v>118.83000199999999</v>
      </c>
      <c r="C2059">
        <v>118.91999800000001</v>
      </c>
      <c r="D2059">
        <v>118.110001</v>
      </c>
      <c r="E2059">
        <v>118.370003</v>
      </c>
      <c r="F2059">
        <v>110.851151</v>
      </c>
      <c r="G2059">
        <v>897500</v>
      </c>
    </row>
    <row r="2060" spans="1:7" x14ac:dyDescent="0.45">
      <c r="A2060" s="1">
        <v>42979</v>
      </c>
      <c r="B2060">
        <v>119.230003</v>
      </c>
      <c r="C2060">
        <v>119.349998</v>
      </c>
      <c r="D2060">
        <v>118.480003</v>
      </c>
      <c r="E2060">
        <v>118.629997</v>
      </c>
      <c r="F2060">
        <v>111.094635</v>
      </c>
      <c r="G2060">
        <v>862100</v>
      </c>
    </row>
    <row r="2061" spans="1:7" x14ac:dyDescent="0.45">
      <c r="A2061" s="1">
        <v>42983</v>
      </c>
      <c r="B2061">
        <v>118.980003</v>
      </c>
      <c r="C2061">
        <v>119.30999799999999</v>
      </c>
      <c r="D2061">
        <v>118.25</v>
      </c>
      <c r="E2061">
        <v>118.839996</v>
      </c>
      <c r="F2061">
        <v>111.291298</v>
      </c>
      <c r="G2061">
        <v>944300</v>
      </c>
    </row>
    <row r="2062" spans="1:7" x14ac:dyDescent="0.45">
      <c r="A2062" s="1">
        <v>42984</v>
      </c>
      <c r="B2062">
        <v>119.540001</v>
      </c>
      <c r="C2062">
        <v>119.610001</v>
      </c>
      <c r="D2062">
        <v>119.07</v>
      </c>
      <c r="E2062">
        <v>119.449997</v>
      </c>
      <c r="F2062">
        <v>111.862549</v>
      </c>
      <c r="G2062">
        <v>1047400</v>
      </c>
    </row>
    <row r="2063" spans="1:7" x14ac:dyDescent="0.45">
      <c r="A2063" s="1">
        <v>42985</v>
      </c>
      <c r="B2063">
        <v>121.099998</v>
      </c>
      <c r="C2063">
        <v>121.239998</v>
      </c>
      <c r="D2063">
        <v>120.290001</v>
      </c>
      <c r="E2063">
        <v>121.209999</v>
      </c>
      <c r="F2063">
        <v>113.51076500000001</v>
      </c>
      <c r="G2063">
        <v>4907800</v>
      </c>
    </row>
    <row r="2064" spans="1:7" x14ac:dyDescent="0.45">
      <c r="A2064" s="1">
        <v>42986</v>
      </c>
      <c r="B2064">
        <v>122.089996</v>
      </c>
      <c r="C2064">
        <v>122.33000199999999</v>
      </c>
      <c r="D2064">
        <v>121.260002</v>
      </c>
      <c r="E2064">
        <v>121.489998</v>
      </c>
      <c r="F2064">
        <v>113.772972</v>
      </c>
      <c r="G2064">
        <v>1080900</v>
      </c>
    </row>
    <row r="2065" spans="1:7" x14ac:dyDescent="0.45">
      <c r="A2065" s="1">
        <v>42989</v>
      </c>
      <c r="B2065">
        <v>121.110001</v>
      </c>
      <c r="C2065">
        <v>121.800003</v>
      </c>
      <c r="D2065">
        <v>120.980003</v>
      </c>
      <c r="E2065">
        <v>121.629997</v>
      </c>
      <c r="F2065">
        <v>113.904083</v>
      </c>
      <c r="G2065">
        <v>1383200</v>
      </c>
    </row>
    <row r="2066" spans="1:7" x14ac:dyDescent="0.45">
      <c r="A2066" s="1">
        <v>42990</v>
      </c>
      <c r="B2066">
        <v>121.519997</v>
      </c>
      <c r="C2066">
        <v>121.889999</v>
      </c>
      <c r="D2066">
        <v>121.370003</v>
      </c>
      <c r="E2066">
        <v>121.699997</v>
      </c>
      <c r="F2066">
        <v>113.969627</v>
      </c>
      <c r="G2066">
        <v>832100</v>
      </c>
    </row>
    <row r="2067" spans="1:7" x14ac:dyDescent="0.45">
      <c r="A2067" s="1">
        <v>42991</v>
      </c>
      <c r="B2067">
        <v>122.029999</v>
      </c>
      <c r="C2067">
        <v>122.120003</v>
      </c>
      <c r="D2067">
        <v>121.32</v>
      </c>
      <c r="E2067">
        <v>121.400002</v>
      </c>
      <c r="F2067">
        <v>113.688698</v>
      </c>
      <c r="G2067">
        <v>739100</v>
      </c>
    </row>
    <row r="2068" spans="1:7" x14ac:dyDescent="0.45">
      <c r="A2068" s="1">
        <v>42992</v>
      </c>
      <c r="B2068">
        <v>121.400002</v>
      </c>
      <c r="C2068">
        <v>122.150002</v>
      </c>
      <c r="D2068">
        <v>121.33000199999999</v>
      </c>
      <c r="E2068">
        <v>121.739998</v>
      </c>
      <c r="F2068">
        <v>114.00709500000001</v>
      </c>
      <c r="G2068">
        <v>1135300</v>
      </c>
    </row>
    <row r="2069" spans="1:7" x14ac:dyDescent="0.45">
      <c r="A2069" s="1">
        <v>42993</v>
      </c>
      <c r="B2069">
        <v>121.790001</v>
      </c>
      <c r="C2069">
        <v>121.800003</v>
      </c>
      <c r="D2069">
        <v>120.599998</v>
      </c>
      <c r="E2069">
        <v>120.860001</v>
      </c>
      <c r="F2069">
        <v>113.182991</v>
      </c>
      <c r="G2069">
        <v>1006100</v>
      </c>
    </row>
    <row r="2070" spans="1:7" x14ac:dyDescent="0.45">
      <c r="A2070" s="1">
        <v>42996</v>
      </c>
      <c r="B2070">
        <v>120.730003</v>
      </c>
      <c r="C2070">
        <v>120.730003</v>
      </c>
      <c r="D2070">
        <v>119.43</v>
      </c>
      <c r="E2070">
        <v>120.16999800000001</v>
      </c>
      <c r="F2070">
        <v>112.53681899999999</v>
      </c>
      <c r="G2070">
        <v>1806800</v>
      </c>
    </row>
    <row r="2071" spans="1:7" x14ac:dyDescent="0.45">
      <c r="A2071" s="1">
        <v>42997</v>
      </c>
      <c r="B2071">
        <v>120.040001</v>
      </c>
      <c r="C2071">
        <v>120.58000199999999</v>
      </c>
      <c r="D2071">
        <v>119.80999799999999</v>
      </c>
      <c r="E2071">
        <v>120.08000199999999</v>
      </c>
      <c r="F2071">
        <v>112.452545</v>
      </c>
      <c r="G2071">
        <v>1520900</v>
      </c>
    </row>
    <row r="2072" spans="1:7" x14ac:dyDescent="0.45">
      <c r="A2072" s="1">
        <v>42998</v>
      </c>
      <c r="B2072">
        <v>118.599998</v>
      </c>
      <c r="C2072">
        <v>118.69000200000001</v>
      </c>
      <c r="D2072">
        <v>116.25</v>
      </c>
      <c r="E2072">
        <v>118.099998</v>
      </c>
      <c r="F2072">
        <v>110.598305</v>
      </c>
      <c r="G2072">
        <v>1910900</v>
      </c>
    </row>
    <row r="2073" spans="1:7" x14ac:dyDescent="0.45">
      <c r="A2073" s="1">
        <v>42999</v>
      </c>
      <c r="B2073">
        <v>116.94000200000001</v>
      </c>
      <c r="C2073">
        <v>117.260002</v>
      </c>
      <c r="D2073">
        <v>116.389999</v>
      </c>
      <c r="E2073">
        <v>116.980003</v>
      </c>
      <c r="F2073">
        <v>109.549454</v>
      </c>
      <c r="G2073">
        <v>853000</v>
      </c>
    </row>
    <row r="2074" spans="1:7" x14ac:dyDescent="0.45">
      <c r="A2074" s="1">
        <v>43000</v>
      </c>
      <c r="B2074">
        <v>116.610001</v>
      </c>
      <c r="C2074">
        <v>117.029999</v>
      </c>
      <c r="D2074">
        <v>116.220001</v>
      </c>
      <c r="E2074">
        <v>116.389999</v>
      </c>
      <c r="F2074">
        <v>108.996925</v>
      </c>
      <c r="G2074">
        <v>1094500</v>
      </c>
    </row>
    <row r="2075" spans="1:7" x14ac:dyDescent="0.45">
      <c r="A2075" s="1">
        <v>43003</v>
      </c>
      <c r="B2075">
        <v>116.989998</v>
      </c>
      <c r="C2075">
        <v>117.470001</v>
      </c>
      <c r="D2075">
        <v>116.510002</v>
      </c>
      <c r="E2075">
        <v>116.839996</v>
      </c>
      <c r="F2075">
        <v>109.418335</v>
      </c>
      <c r="G2075">
        <v>1365800</v>
      </c>
    </row>
    <row r="2076" spans="1:7" x14ac:dyDescent="0.45">
      <c r="A2076" s="1">
        <v>43004</v>
      </c>
      <c r="B2076">
        <v>116.349998</v>
      </c>
      <c r="C2076">
        <v>117.620003</v>
      </c>
      <c r="D2076">
        <v>116.290001</v>
      </c>
      <c r="E2076">
        <v>117.489998</v>
      </c>
      <c r="F2076">
        <v>110.02705400000001</v>
      </c>
      <c r="G2076">
        <v>3017400</v>
      </c>
    </row>
    <row r="2077" spans="1:7" x14ac:dyDescent="0.45">
      <c r="A2077" s="1">
        <v>43005</v>
      </c>
      <c r="B2077">
        <v>116.41999800000001</v>
      </c>
      <c r="C2077">
        <v>118.5</v>
      </c>
      <c r="D2077">
        <v>116.41999800000001</v>
      </c>
      <c r="E2077">
        <v>118.5</v>
      </c>
      <c r="F2077">
        <v>110.972893</v>
      </c>
      <c r="G2077">
        <v>2739700</v>
      </c>
    </row>
    <row r="2078" spans="1:7" x14ac:dyDescent="0.45">
      <c r="A2078" s="1">
        <v>43006</v>
      </c>
      <c r="B2078">
        <v>118.5</v>
      </c>
      <c r="C2078">
        <v>119.639999</v>
      </c>
      <c r="D2078">
        <v>118.5</v>
      </c>
      <c r="E2078">
        <v>119</v>
      </c>
      <c r="F2078">
        <v>111.441132</v>
      </c>
      <c r="G2078">
        <v>2200300</v>
      </c>
    </row>
    <row r="2079" spans="1:7" x14ac:dyDescent="0.45">
      <c r="A2079" s="1">
        <v>43007</v>
      </c>
      <c r="B2079">
        <v>119.349998</v>
      </c>
      <c r="C2079">
        <v>119.69000200000001</v>
      </c>
      <c r="D2079">
        <v>119</v>
      </c>
      <c r="E2079">
        <v>119.300003</v>
      </c>
      <c r="F2079">
        <v>111.722092</v>
      </c>
      <c r="G2079">
        <v>1225000</v>
      </c>
    </row>
    <row r="2080" spans="1:7" x14ac:dyDescent="0.45">
      <c r="A2080" s="1">
        <v>43010</v>
      </c>
      <c r="B2080">
        <v>118.879997</v>
      </c>
      <c r="C2080">
        <v>119.019997</v>
      </c>
      <c r="D2080">
        <v>118.30999799999999</v>
      </c>
      <c r="E2080">
        <v>118.980003</v>
      </c>
      <c r="F2080">
        <v>111.422409</v>
      </c>
      <c r="G2080">
        <v>1462400</v>
      </c>
    </row>
    <row r="2081" spans="1:7" x14ac:dyDescent="0.45">
      <c r="A2081" s="1">
        <v>43011</v>
      </c>
      <c r="B2081">
        <v>118.94000200000001</v>
      </c>
      <c r="C2081">
        <v>120.16999800000001</v>
      </c>
      <c r="D2081">
        <v>118.94000200000001</v>
      </c>
      <c r="E2081">
        <v>120.08000199999999</v>
      </c>
      <c r="F2081">
        <v>112.452545</v>
      </c>
      <c r="G2081">
        <v>964200</v>
      </c>
    </row>
    <row r="2082" spans="1:7" x14ac:dyDescent="0.45">
      <c r="A2082" s="1">
        <v>43012</v>
      </c>
      <c r="B2082">
        <v>120.099998</v>
      </c>
      <c r="C2082">
        <v>121.19000200000001</v>
      </c>
      <c r="D2082">
        <v>120.089996</v>
      </c>
      <c r="E2082">
        <v>120.949997</v>
      </c>
      <c r="F2082">
        <v>113.267273</v>
      </c>
      <c r="G2082">
        <v>2106100</v>
      </c>
    </row>
    <row r="2083" spans="1:7" x14ac:dyDescent="0.45">
      <c r="A2083" s="1">
        <v>43013</v>
      </c>
      <c r="B2083">
        <v>121.589996</v>
      </c>
      <c r="C2083">
        <v>122.589996</v>
      </c>
      <c r="D2083">
        <v>121.550003</v>
      </c>
      <c r="E2083">
        <v>122.58000199999999</v>
      </c>
      <c r="F2083">
        <v>114.79373200000001</v>
      </c>
      <c r="G2083">
        <v>1565400</v>
      </c>
    </row>
    <row r="2084" spans="1:7" x14ac:dyDescent="0.45">
      <c r="A2084" s="1">
        <v>43014</v>
      </c>
      <c r="B2084">
        <v>121.57</v>
      </c>
      <c r="C2084">
        <v>122.07</v>
      </c>
      <c r="D2084">
        <v>120.970001</v>
      </c>
      <c r="E2084">
        <v>121.610001</v>
      </c>
      <c r="F2084">
        <v>113.88535299999999</v>
      </c>
      <c r="G2084">
        <v>749500</v>
      </c>
    </row>
    <row r="2085" spans="1:7" x14ac:dyDescent="0.45">
      <c r="A2085" s="1">
        <v>43017</v>
      </c>
      <c r="B2085">
        <v>122.75</v>
      </c>
      <c r="C2085">
        <v>123.019997</v>
      </c>
      <c r="D2085">
        <v>122.30999799999999</v>
      </c>
      <c r="E2085">
        <v>122.400002</v>
      </c>
      <c r="F2085">
        <v>114.625175</v>
      </c>
      <c r="G2085">
        <v>1244600</v>
      </c>
    </row>
    <row r="2086" spans="1:7" x14ac:dyDescent="0.45">
      <c r="A2086" s="1">
        <v>43018</v>
      </c>
      <c r="B2086">
        <v>123.160004</v>
      </c>
      <c r="C2086">
        <v>124.300003</v>
      </c>
      <c r="D2086">
        <v>123.089996</v>
      </c>
      <c r="E2086">
        <v>124.099998</v>
      </c>
      <c r="F2086">
        <v>116.217178</v>
      </c>
      <c r="G2086">
        <v>2079400</v>
      </c>
    </row>
    <row r="2087" spans="1:7" x14ac:dyDescent="0.45">
      <c r="A2087" s="1">
        <v>43019</v>
      </c>
      <c r="B2087">
        <v>123.879997</v>
      </c>
      <c r="C2087">
        <v>124.459999</v>
      </c>
      <c r="D2087">
        <v>123.790001</v>
      </c>
      <c r="E2087">
        <v>124.18</v>
      </c>
      <c r="F2087">
        <v>116.29209899999999</v>
      </c>
      <c r="G2087">
        <v>959800</v>
      </c>
    </row>
    <row r="2088" spans="1:7" x14ac:dyDescent="0.45">
      <c r="A2088" s="1">
        <v>43020</v>
      </c>
      <c r="B2088">
        <v>123.389999</v>
      </c>
      <c r="C2088">
        <v>124.709999</v>
      </c>
      <c r="D2088">
        <v>123.32</v>
      </c>
      <c r="E2088">
        <v>124.620003</v>
      </c>
      <c r="F2088">
        <v>116.704155</v>
      </c>
      <c r="G2088">
        <v>1394400</v>
      </c>
    </row>
    <row r="2089" spans="1:7" x14ac:dyDescent="0.45">
      <c r="A2089" s="1">
        <v>43021</v>
      </c>
      <c r="B2089">
        <v>124.769997</v>
      </c>
      <c r="C2089">
        <v>126</v>
      </c>
      <c r="D2089">
        <v>124.660004</v>
      </c>
      <c r="E2089">
        <v>125.360001</v>
      </c>
      <c r="F2089">
        <v>117.397156</v>
      </c>
      <c r="G2089">
        <v>1668700</v>
      </c>
    </row>
    <row r="2090" spans="1:7" x14ac:dyDescent="0.45">
      <c r="A2090" s="1">
        <v>43024</v>
      </c>
      <c r="B2090">
        <v>125.389999</v>
      </c>
      <c r="C2090">
        <v>125.93</v>
      </c>
      <c r="D2090">
        <v>125.089996</v>
      </c>
      <c r="E2090">
        <v>125.720001</v>
      </c>
      <c r="F2090">
        <v>117.734283</v>
      </c>
      <c r="G2090">
        <v>1260300</v>
      </c>
    </row>
    <row r="2091" spans="1:7" x14ac:dyDescent="0.45">
      <c r="A2091" s="1">
        <v>43025</v>
      </c>
      <c r="B2091">
        <v>125.19000200000001</v>
      </c>
      <c r="C2091">
        <v>126.129997</v>
      </c>
      <c r="D2091">
        <v>125.08000199999999</v>
      </c>
      <c r="E2091">
        <v>126.019997</v>
      </c>
      <c r="F2091">
        <v>118.01522799999999</v>
      </c>
      <c r="G2091">
        <v>864900</v>
      </c>
    </row>
    <row r="2092" spans="1:7" x14ac:dyDescent="0.45">
      <c r="A2092" s="1">
        <v>43026</v>
      </c>
      <c r="B2092">
        <v>125.93</v>
      </c>
      <c r="C2092">
        <v>126.5</v>
      </c>
      <c r="D2092">
        <v>125.400002</v>
      </c>
      <c r="E2092">
        <v>125.800003</v>
      </c>
      <c r="F2092">
        <v>117.80920399999999</v>
      </c>
      <c r="G2092">
        <v>1915400</v>
      </c>
    </row>
    <row r="2093" spans="1:7" x14ac:dyDescent="0.45">
      <c r="A2093" s="1">
        <v>43027</v>
      </c>
      <c r="B2093">
        <v>125.269997</v>
      </c>
      <c r="C2093">
        <v>125.980003</v>
      </c>
      <c r="D2093">
        <v>125.099998</v>
      </c>
      <c r="E2093">
        <v>125.94000200000001</v>
      </c>
      <c r="F2093">
        <v>117.940315</v>
      </c>
      <c r="G2093">
        <v>769900</v>
      </c>
    </row>
    <row r="2094" spans="1:7" x14ac:dyDescent="0.45">
      <c r="A2094" s="1">
        <v>43028</v>
      </c>
      <c r="B2094">
        <v>125.849998</v>
      </c>
      <c r="C2094">
        <v>126.110001</v>
      </c>
      <c r="D2094">
        <v>125.279999</v>
      </c>
      <c r="E2094">
        <v>125.489998</v>
      </c>
      <c r="F2094">
        <v>117.51889</v>
      </c>
      <c r="G2094">
        <v>913700</v>
      </c>
    </row>
    <row r="2095" spans="1:7" x14ac:dyDescent="0.45">
      <c r="A2095" s="1">
        <v>43031</v>
      </c>
      <c r="B2095">
        <v>124.889999</v>
      </c>
      <c r="C2095">
        <v>125.68</v>
      </c>
      <c r="D2095">
        <v>124.889999</v>
      </c>
      <c r="E2095">
        <v>125.099998</v>
      </c>
      <c r="F2095">
        <v>117.15366400000001</v>
      </c>
      <c r="G2095">
        <v>1969800</v>
      </c>
    </row>
    <row r="2096" spans="1:7" x14ac:dyDescent="0.45">
      <c r="A2096" s="1">
        <v>43032</v>
      </c>
      <c r="B2096">
        <v>123.91999800000001</v>
      </c>
      <c r="C2096">
        <v>124.480003</v>
      </c>
      <c r="D2096">
        <v>123.449997</v>
      </c>
      <c r="E2096">
        <v>124</v>
      </c>
      <c r="F2096">
        <v>116.123535</v>
      </c>
      <c r="G2096">
        <v>1855300</v>
      </c>
    </row>
    <row r="2097" spans="1:7" x14ac:dyDescent="0.45">
      <c r="A2097" s="1">
        <v>43033</v>
      </c>
      <c r="B2097">
        <v>122.989998</v>
      </c>
      <c r="C2097">
        <v>123.099998</v>
      </c>
      <c r="D2097">
        <v>120.660004</v>
      </c>
      <c r="E2097">
        <v>121.55999799999999</v>
      </c>
      <c r="F2097">
        <v>113.838516</v>
      </c>
      <c r="G2097">
        <v>3260300</v>
      </c>
    </row>
    <row r="2098" spans="1:7" x14ac:dyDescent="0.45">
      <c r="A2098" s="1">
        <v>43034</v>
      </c>
      <c r="B2098">
        <v>119.089996</v>
      </c>
      <c r="C2098">
        <v>120.449997</v>
      </c>
      <c r="D2098">
        <v>118.709999</v>
      </c>
      <c r="E2098">
        <v>120.410004</v>
      </c>
      <c r="F2098">
        <v>112.761574</v>
      </c>
      <c r="G2098">
        <v>5686100</v>
      </c>
    </row>
    <row r="2099" spans="1:7" x14ac:dyDescent="0.45">
      <c r="A2099" s="1">
        <v>43035</v>
      </c>
      <c r="B2099">
        <v>120.41999800000001</v>
      </c>
      <c r="C2099">
        <v>120.5</v>
      </c>
      <c r="D2099">
        <v>118.82</v>
      </c>
      <c r="E2099">
        <v>119.69000200000001</v>
      </c>
      <c r="F2099">
        <v>112.087311</v>
      </c>
      <c r="G2099">
        <v>2383300</v>
      </c>
    </row>
    <row r="2100" spans="1:7" x14ac:dyDescent="0.45">
      <c r="A2100" s="1">
        <v>43038</v>
      </c>
      <c r="B2100">
        <v>120.040001</v>
      </c>
      <c r="C2100">
        <v>121.150002</v>
      </c>
      <c r="D2100">
        <v>119.860001</v>
      </c>
      <c r="E2100">
        <v>120.80999799999999</v>
      </c>
      <c r="F2100">
        <v>113.136162</v>
      </c>
      <c r="G2100">
        <v>1343500</v>
      </c>
    </row>
    <row r="2101" spans="1:7" x14ac:dyDescent="0.45">
      <c r="A2101" s="1">
        <v>43039</v>
      </c>
      <c r="B2101">
        <v>122.110001</v>
      </c>
      <c r="C2101">
        <v>122.900002</v>
      </c>
      <c r="D2101">
        <v>121.94000200000001</v>
      </c>
      <c r="E2101">
        <v>122.779999</v>
      </c>
      <c r="F2101">
        <v>114.981026</v>
      </c>
      <c r="G2101">
        <v>1603400</v>
      </c>
    </row>
    <row r="2102" spans="1:7" x14ac:dyDescent="0.45">
      <c r="A2102" s="1">
        <v>43040</v>
      </c>
      <c r="B2102">
        <v>122.44000200000001</v>
      </c>
      <c r="C2102">
        <v>123.239998</v>
      </c>
      <c r="D2102">
        <v>122</v>
      </c>
      <c r="E2102">
        <v>122.139999</v>
      </c>
      <c r="F2102">
        <v>114.381676</v>
      </c>
      <c r="G2102">
        <v>1347600</v>
      </c>
    </row>
    <row r="2103" spans="1:7" x14ac:dyDescent="0.45">
      <c r="A2103" s="1">
        <v>43041</v>
      </c>
      <c r="B2103">
        <v>121.900002</v>
      </c>
      <c r="C2103">
        <v>121.949997</v>
      </c>
      <c r="D2103">
        <v>120.620003</v>
      </c>
      <c r="E2103">
        <v>120.93</v>
      </c>
      <c r="F2103">
        <v>113.248543</v>
      </c>
      <c r="G2103">
        <v>925400</v>
      </c>
    </row>
    <row r="2104" spans="1:7" x14ac:dyDescent="0.45">
      <c r="A2104" s="1">
        <v>43042</v>
      </c>
      <c r="B2104">
        <v>122</v>
      </c>
      <c r="C2104">
        <v>122.370003</v>
      </c>
      <c r="D2104">
        <v>121.55999799999999</v>
      </c>
      <c r="E2104">
        <v>121.730003</v>
      </c>
      <c r="F2104">
        <v>113.99773399999999</v>
      </c>
      <c r="G2104">
        <v>892000</v>
      </c>
    </row>
    <row r="2105" spans="1:7" x14ac:dyDescent="0.45">
      <c r="A2105" s="1">
        <v>43045</v>
      </c>
      <c r="B2105">
        <v>121.660004</v>
      </c>
      <c r="C2105">
        <v>122.410004</v>
      </c>
      <c r="D2105">
        <v>120.510002</v>
      </c>
      <c r="E2105">
        <v>120.58000199999999</v>
      </c>
      <c r="F2105">
        <v>112.920776</v>
      </c>
      <c r="G2105">
        <v>1566500</v>
      </c>
    </row>
    <row r="2106" spans="1:7" x14ac:dyDescent="0.45">
      <c r="A2106" s="1">
        <v>43046</v>
      </c>
      <c r="B2106">
        <v>118.599998</v>
      </c>
      <c r="C2106">
        <v>119.83000199999999</v>
      </c>
      <c r="D2106">
        <v>118.470001</v>
      </c>
      <c r="E2106">
        <v>118.660004</v>
      </c>
      <c r="F2106">
        <v>111.12273399999999</v>
      </c>
      <c r="G2106">
        <v>2582200</v>
      </c>
    </row>
    <row r="2107" spans="1:7" x14ac:dyDescent="0.45">
      <c r="A2107" s="1">
        <v>43047</v>
      </c>
      <c r="B2107">
        <v>117.970001</v>
      </c>
      <c r="C2107">
        <v>118.589996</v>
      </c>
      <c r="D2107">
        <v>117.910004</v>
      </c>
      <c r="E2107">
        <v>118.150002</v>
      </c>
      <c r="F2107">
        <v>110.645134</v>
      </c>
      <c r="G2107">
        <v>1811200</v>
      </c>
    </row>
    <row r="2108" spans="1:7" x14ac:dyDescent="0.45">
      <c r="A2108" s="1">
        <v>43048</v>
      </c>
      <c r="B2108">
        <v>117.720001</v>
      </c>
      <c r="C2108">
        <v>118.41999800000001</v>
      </c>
      <c r="D2108">
        <v>117.5</v>
      </c>
      <c r="E2108">
        <v>118.199997</v>
      </c>
      <c r="F2108">
        <v>110.691956</v>
      </c>
      <c r="G2108">
        <v>1262800</v>
      </c>
    </row>
    <row r="2109" spans="1:7" x14ac:dyDescent="0.45">
      <c r="A2109" s="1">
        <v>43049</v>
      </c>
      <c r="B2109">
        <v>117.239998</v>
      </c>
      <c r="C2109">
        <v>118.220001</v>
      </c>
      <c r="D2109">
        <v>116.93</v>
      </c>
      <c r="E2109">
        <v>118.160004</v>
      </c>
      <c r="F2109">
        <v>110.654495</v>
      </c>
      <c r="G2109">
        <v>1466300</v>
      </c>
    </row>
    <row r="2110" spans="1:7" x14ac:dyDescent="0.45">
      <c r="A2110" s="1">
        <v>43052</v>
      </c>
      <c r="B2110">
        <v>116.989998</v>
      </c>
      <c r="C2110">
        <v>118.349998</v>
      </c>
      <c r="D2110">
        <v>116.910004</v>
      </c>
      <c r="E2110">
        <v>117.769997</v>
      </c>
      <c r="F2110">
        <v>110.289261</v>
      </c>
      <c r="G2110">
        <v>2739500</v>
      </c>
    </row>
    <row r="2111" spans="1:7" x14ac:dyDescent="0.45">
      <c r="A2111" s="1">
        <v>43053</v>
      </c>
      <c r="B2111">
        <v>114.800003</v>
      </c>
      <c r="C2111">
        <v>115.57</v>
      </c>
      <c r="D2111">
        <v>114.410004</v>
      </c>
      <c r="E2111">
        <v>114.769997</v>
      </c>
      <c r="F2111">
        <v>109.197952</v>
      </c>
      <c r="G2111">
        <v>2154100</v>
      </c>
    </row>
    <row r="2112" spans="1:7" x14ac:dyDescent="0.45">
      <c r="A2112" s="1">
        <v>43054</v>
      </c>
      <c r="B2112">
        <v>113.699997</v>
      </c>
      <c r="C2112">
        <v>114.099998</v>
      </c>
      <c r="D2112">
        <v>113.449997</v>
      </c>
      <c r="E2112">
        <v>113.5</v>
      </c>
      <c r="F2112">
        <v>107.989609</v>
      </c>
      <c r="G2112">
        <v>2739200</v>
      </c>
    </row>
    <row r="2113" spans="1:7" x14ac:dyDescent="0.45">
      <c r="A2113" s="1">
        <v>43055</v>
      </c>
      <c r="B2113">
        <v>115.779999</v>
      </c>
      <c r="C2113">
        <v>115.910004</v>
      </c>
      <c r="D2113">
        <v>114.790001</v>
      </c>
      <c r="E2113">
        <v>114.910004</v>
      </c>
      <c r="F2113">
        <v>109.33116099999999</v>
      </c>
      <c r="G2113">
        <v>2016800</v>
      </c>
    </row>
    <row r="2114" spans="1:7" x14ac:dyDescent="0.45">
      <c r="A2114" s="1">
        <v>43056</v>
      </c>
      <c r="B2114">
        <v>114.93</v>
      </c>
      <c r="C2114">
        <v>115.19000200000001</v>
      </c>
      <c r="D2114">
        <v>114.58000199999999</v>
      </c>
      <c r="E2114">
        <v>114.989998</v>
      </c>
      <c r="F2114">
        <v>109.40728</v>
      </c>
      <c r="G2114">
        <v>1591900</v>
      </c>
    </row>
    <row r="2115" spans="1:7" x14ac:dyDescent="0.45">
      <c r="A2115" s="1">
        <v>43059</v>
      </c>
      <c r="B2115">
        <v>114.779999</v>
      </c>
      <c r="C2115">
        <v>115.610001</v>
      </c>
      <c r="D2115">
        <v>114.709999</v>
      </c>
      <c r="E2115">
        <v>115.529999</v>
      </c>
      <c r="F2115">
        <v>109.92105100000001</v>
      </c>
      <c r="G2115">
        <v>1393300</v>
      </c>
    </row>
    <row r="2116" spans="1:7" x14ac:dyDescent="0.45">
      <c r="A2116" s="1">
        <v>43060</v>
      </c>
      <c r="B2116">
        <v>115.279999</v>
      </c>
      <c r="C2116">
        <v>115.739998</v>
      </c>
      <c r="D2116">
        <v>115.050003</v>
      </c>
      <c r="E2116">
        <v>115.620003</v>
      </c>
      <c r="F2116">
        <v>110.006691</v>
      </c>
      <c r="G2116">
        <v>1300100</v>
      </c>
    </row>
    <row r="2117" spans="1:7" x14ac:dyDescent="0.45">
      <c r="A2117" s="1">
        <v>43061</v>
      </c>
      <c r="B2117">
        <v>116.650002</v>
      </c>
      <c r="C2117">
        <v>116.699997</v>
      </c>
      <c r="D2117">
        <v>115.19000200000001</v>
      </c>
      <c r="E2117">
        <v>115.75</v>
      </c>
      <c r="F2117">
        <v>110.130379</v>
      </c>
      <c r="G2117">
        <v>727500</v>
      </c>
    </row>
    <row r="2118" spans="1:7" x14ac:dyDescent="0.45">
      <c r="A2118" s="1">
        <v>43063</v>
      </c>
      <c r="B2118">
        <v>117.290001</v>
      </c>
      <c r="C2118">
        <v>117.620003</v>
      </c>
      <c r="D2118">
        <v>117.010002</v>
      </c>
      <c r="E2118">
        <v>117.55999799999999</v>
      </c>
      <c r="F2118">
        <v>111.852501</v>
      </c>
      <c r="G2118">
        <v>731300</v>
      </c>
    </row>
    <row r="2119" spans="1:7" x14ac:dyDescent="0.45">
      <c r="A2119" s="1">
        <v>43066</v>
      </c>
      <c r="B2119">
        <v>117.739998</v>
      </c>
      <c r="C2119">
        <v>117.860001</v>
      </c>
      <c r="D2119">
        <v>117.099998</v>
      </c>
      <c r="E2119">
        <v>117.510002</v>
      </c>
      <c r="F2119">
        <v>111.80493199999999</v>
      </c>
      <c r="G2119">
        <v>2067600</v>
      </c>
    </row>
    <row r="2120" spans="1:7" x14ac:dyDescent="0.45">
      <c r="A2120" s="1">
        <v>43067</v>
      </c>
      <c r="B2120">
        <v>118.239998</v>
      </c>
      <c r="C2120">
        <v>118.25</v>
      </c>
      <c r="D2120">
        <v>117.139999</v>
      </c>
      <c r="E2120">
        <v>117.44000200000001</v>
      </c>
      <c r="F2120">
        <v>111.738327</v>
      </c>
      <c r="G2120">
        <v>1175900</v>
      </c>
    </row>
    <row r="2121" spans="1:7" x14ac:dyDescent="0.45">
      <c r="A2121" s="1">
        <v>43068</v>
      </c>
      <c r="B2121">
        <v>116.889999</v>
      </c>
      <c r="C2121">
        <v>117.010002</v>
      </c>
      <c r="D2121">
        <v>115.629997</v>
      </c>
      <c r="E2121">
        <v>115.889999</v>
      </c>
      <c r="F2121">
        <v>110.26358</v>
      </c>
      <c r="G2121">
        <v>1579900</v>
      </c>
    </row>
    <row r="2122" spans="1:7" x14ac:dyDescent="0.45">
      <c r="A2122" s="1">
        <v>43069</v>
      </c>
      <c r="B2122">
        <v>116.220001</v>
      </c>
      <c r="C2122">
        <v>116.220001</v>
      </c>
      <c r="D2122">
        <v>114.300003</v>
      </c>
      <c r="E2122">
        <v>114.489998</v>
      </c>
      <c r="F2122">
        <v>108.931541</v>
      </c>
      <c r="G2122">
        <v>2183300</v>
      </c>
    </row>
    <row r="2123" spans="1:7" x14ac:dyDescent="0.45">
      <c r="A2123" s="1">
        <v>43070</v>
      </c>
      <c r="B2123">
        <v>115.07</v>
      </c>
      <c r="C2123">
        <v>115.57</v>
      </c>
      <c r="D2123">
        <v>114.389999</v>
      </c>
      <c r="E2123">
        <v>115.459999</v>
      </c>
      <c r="F2123">
        <v>109.854454</v>
      </c>
      <c r="G2123">
        <v>1313500</v>
      </c>
    </row>
    <row r="2124" spans="1:7" x14ac:dyDescent="0.45">
      <c r="A2124" s="1">
        <v>43073</v>
      </c>
      <c r="B2124">
        <v>115.089996</v>
      </c>
      <c r="C2124">
        <v>115.980003</v>
      </c>
      <c r="D2124">
        <v>114.93</v>
      </c>
      <c r="E2124">
        <v>115.410004</v>
      </c>
      <c r="F2124">
        <v>109.806892</v>
      </c>
      <c r="G2124">
        <v>1063900</v>
      </c>
    </row>
    <row r="2125" spans="1:7" x14ac:dyDescent="0.45">
      <c r="A2125" s="1">
        <v>43074</v>
      </c>
      <c r="B2125">
        <v>115.150002</v>
      </c>
      <c r="C2125">
        <v>115.489998</v>
      </c>
      <c r="D2125">
        <v>112.849998</v>
      </c>
      <c r="E2125">
        <v>112.970001</v>
      </c>
      <c r="F2125">
        <v>107.485344</v>
      </c>
      <c r="G2125">
        <v>2386100</v>
      </c>
    </row>
    <row r="2126" spans="1:7" x14ac:dyDescent="0.45">
      <c r="A2126" s="1">
        <v>43075</v>
      </c>
      <c r="B2126">
        <v>112.220001</v>
      </c>
      <c r="C2126">
        <v>113.160004</v>
      </c>
      <c r="D2126">
        <v>112</v>
      </c>
      <c r="E2126">
        <v>113</v>
      </c>
      <c r="F2126">
        <v>107.513893</v>
      </c>
      <c r="G2126">
        <v>1402500</v>
      </c>
    </row>
    <row r="2127" spans="1:7" x14ac:dyDescent="0.45">
      <c r="A2127" s="1">
        <v>43076</v>
      </c>
      <c r="B2127">
        <v>111.769997</v>
      </c>
      <c r="C2127">
        <v>112.08000199999999</v>
      </c>
      <c r="D2127">
        <v>111.160004</v>
      </c>
      <c r="E2127">
        <v>111.260002</v>
      </c>
      <c r="F2127">
        <v>105.858368</v>
      </c>
      <c r="G2127">
        <v>2227400</v>
      </c>
    </row>
    <row r="2128" spans="1:7" x14ac:dyDescent="0.45">
      <c r="A2128" s="1">
        <v>43077</v>
      </c>
      <c r="B2128">
        <v>111.110001</v>
      </c>
      <c r="C2128">
        <v>111.739998</v>
      </c>
      <c r="D2128">
        <v>110.730003</v>
      </c>
      <c r="E2128">
        <v>111.68</v>
      </c>
      <c r="F2128">
        <v>106.25797300000001</v>
      </c>
      <c r="G2128">
        <v>1480800</v>
      </c>
    </row>
    <row r="2129" spans="1:7" x14ac:dyDescent="0.45">
      <c r="A2129" s="1">
        <v>43080</v>
      </c>
      <c r="B2129">
        <v>111.360001</v>
      </c>
      <c r="C2129">
        <v>111.610001</v>
      </c>
      <c r="D2129">
        <v>111.129997</v>
      </c>
      <c r="E2129">
        <v>111.41999800000001</v>
      </c>
      <c r="F2129">
        <v>106.010597</v>
      </c>
      <c r="G2129">
        <v>1803600</v>
      </c>
    </row>
    <row r="2130" spans="1:7" x14ac:dyDescent="0.45">
      <c r="A2130" s="1">
        <v>43081</v>
      </c>
      <c r="B2130">
        <v>110.510002</v>
      </c>
      <c r="C2130">
        <v>111.69000200000001</v>
      </c>
      <c r="D2130">
        <v>110.449997</v>
      </c>
      <c r="E2130">
        <v>111.120003</v>
      </c>
      <c r="F2130">
        <v>105.725166</v>
      </c>
      <c r="G2130">
        <v>1821500</v>
      </c>
    </row>
    <row r="2131" spans="1:7" x14ac:dyDescent="0.45">
      <c r="A2131" s="1">
        <v>43082</v>
      </c>
      <c r="B2131">
        <v>110.730003</v>
      </c>
      <c r="C2131">
        <v>111.089996</v>
      </c>
      <c r="D2131">
        <v>110.139999</v>
      </c>
      <c r="E2131">
        <v>110.910004</v>
      </c>
      <c r="F2131">
        <v>105.52536000000001</v>
      </c>
      <c r="G2131">
        <v>1589000</v>
      </c>
    </row>
    <row r="2132" spans="1:7" x14ac:dyDescent="0.45">
      <c r="A2132" s="1">
        <v>43083</v>
      </c>
      <c r="B2132">
        <v>110.269997</v>
      </c>
      <c r="C2132">
        <v>111.110001</v>
      </c>
      <c r="D2132">
        <v>110.18</v>
      </c>
      <c r="E2132">
        <v>110.5</v>
      </c>
      <c r="F2132">
        <v>105.135262</v>
      </c>
      <c r="G2132">
        <v>1250300</v>
      </c>
    </row>
    <row r="2133" spans="1:7" x14ac:dyDescent="0.45">
      <c r="A2133" s="1">
        <v>43084</v>
      </c>
      <c r="B2133">
        <v>110.279999</v>
      </c>
      <c r="C2133">
        <v>110.879997</v>
      </c>
      <c r="D2133">
        <v>110.07</v>
      </c>
      <c r="E2133">
        <v>110.620003</v>
      </c>
      <c r="F2133">
        <v>105.24943500000001</v>
      </c>
      <c r="G2133">
        <v>1898100</v>
      </c>
    </row>
    <row r="2134" spans="1:7" x14ac:dyDescent="0.45">
      <c r="A2134" s="1">
        <v>43087</v>
      </c>
      <c r="B2134">
        <v>112.099998</v>
      </c>
      <c r="C2134">
        <v>112.779999</v>
      </c>
      <c r="D2134">
        <v>111.360001</v>
      </c>
      <c r="E2134">
        <v>111.43</v>
      </c>
      <c r="F2134">
        <v>106.020111</v>
      </c>
      <c r="G2134">
        <v>1348900</v>
      </c>
    </row>
    <row r="2135" spans="1:7" x14ac:dyDescent="0.45">
      <c r="A2135" s="1">
        <v>43088</v>
      </c>
      <c r="B2135">
        <v>113.010002</v>
      </c>
      <c r="C2135">
        <v>113.08000199999999</v>
      </c>
      <c r="D2135">
        <v>111.769997</v>
      </c>
      <c r="E2135">
        <v>111.779999</v>
      </c>
      <c r="F2135">
        <v>106.353111</v>
      </c>
      <c r="G2135">
        <v>1405300</v>
      </c>
    </row>
    <row r="2136" spans="1:7" x14ac:dyDescent="0.45">
      <c r="A2136" s="1">
        <v>43089</v>
      </c>
      <c r="B2136">
        <v>112.58000199999999</v>
      </c>
      <c r="C2136">
        <v>112.58000199999999</v>
      </c>
      <c r="D2136">
        <v>111.449997</v>
      </c>
      <c r="E2136">
        <v>111.629997</v>
      </c>
      <c r="F2136">
        <v>106.210396</v>
      </c>
      <c r="G2136">
        <v>1356900</v>
      </c>
    </row>
    <row r="2137" spans="1:7" x14ac:dyDescent="0.45">
      <c r="A2137" s="1">
        <v>43090</v>
      </c>
      <c r="B2137">
        <v>112.099998</v>
      </c>
      <c r="C2137">
        <v>112.5</v>
      </c>
      <c r="D2137">
        <v>111.33000199999999</v>
      </c>
      <c r="E2137">
        <v>111.349998</v>
      </c>
      <c r="F2137">
        <v>105.94399300000001</v>
      </c>
      <c r="G2137">
        <v>1129100</v>
      </c>
    </row>
    <row r="2138" spans="1:7" x14ac:dyDescent="0.45">
      <c r="A2138" s="1">
        <v>43091</v>
      </c>
      <c r="B2138">
        <v>111.209999</v>
      </c>
      <c r="C2138">
        <v>111.620003</v>
      </c>
      <c r="D2138">
        <v>111.129997</v>
      </c>
      <c r="E2138">
        <v>111.55999799999999</v>
      </c>
      <c r="F2138">
        <v>106.143799</v>
      </c>
      <c r="G2138">
        <v>987000</v>
      </c>
    </row>
    <row r="2139" spans="1:7" x14ac:dyDescent="0.45">
      <c r="A2139" s="1">
        <v>43095</v>
      </c>
      <c r="B2139">
        <v>111.550003</v>
      </c>
      <c r="C2139">
        <v>112.120003</v>
      </c>
      <c r="D2139">
        <v>111.300003</v>
      </c>
      <c r="E2139">
        <v>111.410004</v>
      </c>
      <c r="F2139">
        <v>106.00108299999999</v>
      </c>
      <c r="G2139">
        <v>549500</v>
      </c>
    </row>
    <row r="2140" spans="1:7" x14ac:dyDescent="0.45">
      <c r="A2140" s="1">
        <v>43096</v>
      </c>
      <c r="B2140">
        <v>112.129997</v>
      </c>
      <c r="C2140">
        <v>112.300003</v>
      </c>
      <c r="D2140">
        <v>111.69000200000001</v>
      </c>
      <c r="E2140">
        <v>112.150002</v>
      </c>
      <c r="F2140">
        <v>106.705162</v>
      </c>
      <c r="G2140">
        <v>937700</v>
      </c>
    </row>
    <row r="2141" spans="1:7" x14ac:dyDescent="0.45">
      <c r="A2141" s="1">
        <v>43097</v>
      </c>
      <c r="B2141">
        <v>111.989998</v>
      </c>
      <c r="C2141">
        <v>112.110001</v>
      </c>
      <c r="D2141">
        <v>110.970001</v>
      </c>
      <c r="E2141">
        <v>111.260002</v>
      </c>
      <c r="F2141">
        <v>105.858368</v>
      </c>
      <c r="G2141">
        <v>837200</v>
      </c>
    </row>
    <row r="2142" spans="1:7" x14ac:dyDescent="0.45">
      <c r="A2142" s="1">
        <v>43098</v>
      </c>
      <c r="B2142">
        <v>111.870003</v>
      </c>
      <c r="C2142">
        <v>112.360001</v>
      </c>
      <c r="D2142">
        <v>111.470001</v>
      </c>
      <c r="E2142">
        <v>111.55999799999999</v>
      </c>
      <c r="F2142">
        <v>106.143799</v>
      </c>
      <c r="G2142">
        <v>866400</v>
      </c>
    </row>
    <row r="2143" spans="1:7" x14ac:dyDescent="0.45">
      <c r="A2143" s="1">
        <v>43102</v>
      </c>
      <c r="B2143">
        <v>111.970001</v>
      </c>
      <c r="C2143">
        <v>112.730003</v>
      </c>
      <c r="D2143">
        <v>111.550003</v>
      </c>
      <c r="E2143">
        <v>112.41999800000001</v>
      </c>
      <c r="F2143">
        <v>106.962051</v>
      </c>
      <c r="G2143">
        <v>1259900</v>
      </c>
    </row>
    <row r="2144" spans="1:7" x14ac:dyDescent="0.45">
      <c r="A2144" s="1">
        <v>43103</v>
      </c>
      <c r="B2144">
        <v>112.019997</v>
      </c>
      <c r="C2144">
        <v>113.470001</v>
      </c>
      <c r="D2144">
        <v>112.019997</v>
      </c>
      <c r="E2144">
        <v>113.290001</v>
      </c>
      <c r="F2144">
        <v>107.78981</v>
      </c>
      <c r="G2144">
        <v>1641700</v>
      </c>
    </row>
    <row r="2145" spans="1:7" x14ac:dyDescent="0.45">
      <c r="A2145" s="1">
        <v>43104</v>
      </c>
      <c r="B2145">
        <v>114.18</v>
      </c>
      <c r="C2145">
        <v>114.389999</v>
      </c>
      <c r="D2145">
        <v>113.470001</v>
      </c>
      <c r="E2145">
        <v>113.599998</v>
      </c>
      <c r="F2145">
        <v>108.084755</v>
      </c>
      <c r="G2145">
        <v>1314700</v>
      </c>
    </row>
    <row r="2146" spans="1:7" x14ac:dyDescent="0.45">
      <c r="A2146" s="1">
        <v>43105</v>
      </c>
      <c r="B2146">
        <v>114.959999</v>
      </c>
      <c r="C2146">
        <v>115.07</v>
      </c>
      <c r="D2146">
        <v>114.30999799999999</v>
      </c>
      <c r="E2146">
        <v>114.739998</v>
      </c>
      <c r="F2146">
        <v>109.169411</v>
      </c>
      <c r="G2146">
        <v>1616500</v>
      </c>
    </row>
    <row r="2147" spans="1:7" x14ac:dyDescent="0.45">
      <c r="A2147" s="1">
        <v>43108</v>
      </c>
      <c r="B2147">
        <v>114.16999800000001</v>
      </c>
      <c r="C2147">
        <v>114.230003</v>
      </c>
      <c r="D2147">
        <v>113.349998</v>
      </c>
      <c r="E2147">
        <v>113.949997</v>
      </c>
      <c r="F2147">
        <v>108.41776299999999</v>
      </c>
      <c r="G2147">
        <v>1730700</v>
      </c>
    </row>
    <row r="2148" spans="1:7" x14ac:dyDescent="0.45">
      <c r="A2148" s="1">
        <v>43109</v>
      </c>
      <c r="B2148">
        <v>115.150002</v>
      </c>
      <c r="C2148">
        <v>115.339996</v>
      </c>
      <c r="D2148">
        <v>113.739998</v>
      </c>
      <c r="E2148">
        <v>114.33000199999999</v>
      </c>
      <c r="F2148">
        <v>108.77932</v>
      </c>
      <c r="G2148">
        <v>1195900</v>
      </c>
    </row>
    <row r="2149" spans="1:7" x14ac:dyDescent="0.45">
      <c r="A2149" s="1">
        <v>43110</v>
      </c>
      <c r="B2149">
        <v>114.629997</v>
      </c>
      <c r="C2149">
        <v>114.66999800000001</v>
      </c>
      <c r="D2149">
        <v>113.5</v>
      </c>
      <c r="E2149">
        <v>113.91999800000001</v>
      </c>
      <c r="F2149">
        <v>108.38922100000001</v>
      </c>
      <c r="G2149">
        <v>1036600</v>
      </c>
    </row>
    <row r="2150" spans="1:7" x14ac:dyDescent="0.45">
      <c r="A2150" s="1">
        <v>43111</v>
      </c>
      <c r="B2150">
        <v>114.43</v>
      </c>
      <c r="C2150">
        <v>114.849998</v>
      </c>
      <c r="D2150">
        <v>114.120003</v>
      </c>
      <c r="E2150">
        <v>114.199997</v>
      </c>
      <c r="F2150">
        <v>108.655624</v>
      </c>
      <c r="G2150">
        <v>1403500</v>
      </c>
    </row>
    <row r="2151" spans="1:7" x14ac:dyDescent="0.45">
      <c r="A2151" s="1">
        <v>43112</v>
      </c>
      <c r="B2151">
        <v>115.19000200000001</v>
      </c>
      <c r="C2151">
        <v>115.209999</v>
      </c>
      <c r="D2151">
        <v>114.650002</v>
      </c>
      <c r="E2151">
        <v>114.900002</v>
      </c>
      <c r="F2151">
        <v>109.32164</v>
      </c>
      <c r="G2151">
        <v>3307900</v>
      </c>
    </row>
    <row r="2152" spans="1:7" x14ac:dyDescent="0.45">
      <c r="A2152" s="1">
        <v>43116</v>
      </c>
      <c r="B2152">
        <v>116.08000199999999</v>
      </c>
      <c r="C2152">
        <v>116.260002</v>
      </c>
      <c r="D2152">
        <v>115.540001</v>
      </c>
      <c r="E2152">
        <v>115.540001</v>
      </c>
      <c r="F2152">
        <v>109.930573</v>
      </c>
      <c r="G2152">
        <v>1428700</v>
      </c>
    </row>
    <row r="2153" spans="1:7" x14ac:dyDescent="0.45">
      <c r="A2153" s="1">
        <v>43117</v>
      </c>
      <c r="B2153">
        <v>115.83000199999999</v>
      </c>
      <c r="C2153">
        <v>116.400002</v>
      </c>
      <c r="D2153">
        <v>115.410004</v>
      </c>
      <c r="E2153">
        <v>115.980003</v>
      </c>
      <c r="F2153">
        <v>110.34921300000001</v>
      </c>
      <c r="G2153">
        <v>3069400</v>
      </c>
    </row>
    <row r="2154" spans="1:7" x14ac:dyDescent="0.45">
      <c r="A2154" s="1">
        <v>43118</v>
      </c>
      <c r="B2154">
        <v>115.279999</v>
      </c>
      <c r="C2154">
        <v>115.5</v>
      </c>
      <c r="D2154">
        <v>114.790001</v>
      </c>
      <c r="E2154">
        <v>115.120003</v>
      </c>
      <c r="F2154">
        <v>109.530968</v>
      </c>
      <c r="G2154">
        <v>2133800</v>
      </c>
    </row>
    <row r="2155" spans="1:7" x14ac:dyDescent="0.45">
      <c r="A2155" s="1">
        <v>43119</v>
      </c>
      <c r="B2155">
        <v>115.739998</v>
      </c>
      <c r="C2155">
        <v>116.019997</v>
      </c>
      <c r="D2155">
        <v>115.019997</v>
      </c>
      <c r="E2155">
        <v>115.230003</v>
      </c>
      <c r="F2155">
        <v>109.63562</v>
      </c>
      <c r="G2155">
        <v>1066600</v>
      </c>
    </row>
    <row r="2156" spans="1:7" x14ac:dyDescent="0.45">
      <c r="A2156" s="1">
        <v>43122</v>
      </c>
      <c r="B2156">
        <v>114.83000199999999</v>
      </c>
      <c r="C2156">
        <v>115.550003</v>
      </c>
      <c r="D2156">
        <v>114.760002</v>
      </c>
      <c r="E2156">
        <v>115.220001</v>
      </c>
      <c r="F2156">
        <v>109.626114</v>
      </c>
      <c r="G2156">
        <v>1067700</v>
      </c>
    </row>
    <row r="2157" spans="1:7" x14ac:dyDescent="0.45">
      <c r="A2157" s="1">
        <v>43123</v>
      </c>
      <c r="B2157">
        <v>114.400002</v>
      </c>
      <c r="C2157">
        <v>114.529999</v>
      </c>
      <c r="D2157">
        <v>113.779999</v>
      </c>
      <c r="E2157">
        <v>114.5</v>
      </c>
      <c r="F2157">
        <v>108.941063</v>
      </c>
      <c r="G2157">
        <v>2112900</v>
      </c>
    </row>
    <row r="2158" spans="1:7" x14ac:dyDescent="0.45">
      <c r="A2158" s="1">
        <v>43124</v>
      </c>
      <c r="B2158">
        <v>114.879997</v>
      </c>
      <c r="C2158">
        <v>114.879997</v>
      </c>
      <c r="D2158">
        <v>113.470001</v>
      </c>
      <c r="E2158">
        <v>114.25</v>
      </c>
      <c r="F2158">
        <v>108.70320100000001</v>
      </c>
      <c r="G2158">
        <v>1604000</v>
      </c>
    </row>
    <row r="2159" spans="1:7" x14ac:dyDescent="0.45">
      <c r="A2159" s="1">
        <v>43125</v>
      </c>
      <c r="B2159">
        <v>114.650002</v>
      </c>
      <c r="C2159">
        <v>114.879997</v>
      </c>
      <c r="D2159">
        <v>113.349998</v>
      </c>
      <c r="E2159">
        <v>113.68</v>
      </c>
      <c r="F2159">
        <v>108.160881</v>
      </c>
      <c r="G2159">
        <v>1542900</v>
      </c>
    </row>
    <row r="2160" spans="1:7" x14ac:dyDescent="0.45">
      <c r="A2160" s="1">
        <v>43126</v>
      </c>
      <c r="B2160">
        <v>114.480003</v>
      </c>
      <c r="C2160">
        <v>115.239998</v>
      </c>
      <c r="D2160">
        <v>114.260002</v>
      </c>
      <c r="E2160">
        <v>114.91999800000001</v>
      </c>
      <c r="F2160">
        <v>109.34066799999999</v>
      </c>
      <c r="G2160">
        <v>1162100</v>
      </c>
    </row>
    <row r="2161" spans="1:7" x14ac:dyDescent="0.45">
      <c r="A2161" s="1">
        <v>43129</v>
      </c>
      <c r="B2161">
        <v>112.839996</v>
      </c>
      <c r="C2161">
        <v>113.870003</v>
      </c>
      <c r="D2161">
        <v>112.209999</v>
      </c>
      <c r="E2161">
        <v>113.519997</v>
      </c>
      <c r="F2161">
        <v>108.008636</v>
      </c>
      <c r="G2161">
        <v>5740200</v>
      </c>
    </row>
    <row r="2162" spans="1:7" x14ac:dyDescent="0.45">
      <c r="A2162" s="1">
        <v>43130</v>
      </c>
      <c r="B2162">
        <v>113.800003</v>
      </c>
      <c r="C2162">
        <v>114.019997</v>
      </c>
      <c r="D2162">
        <v>112.900002</v>
      </c>
      <c r="E2162">
        <v>112.94000200000001</v>
      </c>
      <c r="F2162">
        <v>107.456802</v>
      </c>
      <c r="G2162">
        <v>1717600</v>
      </c>
    </row>
    <row r="2163" spans="1:7" x14ac:dyDescent="0.45">
      <c r="A2163" s="1">
        <v>43131</v>
      </c>
      <c r="B2163">
        <v>114.07</v>
      </c>
      <c r="C2163">
        <v>114.230003</v>
      </c>
      <c r="D2163">
        <v>112.860001</v>
      </c>
      <c r="E2163">
        <v>113.480003</v>
      </c>
      <c r="F2163">
        <v>107.970589</v>
      </c>
      <c r="G2163">
        <v>1916400</v>
      </c>
    </row>
    <row r="2164" spans="1:7" x14ac:dyDescent="0.45">
      <c r="A2164" s="1">
        <v>43132</v>
      </c>
      <c r="B2164">
        <v>113.860001</v>
      </c>
      <c r="C2164">
        <v>114.41999800000001</v>
      </c>
      <c r="D2164">
        <v>113.480003</v>
      </c>
      <c r="E2164">
        <v>114.099998</v>
      </c>
      <c r="F2164">
        <v>108.560486</v>
      </c>
      <c r="G2164">
        <v>1163900</v>
      </c>
    </row>
    <row r="2165" spans="1:7" x14ac:dyDescent="0.45">
      <c r="A2165" s="1">
        <v>43133</v>
      </c>
      <c r="B2165">
        <v>112.82</v>
      </c>
      <c r="C2165">
        <v>112.870003</v>
      </c>
      <c r="D2165">
        <v>111.18</v>
      </c>
      <c r="E2165">
        <v>111.760002</v>
      </c>
      <c r="F2165">
        <v>106.334091</v>
      </c>
      <c r="G2165">
        <v>2037300</v>
      </c>
    </row>
    <row r="2166" spans="1:7" x14ac:dyDescent="0.45">
      <c r="A2166" s="1">
        <v>43136</v>
      </c>
      <c r="B2166">
        <v>109.760002</v>
      </c>
      <c r="C2166">
        <v>110.16999800000001</v>
      </c>
      <c r="D2166">
        <v>106.370003</v>
      </c>
      <c r="E2166">
        <v>106.970001</v>
      </c>
      <c r="F2166">
        <v>101.776642</v>
      </c>
      <c r="G2166">
        <v>2854200</v>
      </c>
    </row>
    <row r="2167" spans="1:7" x14ac:dyDescent="0.45">
      <c r="A2167" s="1">
        <v>43137</v>
      </c>
      <c r="B2167">
        <v>106.040001</v>
      </c>
      <c r="C2167">
        <v>108.980003</v>
      </c>
      <c r="D2167">
        <v>105.80999799999999</v>
      </c>
      <c r="E2167">
        <v>108.959999</v>
      </c>
      <c r="F2167">
        <v>103.670036</v>
      </c>
      <c r="G2167">
        <v>2316000</v>
      </c>
    </row>
    <row r="2168" spans="1:7" x14ac:dyDescent="0.45">
      <c r="A2168" s="1">
        <v>43138</v>
      </c>
      <c r="B2168">
        <v>107.339996</v>
      </c>
      <c r="C2168">
        <v>108.75</v>
      </c>
      <c r="D2168">
        <v>107.040001</v>
      </c>
      <c r="E2168">
        <v>107.07</v>
      </c>
      <c r="F2168">
        <v>101.871788</v>
      </c>
      <c r="G2168">
        <v>1546500</v>
      </c>
    </row>
    <row r="2169" spans="1:7" x14ac:dyDescent="0.45">
      <c r="A2169" s="1">
        <v>43139</v>
      </c>
      <c r="B2169">
        <v>106.400002</v>
      </c>
      <c r="C2169">
        <v>106.69000200000001</v>
      </c>
      <c r="D2169">
        <v>103.55999799999999</v>
      </c>
      <c r="E2169">
        <v>103.599998</v>
      </c>
      <c r="F2169">
        <v>98.570250999999999</v>
      </c>
      <c r="G2169">
        <v>2112900</v>
      </c>
    </row>
    <row r="2170" spans="1:7" x14ac:dyDescent="0.45">
      <c r="A2170" s="1">
        <v>43140</v>
      </c>
      <c r="B2170">
        <v>103.43</v>
      </c>
      <c r="C2170">
        <v>104.239998</v>
      </c>
      <c r="D2170">
        <v>101.209999</v>
      </c>
      <c r="E2170">
        <v>103.150002</v>
      </c>
      <c r="F2170">
        <v>98.142105000000001</v>
      </c>
      <c r="G2170">
        <v>2436200</v>
      </c>
    </row>
    <row r="2171" spans="1:7" x14ac:dyDescent="0.45">
      <c r="A2171" s="1">
        <v>43143</v>
      </c>
      <c r="B2171">
        <v>103.870003</v>
      </c>
      <c r="C2171">
        <v>104.769997</v>
      </c>
      <c r="D2171">
        <v>103.800003</v>
      </c>
      <c r="E2171">
        <v>104.199997</v>
      </c>
      <c r="F2171">
        <v>99.141129000000006</v>
      </c>
      <c r="G2171">
        <v>2398100</v>
      </c>
    </row>
    <row r="2172" spans="1:7" x14ac:dyDescent="0.45">
      <c r="A2172" s="1">
        <v>43144</v>
      </c>
      <c r="B2172">
        <v>103.83000199999999</v>
      </c>
      <c r="C2172">
        <v>104.040001</v>
      </c>
      <c r="D2172">
        <v>103.30999799999999</v>
      </c>
      <c r="E2172">
        <v>103.800003</v>
      </c>
      <c r="F2172">
        <v>98.760543999999996</v>
      </c>
      <c r="G2172">
        <v>1875900</v>
      </c>
    </row>
    <row r="2173" spans="1:7" x14ac:dyDescent="0.45">
      <c r="A2173" s="1">
        <v>43145</v>
      </c>
      <c r="B2173">
        <v>103</v>
      </c>
      <c r="C2173">
        <v>104.550003</v>
      </c>
      <c r="D2173">
        <v>102.910004</v>
      </c>
      <c r="E2173">
        <v>104.199997</v>
      </c>
      <c r="F2173">
        <v>99.141129000000006</v>
      </c>
      <c r="G2173">
        <v>5361800</v>
      </c>
    </row>
    <row r="2174" spans="1:7" x14ac:dyDescent="0.45">
      <c r="A2174" s="1">
        <v>43146</v>
      </c>
      <c r="B2174">
        <v>103.339996</v>
      </c>
      <c r="C2174">
        <v>104.69000200000001</v>
      </c>
      <c r="D2174">
        <v>103.040001</v>
      </c>
      <c r="E2174">
        <v>104.660004</v>
      </c>
      <c r="F2174">
        <v>99.578795999999997</v>
      </c>
      <c r="G2174">
        <v>1649900</v>
      </c>
    </row>
    <row r="2175" spans="1:7" x14ac:dyDescent="0.45">
      <c r="A2175" s="1">
        <v>43147</v>
      </c>
      <c r="B2175">
        <v>106.360001</v>
      </c>
      <c r="C2175">
        <v>106.720001</v>
      </c>
      <c r="D2175">
        <v>105.980003</v>
      </c>
      <c r="E2175">
        <v>106.120003</v>
      </c>
      <c r="F2175">
        <v>100.967911</v>
      </c>
      <c r="G2175">
        <v>1805200</v>
      </c>
    </row>
    <row r="2176" spans="1:7" x14ac:dyDescent="0.45">
      <c r="A2176" s="1">
        <v>43151</v>
      </c>
      <c r="B2176">
        <v>105.209999</v>
      </c>
      <c r="C2176">
        <v>105.790001</v>
      </c>
      <c r="D2176">
        <v>104.989998</v>
      </c>
      <c r="E2176">
        <v>105.349998</v>
      </c>
      <c r="F2176">
        <v>100.235291</v>
      </c>
      <c r="G2176">
        <v>1556700</v>
      </c>
    </row>
    <row r="2177" spans="1:7" x14ac:dyDescent="0.45">
      <c r="A2177" s="1">
        <v>43152</v>
      </c>
      <c r="B2177">
        <v>105.55999799999999</v>
      </c>
      <c r="C2177">
        <v>106.339996</v>
      </c>
      <c r="D2177">
        <v>104.910004</v>
      </c>
      <c r="E2177">
        <v>105.05999799999999</v>
      </c>
      <c r="F2177">
        <v>99.959372999999999</v>
      </c>
      <c r="G2177">
        <v>1791900</v>
      </c>
    </row>
    <row r="2178" spans="1:7" x14ac:dyDescent="0.45">
      <c r="A2178" s="1">
        <v>43153</v>
      </c>
      <c r="B2178">
        <v>104.849998</v>
      </c>
      <c r="C2178">
        <v>105.91999800000001</v>
      </c>
      <c r="D2178">
        <v>104.599998</v>
      </c>
      <c r="E2178">
        <v>105.339996</v>
      </c>
      <c r="F2178">
        <v>100.22577699999999</v>
      </c>
      <c r="G2178">
        <v>2745600</v>
      </c>
    </row>
    <row r="2179" spans="1:7" x14ac:dyDescent="0.45">
      <c r="A2179" s="1">
        <v>43154</v>
      </c>
      <c r="B2179">
        <v>105.360001</v>
      </c>
      <c r="C2179">
        <v>107.279999</v>
      </c>
      <c r="D2179">
        <v>105.129997</v>
      </c>
      <c r="E2179">
        <v>107.25</v>
      </c>
      <c r="F2179">
        <v>102.04304500000001</v>
      </c>
      <c r="G2179">
        <v>1269400</v>
      </c>
    </row>
    <row r="2180" spans="1:7" x14ac:dyDescent="0.45">
      <c r="A2180" s="1">
        <v>43157</v>
      </c>
      <c r="B2180">
        <v>108.040001</v>
      </c>
      <c r="C2180">
        <v>109.540001</v>
      </c>
      <c r="D2180">
        <v>107.910004</v>
      </c>
      <c r="E2180">
        <v>109</v>
      </c>
      <c r="F2180">
        <v>103.708084</v>
      </c>
      <c r="G2180">
        <v>2231400</v>
      </c>
    </row>
    <row r="2181" spans="1:7" x14ac:dyDescent="0.45">
      <c r="A2181" s="1">
        <v>43158</v>
      </c>
      <c r="B2181">
        <v>107.529999</v>
      </c>
      <c r="C2181">
        <v>107.860001</v>
      </c>
      <c r="D2181">
        <v>106.199997</v>
      </c>
      <c r="E2181">
        <v>106.239998</v>
      </c>
      <c r="F2181">
        <v>101.08208500000001</v>
      </c>
      <c r="G2181">
        <v>1798400</v>
      </c>
    </row>
    <row r="2182" spans="1:7" x14ac:dyDescent="0.45">
      <c r="A2182" s="1">
        <v>43159</v>
      </c>
      <c r="B2182">
        <v>107.540001</v>
      </c>
      <c r="C2182">
        <v>108.110001</v>
      </c>
      <c r="D2182">
        <v>106.18</v>
      </c>
      <c r="E2182">
        <v>106.18</v>
      </c>
      <c r="F2182">
        <v>101.02499400000001</v>
      </c>
      <c r="G2182">
        <v>2137500</v>
      </c>
    </row>
    <row r="2183" spans="1:7" x14ac:dyDescent="0.45">
      <c r="A2183" s="1">
        <v>43160</v>
      </c>
      <c r="B2183">
        <v>111.68</v>
      </c>
      <c r="C2183">
        <v>112</v>
      </c>
      <c r="D2183">
        <v>108.08000199999999</v>
      </c>
      <c r="E2183">
        <v>109.449997</v>
      </c>
      <c r="F2183">
        <v>104.13623</v>
      </c>
      <c r="G2183">
        <v>4454300</v>
      </c>
    </row>
    <row r="2184" spans="1:7" x14ac:dyDescent="0.45">
      <c r="A2184" s="1">
        <v>43161</v>
      </c>
      <c r="B2184">
        <v>111.93</v>
      </c>
      <c r="C2184">
        <v>111.959999</v>
      </c>
      <c r="D2184">
        <v>109.040001</v>
      </c>
      <c r="E2184">
        <v>110.629997</v>
      </c>
      <c r="F2184">
        <v>105.258949</v>
      </c>
      <c r="G2184">
        <v>2888600</v>
      </c>
    </row>
    <row r="2185" spans="1:7" x14ac:dyDescent="0.45">
      <c r="A2185" s="1">
        <v>43164</v>
      </c>
      <c r="B2185">
        <v>110.209999</v>
      </c>
      <c r="C2185">
        <v>111.91999800000001</v>
      </c>
      <c r="D2185">
        <v>110.160004</v>
      </c>
      <c r="E2185">
        <v>111.660004</v>
      </c>
      <c r="F2185">
        <v>106.238945</v>
      </c>
      <c r="G2185">
        <v>2234800</v>
      </c>
    </row>
    <row r="2186" spans="1:7" x14ac:dyDescent="0.45">
      <c r="A2186" s="1">
        <v>43165</v>
      </c>
      <c r="B2186">
        <v>112.099998</v>
      </c>
      <c r="C2186">
        <v>112.980003</v>
      </c>
      <c r="D2186">
        <v>111.949997</v>
      </c>
      <c r="E2186">
        <v>112.760002</v>
      </c>
      <c r="F2186">
        <v>107.285538</v>
      </c>
      <c r="G2186">
        <v>1882000</v>
      </c>
    </row>
    <row r="2187" spans="1:7" x14ac:dyDescent="0.45">
      <c r="A2187" s="1">
        <v>43166</v>
      </c>
      <c r="B2187">
        <v>111.980003</v>
      </c>
      <c r="C2187">
        <v>112.94000200000001</v>
      </c>
      <c r="D2187">
        <v>111.790001</v>
      </c>
      <c r="E2187">
        <v>112.80999799999999</v>
      </c>
      <c r="F2187">
        <v>107.33311500000001</v>
      </c>
      <c r="G2187">
        <v>1330100</v>
      </c>
    </row>
    <row r="2188" spans="1:7" x14ac:dyDescent="0.45">
      <c r="A2188" s="1">
        <v>43167</v>
      </c>
      <c r="B2188">
        <v>113.980003</v>
      </c>
      <c r="C2188">
        <v>115.769997</v>
      </c>
      <c r="D2188">
        <v>113.970001</v>
      </c>
      <c r="E2188">
        <v>115.239998</v>
      </c>
      <c r="F2188">
        <v>109.645134</v>
      </c>
      <c r="G2188">
        <v>2723500</v>
      </c>
    </row>
    <row r="2189" spans="1:7" x14ac:dyDescent="0.45">
      <c r="A2189" s="1">
        <v>43168</v>
      </c>
      <c r="B2189">
        <v>114.989998</v>
      </c>
      <c r="C2189">
        <v>115.58000199999999</v>
      </c>
      <c r="D2189">
        <v>114.58000199999999</v>
      </c>
      <c r="E2189">
        <v>115.19000200000001</v>
      </c>
      <c r="F2189">
        <v>109.597565</v>
      </c>
      <c r="G2189">
        <v>2300500</v>
      </c>
    </row>
    <row r="2190" spans="1:7" x14ac:dyDescent="0.45">
      <c r="A2190" s="1">
        <v>43171</v>
      </c>
      <c r="B2190">
        <v>116.239998</v>
      </c>
      <c r="C2190">
        <v>117.05999799999999</v>
      </c>
      <c r="D2190">
        <v>115.33000199999999</v>
      </c>
      <c r="E2190">
        <v>115.599998</v>
      </c>
      <c r="F2190">
        <v>109.987663</v>
      </c>
      <c r="G2190">
        <v>4160700</v>
      </c>
    </row>
    <row r="2191" spans="1:7" x14ac:dyDescent="0.45">
      <c r="A2191" s="1">
        <v>43172</v>
      </c>
      <c r="B2191">
        <v>115.800003</v>
      </c>
      <c r="C2191">
        <v>115.980003</v>
      </c>
      <c r="D2191">
        <v>114.610001</v>
      </c>
      <c r="E2191">
        <v>114.699997</v>
      </c>
      <c r="F2191">
        <v>109.131355</v>
      </c>
      <c r="G2191">
        <v>4374000</v>
      </c>
    </row>
    <row r="2192" spans="1:7" x14ac:dyDescent="0.45">
      <c r="A2192" s="1">
        <v>43173</v>
      </c>
      <c r="B2192">
        <v>114.839996</v>
      </c>
      <c r="C2192">
        <v>114.910004</v>
      </c>
      <c r="D2192">
        <v>113.029999</v>
      </c>
      <c r="E2192">
        <v>113.5</v>
      </c>
      <c r="F2192">
        <v>107.989609</v>
      </c>
      <c r="G2192">
        <v>2655700</v>
      </c>
    </row>
    <row r="2193" spans="1:7" x14ac:dyDescent="0.45">
      <c r="A2193" s="1">
        <v>43174</v>
      </c>
      <c r="B2193">
        <v>112.91999800000001</v>
      </c>
      <c r="C2193">
        <v>113.480003</v>
      </c>
      <c r="D2193">
        <v>112.470001</v>
      </c>
      <c r="E2193">
        <v>112.870003</v>
      </c>
      <c r="F2193">
        <v>107.39020499999999</v>
      </c>
      <c r="G2193">
        <v>2401800</v>
      </c>
    </row>
    <row r="2194" spans="1:7" x14ac:dyDescent="0.45">
      <c r="A2194" s="1">
        <v>43175</v>
      </c>
      <c r="B2194">
        <v>113.260002</v>
      </c>
      <c r="C2194">
        <v>113.489998</v>
      </c>
      <c r="D2194">
        <v>112.790001</v>
      </c>
      <c r="E2194">
        <v>113.010002</v>
      </c>
      <c r="F2194">
        <v>107.52340700000001</v>
      </c>
      <c r="G2194">
        <v>6405400</v>
      </c>
    </row>
    <row r="2195" spans="1:7" x14ac:dyDescent="0.45">
      <c r="A2195" s="1">
        <v>43178</v>
      </c>
      <c r="B2195">
        <v>112.709999</v>
      </c>
      <c r="C2195">
        <v>113.489998</v>
      </c>
      <c r="D2195">
        <v>111.91999800000001</v>
      </c>
      <c r="E2195">
        <v>112.230003</v>
      </c>
      <c r="F2195">
        <v>106.781273</v>
      </c>
      <c r="G2195">
        <v>1425700</v>
      </c>
    </row>
    <row r="2196" spans="1:7" x14ac:dyDescent="0.45">
      <c r="A2196" s="1">
        <v>43179</v>
      </c>
      <c r="B2196">
        <v>112.110001</v>
      </c>
      <c r="C2196">
        <v>113</v>
      </c>
      <c r="D2196">
        <v>111.650002</v>
      </c>
      <c r="E2196">
        <v>112.66999800000001</v>
      </c>
      <c r="F2196">
        <v>107.199905</v>
      </c>
      <c r="G2196">
        <v>1418100</v>
      </c>
    </row>
    <row r="2197" spans="1:7" x14ac:dyDescent="0.45">
      <c r="A2197" s="1">
        <v>43180</v>
      </c>
      <c r="B2197">
        <v>111.129997</v>
      </c>
      <c r="C2197">
        <v>111.5</v>
      </c>
      <c r="D2197">
        <v>110.150002</v>
      </c>
      <c r="E2197">
        <v>110.230003</v>
      </c>
      <c r="F2197">
        <v>104.87838000000001</v>
      </c>
      <c r="G2197">
        <v>1735300</v>
      </c>
    </row>
    <row r="2198" spans="1:7" x14ac:dyDescent="0.45">
      <c r="A2198" s="1">
        <v>43181</v>
      </c>
      <c r="B2198">
        <v>109.05999799999999</v>
      </c>
      <c r="C2198">
        <v>109.739998</v>
      </c>
      <c r="D2198">
        <v>108.360001</v>
      </c>
      <c r="E2198">
        <v>108.480003</v>
      </c>
      <c r="F2198">
        <v>103.213341</v>
      </c>
      <c r="G2198">
        <v>1606100</v>
      </c>
    </row>
    <row r="2199" spans="1:7" x14ac:dyDescent="0.45">
      <c r="A2199" s="1">
        <v>43182</v>
      </c>
      <c r="B2199">
        <v>108.55999799999999</v>
      </c>
      <c r="C2199">
        <v>108.989998</v>
      </c>
      <c r="D2199">
        <v>106.760002</v>
      </c>
      <c r="E2199">
        <v>106.800003</v>
      </c>
      <c r="F2199">
        <v>101.614906</v>
      </c>
      <c r="G2199">
        <v>1526800</v>
      </c>
    </row>
    <row r="2200" spans="1:7" x14ac:dyDescent="0.45">
      <c r="A2200" s="1">
        <v>43185</v>
      </c>
      <c r="B2200">
        <v>107.910004</v>
      </c>
      <c r="C2200">
        <v>108.089996</v>
      </c>
      <c r="D2200">
        <v>106.43</v>
      </c>
      <c r="E2200">
        <v>107.75</v>
      </c>
      <c r="F2200">
        <v>102.51876799999999</v>
      </c>
      <c r="G2200">
        <v>1482900</v>
      </c>
    </row>
    <row r="2201" spans="1:7" x14ac:dyDescent="0.45">
      <c r="A2201" s="1">
        <v>43186</v>
      </c>
      <c r="B2201">
        <v>107.91999800000001</v>
      </c>
      <c r="C2201">
        <v>108.839996</v>
      </c>
      <c r="D2201">
        <v>106.970001</v>
      </c>
      <c r="E2201">
        <v>107.470001</v>
      </c>
      <c r="F2201">
        <v>102.252365</v>
      </c>
      <c r="G2201">
        <v>2651000</v>
      </c>
    </row>
    <row r="2202" spans="1:7" x14ac:dyDescent="0.45">
      <c r="A2202" s="1">
        <v>43187</v>
      </c>
      <c r="B2202">
        <v>108.599998</v>
      </c>
      <c r="C2202">
        <v>110.279999</v>
      </c>
      <c r="D2202">
        <v>108.269997</v>
      </c>
      <c r="E2202">
        <v>109.629997</v>
      </c>
      <c r="F2202">
        <v>104.307495</v>
      </c>
      <c r="G2202">
        <v>2695400</v>
      </c>
    </row>
    <row r="2203" spans="1:7" x14ac:dyDescent="0.45">
      <c r="A2203" s="1">
        <v>43188</v>
      </c>
      <c r="B2203">
        <v>110.93</v>
      </c>
      <c r="C2203">
        <v>110.980003</v>
      </c>
      <c r="D2203">
        <v>109.540001</v>
      </c>
      <c r="E2203">
        <v>109.94000200000001</v>
      </c>
      <c r="F2203">
        <v>104.60245500000001</v>
      </c>
      <c r="G2203">
        <v>1810600</v>
      </c>
    </row>
    <row r="2204" spans="1:7" x14ac:dyDescent="0.45">
      <c r="A2204" s="1">
        <v>43192</v>
      </c>
      <c r="B2204">
        <v>109.660004</v>
      </c>
      <c r="C2204">
        <v>110.18</v>
      </c>
      <c r="D2204">
        <v>107.599998</v>
      </c>
      <c r="E2204">
        <v>107.790001</v>
      </c>
      <c r="F2204">
        <v>102.556831</v>
      </c>
      <c r="G2204">
        <v>1304900</v>
      </c>
    </row>
    <row r="2205" spans="1:7" x14ac:dyDescent="0.45">
      <c r="A2205" s="1">
        <v>43193</v>
      </c>
      <c r="B2205">
        <v>107.660004</v>
      </c>
      <c r="C2205">
        <v>108.860001</v>
      </c>
      <c r="D2205">
        <v>106.849998</v>
      </c>
      <c r="E2205">
        <v>108.779999</v>
      </c>
      <c r="F2205">
        <v>103.49876399999999</v>
      </c>
      <c r="G2205">
        <v>1666600</v>
      </c>
    </row>
    <row r="2206" spans="1:7" x14ac:dyDescent="0.45">
      <c r="A2206" s="1">
        <v>43194</v>
      </c>
      <c r="B2206">
        <v>107.139999</v>
      </c>
      <c r="C2206">
        <v>109.449997</v>
      </c>
      <c r="D2206">
        <v>107.139999</v>
      </c>
      <c r="E2206">
        <v>109.239998</v>
      </c>
      <c r="F2206">
        <v>103.936432</v>
      </c>
      <c r="G2206">
        <v>1326400</v>
      </c>
    </row>
    <row r="2207" spans="1:7" x14ac:dyDescent="0.45">
      <c r="A2207" s="1">
        <v>43195</v>
      </c>
      <c r="B2207">
        <v>110.32</v>
      </c>
      <c r="C2207">
        <v>110.720001</v>
      </c>
      <c r="D2207">
        <v>109.91999800000001</v>
      </c>
      <c r="E2207">
        <v>110.040001</v>
      </c>
      <c r="F2207">
        <v>104.69760100000001</v>
      </c>
      <c r="G2207">
        <v>1508300</v>
      </c>
    </row>
    <row r="2208" spans="1:7" x14ac:dyDescent="0.45">
      <c r="A2208" s="1">
        <v>43196</v>
      </c>
      <c r="B2208">
        <v>110.160004</v>
      </c>
      <c r="C2208">
        <v>110.160004</v>
      </c>
      <c r="D2208">
        <v>107.610001</v>
      </c>
      <c r="E2208">
        <v>107.94000200000001</v>
      </c>
      <c r="F2208">
        <v>102.69955400000001</v>
      </c>
      <c r="G2208">
        <v>2044800</v>
      </c>
    </row>
    <row r="2209" spans="1:7" x14ac:dyDescent="0.45">
      <c r="A2209" s="1">
        <v>43199</v>
      </c>
      <c r="B2209">
        <v>108.860001</v>
      </c>
      <c r="C2209">
        <v>109.82</v>
      </c>
      <c r="D2209">
        <v>108.57</v>
      </c>
      <c r="E2209">
        <v>108.709999</v>
      </c>
      <c r="F2209">
        <v>103.43216700000001</v>
      </c>
      <c r="G2209">
        <v>1049300</v>
      </c>
    </row>
    <row r="2210" spans="1:7" x14ac:dyDescent="0.45">
      <c r="A2210" s="1">
        <v>43200</v>
      </c>
      <c r="B2210">
        <v>109.260002</v>
      </c>
      <c r="C2210">
        <v>109.33000199999999</v>
      </c>
      <c r="D2210">
        <v>107.739998</v>
      </c>
      <c r="E2210">
        <v>108.32</v>
      </c>
      <c r="F2210">
        <v>103.061104</v>
      </c>
      <c r="G2210">
        <v>1649500</v>
      </c>
    </row>
    <row r="2211" spans="1:7" x14ac:dyDescent="0.45">
      <c r="A2211" s="1">
        <v>43201</v>
      </c>
      <c r="B2211">
        <v>107.93</v>
      </c>
      <c r="C2211">
        <v>108.010002</v>
      </c>
      <c r="D2211">
        <v>106.199997</v>
      </c>
      <c r="E2211">
        <v>106.25</v>
      </c>
      <c r="F2211">
        <v>101.09159099999999</v>
      </c>
      <c r="G2211">
        <v>2111100</v>
      </c>
    </row>
    <row r="2212" spans="1:7" x14ac:dyDescent="0.45">
      <c r="A2212" s="1">
        <v>43202</v>
      </c>
      <c r="B2212">
        <v>105.68</v>
      </c>
      <c r="C2212">
        <v>106.07</v>
      </c>
      <c r="D2212">
        <v>105.19000200000001</v>
      </c>
      <c r="E2212">
        <v>105.199997</v>
      </c>
      <c r="F2212">
        <v>100.092575</v>
      </c>
      <c r="G2212">
        <v>2713000</v>
      </c>
    </row>
    <row r="2213" spans="1:7" x14ac:dyDescent="0.45">
      <c r="A2213" s="1">
        <v>43203</v>
      </c>
      <c r="B2213">
        <v>105.160004</v>
      </c>
      <c r="C2213">
        <v>105.220001</v>
      </c>
      <c r="D2213">
        <v>104.470001</v>
      </c>
      <c r="E2213">
        <v>104.800003</v>
      </c>
      <c r="F2213">
        <v>99.712006000000002</v>
      </c>
      <c r="G2213">
        <v>1326300</v>
      </c>
    </row>
    <row r="2214" spans="1:7" x14ac:dyDescent="0.45">
      <c r="A2214" s="1">
        <v>43206</v>
      </c>
      <c r="B2214">
        <v>105</v>
      </c>
      <c r="C2214">
        <v>105.05999799999999</v>
      </c>
      <c r="D2214">
        <v>104.19000200000001</v>
      </c>
      <c r="E2214">
        <v>104.32</v>
      </c>
      <c r="F2214">
        <v>99.255302</v>
      </c>
      <c r="G2214">
        <v>1457600</v>
      </c>
    </row>
    <row r="2215" spans="1:7" x14ac:dyDescent="0.45">
      <c r="A2215" s="1">
        <v>43207</v>
      </c>
      <c r="B2215">
        <v>105.75</v>
      </c>
      <c r="C2215">
        <v>106.860001</v>
      </c>
      <c r="D2215">
        <v>104.94000200000001</v>
      </c>
      <c r="E2215">
        <v>106.709999</v>
      </c>
      <c r="F2215">
        <v>101.529259</v>
      </c>
      <c r="G2215">
        <v>2721300</v>
      </c>
    </row>
    <row r="2216" spans="1:7" x14ac:dyDescent="0.45">
      <c r="A2216" s="1">
        <v>43208</v>
      </c>
      <c r="B2216">
        <v>107.150002</v>
      </c>
      <c r="C2216">
        <v>107.620003</v>
      </c>
      <c r="D2216">
        <v>106.57</v>
      </c>
      <c r="E2216">
        <v>107</v>
      </c>
      <c r="F2216">
        <v>101.805183</v>
      </c>
      <c r="G2216">
        <v>1678200</v>
      </c>
    </row>
    <row r="2217" spans="1:7" x14ac:dyDescent="0.45">
      <c r="A2217" s="1">
        <v>43209</v>
      </c>
      <c r="B2217">
        <v>107.209999</v>
      </c>
      <c r="C2217">
        <v>107.209999</v>
      </c>
      <c r="D2217">
        <v>104.449997</v>
      </c>
      <c r="E2217">
        <v>105.05999799999999</v>
      </c>
      <c r="F2217">
        <v>99.959372999999999</v>
      </c>
      <c r="G2217">
        <v>2079500</v>
      </c>
    </row>
    <row r="2218" spans="1:7" x14ac:dyDescent="0.45">
      <c r="A2218" s="1">
        <v>43210</v>
      </c>
      <c r="B2218">
        <v>105.510002</v>
      </c>
      <c r="C2218">
        <v>105.529999</v>
      </c>
      <c r="D2218">
        <v>103.599998</v>
      </c>
      <c r="E2218">
        <v>103.94000200000001</v>
      </c>
      <c r="F2218">
        <v>98.893753000000004</v>
      </c>
      <c r="G2218">
        <v>2071000</v>
      </c>
    </row>
    <row r="2219" spans="1:7" x14ac:dyDescent="0.45">
      <c r="A2219" s="1">
        <v>43213</v>
      </c>
      <c r="B2219">
        <v>103.290001</v>
      </c>
      <c r="C2219">
        <v>103.550003</v>
      </c>
      <c r="D2219">
        <v>102.900002</v>
      </c>
      <c r="E2219">
        <v>103.07</v>
      </c>
      <c r="F2219">
        <v>98.065987000000007</v>
      </c>
      <c r="G2219">
        <v>1450200</v>
      </c>
    </row>
    <row r="2220" spans="1:7" x14ac:dyDescent="0.45">
      <c r="A2220" s="1">
        <v>43214</v>
      </c>
      <c r="B2220">
        <v>103.599998</v>
      </c>
      <c r="C2220">
        <v>103.650002</v>
      </c>
      <c r="D2220">
        <v>101.959999</v>
      </c>
      <c r="E2220">
        <v>102.480003</v>
      </c>
      <c r="F2220">
        <v>97.504638999999997</v>
      </c>
      <c r="G2220">
        <v>1862100</v>
      </c>
    </row>
    <row r="2221" spans="1:7" x14ac:dyDescent="0.45">
      <c r="A2221" s="1">
        <v>43215</v>
      </c>
      <c r="B2221">
        <v>102.870003</v>
      </c>
      <c r="C2221">
        <v>103.529999</v>
      </c>
      <c r="D2221">
        <v>102.510002</v>
      </c>
      <c r="E2221">
        <v>103.230003</v>
      </c>
      <c r="F2221">
        <v>98.218215999999998</v>
      </c>
      <c r="G2221">
        <v>1867900</v>
      </c>
    </row>
    <row r="2222" spans="1:7" x14ac:dyDescent="0.45">
      <c r="A2222" s="1">
        <v>43216</v>
      </c>
      <c r="B2222">
        <v>104.510002</v>
      </c>
      <c r="C2222">
        <v>104.629997</v>
      </c>
      <c r="D2222">
        <v>101.760002</v>
      </c>
      <c r="E2222">
        <v>101.900002</v>
      </c>
      <c r="F2222">
        <v>96.952788999999996</v>
      </c>
      <c r="G2222">
        <v>3232200</v>
      </c>
    </row>
    <row r="2223" spans="1:7" x14ac:dyDescent="0.45">
      <c r="A2223" s="1">
        <v>43217</v>
      </c>
      <c r="B2223">
        <v>102.489998</v>
      </c>
      <c r="C2223">
        <v>102.489998</v>
      </c>
      <c r="D2223">
        <v>99.739998</v>
      </c>
      <c r="E2223">
        <v>99.849997999999999</v>
      </c>
      <c r="F2223">
        <v>95.002319</v>
      </c>
      <c r="G2223">
        <v>5325800</v>
      </c>
    </row>
    <row r="2224" spans="1:7" x14ac:dyDescent="0.45">
      <c r="A2224" s="1">
        <v>43220</v>
      </c>
      <c r="B2224">
        <v>101.269997</v>
      </c>
      <c r="C2224">
        <v>101.519997</v>
      </c>
      <c r="D2224">
        <v>99.889999000000003</v>
      </c>
      <c r="E2224">
        <v>100.08000199999999</v>
      </c>
      <c r="F2224">
        <v>95.221153000000001</v>
      </c>
      <c r="G2224">
        <v>3787200</v>
      </c>
    </row>
    <row r="2225" spans="1:7" x14ac:dyDescent="0.45">
      <c r="A2225" s="1">
        <v>43221</v>
      </c>
      <c r="B2225">
        <v>98.099997999999999</v>
      </c>
      <c r="C2225">
        <v>98.099997999999999</v>
      </c>
      <c r="D2225">
        <v>96.139999000000003</v>
      </c>
      <c r="E2225">
        <v>97.589995999999999</v>
      </c>
      <c r="F2225">
        <v>95.209441999999996</v>
      </c>
      <c r="G2225">
        <v>2882800</v>
      </c>
    </row>
    <row r="2226" spans="1:7" x14ac:dyDescent="0.45">
      <c r="A2226" s="1">
        <v>43222</v>
      </c>
      <c r="B2226">
        <v>97.18</v>
      </c>
      <c r="C2226">
        <v>97.18</v>
      </c>
      <c r="D2226">
        <v>94.57</v>
      </c>
      <c r="E2226">
        <v>94.68</v>
      </c>
      <c r="F2226">
        <v>92.370429999999999</v>
      </c>
      <c r="G2226">
        <v>6471600</v>
      </c>
    </row>
    <row r="2227" spans="1:7" x14ac:dyDescent="0.45">
      <c r="A2227" s="1">
        <v>43223</v>
      </c>
      <c r="B2227">
        <v>96.290001000000004</v>
      </c>
      <c r="C2227">
        <v>97.07</v>
      </c>
      <c r="D2227">
        <v>96.209998999999996</v>
      </c>
      <c r="E2227">
        <v>96.620002999999997</v>
      </c>
      <c r="F2227">
        <v>94.263107000000005</v>
      </c>
      <c r="G2227">
        <v>4498000</v>
      </c>
    </row>
    <row r="2228" spans="1:7" x14ac:dyDescent="0.45">
      <c r="A2228" s="1">
        <v>43224</v>
      </c>
      <c r="B2228">
        <v>97.349997999999999</v>
      </c>
      <c r="C2228">
        <v>98.099997999999999</v>
      </c>
      <c r="D2228">
        <v>96.959998999999996</v>
      </c>
      <c r="E2228">
        <v>97.440002000000007</v>
      </c>
      <c r="F2228">
        <v>95.063102999999998</v>
      </c>
      <c r="G2228">
        <v>3615300</v>
      </c>
    </row>
    <row r="2229" spans="1:7" x14ac:dyDescent="0.45">
      <c r="A2229" s="1">
        <v>43227</v>
      </c>
      <c r="B2229">
        <v>97.699996999999996</v>
      </c>
      <c r="C2229">
        <v>97.889999000000003</v>
      </c>
      <c r="D2229">
        <v>97.379997000000003</v>
      </c>
      <c r="E2229">
        <v>97.639999000000003</v>
      </c>
      <c r="F2229">
        <v>95.258217000000002</v>
      </c>
      <c r="G2229">
        <v>1406100</v>
      </c>
    </row>
    <row r="2230" spans="1:7" x14ac:dyDescent="0.45">
      <c r="A2230" s="1">
        <v>43228</v>
      </c>
      <c r="B2230">
        <v>97.889999000000003</v>
      </c>
      <c r="C2230">
        <v>98.239998</v>
      </c>
      <c r="D2230">
        <v>96.970000999999996</v>
      </c>
      <c r="E2230">
        <v>98.239998</v>
      </c>
      <c r="F2230">
        <v>95.843581999999998</v>
      </c>
      <c r="G2230">
        <v>1952100</v>
      </c>
    </row>
    <row r="2231" spans="1:7" x14ac:dyDescent="0.45">
      <c r="A2231" s="1">
        <v>43229</v>
      </c>
      <c r="B2231">
        <v>101.19000200000001</v>
      </c>
      <c r="C2231">
        <v>101.709999</v>
      </c>
      <c r="D2231">
        <v>97.57</v>
      </c>
      <c r="E2231">
        <v>97.93</v>
      </c>
      <c r="F2231">
        <v>95.541145</v>
      </c>
      <c r="G2231">
        <v>3763600</v>
      </c>
    </row>
    <row r="2232" spans="1:7" x14ac:dyDescent="0.45">
      <c r="A2232" s="1">
        <v>43230</v>
      </c>
      <c r="B2232">
        <v>95.5</v>
      </c>
      <c r="C2232">
        <v>95.690002000000007</v>
      </c>
      <c r="D2232">
        <v>94.419998000000007</v>
      </c>
      <c r="E2232">
        <v>95.400002000000001</v>
      </c>
      <c r="F2232">
        <v>93.072868</v>
      </c>
      <c r="G2232">
        <v>4196000</v>
      </c>
    </row>
    <row r="2233" spans="1:7" x14ac:dyDescent="0.45">
      <c r="A2233" s="1">
        <v>43231</v>
      </c>
      <c r="B2233">
        <v>95.419998000000007</v>
      </c>
      <c r="C2233">
        <v>95.849997999999999</v>
      </c>
      <c r="D2233">
        <v>94.540001000000004</v>
      </c>
      <c r="E2233">
        <v>95.059997999999993</v>
      </c>
      <c r="F2233">
        <v>92.741150000000005</v>
      </c>
      <c r="G2233">
        <v>1941900</v>
      </c>
    </row>
    <row r="2234" spans="1:7" x14ac:dyDescent="0.45">
      <c r="A2234" s="1">
        <v>43234</v>
      </c>
      <c r="B2234">
        <v>96.300003000000004</v>
      </c>
      <c r="C2234">
        <v>96.43</v>
      </c>
      <c r="D2234">
        <v>95.349997999999999</v>
      </c>
      <c r="E2234">
        <v>95.480002999999996</v>
      </c>
      <c r="F2234">
        <v>93.150908999999999</v>
      </c>
      <c r="G2234">
        <v>2874500</v>
      </c>
    </row>
    <row r="2235" spans="1:7" x14ac:dyDescent="0.45">
      <c r="A2235" s="1">
        <v>43235</v>
      </c>
      <c r="B2235">
        <v>93.370002999999997</v>
      </c>
      <c r="C2235">
        <v>94.099997999999999</v>
      </c>
      <c r="D2235">
        <v>92.970000999999996</v>
      </c>
      <c r="E2235">
        <v>93.589995999999999</v>
      </c>
      <c r="F2235">
        <v>91.307013999999995</v>
      </c>
      <c r="G2235">
        <v>2817200</v>
      </c>
    </row>
    <row r="2236" spans="1:7" x14ac:dyDescent="0.45">
      <c r="A2236" s="1">
        <v>43236</v>
      </c>
      <c r="B2236">
        <v>93.639999000000003</v>
      </c>
      <c r="C2236">
        <v>94.089995999999999</v>
      </c>
      <c r="D2236">
        <v>93.639999000000003</v>
      </c>
      <c r="E2236">
        <v>93.93</v>
      </c>
      <c r="F2236">
        <v>91.638724999999994</v>
      </c>
      <c r="G2236">
        <v>1333000</v>
      </c>
    </row>
    <row r="2237" spans="1:7" x14ac:dyDescent="0.45">
      <c r="A2237" s="1">
        <v>43237</v>
      </c>
      <c r="B2237">
        <v>95.099997999999999</v>
      </c>
      <c r="C2237">
        <v>95.139999000000003</v>
      </c>
      <c r="D2237">
        <v>94.050003000000004</v>
      </c>
      <c r="E2237">
        <v>94.419998000000007</v>
      </c>
      <c r="F2237">
        <v>92.116767999999993</v>
      </c>
      <c r="G2237">
        <v>1864600</v>
      </c>
    </row>
    <row r="2238" spans="1:7" x14ac:dyDescent="0.45">
      <c r="A2238" s="1">
        <v>43238</v>
      </c>
      <c r="B2238">
        <v>95.139999000000003</v>
      </c>
      <c r="C2238">
        <v>95.18</v>
      </c>
      <c r="D2238">
        <v>94.050003000000004</v>
      </c>
      <c r="E2238">
        <v>94.300003000000004</v>
      </c>
      <c r="F2238">
        <v>91.999701999999999</v>
      </c>
      <c r="G2238">
        <v>1632300</v>
      </c>
    </row>
    <row r="2239" spans="1:7" x14ac:dyDescent="0.45">
      <c r="A2239" s="1">
        <v>43241</v>
      </c>
      <c r="B2239">
        <v>94.510002</v>
      </c>
      <c r="C2239">
        <v>94.650002000000001</v>
      </c>
      <c r="D2239">
        <v>93.949996999999996</v>
      </c>
      <c r="E2239">
        <v>94.199996999999996</v>
      </c>
      <c r="F2239">
        <v>91.90213</v>
      </c>
      <c r="G2239">
        <v>2700100</v>
      </c>
    </row>
    <row r="2240" spans="1:7" x14ac:dyDescent="0.45">
      <c r="A2240" s="1">
        <v>43242</v>
      </c>
      <c r="B2240">
        <v>95.760002</v>
      </c>
      <c r="C2240">
        <v>95.870002999999997</v>
      </c>
      <c r="D2240">
        <v>94.639999000000003</v>
      </c>
      <c r="E2240">
        <v>94.93</v>
      </c>
      <c r="F2240">
        <v>92.614326000000005</v>
      </c>
      <c r="G2240">
        <v>3011800</v>
      </c>
    </row>
    <row r="2241" spans="1:7" x14ac:dyDescent="0.45">
      <c r="A2241" s="1">
        <v>43243</v>
      </c>
      <c r="B2241">
        <v>94.400002000000001</v>
      </c>
      <c r="C2241">
        <v>94.860000999999997</v>
      </c>
      <c r="D2241">
        <v>94.110000999999997</v>
      </c>
      <c r="E2241">
        <v>94.769997000000004</v>
      </c>
      <c r="F2241">
        <v>92.458220999999995</v>
      </c>
      <c r="G2241">
        <v>2736900</v>
      </c>
    </row>
    <row r="2242" spans="1:7" x14ac:dyDescent="0.45">
      <c r="A2242" s="1">
        <v>43244</v>
      </c>
      <c r="B2242">
        <v>95.43</v>
      </c>
      <c r="C2242">
        <v>95.860000999999997</v>
      </c>
      <c r="D2242">
        <v>95</v>
      </c>
      <c r="E2242">
        <v>95.75</v>
      </c>
      <c r="F2242">
        <v>93.414321999999999</v>
      </c>
      <c r="G2242">
        <v>1688300</v>
      </c>
    </row>
    <row r="2243" spans="1:7" x14ac:dyDescent="0.45">
      <c r="A2243" s="1">
        <v>43245</v>
      </c>
      <c r="B2243">
        <v>94.269997000000004</v>
      </c>
      <c r="C2243">
        <v>95.059997999999993</v>
      </c>
      <c r="D2243">
        <v>94.230002999999996</v>
      </c>
      <c r="E2243">
        <v>94.720000999999996</v>
      </c>
      <c r="F2243">
        <v>92.409453999999997</v>
      </c>
      <c r="G2243">
        <v>1883400</v>
      </c>
    </row>
    <row r="2244" spans="1:7" x14ac:dyDescent="0.45">
      <c r="A2244" s="1">
        <v>43249</v>
      </c>
      <c r="B2244">
        <v>92.82</v>
      </c>
      <c r="C2244">
        <v>93.330001999999993</v>
      </c>
      <c r="D2244">
        <v>91.699996999999996</v>
      </c>
      <c r="E2244">
        <v>92.339995999999999</v>
      </c>
      <c r="F2244">
        <v>90.087508999999997</v>
      </c>
      <c r="G2244">
        <v>3130000</v>
      </c>
    </row>
    <row r="2245" spans="1:7" x14ac:dyDescent="0.45">
      <c r="A2245" s="1">
        <v>43250</v>
      </c>
      <c r="B2245">
        <v>94.129997000000003</v>
      </c>
      <c r="C2245">
        <v>94.279999000000004</v>
      </c>
      <c r="D2245">
        <v>93.029999000000004</v>
      </c>
      <c r="E2245">
        <v>94.150002000000001</v>
      </c>
      <c r="F2245">
        <v>91.853363000000002</v>
      </c>
      <c r="G2245">
        <v>1955300</v>
      </c>
    </row>
    <row r="2246" spans="1:7" x14ac:dyDescent="0.45">
      <c r="A2246" s="1">
        <v>43251</v>
      </c>
      <c r="B2246">
        <v>94.660004000000001</v>
      </c>
      <c r="C2246">
        <v>94.690002000000007</v>
      </c>
      <c r="D2246">
        <v>93.099997999999999</v>
      </c>
      <c r="E2246">
        <v>93.589995999999999</v>
      </c>
      <c r="F2246">
        <v>91.307013999999995</v>
      </c>
      <c r="G2246">
        <v>2063000</v>
      </c>
    </row>
    <row r="2247" spans="1:7" x14ac:dyDescent="0.45">
      <c r="A2247" s="1">
        <v>43252</v>
      </c>
      <c r="B2247">
        <v>94.440002000000007</v>
      </c>
      <c r="C2247">
        <v>94.57</v>
      </c>
      <c r="D2247">
        <v>92.830001999999993</v>
      </c>
      <c r="E2247">
        <v>93.419998000000007</v>
      </c>
      <c r="F2247">
        <v>91.141159000000002</v>
      </c>
      <c r="G2247">
        <v>2048900</v>
      </c>
    </row>
    <row r="2248" spans="1:7" x14ac:dyDescent="0.45">
      <c r="A2248" s="1">
        <v>43255</v>
      </c>
      <c r="B2248">
        <v>96.75</v>
      </c>
      <c r="C2248">
        <v>96.75</v>
      </c>
      <c r="D2248">
        <v>96.089995999999999</v>
      </c>
      <c r="E2248">
        <v>96.279999000000004</v>
      </c>
      <c r="F2248">
        <v>93.931396000000007</v>
      </c>
      <c r="G2248">
        <v>2477200</v>
      </c>
    </row>
    <row r="2249" spans="1:7" x14ac:dyDescent="0.45">
      <c r="A2249" s="1">
        <v>43256</v>
      </c>
      <c r="B2249">
        <v>96.699996999999996</v>
      </c>
      <c r="C2249">
        <v>96.730002999999996</v>
      </c>
      <c r="D2249">
        <v>94.870002999999997</v>
      </c>
      <c r="E2249">
        <v>95.139999000000003</v>
      </c>
      <c r="F2249">
        <v>92.819205999999994</v>
      </c>
      <c r="G2249">
        <v>1965400</v>
      </c>
    </row>
    <row r="2250" spans="1:7" x14ac:dyDescent="0.45">
      <c r="A2250" s="1">
        <v>43257</v>
      </c>
      <c r="B2250">
        <v>94.779999000000004</v>
      </c>
      <c r="C2250">
        <v>94.919998000000007</v>
      </c>
      <c r="D2250">
        <v>94.239998</v>
      </c>
      <c r="E2250">
        <v>94.870002999999997</v>
      </c>
      <c r="F2250">
        <v>92.555794000000006</v>
      </c>
      <c r="G2250">
        <v>1763100</v>
      </c>
    </row>
    <row r="2251" spans="1:7" x14ac:dyDescent="0.45">
      <c r="A2251" s="1">
        <v>43258</v>
      </c>
      <c r="B2251">
        <v>94.5</v>
      </c>
      <c r="C2251">
        <v>94.650002000000001</v>
      </c>
      <c r="D2251">
        <v>93.599997999999999</v>
      </c>
      <c r="E2251">
        <v>93.959998999999996</v>
      </c>
      <c r="F2251">
        <v>91.667984000000004</v>
      </c>
      <c r="G2251">
        <v>3119800</v>
      </c>
    </row>
    <row r="2252" spans="1:7" x14ac:dyDescent="0.45">
      <c r="A2252" s="1">
        <v>43259</v>
      </c>
      <c r="B2252">
        <v>94.019997000000004</v>
      </c>
      <c r="C2252">
        <v>94.75</v>
      </c>
      <c r="D2252">
        <v>93.889999000000003</v>
      </c>
      <c r="E2252">
        <v>94.669998000000007</v>
      </c>
      <c r="F2252">
        <v>92.360671999999994</v>
      </c>
      <c r="G2252">
        <v>1011800</v>
      </c>
    </row>
    <row r="2253" spans="1:7" x14ac:dyDescent="0.45">
      <c r="A2253" s="1">
        <v>43262</v>
      </c>
      <c r="B2253">
        <v>95.93</v>
      </c>
      <c r="C2253">
        <v>97.129997000000003</v>
      </c>
      <c r="D2253">
        <v>95.75</v>
      </c>
      <c r="E2253">
        <v>96.93</v>
      </c>
      <c r="F2253">
        <v>94.565535999999994</v>
      </c>
      <c r="G2253">
        <v>1914400</v>
      </c>
    </row>
    <row r="2254" spans="1:7" x14ac:dyDescent="0.45">
      <c r="A2254" s="1">
        <v>43263</v>
      </c>
      <c r="B2254">
        <v>97.739998</v>
      </c>
      <c r="C2254">
        <v>98.110000999999997</v>
      </c>
      <c r="D2254">
        <v>97.330001999999993</v>
      </c>
      <c r="E2254">
        <v>97.650002000000001</v>
      </c>
      <c r="F2254">
        <v>95.267982000000003</v>
      </c>
      <c r="G2254">
        <v>1304800</v>
      </c>
    </row>
    <row r="2255" spans="1:7" x14ac:dyDescent="0.45">
      <c r="A2255" s="1">
        <v>43264</v>
      </c>
      <c r="B2255">
        <v>98.480002999999996</v>
      </c>
      <c r="C2255">
        <v>98.639999000000003</v>
      </c>
      <c r="D2255">
        <v>97.239998</v>
      </c>
      <c r="E2255">
        <v>97.800003000000004</v>
      </c>
      <c r="F2255">
        <v>95.414321999999999</v>
      </c>
      <c r="G2255">
        <v>1376900</v>
      </c>
    </row>
    <row r="2256" spans="1:7" x14ac:dyDescent="0.45">
      <c r="A2256" s="1">
        <v>43265</v>
      </c>
      <c r="B2256">
        <v>98.099997999999999</v>
      </c>
      <c r="C2256">
        <v>98.269997000000004</v>
      </c>
      <c r="D2256">
        <v>97.339995999999999</v>
      </c>
      <c r="E2256">
        <v>97.370002999999997</v>
      </c>
      <c r="F2256">
        <v>94.994804000000002</v>
      </c>
      <c r="G2256">
        <v>1302400</v>
      </c>
    </row>
    <row r="2257" spans="1:7" x14ac:dyDescent="0.45">
      <c r="A2257" s="1">
        <v>43266</v>
      </c>
      <c r="B2257">
        <v>99.18</v>
      </c>
      <c r="C2257">
        <v>99.18</v>
      </c>
      <c r="D2257">
        <v>98</v>
      </c>
      <c r="E2257">
        <v>98.529999000000004</v>
      </c>
      <c r="F2257">
        <v>96.126510999999994</v>
      </c>
      <c r="G2257">
        <v>1561500</v>
      </c>
    </row>
    <row r="2258" spans="1:7" x14ac:dyDescent="0.45">
      <c r="A2258" s="1">
        <v>43269</v>
      </c>
      <c r="B2258">
        <v>96.980002999999996</v>
      </c>
      <c r="C2258">
        <v>97.019997000000004</v>
      </c>
      <c r="D2258">
        <v>95.839995999999999</v>
      </c>
      <c r="E2258">
        <v>96.599997999999999</v>
      </c>
      <c r="F2258">
        <v>94.243583999999998</v>
      </c>
      <c r="G2258">
        <v>1780700</v>
      </c>
    </row>
    <row r="2259" spans="1:7" x14ac:dyDescent="0.45">
      <c r="A2259" s="1">
        <v>43270</v>
      </c>
      <c r="B2259">
        <v>95.349997999999999</v>
      </c>
      <c r="C2259">
        <v>96.510002</v>
      </c>
      <c r="D2259">
        <v>95.25</v>
      </c>
      <c r="E2259">
        <v>96.419998000000007</v>
      </c>
      <c r="F2259">
        <v>94.067986000000005</v>
      </c>
      <c r="G2259">
        <v>1168900</v>
      </c>
    </row>
    <row r="2260" spans="1:7" x14ac:dyDescent="0.45">
      <c r="A2260" s="1">
        <v>43271</v>
      </c>
      <c r="B2260">
        <v>97.199996999999996</v>
      </c>
      <c r="C2260">
        <v>97.25</v>
      </c>
      <c r="D2260">
        <v>96.419998000000007</v>
      </c>
      <c r="E2260">
        <v>96.800003000000004</v>
      </c>
      <c r="F2260">
        <v>94.438713000000007</v>
      </c>
      <c r="G2260">
        <v>1727800</v>
      </c>
    </row>
    <row r="2261" spans="1:7" x14ac:dyDescent="0.45">
      <c r="A2261" s="1">
        <v>43272</v>
      </c>
      <c r="B2261">
        <v>97.900002000000001</v>
      </c>
      <c r="C2261">
        <v>97.980002999999996</v>
      </c>
      <c r="D2261">
        <v>97.110000999999997</v>
      </c>
      <c r="E2261">
        <v>97.290001000000004</v>
      </c>
      <c r="F2261">
        <v>94.916763000000003</v>
      </c>
      <c r="G2261">
        <v>1312400</v>
      </c>
    </row>
    <row r="2262" spans="1:7" x14ac:dyDescent="0.45">
      <c r="A2262" s="1">
        <v>43273</v>
      </c>
      <c r="B2262">
        <v>98.489998</v>
      </c>
      <c r="C2262">
        <v>99.360000999999997</v>
      </c>
      <c r="D2262">
        <v>98.389999000000003</v>
      </c>
      <c r="E2262">
        <v>99.129997000000003</v>
      </c>
      <c r="F2262">
        <v>96.711876000000004</v>
      </c>
      <c r="G2262">
        <v>1993700</v>
      </c>
    </row>
    <row r="2263" spans="1:7" x14ac:dyDescent="0.45">
      <c r="A2263" s="1">
        <v>43276</v>
      </c>
      <c r="B2263">
        <v>98.989998</v>
      </c>
      <c r="C2263">
        <v>99.169998000000007</v>
      </c>
      <c r="D2263">
        <v>97.309997999999993</v>
      </c>
      <c r="E2263">
        <v>97.830001999999993</v>
      </c>
      <c r="F2263">
        <v>95.443588000000005</v>
      </c>
      <c r="G2263">
        <v>1437900</v>
      </c>
    </row>
    <row r="2264" spans="1:7" x14ac:dyDescent="0.45">
      <c r="A2264" s="1">
        <v>43277</v>
      </c>
      <c r="B2264">
        <v>97.540001000000004</v>
      </c>
      <c r="C2264">
        <v>98.580001999999993</v>
      </c>
      <c r="D2264">
        <v>96.870002999999997</v>
      </c>
      <c r="E2264">
        <v>98.410004000000001</v>
      </c>
      <c r="F2264">
        <v>96.009438000000003</v>
      </c>
      <c r="G2264">
        <v>2189100</v>
      </c>
    </row>
    <row r="2265" spans="1:7" x14ac:dyDescent="0.45">
      <c r="A2265" s="1">
        <v>43278</v>
      </c>
      <c r="B2265">
        <v>98</v>
      </c>
      <c r="C2265">
        <v>98.879997000000003</v>
      </c>
      <c r="D2265">
        <v>97.699996999999996</v>
      </c>
      <c r="E2265">
        <v>97.739998</v>
      </c>
      <c r="F2265">
        <v>95.355782000000005</v>
      </c>
      <c r="G2265">
        <v>1670500</v>
      </c>
    </row>
    <row r="2266" spans="1:7" x14ac:dyDescent="0.45">
      <c r="A2266" s="1">
        <v>43279</v>
      </c>
      <c r="B2266">
        <v>98.199996999999996</v>
      </c>
      <c r="C2266">
        <v>99.279999000000004</v>
      </c>
      <c r="D2266">
        <v>98.160004000000001</v>
      </c>
      <c r="E2266">
        <v>99.169998000000007</v>
      </c>
      <c r="F2266">
        <v>96.750900000000001</v>
      </c>
      <c r="G2266">
        <v>1202700</v>
      </c>
    </row>
    <row r="2267" spans="1:7" x14ac:dyDescent="0.45">
      <c r="A2267" s="1">
        <v>43280</v>
      </c>
      <c r="B2267">
        <v>100.660004</v>
      </c>
      <c r="C2267">
        <v>101.290001</v>
      </c>
      <c r="D2267">
        <v>100.279999</v>
      </c>
      <c r="E2267">
        <v>100.760002</v>
      </c>
      <c r="F2267">
        <v>98.302115999999998</v>
      </c>
      <c r="G2267">
        <v>2155500</v>
      </c>
    </row>
    <row r="2268" spans="1:7" x14ac:dyDescent="0.45">
      <c r="A2268" s="1">
        <v>43283</v>
      </c>
      <c r="B2268">
        <v>100.349998</v>
      </c>
      <c r="C2268">
        <v>100.739998</v>
      </c>
      <c r="D2268">
        <v>99.879997000000003</v>
      </c>
      <c r="E2268">
        <v>100.599998</v>
      </c>
      <c r="F2268">
        <v>98.146018999999995</v>
      </c>
      <c r="G2268">
        <v>1265200</v>
      </c>
    </row>
    <row r="2269" spans="1:7" x14ac:dyDescent="0.45">
      <c r="A2269" s="1">
        <v>43284</v>
      </c>
      <c r="B2269">
        <v>101.769997</v>
      </c>
      <c r="C2269">
        <v>101.94000200000001</v>
      </c>
      <c r="D2269">
        <v>101.269997</v>
      </c>
      <c r="E2269">
        <v>101.43</v>
      </c>
      <c r="F2269">
        <v>98.955771999999996</v>
      </c>
      <c r="G2269">
        <v>789600</v>
      </c>
    </row>
    <row r="2270" spans="1:7" x14ac:dyDescent="0.45">
      <c r="A2270" s="1">
        <v>43286</v>
      </c>
      <c r="B2270">
        <v>102.260002</v>
      </c>
      <c r="C2270">
        <v>102.44000200000001</v>
      </c>
      <c r="D2270">
        <v>101.69000200000001</v>
      </c>
      <c r="E2270">
        <v>102.41999800000001</v>
      </c>
      <c r="F2270">
        <v>99.921616</v>
      </c>
      <c r="G2270">
        <v>1118800</v>
      </c>
    </row>
    <row r="2271" spans="1:7" x14ac:dyDescent="0.45">
      <c r="A2271" s="1">
        <v>43287</v>
      </c>
      <c r="B2271">
        <v>104.25</v>
      </c>
      <c r="C2271">
        <v>104.400002</v>
      </c>
      <c r="D2271">
        <v>103.58000199999999</v>
      </c>
      <c r="E2271">
        <v>103.839996</v>
      </c>
      <c r="F2271">
        <v>101.30697600000001</v>
      </c>
      <c r="G2271">
        <v>1506700</v>
      </c>
    </row>
    <row r="2272" spans="1:7" x14ac:dyDescent="0.45">
      <c r="A2272" s="1">
        <v>43290</v>
      </c>
      <c r="B2272">
        <v>104.5</v>
      </c>
      <c r="C2272">
        <v>104.55999799999999</v>
      </c>
      <c r="D2272">
        <v>103.709999</v>
      </c>
      <c r="E2272">
        <v>103.80999799999999</v>
      </c>
      <c r="F2272">
        <v>101.27771</v>
      </c>
      <c r="G2272">
        <v>1120200</v>
      </c>
    </row>
    <row r="2273" spans="1:7" x14ac:dyDescent="0.45">
      <c r="A2273" s="1">
        <v>43291</v>
      </c>
      <c r="B2273">
        <v>103.220001</v>
      </c>
      <c r="C2273">
        <v>104</v>
      </c>
      <c r="D2273">
        <v>102.860001</v>
      </c>
      <c r="E2273">
        <v>103.889999</v>
      </c>
      <c r="F2273">
        <v>101.355766</v>
      </c>
      <c r="G2273">
        <v>779900</v>
      </c>
    </row>
    <row r="2274" spans="1:7" x14ac:dyDescent="0.45">
      <c r="A2274" s="1">
        <v>43292</v>
      </c>
      <c r="B2274">
        <v>104.16999800000001</v>
      </c>
      <c r="C2274">
        <v>104.379997</v>
      </c>
      <c r="D2274">
        <v>102.93</v>
      </c>
      <c r="E2274">
        <v>103.05999799999999</v>
      </c>
      <c r="F2274">
        <v>100.54600499999999</v>
      </c>
      <c r="G2274">
        <v>978300</v>
      </c>
    </row>
    <row r="2275" spans="1:7" x14ac:dyDescent="0.45">
      <c r="A2275" s="1">
        <v>43293</v>
      </c>
      <c r="B2275">
        <v>103.30999799999999</v>
      </c>
      <c r="C2275">
        <v>103.739998</v>
      </c>
      <c r="D2275">
        <v>103.160004</v>
      </c>
      <c r="E2275">
        <v>103.410004</v>
      </c>
      <c r="F2275">
        <v>100.887474</v>
      </c>
      <c r="G2275">
        <v>1362100</v>
      </c>
    </row>
    <row r="2276" spans="1:7" x14ac:dyDescent="0.45">
      <c r="A2276" s="1">
        <v>43294</v>
      </c>
      <c r="B2276">
        <v>103.58000199999999</v>
      </c>
      <c r="C2276">
        <v>103.989998</v>
      </c>
      <c r="D2276">
        <v>103.449997</v>
      </c>
      <c r="E2276">
        <v>103.91999800000001</v>
      </c>
      <c r="F2276">
        <v>101.385025</v>
      </c>
      <c r="G2276">
        <v>698400</v>
      </c>
    </row>
    <row r="2277" spans="1:7" x14ac:dyDescent="0.45">
      <c r="A2277" s="1">
        <v>43297</v>
      </c>
      <c r="B2277">
        <v>104.18</v>
      </c>
      <c r="C2277">
        <v>104.209999</v>
      </c>
      <c r="D2277">
        <v>103.260002</v>
      </c>
      <c r="E2277">
        <v>103.41999800000001</v>
      </c>
      <c r="F2277">
        <v>100.89722399999999</v>
      </c>
      <c r="G2277">
        <v>514900</v>
      </c>
    </row>
    <row r="2278" spans="1:7" x14ac:dyDescent="0.45">
      <c r="A2278" s="1">
        <v>43298</v>
      </c>
      <c r="B2278">
        <v>102.779999</v>
      </c>
      <c r="C2278">
        <v>103.260002</v>
      </c>
      <c r="D2278">
        <v>102.620003</v>
      </c>
      <c r="E2278">
        <v>102.75</v>
      </c>
      <c r="F2278">
        <v>100.243568</v>
      </c>
      <c r="G2278">
        <v>821600</v>
      </c>
    </row>
    <row r="2279" spans="1:7" x14ac:dyDescent="0.45">
      <c r="A2279" s="1">
        <v>43299</v>
      </c>
      <c r="B2279">
        <v>102.889999</v>
      </c>
      <c r="C2279">
        <v>102.980003</v>
      </c>
      <c r="D2279">
        <v>102.370003</v>
      </c>
      <c r="E2279">
        <v>102.480003</v>
      </c>
      <c r="F2279">
        <v>99.980164000000002</v>
      </c>
      <c r="G2279">
        <v>834600</v>
      </c>
    </row>
    <row r="2280" spans="1:7" x14ac:dyDescent="0.45">
      <c r="A2280" s="1">
        <v>43300</v>
      </c>
      <c r="B2280">
        <v>102.33000199999999</v>
      </c>
      <c r="C2280">
        <v>103.599998</v>
      </c>
      <c r="D2280">
        <v>102.32</v>
      </c>
      <c r="E2280">
        <v>103.529999</v>
      </c>
      <c r="F2280">
        <v>101.004547</v>
      </c>
      <c r="G2280">
        <v>1674400</v>
      </c>
    </row>
    <row r="2281" spans="1:7" x14ac:dyDescent="0.45">
      <c r="A2281" s="1">
        <v>43301</v>
      </c>
      <c r="B2281">
        <v>105</v>
      </c>
      <c r="C2281">
        <v>105.08000199999999</v>
      </c>
      <c r="D2281">
        <v>104.410004</v>
      </c>
      <c r="E2281">
        <v>104.620003</v>
      </c>
      <c r="F2281">
        <v>102.067955</v>
      </c>
      <c r="G2281">
        <v>1544200</v>
      </c>
    </row>
    <row r="2282" spans="1:7" x14ac:dyDescent="0.45">
      <c r="A2282" s="1">
        <v>43304</v>
      </c>
      <c r="B2282">
        <v>105.279999</v>
      </c>
      <c r="C2282">
        <v>105.370003</v>
      </c>
      <c r="D2282">
        <v>104.66999800000001</v>
      </c>
      <c r="E2282">
        <v>104.889999</v>
      </c>
      <c r="F2282">
        <v>102.331367</v>
      </c>
      <c r="G2282">
        <v>1429500</v>
      </c>
    </row>
    <row r="2283" spans="1:7" x14ac:dyDescent="0.45">
      <c r="A2283" s="1">
        <v>43305</v>
      </c>
      <c r="B2283">
        <v>105.25</v>
      </c>
      <c r="C2283">
        <v>105.269997</v>
      </c>
      <c r="D2283">
        <v>104.379997</v>
      </c>
      <c r="E2283">
        <v>104.970001</v>
      </c>
      <c r="F2283">
        <v>102.409424</v>
      </c>
      <c r="G2283">
        <v>1256500</v>
      </c>
    </row>
    <row r="2284" spans="1:7" x14ac:dyDescent="0.45">
      <c r="A2284" s="1">
        <v>43306</v>
      </c>
      <c r="B2284">
        <v>105.889999</v>
      </c>
      <c r="C2284">
        <v>106.860001</v>
      </c>
      <c r="D2284">
        <v>105.660004</v>
      </c>
      <c r="E2284">
        <v>106.730003</v>
      </c>
      <c r="F2284">
        <v>104.12648799999999</v>
      </c>
      <c r="G2284">
        <v>1432200</v>
      </c>
    </row>
    <row r="2285" spans="1:7" x14ac:dyDescent="0.45">
      <c r="A2285" s="1">
        <v>43307</v>
      </c>
      <c r="B2285">
        <v>101.650002</v>
      </c>
      <c r="C2285">
        <v>102.480003</v>
      </c>
      <c r="D2285">
        <v>101.239998</v>
      </c>
      <c r="E2285">
        <v>101.370003</v>
      </c>
      <c r="F2285">
        <v>98.897239999999996</v>
      </c>
      <c r="G2285">
        <v>2814700</v>
      </c>
    </row>
    <row r="2286" spans="1:7" x14ac:dyDescent="0.45">
      <c r="A2286" s="1">
        <v>43308</v>
      </c>
      <c r="B2286">
        <v>101.699997</v>
      </c>
      <c r="C2286">
        <v>102.220001</v>
      </c>
      <c r="D2286">
        <v>101.379997</v>
      </c>
      <c r="E2286">
        <v>101.75</v>
      </c>
      <c r="F2286">
        <v>99.267966999999999</v>
      </c>
      <c r="G2286">
        <v>1403000</v>
      </c>
    </row>
    <row r="2287" spans="1:7" x14ac:dyDescent="0.45">
      <c r="A2287" s="1">
        <v>43311</v>
      </c>
      <c r="B2287">
        <v>101.33000199999999</v>
      </c>
      <c r="C2287">
        <v>101.540001</v>
      </c>
      <c r="D2287">
        <v>100.779999</v>
      </c>
      <c r="E2287">
        <v>101.269997</v>
      </c>
      <c r="F2287">
        <v>98.799674999999993</v>
      </c>
      <c r="G2287">
        <v>1444400</v>
      </c>
    </row>
    <row r="2288" spans="1:7" x14ac:dyDescent="0.45">
      <c r="A2288" s="1">
        <v>43312</v>
      </c>
      <c r="B2288">
        <v>101.160004</v>
      </c>
      <c r="C2288">
        <v>101.82</v>
      </c>
      <c r="D2288">
        <v>101.139999</v>
      </c>
      <c r="E2288">
        <v>101.720001</v>
      </c>
      <c r="F2288">
        <v>99.238701000000006</v>
      </c>
      <c r="G2288">
        <v>1242400</v>
      </c>
    </row>
    <row r="2289" spans="1:7" x14ac:dyDescent="0.45">
      <c r="A2289" s="1">
        <v>43313</v>
      </c>
      <c r="B2289">
        <v>100.790001</v>
      </c>
      <c r="C2289">
        <v>101.410004</v>
      </c>
      <c r="D2289">
        <v>100.709999</v>
      </c>
      <c r="E2289">
        <v>101.160004</v>
      </c>
      <c r="F2289">
        <v>98.692359999999994</v>
      </c>
      <c r="G2289">
        <v>927500</v>
      </c>
    </row>
    <row r="2290" spans="1:7" x14ac:dyDescent="0.45">
      <c r="A2290" s="1">
        <v>43314</v>
      </c>
      <c r="B2290">
        <v>100.480003</v>
      </c>
      <c r="C2290">
        <v>100.860001</v>
      </c>
      <c r="D2290">
        <v>99.550003000000004</v>
      </c>
      <c r="E2290">
        <v>100.43</v>
      </c>
      <c r="F2290">
        <v>97.980164000000002</v>
      </c>
      <c r="G2290">
        <v>1430200</v>
      </c>
    </row>
    <row r="2291" spans="1:7" x14ac:dyDescent="0.45">
      <c r="A2291" s="1">
        <v>43315</v>
      </c>
      <c r="B2291">
        <v>100.089996</v>
      </c>
      <c r="C2291">
        <v>100.980003</v>
      </c>
      <c r="D2291">
        <v>99.919998000000007</v>
      </c>
      <c r="E2291">
        <v>100.639999</v>
      </c>
      <c r="F2291">
        <v>98.185042999999993</v>
      </c>
      <c r="G2291">
        <v>1151200</v>
      </c>
    </row>
    <row r="2292" spans="1:7" x14ac:dyDescent="0.45">
      <c r="A2292" s="1">
        <v>43318</v>
      </c>
      <c r="B2292">
        <v>100.239998</v>
      </c>
      <c r="C2292">
        <v>100.620003</v>
      </c>
      <c r="D2292">
        <v>99.879997000000003</v>
      </c>
      <c r="E2292">
        <v>99.980002999999996</v>
      </c>
      <c r="F2292">
        <v>97.541145</v>
      </c>
      <c r="G2292">
        <v>1021600</v>
      </c>
    </row>
    <row r="2293" spans="1:7" x14ac:dyDescent="0.45">
      <c r="A2293" s="1">
        <v>43319</v>
      </c>
      <c r="B2293">
        <v>100.68</v>
      </c>
      <c r="C2293">
        <v>101</v>
      </c>
      <c r="D2293">
        <v>100.459999</v>
      </c>
      <c r="E2293">
        <v>100.75</v>
      </c>
      <c r="F2293">
        <v>98.292357999999993</v>
      </c>
      <c r="G2293">
        <v>522800</v>
      </c>
    </row>
    <row r="2294" spans="1:7" x14ac:dyDescent="0.45">
      <c r="A2294" s="1">
        <v>43320</v>
      </c>
      <c r="B2294">
        <v>100.010002</v>
      </c>
      <c r="C2294">
        <v>100.18</v>
      </c>
      <c r="D2294">
        <v>99.489998</v>
      </c>
      <c r="E2294">
        <v>99.529999000000004</v>
      </c>
      <c r="F2294">
        <v>97.102112000000005</v>
      </c>
      <c r="G2294">
        <v>873100</v>
      </c>
    </row>
    <row r="2295" spans="1:7" x14ac:dyDescent="0.45">
      <c r="A2295" s="1">
        <v>43321</v>
      </c>
      <c r="B2295">
        <v>100.019997</v>
      </c>
      <c r="C2295">
        <v>100.339996</v>
      </c>
      <c r="D2295">
        <v>99.529999000000004</v>
      </c>
      <c r="E2295">
        <v>99.709998999999996</v>
      </c>
      <c r="F2295">
        <v>97.277725000000004</v>
      </c>
      <c r="G2295">
        <v>639400</v>
      </c>
    </row>
    <row r="2296" spans="1:7" x14ac:dyDescent="0.45">
      <c r="A2296" s="1">
        <v>43322</v>
      </c>
      <c r="B2296">
        <v>97.220000999999996</v>
      </c>
      <c r="C2296">
        <v>97.650002000000001</v>
      </c>
      <c r="D2296">
        <v>95.93</v>
      </c>
      <c r="E2296">
        <v>96.43</v>
      </c>
      <c r="F2296">
        <v>94.077736000000002</v>
      </c>
      <c r="G2296">
        <v>1931100</v>
      </c>
    </row>
    <row r="2297" spans="1:7" x14ac:dyDescent="0.45">
      <c r="A2297" s="1">
        <v>43325</v>
      </c>
      <c r="B2297">
        <v>96.620002999999997</v>
      </c>
      <c r="C2297">
        <v>96.730002999999996</v>
      </c>
      <c r="D2297">
        <v>96.150002000000001</v>
      </c>
      <c r="E2297">
        <v>96.400002000000001</v>
      </c>
      <c r="F2297">
        <v>94.048469999999995</v>
      </c>
      <c r="G2297">
        <v>1141600</v>
      </c>
    </row>
    <row r="2298" spans="1:7" x14ac:dyDescent="0.45">
      <c r="A2298" s="1">
        <v>43326</v>
      </c>
      <c r="B2298">
        <v>97.839995999999999</v>
      </c>
      <c r="C2298">
        <v>98.099997999999999</v>
      </c>
      <c r="D2298">
        <v>97.339995999999999</v>
      </c>
      <c r="E2298">
        <v>97.709998999999996</v>
      </c>
      <c r="F2298">
        <v>95.326515000000001</v>
      </c>
      <c r="G2298">
        <v>1020900</v>
      </c>
    </row>
    <row r="2299" spans="1:7" x14ac:dyDescent="0.45">
      <c r="A2299" s="1">
        <v>43327</v>
      </c>
      <c r="B2299">
        <v>97.150002000000001</v>
      </c>
      <c r="C2299">
        <v>98.529999000000004</v>
      </c>
      <c r="D2299">
        <v>96.860000999999997</v>
      </c>
      <c r="E2299">
        <v>98.379997000000003</v>
      </c>
      <c r="F2299">
        <v>95.980170999999999</v>
      </c>
      <c r="G2299">
        <v>1077700</v>
      </c>
    </row>
    <row r="2300" spans="1:7" x14ac:dyDescent="0.45">
      <c r="A2300" s="1">
        <v>43328</v>
      </c>
      <c r="B2300">
        <v>98.360000999999997</v>
      </c>
      <c r="C2300">
        <v>99</v>
      </c>
      <c r="D2300">
        <v>98.269997000000004</v>
      </c>
      <c r="E2300">
        <v>98.470000999999996</v>
      </c>
      <c r="F2300">
        <v>96.067977999999997</v>
      </c>
      <c r="G2300">
        <v>778100</v>
      </c>
    </row>
    <row r="2301" spans="1:7" x14ac:dyDescent="0.45">
      <c r="A2301" s="1">
        <v>43329</v>
      </c>
      <c r="B2301">
        <v>98.889999000000003</v>
      </c>
      <c r="C2301">
        <v>100.220001</v>
      </c>
      <c r="D2301">
        <v>98.82</v>
      </c>
      <c r="E2301">
        <v>99.860000999999997</v>
      </c>
      <c r="F2301">
        <v>97.424064999999999</v>
      </c>
      <c r="G2301">
        <v>1616600</v>
      </c>
    </row>
    <row r="2302" spans="1:7" x14ac:dyDescent="0.45">
      <c r="A2302" s="1">
        <v>43332</v>
      </c>
      <c r="B2302">
        <v>99.949996999999996</v>
      </c>
      <c r="C2302">
        <v>100.139999</v>
      </c>
      <c r="D2302">
        <v>99.190002000000007</v>
      </c>
      <c r="E2302">
        <v>99.400002000000001</v>
      </c>
      <c r="F2302">
        <v>96.975288000000006</v>
      </c>
      <c r="G2302">
        <v>743000</v>
      </c>
    </row>
    <row r="2303" spans="1:7" x14ac:dyDescent="0.45">
      <c r="A2303" s="1">
        <v>43333</v>
      </c>
      <c r="B2303">
        <v>101.32</v>
      </c>
      <c r="C2303">
        <v>101.449997</v>
      </c>
      <c r="D2303">
        <v>99.989998</v>
      </c>
      <c r="E2303">
        <v>100.220001</v>
      </c>
      <c r="F2303">
        <v>97.775283999999999</v>
      </c>
      <c r="G2303">
        <v>2699800</v>
      </c>
    </row>
    <row r="2304" spans="1:7" x14ac:dyDescent="0.45">
      <c r="A2304" s="1">
        <v>43334</v>
      </c>
      <c r="B2304">
        <v>99.82</v>
      </c>
      <c r="C2304">
        <v>99.879997000000003</v>
      </c>
      <c r="D2304">
        <v>98.360000999999997</v>
      </c>
      <c r="E2304">
        <v>98.470000999999996</v>
      </c>
      <c r="F2304">
        <v>96.067977999999997</v>
      </c>
      <c r="G2304">
        <v>1976200</v>
      </c>
    </row>
    <row r="2305" spans="1:7" x14ac:dyDescent="0.45">
      <c r="A2305" s="1">
        <v>43335</v>
      </c>
      <c r="B2305">
        <v>97.889999000000003</v>
      </c>
      <c r="C2305">
        <v>98.300003000000004</v>
      </c>
      <c r="D2305">
        <v>97.610000999999997</v>
      </c>
      <c r="E2305">
        <v>97.800003000000004</v>
      </c>
      <c r="F2305">
        <v>95.414321999999999</v>
      </c>
      <c r="G2305">
        <v>720600</v>
      </c>
    </row>
    <row r="2306" spans="1:7" x14ac:dyDescent="0.45">
      <c r="A2306" s="1">
        <v>43336</v>
      </c>
      <c r="B2306">
        <v>98.489998</v>
      </c>
      <c r="C2306">
        <v>98.550003000000004</v>
      </c>
      <c r="D2306">
        <v>98.07</v>
      </c>
      <c r="E2306">
        <v>98.209998999999996</v>
      </c>
      <c r="F2306">
        <v>95.814316000000005</v>
      </c>
      <c r="G2306">
        <v>844200</v>
      </c>
    </row>
    <row r="2307" spans="1:7" x14ac:dyDescent="0.45">
      <c r="A2307" s="1">
        <v>43339</v>
      </c>
      <c r="B2307">
        <v>98.769997000000004</v>
      </c>
      <c r="C2307">
        <v>98.910004000000001</v>
      </c>
      <c r="D2307">
        <v>98.199996999999996</v>
      </c>
      <c r="E2307">
        <v>98.68</v>
      </c>
      <c r="F2307">
        <v>96.272850000000005</v>
      </c>
      <c r="G2307">
        <v>1152700</v>
      </c>
    </row>
    <row r="2308" spans="1:7" x14ac:dyDescent="0.45">
      <c r="A2308" s="1">
        <v>43340</v>
      </c>
      <c r="B2308">
        <v>99.339995999999999</v>
      </c>
      <c r="C2308">
        <v>99.349997999999999</v>
      </c>
      <c r="D2308">
        <v>97.860000999999997</v>
      </c>
      <c r="E2308">
        <v>97.989998</v>
      </c>
      <c r="F2308">
        <v>95.599677999999997</v>
      </c>
      <c r="G2308">
        <v>957400</v>
      </c>
    </row>
    <row r="2309" spans="1:7" x14ac:dyDescent="0.45">
      <c r="A2309" s="1">
        <v>43341</v>
      </c>
      <c r="B2309">
        <v>97.980002999999996</v>
      </c>
      <c r="C2309">
        <v>98.18</v>
      </c>
      <c r="D2309">
        <v>97.790001000000004</v>
      </c>
      <c r="E2309">
        <v>97.949996999999996</v>
      </c>
      <c r="F2309">
        <v>95.560654</v>
      </c>
      <c r="G2309">
        <v>979100</v>
      </c>
    </row>
    <row r="2310" spans="1:7" x14ac:dyDescent="0.45">
      <c r="A2310" s="1">
        <v>43342</v>
      </c>
      <c r="B2310">
        <v>96.18</v>
      </c>
      <c r="C2310">
        <v>96.449996999999996</v>
      </c>
      <c r="D2310">
        <v>95.260002</v>
      </c>
      <c r="E2310">
        <v>95.589995999999999</v>
      </c>
      <c r="F2310">
        <v>93.258223999999998</v>
      </c>
      <c r="G2310">
        <v>1772600</v>
      </c>
    </row>
    <row r="2311" spans="1:7" x14ac:dyDescent="0.45">
      <c r="A2311" s="1">
        <v>43343</v>
      </c>
      <c r="B2311">
        <v>93.870002999999997</v>
      </c>
      <c r="C2311">
        <v>94.32</v>
      </c>
      <c r="D2311">
        <v>92.650002000000001</v>
      </c>
      <c r="E2311">
        <v>93.230002999999996</v>
      </c>
      <c r="F2311">
        <v>90.955794999999995</v>
      </c>
      <c r="G2311">
        <v>1931300</v>
      </c>
    </row>
    <row r="2312" spans="1:7" x14ac:dyDescent="0.45">
      <c r="A2312" s="1">
        <v>43347</v>
      </c>
      <c r="B2312">
        <v>92.07</v>
      </c>
      <c r="C2312">
        <v>92.540001000000004</v>
      </c>
      <c r="D2312">
        <v>91.760002</v>
      </c>
      <c r="E2312">
        <v>91.959998999999996</v>
      </c>
      <c r="F2312">
        <v>89.716774000000001</v>
      </c>
      <c r="G2312">
        <v>1992100</v>
      </c>
    </row>
    <row r="2313" spans="1:7" x14ac:dyDescent="0.45">
      <c r="A2313" s="1">
        <v>43348</v>
      </c>
      <c r="B2313">
        <v>90.480002999999996</v>
      </c>
      <c r="C2313">
        <v>91.129997000000003</v>
      </c>
      <c r="D2313">
        <v>90.129997000000003</v>
      </c>
      <c r="E2313">
        <v>90.900002000000001</v>
      </c>
      <c r="F2313">
        <v>88.682631999999998</v>
      </c>
      <c r="G2313">
        <v>1916000</v>
      </c>
    </row>
    <row r="2314" spans="1:7" x14ac:dyDescent="0.45">
      <c r="A2314" s="1">
        <v>43349</v>
      </c>
      <c r="B2314">
        <v>90.519997000000004</v>
      </c>
      <c r="C2314">
        <v>90.809997999999993</v>
      </c>
      <c r="D2314">
        <v>89.93</v>
      </c>
      <c r="E2314">
        <v>90.230002999999996</v>
      </c>
      <c r="F2314">
        <v>88.028976</v>
      </c>
      <c r="G2314">
        <v>1895200</v>
      </c>
    </row>
    <row r="2315" spans="1:7" x14ac:dyDescent="0.45">
      <c r="A2315" s="1">
        <v>43350</v>
      </c>
      <c r="B2315">
        <v>88.849997999999999</v>
      </c>
      <c r="C2315">
        <v>90.470000999999996</v>
      </c>
      <c r="D2315">
        <v>88.489998</v>
      </c>
      <c r="E2315">
        <v>89.739998</v>
      </c>
      <c r="F2315">
        <v>87.550933999999998</v>
      </c>
      <c r="G2315">
        <v>4147600</v>
      </c>
    </row>
    <row r="2316" spans="1:7" x14ac:dyDescent="0.45">
      <c r="A2316" s="1">
        <v>43353</v>
      </c>
      <c r="B2316">
        <v>90</v>
      </c>
      <c r="C2316">
        <v>90.389999000000003</v>
      </c>
      <c r="D2316">
        <v>89.519997000000004</v>
      </c>
      <c r="E2316">
        <v>89.879997000000003</v>
      </c>
      <c r="F2316">
        <v>87.687507999999994</v>
      </c>
      <c r="G2316">
        <v>1427600</v>
      </c>
    </row>
    <row r="2317" spans="1:7" x14ac:dyDescent="0.45">
      <c r="A2317" s="1">
        <v>43354</v>
      </c>
      <c r="B2317">
        <v>88.57</v>
      </c>
      <c r="C2317">
        <v>89.120002999999997</v>
      </c>
      <c r="D2317">
        <v>87.900002000000001</v>
      </c>
      <c r="E2317">
        <v>88.019997000000004</v>
      </c>
      <c r="F2317">
        <v>85.872887000000006</v>
      </c>
      <c r="G2317">
        <v>3062000</v>
      </c>
    </row>
    <row r="2318" spans="1:7" x14ac:dyDescent="0.45">
      <c r="A2318" s="1">
        <v>43355</v>
      </c>
      <c r="B2318">
        <v>87.739998</v>
      </c>
      <c r="C2318">
        <v>88.489998</v>
      </c>
      <c r="D2318">
        <v>87.32</v>
      </c>
      <c r="E2318">
        <v>88.129997000000003</v>
      </c>
      <c r="F2318">
        <v>85.980202000000006</v>
      </c>
      <c r="G2318">
        <v>2527900</v>
      </c>
    </row>
    <row r="2319" spans="1:7" x14ac:dyDescent="0.45">
      <c r="A2319" s="1">
        <v>43356</v>
      </c>
      <c r="B2319">
        <v>89.360000999999997</v>
      </c>
      <c r="C2319">
        <v>89.690002000000007</v>
      </c>
      <c r="D2319">
        <v>88.760002</v>
      </c>
      <c r="E2319">
        <v>89.349997999999999</v>
      </c>
      <c r="F2319">
        <v>87.170440999999997</v>
      </c>
      <c r="G2319">
        <v>2626100</v>
      </c>
    </row>
    <row r="2320" spans="1:7" x14ac:dyDescent="0.45">
      <c r="A2320" s="1">
        <v>43357</v>
      </c>
      <c r="B2320">
        <v>89.620002999999997</v>
      </c>
      <c r="C2320">
        <v>89.889999000000003</v>
      </c>
      <c r="D2320">
        <v>88.580001999999993</v>
      </c>
      <c r="E2320">
        <v>89.290001000000004</v>
      </c>
      <c r="F2320">
        <v>87.111908</v>
      </c>
      <c r="G2320">
        <v>1569900</v>
      </c>
    </row>
    <row r="2321" spans="1:7" x14ac:dyDescent="0.45">
      <c r="A2321" s="1">
        <v>43360</v>
      </c>
      <c r="B2321">
        <v>89.330001999999993</v>
      </c>
      <c r="C2321">
        <v>89.849997999999999</v>
      </c>
      <c r="D2321">
        <v>89.230002999999996</v>
      </c>
      <c r="E2321">
        <v>89.800003000000004</v>
      </c>
      <c r="F2321">
        <v>87.609466999999995</v>
      </c>
      <c r="G2321">
        <v>1231500</v>
      </c>
    </row>
    <row r="2322" spans="1:7" x14ac:dyDescent="0.45">
      <c r="A2322" s="1">
        <v>43361</v>
      </c>
      <c r="B2322">
        <v>90.220000999999996</v>
      </c>
      <c r="C2322">
        <v>90.650002000000001</v>
      </c>
      <c r="D2322">
        <v>89.709998999999996</v>
      </c>
      <c r="E2322">
        <v>90.160004000000001</v>
      </c>
      <c r="F2322">
        <v>87.960693000000006</v>
      </c>
      <c r="G2322">
        <v>1595000</v>
      </c>
    </row>
    <row r="2323" spans="1:7" x14ac:dyDescent="0.45">
      <c r="A2323" s="1">
        <v>43362</v>
      </c>
      <c r="B2323">
        <v>89.510002</v>
      </c>
      <c r="C2323">
        <v>90.300003000000004</v>
      </c>
      <c r="D2323">
        <v>89.220000999999996</v>
      </c>
      <c r="E2323">
        <v>89.93</v>
      </c>
      <c r="F2323">
        <v>87.736298000000005</v>
      </c>
      <c r="G2323">
        <v>1834100</v>
      </c>
    </row>
    <row r="2324" spans="1:7" x14ac:dyDescent="0.45">
      <c r="A2324" s="1">
        <v>43363</v>
      </c>
      <c r="B2324">
        <v>92.029999000000004</v>
      </c>
      <c r="C2324">
        <v>92.220000999999996</v>
      </c>
      <c r="D2324">
        <v>91.379997000000003</v>
      </c>
      <c r="E2324">
        <v>91.93</v>
      </c>
      <c r="F2324">
        <v>89.687507999999994</v>
      </c>
      <c r="G2324">
        <v>1912700</v>
      </c>
    </row>
    <row r="2325" spans="1:7" x14ac:dyDescent="0.45">
      <c r="A2325" s="1">
        <v>43364</v>
      </c>
      <c r="B2325">
        <v>92.379997000000003</v>
      </c>
      <c r="C2325">
        <v>92.720000999999996</v>
      </c>
      <c r="D2325">
        <v>91.5</v>
      </c>
      <c r="E2325">
        <v>92.040001000000004</v>
      </c>
      <c r="F2325">
        <v>89.794822999999994</v>
      </c>
      <c r="G2325">
        <v>1813700</v>
      </c>
    </row>
    <row r="2326" spans="1:7" x14ac:dyDescent="0.45">
      <c r="A2326" s="1">
        <v>43367</v>
      </c>
      <c r="B2326">
        <v>90.769997000000004</v>
      </c>
      <c r="C2326">
        <v>91.010002</v>
      </c>
      <c r="D2326">
        <v>90.389999000000003</v>
      </c>
      <c r="E2326">
        <v>90.510002</v>
      </c>
      <c r="F2326">
        <v>88.302154999999999</v>
      </c>
      <c r="G2326">
        <v>1082100</v>
      </c>
    </row>
    <row r="2327" spans="1:7" x14ac:dyDescent="0.45">
      <c r="A2327" s="1">
        <v>43368</v>
      </c>
      <c r="B2327">
        <v>90.739998</v>
      </c>
      <c r="C2327">
        <v>90.919998000000007</v>
      </c>
      <c r="D2327">
        <v>90.410004000000001</v>
      </c>
      <c r="E2327">
        <v>90.510002</v>
      </c>
      <c r="F2327">
        <v>88.302154999999999</v>
      </c>
      <c r="G2327">
        <v>1370000</v>
      </c>
    </row>
    <row r="2328" spans="1:7" x14ac:dyDescent="0.45">
      <c r="A2328" s="1">
        <v>43369</v>
      </c>
      <c r="B2328">
        <v>90.379997000000003</v>
      </c>
      <c r="C2328">
        <v>90.419998000000007</v>
      </c>
      <c r="D2328">
        <v>89.599997999999999</v>
      </c>
      <c r="E2328">
        <v>89.669998000000007</v>
      </c>
      <c r="F2328">
        <v>87.482635000000002</v>
      </c>
      <c r="G2328">
        <v>1587000</v>
      </c>
    </row>
    <row r="2329" spans="1:7" x14ac:dyDescent="0.45">
      <c r="A2329" s="1">
        <v>43370</v>
      </c>
      <c r="B2329">
        <v>88.779999000000004</v>
      </c>
      <c r="C2329">
        <v>88.910004000000001</v>
      </c>
      <c r="D2329">
        <v>88</v>
      </c>
      <c r="E2329">
        <v>88.099997999999999</v>
      </c>
      <c r="F2329">
        <v>85.950935000000001</v>
      </c>
      <c r="G2329">
        <v>2458300</v>
      </c>
    </row>
    <row r="2330" spans="1:7" x14ac:dyDescent="0.45">
      <c r="A2330" s="1">
        <v>43371</v>
      </c>
      <c r="B2330">
        <v>87.379997000000003</v>
      </c>
      <c r="C2330">
        <v>87.769997000000004</v>
      </c>
      <c r="D2330">
        <v>87.150002000000001</v>
      </c>
      <c r="E2330">
        <v>87.57</v>
      </c>
      <c r="F2330">
        <v>85.433860999999993</v>
      </c>
      <c r="G2330">
        <v>2053300</v>
      </c>
    </row>
    <row r="2331" spans="1:7" x14ac:dyDescent="0.45">
      <c r="A2331" s="1">
        <v>43374</v>
      </c>
      <c r="B2331">
        <v>86.800003000000004</v>
      </c>
      <c r="C2331">
        <v>87.07</v>
      </c>
      <c r="D2331">
        <v>86.279999000000004</v>
      </c>
      <c r="E2331">
        <v>86.540001000000004</v>
      </c>
      <c r="F2331">
        <v>84.428993000000006</v>
      </c>
      <c r="G2331">
        <v>1579800</v>
      </c>
    </row>
    <row r="2332" spans="1:7" x14ac:dyDescent="0.45">
      <c r="A2332" s="1">
        <v>43375</v>
      </c>
      <c r="B2332">
        <v>85.440002000000007</v>
      </c>
      <c r="C2332">
        <v>86.080001999999993</v>
      </c>
      <c r="D2332">
        <v>85.139999000000003</v>
      </c>
      <c r="E2332">
        <v>85.82</v>
      </c>
      <c r="F2332">
        <v>83.726555000000005</v>
      </c>
      <c r="G2332">
        <v>2150100</v>
      </c>
    </row>
    <row r="2333" spans="1:7" x14ac:dyDescent="0.45">
      <c r="A2333" s="1">
        <v>43376</v>
      </c>
      <c r="B2333">
        <v>88.089995999999999</v>
      </c>
      <c r="C2333">
        <v>88.900002000000001</v>
      </c>
      <c r="D2333">
        <v>87.510002</v>
      </c>
      <c r="E2333">
        <v>87.610000999999997</v>
      </c>
      <c r="F2333">
        <v>85.472885000000005</v>
      </c>
      <c r="G2333">
        <v>2188900</v>
      </c>
    </row>
    <row r="2334" spans="1:7" x14ac:dyDescent="0.45">
      <c r="A2334" s="1">
        <v>43377</v>
      </c>
      <c r="B2334">
        <v>87.410004000000001</v>
      </c>
      <c r="C2334">
        <v>87.440002000000007</v>
      </c>
      <c r="D2334">
        <v>86.669998000000007</v>
      </c>
      <c r="E2334">
        <v>87.059997999999993</v>
      </c>
      <c r="F2334">
        <v>84.936301999999998</v>
      </c>
      <c r="G2334">
        <v>1583600</v>
      </c>
    </row>
    <row r="2335" spans="1:7" x14ac:dyDescent="0.45">
      <c r="A2335" s="1">
        <v>43378</v>
      </c>
      <c r="B2335">
        <v>87.470000999999996</v>
      </c>
      <c r="C2335">
        <v>87.559997999999993</v>
      </c>
      <c r="D2335">
        <v>86.43</v>
      </c>
      <c r="E2335">
        <v>86.650002000000001</v>
      </c>
      <c r="F2335">
        <v>84.536308000000005</v>
      </c>
      <c r="G2335">
        <v>1475000</v>
      </c>
    </row>
    <row r="2336" spans="1:7" x14ac:dyDescent="0.45">
      <c r="A2336" s="1">
        <v>43381</v>
      </c>
      <c r="B2336">
        <v>86.849997999999999</v>
      </c>
      <c r="C2336">
        <v>87.209998999999996</v>
      </c>
      <c r="D2336">
        <v>86.720000999999996</v>
      </c>
      <c r="E2336">
        <v>87.059997999999993</v>
      </c>
      <c r="F2336">
        <v>84.936301999999998</v>
      </c>
      <c r="G2336">
        <v>1727400</v>
      </c>
    </row>
    <row r="2337" spans="1:7" x14ac:dyDescent="0.45">
      <c r="A2337" s="1">
        <v>43382</v>
      </c>
      <c r="B2337">
        <v>85.629997000000003</v>
      </c>
      <c r="C2337">
        <v>86.940002000000007</v>
      </c>
      <c r="D2337">
        <v>85.440002000000007</v>
      </c>
      <c r="E2337">
        <v>86.589995999999999</v>
      </c>
      <c r="F2337">
        <v>84.477767999999998</v>
      </c>
      <c r="G2337">
        <v>1334300</v>
      </c>
    </row>
    <row r="2338" spans="1:7" x14ac:dyDescent="0.45">
      <c r="A2338" s="1">
        <v>43383</v>
      </c>
      <c r="B2338">
        <v>86.779999000000004</v>
      </c>
      <c r="C2338">
        <v>86.919998000000007</v>
      </c>
      <c r="D2338">
        <v>85</v>
      </c>
      <c r="E2338">
        <v>85.010002</v>
      </c>
      <c r="F2338">
        <v>82.936310000000006</v>
      </c>
      <c r="G2338">
        <v>1455900</v>
      </c>
    </row>
    <row r="2339" spans="1:7" x14ac:dyDescent="0.45">
      <c r="A2339" s="1">
        <v>43384</v>
      </c>
      <c r="B2339">
        <v>85.989998</v>
      </c>
      <c r="C2339">
        <v>86.089995999999999</v>
      </c>
      <c r="D2339">
        <v>83.839995999999999</v>
      </c>
      <c r="E2339">
        <v>84.339995999999999</v>
      </c>
      <c r="F2339">
        <v>82.282653999999994</v>
      </c>
      <c r="G2339">
        <v>2397200</v>
      </c>
    </row>
    <row r="2340" spans="1:7" x14ac:dyDescent="0.45">
      <c r="A2340" s="1">
        <v>43385</v>
      </c>
      <c r="B2340">
        <v>84.089995999999999</v>
      </c>
      <c r="C2340">
        <v>84.57</v>
      </c>
      <c r="D2340">
        <v>83.860000999999997</v>
      </c>
      <c r="E2340">
        <v>84.339995999999999</v>
      </c>
      <c r="F2340">
        <v>82.282653999999994</v>
      </c>
      <c r="G2340">
        <v>1610400</v>
      </c>
    </row>
    <row r="2341" spans="1:7" x14ac:dyDescent="0.45">
      <c r="A2341" s="1">
        <v>43388</v>
      </c>
      <c r="B2341">
        <v>84.360000999999997</v>
      </c>
      <c r="C2341">
        <v>85.199996999999996</v>
      </c>
      <c r="D2341">
        <v>83.989998</v>
      </c>
      <c r="E2341">
        <v>84.629997000000003</v>
      </c>
      <c r="F2341">
        <v>82.565582000000006</v>
      </c>
      <c r="G2341">
        <v>1785400</v>
      </c>
    </row>
    <row r="2342" spans="1:7" x14ac:dyDescent="0.45">
      <c r="A2342" s="1">
        <v>43389</v>
      </c>
      <c r="B2342">
        <v>85.580001999999993</v>
      </c>
      <c r="C2342">
        <v>85.720000999999996</v>
      </c>
      <c r="D2342">
        <v>85.089995999999999</v>
      </c>
      <c r="E2342">
        <v>85.43</v>
      </c>
      <c r="F2342">
        <v>83.346062000000003</v>
      </c>
      <c r="G2342">
        <v>1621800</v>
      </c>
    </row>
    <row r="2343" spans="1:7" x14ac:dyDescent="0.45">
      <c r="A2343" s="1">
        <v>43390</v>
      </c>
      <c r="B2343">
        <v>84.75</v>
      </c>
      <c r="C2343">
        <v>84.839995999999999</v>
      </c>
      <c r="D2343">
        <v>83.540001000000004</v>
      </c>
      <c r="E2343">
        <v>83.709998999999996</v>
      </c>
      <c r="F2343">
        <v>81.668021999999993</v>
      </c>
      <c r="G2343">
        <v>1926200</v>
      </c>
    </row>
    <row r="2344" spans="1:7" x14ac:dyDescent="0.45">
      <c r="A2344" s="1">
        <v>43391</v>
      </c>
      <c r="B2344">
        <v>84</v>
      </c>
      <c r="C2344">
        <v>84.300003000000004</v>
      </c>
      <c r="D2344">
        <v>83.290001000000004</v>
      </c>
      <c r="E2344">
        <v>83.419998000000007</v>
      </c>
      <c r="F2344">
        <v>81.385101000000006</v>
      </c>
      <c r="G2344">
        <v>1151900</v>
      </c>
    </row>
    <row r="2345" spans="1:7" x14ac:dyDescent="0.45">
      <c r="A2345" s="1">
        <v>43392</v>
      </c>
      <c r="B2345">
        <v>83.360000999999997</v>
      </c>
      <c r="C2345">
        <v>84.349997999999999</v>
      </c>
      <c r="D2345">
        <v>83.339995999999999</v>
      </c>
      <c r="E2345">
        <v>83.860000999999997</v>
      </c>
      <c r="F2345">
        <v>81.814368999999999</v>
      </c>
      <c r="G2345">
        <v>1118700</v>
      </c>
    </row>
    <row r="2346" spans="1:7" x14ac:dyDescent="0.45">
      <c r="A2346" s="1">
        <v>43395</v>
      </c>
      <c r="B2346">
        <v>84.650002000000001</v>
      </c>
      <c r="C2346">
        <v>84.650002000000001</v>
      </c>
      <c r="D2346">
        <v>83.449996999999996</v>
      </c>
      <c r="E2346">
        <v>83.459998999999996</v>
      </c>
      <c r="F2346">
        <v>81.424126000000001</v>
      </c>
      <c r="G2346">
        <v>1215100</v>
      </c>
    </row>
    <row r="2347" spans="1:7" x14ac:dyDescent="0.45">
      <c r="A2347" s="1">
        <v>43396</v>
      </c>
      <c r="B2347">
        <v>82.839995999999999</v>
      </c>
      <c r="C2347">
        <v>82.889999000000003</v>
      </c>
      <c r="D2347">
        <v>81.870002999999997</v>
      </c>
      <c r="E2347">
        <v>82.220000999999996</v>
      </c>
      <c r="F2347">
        <v>80.214371</v>
      </c>
      <c r="G2347">
        <v>2516800</v>
      </c>
    </row>
    <row r="2348" spans="1:7" x14ac:dyDescent="0.45">
      <c r="A2348" s="1">
        <v>43397</v>
      </c>
      <c r="B2348">
        <v>83.470000999999996</v>
      </c>
      <c r="C2348">
        <v>83.519997000000004</v>
      </c>
      <c r="D2348">
        <v>81.870002999999997</v>
      </c>
      <c r="E2348">
        <v>82.25</v>
      </c>
      <c r="F2348">
        <v>80.243637000000007</v>
      </c>
      <c r="G2348">
        <v>2908000</v>
      </c>
    </row>
    <row r="2349" spans="1:7" x14ac:dyDescent="0.45">
      <c r="A2349" s="1">
        <v>43398</v>
      </c>
      <c r="B2349">
        <v>74.559997999999993</v>
      </c>
      <c r="C2349">
        <v>75.160004000000001</v>
      </c>
      <c r="D2349">
        <v>72.879997000000003</v>
      </c>
      <c r="E2349">
        <v>74.540001000000004</v>
      </c>
      <c r="F2349">
        <v>72.721710000000002</v>
      </c>
      <c r="G2349">
        <v>9477200</v>
      </c>
    </row>
    <row r="2350" spans="1:7" x14ac:dyDescent="0.45">
      <c r="A2350" s="1">
        <v>43399</v>
      </c>
      <c r="B2350">
        <v>74.410004000000001</v>
      </c>
      <c r="C2350">
        <v>75.089995999999999</v>
      </c>
      <c r="D2350">
        <v>73.629997000000003</v>
      </c>
      <c r="E2350">
        <v>74.080001999999993</v>
      </c>
      <c r="F2350">
        <v>72.272934000000006</v>
      </c>
      <c r="G2350">
        <v>3366800</v>
      </c>
    </row>
    <row r="2351" spans="1:7" x14ac:dyDescent="0.45">
      <c r="A2351" s="1">
        <v>43402</v>
      </c>
      <c r="B2351">
        <v>76.470000999999996</v>
      </c>
      <c r="C2351">
        <v>76.5</v>
      </c>
      <c r="D2351">
        <v>74.379997000000003</v>
      </c>
      <c r="E2351">
        <v>74.860000999999997</v>
      </c>
      <c r="F2351">
        <v>73.033905000000004</v>
      </c>
      <c r="G2351">
        <v>2877200</v>
      </c>
    </row>
    <row r="2352" spans="1:7" x14ac:dyDescent="0.45">
      <c r="A2352" s="1">
        <v>43403</v>
      </c>
      <c r="B2352">
        <v>74.269997000000004</v>
      </c>
      <c r="C2352">
        <v>74.610000999999997</v>
      </c>
      <c r="D2352">
        <v>73.519997000000004</v>
      </c>
      <c r="E2352">
        <v>74.339995999999999</v>
      </c>
      <c r="F2352">
        <v>72.526588000000004</v>
      </c>
      <c r="G2352">
        <v>2797200</v>
      </c>
    </row>
    <row r="2353" spans="1:7" x14ac:dyDescent="0.45">
      <c r="A2353" s="1">
        <v>43404</v>
      </c>
      <c r="B2353">
        <v>75.650002000000001</v>
      </c>
      <c r="C2353">
        <v>75.720000999999996</v>
      </c>
      <c r="D2353">
        <v>73.519997000000004</v>
      </c>
      <c r="E2353">
        <v>73.980002999999996</v>
      </c>
      <c r="F2353">
        <v>72.175376999999997</v>
      </c>
      <c r="G2353">
        <v>2993500</v>
      </c>
    </row>
    <row r="2354" spans="1:7" x14ac:dyDescent="0.45">
      <c r="A2354" s="1">
        <v>43405</v>
      </c>
      <c r="B2354">
        <v>75.599997999999999</v>
      </c>
      <c r="C2354">
        <v>76.819999999999993</v>
      </c>
      <c r="D2354">
        <v>75.419998000000007</v>
      </c>
      <c r="E2354">
        <v>76.680000000000007</v>
      </c>
      <c r="F2354">
        <v>74.809509000000006</v>
      </c>
      <c r="G2354">
        <v>1744100</v>
      </c>
    </row>
    <row r="2355" spans="1:7" x14ac:dyDescent="0.45">
      <c r="A2355" s="1">
        <v>43406</v>
      </c>
      <c r="B2355">
        <v>76.930000000000007</v>
      </c>
      <c r="C2355">
        <v>76.989998</v>
      </c>
      <c r="D2355">
        <v>75.440002000000007</v>
      </c>
      <c r="E2355">
        <v>76.510002</v>
      </c>
      <c r="F2355">
        <v>74.643653999999998</v>
      </c>
      <c r="G2355">
        <v>1962100</v>
      </c>
    </row>
    <row r="2356" spans="1:7" x14ac:dyDescent="0.45">
      <c r="A2356" s="1">
        <v>43409</v>
      </c>
      <c r="B2356">
        <v>76.050003000000004</v>
      </c>
      <c r="C2356">
        <v>76.629997000000003</v>
      </c>
      <c r="D2356">
        <v>75.470000999999996</v>
      </c>
      <c r="E2356">
        <v>75.970000999999996</v>
      </c>
      <c r="F2356">
        <v>74.116828999999996</v>
      </c>
      <c r="G2356">
        <v>1718700</v>
      </c>
    </row>
    <row r="2357" spans="1:7" x14ac:dyDescent="0.45">
      <c r="A2357" s="1">
        <v>43410</v>
      </c>
      <c r="B2357">
        <v>75.160004000000001</v>
      </c>
      <c r="C2357">
        <v>75.949996999999996</v>
      </c>
      <c r="D2357">
        <v>75.069999999999993</v>
      </c>
      <c r="E2357">
        <v>75.919998000000007</v>
      </c>
      <c r="F2357">
        <v>74.068047000000007</v>
      </c>
      <c r="G2357">
        <v>1756700</v>
      </c>
    </row>
    <row r="2358" spans="1:7" x14ac:dyDescent="0.45">
      <c r="A2358" s="1">
        <v>43411</v>
      </c>
      <c r="B2358">
        <v>76.309997999999993</v>
      </c>
      <c r="C2358">
        <v>77</v>
      </c>
      <c r="D2358">
        <v>76.050003000000004</v>
      </c>
      <c r="E2358">
        <v>76.639999000000003</v>
      </c>
      <c r="F2358">
        <v>74.770484999999994</v>
      </c>
      <c r="G2358">
        <v>1032800</v>
      </c>
    </row>
    <row r="2359" spans="1:7" x14ac:dyDescent="0.45">
      <c r="A2359" s="1">
        <v>43412</v>
      </c>
      <c r="B2359">
        <v>76.330001999999993</v>
      </c>
      <c r="C2359">
        <v>76.400002000000001</v>
      </c>
      <c r="D2359">
        <v>74.180000000000007</v>
      </c>
      <c r="E2359">
        <v>74.610000999999997</v>
      </c>
      <c r="F2359">
        <v>72.790001000000004</v>
      </c>
      <c r="G2359">
        <v>1626000</v>
      </c>
    </row>
    <row r="2360" spans="1:7" x14ac:dyDescent="0.45">
      <c r="A2360" s="1">
        <v>43413</v>
      </c>
      <c r="B2360">
        <v>74.519997000000004</v>
      </c>
      <c r="C2360">
        <v>74.720000999999996</v>
      </c>
      <c r="D2360">
        <v>73.800003000000004</v>
      </c>
      <c r="E2360">
        <v>74.620002999999997</v>
      </c>
      <c r="F2360">
        <v>72.799767000000003</v>
      </c>
      <c r="G2360">
        <v>1229000</v>
      </c>
    </row>
    <row r="2361" spans="1:7" x14ac:dyDescent="0.45">
      <c r="A2361" s="1">
        <v>43416</v>
      </c>
      <c r="B2361">
        <v>73.209998999999996</v>
      </c>
      <c r="C2361">
        <v>73.680000000000007</v>
      </c>
      <c r="D2361">
        <v>72.919998000000007</v>
      </c>
      <c r="E2361">
        <v>73.199996999999996</v>
      </c>
      <c r="F2361">
        <v>71.414390999999995</v>
      </c>
      <c r="G2361">
        <v>1682700</v>
      </c>
    </row>
    <row r="2362" spans="1:7" x14ac:dyDescent="0.45">
      <c r="A2362" s="1">
        <v>43417</v>
      </c>
      <c r="B2362">
        <v>73.720000999999996</v>
      </c>
      <c r="C2362">
        <v>74.080001999999993</v>
      </c>
      <c r="D2362">
        <v>72.989998</v>
      </c>
      <c r="E2362">
        <v>73.209998999999996</v>
      </c>
      <c r="F2362">
        <v>71.424155999999996</v>
      </c>
      <c r="G2362">
        <v>2085700</v>
      </c>
    </row>
    <row r="2363" spans="1:7" x14ac:dyDescent="0.45">
      <c r="A2363" s="1">
        <v>43418</v>
      </c>
      <c r="B2363">
        <v>74.800003000000004</v>
      </c>
      <c r="C2363">
        <v>77.330001999999993</v>
      </c>
      <c r="D2363">
        <v>74.180000000000007</v>
      </c>
      <c r="E2363">
        <v>76.599997999999999</v>
      </c>
      <c r="F2363">
        <v>74.731460999999996</v>
      </c>
      <c r="G2363">
        <v>4120200</v>
      </c>
    </row>
    <row r="2364" spans="1:7" x14ac:dyDescent="0.45">
      <c r="A2364" s="1">
        <v>43419</v>
      </c>
      <c r="B2364">
        <v>76.75</v>
      </c>
      <c r="C2364">
        <v>77.650002000000001</v>
      </c>
      <c r="D2364">
        <v>76.519997000000004</v>
      </c>
      <c r="E2364">
        <v>77.230002999999996</v>
      </c>
      <c r="F2364">
        <v>75.346091999999999</v>
      </c>
      <c r="G2364">
        <v>3175900</v>
      </c>
    </row>
    <row r="2365" spans="1:7" x14ac:dyDescent="0.45">
      <c r="A2365" s="1">
        <v>43420</v>
      </c>
      <c r="B2365">
        <v>77.25</v>
      </c>
      <c r="C2365">
        <v>79.400002000000001</v>
      </c>
      <c r="D2365">
        <v>77.25</v>
      </c>
      <c r="E2365">
        <v>78.849997999999999</v>
      </c>
      <c r="F2365">
        <v>76.926575</v>
      </c>
      <c r="G2365">
        <v>3348800</v>
      </c>
    </row>
    <row r="2366" spans="1:7" x14ac:dyDescent="0.45">
      <c r="A2366" s="1">
        <v>43423</v>
      </c>
      <c r="B2366">
        <v>79.169998000000007</v>
      </c>
      <c r="C2366">
        <v>79.279999000000004</v>
      </c>
      <c r="D2366">
        <v>77.669998000000007</v>
      </c>
      <c r="E2366">
        <v>78.300003000000004</v>
      </c>
      <c r="F2366">
        <v>76.389999000000003</v>
      </c>
      <c r="G2366">
        <v>1912800</v>
      </c>
    </row>
    <row r="2367" spans="1:7" x14ac:dyDescent="0.45">
      <c r="A2367" s="1">
        <v>43424</v>
      </c>
      <c r="B2367">
        <v>76.779999000000004</v>
      </c>
      <c r="C2367">
        <v>77.169998000000007</v>
      </c>
      <c r="D2367">
        <v>75.639999000000003</v>
      </c>
      <c r="E2367">
        <v>76.089995999999999</v>
      </c>
      <c r="F2367">
        <v>74.233894000000006</v>
      </c>
      <c r="G2367">
        <v>1776000</v>
      </c>
    </row>
    <row r="2368" spans="1:7" x14ac:dyDescent="0.45">
      <c r="A2368" s="1">
        <v>43425</v>
      </c>
      <c r="B2368">
        <v>76.449996999999996</v>
      </c>
      <c r="C2368">
        <v>77.019997000000004</v>
      </c>
      <c r="D2368">
        <v>76.220000999999996</v>
      </c>
      <c r="E2368">
        <v>76.540001000000004</v>
      </c>
      <c r="F2368">
        <v>74.672927999999999</v>
      </c>
      <c r="G2368">
        <v>1072200</v>
      </c>
    </row>
    <row r="2369" spans="1:7" x14ac:dyDescent="0.45">
      <c r="A2369" s="1">
        <v>43427</v>
      </c>
      <c r="B2369">
        <v>76.889999000000003</v>
      </c>
      <c r="C2369">
        <v>77</v>
      </c>
      <c r="D2369">
        <v>76.099997999999999</v>
      </c>
      <c r="E2369">
        <v>76.160004000000001</v>
      </c>
      <c r="F2369">
        <v>74.302199999999999</v>
      </c>
      <c r="G2369">
        <v>446300</v>
      </c>
    </row>
    <row r="2370" spans="1:7" x14ac:dyDescent="0.45">
      <c r="A2370" s="1">
        <v>43430</v>
      </c>
      <c r="B2370">
        <v>75.699996999999996</v>
      </c>
      <c r="C2370">
        <v>77.110000999999997</v>
      </c>
      <c r="D2370">
        <v>75.650002000000001</v>
      </c>
      <c r="E2370">
        <v>77.110000999999997</v>
      </c>
      <c r="F2370">
        <v>75.229018999999994</v>
      </c>
      <c r="G2370">
        <v>1897600</v>
      </c>
    </row>
    <row r="2371" spans="1:7" x14ac:dyDescent="0.45">
      <c r="A2371" s="1">
        <v>43431</v>
      </c>
      <c r="B2371">
        <v>75.400002000000001</v>
      </c>
      <c r="C2371">
        <v>76.360000999999997</v>
      </c>
      <c r="D2371">
        <v>74.870002999999997</v>
      </c>
      <c r="E2371">
        <v>76</v>
      </c>
      <c r="F2371">
        <v>75.034522999999993</v>
      </c>
      <c r="G2371">
        <v>1691400</v>
      </c>
    </row>
    <row r="2372" spans="1:7" x14ac:dyDescent="0.45">
      <c r="A2372" s="1">
        <v>43432</v>
      </c>
      <c r="B2372">
        <v>75.959998999999996</v>
      </c>
      <c r="C2372">
        <v>77.139999000000003</v>
      </c>
      <c r="D2372">
        <v>75.800003000000004</v>
      </c>
      <c r="E2372">
        <v>77.069999999999993</v>
      </c>
      <c r="F2372">
        <v>76.090926999999994</v>
      </c>
      <c r="G2372">
        <v>1314000</v>
      </c>
    </row>
    <row r="2373" spans="1:7" x14ac:dyDescent="0.45">
      <c r="A2373" s="1">
        <v>43433</v>
      </c>
      <c r="B2373">
        <v>77.029999000000004</v>
      </c>
      <c r="C2373">
        <v>77.440002000000007</v>
      </c>
      <c r="D2373">
        <v>76.639999000000003</v>
      </c>
      <c r="E2373">
        <v>77.239998</v>
      </c>
      <c r="F2373">
        <v>76.258765999999994</v>
      </c>
      <c r="G2373">
        <v>1181900</v>
      </c>
    </row>
    <row r="2374" spans="1:7" x14ac:dyDescent="0.45">
      <c r="A2374" s="1">
        <v>43434</v>
      </c>
      <c r="B2374">
        <v>77.400002000000001</v>
      </c>
      <c r="C2374">
        <v>77.410004000000001</v>
      </c>
      <c r="D2374">
        <v>76.209998999999996</v>
      </c>
      <c r="E2374">
        <v>76.870002999999997</v>
      </c>
      <c r="F2374">
        <v>75.893471000000005</v>
      </c>
      <c r="G2374">
        <v>1287200</v>
      </c>
    </row>
    <row r="2375" spans="1:7" x14ac:dyDescent="0.45">
      <c r="A2375" s="1">
        <v>43437</v>
      </c>
      <c r="B2375">
        <v>76.930000000000007</v>
      </c>
      <c r="C2375">
        <v>76.980002999999996</v>
      </c>
      <c r="D2375">
        <v>75.309997999999993</v>
      </c>
      <c r="E2375">
        <v>75.879997000000003</v>
      </c>
      <c r="F2375">
        <v>74.916045999999994</v>
      </c>
      <c r="G2375">
        <v>1400300</v>
      </c>
    </row>
    <row r="2376" spans="1:7" x14ac:dyDescent="0.45">
      <c r="A2376" s="1">
        <v>43438</v>
      </c>
      <c r="B2376">
        <v>75.849997999999999</v>
      </c>
      <c r="C2376">
        <v>76.050003000000004</v>
      </c>
      <c r="D2376">
        <v>74.169998000000007</v>
      </c>
      <c r="E2376">
        <v>74.269997000000004</v>
      </c>
      <c r="F2376">
        <v>73.326492000000002</v>
      </c>
      <c r="G2376">
        <v>1639400</v>
      </c>
    </row>
    <row r="2377" spans="1:7" x14ac:dyDescent="0.45">
      <c r="A2377" s="1">
        <v>43440</v>
      </c>
      <c r="B2377">
        <v>72.589995999999999</v>
      </c>
      <c r="C2377">
        <v>72.639999000000003</v>
      </c>
      <c r="D2377">
        <v>71.099997999999999</v>
      </c>
      <c r="E2377">
        <v>72.269997000000004</v>
      </c>
      <c r="F2377">
        <v>71.351906</v>
      </c>
      <c r="G2377">
        <v>2816400</v>
      </c>
    </row>
    <row r="2378" spans="1:7" x14ac:dyDescent="0.45">
      <c r="A2378" s="1">
        <v>43441</v>
      </c>
      <c r="B2378">
        <v>71.680000000000007</v>
      </c>
      <c r="C2378">
        <v>72.339995999999999</v>
      </c>
      <c r="D2378">
        <v>70.379997000000003</v>
      </c>
      <c r="E2378">
        <v>70.769997000000004</v>
      </c>
      <c r="F2378">
        <v>69.870956000000007</v>
      </c>
      <c r="G2378">
        <v>1886100</v>
      </c>
    </row>
    <row r="2379" spans="1:7" x14ac:dyDescent="0.45">
      <c r="A2379" s="1">
        <v>43444</v>
      </c>
      <c r="B2379">
        <v>71.129997000000003</v>
      </c>
      <c r="C2379">
        <v>71.309997999999993</v>
      </c>
      <c r="D2379">
        <v>70.120002999999997</v>
      </c>
      <c r="E2379">
        <v>70.550003000000004</v>
      </c>
      <c r="F2379">
        <v>69.653762999999998</v>
      </c>
      <c r="G2379">
        <v>1523400</v>
      </c>
    </row>
    <row r="2380" spans="1:7" x14ac:dyDescent="0.45">
      <c r="A2380" s="1">
        <v>43445</v>
      </c>
      <c r="B2380">
        <v>71.059997999999993</v>
      </c>
      <c r="C2380">
        <v>72.870002999999997</v>
      </c>
      <c r="D2380">
        <v>69.230002999999996</v>
      </c>
      <c r="E2380">
        <v>70.370002999999997</v>
      </c>
      <c r="F2380">
        <v>69.476044000000002</v>
      </c>
      <c r="G2380">
        <v>4454300</v>
      </c>
    </row>
    <row r="2381" spans="1:7" x14ac:dyDescent="0.45">
      <c r="A2381" s="1">
        <v>43446</v>
      </c>
      <c r="B2381">
        <v>71.480002999999996</v>
      </c>
      <c r="C2381">
        <v>72.639999000000003</v>
      </c>
      <c r="D2381">
        <v>71.309997999999993</v>
      </c>
      <c r="E2381">
        <v>71.589995999999999</v>
      </c>
      <c r="F2381">
        <v>70.680542000000003</v>
      </c>
      <c r="G2381">
        <v>2285300</v>
      </c>
    </row>
    <row r="2382" spans="1:7" x14ac:dyDescent="0.45">
      <c r="A2382" s="1">
        <v>43447</v>
      </c>
      <c r="B2382">
        <v>71.650002000000001</v>
      </c>
      <c r="C2382">
        <v>72.089995999999999</v>
      </c>
      <c r="D2382">
        <v>71.010002</v>
      </c>
      <c r="E2382">
        <v>71.300003000000004</v>
      </c>
      <c r="F2382">
        <v>70.394233999999997</v>
      </c>
      <c r="G2382">
        <v>1516700</v>
      </c>
    </row>
    <row r="2383" spans="1:7" x14ac:dyDescent="0.45">
      <c r="A2383" s="1">
        <v>43448</v>
      </c>
      <c r="B2383">
        <v>70.690002000000007</v>
      </c>
      <c r="C2383">
        <v>70.760002</v>
      </c>
      <c r="D2383">
        <v>69.650002000000001</v>
      </c>
      <c r="E2383">
        <v>69.699996999999996</v>
      </c>
      <c r="F2383">
        <v>68.814552000000006</v>
      </c>
      <c r="G2383">
        <v>1267700</v>
      </c>
    </row>
    <row r="2384" spans="1:7" x14ac:dyDescent="0.45">
      <c r="A2384" s="1">
        <v>43451</v>
      </c>
      <c r="B2384">
        <v>69.559997999999993</v>
      </c>
      <c r="C2384">
        <v>69.680000000000007</v>
      </c>
      <c r="D2384">
        <v>67.949996999999996</v>
      </c>
      <c r="E2384">
        <v>68.230002999999996</v>
      </c>
      <c r="F2384">
        <v>67.363235000000003</v>
      </c>
      <c r="G2384">
        <v>2271400</v>
      </c>
    </row>
    <row r="2385" spans="1:7" x14ac:dyDescent="0.45">
      <c r="A2385" s="1">
        <v>43452</v>
      </c>
      <c r="B2385">
        <v>69.269997000000004</v>
      </c>
      <c r="C2385">
        <v>69.75</v>
      </c>
      <c r="D2385">
        <v>68.379997000000003</v>
      </c>
      <c r="E2385">
        <v>68.75</v>
      </c>
      <c r="F2385">
        <v>67.876625000000004</v>
      </c>
      <c r="G2385">
        <v>2297100</v>
      </c>
    </row>
    <row r="2386" spans="1:7" x14ac:dyDescent="0.45">
      <c r="A2386" s="1">
        <v>43453</v>
      </c>
      <c r="B2386">
        <v>69.25</v>
      </c>
      <c r="C2386">
        <v>70.489998</v>
      </c>
      <c r="D2386">
        <v>68.480002999999996</v>
      </c>
      <c r="E2386">
        <v>68.800003000000004</v>
      </c>
      <c r="F2386">
        <v>67.925995</v>
      </c>
      <c r="G2386">
        <v>2175200</v>
      </c>
    </row>
    <row r="2387" spans="1:7" x14ac:dyDescent="0.45">
      <c r="A2387" s="1">
        <v>43454</v>
      </c>
      <c r="B2387">
        <v>69.150002000000001</v>
      </c>
      <c r="C2387">
        <v>69.260002</v>
      </c>
      <c r="D2387">
        <v>67.300003000000004</v>
      </c>
      <c r="E2387">
        <v>67.779999000000004</v>
      </c>
      <c r="F2387">
        <v>66.918944999999994</v>
      </c>
      <c r="G2387">
        <v>2118100</v>
      </c>
    </row>
    <row r="2388" spans="1:7" x14ac:dyDescent="0.45">
      <c r="A2388" s="1">
        <v>43455</v>
      </c>
      <c r="B2388">
        <v>67.209998999999996</v>
      </c>
      <c r="C2388">
        <v>68.480002999999996</v>
      </c>
      <c r="D2388">
        <v>66.230002999999996</v>
      </c>
      <c r="E2388">
        <v>66.389999000000003</v>
      </c>
      <c r="F2388">
        <v>65.546599999999998</v>
      </c>
      <c r="G2388">
        <v>2695200</v>
      </c>
    </row>
    <row r="2389" spans="1:7" x14ac:dyDescent="0.45">
      <c r="A2389" s="1">
        <v>43458</v>
      </c>
      <c r="B2389">
        <v>66.25</v>
      </c>
      <c r="C2389">
        <v>66.779999000000004</v>
      </c>
      <c r="D2389">
        <v>65</v>
      </c>
      <c r="E2389">
        <v>65.430000000000007</v>
      </c>
      <c r="F2389">
        <v>64.598800999999995</v>
      </c>
      <c r="G2389">
        <v>1495200</v>
      </c>
    </row>
    <row r="2390" spans="1:7" x14ac:dyDescent="0.45">
      <c r="A2390" s="1">
        <v>43460</v>
      </c>
      <c r="B2390">
        <v>65.430000000000007</v>
      </c>
      <c r="C2390">
        <v>66.949996999999996</v>
      </c>
      <c r="D2390">
        <v>64.650002000000001</v>
      </c>
      <c r="E2390">
        <v>66.930000000000007</v>
      </c>
      <c r="F2390">
        <v>66.079741999999996</v>
      </c>
      <c r="G2390">
        <v>2087400</v>
      </c>
    </row>
    <row r="2391" spans="1:7" x14ac:dyDescent="0.45">
      <c r="A2391" s="1">
        <v>43461</v>
      </c>
      <c r="B2391">
        <v>65.480002999999996</v>
      </c>
      <c r="C2391">
        <v>66.300003000000004</v>
      </c>
      <c r="D2391">
        <v>64.550003000000004</v>
      </c>
      <c r="E2391">
        <v>66.300003000000004</v>
      </c>
      <c r="F2391">
        <v>65.457747999999995</v>
      </c>
      <c r="G2391">
        <v>2371700</v>
      </c>
    </row>
    <row r="2392" spans="1:7" x14ac:dyDescent="0.45">
      <c r="A2392" s="1">
        <v>43462</v>
      </c>
      <c r="B2392">
        <v>66.529999000000004</v>
      </c>
      <c r="C2392">
        <v>66.809997999999993</v>
      </c>
      <c r="D2392">
        <v>65.319999999999993</v>
      </c>
      <c r="E2392">
        <v>65.870002999999997</v>
      </c>
      <c r="F2392">
        <v>65.033210999999994</v>
      </c>
      <c r="G2392">
        <v>3348500</v>
      </c>
    </row>
    <row r="2393" spans="1:7" x14ac:dyDescent="0.45">
      <c r="A2393" s="1">
        <v>43465</v>
      </c>
      <c r="B2393">
        <v>65.629997000000003</v>
      </c>
      <c r="C2393">
        <v>65.809997999999993</v>
      </c>
      <c r="D2393">
        <v>64.800003000000004</v>
      </c>
      <c r="E2393">
        <v>65.809997999999993</v>
      </c>
      <c r="F2393">
        <v>64.973968999999997</v>
      </c>
      <c r="G2393">
        <v>2113200</v>
      </c>
    </row>
    <row r="2394" spans="1:7" x14ac:dyDescent="0.45">
      <c r="A2394" s="1">
        <v>43467</v>
      </c>
      <c r="B2394">
        <v>65.150002000000001</v>
      </c>
      <c r="C2394">
        <v>66.050003000000004</v>
      </c>
      <c r="D2394">
        <v>64.989998</v>
      </c>
      <c r="E2394">
        <v>65.910004000000001</v>
      </c>
      <c r="F2394">
        <v>65.072708000000006</v>
      </c>
      <c r="G2394">
        <v>1820300</v>
      </c>
    </row>
    <row r="2395" spans="1:7" x14ac:dyDescent="0.45">
      <c r="A2395" s="1">
        <v>43468</v>
      </c>
      <c r="B2395">
        <v>66.260002</v>
      </c>
      <c r="C2395">
        <v>66.930000000000007</v>
      </c>
      <c r="D2395">
        <v>66.220000999999996</v>
      </c>
      <c r="E2395">
        <v>66.419998000000007</v>
      </c>
      <c r="F2395">
        <v>65.576217999999997</v>
      </c>
      <c r="G2395">
        <v>1495000</v>
      </c>
    </row>
    <row r="2396" spans="1:7" x14ac:dyDescent="0.45">
      <c r="A2396" s="1">
        <v>43469</v>
      </c>
      <c r="B2396">
        <v>67.169998000000007</v>
      </c>
      <c r="C2396">
        <v>69.260002</v>
      </c>
      <c r="D2396">
        <v>67.120002999999997</v>
      </c>
      <c r="E2396">
        <v>69.089995999999999</v>
      </c>
      <c r="F2396">
        <v>68.212303000000006</v>
      </c>
      <c r="G2396">
        <v>2097200</v>
      </c>
    </row>
    <row r="2397" spans="1:7" x14ac:dyDescent="0.45">
      <c r="A2397" s="1">
        <v>43472</v>
      </c>
      <c r="B2397">
        <v>68.540001000000004</v>
      </c>
      <c r="C2397">
        <v>69.699996999999996</v>
      </c>
      <c r="D2397">
        <v>68.5</v>
      </c>
      <c r="E2397">
        <v>69.400002000000001</v>
      </c>
      <c r="F2397">
        <v>68.518364000000005</v>
      </c>
      <c r="G2397">
        <v>1646800</v>
      </c>
    </row>
    <row r="2398" spans="1:7" x14ac:dyDescent="0.45">
      <c r="A2398" s="1">
        <v>43473</v>
      </c>
      <c r="B2398">
        <v>70.459998999999996</v>
      </c>
      <c r="C2398">
        <v>70.970000999999996</v>
      </c>
      <c r="D2398">
        <v>70.089995999999999</v>
      </c>
      <c r="E2398">
        <v>70.75</v>
      </c>
      <c r="F2398">
        <v>69.851219</v>
      </c>
      <c r="G2398">
        <v>1512600</v>
      </c>
    </row>
    <row r="2399" spans="1:7" x14ac:dyDescent="0.45">
      <c r="A2399" s="1">
        <v>43474</v>
      </c>
      <c r="B2399">
        <v>69.900002000000001</v>
      </c>
      <c r="C2399">
        <v>70.660004000000001</v>
      </c>
      <c r="D2399">
        <v>69.819999999999993</v>
      </c>
      <c r="E2399">
        <v>70.239998</v>
      </c>
      <c r="F2399">
        <v>69.347694000000004</v>
      </c>
      <c r="G2399">
        <v>1597400</v>
      </c>
    </row>
    <row r="2400" spans="1:7" x14ac:dyDescent="0.45">
      <c r="A2400" s="1">
        <v>43475</v>
      </c>
      <c r="B2400">
        <v>69.739998</v>
      </c>
      <c r="C2400">
        <v>70.930000000000007</v>
      </c>
      <c r="D2400">
        <v>69.389999000000003</v>
      </c>
      <c r="E2400">
        <v>70.760002</v>
      </c>
      <c r="F2400">
        <v>69.861091999999999</v>
      </c>
      <c r="G2400">
        <v>1191100</v>
      </c>
    </row>
    <row r="2401" spans="1:7" x14ac:dyDescent="0.45">
      <c r="A2401" s="1">
        <v>43476</v>
      </c>
      <c r="B2401">
        <v>72.699996999999996</v>
      </c>
      <c r="C2401">
        <v>73.970000999999996</v>
      </c>
      <c r="D2401">
        <v>71.919998000000007</v>
      </c>
      <c r="E2401">
        <v>73.730002999999996</v>
      </c>
      <c r="F2401">
        <v>72.793364999999994</v>
      </c>
      <c r="G2401">
        <v>3835500</v>
      </c>
    </row>
    <row r="2402" spans="1:7" x14ac:dyDescent="0.45">
      <c r="A2402" s="1">
        <v>43479</v>
      </c>
      <c r="B2402">
        <v>72.830001999999993</v>
      </c>
      <c r="C2402">
        <v>73.010002</v>
      </c>
      <c r="D2402">
        <v>72.120002999999997</v>
      </c>
      <c r="E2402">
        <v>72.529999000000004</v>
      </c>
      <c r="F2402">
        <v>71.608604</v>
      </c>
      <c r="G2402">
        <v>1565900</v>
      </c>
    </row>
    <row r="2403" spans="1:7" x14ac:dyDescent="0.45">
      <c r="A2403" s="1">
        <v>43480</v>
      </c>
      <c r="B2403">
        <v>72.169998000000007</v>
      </c>
      <c r="C2403">
        <v>72.849997999999999</v>
      </c>
      <c r="D2403">
        <v>71.980002999999996</v>
      </c>
      <c r="E2403">
        <v>72.519997000000004</v>
      </c>
      <c r="F2403">
        <v>71.598724000000004</v>
      </c>
      <c r="G2403">
        <v>1215600</v>
      </c>
    </row>
    <row r="2404" spans="1:7" x14ac:dyDescent="0.45">
      <c r="A2404" s="1">
        <v>43481</v>
      </c>
      <c r="B2404">
        <v>71.080001999999993</v>
      </c>
      <c r="C2404">
        <v>71.150002000000001</v>
      </c>
      <c r="D2404">
        <v>70.150002000000001</v>
      </c>
      <c r="E2404">
        <v>70.5</v>
      </c>
      <c r="F2404">
        <v>69.604393000000002</v>
      </c>
      <c r="G2404">
        <v>1792700</v>
      </c>
    </row>
    <row r="2405" spans="1:7" x14ac:dyDescent="0.45">
      <c r="A2405" s="1">
        <v>43482</v>
      </c>
      <c r="B2405">
        <v>70.930000000000007</v>
      </c>
      <c r="C2405">
        <v>72.129997000000003</v>
      </c>
      <c r="D2405">
        <v>70.910004000000001</v>
      </c>
      <c r="E2405">
        <v>71.980002999999996</v>
      </c>
      <c r="F2405">
        <v>71.065597999999994</v>
      </c>
      <c r="G2405">
        <v>1150100</v>
      </c>
    </row>
    <row r="2406" spans="1:7" x14ac:dyDescent="0.45">
      <c r="A2406" s="1">
        <v>43483</v>
      </c>
      <c r="B2406">
        <v>73.139999000000003</v>
      </c>
      <c r="C2406">
        <v>73.809997999999993</v>
      </c>
      <c r="D2406">
        <v>72.860000999999997</v>
      </c>
      <c r="E2406">
        <v>73.650002000000001</v>
      </c>
      <c r="F2406">
        <v>72.714377999999996</v>
      </c>
      <c r="G2406">
        <v>1975900</v>
      </c>
    </row>
    <row r="2407" spans="1:7" x14ac:dyDescent="0.45">
      <c r="A2407" s="1">
        <v>43487</v>
      </c>
      <c r="B2407">
        <v>72.980002999999996</v>
      </c>
      <c r="C2407">
        <v>73.540001000000004</v>
      </c>
      <c r="D2407">
        <v>72.529999000000004</v>
      </c>
      <c r="E2407">
        <v>73.5</v>
      </c>
      <c r="F2407">
        <v>72.566283999999996</v>
      </c>
      <c r="G2407">
        <v>2634800</v>
      </c>
    </row>
    <row r="2408" spans="1:7" x14ac:dyDescent="0.45">
      <c r="A2408" s="1">
        <v>43488</v>
      </c>
      <c r="B2408">
        <v>73.610000999999997</v>
      </c>
      <c r="C2408">
        <v>74</v>
      </c>
      <c r="D2408">
        <v>73.319999999999993</v>
      </c>
      <c r="E2408">
        <v>73.910004000000001</v>
      </c>
      <c r="F2408">
        <v>72.971076999999994</v>
      </c>
      <c r="G2408">
        <v>1808400</v>
      </c>
    </row>
    <row r="2409" spans="1:7" x14ac:dyDescent="0.45">
      <c r="A2409" s="1">
        <v>43489</v>
      </c>
      <c r="B2409">
        <v>73.779999000000004</v>
      </c>
      <c r="C2409">
        <v>74.800003000000004</v>
      </c>
      <c r="D2409">
        <v>73.739998</v>
      </c>
      <c r="E2409">
        <v>74.25</v>
      </c>
      <c r="F2409">
        <v>73.306754999999995</v>
      </c>
      <c r="G2409">
        <v>1952700</v>
      </c>
    </row>
    <row r="2410" spans="1:7" x14ac:dyDescent="0.45">
      <c r="A2410" s="1">
        <v>43490</v>
      </c>
      <c r="B2410">
        <v>74.540001000000004</v>
      </c>
      <c r="C2410">
        <v>75.129997000000003</v>
      </c>
      <c r="D2410">
        <v>74.319999999999993</v>
      </c>
      <c r="E2410">
        <v>74.860000999999997</v>
      </c>
      <c r="F2410">
        <v>73.909003999999996</v>
      </c>
      <c r="G2410">
        <v>1268500</v>
      </c>
    </row>
    <row r="2411" spans="1:7" x14ac:dyDescent="0.45">
      <c r="A2411" s="1">
        <v>43493</v>
      </c>
      <c r="B2411">
        <v>73.300003000000004</v>
      </c>
      <c r="C2411">
        <v>73.769997000000004</v>
      </c>
      <c r="D2411">
        <v>72.870002999999997</v>
      </c>
      <c r="E2411">
        <v>73.680000000000007</v>
      </c>
      <c r="F2411">
        <v>72.743995999999996</v>
      </c>
      <c r="G2411">
        <v>1500000</v>
      </c>
    </row>
    <row r="2412" spans="1:7" x14ac:dyDescent="0.45">
      <c r="A2412" s="1">
        <v>43494</v>
      </c>
      <c r="B2412">
        <v>73.779999000000004</v>
      </c>
      <c r="C2412">
        <v>74.110000999999997</v>
      </c>
      <c r="D2412">
        <v>73.599997999999999</v>
      </c>
      <c r="E2412">
        <v>73.989998</v>
      </c>
      <c r="F2412">
        <v>73.050055999999998</v>
      </c>
      <c r="G2412">
        <v>1360500</v>
      </c>
    </row>
    <row r="2413" spans="1:7" x14ac:dyDescent="0.45">
      <c r="A2413" s="1">
        <v>43495</v>
      </c>
      <c r="B2413">
        <v>74.319999999999993</v>
      </c>
      <c r="C2413">
        <v>75.209998999999996</v>
      </c>
      <c r="D2413">
        <v>74.239998</v>
      </c>
      <c r="E2413">
        <v>74.940002000000007</v>
      </c>
      <c r="F2413">
        <v>73.987990999999994</v>
      </c>
      <c r="G2413">
        <v>1042400</v>
      </c>
    </row>
    <row r="2414" spans="1:7" x14ac:dyDescent="0.45">
      <c r="A2414" s="1">
        <v>43496</v>
      </c>
      <c r="B2414">
        <v>75.489998</v>
      </c>
      <c r="C2414">
        <v>76.830001999999993</v>
      </c>
      <c r="D2414">
        <v>75.269997000000004</v>
      </c>
      <c r="E2414">
        <v>76.440002000000007</v>
      </c>
      <c r="F2414">
        <v>75.468933000000007</v>
      </c>
      <c r="G2414">
        <v>1485300</v>
      </c>
    </row>
    <row r="2415" spans="1:7" x14ac:dyDescent="0.45">
      <c r="A2415" s="1">
        <v>43497</v>
      </c>
      <c r="B2415">
        <v>76.5</v>
      </c>
      <c r="C2415">
        <v>77.389999000000003</v>
      </c>
      <c r="D2415">
        <v>76.360000999999997</v>
      </c>
      <c r="E2415">
        <v>76.839995999999999</v>
      </c>
      <c r="F2415">
        <v>75.863845999999995</v>
      </c>
      <c r="G2415">
        <v>1400800</v>
      </c>
    </row>
    <row r="2416" spans="1:7" x14ac:dyDescent="0.45">
      <c r="A2416" s="1">
        <v>43500</v>
      </c>
      <c r="B2416">
        <v>76.889999000000003</v>
      </c>
      <c r="C2416">
        <v>77.5</v>
      </c>
      <c r="D2416">
        <v>76.699996999999996</v>
      </c>
      <c r="E2416">
        <v>77.410004000000001</v>
      </c>
      <c r="F2416">
        <v>76.426613000000003</v>
      </c>
      <c r="G2416">
        <v>812400</v>
      </c>
    </row>
    <row r="2417" spans="1:7" x14ac:dyDescent="0.45">
      <c r="A2417" s="1">
        <v>43501</v>
      </c>
      <c r="B2417">
        <v>78.139999000000003</v>
      </c>
      <c r="C2417">
        <v>79.209998999999996</v>
      </c>
      <c r="D2417">
        <v>78</v>
      </c>
      <c r="E2417">
        <v>78.860000999999997</v>
      </c>
      <c r="F2417">
        <v>77.858192000000003</v>
      </c>
      <c r="G2417">
        <v>1089800</v>
      </c>
    </row>
    <row r="2418" spans="1:7" x14ac:dyDescent="0.45">
      <c r="A2418" s="1">
        <v>43502</v>
      </c>
      <c r="B2418">
        <v>78.889999000000003</v>
      </c>
      <c r="C2418">
        <v>79</v>
      </c>
      <c r="D2418">
        <v>78.279999000000004</v>
      </c>
      <c r="E2418">
        <v>78.300003000000004</v>
      </c>
      <c r="F2418">
        <v>77.305305000000004</v>
      </c>
      <c r="G2418">
        <v>968600</v>
      </c>
    </row>
    <row r="2419" spans="1:7" x14ac:dyDescent="0.45">
      <c r="A2419" s="1">
        <v>43503</v>
      </c>
      <c r="B2419">
        <v>76.870002999999997</v>
      </c>
      <c r="C2419">
        <v>77.220000999999996</v>
      </c>
      <c r="D2419">
        <v>76.480002999999996</v>
      </c>
      <c r="E2419">
        <v>76.900002000000001</v>
      </c>
      <c r="F2419">
        <v>75.923088000000007</v>
      </c>
      <c r="G2419">
        <v>1479200</v>
      </c>
    </row>
    <row r="2420" spans="1:7" x14ac:dyDescent="0.45">
      <c r="A2420" s="1">
        <v>43504</v>
      </c>
      <c r="B2420">
        <v>75.580001999999993</v>
      </c>
      <c r="C2420">
        <v>76.169998000000007</v>
      </c>
      <c r="D2420">
        <v>75.430000000000007</v>
      </c>
      <c r="E2420">
        <v>76.150002000000001</v>
      </c>
      <c r="F2420">
        <v>75.182616999999993</v>
      </c>
      <c r="G2420">
        <v>1480900</v>
      </c>
    </row>
    <row r="2421" spans="1:7" x14ac:dyDescent="0.45">
      <c r="A2421" s="1">
        <v>43507</v>
      </c>
      <c r="B2421">
        <v>76.190002000000007</v>
      </c>
      <c r="C2421">
        <v>76.559997999999993</v>
      </c>
      <c r="D2421">
        <v>76.110000999999997</v>
      </c>
      <c r="E2421">
        <v>76.370002999999997</v>
      </c>
      <c r="F2421">
        <v>75.399826000000004</v>
      </c>
      <c r="G2421">
        <v>1175100</v>
      </c>
    </row>
    <row r="2422" spans="1:7" x14ac:dyDescent="0.45">
      <c r="A2422" s="1">
        <v>43508</v>
      </c>
      <c r="B2422">
        <v>75.470000999999996</v>
      </c>
      <c r="C2422">
        <v>76.660004000000001</v>
      </c>
      <c r="D2422">
        <v>75.470000999999996</v>
      </c>
      <c r="E2422">
        <v>76.349997999999999</v>
      </c>
      <c r="F2422">
        <v>75.380073999999993</v>
      </c>
      <c r="G2422">
        <v>1348300</v>
      </c>
    </row>
    <row r="2423" spans="1:7" x14ac:dyDescent="0.45">
      <c r="A2423" s="1">
        <v>43509</v>
      </c>
      <c r="B2423">
        <v>77.790001000000004</v>
      </c>
      <c r="C2423">
        <v>78.660004000000001</v>
      </c>
      <c r="D2423">
        <v>77.680000000000007</v>
      </c>
      <c r="E2423">
        <v>77.739998</v>
      </c>
      <c r="F2423">
        <v>76.752419000000003</v>
      </c>
      <c r="G2423">
        <v>1646200</v>
      </c>
    </row>
    <row r="2424" spans="1:7" x14ac:dyDescent="0.45">
      <c r="A2424" s="1">
        <v>43510</v>
      </c>
      <c r="B2424">
        <v>76.779999000000004</v>
      </c>
      <c r="C2424">
        <v>76.809997999999993</v>
      </c>
      <c r="D2424">
        <v>75.230002999999996</v>
      </c>
      <c r="E2424">
        <v>75.900002000000001</v>
      </c>
      <c r="F2424">
        <v>74.935790999999995</v>
      </c>
      <c r="G2424">
        <v>2109800</v>
      </c>
    </row>
    <row r="2425" spans="1:7" x14ac:dyDescent="0.45">
      <c r="A2425" s="1">
        <v>43511</v>
      </c>
      <c r="B2425">
        <v>77.150002000000001</v>
      </c>
      <c r="C2425">
        <v>77.809997999999993</v>
      </c>
      <c r="D2425">
        <v>76.879997000000003</v>
      </c>
      <c r="E2425">
        <v>77.690002000000007</v>
      </c>
      <c r="F2425">
        <v>76.703056000000004</v>
      </c>
      <c r="G2425">
        <v>1243800</v>
      </c>
    </row>
    <row r="2426" spans="1:7" x14ac:dyDescent="0.45">
      <c r="A2426" s="1">
        <v>43515</v>
      </c>
      <c r="B2426">
        <v>76.459998999999996</v>
      </c>
      <c r="C2426">
        <v>77.349997999999999</v>
      </c>
      <c r="D2426">
        <v>76.25</v>
      </c>
      <c r="E2426">
        <v>77.110000999999997</v>
      </c>
      <c r="F2426">
        <v>76.130424000000005</v>
      </c>
      <c r="G2426">
        <v>846600</v>
      </c>
    </row>
    <row r="2427" spans="1:7" x14ac:dyDescent="0.45">
      <c r="A2427" s="1">
        <v>43516</v>
      </c>
      <c r="B2427">
        <v>76.919998000000007</v>
      </c>
      <c r="C2427">
        <v>78.599997999999999</v>
      </c>
      <c r="D2427">
        <v>76.910004000000001</v>
      </c>
      <c r="E2427">
        <v>77.680000000000007</v>
      </c>
      <c r="F2427">
        <v>76.693184000000002</v>
      </c>
      <c r="G2427">
        <v>992400</v>
      </c>
    </row>
    <row r="2428" spans="1:7" x14ac:dyDescent="0.45">
      <c r="A2428" s="1">
        <v>43517</v>
      </c>
      <c r="B2428">
        <v>77.470000999999996</v>
      </c>
      <c r="C2428">
        <v>77.860000999999997</v>
      </c>
      <c r="D2428">
        <v>77.160004000000001</v>
      </c>
      <c r="E2428">
        <v>77.5</v>
      </c>
      <c r="F2428">
        <v>76.515465000000006</v>
      </c>
      <c r="G2428">
        <v>731900</v>
      </c>
    </row>
    <row r="2429" spans="1:7" x14ac:dyDescent="0.45">
      <c r="A2429" s="1">
        <v>43518</v>
      </c>
      <c r="B2429">
        <v>74.599997999999999</v>
      </c>
      <c r="C2429">
        <v>75.099997999999999</v>
      </c>
      <c r="D2429">
        <v>73.569999999999993</v>
      </c>
      <c r="E2429">
        <v>75.040001000000004</v>
      </c>
      <c r="F2429">
        <v>74.086715999999996</v>
      </c>
      <c r="G2429">
        <v>3278700</v>
      </c>
    </row>
    <row r="2430" spans="1:7" x14ac:dyDescent="0.45">
      <c r="A2430" s="1">
        <v>43521</v>
      </c>
      <c r="B2430">
        <v>75.480002999999996</v>
      </c>
      <c r="C2430">
        <v>75.669998000000007</v>
      </c>
      <c r="D2430">
        <v>74.5</v>
      </c>
      <c r="E2430">
        <v>74.860000999999997</v>
      </c>
      <c r="F2430">
        <v>73.909003999999996</v>
      </c>
      <c r="G2430">
        <v>2066800</v>
      </c>
    </row>
    <row r="2431" spans="1:7" x14ac:dyDescent="0.45">
      <c r="A2431" s="1">
        <v>43522</v>
      </c>
      <c r="B2431">
        <v>74.5</v>
      </c>
      <c r="C2431">
        <v>75.419998000000007</v>
      </c>
      <c r="D2431">
        <v>74.410004000000001</v>
      </c>
      <c r="E2431">
        <v>75.199996999999996</v>
      </c>
      <c r="F2431">
        <v>74.244681999999997</v>
      </c>
      <c r="G2431">
        <v>1559000</v>
      </c>
    </row>
    <row r="2432" spans="1:7" x14ac:dyDescent="0.45">
      <c r="A2432" s="1">
        <v>43523</v>
      </c>
      <c r="B2432">
        <v>74.900002000000001</v>
      </c>
      <c r="C2432">
        <v>75.080001999999993</v>
      </c>
      <c r="D2432">
        <v>74.400002000000001</v>
      </c>
      <c r="E2432">
        <v>74.720000999999996</v>
      </c>
      <c r="F2432">
        <v>73.770781999999997</v>
      </c>
      <c r="G2432">
        <v>1556000</v>
      </c>
    </row>
    <row r="2433" spans="1:7" x14ac:dyDescent="0.45">
      <c r="A2433" s="1">
        <v>43524</v>
      </c>
      <c r="B2433">
        <v>78.690002000000007</v>
      </c>
      <c r="C2433">
        <v>78.889999000000003</v>
      </c>
      <c r="D2433">
        <v>77.069999999999993</v>
      </c>
      <c r="E2433">
        <v>78.160004000000001</v>
      </c>
      <c r="F2433">
        <v>77.167084000000003</v>
      </c>
      <c r="G2433">
        <v>3024800</v>
      </c>
    </row>
    <row r="2434" spans="1:7" x14ac:dyDescent="0.45">
      <c r="A2434" s="1">
        <v>43525</v>
      </c>
      <c r="B2434">
        <v>82.019997000000004</v>
      </c>
      <c r="C2434">
        <v>82.949996999999996</v>
      </c>
      <c r="D2434">
        <v>81.809997999999993</v>
      </c>
      <c r="E2434">
        <v>81.959998999999996</v>
      </c>
      <c r="F2434">
        <v>80.918807999999999</v>
      </c>
      <c r="G2434">
        <v>4456100</v>
      </c>
    </row>
    <row r="2435" spans="1:7" x14ac:dyDescent="0.45">
      <c r="A2435" s="1">
        <v>43528</v>
      </c>
      <c r="B2435">
        <v>82.599997999999999</v>
      </c>
      <c r="C2435">
        <v>82.629997000000003</v>
      </c>
      <c r="D2435">
        <v>80.610000999999997</v>
      </c>
      <c r="E2435">
        <v>81.779999000000004</v>
      </c>
      <c r="F2435">
        <v>80.741095999999999</v>
      </c>
      <c r="G2435">
        <v>2089000</v>
      </c>
    </row>
    <row r="2436" spans="1:7" x14ac:dyDescent="0.45">
      <c r="A2436" s="1">
        <v>43529</v>
      </c>
      <c r="B2436">
        <v>81.959998999999996</v>
      </c>
      <c r="C2436">
        <v>82.589995999999999</v>
      </c>
      <c r="D2436">
        <v>81.699996999999996</v>
      </c>
      <c r="E2436">
        <v>82.199996999999996</v>
      </c>
      <c r="F2436">
        <v>81.155754000000002</v>
      </c>
      <c r="G2436">
        <v>1469200</v>
      </c>
    </row>
    <row r="2437" spans="1:7" x14ac:dyDescent="0.45">
      <c r="A2437" s="1">
        <v>43530</v>
      </c>
      <c r="B2437">
        <v>82.07</v>
      </c>
      <c r="C2437">
        <v>82.449996999999996</v>
      </c>
      <c r="D2437">
        <v>81.470000999999996</v>
      </c>
      <c r="E2437">
        <v>82.129997000000003</v>
      </c>
      <c r="F2437">
        <v>81.086646999999999</v>
      </c>
      <c r="G2437">
        <v>1444300</v>
      </c>
    </row>
    <row r="2438" spans="1:7" x14ac:dyDescent="0.45">
      <c r="A2438" s="1">
        <v>43531</v>
      </c>
      <c r="B2438">
        <v>80.580001999999993</v>
      </c>
      <c r="C2438">
        <v>80.739998</v>
      </c>
      <c r="D2438">
        <v>80.139999000000003</v>
      </c>
      <c r="E2438">
        <v>80.360000999999997</v>
      </c>
      <c r="F2438">
        <v>79.339134000000001</v>
      </c>
      <c r="G2438">
        <v>1454400</v>
      </c>
    </row>
    <row r="2439" spans="1:7" x14ac:dyDescent="0.45">
      <c r="A2439" s="1">
        <v>43532</v>
      </c>
      <c r="B2439">
        <v>80.360000999999997</v>
      </c>
      <c r="C2439">
        <v>80.860000999999997</v>
      </c>
      <c r="D2439">
        <v>80.199996999999996</v>
      </c>
      <c r="E2439">
        <v>80.580001999999993</v>
      </c>
      <c r="F2439">
        <v>79.556342999999998</v>
      </c>
      <c r="G2439">
        <v>794500</v>
      </c>
    </row>
    <row r="2440" spans="1:7" x14ac:dyDescent="0.45">
      <c r="A2440" s="1">
        <v>43535</v>
      </c>
      <c r="B2440">
        <v>80.809997999999993</v>
      </c>
      <c r="C2440">
        <v>81.180000000000007</v>
      </c>
      <c r="D2440">
        <v>80.419998000000007</v>
      </c>
      <c r="E2440">
        <v>80.800003000000004</v>
      </c>
      <c r="F2440">
        <v>79.773544000000001</v>
      </c>
      <c r="G2440">
        <v>1156700</v>
      </c>
    </row>
    <row r="2441" spans="1:7" x14ac:dyDescent="0.45">
      <c r="A2441" s="1">
        <v>43536</v>
      </c>
      <c r="B2441">
        <v>81.260002</v>
      </c>
      <c r="C2441">
        <v>81.339995999999999</v>
      </c>
      <c r="D2441">
        <v>80.620002999999997</v>
      </c>
      <c r="E2441">
        <v>80.699996999999996</v>
      </c>
      <c r="F2441">
        <v>79.674812000000003</v>
      </c>
      <c r="G2441">
        <v>963600</v>
      </c>
    </row>
    <row r="2442" spans="1:7" x14ac:dyDescent="0.45">
      <c r="A2442" s="1">
        <v>43537</v>
      </c>
      <c r="B2442">
        <v>80.550003000000004</v>
      </c>
      <c r="C2442">
        <v>80.870002999999997</v>
      </c>
      <c r="D2442">
        <v>80.180000000000007</v>
      </c>
      <c r="E2442">
        <v>80.730002999999996</v>
      </c>
      <c r="F2442">
        <v>79.704436999999999</v>
      </c>
      <c r="G2442">
        <v>841100</v>
      </c>
    </row>
    <row r="2443" spans="1:7" x14ac:dyDescent="0.45">
      <c r="A2443" s="1">
        <v>43538</v>
      </c>
      <c r="B2443">
        <v>80.059997999999993</v>
      </c>
      <c r="C2443">
        <v>80.529999000000004</v>
      </c>
      <c r="D2443">
        <v>79.629997000000003</v>
      </c>
      <c r="E2443">
        <v>79.650002000000001</v>
      </c>
      <c r="F2443">
        <v>78.638153000000003</v>
      </c>
      <c r="G2443">
        <v>1247100</v>
      </c>
    </row>
    <row r="2444" spans="1:7" x14ac:dyDescent="0.45">
      <c r="A2444" s="1">
        <v>43539</v>
      </c>
      <c r="B2444">
        <v>81.169998000000007</v>
      </c>
      <c r="C2444">
        <v>81.489998</v>
      </c>
      <c r="D2444">
        <v>80.860000999999997</v>
      </c>
      <c r="E2444">
        <v>81.25</v>
      </c>
      <c r="F2444">
        <v>80.217827</v>
      </c>
      <c r="G2444">
        <v>1573900</v>
      </c>
    </row>
    <row r="2445" spans="1:7" x14ac:dyDescent="0.45">
      <c r="A2445" s="1">
        <v>43542</v>
      </c>
      <c r="B2445">
        <v>81.910004000000001</v>
      </c>
      <c r="C2445">
        <v>82.220000999999996</v>
      </c>
      <c r="D2445">
        <v>81.660004000000001</v>
      </c>
      <c r="E2445">
        <v>82.07</v>
      </c>
      <c r="F2445">
        <v>81.027411999999998</v>
      </c>
      <c r="G2445">
        <v>680400</v>
      </c>
    </row>
    <row r="2446" spans="1:7" x14ac:dyDescent="0.45">
      <c r="A2446" s="1">
        <v>43543</v>
      </c>
      <c r="B2446">
        <v>84.790001000000004</v>
      </c>
      <c r="C2446">
        <v>84.959998999999996</v>
      </c>
      <c r="D2446">
        <v>83.760002</v>
      </c>
      <c r="E2446">
        <v>83.870002999999997</v>
      </c>
      <c r="F2446">
        <v>82.804550000000006</v>
      </c>
      <c r="G2446">
        <v>2000400</v>
      </c>
    </row>
    <row r="2447" spans="1:7" x14ac:dyDescent="0.45">
      <c r="A2447" s="1">
        <v>43544</v>
      </c>
      <c r="B2447">
        <v>83.629997000000003</v>
      </c>
      <c r="C2447">
        <v>84</v>
      </c>
      <c r="D2447">
        <v>82.860000999999997</v>
      </c>
      <c r="E2447">
        <v>83.43</v>
      </c>
      <c r="F2447">
        <v>82.370131999999998</v>
      </c>
      <c r="G2447">
        <v>1578400</v>
      </c>
    </row>
    <row r="2448" spans="1:7" x14ac:dyDescent="0.45">
      <c r="A2448" s="1">
        <v>43545</v>
      </c>
      <c r="B2448">
        <v>83.480002999999996</v>
      </c>
      <c r="C2448">
        <v>83.970000999999996</v>
      </c>
      <c r="D2448">
        <v>83.029999000000004</v>
      </c>
      <c r="E2448">
        <v>83.919998000000007</v>
      </c>
      <c r="F2448">
        <v>82.853904999999997</v>
      </c>
      <c r="G2448">
        <v>842500</v>
      </c>
    </row>
    <row r="2449" spans="1:7" x14ac:dyDescent="0.45">
      <c r="A2449" s="1">
        <v>43546</v>
      </c>
      <c r="B2449">
        <v>82.099997999999999</v>
      </c>
      <c r="C2449">
        <v>82.739998</v>
      </c>
      <c r="D2449">
        <v>80.739998</v>
      </c>
      <c r="E2449">
        <v>80.739998</v>
      </c>
      <c r="F2449">
        <v>79.714302000000004</v>
      </c>
      <c r="G2449">
        <v>1554800</v>
      </c>
    </row>
    <row r="2450" spans="1:7" x14ac:dyDescent="0.45">
      <c r="A2450" s="1">
        <v>43549</v>
      </c>
      <c r="B2450">
        <v>80</v>
      </c>
      <c r="C2450">
        <v>80.800003000000004</v>
      </c>
      <c r="D2450">
        <v>79.919998000000007</v>
      </c>
      <c r="E2450">
        <v>80.349997999999999</v>
      </c>
      <c r="F2450">
        <v>79.329262</v>
      </c>
      <c r="G2450">
        <v>813600</v>
      </c>
    </row>
    <row r="2451" spans="1:7" x14ac:dyDescent="0.45">
      <c r="A2451" s="1">
        <v>43550</v>
      </c>
      <c r="B2451">
        <v>82.07</v>
      </c>
      <c r="C2451">
        <v>82.25</v>
      </c>
      <c r="D2451">
        <v>81.75</v>
      </c>
      <c r="E2451">
        <v>82.029999000000004</v>
      </c>
      <c r="F2451">
        <v>80.987915000000001</v>
      </c>
      <c r="G2451">
        <v>915200</v>
      </c>
    </row>
    <row r="2452" spans="1:7" x14ac:dyDescent="0.45">
      <c r="A2452" s="1">
        <v>43551</v>
      </c>
      <c r="B2452">
        <v>83.120002999999997</v>
      </c>
      <c r="C2452">
        <v>83.389999000000003</v>
      </c>
      <c r="D2452">
        <v>81.879997000000003</v>
      </c>
      <c r="E2452">
        <v>82.459998999999996</v>
      </c>
      <c r="F2452">
        <v>81.412452999999999</v>
      </c>
      <c r="G2452">
        <v>1770000</v>
      </c>
    </row>
    <row r="2453" spans="1:7" x14ac:dyDescent="0.45">
      <c r="A2453" s="1">
        <v>43552</v>
      </c>
      <c r="B2453">
        <v>82.279999000000004</v>
      </c>
      <c r="C2453">
        <v>82.949996999999996</v>
      </c>
      <c r="D2453">
        <v>82.099997999999999</v>
      </c>
      <c r="E2453">
        <v>82.699996999999996</v>
      </c>
      <c r="F2453">
        <v>81.649405999999999</v>
      </c>
      <c r="G2453">
        <v>1065600</v>
      </c>
    </row>
    <row r="2454" spans="1:7" x14ac:dyDescent="0.45">
      <c r="A2454" s="1">
        <v>43553</v>
      </c>
      <c r="B2454">
        <v>83.739998</v>
      </c>
      <c r="C2454">
        <v>84.269997000000004</v>
      </c>
      <c r="D2454">
        <v>83.550003000000004</v>
      </c>
      <c r="E2454">
        <v>83.970000999999996</v>
      </c>
      <c r="F2454">
        <v>82.903274999999994</v>
      </c>
      <c r="G2454">
        <v>1094700</v>
      </c>
    </row>
    <row r="2455" spans="1:7" x14ac:dyDescent="0.45">
      <c r="A2455" s="1">
        <v>43556</v>
      </c>
      <c r="B2455">
        <v>83.559997999999993</v>
      </c>
      <c r="C2455">
        <v>83.879997000000003</v>
      </c>
      <c r="D2455">
        <v>83.370002999999997</v>
      </c>
      <c r="E2455">
        <v>83.639999000000003</v>
      </c>
      <c r="F2455">
        <v>82.577468999999994</v>
      </c>
      <c r="G2455">
        <v>617200</v>
      </c>
    </row>
    <row r="2456" spans="1:7" x14ac:dyDescent="0.45">
      <c r="A2456" s="1">
        <v>43557</v>
      </c>
      <c r="B2456">
        <v>84.050003000000004</v>
      </c>
      <c r="C2456">
        <v>84.5</v>
      </c>
      <c r="D2456">
        <v>83.709998999999996</v>
      </c>
      <c r="E2456">
        <v>84.18</v>
      </c>
      <c r="F2456">
        <v>83.110602999999998</v>
      </c>
      <c r="G2456">
        <v>600900</v>
      </c>
    </row>
    <row r="2457" spans="1:7" x14ac:dyDescent="0.45">
      <c r="A2457" s="1">
        <v>43558</v>
      </c>
      <c r="B2457">
        <v>83.82</v>
      </c>
      <c r="C2457">
        <v>84.120002999999997</v>
      </c>
      <c r="D2457">
        <v>83.5</v>
      </c>
      <c r="E2457">
        <v>83.849997999999999</v>
      </c>
      <c r="F2457">
        <v>82.784797999999995</v>
      </c>
      <c r="G2457">
        <v>602400</v>
      </c>
    </row>
    <row r="2458" spans="1:7" x14ac:dyDescent="0.45">
      <c r="A2458" s="1">
        <v>43559</v>
      </c>
      <c r="B2458">
        <v>84.400002000000001</v>
      </c>
      <c r="C2458">
        <v>85.129997000000003</v>
      </c>
      <c r="D2458">
        <v>84.099997999999999</v>
      </c>
      <c r="E2458">
        <v>84.989998</v>
      </c>
      <c r="F2458">
        <v>83.910315999999995</v>
      </c>
      <c r="G2458">
        <v>1089000</v>
      </c>
    </row>
    <row r="2459" spans="1:7" x14ac:dyDescent="0.45">
      <c r="A2459" s="1">
        <v>43560</v>
      </c>
      <c r="B2459">
        <v>86.410004000000001</v>
      </c>
      <c r="C2459">
        <v>86.919998000000007</v>
      </c>
      <c r="D2459">
        <v>86.07</v>
      </c>
      <c r="E2459">
        <v>86.32</v>
      </c>
      <c r="F2459">
        <v>85.223419000000007</v>
      </c>
      <c r="G2459">
        <v>1495700</v>
      </c>
    </row>
    <row r="2460" spans="1:7" x14ac:dyDescent="0.45">
      <c r="A2460" s="1">
        <v>43563</v>
      </c>
      <c r="B2460">
        <v>86.57</v>
      </c>
      <c r="C2460">
        <v>86.57</v>
      </c>
      <c r="D2460">
        <v>85.82</v>
      </c>
      <c r="E2460">
        <v>86.059997999999993</v>
      </c>
      <c r="F2460">
        <v>84.966721000000007</v>
      </c>
      <c r="G2460">
        <v>721500</v>
      </c>
    </row>
    <row r="2461" spans="1:7" x14ac:dyDescent="0.45">
      <c r="A2461" s="1">
        <v>43564</v>
      </c>
      <c r="B2461">
        <v>86.150002000000001</v>
      </c>
      <c r="C2461">
        <v>86.5</v>
      </c>
      <c r="D2461">
        <v>86</v>
      </c>
      <c r="E2461">
        <v>86.43</v>
      </c>
      <c r="F2461">
        <v>85.332024000000004</v>
      </c>
      <c r="G2461">
        <v>990400</v>
      </c>
    </row>
    <row r="2462" spans="1:7" x14ac:dyDescent="0.45">
      <c r="A2462" s="1">
        <v>43565</v>
      </c>
      <c r="B2462">
        <v>87.300003000000004</v>
      </c>
      <c r="C2462">
        <v>87.370002999999997</v>
      </c>
      <c r="D2462">
        <v>86.760002</v>
      </c>
      <c r="E2462">
        <v>87.230002999999996</v>
      </c>
      <c r="F2462">
        <v>86.121864000000002</v>
      </c>
      <c r="G2462">
        <v>965300</v>
      </c>
    </row>
    <row r="2463" spans="1:7" x14ac:dyDescent="0.45">
      <c r="A2463" s="1">
        <v>43566</v>
      </c>
      <c r="B2463">
        <v>87.760002</v>
      </c>
      <c r="C2463">
        <v>88.089995999999999</v>
      </c>
      <c r="D2463">
        <v>87.5</v>
      </c>
      <c r="E2463">
        <v>87.970000999999996</v>
      </c>
      <c r="F2463">
        <v>86.852463</v>
      </c>
      <c r="G2463">
        <v>856300</v>
      </c>
    </row>
    <row r="2464" spans="1:7" x14ac:dyDescent="0.45">
      <c r="A2464" s="1">
        <v>43567</v>
      </c>
      <c r="B2464">
        <v>88.43</v>
      </c>
      <c r="C2464">
        <v>88.690002000000007</v>
      </c>
      <c r="D2464">
        <v>88.150002000000001</v>
      </c>
      <c r="E2464">
        <v>88.540001000000004</v>
      </c>
      <c r="F2464">
        <v>87.415222</v>
      </c>
      <c r="G2464">
        <v>1608300</v>
      </c>
    </row>
    <row r="2465" spans="1:7" x14ac:dyDescent="0.45">
      <c r="A2465" s="1">
        <v>43570</v>
      </c>
      <c r="B2465">
        <v>89.029999000000004</v>
      </c>
      <c r="C2465">
        <v>89.18</v>
      </c>
      <c r="D2465">
        <v>88.75</v>
      </c>
      <c r="E2465">
        <v>89.110000999999997</v>
      </c>
      <c r="F2465">
        <v>87.977974000000003</v>
      </c>
      <c r="G2465">
        <v>680700</v>
      </c>
    </row>
    <row r="2466" spans="1:7" x14ac:dyDescent="0.45">
      <c r="A2466" s="1">
        <v>43571</v>
      </c>
      <c r="B2466">
        <v>89.089995999999999</v>
      </c>
      <c r="C2466">
        <v>89.300003000000004</v>
      </c>
      <c r="D2466">
        <v>88.650002000000001</v>
      </c>
      <c r="E2466">
        <v>88.720000999999996</v>
      </c>
      <c r="F2466">
        <v>87.592934</v>
      </c>
      <c r="G2466">
        <v>803200</v>
      </c>
    </row>
    <row r="2467" spans="1:7" x14ac:dyDescent="0.45">
      <c r="A2467" s="1">
        <v>43572</v>
      </c>
      <c r="B2467">
        <v>88.650002000000001</v>
      </c>
      <c r="C2467">
        <v>88.699996999999996</v>
      </c>
      <c r="D2467">
        <v>88.080001999999993</v>
      </c>
      <c r="E2467">
        <v>88.330001999999993</v>
      </c>
      <c r="F2467">
        <v>87.207886000000002</v>
      </c>
      <c r="G2467">
        <v>1071800</v>
      </c>
    </row>
    <row r="2468" spans="1:7" x14ac:dyDescent="0.45">
      <c r="A2468" s="1">
        <v>43573</v>
      </c>
      <c r="B2468">
        <v>89.470000999999996</v>
      </c>
      <c r="C2468">
        <v>90.019997000000004</v>
      </c>
      <c r="D2468">
        <v>89.220000999999996</v>
      </c>
      <c r="E2468">
        <v>89.959998999999996</v>
      </c>
      <c r="F2468">
        <v>88.817177000000001</v>
      </c>
      <c r="G2468">
        <v>1409200</v>
      </c>
    </row>
    <row r="2469" spans="1:7" x14ac:dyDescent="0.45">
      <c r="A2469" s="1">
        <v>43577</v>
      </c>
      <c r="B2469">
        <v>89.690002000000007</v>
      </c>
      <c r="C2469">
        <v>90.470000999999996</v>
      </c>
      <c r="D2469">
        <v>89.580001999999993</v>
      </c>
      <c r="E2469">
        <v>89.599997999999999</v>
      </c>
      <c r="F2469">
        <v>88.461753999999999</v>
      </c>
      <c r="G2469">
        <v>970800</v>
      </c>
    </row>
    <row r="2470" spans="1:7" x14ac:dyDescent="0.45">
      <c r="A2470" s="1">
        <v>43578</v>
      </c>
      <c r="B2470">
        <v>88.559997999999993</v>
      </c>
      <c r="C2470">
        <v>89.790001000000004</v>
      </c>
      <c r="D2470">
        <v>88.5</v>
      </c>
      <c r="E2470">
        <v>89.25</v>
      </c>
      <c r="F2470">
        <v>88.116196000000002</v>
      </c>
      <c r="G2470">
        <v>755500</v>
      </c>
    </row>
    <row r="2471" spans="1:7" x14ac:dyDescent="0.45">
      <c r="A2471" s="1">
        <v>43579</v>
      </c>
      <c r="B2471">
        <v>89.019997000000004</v>
      </c>
      <c r="C2471">
        <v>89.129997000000003</v>
      </c>
      <c r="D2471">
        <v>87.82</v>
      </c>
      <c r="E2471">
        <v>88.209998999999996</v>
      </c>
      <c r="F2471">
        <v>87.089409000000003</v>
      </c>
      <c r="G2471">
        <v>1038400</v>
      </c>
    </row>
    <row r="2472" spans="1:7" x14ac:dyDescent="0.45">
      <c r="A2472" s="1">
        <v>43580</v>
      </c>
      <c r="B2472">
        <v>86.889999000000003</v>
      </c>
      <c r="C2472">
        <v>87.019997000000004</v>
      </c>
      <c r="D2472">
        <v>86</v>
      </c>
      <c r="E2472">
        <v>86.639999000000003</v>
      </c>
      <c r="F2472">
        <v>85.539351999999994</v>
      </c>
      <c r="G2472">
        <v>1341700</v>
      </c>
    </row>
    <row r="2473" spans="1:7" x14ac:dyDescent="0.45">
      <c r="A2473" s="1">
        <v>43581</v>
      </c>
      <c r="B2473">
        <v>87.379997000000003</v>
      </c>
      <c r="C2473">
        <v>87.629997000000003</v>
      </c>
      <c r="D2473">
        <v>86.830001999999993</v>
      </c>
      <c r="E2473">
        <v>87.580001999999993</v>
      </c>
      <c r="F2473">
        <v>86.467415000000003</v>
      </c>
      <c r="G2473">
        <v>920400</v>
      </c>
    </row>
    <row r="2474" spans="1:7" x14ac:dyDescent="0.45">
      <c r="A2474" s="1">
        <v>43584</v>
      </c>
      <c r="B2474">
        <v>87.349997999999999</v>
      </c>
      <c r="C2474">
        <v>88.370002999999997</v>
      </c>
      <c r="D2474">
        <v>87.269997000000004</v>
      </c>
      <c r="E2474">
        <v>88.010002</v>
      </c>
      <c r="F2474">
        <v>86.891953000000001</v>
      </c>
      <c r="G2474">
        <v>840400</v>
      </c>
    </row>
    <row r="2475" spans="1:7" x14ac:dyDescent="0.45">
      <c r="A2475" s="1">
        <v>43585</v>
      </c>
      <c r="B2475">
        <v>88.32</v>
      </c>
      <c r="C2475">
        <v>89.199996999999996</v>
      </c>
      <c r="D2475">
        <v>88.220000999999996</v>
      </c>
      <c r="E2475">
        <v>88.940002000000007</v>
      </c>
      <c r="F2475">
        <v>87.810142999999997</v>
      </c>
      <c r="G2475">
        <v>625700</v>
      </c>
    </row>
    <row r="2476" spans="1:7" x14ac:dyDescent="0.45">
      <c r="A2476" s="1">
        <v>43586</v>
      </c>
      <c r="B2476">
        <v>88.559997999999993</v>
      </c>
      <c r="C2476">
        <v>89.370002999999997</v>
      </c>
      <c r="D2476">
        <v>87.599997999999999</v>
      </c>
      <c r="E2476">
        <v>87.809997999999993</v>
      </c>
      <c r="F2476">
        <v>86.694489000000004</v>
      </c>
      <c r="G2476">
        <v>1667500</v>
      </c>
    </row>
    <row r="2477" spans="1:7" x14ac:dyDescent="0.45">
      <c r="A2477" s="1">
        <v>43587</v>
      </c>
      <c r="B2477">
        <v>88.400002000000001</v>
      </c>
      <c r="C2477">
        <v>88.519997000000004</v>
      </c>
      <c r="D2477">
        <v>87.18</v>
      </c>
      <c r="E2477">
        <v>87.540001000000004</v>
      </c>
      <c r="F2477">
        <v>86.427925000000002</v>
      </c>
      <c r="G2477">
        <v>1363800</v>
      </c>
    </row>
    <row r="2478" spans="1:7" x14ac:dyDescent="0.45">
      <c r="A2478" s="1">
        <v>43588</v>
      </c>
      <c r="B2478">
        <v>88.099997999999999</v>
      </c>
      <c r="C2478">
        <v>88.589995999999999</v>
      </c>
      <c r="D2478">
        <v>87.690002000000007</v>
      </c>
      <c r="E2478">
        <v>88.099997999999999</v>
      </c>
      <c r="F2478">
        <v>86.980804000000006</v>
      </c>
      <c r="G2478">
        <v>1070700</v>
      </c>
    </row>
    <row r="2479" spans="1:7" x14ac:dyDescent="0.45">
      <c r="A2479" s="1">
        <v>43591</v>
      </c>
      <c r="B2479">
        <v>87</v>
      </c>
      <c r="C2479">
        <v>88.190002000000007</v>
      </c>
      <c r="D2479">
        <v>86.870002999999997</v>
      </c>
      <c r="E2479">
        <v>87.769997000000004</v>
      </c>
      <c r="F2479">
        <v>86.654999000000004</v>
      </c>
      <c r="G2479">
        <v>1137500</v>
      </c>
    </row>
    <row r="2480" spans="1:7" x14ac:dyDescent="0.45">
      <c r="A2480" s="1">
        <v>43592</v>
      </c>
      <c r="B2480">
        <v>85.07</v>
      </c>
      <c r="C2480">
        <v>85.669998000000007</v>
      </c>
      <c r="D2480">
        <v>83.769997000000004</v>
      </c>
      <c r="E2480">
        <v>84.260002</v>
      </c>
      <c r="F2480">
        <v>84.260002</v>
      </c>
      <c r="G2480">
        <v>2062800</v>
      </c>
    </row>
    <row r="2481" spans="1:7" x14ac:dyDescent="0.45">
      <c r="A2481" s="1">
        <v>43593</v>
      </c>
      <c r="B2481">
        <v>84.650002000000001</v>
      </c>
      <c r="C2481">
        <v>85.5</v>
      </c>
      <c r="D2481">
        <v>84.470000999999996</v>
      </c>
      <c r="E2481">
        <v>84.940002000000007</v>
      </c>
      <c r="F2481">
        <v>84.940002000000007</v>
      </c>
      <c r="G2481">
        <v>1058500</v>
      </c>
    </row>
    <row r="2482" spans="1:7" x14ac:dyDescent="0.45">
      <c r="A2482" s="1">
        <v>43594</v>
      </c>
      <c r="B2482">
        <v>83.519997000000004</v>
      </c>
      <c r="C2482">
        <v>84.220000999999996</v>
      </c>
      <c r="D2482">
        <v>83.040001000000004</v>
      </c>
      <c r="E2482">
        <v>83.940002000000007</v>
      </c>
      <c r="F2482">
        <v>83.940002000000007</v>
      </c>
      <c r="G2482">
        <v>1033400</v>
      </c>
    </row>
    <row r="2483" spans="1:7" x14ac:dyDescent="0.45">
      <c r="A2483" s="1">
        <v>43595</v>
      </c>
      <c r="B2483">
        <v>84.07</v>
      </c>
      <c r="C2483">
        <v>84.440002000000007</v>
      </c>
      <c r="D2483">
        <v>83.300003000000004</v>
      </c>
      <c r="E2483">
        <v>84.139999000000003</v>
      </c>
      <c r="F2483">
        <v>84.139999000000003</v>
      </c>
      <c r="G2483">
        <v>825800</v>
      </c>
    </row>
    <row r="2484" spans="1:7" x14ac:dyDescent="0.45">
      <c r="A2484" s="1">
        <v>43598</v>
      </c>
      <c r="B2484">
        <v>81.849997999999999</v>
      </c>
      <c r="C2484">
        <v>82.830001999999993</v>
      </c>
      <c r="D2484">
        <v>81.839995999999999</v>
      </c>
      <c r="E2484">
        <v>82.730002999999996</v>
      </c>
      <c r="F2484">
        <v>82.730002999999996</v>
      </c>
      <c r="G2484">
        <v>1321400</v>
      </c>
    </row>
    <row r="2485" spans="1:7" x14ac:dyDescent="0.45">
      <c r="A2485" s="1">
        <v>43599</v>
      </c>
      <c r="B2485">
        <v>82.459998999999996</v>
      </c>
      <c r="C2485">
        <v>83.519997000000004</v>
      </c>
      <c r="D2485">
        <v>82.449996999999996</v>
      </c>
      <c r="E2485">
        <v>83.010002</v>
      </c>
      <c r="F2485">
        <v>83.010002</v>
      </c>
      <c r="G2485">
        <v>879900</v>
      </c>
    </row>
    <row r="2486" spans="1:7" x14ac:dyDescent="0.45">
      <c r="A2486" s="1">
        <v>43600</v>
      </c>
      <c r="B2486">
        <v>82.25</v>
      </c>
      <c r="C2486">
        <v>84.110000999999997</v>
      </c>
      <c r="D2486">
        <v>82.230002999999996</v>
      </c>
      <c r="E2486">
        <v>83.830001999999993</v>
      </c>
      <c r="F2486">
        <v>83.830001999999993</v>
      </c>
      <c r="G2486">
        <v>1637400</v>
      </c>
    </row>
    <row r="2487" spans="1:7" x14ac:dyDescent="0.45">
      <c r="A2487" s="1">
        <v>43601</v>
      </c>
      <c r="B2487">
        <v>83.029999000000004</v>
      </c>
      <c r="C2487">
        <v>84.589995999999999</v>
      </c>
      <c r="D2487">
        <v>83</v>
      </c>
      <c r="E2487">
        <v>83.879997000000003</v>
      </c>
      <c r="F2487">
        <v>83.879997000000003</v>
      </c>
      <c r="G2487">
        <v>1233100</v>
      </c>
    </row>
    <row r="2488" spans="1:7" x14ac:dyDescent="0.45">
      <c r="A2488" s="1">
        <v>43602</v>
      </c>
      <c r="B2488">
        <v>83.279999000000004</v>
      </c>
      <c r="C2488">
        <v>83.449996999999996</v>
      </c>
      <c r="D2488">
        <v>82.480002999999996</v>
      </c>
      <c r="E2488">
        <v>82.639999000000003</v>
      </c>
      <c r="F2488">
        <v>82.639999000000003</v>
      </c>
      <c r="G2488">
        <v>1147800</v>
      </c>
    </row>
    <row r="2489" spans="1:7" x14ac:dyDescent="0.45">
      <c r="A2489" s="1">
        <v>43605</v>
      </c>
      <c r="B2489">
        <v>81.800003000000004</v>
      </c>
      <c r="C2489">
        <v>81.980002999999996</v>
      </c>
      <c r="D2489">
        <v>80.790001000000004</v>
      </c>
      <c r="E2489">
        <v>81.010002</v>
      </c>
      <c r="F2489">
        <v>81.010002</v>
      </c>
      <c r="G2489">
        <v>990100</v>
      </c>
    </row>
    <row r="2490" spans="1:7" x14ac:dyDescent="0.45">
      <c r="A2490" s="1">
        <v>43606</v>
      </c>
      <c r="B2490">
        <v>81.190002000000007</v>
      </c>
      <c r="C2490">
        <v>81.360000999999997</v>
      </c>
      <c r="D2490">
        <v>80.800003000000004</v>
      </c>
      <c r="E2490">
        <v>81</v>
      </c>
      <c r="F2490">
        <v>81</v>
      </c>
      <c r="G2490">
        <v>1406500</v>
      </c>
    </row>
    <row r="2491" spans="1:7" x14ac:dyDescent="0.45">
      <c r="A2491" s="1">
        <v>43607</v>
      </c>
      <c r="B2491">
        <v>81.319999999999993</v>
      </c>
      <c r="C2491">
        <v>82.870002999999997</v>
      </c>
      <c r="D2491">
        <v>81.160004000000001</v>
      </c>
      <c r="E2491">
        <v>82.620002999999997</v>
      </c>
      <c r="F2491">
        <v>82.620002999999997</v>
      </c>
      <c r="G2491">
        <v>1200000</v>
      </c>
    </row>
    <row r="2492" spans="1:7" x14ac:dyDescent="0.45">
      <c r="A2492" s="1">
        <v>43608</v>
      </c>
      <c r="B2492">
        <v>82.120002999999997</v>
      </c>
      <c r="C2492">
        <v>82.610000999999997</v>
      </c>
      <c r="D2492">
        <v>81.970000999999996</v>
      </c>
      <c r="E2492">
        <v>82.300003000000004</v>
      </c>
      <c r="F2492">
        <v>82.300003000000004</v>
      </c>
      <c r="G2492">
        <v>1379900</v>
      </c>
    </row>
    <row r="2493" spans="1:7" x14ac:dyDescent="0.45">
      <c r="A2493" s="1">
        <v>43609</v>
      </c>
      <c r="B2493">
        <v>82.860000999999997</v>
      </c>
      <c r="C2493">
        <v>83.089995999999999</v>
      </c>
      <c r="D2493">
        <v>82.279999000000004</v>
      </c>
      <c r="E2493">
        <v>82.760002</v>
      </c>
      <c r="F2493">
        <v>82.760002</v>
      </c>
      <c r="G2493">
        <v>828200</v>
      </c>
    </row>
    <row r="2494" spans="1:7" x14ac:dyDescent="0.45">
      <c r="A2494" s="1">
        <v>43613</v>
      </c>
      <c r="B2494">
        <v>82.870002999999997</v>
      </c>
      <c r="C2494">
        <v>83.120002999999997</v>
      </c>
      <c r="D2494">
        <v>82.25</v>
      </c>
      <c r="E2494">
        <v>82.349997999999999</v>
      </c>
      <c r="F2494">
        <v>82.349997999999999</v>
      </c>
      <c r="G2494">
        <v>1122400</v>
      </c>
    </row>
    <row r="2495" spans="1:7" x14ac:dyDescent="0.45">
      <c r="A2495" s="1">
        <v>43614</v>
      </c>
      <c r="B2495">
        <v>81.349997999999999</v>
      </c>
      <c r="C2495">
        <v>81.480002999999996</v>
      </c>
      <c r="D2495">
        <v>80.569999999999993</v>
      </c>
      <c r="E2495">
        <v>81.300003000000004</v>
      </c>
      <c r="F2495">
        <v>81.300003000000004</v>
      </c>
      <c r="G2495">
        <v>1500800</v>
      </c>
    </row>
    <row r="2496" spans="1:7" x14ac:dyDescent="0.45">
      <c r="A2496" s="1">
        <v>43615</v>
      </c>
      <c r="B2496">
        <v>81.889999000000003</v>
      </c>
      <c r="C2496">
        <v>82.690002000000007</v>
      </c>
      <c r="D2496">
        <v>81.870002999999997</v>
      </c>
      <c r="E2496">
        <v>82.379997000000003</v>
      </c>
      <c r="F2496">
        <v>82.379997000000003</v>
      </c>
      <c r="G2496">
        <v>1169800</v>
      </c>
    </row>
    <row r="2497" spans="1:7" x14ac:dyDescent="0.45">
      <c r="A2497" s="1">
        <v>43616</v>
      </c>
      <c r="B2497">
        <v>80.339995999999999</v>
      </c>
      <c r="C2497">
        <v>81.629997000000003</v>
      </c>
      <c r="D2497">
        <v>80.080001999999993</v>
      </c>
      <c r="E2497">
        <v>81.400002000000001</v>
      </c>
      <c r="F2497">
        <v>81.400002000000001</v>
      </c>
      <c r="G2497">
        <v>1819700</v>
      </c>
    </row>
    <row r="2498" spans="1:7" x14ac:dyDescent="0.45">
      <c r="A2498" s="1">
        <v>43619</v>
      </c>
      <c r="B2498">
        <v>81.389999000000003</v>
      </c>
      <c r="C2498">
        <v>82.389999000000003</v>
      </c>
      <c r="D2498">
        <v>81.010002</v>
      </c>
      <c r="E2498">
        <v>82.279999000000004</v>
      </c>
      <c r="F2498">
        <v>82.279999000000004</v>
      </c>
      <c r="G2498">
        <v>1409400</v>
      </c>
    </row>
    <row r="2499" spans="1:7" x14ac:dyDescent="0.45">
      <c r="A2499" s="1">
        <v>43620</v>
      </c>
      <c r="B2499">
        <v>83.660004000000001</v>
      </c>
      <c r="C2499">
        <v>83.959998999999996</v>
      </c>
      <c r="D2499">
        <v>83.169998000000007</v>
      </c>
      <c r="E2499">
        <v>83.940002000000007</v>
      </c>
      <c r="F2499">
        <v>83.940002000000007</v>
      </c>
      <c r="G2499">
        <v>896000</v>
      </c>
    </row>
    <row r="2500" spans="1:7" x14ac:dyDescent="0.45">
      <c r="A2500" s="1">
        <v>43621</v>
      </c>
      <c r="B2500">
        <v>84</v>
      </c>
      <c r="C2500">
        <v>84.059997999999993</v>
      </c>
      <c r="D2500">
        <v>83.230002999999996</v>
      </c>
      <c r="E2500">
        <v>83.269997000000004</v>
      </c>
      <c r="F2500">
        <v>83.269997000000004</v>
      </c>
      <c r="G2500">
        <v>1340200</v>
      </c>
    </row>
    <row r="2501" spans="1:7" x14ac:dyDescent="0.45">
      <c r="A2501" s="1">
        <v>43622</v>
      </c>
      <c r="B2501">
        <v>83.690002000000007</v>
      </c>
      <c r="C2501">
        <v>84.139999000000003</v>
      </c>
      <c r="D2501">
        <v>83.449996999999996</v>
      </c>
      <c r="E2501">
        <v>84.099997999999999</v>
      </c>
      <c r="F2501">
        <v>84.099997999999999</v>
      </c>
      <c r="G2501">
        <v>953600</v>
      </c>
    </row>
    <row r="2502" spans="1:7" x14ac:dyDescent="0.45">
      <c r="A2502" s="1">
        <v>43623</v>
      </c>
      <c r="B2502">
        <v>85.410004000000001</v>
      </c>
      <c r="C2502">
        <v>85.760002</v>
      </c>
      <c r="D2502">
        <v>84.949996999999996</v>
      </c>
      <c r="E2502">
        <v>85.32</v>
      </c>
      <c r="F2502">
        <v>85.32</v>
      </c>
      <c r="G2502">
        <v>1174300</v>
      </c>
    </row>
    <row r="2503" spans="1:7" x14ac:dyDescent="0.45">
      <c r="A2503" s="1">
        <v>43626</v>
      </c>
      <c r="B2503">
        <v>85.650002000000001</v>
      </c>
      <c r="C2503">
        <v>85.699996999999996</v>
      </c>
      <c r="D2503">
        <v>85.160004000000001</v>
      </c>
      <c r="E2503">
        <v>85.330001999999993</v>
      </c>
      <c r="F2503">
        <v>85.330001999999993</v>
      </c>
      <c r="G2503">
        <v>1029700</v>
      </c>
    </row>
    <row r="2504" spans="1:7" x14ac:dyDescent="0.45">
      <c r="A2504" s="1">
        <v>43627</v>
      </c>
      <c r="B2504">
        <v>85.870002999999997</v>
      </c>
      <c r="C2504">
        <v>86.190002000000007</v>
      </c>
      <c r="D2504">
        <v>85.360000999999997</v>
      </c>
      <c r="E2504">
        <v>85.809997999999993</v>
      </c>
      <c r="F2504">
        <v>85.809997999999993</v>
      </c>
      <c r="G2504">
        <v>885800</v>
      </c>
    </row>
    <row r="2505" spans="1:7" x14ac:dyDescent="0.45">
      <c r="A2505" s="1">
        <v>43628</v>
      </c>
      <c r="B2505">
        <v>86.650002000000001</v>
      </c>
      <c r="C2505">
        <v>87</v>
      </c>
      <c r="D2505">
        <v>86.559997999999993</v>
      </c>
      <c r="E2505">
        <v>86.800003000000004</v>
      </c>
      <c r="F2505">
        <v>86.800003000000004</v>
      </c>
      <c r="G2505">
        <v>701400</v>
      </c>
    </row>
    <row r="2506" spans="1:7" x14ac:dyDescent="0.45">
      <c r="A2506" s="1">
        <v>43629</v>
      </c>
      <c r="B2506">
        <v>86.330001999999993</v>
      </c>
      <c r="C2506">
        <v>86.57</v>
      </c>
      <c r="D2506">
        <v>85.519997000000004</v>
      </c>
      <c r="E2506">
        <v>85.93</v>
      </c>
      <c r="F2506">
        <v>85.93</v>
      </c>
      <c r="G2506">
        <v>725100</v>
      </c>
    </row>
    <row r="2507" spans="1:7" x14ac:dyDescent="0.45">
      <c r="A2507" s="1">
        <v>43630</v>
      </c>
      <c r="B2507">
        <v>84.370002999999997</v>
      </c>
      <c r="C2507">
        <v>84.830001999999993</v>
      </c>
      <c r="D2507">
        <v>84.07</v>
      </c>
      <c r="E2507">
        <v>84.18</v>
      </c>
      <c r="F2507">
        <v>84.18</v>
      </c>
      <c r="G2507">
        <v>814600</v>
      </c>
    </row>
    <row r="2508" spans="1:7" x14ac:dyDescent="0.45">
      <c r="A2508" s="1">
        <v>43633</v>
      </c>
      <c r="B2508">
        <v>83.989998</v>
      </c>
      <c r="C2508">
        <v>84.440002000000007</v>
      </c>
      <c r="D2508">
        <v>83.849997999999999</v>
      </c>
      <c r="E2508">
        <v>84.32</v>
      </c>
      <c r="F2508">
        <v>84.32</v>
      </c>
      <c r="G2508">
        <v>779000</v>
      </c>
    </row>
    <row r="2509" spans="1:7" x14ac:dyDescent="0.45">
      <c r="A2509" s="1">
        <v>43634</v>
      </c>
      <c r="B2509">
        <v>85.57</v>
      </c>
      <c r="C2509">
        <v>87.260002</v>
      </c>
      <c r="D2509">
        <v>85.489998</v>
      </c>
      <c r="E2509">
        <v>86.870002999999997</v>
      </c>
      <c r="F2509">
        <v>86.870002999999997</v>
      </c>
      <c r="G2509">
        <v>2427100</v>
      </c>
    </row>
    <row r="2510" spans="1:7" x14ac:dyDescent="0.45">
      <c r="A2510" s="1">
        <v>43635</v>
      </c>
      <c r="B2510">
        <v>87.209998999999996</v>
      </c>
      <c r="C2510">
        <v>88.260002</v>
      </c>
      <c r="D2510">
        <v>87.07</v>
      </c>
      <c r="E2510">
        <v>87.919998000000007</v>
      </c>
      <c r="F2510">
        <v>87.919998000000007</v>
      </c>
      <c r="G2510">
        <v>944400</v>
      </c>
    </row>
    <row r="2511" spans="1:7" x14ac:dyDescent="0.45">
      <c r="A2511" s="1">
        <v>43636</v>
      </c>
      <c r="B2511">
        <v>89.720000999999996</v>
      </c>
      <c r="C2511">
        <v>89.830001999999993</v>
      </c>
      <c r="D2511">
        <v>89.059997999999993</v>
      </c>
      <c r="E2511">
        <v>89.739998</v>
      </c>
      <c r="F2511">
        <v>89.739998</v>
      </c>
      <c r="G2511">
        <v>1871700</v>
      </c>
    </row>
    <row r="2512" spans="1:7" x14ac:dyDescent="0.45">
      <c r="A2512" s="1">
        <v>43637</v>
      </c>
      <c r="B2512">
        <v>89.639999000000003</v>
      </c>
      <c r="C2512">
        <v>90.480002999999996</v>
      </c>
      <c r="D2512">
        <v>89.43</v>
      </c>
      <c r="E2512">
        <v>90.080001999999993</v>
      </c>
      <c r="F2512">
        <v>90.080001999999993</v>
      </c>
      <c r="G2512">
        <v>1226000</v>
      </c>
    </row>
    <row r="2513" spans="1:7" x14ac:dyDescent="0.45">
      <c r="A2513" s="1">
        <v>43640</v>
      </c>
      <c r="B2513">
        <v>89.93</v>
      </c>
      <c r="C2513">
        <v>90.589995999999999</v>
      </c>
      <c r="D2513">
        <v>89.830001999999993</v>
      </c>
      <c r="E2513">
        <v>90.080001999999993</v>
      </c>
      <c r="F2513">
        <v>90.080001999999993</v>
      </c>
      <c r="G2513">
        <v>877500</v>
      </c>
    </row>
    <row r="2514" spans="1:7" x14ac:dyDescent="0.45">
      <c r="A2514" s="1">
        <v>43641</v>
      </c>
      <c r="B2514">
        <v>89.57</v>
      </c>
      <c r="C2514">
        <v>89.699996999999996</v>
      </c>
      <c r="D2514">
        <v>88.360000999999997</v>
      </c>
      <c r="E2514">
        <v>88.400002000000001</v>
      </c>
      <c r="F2514">
        <v>88.400002000000001</v>
      </c>
      <c r="G2514">
        <v>1098100</v>
      </c>
    </row>
    <row r="2515" spans="1:7" x14ac:dyDescent="0.45">
      <c r="A2515" s="1">
        <v>43642</v>
      </c>
      <c r="B2515">
        <v>88.709998999999996</v>
      </c>
      <c r="C2515">
        <v>88.709998999999996</v>
      </c>
      <c r="D2515">
        <v>87.309997999999993</v>
      </c>
      <c r="E2515">
        <v>87.370002999999997</v>
      </c>
      <c r="F2515">
        <v>87.370002999999997</v>
      </c>
      <c r="G2515">
        <v>897600</v>
      </c>
    </row>
    <row r="2516" spans="1:7" x14ac:dyDescent="0.45">
      <c r="A2516" s="1">
        <v>43643</v>
      </c>
      <c r="B2516">
        <v>87.18</v>
      </c>
      <c r="C2516">
        <v>87.290001000000004</v>
      </c>
      <c r="D2516">
        <v>86.400002000000001</v>
      </c>
      <c r="E2516">
        <v>87.199996999999996</v>
      </c>
      <c r="F2516">
        <v>87.199996999999996</v>
      </c>
      <c r="G2516">
        <v>1107200</v>
      </c>
    </row>
    <row r="2517" spans="1:7" x14ac:dyDescent="0.45">
      <c r="A2517" s="1">
        <v>43644</v>
      </c>
      <c r="B2517">
        <v>88.220000999999996</v>
      </c>
      <c r="C2517">
        <v>88.690002000000007</v>
      </c>
      <c r="D2517">
        <v>88.120002999999997</v>
      </c>
      <c r="E2517">
        <v>88.510002</v>
      </c>
      <c r="F2517">
        <v>88.510002</v>
      </c>
      <c r="G2517">
        <v>890500</v>
      </c>
    </row>
    <row r="2518" spans="1:7" x14ac:dyDescent="0.45">
      <c r="A2518" s="1">
        <v>43647</v>
      </c>
      <c r="B2518">
        <v>88.559997999999993</v>
      </c>
      <c r="C2518">
        <v>88.82</v>
      </c>
      <c r="D2518">
        <v>87.849997999999999</v>
      </c>
      <c r="E2518">
        <v>88.43</v>
      </c>
      <c r="F2518">
        <v>88.43</v>
      </c>
      <c r="G2518">
        <v>1024900</v>
      </c>
    </row>
    <row r="2519" spans="1:7" x14ac:dyDescent="0.45">
      <c r="A2519" s="1">
        <v>43648</v>
      </c>
      <c r="B2519">
        <v>89.57</v>
      </c>
      <c r="C2519">
        <v>90.82</v>
      </c>
      <c r="D2519">
        <v>89.470000999999996</v>
      </c>
      <c r="E2519">
        <v>90.650002000000001</v>
      </c>
      <c r="F2519">
        <v>90.650002000000001</v>
      </c>
      <c r="G2519">
        <v>1459900</v>
      </c>
    </row>
    <row r="2520" spans="1:7" x14ac:dyDescent="0.45">
      <c r="A2520" s="1">
        <v>43649</v>
      </c>
      <c r="B2520">
        <v>93.43</v>
      </c>
      <c r="C2520">
        <v>94.160004000000001</v>
      </c>
      <c r="D2520">
        <v>92.870002999999997</v>
      </c>
      <c r="E2520">
        <v>93.93</v>
      </c>
      <c r="F2520">
        <v>93.93</v>
      </c>
      <c r="G2520">
        <v>1552500</v>
      </c>
    </row>
    <row r="2521" spans="1:7" x14ac:dyDescent="0.45">
      <c r="A2521" s="1">
        <v>43651</v>
      </c>
      <c r="B2521">
        <v>92.830001999999993</v>
      </c>
      <c r="C2521">
        <v>92.889999000000003</v>
      </c>
      <c r="D2521">
        <v>91.959998999999996</v>
      </c>
      <c r="E2521">
        <v>92.709998999999996</v>
      </c>
      <c r="F2521">
        <v>92.709998999999996</v>
      </c>
      <c r="G2521">
        <v>1112800</v>
      </c>
    </row>
    <row r="2522" spans="1:7" x14ac:dyDescent="0.45">
      <c r="A2522" s="1">
        <v>43654</v>
      </c>
      <c r="B2522">
        <v>92.480002999999996</v>
      </c>
      <c r="C2522">
        <v>92.629997000000003</v>
      </c>
      <c r="D2522">
        <v>91.559997999999993</v>
      </c>
      <c r="E2522">
        <v>91.68</v>
      </c>
      <c r="F2522">
        <v>91.68</v>
      </c>
      <c r="G2522">
        <v>936300</v>
      </c>
    </row>
    <row r="2523" spans="1:7" x14ac:dyDescent="0.45">
      <c r="A2523" s="1">
        <v>43655</v>
      </c>
      <c r="B2523">
        <v>91.910004000000001</v>
      </c>
      <c r="C2523">
        <v>92.110000999999997</v>
      </c>
      <c r="D2523">
        <v>91.25</v>
      </c>
      <c r="E2523">
        <v>91.510002</v>
      </c>
      <c r="F2523">
        <v>91.510002</v>
      </c>
      <c r="G2523">
        <v>1717700</v>
      </c>
    </row>
    <row r="2524" spans="1:7" x14ac:dyDescent="0.45">
      <c r="A2524" s="1">
        <v>43656</v>
      </c>
      <c r="B2524">
        <v>91.879997000000003</v>
      </c>
      <c r="C2524">
        <v>91.879997000000003</v>
      </c>
      <c r="D2524">
        <v>90.610000999999997</v>
      </c>
      <c r="E2524">
        <v>91.349997999999999</v>
      </c>
      <c r="F2524">
        <v>91.349997999999999</v>
      </c>
      <c r="G2524">
        <v>1657300</v>
      </c>
    </row>
    <row r="2525" spans="1:7" x14ac:dyDescent="0.45">
      <c r="A2525" s="1">
        <v>43657</v>
      </c>
      <c r="B2525">
        <v>90.449996999999996</v>
      </c>
      <c r="C2525">
        <v>90.790001000000004</v>
      </c>
      <c r="D2525">
        <v>89.199996999999996</v>
      </c>
      <c r="E2525">
        <v>89.660004000000001</v>
      </c>
      <c r="F2525">
        <v>89.660004000000001</v>
      </c>
      <c r="G2525">
        <v>2838000</v>
      </c>
    </row>
    <row r="2526" spans="1:7" x14ac:dyDescent="0.45">
      <c r="A2526" s="1">
        <v>43658</v>
      </c>
      <c r="B2526">
        <v>88.489998</v>
      </c>
      <c r="C2526">
        <v>88.849997999999999</v>
      </c>
      <c r="D2526">
        <v>85.25</v>
      </c>
      <c r="E2526">
        <v>86.940002000000007</v>
      </c>
      <c r="F2526">
        <v>86.940002000000007</v>
      </c>
      <c r="G2526">
        <v>5686600</v>
      </c>
    </row>
    <row r="2527" spans="1:7" x14ac:dyDescent="0.45">
      <c r="A2527" s="1">
        <v>43661</v>
      </c>
      <c r="B2527">
        <v>87.769997000000004</v>
      </c>
      <c r="C2527">
        <v>88.580001999999993</v>
      </c>
      <c r="D2527">
        <v>87.660004000000001</v>
      </c>
      <c r="E2527">
        <v>88.559997999999993</v>
      </c>
      <c r="F2527">
        <v>88.559997999999993</v>
      </c>
      <c r="G2527">
        <v>2553100</v>
      </c>
    </row>
    <row r="2528" spans="1:7" x14ac:dyDescent="0.45">
      <c r="A2528" s="1">
        <v>43662</v>
      </c>
      <c r="B2528">
        <v>88.279999000000004</v>
      </c>
      <c r="C2528">
        <v>88.370002999999997</v>
      </c>
      <c r="D2528">
        <v>87.639999000000003</v>
      </c>
      <c r="E2528">
        <v>88.010002</v>
      </c>
      <c r="F2528">
        <v>88.010002</v>
      </c>
      <c r="G2528">
        <v>1523700</v>
      </c>
    </row>
    <row r="2529" spans="1:7" x14ac:dyDescent="0.45">
      <c r="A2529" s="1">
        <v>43663</v>
      </c>
      <c r="B2529">
        <v>89.400002000000001</v>
      </c>
      <c r="C2529">
        <v>89.400002000000001</v>
      </c>
      <c r="D2529">
        <v>88.129997000000003</v>
      </c>
      <c r="E2529">
        <v>88.419998000000007</v>
      </c>
      <c r="F2529">
        <v>88.419998000000007</v>
      </c>
      <c r="G2529">
        <v>1432000</v>
      </c>
    </row>
    <row r="2530" spans="1:7" x14ac:dyDescent="0.45">
      <c r="A2530" s="1">
        <v>43664</v>
      </c>
      <c r="B2530">
        <v>88.870002999999997</v>
      </c>
      <c r="C2530">
        <v>90.379997000000003</v>
      </c>
      <c r="D2530">
        <v>88.419998000000007</v>
      </c>
      <c r="E2530">
        <v>89.339995999999999</v>
      </c>
      <c r="F2530">
        <v>89.339995999999999</v>
      </c>
      <c r="G2530">
        <v>2214200</v>
      </c>
    </row>
    <row r="2531" spans="1:7" x14ac:dyDescent="0.45">
      <c r="A2531" s="1">
        <v>43665</v>
      </c>
      <c r="B2531">
        <v>94.410004000000001</v>
      </c>
      <c r="C2531">
        <v>94.540001000000004</v>
      </c>
      <c r="D2531">
        <v>93.019997000000004</v>
      </c>
      <c r="E2531">
        <v>94.279999000000004</v>
      </c>
      <c r="F2531">
        <v>94.279999000000004</v>
      </c>
      <c r="G2531">
        <v>5054900</v>
      </c>
    </row>
    <row r="2532" spans="1:7" x14ac:dyDescent="0.45">
      <c r="A2532" s="1">
        <v>43668</v>
      </c>
      <c r="B2532">
        <v>94.629997000000003</v>
      </c>
      <c r="C2532">
        <v>95.260002</v>
      </c>
      <c r="D2532">
        <v>94.389999000000003</v>
      </c>
      <c r="E2532">
        <v>94.970000999999996</v>
      </c>
      <c r="F2532">
        <v>94.970000999999996</v>
      </c>
      <c r="G2532">
        <v>2205900</v>
      </c>
    </row>
    <row r="2533" spans="1:7" x14ac:dyDescent="0.45">
      <c r="A2533" s="1">
        <v>43669</v>
      </c>
      <c r="B2533">
        <v>95.519997000000004</v>
      </c>
      <c r="C2533">
        <v>95.910004000000001</v>
      </c>
      <c r="D2533">
        <v>95.230002999999996</v>
      </c>
      <c r="E2533">
        <v>95.830001999999993</v>
      </c>
      <c r="F2533">
        <v>95.830001999999993</v>
      </c>
      <c r="G2533">
        <v>2138800</v>
      </c>
    </row>
    <row r="2534" spans="1:7" x14ac:dyDescent="0.45">
      <c r="A2534" s="1">
        <v>43670</v>
      </c>
      <c r="B2534">
        <v>95.900002000000001</v>
      </c>
      <c r="C2534">
        <v>96.239998</v>
      </c>
      <c r="D2534">
        <v>95.059997999999993</v>
      </c>
      <c r="E2534">
        <v>95.559997999999993</v>
      </c>
      <c r="F2534">
        <v>95.559997999999993</v>
      </c>
      <c r="G2534">
        <v>1708600</v>
      </c>
    </row>
    <row r="2535" spans="1:7" x14ac:dyDescent="0.45">
      <c r="A2535" s="1">
        <v>43671</v>
      </c>
      <c r="B2535">
        <v>100.779999</v>
      </c>
      <c r="C2535">
        <v>102.699997</v>
      </c>
      <c r="D2535">
        <v>98.330001999999993</v>
      </c>
      <c r="E2535">
        <v>99.489998</v>
      </c>
      <c r="F2535">
        <v>99.489998</v>
      </c>
      <c r="G2535">
        <v>6144600</v>
      </c>
    </row>
    <row r="2536" spans="1:7" x14ac:dyDescent="0.45">
      <c r="A2536" s="1">
        <v>43672</v>
      </c>
      <c r="B2536">
        <v>99.940002000000007</v>
      </c>
      <c r="C2536">
        <v>100.839996</v>
      </c>
      <c r="D2536">
        <v>99.699996999999996</v>
      </c>
      <c r="E2536">
        <v>100.489998</v>
      </c>
      <c r="F2536">
        <v>100.489998</v>
      </c>
      <c r="G2536">
        <v>2464400</v>
      </c>
    </row>
    <row r="2537" spans="1:7" x14ac:dyDescent="0.45">
      <c r="A2537" s="1">
        <v>43675</v>
      </c>
      <c r="B2537">
        <v>101.91999800000001</v>
      </c>
      <c r="C2537">
        <v>102.129997</v>
      </c>
      <c r="D2537">
        <v>101.220001</v>
      </c>
      <c r="E2537">
        <v>101.66999800000001</v>
      </c>
      <c r="F2537">
        <v>101.66999800000001</v>
      </c>
      <c r="G2537">
        <v>2566200</v>
      </c>
    </row>
    <row r="2538" spans="1:7" x14ac:dyDescent="0.45">
      <c r="A2538" s="1">
        <v>43676</v>
      </c>
      <c r="B2538">
        <v>101</v>
      </c>
      <c r="C2538">
        <v>101.69000200000001</v>
      </c>
      <c r="D2538">
        <v>100.910004</v>
      </c>
      <c r="E2538">
        <v>101.58000199999999</v>
      </c>
      <c r="F2538">
        <v>101.58000199999999</v>
      </c>
      <c r="G2538">
        <v>1393300</v>
      </c>
    </row>
    <row r="2539" spans="1:7" x14ac:dyDescent="0.45">
      <c r="A2539" s="1">
        <v>43677</v>
      </c>
      <c r="B2539">
        <v>101.110001</v>
      </c>
      <c r="C2539">
        <v>101.989998</v>
      </c>
      <c r="D2539">
        <v>99.699996999999996</v>
      </c>
      <c r="E2539">
        <v>100.980003</v>
      </c>
      <c r="F2539">
        <v>100.980003</v>
      </c>
      <c r="G2539">
        <v>1428000</v>
      </c>
    </row>
    <row r="2540" spans="1:7" x14ac:dyDescent="0.45">
      <c r="A2540" s="1">
        <v>43678</v>
      </c>
      <c r="B2540">
        <v>101.489998</v>
      </c>
      <c r="C2540">
        <v>102.589996</v>
      </c>
      <c r="D2540">
        <v>100.19000200000001</v>
      </c>
      <c r="E2540">
        <v>100.459999</v>
      </c>
      <c r="F2540">
        <v>100.459999</v>
      </c>
      <c r="G2540">
        <v>1583900</v>
      </c>
    </row>
    <row r="2541" spans="1:7" x14ac:dyDescent="0.45">
      <c r="A2541" s="1">
        <v>43679</v>
      </c>
      <c r="B2541">
        <v>100.30999799999999</v>
      </c>
      <c r="C2541">
        <v>100.66999800000001</v>
      </c>
      <c r="D2541">
        <v>99.379997000000003</v>
      </c>
      <c r="E2541">
        <v>100.19000200000001</v>
      </c>
      <c r="F2541">
        <v>100.19000200000001</v>
      </c>
      <c r="G2541">
        <v>925800</v>
      </c>
    </row>
    <row r="2542" spans="1:7" x14ac:dyDescent="0.45">
      <c r="A2542" s="1">
        <v>43682</v>
      </c>
      <c r="B2542">
        <v>97.730002999999996</v>
      </c>
      <c r="C2542">
        <v>98.440002000000007</v>
      </c>
      <c r="D2542">
        <v>97.260002</v>
      </c>
      <c r="E2542">
        <v>98.190002000000007</v>
      </c>
      <c r="F2542">
        <v>98.190002000000007</v>
      </c>
      <c r="G2542">
        <v>1543900</v>
      </c>
    </row>
    <row r="2543" spans="1:7" x14ac:dyDescent="0.45">
      <c r="A2543" s="1">
        <v>43683</v>
      </c>
      <c r="B2543">
        <v>97.400002000000001</v>
      </c>
      <c r="C2543">
        <v>98.169998000000007</v>
      </c>
      <c r="D2543">
        <v>97.129997000000003</v>
      </c>
      <c r="E2543">
        <v>97.699996999999996</v>
      </c>
      <c r="F2543">
        <v>97.699996999999996</v>
      </c>
      <c r="G2543">
        <v>1181900</v>
      </c>
    </row>
    <row r="2544" spans="1:7" x14ac:dyDescent="0.45">
      <c r="A2544" s="1">
        <v>43684</v>
      </c>
      <c r="B2544">
        <v>96.839995999999999</v>
      </c>
      <c r="C2544">
        <v>98.540001000000004</v>
      </c>
      <c r="D2544">
        <v>96.43</v>
      </c>
      <c r="E2544">
        <v>98.169998000000007</v>
      </c>
      <c r="F2544">
        <v>98.169998000000007</v>
      </c>
      <c r="G2544">
        <v>1200400</v>
      </c>
    </row>
    <row r="2545" spans="1:7" x14ac:dyDescent="0.45">
      <c r="A2545" s="1">
        <v>43685</v>
      </c>
      <c r="B2545">
        <v>99.199996999999996</v>
      </c>
      <c r="C2545">
        <v>99.199996999999996</v>
      </c>
      <c r="D2545">
        <v>96.910004000000001</v>
      </c>
      <c r="E2545">
        <v>98.510002</v>
      </c>
      <c r="F2545">
        <v>98.510002</v>
      </c>
      <c r="G2545">
        <v>1463700</v>
      </c>
    </row>
    <row r="2546" spans="1:7" x14ac:dyDescent="0.45">
      <c r="A2546" s="1">
        <v>43686</v>
      </c>
      <c r="B2546">
        <v>98.419998000000007</v>
      </c>
      <c r="C2546">
        <v>98.790001000000004</v>
      </c>
      <c r="D2546">
        <v>97.32</v>
      </c>
      <c r="E2546">
        <v>98.220000999999996</v>
      </c>
      <c r="F2546">
        <v>98.220000999999996</v>
      </c>
      <c r="G2546">
        <v>1075900</v>
      </c>
    </row>
    <row r="2547" spans="1:7" x14ac:dyDescent="0.45">
      <c r="A2547" s="1">
        <v>43689</v>
      </c>
      <c r="B2547">
        <v>97.139999000000003</v>
      </c>
      <c r="C2547">
        <v>97.360000999999997</v>
      </c>
      <c r="D2547">
        <v>96</v>
      </c>
      <c r="E2547">
        <v>96.269997000000004</v>
      </c>
      <c r="F2547">
        <v>96.269997000000004</v>
      </c>
      <c r="G2547">
        <v>1420900</v>
      </c>
    </row>
    <row r="2548" spans="1:7" x14ac:dyDescent="0.45">
      <c r="A2548" s="1">
        <v>43690</v>
      </c>
      <c r="B2548">
        <v>95.220000999999996</v>
      </c>
      <c r="C2548">
        <v>96.980002999999996</v>
      </c>
      <c r="D2548">
        <v>95.059997999999993</v>
      </c>
      <c r="E2548">
        <v>95.669998000000007</v>
      </c>
      <c r="F2548">
        <v>95.669998000000007</v>
      </c>
      <c r="G2548">
        <v>1655400</v>
      </c>
    </row>
    <row r="2549" spans="1:7" x14ac:dyDescent="0.45">
      <c r="A2549" s="1">
        <v>43691</v>
      </c>
      <c r="B2549">
        <v>94.269997000000004</v>
      </c>
      <c r="C2549">
        <v>94.370002999999997</v>
      </c>
      <c r="D2549">
        <v>92.639999000000003</v>
      </c>
      <c r="E2549">
        <v>93.360000999999997</v>
      </c>
      <c r="F2549">
        <v>93.360000999999997</v>
      </c>
      <c r="G2549">
        <v>1945700</v>
      </c>
    </row>
    <row r="2550" spans="1:7" x14ac:dyDescent="0.45">
      <c r="A2550" s="1">
        <v>43692</v>
      </c>
      <c r="B2550">
        <v>93.209998999999996</v>
      </c>
      <c r="C2550">
        <v>94.07</v>
      </c>
      <c r="D2550">
        <v>93.040001000000004</v>
      </c>
      <c r="E2550">
        <v>93.629997000000003</v>
      </c>
      <c r="F2550">
        <v>93.629997000000003</v>
      </c>
      <c r="G2550">
        <v>1024600</v>
      </c>
    </row>
    <row r="2551" spans="1:7" x14ac:dyDescent="0.45">
      <c r="A2551" s="1">
        <v>43693</v>
      </c>
      <c r="B2551">
        <v>94.5</v>
      </c>
      <c r="C2551">
        <v>95.459998999999996</v>
      </c>
      <c r="D2551">
        <v>94.470000999999996</v>
      </c>
      <c r="E2551">
        <v>95.290001000000004</v>
      </c>
      <c r="F2551">
        <v>95.290001000000004</v>
      </c>
      <c r="G2551">
        <v>929100</v>
      </c>
    </row>
    <row r="2552" spans="1:7" x14ac:dyDescent="0.45">
      <c r="A2552" s="1">
        <v>43696</v>
      </c>
      <c r="B2552">
        <v>96.269997000000004</v>
      </c>
      <c r="C2552">
        <v>96.360000999999997</v>
      </c>
      <c r="D2552">
        <v>93.040001000000004</v>
      </c>
      <c r="E2552">
        <v>95.919998000000007</v>
      </c>
      <c r="F2552">
        <v>95.919998000000007</v>
      </c>
      <c r="G2552">
        <v>946400</v>
      </c>
    </row>
    <row r="2553" spans="1:7" x14ac:dyDescent="0.45">
      <c r="A2553" s="1">
        <v>43697</v>
      </c>
      <c r="B2553">
        <v>95.419998000000007</v>
      </c>
      <c r="C2553">
        <v>95.650002000000001</v>
      </c>
      <c r="D2553">
        <v>94.839995999999999</v>
      </c>
      <c r="E2553">
        <v>94.949996999999996</v>
      </c>
      <c r="F2553">
        <v>94.949996999999996</v>
      </c>
      <c r="G2553">
        <v>969800</v>
      </c>
    </row>
    <row r="2554" spans="1:7" x14ac:dyDescent="0.45">
      <c r="A2554" s="1">
        <v>43698</v>
      </c>
      <c r="B2554">
        <v>96.110000999999997</v>
      </c>
      <c r="C2554">
        <v>96.410004000000001</v>
      </c>
      <c r="D2554">
        <v>95.669998000000007</v>
      </c>
      <c r="E2554">
        <v>95.870002999999997</v>
      </c>
      <c r="F2554">
        <v>95.870002999999997</v>
      </c>
      <c r="G2554">
        <v>785400</v>
      </c>
    </row>
    <row r="2555" spans="1:7" x14ac:dyDescent="0.45">
      <c r="A2555" s="1">
        <v>43699</v>
      </c>
      <c r="B2555">
        <v>96.199996999999996</v>
      </c>
      <c r="C2555">
        <v>96.269997000000004</v>
      </c>
      <c r="D2555">
        <v>95.040001000000004</v>
      </c>
      <c r="E2555">
        <v>95.580001999999993</v>
      </c>
      <c r="F2555">
        <v>95.580001999999993</v>
      </c>
      <c r="G2555">
        <v>953900</v>
      </c>
    </row>
    <row r="2556" spans="1:7" x14ac:dyDescent="0.45">
      <c r="A2556" s="1">
        <v>43700</v>
      </c>
      <c r="B2556">
        <v>96.010002</v>
      </c>
      <c r="C2556">
        <v>96.379997000000003</v>
      </c>
      <c r="D2556">
        <v>93.860000999999997</v>
      </c>
      <c r="E2556">
        <v>94.190002000000007</v>
      </c>
      <c r="F2556">
        <v>94.190002000000007</v>
      </c>
      <c r="G2556">
        <v>1018500</v>
      </c>
    </row>
    <row r="2557" spans="1:7" x14ac:dyDescent="0.45">
      <c r="A2557" s="1">
        <v>43703</v>
      </c>
      <c r="B2557">
        <v>94.720000999999996</v>
      </c>
      <c r="C2557">
        <v>94.989998</v>
      </c>
      <c r="D2557">
        <v>94.290001000000004</v>
      </c>
      <c r="E2557">
        <v>94.800003000000004</v>
      </c>
      <c r="F2557">
        <v>94.800003000000004</v>
      </c>
      <c r="G2557">
        <v>1058900</v>
      </c>
    </row>
    <row r="2558" spans="1:7" x14ac:dyDescent="0.45">
      <c r="A2558" s="1">
        <v>43704</v>
      </c>
      <c r="B2558">
        <v>95.150002000000001</v>
      </c>
      <c r="C2558">
        <v>95.309997999999993</v>
      </c>
      <c r="D2558">
        <v>92.279999000000004</v>
      </c>
      <c r="E2558">
        <v>92.989998</v>
      </c>
      <c r="F2558">
        <v>92.989998</v>
      </c>
      <c r="G2558">
        <v>1521000</v>
      </c>
    </row>
    <row r="2559" spans="1:7" x14ac:dyDescent="0.45">
      <c r="A2559" s="1">
        <v>43705</v>
      </c>
      <c r="B2559">
        <v>92.559997999999993</v>
      </c>
      <c r="C2559">
        <v>93.790001000000004</v>
      </c>
      <c r="D2559">
        <v>92.139999000000003</v>
      </c>
      <c r="E2559">
        <v>93.639999000000003</v>
      </c>
      <c r="F2559">
        <v>93.639999000000003</v>
      </c>
      <c r="G2559">
        <v>788100</v>
      </c>
    </row>
    <row r="2560" spans="1:7" x14ac:dyDescent="0.45">
      <c r="A2560" s="1">
        <v>43706</v>
      </c>
      <c r="B2560">
        <v>95.309997999999993</v>
      </c>
      <c r="C2560">
        <v>95.57</v>
      </c>
      <c r="D2560">
        <v>94.540001000000004</v>
      </c>
      <c r="E2560">
        <v>95.260002</v>
      </c>
      <c r="F2560">
        <v>95.260002</v>
      </c>
      <c r="G2560">
        <v>750400</v>
      </c>
    </row>
    <row r="2561" spans="1:7" x14ac:dyDescent="0.45">
      <c r="A2561" s="1">
        <v>43707</v>
      </c>
      <c r="B2561">
        <v>95.5</v>
      </c>
      <c r="C2561">
        <v>95.540001000000004</v>
      </c>
      <c r="D2561">
        <v>94.32</v>
      </c>
      <c r="E2561">
        <v>94.5</v>
      </c>
      <c r="F2561">
        <v>94.5</v>
      </c>
      <c r="G2561">
        <v>583800</v>
      </c>
    </row>
    <row r="2562" spans="1:7" x14ac:dyDescent="0.45">
      <c r="A2562" s="1">
        <v>43711</v>
      </c>
      <c r="B2562">
        <v>93.68</v>
      </c>
      <c r="C2562">
        <v>94.160004000000001</v>
      </c>
      <c r="D2562">
        <v>93.5</v>
      </c>
      <c r="E2562">
        <v>93.959998999999996</v>
      </c>
      <c r="F2562">
        <v>93.959998999999996</v>
      </c>
      <c r="G2562">
        <v>680000</v>
      </c>
    </row>
    <row r="2563" spans="1:7" x14ac:dyDescent="0.45">
      <c r="A2563" s="1">
        <v>43712</v>
      </c>
      <c r="B2563">
        <v>94.629997000000003</v>
      </c>
      <c r="C2563">
        <v>95.040001000000004</v>
      </c>
      <c r="D2563">
        <v>94.370002999999997</v>
      </c>
      <c r="E2563">
        <v>94.730002999999996</v>
      </c>
      <c r="F2563">
        <v>94.730002999999996</v>
      </c>
      <c r="G2563">
        <v>632200</v>
      </c>
    </row>
    <row r="2564" spans="1:7" x14ac:dyDescent="0.45">
      <c r="A2564" s="1">
        <v>43713</v>
      </c>
      <c r="B2564">
        <v>94.150002000000001</v>
      </c>
      <c r="C2564">
        <v>94.379997000000003</v>
      </c>
      <c r="D2564">
        <v>93.059997999999993</v>
      </c>
      <c r="E2564">
        <v>93.25</v>
      </c>
      <c r="F2564">
        <v>93.25</v>
      </c>
      <c r="G2564">
        <v>1341000</v>
      </c>
    </row>
    <row r="2565" spans="1:7" x14ac:dyDescent="0.45">
      <c r="A2565" s="1">
        <v>43714</v>
      </c>
      <c r="B2565">
        <v>92.839995999999999</v>
      </c>
      <c r="C2565">
        <v>93.599997999999999</v>
      </c>
      <c r="D2565">
        <v>92.790001000000004</v>
      </c>
      <c r="E2565">
        <v>93.57</v>
      </c>
      <c r="F2565">
        <v>93.57</v>
      </c>
      <c r="G2565">
        <v>1120600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1C87F-3066-4538-A962-E6817F59E718}">
  <dimension ref="A2:AO2569"/>
  <sheetViews>
    <sheetView zoomScale="85" zoomScaleNormal="85" workbookViewId="0">
      <selection activeCell="N33" sqref="N33"/>
    </sheetView>
  </sheetViews>
  <sheetFormatPr defaultColWidth="9.1328125" defaultRowHeight="14.25" x14ac:dyDescent="0.45"/>
  <cols>
    <col min="1" max="1" width="12.59765625" style="3" customWidth="1"/>
    <col min="2" max="4" width="14.73046875" style="4" customWidth="1"/>
    <col min="5" max="5" width="4.265625" style="3" customWidth="1"/>
    <col min="6" max="6" width="11.73046875" style="3" customWidth="1"/>
    <col min="7" max="11" width="9.1328125" style="3"/>
    <col min="12" max="12" width="18" style="3" customWidth="1"/>
    <col min="13" max="15" width="9.1328125" style="3"/>
    <col min="16" max="16" width="23.3984375" style="3" customWidth="1"/>
    <col min="17" max="17" width="18.1328125" style="3" customWidth="1"/>
    <col min="18" max="18" width="17.1328125" style="3" customWidth="1"/>
    <col min="19" max="20" width="13.265625" style="3" customWidth="1"/>
    <col min="21" max="24" width="11.1328125" style="3" customWidth="1"/>
    <col min="25" max="16384" width="9.1328125" style="3"/>
  </cols>
  <sheetData>
    <row r="2" spans="1:41" ht="18.399999999999999" thickBot="1" x14ac:dyDescent="0.6">
      <c r="A2" s="10" t="s">
        <v>7</v>
      </c>
      <c r="B2" s="12" t="s">
        <v>64</v>
      </c>
      <c r="C2" s="12"/>
      <c r="D2" s="12"/>
      <c r="F2" s="5">
        <v>43654</v>
      </c>
      <c r="G2" s="3">
        <f>VLOOKUP(F2,A:B,2,)</f>
        <v>91.68</v>
      </c>
    </row>
    <row r="3" spans="1:41" ht="18" x14ac:dyDescent="0.55000000000000004">
      <c r="A3" s="11" t="s">
        <v>8</v>
      </c>
      <c r="B3" s="13" t="s">
        <v>33</v>
      </c>
      <c r="C3" s="13"/>
      <c r="D3" s="13"/>
      <c r="G3" s="35" t="e">
        <f>VLOOKUP(F2,A:B,3,)</f>
        <v>#REF!</v>
      </c>
      <c r="P3" s="52" t="s">
        <v>34</v>
      </c>
      <c r="Q3" s="53" t="s">
        <v>35</v>
      </c>
      <c r="R3" s="54" t="s">
        <v>36</v>
      </c>
      <c r="S3" s="54" t="s">
        <v>37</v>
      </c>
      <c r="T3" s="54" t="s">
        <v>38</v>
      </c>
      <c r="U3" s="54" t="s">
        <v>39</v>
      </c>
      <c r="V3" s="55" t="s">
        <v>40</v>
      </c>
      <c r="W3" s="56" t="s">
        <v>41</v>
      </c>
      <c r="X3" s="56" t="s">
        <v>42</v>
      </c>
      <c r="Y3" s="56" t="s">
        <v>43</v>
      </c>
      <c r="Z3" s="57" t="s">
        <v>44</v>
      </c>
      <c r="AA3" s="57" t="s">
        <v>45</v>
      </c>
      <c r="AB3" s="57" t="s">
        <v>46</v>
      </c>
      <c r="AC3" s="58" t="s">
        <v>47</v>
      </c>
      <c r="AD3" s="58" t="s">
        <v>48</v>
      </c>
      <c r="AE3" s="59" t="s">
        <v>49</v>
      </c>
      <c r="AF3" s="59" t="s">
        <v>50</v>
      </c>
      <c r="AG3" s="59" t="s">
        <v>51</v>
      </c>
      <c r="AH3" s="60" t="s">
        <v>52</v>
      </c>
      <c r="AI3" s="61" t="s">
        <v>53</v>
      </c>
      <c r="AJ3" s="62" t="s">
        <v>54</v>
      </c>
      <c r="AK3" s="60" t="s">
        <v>55</v>
      </c>
      <c r="AL3" s="63" t="s">
        <v>56</v>
      </c>
      <c r="AM3" s="63" t="s">
        <v>57</v>
      </c>
      <c r="AN3" s="63" t="s">
        <v>58</v>
      </c>
      <c r="AO3" s="64" t="s">
        <v>59</v>
      </c>
    </row>
    <row r="4" spans="1:41" ht="18.399999999999999" thickBot="1" x14ac:dyDescent="0.6">
      <c r="B4" s="6"/>
      <c r="C4" s="13"/>
      <c r="D4" s="13"/>
      <c r="P4" s="65" t="s">
        <v>61</v>
      </c>
      <c r="Q4" s="66" t="s">
        <v>33</v>
      </c>
      <c r="R4" s="67" t="s">
        <v>60</v>
      </c>
      <c r="S4" s="67" t="s">
        <v>62</v>
      </c>
      <c r="T4" s="67" t="s">
        <v>63</v>
      </c>
      <c r="U4" s="67">
        <v>12</v>
      </c>
      <c r="V4" s="68">
        <v>162415.76999999999</v>
      </c>
      <c r="W4" s="69">
        <v>4.07</v>
      </c>
      <c r="X4" s="69">
        <v>5.0599999999999996</v>
      </c>
      <c r="Y4" s="69">
        <v>4.8</v>
      </c>
      <c r="Z4" s="70">
        <v>23.17</v>
      </c>
      <c r="AA4" s="70">
        <v>18.96</v>
      </c>
      <c r="AB4" s="70">
        <v>20</v>
      </c>
      <c r="AC4" s="71">
        <f t="shared" ref="AC4:AD4" si="0">(X4-W4)/ABS(W4)</f>
        <v>0.24324324324324306</v>
      </c>
      <c r="AD4" s="71">
        <f t="shared" si="0"/>
        <v>-5.1383399209486126E-2</v>
      </c>
      <c r="AE4" s="72">
        <v>2.08</v>
      </c>
      <c r="AF4" s="73">
        <f t="shared" ref="AF4:AG4" si="1">AA4/(AC4*100)</f>
        <v>0.77946666666666731</v>
      </c>
      <c r="AG4" s="73">
        <f t="shared" si="1"/>
        <v>-3.8923076923076954</v>
      </c>
      <c r="AH4" s="74">
        <v>21.79</v>
      </c>
      <c r="AI4" s="75">
        <v>55205.179680000001</v>
      </c>
      <c r="AJ4" s="76">
        <v>5.81</v>
      </c>
      <c r="AK4" s="77">
        <f t="shared" ref="AK4" si="2">(AI4-AN4)/AN4</f>
        <v>1.0732156941723596E-2</v>
      </c>
      <c r="AL4" s="78">
        <v>10.62</v>
      </c>
      <c r="AM4" s="78">
        <v>1.74</v>
      </c>
      <c r="AN4" s="78">
        <v>54619</v>
      </c>
      <c r="AO4" s="79">
        <v>20191024</v>
      </c>
    </row>
    <row r="5" spans="1:41" ht="18" x14ac:dyDescent="0.55000000000000004">
      <c r="A5" s="9" t="s">
        <v>0</v>
      </c>
      <c r="B5" s="9" t="s">
        <v>7</v>
      </c>
      <c r="C5" s="13"/>
      <c r="D5" s="13"/>
    </row>
    <row r="6" spans="1:41" ht="18" x14ac:dyDescent="0.55000000000000004">
      <c r="A6" s="7">
        <v>39995</v>
      </c>
      <c r="B6" s="8">
        <f>VLOOKUP(Table1[[#This Row],[Date]],'BUD data'!A:F,6,)</f>
        <v>29.599475999999999</v>
      </c>
      <c r="C6" s="13"/>
      <c r="D6" s="13"/>
    </row>
    <row r="7" spans="1:41" ht="18" x14ac:dyDescent="0.55000000000000004">
      <c r="A7" s="7">
        <v>39996</v>
      </c>
      <c r="B7" s="8">
        <f>VLOOKUP(Table1[[#This Row],[Date]],'BUD data'!A:F,6,)</f>
        <v>29.522593000000001</v>
      </c>
      <c r="C7" s="13"/>
      <c r="D7" s="13"/>
      <c r="P7" s="22"/>
      <c r="Q7" s="22" t="s">
        <v>33</v>
      </c>
      <c r="R7" s="22"/>
    </row>
    <row r="8" spans="1:41" ht="18" x14ac:dyDescent="0.55000000000000004">
      <c r="A8" s="7">
        <v>40000</v>
      </c>
      <c r="B8" s="8">
        <f>VLOOKUP(Table1[[#This Row],[Date]],'BUD data'!A:F,6,)</f>
        <v>29.215069</v>
      </c>
      <c r="C8" s="13"/>
      <c r="D8" s="13"/>
      <c r="P8" s="22" t="s">
        <v>16</v>
      </c>
      <c r="Q8" s="22">
        <v>1.35</v>
      </c>
      <c r="R8" s="22"/>
    </row>
    <row r="9" spans="1:41" x14ac:dyDescent="0.45">
      <c r="A9" s="7">
        <v>40001</v>
      </c>
      <c r="B9" s="8">
        <f>VLOOKUP(Table1[[#This Row],[Date]],'BUD data'!A:F,6,)</f>
        <v>28.753772999999999</v>
      </c>
      <c r="C9" s="51"/>
      <c r="D9" s="51"/>
      <c r="P9" s="22"/>
      <c r="Q9" s="8"/>
      <c r="R9" s="22"/>
    </row>
    <row r="10" spans="1:41" x14ac:dyDescent="0.45">
      <c r="A10" s="7">
        <v>40002</v>
      </c>
      <c r="B10" s="8">
        <f>VLOOKUP(Table1[[#This Row],[Date]],'BUD data'!A:F,6,)</f>
        <v>28.830656000000001</v>
      </c>
      <c r="C10" s="51"/>
      <c r="D10" s="51"/>
    </row>
    <row r="11" spans="1:41" x14ac:dyDescent="0.45">
      <c r="A11" s="7">
        <v>40003</v>
      </c>
      <c r="B11" s="8">
        <f>VLOOKUP(Table1[[#This Row],[Date]],'BUD data'!A:F,6,)</f>
        <v>28.830656000000001</v>
      </c>
      <c r="C11" s="51"/>
      <c r="D11" s="51"/>
      <c r="Q11" s="23" t="s">
        <v>17</v>
      </c>
      <c r="R11" s="23" t="s">
        <v>19</v>
      </c>
      <c r="S11" s="23" t="s">
        <v>9</v>
      </c>
      <c r="T11" s="23" t="s">
        <v>18</v>
      </c>
    </row>
    <row r="12" spans="1:41" x14ac:dyDescent="0.45">
      <c r="A12" s="7">
        <v>40004</v>
      </c>
      <c r="B12" s="8">
        <f>VLOOKUP(Table1[[#This Row],[Date]],'BUD data'!A:F,6,)</f>
        <v>28.984414999999998</v>
      </c>
      <c r="C12" s="51"/>
      <c r="D12" s="51"/>
      <c r="Q12" s="24"/>
      <c r="R12" s="25"/>
      <c r="S12" s="25"/>
      <c r="T12" s="25"/>
    </row>
    <row r="13" spans="1:41" x14ac:dyDescent="0.45">
      <c r="A13" s="7">
        <v>40007</v>
      </c>
      <c r="B13" s="8">
        <f>VLOOKUP(Table1[[#This Row],[Date]],'BUD data'!A:F,6,)</f>
        <v>28.830656000000001</v>
      </c>
      <c r="C13" s="51"/>
      <c r="D13" s="51"/>
      <c r="P13" s="26" t="s">
        <v>7</v>
      </c>
      <c r="Q13" s="26" t="str">
        <f>B2</f>
        <v>Call BUD</v>
      </c>
      <c r="R13" s="27">
        <v>1</v>
      </c>
      <c r="S13" s="33">
        <v>1.95</v>
      </c>
      <c r="T13" s="28">
        <f>S13*R13*100</f>
        <v>195</v>
      </c>
    </row>
    <row r="14" spans="1:41" x14ac:dyDescent="0.45">
      <c r="A14" s="7">
        <v>40008</v>
      </c>
      <c r="B14" s="8">
        <f>VLOOKUP(Table1[[#This Row],[Date]],'BUD data'!A:F,6,)</f>
        <v>29.830120000000001</v>
      </c>
      <c r="C14" s="51"/>
      <c r="D14" s="51"/>
      <c r="P14" s="29" t="s">
        <v>8</v>
      </c>
      <c r="Q14" s="29" t="str">
        <f>B3</f>
        <v>BUD</v>
      </c>
      <c r="R14" s="30">
        <v>100</v>
      </c>
      <c r="S14" s="34">
        <f>Q22</f>
        <v>95.7</v>
      </c>
      <c r="T14" s="31">
        <f>S14*R14</f>
        <v>9570</v>
      </c>
    </row>
    <row r="15" spans="1:41" x14ac:dyDescent="0.45">
      <c r="A15" s="7">
        <v>40009</v>
      </c>
      <c r="B15" s="8">
        <f>VLOOKUP(Table1[[#This Row],[Date]],'BUD data'!A:F,6,)</f>
        <v>30.637374999999999</v>
      </c>
      <c r="C15" s="51"/>
      <c r="D15" s="51"/>
      <c r="S15" s="32"/>
    </row>
    <row r="16" spans="1:41" x14ac:dyDescent="0.45">
      <c r="A16" s="7">
        <v>40010</v>
      </c>
      <c r="B16" s="8">
        <f>VLOOKUP(Table1[[#This Row],[Date]],'BUD data'!A:F,6,)</f>
        <v>30.406725000000002</v>
      </c>
      <c r="C16" s="51"/>
      <c r="D16" s="51"/>
    </row>
    <row r="17" spans="1:20" x14ac:dyDescent="0.45">
      <c r="A17" s="7">
        <v>40011</v>
      </c>
      <c r="B17" s="8">
        <f>VLOOKUP(Table1[[#This Row],[Date]],'BUD data'!A:F,6,)</f>
        <v>29.907001000000001</v>
      </c>
      <c r="C17" s="51"/>
      <c r="D17" s="51"/>
    </row>
    <row r="18" spans="1:20" x14ac:dyDescent="0.45">
      <c r="A18" s="7">
        <v>40014</v>
      </c>
      <c r="B18" s="8">
        <f>VLOOKUP(Table1[[#This Row],[Date]],'BUD data'!A:F,6,)</f>
        <v>30.406725000000002</v>
      </c>
      <c r="C18" s="51"/>
      <c r="D18" s="51"/>
      <c r="P18" s="3" t="s">
        <v>32</v>
      </c>
    </row>
    <row r="19" spans="1:20" x14ac:dyDescent="0.45">
      <c r="A19" s="7">
        <v>40015</v>
      </c>
      <c r="B19" s="8">
        <f>VLOOKUP(Table1[[#This Row],[Date]],'BUD data'!A:F,6,)</f>
        <v>29.791675999999999</v>
      </c>
      <c r="C19" s="51"/>
      <c r="D19" s="51"/>
    </row>
    <row r="20" spans="1:20" x14ac:dyDescent="0.45">
      <c r="A20" s="7">
        <v>40016</v>
      </c>
      <c r="B20" s="8">
        <f>VLOOKUP(Table1[[#This Row],[Date]],'BUD data'!A:F,6,)</f>
        <v>30.406725000000002</v>
      </c>
      <c r="C20" s="51"/>
      <c r="D20" s="51"/>
    </row>
    <row r="21" spans="1:20" ht="14.65" thickBot="1" x14ac:dyDescent="0.5">
      <c r="A21" s="7">
        <v>40017</v>
      </c>
      <c r="B21" s="8">
        <f>VLOOKUP(Table1[[#This Row],[Date]],'BUD data'!A:F,6,)</f>
        <v>30.675823000000001</v>
      </c>
      <c r="C21" s="51"/>
      <c r="D21" s="51"/>
    </row>
    <row r="22" spans="1:20" ht="28.5" x14ac:dyDescent="0.5">
      <c r="A22" s="7">
        <v>40018</v>
      </c>
      <c r="B22" s="8">
        <f>VLOOKUP(Table1[[#This Row],[Date]],'BUD data'!A:F,6,)</f>
        <v>30.675823000000001</v>
      </c>
      <c r="C22" s="51"/>
      <c r="D22" s="51"/>
      <c r="P22" s="16" t="s">
        <v>9</v>
      </c>
      <c r="Q22" s="50">
        <v>95.7</v>
      </c>
      <c r="S22" s="14" t="str">
        <f>"ATR monthly "&amp;B2</f>
        <v>ATR monthly Call BUD</v>
      </c>
      <c r="T22" s="14" t="str">
        <f>"ATR quarterly "&amp;B2</f>
        <v>ATR quarterly Call BUD</v>
      </c>
    </row>
    <row r="23" spans="1:20" ht="15.75" x14ac:dyDescent="0.5">
      <c r="A23" s="7">
        <v>40021</v>
      </c>
      <c r="B23" s="8">
        <f>VLOOKUP(Table1[[#This Row],[Date]],'BUD data'!A:F,6,)</f>
        <v>30.445167999999999</v>
      </c>
      <c r="C23" s="51"/>
      <c r="D23" s="51"/>
      <c r="P23" s="17" t="s">
        <v>10</v>
      </c>
      <c r="Q23" s="18">
        <v>95.7</v>
      </c>
      <c r="S23" s="4"/>
      <c r="T23" s="4"/>
    </row>
    <row r="24" spans="1:20" ht="15.75" x14ac:dyDescent="0.5">
      <c r="A24" s="7">
        <v>40022</v>
      </c>
      <c r="B24" s="8">
        <f>VLOOKUP(Table1[[#This Row],[Date]],'BUD data'!A:F,6,)</f>
        <v>30.652756</v>
      </c>
      <c r="C24" s="51"/>
      <c r="D24" s="51"/>
      <c r="P24" s="17" t="s">
        <v>11</v>
      </c>
      <c r="Q24" s="18"/>
      <c r="S24" s="15">
        <f>'ATR monthly BUD'!N2</f>
        <v>9.9487612846163198E-2</v>
      </c>
      <c r="T24" s="15">
        <f>'ATR quarterly BUD'!S2</f>
        <v>0.19703853696474313</v>
      </c>
    </row>
    <row r="25" spans="1:20" ht="15.75" x14ac:dyDescent="0.5">
      <c r="A25" s="7">
        <v>40023</v>
      </c>
      <c r="B25" s="8">
        <f>VLOOKUP(Table1[[#This Row],[Date]],'BUD data'!A:F,6,)</f>
        <v>30.252966000000001</v>
      </c>
      <c r="C25" s="51"/>
      <c r="D25" s="51"/>
      <c r="P25" s="17"/>
      <c r="Q25" s="19">
        <v>-0.1</v>
      </c>
      <c r="S25" s="15">
        <f>'ATR monthly BUD'!N3</f>
        <v>9.5160677803934904E-2</v>
      </c>
      <c r="T25" s="15">
        <f>'ATR quarterly BUD'!S3</f>
        <v>0.18026406123572605</v>
      </c>
    </row>
    <row r="26" spans="1:20" ht="15.75" x14ac:dyDescent="0.5">
      <c r="A26" s="7">
        <v>40024</v>
      </c>
      <c r="B26" s="8">
        <f>VLOOKUP(Table1[[#This Row],[Date]],'BUD data'!A:F,6,)</f>
        <v>30.598935999999998</v>
      </c>
      <c r="C26" s="51"/>
      <c r="D26" s="51"/>
      <c r="P26" s="17" t="s">
        <v>14</v>
      </c>
      <c r="Q26" s="18">
        <f>Q23+ABS(Q25)*Q23</f>
        <v>105.27000000000001</v>
      </c>
      <c r="S26" s="15">
        <f>'ATR monthly BUD'!N4</f>
        <v>0.10744935072959559</v>
      </c>
      <c r="T26" s="15">
        <f>'ATR quarterly BUD'!S4</f>
        <v>0.20442960682348452</v>
      </c>
    </row>
    <row r="27" spans="1:20" ht="15.75" x14ac:dyDescent="0.5">
      <c r="A27" s="7">
        <v>40025</v>
      </c>
      <c r="B27" s="8">
        <f>VLOOKUP(Table1[[#This Row],[Date]],'BUD data'!A:F,6,)</f>
        <v>30.868016999999998</v>
      </c>
      <c r="C27" s="51"/>
      <c r="D27" s="51"/>
      <c r="P27" s="17" t="s">
        <v>15</v>
      </c>
      <c r="Q27" s="18">
        <v>3</v>
      </c>
      <c r="S27" s="15">
        <f>'ATR monthly BUD'!N5</f>
        <v>0.11038562700349178</v>
      </c>
      <c r="T27" s="15">
        <f>'ATR quarterly BUD'!S5</f>
        <v>0.22484335312148465</v>
      </c>
    </row>
    <row r="28" spans="1:20" ht="15.75" x14ac:dyDescent="0.5">
      <c r="A28" s="7">
        <v>40028</v>
      </c>
      <c r="B28" s="8">
        <f>VLOOKUP(Table1[[#This Row],[Date]],'BUD data'!A:F,6,)</f>
        <v>30.591242000000001</v>
      </c>
      <c r="C28" s="51"/>
      <c r="D28" s="51"/>
      <c r="P28" s="17" t="s">
        <v>12</v>
      </c>
      <c r="Q28" s="18">
        <f>Q23-((ABS(Q25)*3))*Q23</f>
        <v>66.989999999999995</v>
      </c>
      <c r="S28" s="15">
        <f>'ATR monthly BUD'!N6</f>
        <v>0.10257776557634647</v>
      </c>
      <c r="T28" s="15">
        <f>'ATR quarterly BUD'!S6</f>
        <v>0.21213222346407778</v>
      </c>
    </row>
    <row r="29" spans="1:20" ht="16.149999999999999" thickBot="1" x14ac:dyDescent="0.55000000000000004">
      <c r="A29" s="7">
        <v>40029</v>
      </c>
      <c r="B29" s="8">
        <f>VLOOKUP(Table1[[#This Row],[Date]],'BUD data'!A:F,6,)</f>
        <v>30.176086000000002</v>
      </c>
      <c r="C29" s="51"/>
      <c r="D29" s="51"/>
      <c r="P29" s="20" t="s">
        <v>13</v>
      </c>
      <c r="Q29" s="21" t="s">
        <v>65</v>
      </c>
      <c r="S29" s="15">
        <f>'ATR monthly BUD'!N7</f>
        <v>0.11007489407277661</v>
      </c>
      <c r="T29" s="15">
        <f>'ATR quarterly BUD'!S7</f>
        <v>0.22785168773494427</v>
      </c>
    </row>
    <row r="30" spans="1:20" x14ac:dyDescent="0.45">
      <c r="A30" s="7">
        <v>40030</v>
      </c>
      <c r="B30" s="8">
        <f>VLOOKUP(Table1[[#This Row],[Date]],'BUD data'!A:F,6,)</f>
        <v>30.291409000000002</v>
      </c>
      <c r="C30" s="51"/>
      <c r="D30" s="51"/>
      <c r="S30" s="15">
        <f>'ATR monthly BUD'!N8</f>
        <v>0.11746265452105015</v>
      </c>
      <c r="T30" s="15">
        <f>'ATR quarterly BUD'!S8</f>
        <v>0.23428085818772074</v>
      </c>
    </row>
    <row r="31" spans="1:20" x14ac:dyDescent="0.45">
      <c r="A31" s="7">
        <v>40031</v>
      </c>
      <c r="B31" s="8">
        <f>VLOOKUP(Table1[[#This Row],[Date]],'BUD data'!A:F,6,)</f>
        <v>30.291409000000002</v>
      </c>
      <c r="C31" s="51"/>
      <c r="D31" s="51"/>
      <c r="S31" s="15">
        <f>'ATR monthly BUD'!N9</f>
        <v>0.12411766199813254</v>
      </c>
      <c r="T31" s="15">
        <f>'ATR quarterly BUD'!S9</f>
        <v>0.24483661157796446</v>
      </c>
    </row>
    <row r="32" spans="1:20" x14ac:dyDescent="0.45">
      <c r="A32" s="7">
        <v>40032</v>
      </c>
      <c r="B32" s="8">
        <f>VLOOKUP(Table1[[#This Row],[Date]],'BUD data'!A:F,6,)</f>
        <v>30.329853</v>
      </c>
      <c r="C32" s="51"/>
      <c r="D32" s="51"/>
      <c r="S32" s="15">
        <f>'ATR monthly BUD'!N10</f>
        <v>0.15107994163990965</v>
      </c>
      <c r="T32" s="15">
        <f>'ATR quarterly BUD'!S10</f>
        <v>0.2894309910052979</v>
      </c>
    </row>
    <row r="33" spans="1:20" x14ac:dyDescent="0.45">
      <c r="A33" s="7">
        <v>40035</v>
      </c>
      <c r="B33" s="8">
        <f>VLOOKUP(Table1[[#This Row],[Date]],'BUD data'!A:F,6,)</f>
        <v>30.868016999999998</v>
      </c>
      <c r="C33" s="51"/>
      <c r="D33" s="51"/>
      <c r="S33" s="15">
        <f>'ATR monthly BUD'!N11</f>
        <v>0.12604224248389068</v>
      </c>
      <c r="T33" s="15">
        <f>'ATR quarterly BUD'!S11</f>
        <v>0.24344025087742097</v>
      </c>
    </row>
    <row r="34" spans="1:20" x14ac:dyDescent="0.45">
      <c r="A34" s="7">
        <v>40036</v>
      </c>
      <c r="B34" s="8">
        <f>VLOOKUP(Table1[[#This Row],[Date]],'BUD data'!A:F,6,)</f>
        <v>31.060223000000001</v>
      </c>
      <c r="C34" s="51"/>
      <c r="D34" s="51"/>
      <c r="S34" s="15">
        <f>'ATR monthly BUD'!N12</f>
        <v>0.12425361061895417</v>
      </c>
      <c r="T34" s="15">
        <f>'ATR quarterly BUD'!S12</f>
        <v>0.23521355592023771</v>
      </c>
    </row>
    <row r="35" spans="1:20" x14ac:dyDescent="0.45">
      <c r="A35" s="7">
        <v>40037</v>
      </c>
      <c r="B35" s="8">
        <f>VLOOKUP(Table1[[#This Row],[Date]],'BUD data'!A:F,6,)</f>
        <v>31.559961000000001</v>
      </c>
      <c r="C35" s="51"/>
      <c r="D35" s="51"/>
      <c r="S35" s="15">
        <f>'ATR monthly BUD'!N13</f>
        <v>0.10791640097721457</v>
      </c>
      <c r="T35" s="15">
        <f>'ATR quarterly BUD'!S13</f>
        <v>0.20049375212250031</v>
      </c>
    </row>
    <row r="36" spans="1:20" x14ac:dyDescent="0.45">
      <c r="A36" s="7">
        <v>40038</v>
      </c>
      <c r="B36" s="8">
        <f>VLOOKUP(Table1[[#This Row],[Date]],'BUD data'!A:F,6,)</f>
        <v>30.099208999999998</v>
      </c>
      <c r="C36" s="51"/>
      <c r="D36" s="51"/>
    </row>
    <row r="37" spans="1:20" x14ac:dyDescent="0.45">
      <c r="A37" s="7">
        <v>40039</v>
      </c>
      <c r="B37" s="8">
        <f>VLOOKUP(Table1[[#This Row],[Date]],'BUD data'!A:F,6,)</f>
        <v>29.753236999999999</v>
      </c>
      <c r="C37" s="51"/>
      <c r="D37" s="51"/>
    </row>
    <row r="38" spans="1:20" x14ac:dyDescent="0.45">
      <c r="A38" s="7">
        <v>40042</v>
      </c>
      <c r="B38" s="8">
        <f>VLOOKUP(Table1[[#This Row],[Date]],'BUD data'!A:F,6,)</f>
        <v>30.099208999999998</v>
      </c>
      <c r="C38" s="51"/>
      <c r="D38" s="51"/>
    </row>
    <row r="39" spans="1:20" x14ac:dyDescent="0.45">
      <c r="A39" s="7">
        <v>40043</v>
      </c>
      <c r="B39" s="8">
        <f>VLOOKUP(Table1[[#This Row],[Date]],'BUD data'!A:F,6,)</f>
        <v>30.868016999999998</v>
      </c>
      <c r="C39" s="51"/>
      <c r="D39" s="51"/>
      <c r="P39" s="3" t="s">
        <v>66</v>
      </c>
    </row>
    <row r="40" spans="1:20" x14ac:dyDescent="0.45">
      <c r="A40" s="7">
        <v>40044</v>
      </c>
      <c r="B40" s="8">
        <f>VLOOKUP(Table1[[#This Row],[Date]],'BUD data'!A:F,6,)</f>
        <v>31.283180000000002</v>
      </c>
      <c r="C40" s="51"/>
      <c r="D40" s="51"/>
      <c r="P40" s="3" t="s">
        <v>67</v>
      </c>
    </row>
    <row r="41" spans="1:20" x14ac:dyDescent="0.45">
      <c r="A41" s="7">
        <v>40045</v>
      </c>
      <c r="B41" s="8">
        <f>VLOOKUP(Table1[[#This Row],[Date]],'BUD data'!A:F,6,)</f>
        <v>31.213986999999999</v>
      </c>
      <c r="C41" s="51"/>
      <c r="D41" s="51"/>
      <c r="P41" s="3" t="s">
        <v>68</v>
      </c>
    </row>
    <row r="42" spans="1:20" x14ac:dyDescent="0.45">
      <c r="A42" s="7">
        <v>40046</v>
      </c>
      <c r="B42" s="8">
        <f>VLOOKUP(Table1[[#This Row],[Date]],'BUD data'!A:F,6,)</f>
        <v>32.328766000000002</v>
      </c>
      <c r="C42" s="51"/>
      <c r="D42" s="51"/>
    </row>
    <row r="43" spans="1:20" x14ac:dyDescent="0.45">
      <c r="A43" s="7">
        <v>40049</v>
      </c>
      <c r="B43" s="8">
        <f>VLOOKUP(Table1[[#This Row],[Date]],'BUD data'!A:F,6,)</f>
        <v>32.213450999999999</v>
      </c>
      <c r="C43" s="51"/>
      <c r="D43" s="51"/>
      <c r="P43" s="3" t="s">
        <v>69</v>
      </c>
    </row>
    <row r="44" spans="1:20" x14ac:dyDescent="0.45">
      <c r="A44" s="7">
        <v>40050</v>
      </c>
      <c r="B44" s="8">
        <f>VLOOKUP(Table1[[#This Row],[Date]],'BUD data'!A:F,6,)</f>
        <v>32.751629000000001</v>
      </c>
      <c r="C44" s="51"/>
      <c r="D44" s="51"/>
      <c r="P44" s="80">
        <f>(100-Q22)+1.95</f>
        <v>6.2499999999999973</v>
      </c>
    </row>
    <row r="45" spans="1:20" x14ac:dyDescent="0.45">
      <c r="A45" s="7">
        <v>40051</v>
      </c>
      <c r="B45" s="8">
        <f>VLOOKUP(Table1[[#This Row],[Date]],'BUD data'!A:F,6,)</f>
        <v>32.674747000000004</v>
      </c>
      <c r="C45" s="51"/>
      <c r="D45" s="51"/>
    </row>
    <row r="46" spans="1:20" x14ac:dyDescent="0.45">
      <c r="A46" s="7">
        <v>40052</v>
      </c>
      <c r="B46" s="8">
        <f>VLOOKUP(Table1[[#This Row],[Date]],'BUD data'!A:F,6,)</f>
        <v>32.574795000000002</v>
      </c>
      <c r="C46" s="51"/>
      <c r="D46" s="51"/>
      <c r="P46" s="3">
        <f>P44/Q22</f>
        <v>6.5308254963427348E-2</v>
      </c>
    </row>
    <row r="47" spans="1:20" x14ac:dyDescent="0.45">
      <c r="A47" s="7">
        <v>40053</v>
      </c>
      <c r="B47" s="8">
        <f>VLOOKUP(Table1[[#This Row],[Date]],'BUD data'!A:F,6,)</f>
        <v>32.828505999999997</v>
      </c>
      <c r="C47" s="51"/>
      <c r="D47" s="51"/>
    </row>
    <row r="48" spans="1:20" x14ac:dyDescent="0.45">
      <c r="A48" s="7">
        <v>40056</v>
      </c>
      <c r="B48" s="8">
        <f>VLOOKUP(Table1[[#This Row],[Date]],'BUD data'!A:F,6,)</f>
        <v>33.366683999999999</v>
      </c>
      <c r="C48" s="51"/>
      <c r="D48" s="51"/>
    </row>
    <row r="49" spans="1:17" x14ac:dyDescent="0.45">
      <c r="A49" s="7">
        <v>40057</v>
      </c>
      <c r="B49" s="8">
        <f>VLOOKUP(Table1[[#This Row],[Date]],'BUD data'!A:F,6,)</f>
        <v>31.905926000000001</v>
      </c>
      <c r="C49" s="51"/>
      <c r="D49" s="51"/>
    </row>
    <row r="50" spans="1:17" x14ac:dyDescent="0.45">
      <c r="A50" s="7">
        <v>40058</v>
      </c>
      <c r="B50" s="8">
        <f>VLOOKUP(Table1[[#This Row],[Date]],'BUD data'!A:F,6,)</f>
        <v>32.098125000000003</v>
      </c>
      <c r="C50" s="51"/>
      <c r="D50" s="51"/>
    </row>
    <row r="51" spans="1:17" x14ac:dyDescent="0.45">
      <c r="A51" s="7">
        <v>40059</v>
      </c>
      <c r="B51" s="8">
        <f>VLOOKUP(Table1[[#This Row],[Date]],'BUD data'!A:F,6,)</f>
        <v>31.944368000000001</v>
      </c>
      <c r="C51" s="51"/>
      <c r="D51" s="51"/>
    </row>
    <row r="52" spans="1:17" x14ac:dyDescent="0.45">
      <c r="A52" s="7">
        <v>40060</v>
      </c>
      <c r="B52" s="8">
        <f>VLOOKUP(Table1[[#This Row],[Date]],'BUD data'!A:F,6,)</f>
        <v>32.367218000000001</v>
      </c>
      <c r="C52" s="51"/>
      <c r="D52" s="51"/>
    </row>
    <row r="53" spans="1:17" x14ac:dyDescent="0.45">
      <c r="A53" s="7">
        <v>40064</v>
      </c>
      <c r="B53" s="8">
        <f>VLOOKUP(Table1[[#This Row],[Date]],'BUD data'!A:F,6,)</f>
        <v>33.443562</v>
      </c>
      <c r="C53" s="51"/>
      <c r="D53" s="51"/>
    </row>
    <row r="54" spans="1:17" x14ac:dyDescent="0.45">
      <c r="A54" s="7">
        <v>40065</v>
      </c>
      <c r="B54" s="8">
        <f>VLOOKUP(Table1[[#This Row],[Date]],'BUD data'!A:F,6,)</f>
        <v>34.173935</v>
      </c>
      <c r="C54" s="51"/>
      <c r="D54" s="51"/>
    </row>
    <row r="55" spans="1:17" x14ac:dyDescent="0.45">
      <c r="A55" s="7">
        <v>40066</v>
      </c>
      <c r="B55" s="8">
        <f>VLOOKUP(Table1[[#This Row],[Date]],'BUD data'!A:F,6,)</f>
        <v>34.596783000000002</v>
      </c>
      <c r="C55" s="51"/>
      <c r="D55" s="51"/>
    </row>
    <row r="56" spans="1:17" x14ac:dyDescent="0.45">
      <c r="A56" s="7">
        <v>40067</v>
      </c>
      <c r="B56" s="8">
        <f>VLOOKUP(Table1[[#This Row],[Date]],'BUD data'!A:F,6,)</f>
        <v>34.942753000000003</v>
      </c>
      <c r="C56" s="51"/>
      <c r="D56" s="51"/>
      <c r="P56" s="3" t="s">
        <v>70</v>
      </c>
      <c r="Q56" s="81">
        <f>0.3493</f>
        <v>0.3493</v>
      </c>
    </row>
    <row r="57" spans="1:17" x14ac:dyDescent="0.45">
      <c r="A57" s="7">
        <v>40070</v>
      </c>
      <c r="B57" s="8">
        <f>VLOOKUP(Table1[[#This Row],[Date]],'BUD data'!A:F,6,)</f>
        <v>35.496299999999998</v>
      </c>
      <c r="C57" s="51"/>
      <c r="D57" s="51"/>
      <c r="P57" s="3" t="s">
        <v>71</v>
      </c>
      <c r="Q57" s="82">
        <f>Q56*Q22*100</f>
        <v>3342.8009999999999</v>
      </c>
    </row>
    <row r="58" spans="1:17" x14ac:dyDescent="0.45">
      <c r="A58" s="7">
        <v>40071</v>
      </c>
      <c r="B58" s="8">
        <f>VLOOKUP(Table1[[#This Row],[Date]],'BUD data'!A:F,6,)</f>
        <v>35.557808000000001</v>
      </c>
      <c r="C58" s="51"/>
      <c r="D58" s="51"/>
      <c r="P58" s="3" t="s">
        <v>72</v>
      </c>
      <c r="Q58" s="83">
        <f>-T14</f>
        <v>-9570</v>
      </c>
    </row>
    <row r="59" spans="1:17" x14ac:dyDescent="0.45">
      <c r="A59" s="7">
        <v>40072</v>
      </c>
      <c r="B59" s="8">
        <f>VLOOKUP(Table1[[#This Row],[Date]],'BUD data'!A:F,6,)</f>
        <v>36.095978000000002</v>
      </c>
      <c r="C59" s="51"/>
      <c r="D59" s="51"/>
    </row>
    <row r="60" spans="1:17" x14ac:dyDescent="0.45">
      <c r="A60" s="7">
        <v>40073</v>
      </c>
      <c r="B60" s="8">
        <f>VLOOKUP(Table1[[#This Row],[Date]],'BUD data'!A:F,6,)</f>
        <v>35.788451999999999</v>
      </c>
      <c r="C60" s="51"/>
      <c r="D60" s="51"/>
      <c r="P60" s="3" t="s">
        <v>73</v>
      </c>
      <c r="Q60" s="83">
        <f>Q58+Q57</f>
        <v>-6227.1990000000005</v>
      </c>
    </row>
    <row r="61" spans="1:17" x14ac:dyDescent="0.45">
      <c r="A61" s="7">
        <v>40074</v>
      </c>
      <c r="B61" s="8">
        <f>VLOOKUP(Table1[[#This Row],[Date]],'BUD data'!A:F,6,)</f>
        <v>36.134417999999997</v>
      </c>
      <c r="C61" s="51"/>
      <c r="D61" s="51"/>
    </row>
    <row r="62" spans="1:17" x14ac:dyDescent="0.45">
      <c r="A62" s="7">
        <v>40077</v>
      </c>
      <c r="B62" s="8">
        <f>VLOOKUP(Table1[[#This Row],[Date]],'BUD data'!A:F,6,)</f>
        <v>36.672595999999999</v>
      </c>
      <c r="C62" s="51"/>
      <c r="D62" s="51"/>
    </row>
    <row r="63" spans="1:17" x14ac:dyDescent="0.45">
      <c r="A63" s="7">
        <v>40078</v>
      </c>
      <c r="B63" s="8">
        <f>VLOOKUP(Table1[[#This Row],[Date]],'BUD data'!A:F,6,)</f>
        <v>36.019095999999998</v>
      </c>
      <c r="C63" s="51"/>
      <c r="D63" s="51"/>
    </row>
    <row r="64" spans="1:17" x14ac:dyDescent="0.45">
      <c r="A64" s="7">
        <v>40079</v>
      </c>
      <c r="B64" s="8">
        <f>VLOOKUP(Table1[[#This Row],[Date]],'BUD data'!A:F,6,)</f>
        <v>35.288722999999997</v>
      </c>
      <c r="C64" s="51"/>
      <c r="D64" s="51"/>
    </row>
    <row r="65" spans="1:4" x14ac:dyDescent="0.45">
      <c r="A65" s="7">
        <v>40080</v>
      </c>
      <c r="B65" s="8">
        <f>VLOOKUP(Table1[[#This Row],[Date]],'BUD data'!A:F,6,)</f>
        <v>35.073456</v>
      </c>
      <c r="C65" s="51"/>
      <c r="D65" s="51"/>
    </row>
    <row r="66" spans="1:4" x14ac:dyDescent="0.45">
      <c r="A66" s="7">
        <v>40081</v>
      </c>
      <c r="B66" s="8">
        <f>VLOOKUP(Table1[[#This Row],[Date]],'BUD data'!A:F,6,)</f>
        <v>34.535271000000002</v>
      </c>
      <c r="C66" s="51"/>
      <c r="D66" s="51"/>
    </row>
    <row r="67" spans="1:4" x14ac:dyDescent="0.45">
      <c r="A67" s="7">
        <v>40084</v>
      </c>
      <c r="B67" s="8">
        <f>VLOOKUP(Table1[[#This Row],[Date]],'BUD data'!A:F,6,)</f>
        <v>34.927376000000002</v>
      </c>
      <c r="C67" s="51"/>
      <c r="D67" s="51"/>
    </row>
    <row r="68" spans="1:4" x14ac:dyDescent="0.45">
      <c r="A68" s="7">
        <v>40085</v>
      </c>
      <c r="B68" s="8">
        <f>VLOOKUP(Table1[[#This Row],[Date]],'BUD data'!A:F,6,)</f>
        <v>34.812049999999999</v>
      </c>
      <c r="C68" s="51"/>
      <c r="D68" s="51"/>
    </row>
    <row r="69" spans="1:4" x14ac:dyDescent="0.45">
      <c r="A69" s="7">
        <v>40086</v>
      </c>
      <c r="B69" s="8">
        <f>VLOOKUP(Table1[[#This Row],[Date]],'BUD data'!A:F,6,)</f>
        <v>35.319473000000002</v>
      </c>
      <c r="C69" s="51"/>
      <c r="D69" s="51"/>
    </row>
    <row r="70" spans="1:4" x14ac:dyDescent="0.45">
      <c r="A70" s="7">
        <v>40087</v>
      </c>
      <c r="B70" s="8">
        <f>VLOOKUP(Table1[[#This Row],[Date]],'BUD data'!A:F,6,)</f>
        <v>34.650604000000001</v>
      </c>
      <c r="C70" s="51"/>
      <c r="D70" s="51"/>
    </row>
    <row r="71" spans="1:4" x14ac:dyDescent="0.45">
      <c r="A71" s="7">
        <v>40088</v>
      </c>
      <c r="B71" s="8">
        <f>VLOOKUP(Table1[[#This Row],[Date]],'BUD data'!A:F,6,)</f>
        <v>33.827972000000003</v>
      </c>
      <c r="C71" s="51"/>
      <c r="D71" s="51"/>
    </row>
    <row r="72" spans="1:4" x14ac:dyDescent="0.45">
      <c r="A72" s="7">
        <v>40091</v>
      </c>
      <c r="B72" s="8">
        <f>VLOOKUP(Table1[[#This Row],[Date]],'BUD data'!A:F,6,)</f>
        <v>34.904316000000001</v>
      </c>
      <c r="C72" s="51"/>
      <c r="D72" s="51"/>
    </row>
    <row r="73" spans="1:4" x14ac:dyDescent="0.45">
      <c r="A73" s="7">
        <v>40092</v>
      </c>
      <c r="B73" s="8">
        <f>VLOOKUP(Table1[[#This Row],[Date]],'BUD data'!A:F,6,)</f>
        <v>35.873019999999997</v>
      </c>
      <c r="C73" s="51"/>
      <c r="D73" s="51"/>
    </row>
    <row r="74" spans="1:4" x14ac:dyDescent="0.45">
      <c r="A74" s="7">
        <v>40093</v>
      </c>
      <c r="B74" s="8">
        <f>VLOOKUP(Table1[[#This Row],[Date]],'BUD data'!A:F,6,)</f>
        <v>35.919150999999999</v>
      </c>
      <c r="C74" s="51"/>
      <c r="D74" s="51"/>
    </row>
    <row r="75" spans="1:4" x14ac:dyDescent="0.45">
      <c r="A75" s="7">
        <v>40094</v>
      </c>
      <c r="B75" s="8">
        <f>VLOOKUP(Table1[[#This Row],[Date]],'BUD data'!A:F,6,)</f>
        <v>37.049309000000001</v>
      </c>
      <c r="C75" s="51"/>
      <c r="D75" s="51"/>
    </row>
    <row r="76" spans="1:4" x14ac:dyDescent="0.45">
      <c r="A76" s="7">
        <v>40095</v>
      </c>
      <c r="B76" s="8">
        <f>VLOOKUP(Table1[[#This Row],[Date]],'BUD data'!A:F,6,)</f>
        <v>36.588023999999997</v>
      </c>
      <c r="C76" s="51"/>
      <c r="D76" s="51"/>
    </row>
    <row r="77" spans="1:4" x14ac:dyDescent="0.45">
      <c r="A77" s="7">
        <v>40098</v>
      </c>
      <c r="B77" s="8">
        <f>VLOOKUP(Table1[[#This Row],[Date]],'BUD data'!A:F,6,)</f>
        <v>36.826358999999997</v>
      </c>
      <c r="C77" s="51"/>
      <c r="D77" s="51"/>
    </row>
    <row r="78" spans="1:4" x14ac:dyDescent="0.45">
      <c r="A78" s="7">
        <v>40099</v>
      </c>
      <c r="B78" s="8">
        <f>VLOOKUP(Table1[[#This Row],[Date]],'BUD data'!A:F,6,)</f>
        <v>36.557265999999998</v>
      </c>
      <c r="C78" s="51"/>
      <c r="D78" s="51"/>
    </row>
    <row r="79" spans="1:4" x14ac:dyDescent="0.45">
      <c r="A79" s="7">
        <v>40100</v>
      </c>
      <c r="B79" s="8">
        <f>VLOOKUP(Table1[[#This Row],[Date]],'BUD data'!A:F,6,)</f>
        <v>38.094901999999998</v>
      </c>
      <c r="C79" s="51"/>
      <c r="D79" s="51"/>
    </row>
    <row r="80" spans="1:4" x14ac:dyDescent="0.45">
      <c r="A80" s="7">
        <v>40101</v>
      </c>
      <c r="B80" s="8">
        <f>VLOOKUP(Table1[[#This Row],[Date]],'BUD data'!A:F,6,)</f>
        <v>38.294803999999999</v>
      </c>
      <c r="C80" s="51"/>
      <c r="D80" s="51"/>
    </row>
    <row r="81" spans="1:4" x14ac:dyDescent="0.45">
      <c r="A81" s="7">
        <v>40102</v>
      </c>
      <c r="B81" s="8">
        <f>VLOOKUP(Table1[[#This Row],[Date]],'BUD data'!A:F,6,)</f>
        <v>38.586941000000003</v>
      </c>
      <c r="C81" s="51"/>
      <c r="D81" s="51"/>
    </row>
    <row r="82" spans="1:4" x14ac:dyDescent="0.45">
      <c r="A82" s="7">
        <v>40105</v>
      </c>
      <c r="B82" s="8">
        <f>VLOOKUP(Table1[[#This Row],[Date]],'BUD data'!A:F,6,)</f>
        <v>39.355766000000003</v>
      </c>
      <c r="C82" s="51"/>
      <c r="D82" s="51"/>
    </row>
    <row r="83" spans="1:4" x14ac:dyDescent="0.45">
      <c r="A83" s="7">
        <v>40106</v>
      </c>
      <c r="B83" s="8">
        <f>VLOOKUP(Table1[[#This Row],[Date]],'BUD data'!A:F,6,)</f>
        <v>38.556198000000002</v>
      </c>
      <c r="C83" s="51"/>
      <c r="D83" s="51"/>
    </row>
    <row r="84" spans="1:4" x14ac:dyDescent="0.45">
      <c r="A84" s="7">
        <v>40107</v>
      </c>
      <c r="B84" s="8">
        <f>VLOOKUP(Table1[[#This Row],[Date]],'BUD data'!A:F,6,)</f>
        <v>39.025181000000003</v>
      </c>
      <c r="C84" s="51"/>
      <c r="D84" s="51"/>
    </row>
    <row r="85" spans="1:4" x14ac:dyDescent="0.45">
      <c r="A85" s="7">
        <v>40108</v>
      </c>
      <c r="B85" s="8">
        <f>VLOOKUP(Table1[[#This Row],[Date]],'BUD data'!A:F,6,)</f>
        <v>40.209156</v>
      </c>
      <c r="C85" s="51"/>
      <c r="D85" s="51"/>
    </row>
    <row r="86" spans="1:4" x14ac:dyDescent="0.45">
      <c r="A86" s="7">
        <v>40109</v>
      </c>
      <c r="B86" s="8">
        <f>VLOOKUP(Table1[[#This Row],[Date]],'BUD data'!A:F,6,)</f>
        <v>38.863723999999998</v>
      </c>
      <c r="C86" s="51"/>
      <c r="D86" s="51"/>
    </row>
    <row r="87" spans="1:4" x14ac:dyDescent="0.45">
      <c r="A87" s="7">
        <v>40112</v>
      </c>
      <c r="B87" s="8">
        <f>VLOOKUP(Table1[[#This Row],[Date]],'BUD data'!A:F,6,)</f>
        <v>38.048786</v>
      </c>
      <c r="C87" s="51"/>
      <c r="D87" s="51"/>
    </row>
    <row r="88" spans="1:4" x14ac:dyDescent="0.45">
      <c r="A88" s="7">
        <v>40113</v>
      </c>
      <c r="B88" s="8">
        <f>VLOOKUP(Table1[[#This Row],[Date]],'BUD data'!A:F,6,)</f>
        <v>37.210766</v>
      </c>
      <c r="C88" s="51"/>
      <c r="D88" s="51"/>
    </row>
    <row r="89" spans="1:4" x14ac:dyDescent="0.45">
      <c r="A89" s="7">
        <v>40114</v>
      </c>
      <c r="B89" s="8">
        <f>VLOOKUP(Table1[[#This Row],[Date]],'BUD data'!A:F,6,)</f>
        <v>36.511142999999997</v>
      </c>
      <c r="C89" s="51"/>
      <c r="D89" s="51"/>
    </row>
    <row r="90" spans="1:4" x14ac:dyDescent="0.45">
      <c r="A90" s="7">
        <v>40115</v>
      </c>
      <c r="B90" s="8">
        <f>VLOOKUP(Table1[[#This Row],[Date]],'BUD data'!A:F,6,)</f>
        <v>37.587485999999998</v>
      </c>
      <c r="C90" s="51"/>
      <c r="D90" s="51"/>
    </row>
    <row r="91" spans="1:4" x14ac:dyDescent="0.45">
      <c r="A91" s="7">
        <v>40116</v>
      </c>
      <c r="B91" s="8">
        <f>VLOOKUP(Table1[[#This Row],[Date]],'BUD data'!A:F,6,)</f>
        <v>36.272807999999998</v>
      </c>
      <c r="C91" s="51"/>
      <c r="D91" s="51"/>
    </row>
    <row r="92" spans="1:4" x14ac:dyDescent="0.45">
      <c r="A92" s="7">
        <v>40119</v>
      </c>
      <c r="B92" s="8">
        <f>VLOOKUP(Table1[[#This Row],[Date]],'BUD data'!A:F,6,)</f>
        <v>37.141575000000003</v>
      </c>
      <c r="C92" s="51"/>
      <c r="D92" s="51"/>
    </row>
    <row r="93" spans="1:4" x14ac:dyDescent="0.45">
      <c r="A93" s="7">
        <v>40120</v>
      </c>
      <c r="B93" s="8">
        <f>VLOOKUP(Table1[[#This Row],[Date]],'BUD data'!A:F,6,)</f>
        <v>36.218986999999998</v>
      </c>
      <c r="C93" s="51"/>
      <c r="D93" s="51"/>
    </row>
    <row r="94" spans="1:4" x14ac:dyDescent="0.45">
      <c r="A94" s="7">
        <v>40121</v>
      </c>
      <c r="B94" s="8">
        <f>VLOOKUP(Table1[[#This Row],[Date]],'BUD data'!A:F,6,)</f>
        <v>36.426571000000003</v>
      </c>
      <c r="C94" s="51"/>
      <c r="D94" s="51"/>
    </row>
    <row r="95" spans="1:4" x14ac:dyDescent="0.45">
      <c r="A95" s="7">
        <v>40122</v>
      </c>
      <c r="B95" s="8">
        <f>VLOOKUP(Table1[[#This Row],[Date]],'BUD data'!A:F,6,)</f>
        <v>37.356838000000003</v>
      </c>
      <c r="C95" s="51"/>
      <c r="D95" s="51"/>
    </row>
    <row r="96" spans="1:4" x14ac:dyDescent="0.45">
      <c r="A96" s="7">
        <v>40123</v>
      </c>
      <c r="B96" s="8">
        <f>VLOOKUP(Table1[[#This Row],[Date]],'BUD data'!A:F,6,)</f>
        <v>37.187697999999997</v>
      </c>
      <c r="C96" s="51"/>
      <c r="D96" s="51"/>
    </row>
    <row r="97" spans="1:4" x14ac:dyDescent="0.45">
      <c r="A97" s="7">
        <v>40126</v>
      </c>
      <c r="B97" s="8">
        <f>VLOOKUP(Table1[[#This Row],[Date]],'BUD data'!A:F,6,)</f>
        <v>38.225605000000002</v>
      </c>
      <c r="C97" s="51"/>
      <c r="D97" s="51"/>
    </row>
    <row r="98" spans="1:4" x14ac:dyDescent="0.45">
      <c r="A98" s="7">
        <v>40127</v>
      </c>
      <c r="B98" s="8">
        <f>VLOOKUP(Table1[[#This Row],[Date]],'BUD data'!A:F,6,)</f>
        <v>37.149258000000003</v>
      </c>
      <c r="C98" s="51"/>
      <c r="D98" s="51"/>
    </row>
    <row r="99" spans="1:4" x14ac:dyDescent="0.45">
      <c r="A99" s="7">
        <v>40128</v>
      </c>
      <c r="B99" s="8">
        <f>VLOOKUP(Table1[[#This Row],[Date]],'BUD data'!A:F,6,)</f>
        <v>37.395279000000002</v>
      </c>
      <c r="C99" s="51"/>
      <c r="D99" s="51"/>
    </row>
    <row r="100" spans="1:4" x14ac:dyDescent="0.45">
      <c r="A100" s="7">
        <v>40129</v>
      </c>
      <c r="B100" s="8">
        <f>VLOOKUP(Table1[[#This Row],[Date]],'BUD data'!A:F,6,)</f>
        <v>37.110824999999998</v>
      </c>
      <c r="C100" s="51"/>
      <c r="D100" s="51"/>
    </row>
    <row r="101" spans="1:4" x14ac:dyDescent="0.45">
      <c r="A101" s="7">
        <v>40130</v>
      </c>
      <c r="B101" s="8">
        <f>VLOOKUP(Table1[[#This Row],[Date]],'BUD data'!A:F,6,)</f>
        <v>38.648448999999999</v>
      </c>
      <c r="C101" s="51"/>
      <c r="D101" s="51"/>
    </row>
    <row r="102" spans="1:4" x14ac:dyDescent="0.45">
      <c r="A102" s="7">
        <v>40133</v>
      </c>
      <c r="B102" s="8">
        <f>VLOOKUP(Table1[[#This Row],[Date]],'BUD data'!A:F,6,)</f>
        <v>39.709431000000002</v>
      </c>
      <c r="C102" s="51"/>
      <c r="D102" s="51"/>
    </row>
    <row r="103" spans="1:4" x14ac:dyDescent="0.45">
      <c r="A103" s="7">
        <v>40134</v>
      </c>
      <c r="B103" s="8">
        <f>VLOOKUP(Table1[[#This Row],[Date]],'BUD data'!A:F,6,)</f>
        <v>39.278885000000002</v>
      </c>
      <c r="C103" s="51"/>
      <c r="D103" s="51"/>
    </row>
    <row r="104" spans="1:4" x14ac:dyDescent="0.45">
      <c r="A104" s="7">
        <v>40135</v>
      </c>
      <c r="B104" s="8">
        <f>VLOOKUP(Table1[[#This Row],[Date]],'BUD data'!A:F,6,)</f>
        <v>39.509537000000002</v>
      </c>
      <c r="C104" s="51"/>
      <c r="D104" s="51"/>
    </row>
    <row r="105" spans="1:4" x14ac:dyDescent="0.45">
      <c r="A105" s="7">
        <v>40136</v>
      </c>
      <c r="B105" s="8">
        <f>VLOOKUP(Table1[[#This Row],[Date]],'BUD data'!A:F,6,)</f>
        <v>38.902161</v>
      </c>
      <c r="C105" s="51"/>
      <c r="D105" s="51"/>
    </row>
    <row r="106" spans="1:4" x14ac:dyDescent="0.45">
      <c r="A106" s="7">
        <v>40137</v>
      </c>
      <c r="B106" s="8">
        <f>VLOOKUP(Table1[[#This Row],[Date]],'BUD data'!A:F,6,)</f>
        <v>38.955986000000003</v>
      </c>
      <c r="C106" s="51"/>
      <c r="D106" s="51"/>
    </row>
    <row r="107" spans="1:4" x14ac:dyDescent="0.45">
      <c r="A107" s="7">
        <v>40140</v>
      </c>
      <c r="B107" s="8">
        <f>VLOOKUP(Table1[[#This Row],[Date]],'BUD data'!A:F,6,)</f>
        <v>39.455714999999998</v>
      </c>
      <c r="C107" s="51"/>
      <c r="D107" s="51"/>
    </row>
    <row r="108" spans="1:4" x14ac:dyDescent="0.45">
      <c r="A108" s="7">
        <v>40141</v>
      </c>
      <c r="B108" s="8">
        <f>VLOOKUP(Table1[[#This Row],[Date]],'BUD data'!A:F,6,)</f>
        <v>39.455714999999998</v>
      </c>
      <c r="C108" s="51"/>
      <c r="D108" s="51"/>
    </row>
    <row r="109" spans="1:4" x14ac:dyDescent="0.45">
      <c r="A109" s="7">
        <v>40142</v>
      </c>
      <c r="B109" s="8">
        <f>VLOOKUP(Table1[[#This Row],[Date]],'BUD data'!A:F,6,)</f>
        <v>40.316792</v>
      </c>
      <c r="C109" s="51"/>
      <c r="D109" s="51"/>
    </row>
    <row r="110" spans="1:4" x14ac:dyDescent="0.45">
      <c r="A110" s="7">
        <v>40144</v>
      </c>
      <c r="B110" s="8">
        <f>VLOOKUP(Table1[[#This Row],[Date]],'BUD data'!A:F,6,)</f>
        <v>39.348075999999999</v>
      </c>
      <c r="C110" s="51"/>
      <c r="D110" s="51"/>
    </row>
    <row r="111" spans="1:4" x14ac:dyDescent="0.45">
      <c r="A111" s="7">
        <v>40147</v>
      </c>
      <c r="B111" s="8">
        <f>VLOOKUP(Table1[[#This Row],[Date]],'BUD data'!A:F,6,)</f>
        <v>38.663834000000001</v>
      </c>
      <c r="C111" s="51"/>
      <c r="D111" s="51"/>
    </row>
    <row r="112" spans="1:4" x14ac:dyDescent="0.45">
      <c r="A112" s="7">
        <v>40148</v>
      </c>
      <c r="B112" s="8">
        <f>VLOOKUP(Table1[[#This Row],[Date]],'BUD data'!A:F,6,)</f>
        <v>40.170715000000001</v>
      </c>
      <c r="C112" s="51"/>
      <c r="D112" s="51"/>
    </row>
    <row r="113" spans="1:4" x14ac:dyDescent="0.45">
      <c r="A113" s="7">
        <v>40149</v>
      </c>
      <c r="B113" s="8">
        <f>VLOOKUP(Table1[[#This Row],[Date]],'BUD data'!A:F,6,)</f>
        <v>40.931843000000001</v>
      </c>
      <c r="C113" s="51"/>
      <c r="D113" s="51"/>
    </row>
    <row r="114" spans="1:4" x14ac:dyDescent="0.45">
      <c r="A114" s="7">
        <v>40150</v>
      </c>
      <c r="B114" s="8">
        <f>VLOOKUP(Table1[[#This Row],[Date]],'BUD data'!A:F,6,)</f>
        <v>40.470551</v>
      </c>
      <c r="C114" s="51"/>
      <c r="D114" s="51"/>
    </row>
    <row r="115" spans="1:4" x14ac:dyDescent="0.45">
      <c r="A115" s="7">
        <v>40151</v>
      </c>
      <c r="B115" s="8">
        <f>VLOOKUP(Table1[[#This Row],[Date]],'BUD data'!A:F,6,)</f>
        <v>40.470551</v>
      </c>
      <c r="C115" s="51"/>
      <c r="D115" s="51"/>
    </row>
    <row r="116" spans="1:4" x14ac:dyDescent="0.45">
      <c r="A116" s="7">
        <v>40154</v>
      </c>
      <c r="B116" s="8">
        <f>VLOOKUP(Table1[[#This Row],[Date]],'BUD data'!A:F,6,)</f>
        <v>40.362915000000001</v>
      </c>
      <c r="C116" s="51"/>
      <c r="D116" s="51"/>
    </row>
    <row r="117" spans="1:4" x14ac:dyDescent="0.45">
      <c r="A117" s="7">
        <v>40155</v>
      </c>
      <c r="B117" s="8">
        <f>VLOOKUP(Table1[[#This Row],[Date]],'BUD data'!A:F,6,)</f>
        <v>39.332698999999998</v>
      </c>
      <c r="C117" s="51"/>
      <c r="D117" s="51"/>
    </row>
    <row r="118" spans="1:4" x14ac:dyDescent="0.45">
      <c r="A118" s="7">
        <v>40156</v>
      </c>
      <c r="B118" s="8">
        <f>VLOOKUP(Table1[[#This Row],[Date]],'BUD data'!A:F,6,)</f>
        <v>39.494155999999997</v>
      </c>
      <c r="C118" s="51"/>
      <c r="D118" s="51"/>
    </row>
    <row r="119" spans="1:4" x14ac:dyDescent="0.45">
      <c r="A119" s="7">
        <v>40157</v>
      </c>
      <c r="B119" s="8">
        <f>VLOOKUP(Table1[[#This Row],[Date]],'BUD data'!A:F,6,)</f>
        <v>39.740172999999999</v>
      </c>
      <c r="C119" s="51"/>
      <c r="D119" s="51"/>
    </row>
    <row r="120" spans="1:4" x14ac:dyDescent="0.45">
      <c r="A120" s="7">
        <v>40158</v>
      </c>
      <c r="B120" s="8">
        <f>VLOOKUP(Table1[[#This Row],[Date]],'BUD data'!A:F,6,)</f>
        <v>40.224528999999997</v>
      </c>
      <c r="C120" s="51"/>
      <c r="D120" s="51"/>
    </row>
    <row r="121" spans="1:4" x14ac:dyDescent="0.45">
      <c r="A121" s="7">
        <v>40161</v>
      </c>
      <c r="B121" s="8">
        <f>VLOOKUP(Table1[[#This Row],[Date]],'BUD data'!A:F,6,)</f>
        <v>40.739643000000001</v>
      </c>
      <c r="C121" s="51"/>
      <c r="D121" s="51"/>
    </row>
    <row r="122" spans="1:4" x14ac:dyDescent="0.45">
      <c r="A122" s="7">
        <v>40162</v>
      </c>
      <c r="B122" s="8">
        <f>VLOOKUP(Table1[[#This Row],[Date]],'BUD data'!A:F,6,)</f>
        <v>40.324474000000002</v>
      </c>
      <c r="C122" s="51"/>
      <c r="D122" s="51"/>
    </row>
    <row r="123" spans="1:4" x14ac:dyDescent="0.45">
      <c r="A123" s="7">
        <v>40163</v>
      </c>
      <c r="B123" s="8">
        <f>VLOOKUP(Table1[[#This Row],[Date]],'BUD data'!A:F,6,)</f>
        <v>40.439793000000002</v>
      </c>
      <c r="C123" s="51"/>
      <c r="D123" s="51"/>
    </row>
    <row r="124" spans="1:4" x14ac:dyDescent="0.45">
      <c r="A124" s="7">
        <v>40164</v>
      </c>
      <c r="B124" s="8">
        <f>VLOOKUP(Table1[[#This Row],[Date]],'BUD data'!A:F,6,)</f>
        <v>39.540286999999999</v>
      </c>
      <c r="C124" s="51"/>
      <c r="D124" s="51"/>
    </row>
    <row r="125" spans="1:4" x14ac:dyDescent="0.45">
      <c r="A125" s="7">
        <v>40165</v>
      </c>
      <c r="B125" s="8">
        <f>VLOOKUP(Table1[[#This Row],[Date]],'BUD data'!A:F,6,)</f>
        <v>38.909855</v>
      </c>
      <c r="C125" s="51"/>
      <c r="D125" s="51"/>
    </row>
    <row r="126" spans="1:4" x14ac:dyDescent="0.45">
      <c r="A126" s="7">
        <v>40168</v>
      </c>
      <c r="B126" s="8">
        <f>VLOOKUP(Table1[[#This Row],[Date]],'BUD data'!A:F,6,)</f>
        <v>39.079002000000003</v>
      </c>
      <c r="C126" s="51"/>
      <c r="D126" s="51"/>
    </row>
    <row r="127" spans="1:4" x14ac:dyDescent="0.45">
      <c r="A127" s="7">
        <v>40169</v>
      </c>
      <c r="B127" s="8">
        <f>VLOOKUP(Table1[[#This Row],[Date]],'BUD data'!A:F,6,)</f>
        <v>38.963661000000002</v>
      </c>
      <c r="C127" s="51"/>
      <c r="D127" s="51"/>
    </row>
    <row r="128" spans="1:4" x14ac:dyDescent="0.45">
      <c r="A128" s="7">
        <v>40170</v>
      </c>
      <c r="B128" s="8">
        <f>VLOOKUP(Table1[[#This Row],[Date]],'BUD data'!A:F,6,)</f>
        <v>39.424953000000002</v>
      </c>
      <c r="C128" s="51"/>
      <c r="D128" s="51"/>
    </row>
    <row r="129" spans="1:4" x14ac:dyDescent="0.45">
      <c r="A129" s="7">
        <v>40171</v>
      </c>
      <c r="B129" s="8">
        <f>VLOOKUP(Table1[[#This Row],[Date]],'BUD data'!A:F,6,)</f>
        <v>39.578724000000001</v>
      </c>
      <c r="C129" s="51"/>
      <c r="D129" s="51"/>
    </row>
    <row r="130" spans="1:4" x14ac:dyDescent="0.45">
      <c r="A130" s="7">
        <v>40175</v>
      </c>
      <c r="B130" s="8">
        <f>VLOOKUP(Table1[[#This Row],[Date]],'BUD data'!A:F,6,)</f>
        <v>39.993881000000002</v>
      </c>
      <c r="C130" s="51"/>
      <c r="D130" s="51"/>
    </row>
    <row r="131" spans="1:4" x14ac:dyDescent="0.45">
      <c r="A131" s="7">
        <v>40176</v>
      </c>
      <c r="B131" s="8">
        <f>VLOOKUP(Table1[[#This Row],[Date]],'BUD data'!A:F,6,)</f>
        <v>40.309097000000001</v>
      </c>
      <c r="C131" s="51"/>
      <c r="D131" s="51"/>
    </row>
    <row r="132" spans="1:4" x14ac:dyDescent="0.45">
      <c r="A132" s="7">
        <v>40177</v>
      </c>
      <c r="B132" s="8">
        <f>VLOOKUP(Table1[[#This Row],[Date]],'BUD data'!A:F,6,)</f>
        <v>40.070765999999999</v>
      </c>
      <c r="C132" s="51"/>
      <c r="D132" s="51"/>
    </row>
    <row r="133" spans="1:4" x14ac:dyDescent="0.45">
      <c r="A133" s="7">
        <v>40178</v>
      </c>
      <c r="B133" s="8">
        <f>VLOOKUP(Table1[[#This Row],[Date]],'BUD data'!A:F,6,)</f>
        <v>40.001575000000003</v>
      </c>
      <c r="C133" s="51"/>
      <c r="D133" s="51"/>
    </row>
    <row r="134" spans="1:4" x14ac:dyDescent="0.45">
      <c r="A134" s="7">
        <v>40182</v>
      </c>
      <c r="B134" s="8">
        <f>VLOOKUP(Table1[[#This Row],[Date]],'BUD data'!A:F,6,)</f>
        <v>41.124039000000003</v>
      </c>
      <c r="C134" s="51"/>
      <c r="D134" s="51"/>
    </row>
    <row r="135" spans="1:4" x14ac:dyDescent="0.45">
      <c r="A135" s="7">
        <v>40183</v>
      </c>
      <c r="B135" s="8">
        <f>VLOOKUP(Table1[[#This Row],[Date]],'BUD data'!A:F,6,)</f>
        <v>40.632004000000002</v>
      </c>
      <c r="C135" s="51"/>
      <c r="D135" s="51"/>
    </row>
    <row r="136" spans="1:4" x14ac:dyDescent="0.45">
      <c r="A136" s="7">
        <v>40184</v>
      </c>
      <c r="B136" s="8">
        <f>VLOOKUP(Table1[[#This Row],[Date]],'BUD data'!A:F,6,)</f>
        <v>40.378295999999999</v>
      </c>
      <c r="C136" s="51"/>
      <c r="D136" s="51"/>
    </row>
    <row r="137" spans="1:4" x14ac:dyDescent="0.45">
      <c r="A137" s="7">
        <v>40185</v>
      </c>
      <c r="B137" s="8">
        <f>VLOOKUP(Table1[[#This Row],[Date]],'BUD data'!A:F,6,)</f>
        <v>39.394215000000003</v>
      </c>
      <c r="C137" s="51"/>
      <c r="D137" s="51"/>
    </row>
    <row r="138" spans="1:4" x14ac:dyDescent="0.45">
      <c r="A138" s="7">
        <v>40186</v>
      </c>
      <c r="B138" s="8">
        <f>VLOOKUP(Table1[[#This Row],[Date]],'BUD data'!A:F,6,)</f>
        <v>39.171256999999997</v>
      </c>
      <c r="C138" s="51"/>
      <c r="D138" s="51"/>
    </row>
    <row r="139" spans="1:4" x14ac:dyDescent="0.45">
      <c r="A139" s="7">
        <v>40189</v>
      </c>
      <c r="B139" s="8">
        <f>VLOOKUP(Table1[[#This Row],[Date]],'BUD data'!A:F,6,)</f>
        <v>39.524918</v>
      </c>
      <c r="C139" s="51"/>
      <c r="D139" s="51"/>
    </row>
    <row r="140" spans="1:4" x14ac:dyDescent="0.45">
      <c r="A140" s="7">
        <v>40190</v>
      </c>
      <c r="B140" s="8">
        <f>VLOOKUP(Table1[[#This Row],[Date]],'BUD data'!A:F,6,)</f>
        <v>39.363453</v>
      </c>
      <c r="C140" s="51"/>
      <c r="D140" s="51"/>
    </row>
    <row r="141" spans="1:4" x14ac:dyDescent="0.45">
      <c r="A141" s="7">
        <v>40191</v>
      </c>
      <c r="B141" s="8">
        <f>VLOOKUP(Table1[[#This Row],[Date]],'BUD data'!A:F,6,)</f>
        <v>39.817059</v>
      </c>
      <c r="C141" s="51"/>
      <c r="D141" s="51"/>
    </row>
    <row r="142" spans="1:4" x14ac:dyDescent="0.45">
      <c r="A142" s="7">
        <v>40192</v>
      </c>
      <c r="B142" s="8">
        <f>VLOOKUP(Table1[[#This Row],[Date]],'BUD data'!A:F,6,)</f>
        <v>39.886246</v>
      </c>
      <c r="C142" s="51"/>
      <c r="D142" s="51"/>
    </row>
    <row r="143" spans="1:4" x14ac:dyDescent="0.45">
      <c r="A143" s="7">
        <v>40193</v>
      </c>
      <c r="B143" s="8">
        <f>VLOOKUP(Table1[[#This Row],[Date]],'BUD data'!A:F,6,)</f>
        <v>38.817593000000002</v>
      </c>
      <c r="C143" s="51"/>
      <c r="D143" s="51"/>
    </row>
    <row r="144" spans="1:4" x14ac:dyDescent="0.45">
      <c r="A144" s="7">
        <v>40197</v>
      </c>
      <c r="B144" s="8">
        <f>VLOOKUP(Table1[[#This Row],[Date]],'BUD data'!A:F,6,)</f>
        <v>38.848343</v>
      </c>
      <c r="C144" s="51"/>
      <c r="D144" s="51"/>
    </row>
    <row r="145" spans="1:4" x14ac:dyDescent="0.45">
      <c r="A145" s="7">
        <v>40198</v>
      </c>
      <c r="B145" s="8">
        <f>VLOOKUP(Table1[[#This Row],[Date]],'BUD data'!A:F,6,)</f>
        <v>37.879641999999997</v>
      </c>
      <c r="C145" s="51"/>
      <c r="D145" s="51"/>
    </row>
    <row r="146" spans="1:4" x14ac:dyDescent="0.45">
      <c r="A146" s="7">
        <v>40199</v>
      </c>
      <c r="B146" s="8">
        <f>VLOOKUP(Table1[[#This Row],[Date]],'BUD data'!A:F,6,)</f>
        <v>36.810974000000002</v>
      </c>
      <c r="C146" s="51"/>
      <c r="D146" s="51"/>
    </row>
    <row r="147" spans="1:4" x14ac:dyDescent="0.45">
      <c r="A147" s="7">
        <v>40200</v>
      </c>
      <c r="B147" s="8">
        <f>VLOOKUP(Table1[[#This Row],[Date]],'BUD data'!A:F,6,)</f>
        <v>36.949364000000003</v>
      </c>
      <c r="C147" s="51"/>
      <c r="D147" s="51"/>
    </row>
    <row r="148" spans="1:4" x14ac:dyDescent="0.45">
      <c r="A148" s="7">
        <v>40203</v>
      </c>
      <c r="B148" s="8">
        <f>VLOOKUP(Table1[[#This Row],[Date]],'BUD data'!A:F,6,)</f>
        <v>37.172328999999998</v>
      </c>
      <c r="C148" s="51"/>
      <c r="D148" s="51"/>
    </row>
    <row r="149" spans="1:4" x14ac:dyDescent="0.45">
      <c r="A149" s="7">
        <v>40204</v>
      </c>
      <c r="B149" s="8">
        <f>VLOOKUP(Table1[[#This Row],[Date]],'BUD data'!A:F,6,)</f>
        <v>36.987816000000002</v>
      </c>
      <c r="C149" s="51"/>
      <c r="D149" s="51"/>
    </row>
    <row r="150" spans="1:4" x14ac:dyDescent="0.45">
      <c r="A150" s="7">
        <v>40205</v>
      </c>
      <c r="B150" s="8">
        <f>VLOOKUP(Table1[[#This Row],[Date]],'BUD data'!A:F,6,)</f>
        <v>38.233294999999998</v>
      </c>
      <c r="C150" s="51"/>
      <c r="D150" s="51"/>
    </row>
    <row r="151" spans="1:4" x14ac:dyDescent="0.45">
      <c r="A151" s="7">
        <v>40206</v>
      </c>
      <c r="B151" s="8">
        <f>VLOOKUP(Table1[[#This Row],[Date]],'BUD data'!A:F,6,)</f>
        <v>37.725876</v>
      </c>
      <c r="C151" s="51"/>
      <c r="D151" s="51"/>
    </row>
    <row r="152" spans="1:4" x14ac:dyDescent="0.45">
      <c r="A152" s="7">
        <v>40207</v>
      </c>
      <c r="B152" s="8">
        <f>VLOOKUP(Table1[[#This Row],[Date]],'BUD data'!A:F,6,)</f>
        <v>38.279423000000001</v>
      </c>
      <c r="C152" s="51"/>
      <c r="D152" s="51"/>
    </row>
    <row r="153" spans="1:4" x14ac:dyDescent="0.45">
      <c r="A153" s="7">
        <v>40210</v>
      </c>
      <c r="B153" s="8">
        <f>VLOOKUP(Table1[[#This Row],[Date]],'BUD data'!A:F,6,)</f>
        <v>38.940612999999999</v>
      </c>
      <c r="C153" s="51"/>
      <c r="D153" s="51"/>
    </row>
    <row r="154" spans="1:4" x14ac:dyDescent="0.45">
      <c r="A154" s="7">
        <v>40211</v>
      </c>
      <c r="B154" s="8">
        <f>VLOOKUP(Table1[[#This Row],[Date]],'BUD data'!A:F,6,)</f>
        <v>39.225062999999999</v>
      </c>
      <c r="C154" s="51"/>
      <c r="D154" s="51"/>
    </row>
    <row r="155" spans="1:4" x14ac:dyDescent="0.45">
      <c r="A155" s="7">
        <v>40212</v>
      </c>
      <c r="B155" s="8">
        <f>VLOOKUP(Table1[[#This Row],[Date]],'BUD data'!A:F,6,)</f>
        <v>39.202002999999998</v>
      </c>
      <c r="C155" s="51"/>
      <c r="D155" s="51"/>
    </row>
    <row r="156" spans="1:4" x14ac:dyDescent="0.45">
      <c r="A156" s="7">
        <v>40213</v>
      </c>
      <c r="B156" s="8">
        <f>VLOOKUP(Table1[[#This Row],[Date]],'BUD data'!A:F,6,)</f>
        <v>36.818671999999999</v>
      </c>
      <c r="C156" s="51"/>
      <c r="D156" s="51"/>
    </row>
    <row r="157" spans="1:4" x14ac:dyDescent="0.45">
      <c r="A157" s="7">
        <v>40214</v>
      </c>
      <c r="B157" s="8">
        <f>VLOOKUP(Table1[[#This Row],[Date]],'BUD data'!A:F,6,)</f>
        <v>35.696193999999998</v>
      </c>
      <c r="C157" s="51"/>
      <c r="D157" s="51"/>
    </row>
    <row r="158" spans="1:4" x14ac:dyDescent="0.45">
      <c r="A158" s="7">
        <v>40217</v>
      </c>
      <c r="B158" s="8">
        <f>VLOOKUP(Table1[[#This Row],[Date]],'BUD data'!A:F,6,)</f>
        <v>36.165179999999999</v>
      </c>
      <c r="C158" s="51"/>
      <c r="D158" s="51"/>
    </row>
    <row r="159" spans="1:4" x14ac:dyDescent="0.45">
      <c r="A159" s="7">
        <v>40218</v>
      </c>
      <c r="B159" s="8">
        <f>VLOOKUP(Table1[[#This Row],[Date]],'BUD data'!A:F,6,)</f>
        <v>37.303024000000001</v>
      </c>
      <c r="C159" s="51"/>
      <c r="D159" s="51"/>
    </row>
    <row r="160" spans="1:4" x14ac:dyDescent="0.45">
      <c r="A160" s="7">
        <v>40219</v>
      </c>
      <c r="B160" s="8">
        <f>VLOOKUP(Table1[[#This Row],[Date]],'BUD data'!A:F,6,)</f>
        <v>37.133887999999999</v>
      </c>
      <c r="C160" s="51"/>
      <c r="D160" s="51"/>
    </row>
    <row r="161" spans="1:4" x14ac:dyDescent="0.45">
      <c r="A161" s="7">
        <v>40220</v>
      </c>
      <c r="B161" s="8">
        <f>VLOOKUP(Table1[[#This Row],[Date]],'BUD data'!A:F,6,)</f>
        <v>37.772015000000003</v>
      </c>
      <c r="C161" s="51"/>
      <c r="D161" s="51"/>
    </row>
    <row r="162" spans="1:4" x14ac:dyDescent="0.45">
      <c r="A162" s="7">
        <v>40221</v>
      </c>
      <c r="B162" s="8">
        <f>VLOOKUP(Table1[[#This Row],[Date]],'BUD data'!A:F,6,)</f>
        <v>38.087218999999997</v>
      </c>
      <c r="C162" s="51"/>
      <c r="D162" s="51"/>
    </row>
    <row r="163" spans="1:4" x14ac:dyDescent="0.45">
      <c r="A163" s="7">
        <v>40225</v>
      </c>
      <c r="B163" s="8">
        <f>VLOOKUP(Table1[[#This Row],[Date]],'BUD data'!A:F,6,)</f>
        <v>38.602317999999997</v>
      </c>
      <c r="C163" s="51"/>
      <c r="D163" s="51"/>
    </row>
    <row r="164" spans="1:4" x14ac:dyDescent="0.45">
      <c r="A164" s="7">
        <v>40226</v>
      </c>
      <c r="B164" s="8">
        <f>VLOOKUP(Table1[[#This Row],[Date]],'BUD data'!A:F,6,)</f>
        <v>39.094372</v>
      </c>
      <c r="C164" s="51"/>
      <c r="D164" s="51"/>
    </row>
    <row r="165" spans="1:4" x14ac:dyDescent="0.45">
      <c r="A165" s="7">
        <v>40227</v>
      </c>
      <c r="B165" s="8">
        <f>VLOOKUP(Table1[[#This Row],[Date]],'BUD data'!A:F,6,)</f>
        <v>39.332698999999998</v>
      </c>
      <c r="C165" s="51"/>
      <c r="D165" s="51"/>
    </row>
    <row r="166" spans="1:4" x14ac:dyDescent="0.45">
      <c r="A166" s="7">
        <v>40228</v>
      </c>
      <c r="B166" s="8">
        <f>VLOOKUP(Table1[[#This Row],[Date]],'BUD data'!A:F,6,)</f>
        <v>38.686892999999998</v>
      </c>
      <c r="C166" s="51"/>
      <c r="D166" s="51"/>
    </row>
    <row r="167" spans="1:4" x14ac:dyDescent="0.45">
      <c r="A167" s="7">
        <v>40231</v>
      </c>
      <c r="B167" s="8">
        <f>VLOOKUP(Table1[[#This Row],[Date]],'BUD data'!A:F,6,)</f>
        <v>38.156413999999998</v>
      </c>
      <c r="C167" s="51"/>
      <c r="D167" s="51"/>
    </row>
    <row r="168" spans="1:4" x14ac:dyDescent="0.45">
      <c r="A168" s="7">
        <v>40232</v>
      </c>
      <c r="B168" s="8">
        <f>VLOOKUP(Table1[[#This Row],[Date]],'BUD data'!A:F,6,)</f>
        <v>37.710498999999999</v>
      </c>
      <c r="C168" s="51"/>
      <c r="D168" s="51"/>
    </row>
    <row r="169" spans="1:4" x14ac:dyDescent="0.45">
      <c r="A169" s="7">
        <v>40233</v>
      </c>
      <c r="B169" s="8">
        <f>VLOOKUP(Table1[[#This Row],[Date]],'BUD data'!A:F,6,)</f>
        <v>38.648448999999999</v>
      </c>
      <c r="C169" s="51"/>
      <c r="D169" s="51"/>
    </row>
    <row r="170" spans="1:4" x14ac:dyDescent="0.45">
      <c r="A170" s="7">
        <v>40234</v>
      </c>
      <c r="B170" s="8">
        <f>VLOOKUP(Table1[[#This Row],[Date]],'BUD data'!A:F,6,)</f>
        <v>38.240989999999996</v>
      </c>
      <c r="C170" s="51"/>
      <c r="D170" s="51"/>
    </row>
    <row r="171" spans="1:4" x14ac:dyDescent="0.45">
      <c r="A171" s="7">
        <v>40235</v>
      </c>
      <c r="B171" s="8">
        <f>VLOOKUP(Table1[[#This Row],[Date]],'BUD data'!A:F,6,)</f>
        <v>38.402431</v>
      </c>
      <c r="C171" s="51"/>
      <c r="D171" s="51"/>
    </row>
    <row r="172" spans="1:4" x14ac:dyDescent="0.45">
      <c r="A172" s="7">
        <v>40238</v>
      </c>
      <c r="B172" s="8">
        <f>VLOOKUP(Table1[[#This Row],[Date]],'BUD data'!A:F,6,)</f>
        <v>39.094372</v>
      </c>
      <c r="C172" s="51"/>
      <c r="D172" s="51"/>
    </row>
    <row r="173" spans="1:4" x14ac:dyDescent="0.45">
      <c r="A173" s="7">
        <v>40239</v>
      </c>
      <c r="B173" s="8">
        <f>VLOOKUP(Table1[[#This Row],[Date]],'BUD data'!A:F,6,)</f>
        <v>39.102051000000003</v>
      </c>
      <c r="C173" s="51"/>
      <c r="D173" s="51"/>
    </row>
    <row r="174" spans="1:4" x14ac:dyDescent="0.45">
      <c r="A174" s="7">
        <v>40240</v>
      </c>
      <c r="B174" s="8">
        <f>VLOOKUP(Table1[[#This Row],[Date]],'BUD data'!A:F,6,)</f>
        <v>39.517215999999998</v>
      </c>
      <c r="C174" s="51"/>
      <c r="D174" s="51"/>
    </row>
    <row r="175" spans="1:4" x14ac:dyDescent="0.45">
      <c r="A175" s="7">
        <v>40241</v>
      </c>
      <c r="B175" s="8">
        <f>VLOOKUP(Table1[[#This Row],[Date]],'BUD data'!A:F,6,)</f>
        <v>37.994956999999999</v>
      </c>
      <c r="C175" s="51"/>
      <c r="D175" s="51"/>
    </row>
    <row r="176" spans="1:4" x14ac:dyDescent="0.45">
      <c r="A176" s="7">
        <v>40242</v>
      </c>
      <c r="B176" s="8">
        <f>VLOOKUP(Table1[[#This Row],[Date]],'BUD data'!A:F,6,)</f>
        <v>38.133343000000004</v>
      </c>
      <c r="C176" s="51"/>
      <c r="D176" s="51"/>
    </row>
    <row r="177" spans="1:4" x14ac:dyDescent="0.45">
      <c r="A177" s="7">
        <v>40245</v>
      </c>
      <c r="B177" s="8">
        <f>VLOOKUP(Table1[[#This Row],[Date]],'BUD data'!A:F,6,)</f>
        <v>37.672061999999997</v>
      </c>
      <c r="C177" s="51"/>
      <c r="D177" s="51"/>
    </row>
    <row r="178" spans="1:4" x14ac:dyDescent="0.45">
      <c r="A178" s="7">
        <v>40246</v>
      </c>
      <c r="B178" s="8">
        <f>VLOOKUP(Table1[[#This Row],[Date]],'BUD data'!A:F,6,)</f>
        <v>38.210228000000001</v>
      </c>
      <c r="C178" s="51"/>
      <c r="D178" s="51"/>
    </row>
    <row r="179" spans="1:4" x14ac:dyDescent="0.45">
      <c r="A179" s="7">
        <v>40247</v>
      </c>
      <c r="B179" s="8">
        <f>VLOOKUP(Table1[[#This Row],[Date]],'BUD data'!A:F,6,)</f>
        <v>38.72533</v>
      </c>
      <c r="C179" s="51"/>
      <c r="D179" s="51"/>
    </row>
    <row r="180" spans="1:4" x14ac:dyDescent="0.45">
      <c r="A180" s="7">
        <v>40248</v>
      </c>
      <c r="B180" s="8">
        <f>VLOOKUP(Table1[[#This Row],[Date]],'BUD data'!A:F,6,)</f>
        <v>38.955986000000003</v>
      </c>
      <c r="C180" s="51"/>
      <c r="D180" s="51"/>
    </row>
    <row r="181" spans="1:4" x14ac:dyDescent="0.45">
      <c r="A181" s="7">
        <v>40249</v>
      </c>
      <c r="B181" s="8">
        <f>VLOOKUP(Table1[[#This Row],[Date]],'BUD data'!A:F,6,)</f>
        <v>38.902161</v>
      </c>
      <c r="C181" s="51"/>
      <c r="D181" s="51"/>
    </row>
    <row r="182" spans="1:4" x14ac:dyDescent="0.45">
      <c r="A182" s="7">
        <v>40252</v>
      </c>
      <c r="B182" s="8">
        <f>VLOOKUP(Table1[[#This Row],[Date]],'BUD data'!A:F,6,)</f>
        <v>38.433185999999999</v>
      </c>
      <c r="C182" s="51"/>
      <c r="D182" s="51"/>
    </row>
    <row r="183" spans="1:4" x14ac:dyDescent="0.45">
      <c r="A183" s="7">
        <v>40253</v>
      </c>
      <c r="B183" s="8">
        <f>VLOOKUP(Table1[[#This Row],[Date]],'BUD data'!A:F,6,)</f>
        <v>39.448025000000001</v>
      </c>
      <c r="C183" s="51"/>
      <c r="D183" s="51"/>
    </row>
    <row r="184" spans="1:4" x14ac:dyDescent="0.45">
      <c r="A184" s="7">
        <v>40254</v>
      </c>
      <c r="B184" s="8">
        <f>VLOOKUP(Table1[[#This Row],[Date]],'BUD data'!A:F,6,)</f>
        <v>39.778618000000002</v>
      </c>
      <c r="C184" s="51"/>
      <c r="D184" s="51"/>
    </row>
    <row r="185" spans="1:4" x14ac:dyDescent="0.45">
      <c r="A185" s="7">
        <v>40255</v>
      </c>
      <c r="B185" s="8">
        <f>VLOOKUP(Table1[[#This Row],[Date]],'BUD data'!A:F,6,)</f>
        <v>39.709431000000002</v>
      </c>
      <c r="C185" s="51"/>
      <c r="D185" s="51"/>
    </row>
    <row r="186" spans="1:4" x14ac:dyDescent="0.45">
      <c r="A186" s="7">
        <v>40256</v>
      </c>
      <c r="B186" s="8">
        <f>VLOOKUP(Table1[[#This Row],[Date]],'BUD data'!A:F,6,)</f>
        <v>39.555660000000003</v>
      </c>
      <c r="C186" s="51"/>
      <c r="D186" s="51"/>
    </row>
    <row r="187" spans="1:4" x14ac:dyDescent="0.45">
      <c r="A187" s="7">
        <v>40259</v>
      </c>
      <c r="B187" s="8">
        <f>VLOOKUP(Table1[[#This Row],[Date]],'BUD data'!A:F,6,)</f>
        <v>39.717109999999998</v>
      </c>
      <c r="C187" s="51"/>
      <c r="D187" s="51"/>
    </row>
    <row r="188" spans="1:4" x14ac:dyDescent="0.45">
      <c r="A188" s="7">
        <v>40260</v>
      </c>
      <c r="B188" s="8">
        <f>VLOOKUP(Table1[[#This Row],[Date]],'BUD data'!A:F,6,)</f>
        <v>39.917003999999999</v>
      </c>
      <c r="C188" s="51"/>
      <c r="D188" s="51"/>
    </row>
    <row r="189" spans="1:4" x14ac:dyDescent="0.45">
      <c r="A189" s="7">
        <v>40261</v>
      </c>
      <c r="B189" s="8">
        <f>VLOOKUP(Table1[[#This Row],[Date]],'BUD data'!A:F,6,)</f>
        <v>38.948287999999998</v>
      </c>
      <c r="C189" s="51"/>
      <c r="D189" s="51"/>
    </row>
    <row r="190" spans="1:4" x14ac:dyDescent="0.45">
      <c r="A190" s="7">
        <v>40262</v>
      </c>
      <c r="B190" s="8">
        <f>VLOOKUP(Table1[[#This Row],[Date]],'BUD data'!A:F,6,)</f>
        <v>38.571570999999999</v>
      </c>
      <c r="C190" s="51"/>
      <c r="D190" s="51"/>
    </row>
    <row r="191" spans="1:4" x14ac:dyDescent="0.45">
      <c r="A191" s="7">
        <v>40263</v>
      </c>
      <c r="B191" s="8">
        <f>VLOOKUP(Table1[[#This Row],[Date]],'BUD data'!A:F,6,)</f>
        <v>38.686892999999998</v>
      </c>
      <c r="C191" s="51"/>
      <c r="D191" s="51"/>
    </row>
    <row r="192" spans="1:4" x14ac:dyDescent="0.45">
      <c r="A192" s="7">
        <v>40266</v>
      </c>
      <c r="B192" s="8">
        <f>VLOOKUP(Table1[[#This Row],[Date]],'BUD data'!A:F,6,)</f>
        <v>38.971352000000003</v>
      </c>
      <c r="C192" s="51"/>
      <c r="D192" s="51"/>
    </row>
    <row r="193" spans="1:4" x14ac:dyDescent="0.45">
      <c r="A193" s="7">
        <v>40267</v>
      </c>
      <c r="B193" s="8">
        <f>VLOOKUP(Table1[[#This Row],[Date]],'BUD data'!A:F,6,)</f>
        <v>39.017490000000002</v>
      </c>
      <c r="C193" s="51"/>
      <c r="D193" s="51"/>
    </row>
    <row r="194" spans="1:4" x14ac:dyDescent="0.45">
      <c r="A194" s="7">
        <v>40268</v>
      </c>
      <c r="B194" s="8">
        <f>VLOOKUP(Table1[[#This Row],[Date]],'BUD data'!A:F,6,)</f>
        <v>38.786845999999997</v>
      </c>
      <c r="C194" s="51"/>
      <c r="D194" s="51"/>
    </row>
    <row r="195" spans="1:4" x14ac:dyDescent="0.45">
      <c r="A195" s="7">
        <v>40269</v>
      </c>
      <c r="B195" s="8">
        <f>VLOOKUP(Table1[[#This Row],[Date]],'BUD data'!A:F,6,)</f>
        <v>39.086677999999999</v>
      </c>
      <c r="C195" s="51"/>
      <c r="D195" s="51"/>
    </row>
    <row r="196" spans="1:4" x14ac:dyDescent="0.45">
      <c r="A196" s="7">
        <v>40273</v>
      </c>
      <c r="B196" s="8">
        <f>VLOOKUP(Table1[[#This Row],[Date]],'BUD data'!A:F,6,)</f>
        <v>39.071308000000002</v>
      </c>
      <c r="C196" s="51"/>
      <c r="D196" s="51"/>
    </row>
    <row r="197" spans="1:4" x14ac:dyDescent="0.45">
      <c r="A197" s="7">
        <v>40274</v>
      </c>
      <c r="B197" s="8">
        <f>VLOOKUP(Table1[[#This Row],[Date]],'BUD data'!A:F,6,)</f>
        <v>39.309635</v>
      </c>
      <c r="C197" s="51"/>
      <c r="D197" s="51"/>
    </row>
    <row r="198" spans="1:4" x14ac:dyDescent="0.45">
      <c r="A198" s="7">
        <v>40275</v>
      </c>
      <c r="B198" s="8">
        <f>VLOOKUP(Table1[[#This Row],[Date]],'BUD data'!A:F,6,)</f>
        <v>39.086677999999999</v>
      </c>
      <c r="C198" s="51"/>
      <c r="D198" s="51"/>
    </row>
    <row r="199" spans="1:4" x14ac:dyDescent="0.45">
      <c r="A199" s="7">
        <v>40276</v>
      </c>
      <c r="B199" s="8">
        <f>VLOOKUP(Table1[[#This Row],[Date]],'BUD data'!A:F,6,)</f>
        <v>39.340384999999998</v>
      </c>
      <c r="C199" s="51"/>
      <c r="D199" s="51"/>
    </row>
    <row r="200" spans="1:4" x14ac:dyDescent="0.45">
      <c r="A200" s="7">
        <v>40277</v>
      </c>
      <c r="B200" s="8">
        <f>VLOOKUP(Table1[[#This Row],[Date]],'BUD data'!A:F,6,)</f>
        <v>39.940066999999999</v>
      </c>
      <c r="C200" s="51"/>
      <c r="D200" s="51"/>
    </row>
    <row r="201" spans="1:4" x14ac:dyDescent="0.45">
      <c r="A201" s="7">
        <v>40280</v>
      </c>
      <c r="B201" s="8">
        <f>VLOOKUP(Table1[[#This Row],[Date]],'BUD data'!A:F,6,)</f>
        <v>40.247593000000002</v>
      </c>
      <c r="C201" s="51"/>
      <c r="D201" s="51"/>
    </row>
    <row r="202" spans="1:4" x14ac:dyDescent="0.45">
      <c r="A202" s="7">
        <v>40281</v>
      </c>
      <c r="B202" s="8">
        <f>VLOOKUP(Table1[[#This Row],[Date]],'BUD data'!A:F,6,)</f>
        <v>39.509537000000002</v>
      </c>
      <c r="C202" s="51"/>
      <c r="D202" s="51"/>
    </row>
    <row r="203" spans="1:4" x14ac:dyDescent="0.45">
      <c r="A203" s="7">
        <v>40282</v>
      </c>
      <c r="B203" s="8">
        <f>VLOOKUP(Table1[[#This Row],[Date]],'BUD data'!A:F,6,)</f>
        <v>39.563350999999997</v>
      </c>
      <c r="C203" s="51"/>
      <c r="D203" s="51"/>
    </row>
    <row r="204" spans="1:4" x14ac:dyDescent="0.45">
      <c r="A204" s="7">
        <v>40283</v>
      </c>
      <c r="B204" s="8">
        <f>VLOOKUP(Table1[[#This Row],[Date]],'BUD data'!A:F,6,)</f>
        <v>38.917538</v>
      </c>
      <c r="C204" s="51"/>
      <c r="D204" s="51"/>
    </row>
    <row r="205" spans="1:4" x14ac:dyDescent="0.45">
      <c r="A205" s="7">
        <v>40284</v>
      </c>
      <c r="B205" s="8">
        <f>VLOOKUP(Table1[[#This Row],[Date]],'BUD data'!A:F,6,)</f>
        <v>38.279423000000001</v>
      </c>
      <c r="C205" s="51"/>
      <c r="D205" s="51"/>
    </row>
    <row r="206" spans="1:4" x14ac:dyDescent="0.45">
      <c r="A206" s="7">
        <v>40287</v>
      </c>
      <c r="B206" s="8">
        <f>VLOOKUP(Table1[[#This Row],[Date]],'BUD data'!A:F,6,)</f>
        <v>37.902706000000002</v>
      </c>
      <c r="C206" s="51"/>
      <c r="D206" s="51"/>
    </row>
    <row r="207" spans="1:4" x14ac:dyDescent="0.45">
      <c r="A207" s="7">
        <v>40288</v>
      </c>
      <c r="B207" s="8">
        <f>VLOOKUP(Table1[[#This Row],[Date]],'BUD data'!A:F,6,)</f>
        <v>38.402431</v>
      </c>
      <c r="C207" s="51"/>
      <c r="D207" s="51"/>
    </row>
    <row r="208" spans="1:4" x14ac:dyDescent="0.45">
      <c r="A208" s="7">
        <v>40289</v>
      </c>
      <c r="B208" s="8">
        <f>VLOOKUP(Table1[[#This Row],[Date]],'BUD data'!A:F,6,)</f>
        <v>37.979588</v>
      </c>
      <c r="C208" s="51"/>
      <c r="D208" s="51"/>
    </row>
    <row r="209" spans="1:4" x14ac:dyDescent="0.45">
      <c r="A209" s="7">
        <v>40290</v>
      </c>
      <c r="B209" s="8">
        <f>VLOOKUP(Table1[[#This Row],[Date]],'BUD data'!A:F,6,)</f>
        <v>38.018020999999997</v>
      </c>
      <c r="C209" s="51"/>
      <c r="D209" s="51"/>
    </row>
    <row r="210" spans="1:4" x14ac:dyDescent="0.45">
      <c r="A210" s="7">
        <v>40291</v>
      </c>
      <c r="B210" s="8">
        <f>VLOOKUP(Table1[[#This Row],[Date]],'BUD data'!A:F,6,)</f>
        <v>38.192089000000003</v>
      </c>
      <c r="C210" s="51"/>
      <c r="D210" s="51"/>
    </row>
    <row r="211" spans="1:4" x14ac:dyDescent="0.45">
      <c r="A211" s="7">
        <v>40294</v>
      </c>
      <c r="B211" s="8">
        <f>VLOOKUP(Table1[[#This Row],[Date]],'BUD data'!A:F,6,)</f>
        <v>38.075530999999998</v>
      </c>
      <c r="C211" s="51"/>
      <c r="D211" s="51"/>
    </row>
    <row r="212" spans="1:4" x14ac:dyDescent="0.45">
      <c r="A212" s="7">
        <v>40295</v>
      </c>
      <c r="B212" s="8">
        <f>VLOOKUP(Table1[[#This Row],[Date]],'BUD data'!A:F,6,)</f>
        <v>37.088673</v>
      </c>
      <c r="C212" s="51"/>
      <c r="D212" s="51"/>
    </row>
    <row r="213" spans="1:4" x14ac:dyDescent="0.45">
      <c r="A213" s="7">
        <v>40296</v>
      </c>
      <c r="B213" s="8">
        <f>VLOOKUP(Table1[[#This Row],[Date]],'BUD data'!A:F,6,)</f>
        <v>36.583584000000002</v>
      </c>
      <c r="C213" s="51"/>
      <c r="D213" s="51"/>
    </row>
    <row r="214" spans="1:4" x14ac:dyDescent="0.45">
      <c r="A214" s="7">
        <v>40297</v>
      </c>
      <c r="B214" s="8">
        <f>VLOOKUP(Table1[[#This Row],[Date]],'BUD data'!A:F,6,)</f>
        <v>37.415030999999999</v>
      </c>
      <c r="C214" s="51"/>
      <c r="D214" s="51"/>
    </row>
    <row r="215" spans="1:4" x14ac:dyDescent="0.45">
      <c r="A215" s="7">
        <v>40298</v>
      </c>
      <c r="B215" s="8">
        <f>VLOOKUP(Table1[[#This Row],[Date]],'BUD data'!A:F,6,)</f>
        <v>37.648144000000002</v>
      </c>
      <c r="C215" s="51"/>
      <c r="D215" s="51"/>
    </row>
    <row r="216" spans="1:4" x14ac:dyDescent="0.45">
      <c r="A216" s="7">
        <v>40301</v>
      </c>
      <c r="B216" s="8">
        <f>VLOOKUP(Table1[[#This Row],[Date]],'BUD data'!A:F,6,)</f>
        <v>37.826866000000003</v>
      </c>
      <c r="C216" s="51"/>
      <c r="D216" s="51"/>
    </row>
    <row r="217" spans="1:4" x14ac:dyDescent="0.45">
      <c r="A217" s="7">
        <v>40302</v>
      </c>
      <c r="B217" s="8">
        <f>VLOOKUP(Table1[[#This Row],[Date]],'BUD data'!A:F,6,)</f>
        <v>37.166370000000001</v>
      </c>
      <c r="C217" s="51"/>
      <c r="D217" s="51"/>
    </row>
    <row r="218" spans="1:4" x14ac:dyDescent="0.45">
      <c r="A218" s="7">
        <v>40303</v>
      </c>
      <c r="B218" s="8">
        <f>VLOOKUP(Table1[[#This Row],[Date]],'BUD data'!A:F,6,)</f>
        <v>36.933261999999999</v>
      </c>
      <c r="C218" s="51"/>
      <c r="D218" s="51"/>
    </row>
    <row r="219" spans="1:4" x14ac:dyDescent="0.45">
      <c r="A219" s="7">
        <v>40304</v>
      </c>
      <c r="B219" s="8">
        <f>VLOOKUP(Table1[[#This Row],[Date]],'BUD data'!A:F,6,)</f>
        <v>36.397098999999997</v>
      </c>
      <c r="C219" s="51"/>
      <c r="D219" s="51"/>
    </row>
    <row r="220" spans="1:4" x14ac:dyDescent="0.45">
      <c r="A220" s="7">
        <v>40305</v>
      </c>
      <c r="B220" s="8">
        <f>VLOOKUP(Table1[[#This Row],[Date]],'BUD data'!A:F,6,)</f>
        <v>35.588959000000003</v>
      </c>
      <c r="C220" s="51"/>
      <c r="D220" s="51"/>
    </row>
    <row r="221" spans="1:4" x14ac:dyDescent="0.45">
      <c r="A221" s="7">
        <v>40308</v>
      </c>
      <c r="B221" s="8">
        <f>VLOOKUP(Table1[[#This Row],[Date]],'BUD data'!A:F,6,)</f>
        <v>38.767097</v>
      </c>
      <c r="C221" s="51"/>
      <c r="D221" s="51"/>
    </row>
    <row r="222" spans="1:4" x14ac:dyDescent="0.45">
      <c r="A222" s="7">
        <v>40309</v>
      </c>
      <c r="B222" s="8">
        <f>VLOOKUP(Table1[[#This Row],[Date]],'BUD data'!A:F,6,)</f>
        <v>38.207625999999998</v>
      </c>
      <c r="C222" s="51"/>
      <c r="D222" s="51"/>
    </row>
    <row r="223" spans="1:4" x14ac:dyDescent="0.45">
      <c r="A223" s="7">
        <v>40310</v>
      </c>
      <c r="B223" s="8">
        <f>VLOOKUP(Table1[[#This Row],[Date]],'BUD data'!A:F,6,)</f>
        <v>38.417434999999998</v>
      </c>
      <c r="C223" s="51"/>
      <c r="D223" s="51"/>
    </row>
    <row r="224" spans="1:4" x14ac:dyDescent="0.45">
      <c r="A224" s="7">
        <v>40311</v>
      </c>
      <c r="B224" s="8">
        <f>VLOOKUP(Table1[[#This Row],[Date]],'BUD data'!A:F,6,)</f>
        <v>38.207625999999998</v>
      </c>
      <c r="C224" s="51"/>
      <c r="D224" s="51"/>
    </row>
    <row r="225" spans="1:4" x14ac:dyDescent="0.45">
      <c r="A225" s="7">
        <v>40312</v>
      </c>
      <c r="B225" s="8">
        <f>VLOOKUP(Table1[[#This Row],[Date]],'BUD data'!A:F,6,)</f>
        <v>37.073124</v>
      </c>
      <c r="C225" s="51"/>
      <c r="D225" s="51"/>
    </row>
    <row r="226" spans="1:4" x14ac:dyDescent="0.45">
      <c r="A226" s="7">
        <v>40315</v>
      </c>
      <c r="B226" s="8">
        <f>VLOOKUP(Table1[[#This Row],[Date]],'BUD data'!A:F,6,)</f>
        <v>37.648144000000002</v>
      </c>
      <c r="C226" s="51"/>
      <c r="D226" s="51"/>
    </row>
    <row r="227" spans="1:4" x14ac:dyDescent="0.45">
      <c r="A227" s="7">
        <v>40316</v>
      </c>
      <c r="B227" s="8">
        <f>VLOOKUP(Table1[[#This Row],[Date]],'BUD data'!A:F,6,)</f>
        <v>37.244079999999997</v>
      </c>
      <c r="C227" s="51"/>
      <c r="D227" s="51"/>
    </row>
    <row r="228" spans="1:4" x14ac:dyDescent="0.45">
      <c r="A228" s="7">
        <v>40317</v>
      </c>
      <c r="B228" s="8">
        <f>VLOOKUP(Table1[[#This Row],[Date]],'BUD data'!A:F,6,)</f>
        <v>37.733626999999998</v>
      </c>
      <c r="C228" s="51"/>
      <c r="D228" s="51"/>
    </row>
    <row r="229" spans="1:4" x14ac:dyDescent="0.45">
      <c r="A229" s="7">
        <v>40318</v>
      </c>
      <c r="B229" s="8">
        <f>VLOOKUP(Table1[[#This Row],[Date]],'BUD data'!A:F,6,)</f>
        <v>36.521419999999999</v>
      </c>
      <c r="C229" s="51"/>
      <c r="D229" s="51"/>
    </row>
    <row r="230" spans="1:4" x14ac:dyDescent="0.45">
      <c r="A230" s="7">
        <v>40319</v>
      </c>
      <c r="B230" s="8">
        <f>VLOOKUP(Table1[[#This Row],[Date]],'BUD data'!A:F,6,)</f>
        <v>37.508277999999997</v>
      </c>
      <c r="C230" s="51"/>
      <c r="D230" s="51"/>
    </row>
    <row r="231" spans="1:4" x14ac:dyDescent="0.45">
      <c r="A231" s="7">
        <v>40322</v>
      </c>
      <c r="B231" s="8">
        <f>VLOOKUP(Table1[[#This Row],[Date]],'BUD data'!A:F,6,)</f>
        <v>36.917717000000003</v>
      </c>
      <c r="C231" s="51"/>
      <c r="D231" s="51"/>
    </row>
    <row r="232" spans="1:4" x14ac:dyDescent="0.45">
      <c r="A232" s="7">
        <v>40323</v>
      </c>
      <c r="B232" s="8">
        <f>VLOOKUP(Table1[[#This Row],[Date]],'BUD data'!A:F,6,)</f>
        <v>36.614666</v>
      </c>
      <c r="C232" s="51"/>
      <c r="D232" s="51"/>
    </row>
    <row r="233" spans="1:4" x14ac:dyDescent="0.45">
      <c r="A233" s="7">
        <v>40324</v>
      </c>
      <c r="B233" s="8">
        <f>VLOOKUP(Table1[[#This Row],[Date]],'BUD data'!A:F,6,)</f>
        <v>35.899783999999997</v>
      </c>
      <c r="C233" s="51"/>
      <c r="D233" s="51"/>
    </row>
    <row r="234" spans="1:4" x14ac:dyDescent="0.45">
      <c r="A234" s="7">
        <v>40325</v>
      </c>
      <c r="B234" s="8">
        <f>VLOOKUP(Table1[[#This Row],[Date]],'BUD data'!A:F,6,)</f>
        <v>38.293101999999998</v>
      </c>
      <c r="C234" s="51"/>
      <c r="D234" s="51"/>
    </row>
    <row r="235" spans="1:4" x14ac:dyDescent="0.45">
      <c r="A235" s="7">
        <v>40326</v>
      </c>
      <c r="B235" s="8">
        <f>VLOOKUP(Table1[[#This Row],[Date]],'BUD data'!A:F,6,)</f>
        <v>37.228546000000001</v>
      </c>
      <c r="C235" s="51"/>
      <c r="D235" s="51"/>
    </row>
    <row r="236" spans="1:4" x14ac:dyDescent="0.45">
      <c r="A236" s="7">
        <v>40330</v>
      </c>
      <c r="B236" s="8">
        <f>VLOOKUP(Table1[[#This Row],[Date]],'BUD data'!A:F,6,)</f>
        <v>36.933261999999999</v>
      </c>
      <c r="C236" s="51"/>
      <c r="D236" s="51"/>
    </row>
    <row r="237" spans="1:4" x14ac:dyDescent="0.45">
      <c r="A237" s="7">
        <v>40331</v>
      </c>
      <c r="B237" s="8">
        <f>VLOOKUP(Table1[[#This Row],[Date]],'BUD data'!A:F,6,)</f>
        <v>38.122149999999998</v>
      </c>
      <c r="C237" s="51"/>
      <c r="D237" s="51"/>
    </row>
    <row r="238" spans="1:4" x14ac:dyDescent="0.45">
      <c r="A238" s="7">
        <v>40332</v>
      </c>
      <c r="B238" s="8">
        <f>VLOOKUP(Table1[[#This Row],[Date]],'BUD data'!A:F,6,)</f>
        <v>37.803555000000003</v>
      </c>
      <c r="C238" s="51"/>
      <c r="D238" s="51"/>
    </row>
    <row r="239" spans="1:4" x14ac:dyDescent="0.45">
      <c r="A239" s="7">
        <v>40333</v>
      </c>
      <c r="B239" s="8">
        <f>VLOOKUP(Table1[[#This Row],[Date]],'BUD data'!A:F,6,)</f>
        <v>36.10181</v>
      </c>
      <c r="C239" s="51"/>
      <c r="D239" s="51"/>
    </row>
    <row r="240" spans="1:4" x14ac:dyDescent="0.45">
      <c r="A240" s="7">
        <v>40336</v>
      </c>
      <c r="B240" s="8">
        <f>VLOOKUP(Table1[[#This Row],[Date]],'BUD data'!A:F,6,)</f>
        <v>36.389319999999998</v>
      </c>
      <c r="C240" s="51"/>
      <c r="D240" s="51"/>
    </row>
    <row r="241" spans="1:4" x14ac:dyDescent="0.45">
      <c r="A241" s="7">
        <v>40337</v>
      </c>
      <c r="B241" s="8">
        <f>VLOOKUP(Table1[[#This Row],[Date]],'BUD data'!A:F,6,)</f>
        <v>36.925488000000001</v>
      </c>
      <c r="C241" s="51"/>
      <c r="D241" s="51"/>
    </row>
    <row r="242" spans="1:4" x14ac:dyDescent="0.45">
      <c r="A242" s="7">
        <v>40338</v>
      </c>
      <c r="B242" s="8">
        <f>VLOOKUP(Table1[[#This Row],[Date]],'BUD data'!A:F,6,)</f>
        <v>37.057583000000001</v>
      </c>
      <c r="C242" s="51"/>
      <c r="D242" s="51"/>
    </row>
    <row r="243" spans="1:4" x14ac:dyDescent="0.45">
      <c r="A243" s="7">
        <v>40339</v>
      </c>
      <c r="B243" s="8">
        <f>VLOOKUP(Table1[[#This Row],[Date]],'BUD data'!A:F,6,)</f>
        <v>38.176547999999997</v>
      </c>
      <c r="C243" s="51"/>
      <c r="D243" s="51"/>
    </row>
    <row r="244" spans="1:4" x14ac:dyDescent="0.45">
      <c r="A244" s="7">
        <v>40340</v>
      </c>
      <c r="B244" s="8">
        <f>VLOOKUP(Table1[[#This Row],[Date]],'BUD data'!A:F,6,)</f>
        <v>37.733626999999998</v>
      </c>
      <c r="C244" s="51"/>
      <c r="D244" s="51"/>
    </row>
    <row r="245" spans="1:4" x14ac:dyDescent="0.45">
      <c r="A245" s="7">
        <v>40343</v>
      </c>
      <c r="B245" s="8">
        <f>VLOOKUP(Table1[[#This Row],[Date]],'BUD data'!A:F,6,)</f>
        <v>38.526218</v>
      </c>
      <c r="C245" s="51"/>
      <c r="D245" s="51"/>
    </row>
    <row r="246" spans="1:4" x14ac:dyDescent="0.45">
      <c r="A246" s="7">
        <v>40344</v>
      </c>
      <c r="B246" s="8">
        <f>VLOOKUP(Table1[[#This Row],[Date]],'BUD data'!A:F,6,)</f>
        <v>40.212418</v>
      </c>
      <c r="C246" s="51"/>
      <c r="D246" s="51"/>
    </row>
    <row r="247" spans="1:4" x14ac:dyDescent="0.45">
      <c r="A247" s="7">
        <v>40345</v>
      </c>
      <c r="B247" s="8">
        <f>VLOOKUP(Table1[[#This Row],[Date]],'BUD data'!A:F,6,)</f>
        <v>40.002620999999998</v>
      </c>
      <c r="C247" s="51"/>
      <c r="D247" s="51"/>
    </row>
    <row r="248" spans="1:4" x14ac:dyDescent="0.45">
      <c r="A248" s="7">
        <v>40346</v>
      </c>
      <c r="B248" s="8">
        <f>VLOOKUP(Table1[[#This Row],[Date]],'BUD data'!A:F,6,)</f>
        <v>40.344512999999999</v>
      </c>
      <c r="C248" s="51"/>
      <c r="D248" s="51"/>
    </row>
    <row r="249" spans="1:4" x14ac:dyDescent="0.45">
      <c r="A249" s="7">
        <v>40347</v>
      </c>
      <c r="B249" s="8">
        <f>VLOOKUP(Table1[[#This Row],[Date]],'BUD data'!A:F,6,)</f>
        <v>39.823891000000003</v>
      </c>
      <c r="C249" s="51"/>
      <c r="D249" s="51"/>
    </row>
    <row r="250" spans="1:4" x14ac:dyDescent="0.45">
      <c r="A250" s="7">
        <v>40350</v>
      </c>
      <c r="B250" s="8">
        <f>VLOOKUP(Table1[[#This Row],[Date]],'BUD data'!A:F,6,)</f>
        <v>39.637394</v>
      </c>
      <c r="C250" s="51"/>
      <c r="D250" s="51"/>
    </row>
    <row r="251" spans="1:4" x14ac:dyDescent="0.45">
      <c r="A251" s="7">
        <v>40351</v>
      </c>
      <c r="B251" s="8">
        <f>VLOOKUP(Table1[[#This Row],[Date]],'BUD data'!A:F,6,)</f>
        <v>39.08569</v>
      </c>
      <c r="C251" s="51"/>
      <c r="D251" s="51"/>
    </row>
    <row r="252" spans="1:4" x14ac:dyDescent="0.45">
      <c r="A252" s="7">
        <v>40352</v>
      </c>
      <c r="B252" s="8">
        <f>VLOOKUP(Table1[[#This Row],[Date]],'BUD data'!A:F,6,)</f>
        <v>38.992443000000002</v>
      </c>
      <c r="C252" s="51"/>
      <c r="D252" s="51"/>
    </row>
    <row r="253" spans="1:4" x14ac:dyDescent="0.45">
      <c r="A253" s="7">
        <v>40353</v>
      </c>
      <c r="B253" s="8">
        <f>VLOOKUP(Table1[[#This Row],[Date]],'BUD data'!A:F,6,)</f>
        <v>38.790413000000001</v>
      </c>
      <c r="C253" s="51"/>
      <c r="D253" s="51"/>
    </row>
    <row r="254" spans="1:4" x14ac:dyDescent="0.45">
      <c r="A254" s="7">
        <v>40354</v>
      </c>
      <c r="B254" s="8">
        <f>VLOOKUP(Table1[[#This Row],[Date]],'BUD data'!A:F,6,)</f>
        <v>38.533988999999998</v>
      </c>
      <c r="C254" s="51"/>
      <c r="D254" s="51"/>
    </row>
    <row r="255" spans="1:4" x14ac:dyDescent="0.45">
      <c r="A255" s="7">
        <v>40357</v>
      </c>
      <c r="B255" s="8">
        <f>VLOOKUP(Table1[[#This Row],[Date]],'BUD data'!A:F,6,)</f>
        <v>38.596148999999997</v>
      </c>
      <c r="C255" s="51"/>
      <c r="D255" s="51"/>
    </row>
    <row r="256" spans="1:4" x14ac:dyDescent="0.45">
      <c r="A256" s="7">
        <v>40358</v>
      </c>
      <c r="B256" s="8">
        <f>VLOOKUP(Table1[[#This Row],[Date]],'BUD data'!A:F,6,)</f>
        <v>37.469428999999998</v>
      </c>
      <c r="C256" s="51"/>
      <c r="D256" s="51"/>
    </row>
    <row r="257" spans="1:4" x14ac:dyDescent="0.45">
      <c r="A257" s="7">
        <v>40359</v>
      </c>
      <c r="B257" s="8">
        <f>VLOOKUP(Table1[[#This Row],[Date]],'BUD data'!A:F,6,)</f>
        <v>37.306247999999997</v>
      </c>
      <c r="C257" s="51"/>
      <c r="D257" s="51"/>
    </row>
    <row r="258" spans="1:4" x14ac:dyDescent="0.45">
      <c r="A258" s="7">
        <v>40360</v>
      </c>
      <c r="B258" s="8">
        <f>VLOOKUP(Table1[[#This Row],[Date]],'BUD data'!A:F,6,)</f>
        <v>38.238708000000003</v>
      </c>
      <c r="C258" s="51"/>
      <c r="D258" s="51"/>
    </row>
    <row r="259" spans="1:4" x14ac:dyDescent="0.45">
      <c r="A259" s="7">
        <v>40361</v>
      </c>
      <c r="B259" s="8">
        <f>VLOOKUP(Table1[[#This Row],[Date]],'BUD data'!A:F,6,)</f>
        <v>37.966743000000001</v>
      </c>
      <c r="C259" s="51"/>
      <c r="D259" s="51"/>
    </row>
    <row r="260" spans="1:4" x14ac:dyDescent="0.45">
      <c r="A260" s="7">
        <v>40365</v>
      </c>
      <c r="B260" s="8">
        <f>VLOOKUP(Table1[[#This Row],[Date]],'BUD data'!A:F,6,)</f>
        <v>39.147860999999999</v>
      </c>
      <c r="C260" s="51"/>
      <c r="D260" s="51"/>
    </row>
    <row r="261" spans="1:4" x14ac:dyDescent="0.45">
      <c r="A261" s="7">
        <v>40366</v>
      </c>
      <c r="B261" s="8">
        <f>VLOOKUP(Table1[[#This Row],[Date]],'BUD data'!A:F,6,)</f>
        <v>39.886059000000003</v>
      </c>
      <c r="C261" s="51"/>
      <c r="D261" s="51"/>
    </row>
    <row r="262" spans="1:4" x14ac:dyDescent="0.45">
      <c r="A262" s="7">
        <v>40367</v>
      </c>
      <c r="B262" s="8">
        <f>VLOOKUP(Table1[[#This Row],[Date]],'BUD data'!A:F,6,)</f>
        <v>40.484394000000002</v>
      </c>
      <c r="C262" s="51"/>
      <c r="D262" s="51"/>
    </row>
    <row r="263" spans="1:4" x14ac:dyDescent="0.45">
      <c r="A263" s="7">
        <v>40368</v>
      </c>
      <c r="B263" s="8">
        <f>VLOOKUP(Table1[[#This Row],[Date]],'BUD data'!A:F,6,)</f>
        <v>40.779667000000003</v>
      </c>
      <c r="C263" s="51"/>
      <c r="D263" s="51"/>
    </row>
    <row r="264" spans="1:4" x14ac:dyDescent="0.45">
      <c r="A264" s="7">
        <v>40371</v>
      </c>
      <c r="B264" s="8">
        <f>VLOOKUP(Table1[[#This Row],[Date]],'BUD data'!A:F,6,)</f>
        <v>40.997238000000003</v>
      </c>
      <c r="C264" s="51"/>
      <c r="D264" s="51"/>
    </row>
    <row r="265" spans="1:4" x14ac:dyDescent="0.45">
      <c r="A265" s="7">
        <v>40372</v>
      </c>
      <c r="B265" s="8">
        <f>VLOOKUP(Table1[[#This Row],[Date]],'BUD data'!A:F,6,)</f>
        <v>41.704357000000002</v>
      </c>
      <c r="C265" s="51"/>
      <c r="D265" s="51"/>
    </row>
    <row r="266" spans="1:4" x14ac:dyDescent="0.45">
      <c r="A266" s="7">
        <v>40373</v>
      </c>
      <c r="B266" s="8">
        <f>VLOOKUP(Table1[[#This Row],[Date]],'BUD data'!A:F,6,)</f>
        <v>41.805370000000003</v>
      </c>
      <c r="C266" s="51"/>
      <c r="D266" s="51"/>
    </row>
    <row r="267" spans="1:4" x14ac:dyDescent="0.45">
      <c r="A267" s="7">
        <v>40374</v>
      </c>
      <c r="B267" s="8">
        <f>VLOOKUP(Table1[[#This Row],[Date]],'BUD data'!A:F,6,)</f>
        <v>42.232745999999999</v>
      </c>
      <c r="C267" s="51"/>
      <c r="D267" s="51"/>
    </row>
    <row r="268" spans="1:4" x14ac:dyDescent="0.45">
      <c r="A268" s="7">
        <v>40375</v>
      </c>
      <c r="B268" s="8">
        <f>VLOOKUP(Table1[[#This Row],[Date]],'BUD data'!A:F,6,)</f>
        <v>41.067180999999998</v>
      </c>
      <c r="C268" s="51"/>
      <c r="D268" s="51"/>
    </row>
    <row r="269" spans="1:4" x14ac:dyDescent="0.45">
      <c r="A269" s="7">
        <v>40378</v>
      </c>
      <c r="B269" s="8">
        <f>VLOOKUP(Table1[[#This Row],[Date]],'BUD data'!A:F,6,)</f>
        <v>41.253666000000003</v>
      </c>
      <c r="C269" s="51"/>
      <c r="D269" s="51"/>
    </row>
    <row r="270" spans="1:4" x14ac:dyDescent="0.45">
      <c r="A270" s="7">
        <v>40379</v>
      </c>
      <c r="B270" s="8">
        <f>VLOOKUP(Table1[[#This Row],[Date]],'BUD data'!A:F,6,)</f>
        <v>40.795203999999998</v>
      </c>
      <c r="C270" s="51"/>
      <c r="D270" s="51"/>
    </row>
    <row r="271" spans="1:4" x14ac:dyDescent="0.45">
      <c r="A271" s="7">
        <v>40380</v>
      </c>
      <c r="B271" s="8">
        <f>VLOOKUP(Table1[[#This Row],[Date]],'BUD data'!A:F,6,)</f>
        <v>41.137107999999998</v>
      </c>
      <c r="C271" s="51"/>
      <c r="D271" s="51"/>
    </row>
    <row r="272" spans="1:4" x14ac:dyDescent="0.45">
      <c r="A272" s="7">
        <v>40381</v>
      </c>
      <c r="B272" s="8">
        <f>VLOOKUP(Table1[[#This Row],[Date]],'BUD data'!A:F,6,)</f>
        <v>42.263835999999998</v>
      </c>
      <c r="C272" s="51"/>
      <c r="D272" s="51"/>
    </row>
    <row r="273" spans="1:4" x14ac:dyDescent="0.45">
      <c r="A273" s="7">
        <v>40382</v>
      </c>
      <c r="B273" s="8">
        <f>VLOOKUP(Table1[[#This Row],[Date]],'BUD data'!A:F,6,)</f>
        <v>42.481400000000001</v>
      </c>
      <c r="C273" s="51"/>
      <c r="D273" s="51"/>
    </row>
    <row r="274" spans="1:4" x14ac:dyDescent="0.45">
      <c r="A274" s="7">
        <v>40385</v>
      </c>
      <c r="B274" s="8">
        <f>VLOOKUP(Table1[[#This Row],[Date]],'BUD data'!A:F,6,)</f>
        <v>42.784458000000001</v>
      </c>
      <c r="C274" s="51"/>
      <c r="D274" s="51"/>
    </row>
    <row r="275" spans="1:4" x14ac:dyDescent="0.45">
      <c r="A275" s="7">
        <v>40386</v>
      </c>
      <c r="B275" s="8">
        <f>VLOOKUP(Table1[[#This Row],[Date]],'BUD data'!A:F,6,)</f>
        <v>42.504725999999998</v>
      </c>
      <c r="C275" s="51"/>
      <c r="D275" s="51"/>
    </row>
    <row r="276" spans="1:4" x14ac:dyDescent="0.45">
      <c r="A276" s="7">
        <v>40387</v>
      </c>
      <c r="B276" s="8">
        <f>VLOOKUP(Table1[[#This Row],[Date]],'BUD data'!A:F,6,)</f>
        <v>41.758750999999997</v>
      </c>
      <c r="C276" s="51"/>
      <c r="D276" s="51"/>
    </row>
    <row r="277" spans="1:4" x14ac:dyDescent="0.45">
      <c r="A277" s="7">
        <v>40388</v>
      </c>
      <c r="B277" s="8">
        <f>VLOOKUP(Table1[[#This Row],[Date]],'BUD data'!A:F,6,)</f>
        <v>41.479014999999997</v>
      </c>
      <c r="C277" s="51"/>
      <c r="D277" s="51"/>
    </row>
    <row r="278" spans="1:4" x14ac:dyDescent="0.45">
      <c r="A278" s="7">
        <v>40389</v>
      </c>
      <c r="B278" s="8">
        <f>VLOOKUP(Table1[[#This Row],[Date]],'BUD data'!A:F,6,)</f>
        <v>41.230358000000003</v>
      </c>
      <c r="C278" s="51"/>
      <c r="D278" s="51"/>
    </row>
    <row r="279" spans="1:4" x14ac:dyDescent="0.45">
      <c r="A279" s="7">
        <v>40392</v>
      </c>
      <c r="B279" s="8">
        <f>VLOOKUP(Table1[[#This Row],[Date]],'BUD data'!A:F,6,)</f>
        <v>42.395930999999997</v>
      </c>
      <c r="C279" s="51"/>
      <c r="D279" s="51"/>
    </row>
    <row r="280" spans="1:4" x14ac:dyDescent="0.45">
      <c r="A280" s="7">
        <v>40393</v>
      </c>
      <c r="B280" s="8">
        <f>VLOOKUP(Table1[[#This Row],[Date]],'BUD data'!A:F,6,)</f>
        <v>42.613506000000001</v>
      </c>
      <c r="C280" s="51"/>
      <c r="D280" s="51"/>
    </row>
    <row r="281" spans="1:4" x14ac:dyDescent="0.45">
      <c r="A281" s="7">
        <v>40394</v>
      </c>
      <c r="B281" s="8">
        <f>VLOOKUP(Table1[[#This Row],[Date]],'BUD data'!A:F,6,)</f>
        <v>42.893250000000002</v>
      </c>
      <c r="C281" s="51"/>
      <c r="D281" s="51"/>
    </row>
    <row r="282" spans="1:4" x14ac:dyDescent="0.45">
      <c r="A282" s="7">
        <v>40395</v>
      </c>
      <c r="B282" s="8">
        <f>VLOOKUP(Table1[[#This Row],[Date]],'BUD data'!A:F,6,)</f>
        <v>41.852001000000001</v>
      </c>
      <c r="C282" s="51"/>
      <c r="D282" s="51"/>
    </row>
    <row r="283" spans="1:4" x14ac:dyDescent="0.45">
      <c r="A283" s="7">
        <v>40396</v>
      </c>
      <c r="B283" s="8">
        <f>VLOOKUP(Table1[[#This Row],[Date]],'BUD data'!A:F,6,)</f>
        <v>40.841830999999999</v>
      </c>
      <c r="C283" s="51"/>
      <c r="D283" s="51"/>
    </row>
    <row r="284" spans="1:4" x14ac:dyDescent="0.45">
      <c r="A284" s="7">
        <v>40399</v>
      </c>
      <c r="B284" s="8">
        <f>VLOOKUP(Table1[[#This Row],[Date]],'BUD data'!A:F,6,)</f>
        <v>40.903995999999999</v>
      </c>
      <c r="C284" s="51"/>
      <c r="D284" s="51"/>
    </row>
    <row r="285" spans="1:4" x14ac:dyDescent="0.45">
      <c r="A285" s="7">
        <v>40400</v>
      </c>
      <c r="B285" s="8">
        <f>VLOOKUP(Table1[[#This Row],[Date]],'BUD data'!A:F,6,)</f>
        <v>40.585406999999996</v>
      </c>
      <c r="C285" s="51"/>
      <c r="D285" s="51"/>
    </row>
    <row r="286" spans="1:4" x14ac:dyDescent="0.45">
      <c r="A286" s="7">
        <v>40401</v>
      </c>
      <c r="B286" s="8">
        <f>VLOOKUP(Table1[[#This Row],[Date]],'BUD data'!A:F,6,)</f>
        <v>39.513072999999999</v>
      </c>
      <c r="C286" s="51"/>
      <c r="D286" s="51"/>
    </row>
    <row r="287" spans="1:4" x14ac:dyDescent="0.45">
      <c r="A287" s="7">
        <v>40402</v>
      </c>
      <c r="B287" s="8">
        <f>VLOOKUP(Table1[[#This Row],[Date]],'BUD data'!A:F,6,)</f>
        <v>41.222588000000002</v>
      </c>
      <c r="C287" s="51"/>
      <c r="D287" s="51"/>
    </row>
    <row r="288" spans="1:4" x14ac:dyDescent="0.45">
      <c r="A288" s="7">
        <v>40403</v>
      </c>
      <c r="B288" s="8">
        <f>VLOOKUP(Table1[[#This Row],[Date]],'BUD data'!A:F,6,)</f>
        <v>41.370227999999997</v>
      </c>
      <c r="C288" s="51"/>
      <c r="D288" s="51"/>
    </row>
    <row r="289" spans="1:4" x14ac:dyDescent="0.45">
      <c r="A289" s="7">
        <v>40406</v>
      </c>
      <c r="B289" s="8">
        <f>VLOOKUP(Table1[[#This Row],[Date]],'BUD data'!A:F,6,)</f>
        <v>41.580029000000003</v>
      </c>
      <c r="C289" s="51"/>
      <c r="D289" s="51"/>
    </row>
    <row r="290" spans="1:4" x14ac:dyDescent="0.45">
      <c r="A290" s="7">
        <v>40407</v>
      </c>
      <c r="B290" s="8">
        <f>VLOOKUP(Table1[[#This Row],[Date]],'BUD data'!A:F,6,)</f>
        <v>41.696582999999997</v>
      </c>
      <c r="C290" s="51"/>
      <c r="D290" s="51"/>
    </row>
    <row r="291" spans="1:4" x14ac:dyDescent="0.45">
      <c r="A291" s="7">
        <v>40408</v>
      </c>
      <c r="B291" s="8">
        <f>VLOOKUP(Table1[[#This Row],[Date]],'BUD data'!A:F,6,)</f>
        <v>41.626652</v>
      </c>
      <c r="C291" s="51"/>
      <c r="D291" s="51"/>
    </row>
    <row r="292" spans="1:4" x14ac:dyDescent="0.45">
      <c r="A292" s="7">
        <v>40409</v>
      </c>
      <c r="B292" s="8">
        <f>VLOOKUP(Table1[[#This Row],[Date]],'BUD data'!A:F,6,)</f>
        <v>40.616492999999998</v>
      </c>
      <c r="C292" s="51"/>
      <c r="D292" s="51"/>
    </row>
    <row r="293" spans="1:4" x14ac:dyDescent="0.45">
      <c r="A293" s="7">
        <v>40410</v>
      </c>
      <c r="B293" s="8">
        <f>VLOOKUP(Table1[[#This Row],[Date]],'BUD data'!A:F,6,)</f>
        <v>40.173569000000001</v>
      </c>
      <c r="C293" s="51"/>
      <c r="D293" s="51"/>
    </row>
    <row r="294" spans="1:4" x14ac:dyDescent="0.45">
      <c r="A294" s="7">
        <v>40413</v>
      </c>
      <c r="B294" s="8">
        <f>VLOOKUP(Table1[[#This Row],[Date]],'BUD data'!A:F,6,)</f>
        <v>40.057003000000002</v>
      </c>
      <c r="C294" s="51"/>
      <c r="D294" s="51"/>
    </row>
    <row r="295" spans="1:4" x14ac:dyDescent="0.45">
      <c r="A295" s="7">
        <v>40414</v>
      </c>
      <c r="B295" s="8">
        <f>VLOOKUP(Table1[[#This Row],[Date]],'BUD data'!A:F,6,)</f>
        <v>39.730648000000002</v>
      </c>
      <c r="C295" s="51"/>
      <c r="D295" s="51"/>
    </row>
    <row r="296" spans="1:4" x14ac:dyDescent="0.45">
      <c r="A296" s="7">
        <v>40415</v>
      </c>
      <c r="B296" s="8">
        <f>VLOOKUP(Table1[[#This Row],[Date]],'BUD data'!A:F,6,)</f>
        <v>39.637394</v>
      </c>
      <c r="C296" s="51"/>
      <c r="D296" s="51"/>
    </row>
    <row r="297" spans="1:4" x14ac:dyDescent="0.45">
      <c r="A297" s="7">
        <v>40416</v>
      </c>
      <c r="B297" s="8">
        <f>VLOOKUP(Table1[[#This Row],[Date]],'BUD data'!A:F,6,)</f>
        <v>39.72287</v>
      </c>
      <c r="C297" s="51"/>
      <c r="D297" s="51"/>
    </row>
    <row r="298" spans="1:4" x14ac:dyDescent="0.45">
      <c r="A298" s="7">
        <v>40417</v>
      </c>
      <c r="B298" s="8">
        <f>VLOOKUP(Table1[[#This Row],[Date]],'BUD data'!A:F,6,)</f>
        <v>40.313431000000001</v>
      </c>
      <c r="C298" s="51"/>
      <c r="D298" s="51"/>
    </row>
    <row r="299" spans="1:4" x14ac:dyDescent="0.45">
      <c r="A299" s="7">
        <v>40420</v>
      </c>
      <c r="B299" s="8">
        <f>VLOOKUP(Table1[[#This Row],[Date]],'BUD data'!A:F,6,)</f>
        <v>39.777267000000002</v>
      </c>
      <c r="C299" s="51"/>
      <c r="D299" s="51"/>
    </row>
    <row r="300" spans="1:4" x14ac:dyDescent="0.45">
      <c r="A300" s="7">
        <v>40421</v>
      </c>
      <c r="B300" s="8">
        <f>VLOOKUP(Table1[[#This Row],[Date]],'BUD data'!A:F,6,)</f>
        <v>40.383369000000002</v>
      </c>
      <c r="C300" s="51"/>
      <c r="D300" s="51"/>
    </row>
    <row r="301" spans="1:4" x14ac:dyDescent="0.45">
      <c r="A301" s="7">
        <v>40422</v>
      </c>
      <c r="B301" s="8">
        <f>VLOOKUP(Table1[[#This Row],[Date]],'BUD data'!A:F,6,)</f>
        <v>42.131737000000001</v>
      </c>
      <c r="C301" s="51"/>
      <c r="D301" s="51"/>
    </row>
    <row r="302" spans="1:4" x14ac:dyDescent="0.45">
      <c r="A302" s="7">
        <v>40423</v>
      </c>
      <c r="B302" s="8">
        <f>VLOOKUP(Table1[[#This Row],[Date]],'BUD data'!A:F,6,)</f>
        <v>42.698985999999998</v>
      </c>
      <c r="C302" s="51"/>
      <c r="D302" s="51"/>
    </row>
    <row r="303" spans="1:4" x14ac:dyDescent="0.45">
      <c r="A303" s="7">
        <v>40424</v>
      </c>
      <c r="B303" s="8">
        <f>VLOOKUP(Table1[[#This Row],[Date]],'BUD data'!A:F,6,)</f>
        <v>42.854396999999999</v>
      </c>
      <c r="C303" s="51"/>
      <c r="D303" s="51"/>
    </row>
    <row r="304" spans="1:4" x14ac:dyDescent="0.45">
      <c r="A304" s="7">
        <v>40428</v>
      </c>
      <c r="B304" s="8">
        <f>VLOOKUP(Table1[[#This Row],[Date]],'BUD data'!A:F,6,)</f>
        <v>42.217213000000001</v>
      </c>
      <c r="C304" s="51"/>
      <c r="D304" s="51"/>
    </row>
    <row r="305" spans="1:4" x14ac:dyDescent="0.45">
      <c r="A305" s="7">
        <v>40429</v>
      </c>
      <c r="B305" s="8">
        <f>VLOOKUP(Table1[[#This Row],[Date]],'BUD data'!A:F,6,)</f>
        <v>43.242924000000002</v>
      </c>
      <c r="C305" s="51"/>
      <c r="D305" s="51"/>
    </row>
    <row r="306" spans="1:4" x14ac:dyDescent="0.45">
      <c r="A306" s="7">
        <v>40430</v>
      </c>
      <c r="B306" s="8">
        <f>VLOOKUP(Table1[[#This Row],[Date]],'BUD data'!A:F,6,)</f>
        <v>42.776691</v>
      </c>
      <c r="C306" s="51"/>
      <c r="D306" s="51"/>
    </row>
    <row r="307" spans="1:4" x14ac:dyDescent="0.45">
      <c r="A307" s="7">
        <v>40431</v>
      </c>
      <c r="B307" s="8">
        <f>VLOOKUP(Table1[[#This Row],[Date]],'BUD data'!A:F,6,)</f>
        <v>42.582419999999999</v>
      </c>
      <c r="C307" s="51"/>
      <c r="D307" s="51"/>
    </row>
    <row r="308" spans="1:4" x14ac:dyDescent="0.45">
      <c r="A308" s="7">
        <v>40434</v>
      </c>
      <c r="B308" s="8">
        <f>VLOOKUP(Table1[[#This Row],[Date]],'BUD data'!A:F,6,)</f>
        <v>43.110821000000001</v>
      </c>
      <c r="C308" s="51"/>
      <c r="D308" s="51"/>
    </row>
    <row r="309" spans="1:4" x14ac:dyDescent="0.45">
      <c r="A309" s="7">
        <v>40435</v>
      </c>
      <c r="B309" s="8">
        <f>VLOOKUP(Table1[[#This Row],[Date]],'BUD data'!A:F,6,)</f>
        <v>43.398327000000002</v>
      </c>
      <c r="C309" s="51"/>
      <c r="D309" s="51"/>
    </row>
    <row r="310" spans="1:4" x14ac:dyDescent="0.45">
      <c r="A310" s="7">
        <v>40436</v>
      </c>
      <c r="B310" s="8">
        <f>VLOOKUP(Table1[[#This Row],[Date]],'BUD data'!A:F,6,)</f>
        <v>43.740237999999998</v>
      </c>
      <c r="C310" s="51"/>
      <c r="D310" s="51"/>
    </row>
    <row r="311" spans="1:4" x14ac:dyDescent="0.45">
      <c r="A311" s="7">
        <v>40437</v>
      </c>
      <c r="B311" s="8">
        <f>VLOOKUP(Table1[[#This Row],[Date]],'BUD data'!A:F,6,)</f>
        <v>43.755775</v>
      </c>
      <c r="C311" s="51"/>
      <c r="D311" s="51"/>
    </row>
    <row r="312" spans="1:4" x14ac:dyDescent="0.45">
      <c r="A312" s="7">
        <v>40438</v>
      </c>
      <c r="B312" s="8">
        <f>VLOOKUP(Table1[[#This Row],[Date]],'BUD data'!A:F,6,)</f>
        <v>43.017574000000003</v>
      </c>
      <c r="C312" s="51"/>
      <c r="D312" s="51"/>
    </row>
    <row r="313" spans="1:4" x14ac:dyDescent="0.45">
      <c r="A313" s="7">
        <v>40441</v>
      </c>
      <c r="B313" s="8">
        <f>VLOOKUP(Table1[[#This Row],[Date]],'BUD data'!A:F,6,)</f>
        <v>43.639217000000002</v>
      </c>
      <c r="C313" s="51"/>
      <c r="D313" s="51"/>
    </row>
    <row r="314" spans="1:4" x14ac:dyDescent="0.45">
      <c r="A314" s="7">
        <v>40442</v>
      </c>
      <c r="B314" s="8">
        <f>VLOOKUP(Table1[[#This Row],[Date]],'BUD data'!A:F,6,)</f>
        <v>43.62368</v>
      </c>
      <c r="C314" s="51"/>
      <c r="D314" s="51"/>
    </row>
    <row r="315" spans="1:4" x14ac:dyDescent="0.45">
      <c r="A315" s="7">
        <v>40443</v>
      </c>
      <c r="B315" s="8">
        <f>VLOOKUP(Table1[[#This Row],[Date]],'BUD data'!A:F,6,)</f>
        <v>43.553741000000002</v>
      </c>
      <c r="C315" s="51"/>
      <c r="D315" s="51"/>
    </row>
    <row r="316" spans="1:4" x14ac:dyDescent="0.45">
      <c r="A316" s="7">
        <v>40444</v>
      </c>
      <c r="B316" s="8">
        <f>VLOOKUP(Table1[[#This Row],[Date]],'BUD data'!A:F,6,)</f>
        <v>43.841254999999997</v>
      </c>
      <c r="C316" s="51"/>
      <c r="D316" s="51"/>
    </row>
    <row r="317" spans="1:4" x14ac:dyDescent="0.45">
      <c r="A317" s="7">
        <v>40445</v>
      </c>
      <c r="B317" s="8">
        <f>VLOOKUP(Table1[[#This Row],[Date]],'BUD data'!A:F,6,)</f>
        <v>45.511901999999999</v>
      </c>
      <c r="C317" s="51"/>
      <c r="D317" s="51"/>
    </row>
    <row r="318" spans="1:4" x14ac:dyDescent="0.45">
      <c r="A318" s="7">
        <v>40448</v>
      </c>
      <c r="B318" s="8">
        <f>VLOOKUP(Table1[[#This Row],[Date]],'BUD data'!A:F,6,)</f>
        <v>44.851413999999998</v>
      </c>
      <c r="C318" s="51"/>
      <c r="D318" s="51"/>
    </row>
    <row r="319" spans="1:4" x14ac:dyDescent="0.45">
      <c r="A319" s="7">
        <v>40449</v>
      </c>
      <c r="B319" s="8">
        <f>VLOOKUP(Table1[[#This Row],[Date]],'BUD data'!A:F,6,)</f>
        <v>45.807189999999999</v>
      </c>
      <c r="C319" s="51"/>
      <c r="D319" s="51"/>
    </row>
    <row r="320" spans="1:4" x14ac:dyDescent="0.45">
      <c r="A320" s="7">
        <v>40450</v>
      </c>
      <c r="B320" s="8">
        <f>VLOOKUP(Table1[[#This Row],[Date]],'BUD data'!A:F,6,)</f>
        <v>46.219020999999998</v>
      </c>
      <c r="C320" s="51"/>
      <c r="D320" s="51"/>
    </row>
    <row r="321" spans="1:4" x14ac:dyDescent="0.45">
      <c r="A321" s="7">
        <v>40451</v>
      </c>
      <c r="B321" s="8">
        <f>VLOOKUP(Table1[[#This Row],[Date]],'BUD data'!A:F,6,)</f>
        <v>45.651783000000002</v>
      </c>
      <c r="C321" s="51"/>
      <c r="D321" s="51"/>
    </row>
    <row r="322" spans="1:4" x14ac:dyDescent="0.45">
      <c r="A322" s="7">
        <v>40452</v>
      </c>
      <c r="B322" s="8">
        <f>VLOOKUP(Table1[[#This Row],[Date]],'BUD data'!A:F,6,)</f>
        <v>45.581840999999997</v>
      </c>
      <c r="C322" s="51"/>
      <c r="D322" s="51"/>
    </row>
    <row r="323" spans="1:4" x14ac:dyDescent="0.45">
      <c r="A323" s="7">
        <v>40455</v>
      </c>
      <c r="B323" s="8">
        <f>VLOOKUP(Table1[[#This Row],[Date]],'BUD data'!A:F,6,)</f>
        <v>44.750400999999997</v>
      </c>
      <c r="C323" s="51"/>
      <c r="D323" s="51"/>
    </row>
    <row r="324" spans="1:4" x14ac:dyDescent="0.45">
      <c r="A324" s="7">
        <v>40456</v>
      </c>
      <c r="B324" s="8">
        <f>VLOOKUP(Table1[[#This Row],[Date]],'BUD data'!A:F,6,)</f>
        <v>46.079155</v>
      </c>
      <c r="C324" s="51"/>
      <c r="D324" s="51"/>
    </row>
    <row r="325" spans="1:4" x14ac:dyDescent="0.45">
      <c r="A325" s="7">
        <v>40457</v>
      </c>
      <c r="B325" s="8">
        <f>VLOOKUP(Table1[[#This Row],[Date]],'BUD data'!A:F,6,)</f>
        <v>46.537616999999997</v>
      </c>
      <c r="C325" s="51"/>
      <c r="D325" s="51"/>
    </row>
    <row r="326" spans="1:4" x14ac:dyDescent="0.45">
      <c r="A326" s="7">
        <v>40458</v>
      </c>
      <c r="B326" s="8">
        <f>VLOOKUP(Table1[[#This Row],[Date]],'BUD data'!A:F,6,)</f>
        <v>46.242348</v>
      </c>
      <c r="C326" s="51"/>
      <c r="D326" s="51"/>
    </row>
    <row r="327" spans="1:4" x14ac:dyDescent="0.45">
      <c r="A327" s="7">
        <v>40459</v>
      </c>
      <c r="B327" s="8">
        <f>VLOOKUP(Table1[[#This Row],[Date]],'BUD data'!A:F,6,)</f>
        <v>47.866374999999998</v>
      </c>
      <c r="C327" s="51"/>
      <c r="D327" s="51"/>
    </row>
    <row r="328" spans="1:4" x14ac:dyDescent="0.45">
      <c r="A328" s="7">
        <v>40462</v>
      </c>
      <c r="B328" s="8">
        <f>VLOOKUP(Table1[[#This Row],[Date]],'BUD data'!A:F,6,)</f>
        <v>48.130572999999998</v>
      </c>
      <c r="C328" s="51"/>
      <c r="D328" s="51"/>
    </row>
    <row r="329" spans="1:4" x14ac:dyDescent="0.45">
      <c r="A329" s="7">
        <v>40463</v>
      </c>
      <c r="B329" s="8">
        <f>VLOOKUP(Table1[[#This Row],[Date]],'BUD data'!A:F,6,)</f>
        <v>48.402538</v>
      </c>
      <c r="C329" s="51"/>
      <c r="D329" s="51"/>
    </row>
    <row r="330" spans="1:4" x14ac:dyDescent="0.45">
      <c r="A330" s="7">
        <v>40464</v>
      </c>
      <c r="B330" s="8">
        <f>VLOOKUP(Table1[[#This Row],[Date]],'BUD data'!A:F,6,)</f>
        <v>49.498184000000002</v>
      </c>
      <c r="C330" s="51"/>
      <c r="D330" s="51"/>
    </row>
    <row r="331" spans="1:4" x14ac:dyDescent="0.45">
      <c r="A331" s="7">
        <v>40465</v>
      </c>
      <c r="B331" s="8">
        <f>VLOOKUP(Table1[[#This Row],[Date]],'BUD data'!A:F,6,)</f>
        <v>49.249527</v>
      </c>
      <c r="C331" s="51"/>
      <c r="D331" s="51"/>
    </row>
    <row r="332" spans="1:4" x14ac:dyDescent="0.45">
      <c r="A332" s="7">
        <v>40466</v>
      </c>
      <c r="B332" s="8">
        <f>VLOOKUP(Table1[[#This Row],[Date]],'BUD data'!A:F,6,)</f>
        <v>48.736668000000002</v>
      </c>
      <c r="C332" s="51"/>
      <c r="D332" s="51"/>
    </row>
    <row r="333" spans="1:4" x14ac:dyDescent="0.45">
      <c r="A333" s="7">
        <v>40469</v>
      </c>
      <c r="B333" s="8">
        <f>VLOOKUP(Table1[[#This Row],[Date]],'BUD data'!A:F,6,)</f>
        <v>48.495784999999998</v>
      </c>
      <c r="C333" s="51"/>
      <c r="D333" s="51"/>
    </row>
    <row r="334" spans="1:4" x14ac:dyDescent="0.45">
      <c r="A334" s="7">
        <v>40470</v>
      </c>
      <c r="B334" s="8">
        <f>VLOOKUP(Table1[[#This Row],[Date]],'BUD data'!A:F,6,)</f>
        <v>47.695435000000003</v>
      </c>
      <c r="C334" s="51"/>
      <c r="D334" s="51"/>
    </row>
    <row r="335" spans="1:4" x14ac:dyDescent="0.45">
      <c r="A335" s="7">
        <v>40471</v>
      </c>
      <c r="B335" s="8">
        <f>VLOOKUP(Table1[[#This Row],[Date]],'BUD data'!A:F,6,)</f>
        <v>48.340378000000001</v>
      </c>
      <c r="C335" s="51"/>
      <c r="D335" s="51"/>
    </row>
    <row r="336" spans="1:4" x14ac:dyDescent="0.45">
      <c r="A336" s="7">
        <v>40472</v>
      </c>
      <c r="B336" s="8">
        <f>VLOOKUP(Table1[[#This Row],[Date]],'BUD data'!A:F,6,)</f>
        <v>49.529274000000001</v>
      </c>
      <c r="C336" s="51"/>
      <c r="D336" s="51"/>
    </row>
    <row r="337" spans="1:4" x14ac:dyDescent="0.45">
      <c r="A337" s="7">
        <v>40473</v>
      </c>
      <c r="B337" s="8">
        <f>VLOOKUP(Table1[[#This Row],[Date]],'BUD data'!A:F,6,)</f>
        <v>49.537036999999998</v>
      </c>
      <c r="C337" s="51"/>
      <c r="D337" s="51"/>
    </row>
    <row r="338" spans="1:4" x14ac:dyDescent="0.45">
      <c r="A338" s="7">
        <v>40476</v>
      </c>
      <c r="B338" s="8">
        <f>VLOOKUP(Table1[[#This Row],[Date]],'BUD data'!A:F,6,)</f>
        <v>49.638053999999997</v>
      </c>
      <c r="C338" s="51"/>
      <c r="D338" s="51"/>
    </row>
    <row r="339" spans="1:4" x14ac:dyDescent="0.45">
      <c r="A339" s="7">
        <v>40477</v>
      </c>
      <c r="B339" s="8">
        <f>VLOOKUP(Table1[[#This Row],[Date]],'BUD data'!A:F,6,)</f>
        <v>48.736668000000002</v>
      </c>
      <c r="C339" s="51"/>
      <c r="D339" s="51"/>
    </row>
    <row r="340" spans="1:4" x14ac:dyDescent="0.45">
      <c r="A340" s="7">
        <v>40478</v>
      </c>
      <c r="B340" s="8">
        <f>VLOOKUP(Table1[[#This Row],[Date]],'BUD data'!A:F,6,)</f>
        <v>47.586635999999999</v>
      </c>
      <c r="C340" s="51"/>
      <c r="D340" s="51"/>
    </row>
    <row r="341" spans="1:4" x14ac:dyDescent="0.45">
      <c r="A341" s="7">
        <v>40479</v>
      </c>
      <c r="B341" s="8">
        <f>VLOOKUP(Table1[[#This Row],[Date]],'BUD data'!A:F,6,)</f>
        <v>48.418083000000003</v>
      </c>
      <c r="C341" s="51"/>
      <c r="D341" s="51"/>
    </row>
    <row r="342" spans="1:4" x14ac:dyDescent="0.45">
      <c r="A342" s="7">
        <v>40480</v>
      </c>
      <c r="B342" s="8">
        <f>VLOOKUP(Table1[[#This Row],[Date]],'BUD data'!A:F,6,)</f>
        <v>48.876548999999997</v>
      </c>
      <c r="C342" s="51"/>
      <c r="D342" s="51"/>
    </row>
    <row r="343" spans="1:4" x14ac:dyDescent="0.45">
      <c r="A343" s="7">
        <v>40483</v>
      </c>
      <c r="B343" s="8">
        <f>VLOOKUP(Table1[[#This Row],[Date]],'BUD data'!A:F,6,)</f>
        <v>48.845455000000001</v>
      </c>
      <c r="C343" s="51"/>
      <c r="D343" s="51"/>
    </row>
    <row r="344" spans="1:4" x14ac:dyDescent="0.45">
      <c r="A344" s="7">
        <v>40484</v>
      </c>
      <c r="B344" s="8">
        <f>VLOOKUP(Table1[[#This Row],[Date]],'BUD data'!A:F,6,)</f>
        <v>49.350540000000002</v>
      </c>
      <c r="C344" s="51"/>
      <c r="D344" s="51"/>
    </row>
    <row r="345" spans="1:4" x14ac:dyDescent="0.45">
      <c r="A345" s="7">
        <v>40485</v>
      </c>
      <c r="B345" s="8">
        <f>VLOOKUP(Table1[[#This Row],[Date]],'BUD data'!A:F,6,)</f>
        <v>47.881912</v>
      </c>
      <c r="C345" s="51"/>
      <c r="D345" s="51"/>
    </row>
    <row r="346" spans="1:4" x14ac:dyDescent="0.45">
      <c r="A346" s="7">
        <v>40486</v>
      </c>
      <c r="B346" s="8">
        <f>VLOOKUP(Table1[[#This Row],[Date]],'BUD data'!A:F,6,)</f>
        <v>48.658962000000002</v>
      </c>
      <c r="C346" s="51"/>
      <c r="D346" s="51"/>
    </row>
    <row r="347" spans="1:4" x14ac:dyDescent="0.45">
      <c r="A347" s="7">
        <v>40487</v>
      </c>
      <c r="B347" s="8">
        <f>VLOOKUP(Table1[[#This Row],[Date]],'BUD data'!A:F,6,)</f>
        <v>47.835293</v>
      </c>
      <c r="C347" s="51"/>
      <c r="D347" s="51"/>
    </row>
    <row r="348" spans="1:4" x14ac:dyDescent="0.45">
      <c r="A348" s="7">
        <v>40490</v>
      </c>
      <c r="B348" s="8">
        <f>VLOOKUP(Table1[[#This Row],[Date]],'BUD data'!A:F,6,)</f>
        <v>47.236969000000002</v>
      </c>
      <c r="C348" s="51"/>
      <c r="D348" s="51"/>
    </row>
    <row r="349" spans="1:4" x14ac:dyDescent="0.45">
      <c r="A349" s="7">
        <v>40491</v>
      </c>
      <c r="B349" s="8">
        <f>VLOOKUP(Table1[[#This Row],[Date]],'BUD data'!A:F,6,)</f>
        <v>46.972766999999997</v>
      </c>
      <c r="C349" s="51"/>
      <c r="D349" s="51"/>
    </row>
    <row r="350" spans="1:4" x14ac:dyDescent="0.45">
      <c r="A350" s="7">
        <v>40492</v>
      </c>
      <c r="B350" s="8">
        <f>VLOOKUP(Table1[[#This Row],[Date]],'BUD data'!A:F,6,)</f>
        <v>47.050468000000002</v>
      </c>
      <c r="C350" s="51"/>
      <c r="D350" s="51"/>
    </row>
    <row r="351" spans="1:4" x14ac:dyDescent="0.45">
      <c r="A351" s="7">
        <v>40493</v>
      </c>
      <c r="B351" s="8">
        <f>VLOOKUP(Table1[[#This Row],[Date]],'BUD data'!A:F,6,)</f>
        <v>45.908206999999997</v>
      </c>
      <c r="C351" s="51"/>
      <c r="D351" s="51"/>
    </row>
    <row r="352" spans="1:4" x14ac:dyDescent="0.45">
      <c r="A352" s="7">
        <v>40494</v>
      </c>
      <c r="B352" s="8">
        <f>VLOOKUP(Table1[[#This Row],[Date]],'BUD data'!A:F,6,)</f>
        <v>45.612923000000002</v>
      </c>
      <c r="C352" s="51"/>
      <c r="D352" s="51"/>
    </row>
    <row r="353" spans="1:4" x14ac:dyDescent="0.45">
      <c r="A353" s="7">
        <v>40497</v>
      </c>
      <c r="B353" s="8">
        <f>VLOOKUP(Table1[[#This Row],[Date]],'BUD data'!A:F,6,)</f>
        <v>45.550758000000002</v>
      </c>
      <c r="C353" s="51"/>
      <c r="D353" s="51"/>
    </row>
    <row r="354" spans="1:4" x14ac:dyDescent="0.45">
      <c r="A354" s="7">
        <v>40498</v>
      </c>
      <c r="B354" s="8">
        <f>VLOOKUP(Table1[[#This Row],[Date]],'BUD data'!A:F,6,)</f>
        <v>44.633839000000002</v>
      </c>
      <c r="C354" s="51"/>
      <c r="D354" s="51"/>
    </row>
    <row r="355" spans="1:4" x14ac:dyDescent="0.45">
      <c r="A355" s="7">
        <v>40499</v>
      </c>
      <c r="B355" s="8">
        <f>VLOOKUP(Table1[[#This Row],[Date]],'BUD data'!A:F,6,)</f>
        <v>45.675086999999998</v>
      </c>
      <c r="C355" s="51"/>
      <c r="D355" s="51"/>
    </row>
    <row r="356" spans="1:4" x14ac:dyDescent="0.45">
      <c r="A356" s="7">
        <v>40500</v>
      </c>
      <c r="B356" s="8">
        <f>VLOOKUP(Table1[[#This Row],[Date]],'BUD data'!A:F,6,)</f>
        <v>47.205891000000001</v>
      </c>
      <c r="C356" s="51"/>
      <c r="D356" s="51"/>
    </row>
    <row r="357" spans="1:4" x14ac:dyDescent="0.45">
      <c r="A357" s="7">
        <v>40501</v>
      </c>
      <c r="B357" s="8">
        <f>VLOOKUP(Table1[[#This Row],[Date]],'BUD data'!A:F,6,)</f>
        <v>47.291350999999999</v>
      </c>
      <c r="C357" s="51"/>
      <c r="D357" s="51"/>
    </row>
    <row r="358" spans="1:4" x14ac:dyDescent="0.45">
      <c r="A358" s="7">
        <v>40504</v>
      </c>
      <c r="B358" s="8">
        <f>VLOOKUP(Table1[[#This Row],[Date]],'BUD data'!A:F,6,)</f>
        <v>47.322440999999998</v>
      </c>
      <c r="C358" s="51"/>
      <c r="D358" s="51"/>
    </row>
    <row r="359" spans="1:4" x14ac:dyDescent="0.45">
      <c r="A359" s="7">
        <v>40505</v>
      </c>
      <c r="B359" s="8">
        <f>VLOOKUP(Table1[[#This Row],[Date]],'BUD data'!A:F,6,)</f>
        <v>46.016990999999997</v>
      </c>
      <c r="C359" s="51"/>
      <c r="D359" s="51"/>
    </row>
    <row r="360" spans="1:4" x14ac:dyDescent="0.45">
      <c r="A360" s="7">
        <v>40506</v>
      </c>
      <c r="B360" s="8">
        <f>VLOOKUP(Table1[[#This Row],[Date]],'BUD data'!A:F,6,)</f>
        <v>45.612923000000002</v>
      </c>
      <c r="C360" s="51"/>
      <c r="D360" s="51"/>
    </row>
    <row r="361" spans="1:4" x14ac:dyDescent="0.45">
      <c r="A361" s="7">
        <v>40508</v>
      </c>
      <c r="B361" s="8">
        <f>VLOOKUP(Table1[[#This Row],[Date]],'BUD data'!A:F,6,)</f>
        <v>44.734856000000001</v>
      </c>
      <c r="C361" s="51"/>
      <c r="D361" s="51"/>
    </row>
    <row r="362" spans="1:4" x14ac:dyDescent="0.45">
      <c r="A362" s="7">
        <v>40511</v>
      </c>
      <c r="B362" s="8">
        <f>VLOOKUP(Table1[[#This Row],[Date]],'BUD data'!A:F,6,)</f>
        <v>43.530434</v>
      </c>
      <c r="C362" s="51"/>
      <c r="D362" s="51"/>
    </row>
    <row r="363" spans="1:4" x14ac:dyDescent="0.45">
      <c r="A363" s="7">
        <v>40512</v>
      </c>
      <c r="B363" s="8">
        <f>VLOOKUP(Table1[[#This Row],[Date]],'BUD data'!A:F,6,)</f>
        <v>42.691212</v>
      </c>
      <c r="C363" s="51"/>
      <c r="D363" s="51"/>
    </row>
    <row r="364" spans="1:4" x14ac:dyDescent="0.45">
      <c r="A364" s="7">
        <v>40513</v>
      </c>
      <c r="B364" s="8">
        <f>VLOOKUP(Table1[[#This Row],[Date]],'BUD data'!A:F,6,)</f>
        <v>44.012203</v>
      </c>
      <c r="C364" s="51"/>
      <c r="D364" s="51"/>
    </row>
    <row r="365" spans="1:4" x14ac:dyDescent="0.45">
      <c r="A365" s="7">
        <v>40514</v>
      </c>
      <c r="B365" s="8">
        <f>VLOOKUP(Table1[[#This Row],[Date]],'BUD data'!A:F,6,)</f>
        <v>44.913581999999998</v>
      </c>
      <c r="C365" s="51"/>
      <c r="D365" s="51"/>
    </row>
    <row r="366" spans="1:4" x14ac:dyDescent="0.45">
      <c r="A366" s="7">
        <v>40515</v>
      </c>
      <c r="B366" s="8">
        <f>VLOOKUP(Table1[[#This Row],[Date]],'BUD data'!A:F,6,)</f>
        <v>45.084530000000001</v>
      </c>
      <c r="C366" s="51"/>
      <c r="D366" s="51"/>
    </row>
    <row r="367" spans="1:4" x14ac:dyDescent="0.45">
      <c r="A367" s="7">
        <v>40518</v>
      </c>
      <c r="B367" s="8">
        <f>VLOOKUP(Table1[[#This Row],[Date]],'BUD data'!A:F,6,)</f>
        <v>44.649380000000001</v>
      </c>
      <c r="C367" s="51"/>
      <c r="D367" s="51"/>
    </row>
    <row r="368" spans="1:4" x14ac:dyDescent="0.45">
      <c r="A368" s="7">
        <v>40519</v>
      </c>
      <c r="B368" s="8">
        <f>VLOOKUP(Table1[[#This Row],[Date]],'BUD data'!A:F,6,)</f>
        <v>44.828102000000001</v>
      </c>
      <c r="C368" s="51"/>
      <c r="D368" s="51"/>
    </row>
    <row r="369" spans="1:4" x14ac:dyDescent="0.45">
      <c r="A369" s="7">
        <v>40520</v>
      </c>
      <c r="B369" s="8">
        <f>VLOOKUP(Table1[[#This Row],[Date]],'BUD data'!A:F,6,)</f>
        <v>44.711548000000001</v>
      </c>
      <c r="C369" s="51"/>
      <c r="D369" s="51"/>
    </row>
    <row r="370" spans="1:4" x14ac:dyDescent="0.45">
      <c r="A370" s="7">
        <v>40521</v>
      </c>
      <c r="B370" s="8">
        <f>VLOOKUP(Table1[[#This Row],[Date]],'BUD data'!A:F,6,)</f>
        <v>44.447346000000003</v>
      </c>
      <c r="C370" s="51"/>
      <c r="D370" s="51"/>
    </row>
    <row r="371" spans="1:4" x14ac:dyDescent="0.45">
      <c r="A371" s="7">
        <v>40522</v>
      </c>
      <c r="B371" s="8">
        <f>VLOOKUP(Table1[[#This Row],[Date]],'BUD data'!A:F,6,)</f>
        <v>44.781483000000001</v>
      </c>
      <c r="C371" s="51"/>
      <c r="D371" s="51"/>
    </row>
    <row r="372" spans="1:4" x14ac:dyDescent="0.45">
      <c r="A372" s="7">
        <v>40525</v>
      </c>
      <c r="B372" s="8">
        <f>VLOOKUP(Table1[[#This Row],[Date]],'BUD data'!A:F,6,)</f>
        <v>44.960208999999999</v>
      </c>
      <c r="C372" s="51"/>
      <c r="D372" s="51"/>
    </row>
    <row r="373" spans="1:4" x14ac:dyDescent="0.45">
      <c r="A373" s="7">
        <v>40526</v>
      </c>
      <c r="B373" s="8">
        <f>VLOOKUP(Table1[[#This Row],[Date]],'BUD data'!A:F,6,)</f>
        <v>44.983513000000002</v>
      </c>
      <c r="C373" s="51"/>
      <c r="D373" s="51"/>
    </row>
    <row r="374" spans="1:4" x14ac:dyDescent="0.45">
      <c r="A374" s="7">
        <v>40527</v>
      </c>
      <c r="B374" s="8">
        <f>VLOOKUP(Table1[[#This Row],[Date]],'BUD data'!A:F,6,)</f>
        <v>44.385173999999999</v>
      </c>
      <c r="C374" s="51"/>
      <c r="D374" s="51"/>
    </row>
    <row r="375" spans="1:4" x14ac:dyDescent="0.45">
      <c r="A375" s="7">
        <v>40528</v>
      </c>
      <c r="B375" s="8">
        <f>VLOOKUP(Table1[[#This Row],[Date]],'BUD data'!A:F,6,)</f>
        <v>44.649380000000001</v>
      </c>
      <c r="C375" s="51"/>
      <c r="D375" s="51"/>
    </row>
    <row r="376" spans="1:4" x14ac:dyDescent="0.45">
      <c r="A376" s="7">
        <v>40529</v>
      </c>
      <c r="B376" s="8">
        <f>VLOOKUP(Table1[[#This Row],[Date]],'BUD data'!A:F,6,)</f>
        <v>44.594990000000003</v>
      </c>
      <c r="C376" s="51"/>
      <c r="D376" s="51"/>
    </row>
    <row r="377" spans="1:4" x14ac:dyDescent="0.45">
      <c r="A377" s="7">
        <v>40532</v>
      </c>
      <c r="B377" s="8">
        <f>VLOOKUP(Table1[[#This Row],[Date]],'BUD data'!A:F,6,)</f>
        <v>44.323020999999997</v>
      </c>
      <c r="C377" s="51"/>
      <c r="D377" s="51"/>
    </row>
    <row r="378" spans="1:4" x14ac:dyDescent="0.45">
      <c r="A378" s="7">
        <v>40533</v>
      </c>
      <c r="B378" s="8">
        <f>VLOOKUP(Table1[[#This Row],[Date]],'BUD data'!A:F,6,)</f>
        <v>44.781483000000001</v>
      </c>
      <c r="C378" s="51"/>
      <c r="D378" s="51"/>
    </row>
    <row r="379" spans="1:4" x14ac:dyDescent="0.45">
      <c r="A379" s="7">
        <v>40534</v>
      </c>
      <c r="B379" s="8">
        <f>VLOOKUP(Table1[[#This Row],[Date]],'BUD data'!A:F,6,)</f>
        <v>44.664932</v>
      </c>
      <c r="C379" s="51"/>
      <c r="D379" s="51"/>
    </row>
    <row r="380" spans="1:4" x14ac:dyDescent="0.45">
      <c r="A380" s="7">
        <v>40535</v>
      </c>
      <c r="B380" s="8">
        <f>VLOOKUP(Table1[[#This Row],[Date]],'BUD data'!A:F,6,)</f>
        <v>44.525055000000002</v>
      </c>
      <c r="C380" s="51"/>
      <c r="D380" s="51"/>
    </row>
    <row r="381" spans="1:4" x14ac:dyDescent="0.45">
      <c r="A381" s="7">
        <v>40539</v>
      </c>
      <c r="B381" s="8">
        <f>VLOOKUP(Table1[[#This Row],[Date]],'BUD data'!A:F,6,)</f>
        <v>44.657158000000003</v>
      </c>
      <c r="C381" s="51"/>
      <c r="D381" s="51"/>
    </row>
    <row r="382" spans="1:4" x14ac:dyDescent="0.45">
      <c r="A382" s="7">
        <v>40540</v>
      </c>
      <c r="B382" s="8">
        <f>VLOOKUP(Table1[[#This Row],[Date]],'BUD data'!A:F,6,)</f>
        <v>44.291943000000003</v>
      </c>
      <c r="C382" s="51"/>
      <c r="D382" s="51"/>
    </row>
    <row r="383" spans="1:4" x14ac:dyDescent="0.45">
      <c r="A383" s="7">
        <v>40541</v>
      </c>
      <c r="B383" s="8">
        <f>VLOOKUP(Table1[[#This Row],[Date]],'BUD data'!A:F,6,)</f>
        <v>44.276394000000003</v>
      </c>
      <c r="C383" s="51"/>
      <c r="D383" s="51"/>
    </row>
    <row r="384" spans="1:4" x14ac:dyDescent="0.45">
      <c r="A384" s="7">
        <v>40542</v>
      </c>
      <c r="B384" s="8">
        <f>VLOOKUP(Table1[[#This Row],[Date]],'BUD data'!A:F,6,)</f>
        <v>44.548374000000003</v>
      </c>
      <c r="C384" s="51"/>
      <c r="D384" s="51"/>
    </row>
    <row r="385" spans="1:4" x14ac:dyDescent="0.45">
      <c r="A385" s="7">
        <v>40543</v>
      </c>
      <c r="B385" s="8">
        <f>VLOOKUP(Table1[[#This Row],[Date]],'BUD data'!A:F,6,)</f>
        <v>44.361877</v>
      </c>
      <c r="C385" s="51"/>
      <c r="D385" s="51"/>
    </row>
    <row r="386" spans="1:4" x14ac:dyDescent="0.45">
      <c r="A386" s="7">
        <v>40546</v>
      </c>
      <c r="B386" s="8">
        <f>VLOOKUP(Table1[[#This Row],[Date]],'BUD data'!A:F,6,)</f>
        <v>44.781483000000001</v>
      </c>
      <c r="C386" s="51"/>
      <c r="D386" s="51"/>
    </row>
    <row r="387" spans="1:4" x14ac:dyDescent="0.45">
      <c r="A387" s="7">
        <v>40547</v>
      </c>
      <c r="B387" s="8">
        <f>VLOOKUP(Table1[[#This Row],[Date]],'BUD data'!A:F,6,)</f>
        <v>44.556133000000003</v>
      </c>
      <c r="C387" s="51"/>
      <c r="D387" s="51"/>
    </row>
    <row r="388" spans="1:4" x14ac:dyDescent="0.45">
      <c r="A388" s="7">
        <v>40548</v>
      </c>
      <c r="B388" s="8">
        <f>VLOOKUP(Table1[[#This Row],[Date]],'BUD data'!A:F,6,)</f>
        <v>44.152057999999997</v>
      </c>
      <c r="C388" s="51"/>
      <c r="D388" s="51"/>
    </row>
    <row r="389" spans="1:4" x14ac:dyDescent="0.45">
      <c r="A389" s="7">
        <v>40549</v>
      </c>
      <c r="B389" s="8">
        <f>VLOOKUP(Table1[[#This Row],[Date]],'BUD data'!A:F,6,)</f>
        <v>44.346336000000001</v>
      </c>
      <c r="C389" s="51"/>
      <c r="D389" s="51"/>
    </row>
    <row r="390" spans="1:4" x14ac:dyDescent="0.45">
      <c r="A390" s="7">
        <v>40550</v>
      </c>
      <c r="B390" s="8">
        <f>VLOOKUP(Table1[[#This Row],[Date]],'BUD data'!A:F,6,)</f>
        <v>43.981116999999998</v>
      </c>
      <c r="C390" s="51"/>
      <c r="D390" s="51"/>
    </row>
    <row r="391" spans="1:4" x14ac:dyDescent="0.45">
      <c r="A391" s="7">
        <v>40553</v>
      </c>
      <c r="B391" s="8">
        <f>VLOOKUP(Table1[[#This Row],[Date]],'BUD data'!A:F,6,)</f>
        <v>43.988894999999999</v>
      </c>
      <c r="C391" s="51"/>
      <c r="D391" s="51"/>
    </row>
    <row r="392" spans="1:4" x14ac:dyDescent="0.45">
      <c r="A392" s="7">
        <v>40554</v>
      </c>
      <c r="B392" s="8">
        <f>VLOOKUP(Table1[[#This Row],[Date]],'BUD data'!A:F,6,)</f>
        <v>44.323020999999997</v>
      </c>
      <c r="C392" s="51"/>
      <c r="D392" s="51"/>
    </row>
    <row r="393" spans="1:4" x14ac:dyDescent="0.45">
      <c r="A393" s="7">
        <v>40555</v>
      </c>
      <c r="B393" s="8">
        <f>VLOOKUP(Table1[[#This Row],[Date]],'BUD data'!A:F,6,)</f>
        <v>45.154465000000002</v>
      </c>
      <c r="C393" s="51"/>
      <c r="D393" s="51"/>
    </row>
    <row r="394" spans="1:4" x14ac:dyDescent="0.45">
      <c r="A394" s="7">
        <v>40556</v>
      </c>
      <c r="B394" s="8">
        <f>VLOOKUP(Table1[[#This Row],[Date]],'BUD data'!A:F,6,)</f>
        <v>45.597382000000003</v>
      </c>
      <c r="C394" s="51"/>
      <c r="D394" s="51"/>
    </row>
    <row r="395" spans="1:4" x14ac:dyDescent="0.45">
      <c r="A395" s="7">
        <v>40557</v>
      </c>
      <c r="B395" s="8">
        <f>VLOOKUP(Table1[[#This Row],[Date]],'BUD data'!A:F,6,)</f>
        <v>44.999057999999998</v>
      </c>
      <c r="C395" s="51"/>
      <c r="D395" s="51"/>
    </row>
    <row r="396" spans="1:4" x14ac:dyDescent="0.45">
      <c r="A396" s="7">
        <v>40561</v>
      </c>
      <c r="B396" s="8">
        <f>VLOOKUP(Table1[[#This Row],[Date]],'BUD data'!A:F,6,)</f>
        <v>44.587215</v>
      </c>
      <c r="C396" s="51"/>
      <c r="D396" s="51"/>
    </row>
    <row r="397" spans="1:4" x14ac:dyDescent="0.45">
      <c r="A397" s="7">
        <v>40562</v>
      </c>
      <c r="B397" s="8">
        <f>VLOOKUP(Table1[[#This Row],[Date]],'BUD data'!A:F,6,)</f>
        <v>44.175381000000002</v>
      </c>
      <c r="C397" s="51"/>
      <c r="D397" s="51"/>
    </row>
    <row r="398" spans="1:4" x14ac:dyDescent="0.45">
      <c r="A398" s="7">
        <v>40563</v>
      </c>
      <c r="B398" s="8">
        <f>VLOOKUP(Table1[[#This Row],[Date]],'BUD data'!A:F,6,)</f>
        <v>43.390560000000001</v>
      </c>
      <c r="C398" s="51"/>
      <c r="D398" s="51"/>
    </row>
    <row r="399" spans="1:4" x14ac:dyDescent="0.45">
      <c r="A399" s="7">
        <v>40564</v>
      </c>
      <c r="B399" s="8">
        <f>VLOOKUP(Table1[[#This Row],[Date]],'BUD data'!A:F,6,)</f>
        <v>43.281773000000001</v>
      </c>
      <c r="C399" s="51"/>
      <c r="D399" s="51"/>
    </row>
    <row r="400" spans="1:4" x14ac:dyDescent="0.45">
      <c r="A400" s="7">
        <v>40567</v>
      </c>
      <c r="B400" s="8">
        <f>VLOOKUP(Table1[[#This Row],[Date]],'BUD data'!A:F,6,)</f>
        <v>43.996657999999996</v>
      </c>
      <c r="C400" s="51"/>
      <c r="D400" s="51"/>
    </row>
    <row r="401" spans="1:4" x14ac:dyDescent="0.45">
      <c r="A401" s="7">
        <v>40568</v>
      </c>
      <c r="B401" s="8">
        <f>VLOOKUP(Table1[[#This Row],[Date]],'BUD data'!A:F,6,)</f>
        <v>44.711548000000001</v>
      </c>
      <c r="C401" s="51"/>
      <c r="D401" s="51"/>
    </row>
    <row r="402" spans="1:4" x14ac:dyDescent="0.45">
      <c r="A402" s="7">
        <v>40569</v>
      </c>
      <c r="B402" s="8">
        <f>VLOOKUP(Table1[[#This Row],[Date]],'BUD data'!A:F,6,)</f>
        <v>44.649380000000001</v>
      </c>
      <c r="C402" s="51"/>
      <c r="D402" s="51"/>
    </row>
    <row r="403" spans="1:4" x14ac:dyDescent="0.45">
      <c r="A403" s="7">
        <v>40570</v>
      </c>
      <c r="B403" s="8">
        <f>VLOOKUP(Table1[[#This Row],[Date]],'BUD data'!A:F,6,)</f>
        <v>43.880108</v>
      </c>
      <c r="C403" s="51"/>
      <c r="D403" s="51"/>
    </row>
    <row r="404" spans="1:4" x14ac:dyDescent="0.45">
      <c r="A404" s="7">
        <v>40571</v>
      </c>
      <c r="B404" s="8">
        <f>VLOOKUP(Table1[[#This Row],[Date]],'BUD data'!A:F,6,)</f>
        <v>42.792233000000003</v>
      </c>
      <c r="C404" s="51"/>
      <c r="D404" s="51"/>
    </row>
    <row r="405" spans="1:4" x14ac:dyDescent="0.45">
      <c r="A405" s="7">
        <v>40574</v>
      </c>
      <c r="B405" s="8">
        <f>VLOOKUP(Table1[[#This Row],[Date]],'BUD data'!A:F,6,)</f>
        <v>42.978718000000001</v>
      </c>
      <c r="C405" s="51"/>
      <c r="D405" s="51"/>
    </row>
    <row r="406" spans="1:4" x14ac:dyDescent="0.45">
      <c r="A406" s="7">
        <v>40575</v>
      </c>
      <c r="B406" s="8">
        <f>VLOOKUP(Table1[[#This Row],[Date]],'BUD data'!A:F,6,)</f>
        <v>43.258457</v>
      </c>
      <c r="C406" s="51"/>
      <c r="D406" s="51"/>
    </row>
    <row r="407" spans="1:4" x14ac:dyDescent="0.45">
      <c r="A407" s="7">
        <v>40576</v>
      </c>
      <c r="B407" s="8">
        <f>VLOOKUP(Table1[[#This Row],[Date]],'BUD data'!A:F,6,)</f>
        <v>43.709147999999999</v>
      </c>
      <c r="C407" s="51"/>
      <c r="D407" s="51"/>
    </row>
    <row r="408" spans="1:4" x14ac:dyDescent="0.45">
      <c r="A408" s="7">
        <v>40577</v>
      </c>
      <c r="B408" s="8">
        <f>VLOOKUP(Table1[[#This Row],[Date]],'BUD data'!A:F,6,)</f>
        <v>43.514888999999997</v>
      </c>
      <c r="C408" s="51"/>
      <c r="D408" s="51"/>
    </row>
    <row r="409" spans="1:4" x14ac:dyDescent="0.45">
      <c r="A409" s="7">
        <v>40578</v>
      </c>
      <c r="B409" s="8">
        <f>VLOOKUP(Table1[[#This Row],[Date]],'BUD data'!A:F,6,)</f>
        <v>43.196297000000001</v>
      </c>
      <c r="C409" s="51"/>
      <c r="D409" s="51"/>
    </row>
    <row r="410" spans="1:4" x14ac:dyDescent="0.45">
      <c r="A410" s="7">
        <v>40581</v>
      </c>
      <c r="B410" s="8">
        <f>VLOOKUP(Table1[[#This Row],[Date]],'BUD data'!A:F,6,)</f>
        <v>43.740237999999998</v>
      </c>
      <c r="C410" s="51"/>
      <c r="D410" s="51"/>
    </row>
    <row r="411" spans="1:4" x14ac:dyDescent="0.45">
      <c r="A411" s="7">
        <v>40582</v>
      </c>
      <c r="B411" s="8">
        <f>VLOOKUP(Table1[[#This Row],[Date]],'BUD data'!A:F,6,)</f>
        <v>43.880108</v>
      </c>
      <c r="C411" s="51"/>
      <c r="D411" s="51"/>
    </row>
    <row r="412" spans="1:4" x14ac:dyDescent="0.45">
      <c r="A412" s="7">
        <v>40583</v>
      </c>
      <c r="B412" s="8">
        <f>VLOOKUP(Table1[[#This Row],[Date]],'BUD data'!A:F,6,)</f>
        <v>43.631447000000001</v>
      </c>
      <c r="C412" s="51"/>
      <c r="D412" s="51"/>
    </row>
    <row r="413" spans="1:4" x14ac:dyDescent="0.45">
      <c r="A413" s="7">
        <v>40584</v>
      </c>
      <c r="B413" s="8">
        <f>VLOOKUP(Table1[[#This Row],[Date]],'BUD data'!A:F,6,)</f>
        <v>43.328403000000002</v>
      </c>
      <c r="C413" s="51"/>
      <c r="D413" s="51"/>
    </row>
    <row r="414" spans="1:4" x14ac:dyDescent="0.45">
      <c r="A414" s="7">
        <v>40585</v>
      </c>
      <c r="B414" s="8">
        <f>VLOOKUP(Table1[[#This Row],[Date]],'BUD data'!A:F,6,)</f>
        <v>43.507114000000001</v>
      </c>
      <c r="C414" s="51"/>
      <c r="D414" s="51"/>
    </row>
    <row r="415" spans="1:4" x14ac:dyDescent="0.45">
      <c r="A415" s="7">
        <v>40588</v>
      </c>
      <c r="B415" s="8">
        <f>VLOOKUP(Table1[[#This Row],[Date]],'BUD data'!A:F,6,)</f>
        <v>42.722290000000001</v>
      </c>
      <c r="C415" s="51"/>
      <c r="D415" s="51"/>
    </row>
    <row r="416" spans="1:4" x14ac:dyDescent="0.45">
      <c r="A416" s="7">
        <v>40589</v>
      </c>
      <c r="B416" s="8">
        <f>VLOOKUP(Table1[[#This Row],[Date]],'BUD data'!A:F,6,)</f>
        <v>42.714526999999997</v>
      </c>
      <c r="C416" s="51"/>
      <c r="D416" s="51"/>
    </row>
    <row r="417" spans="1:4" x14ac:dyDescent="0.45">
      <c r="A417" s="7">
        <v>40590</v>
      </c>
      <c r="B417" s="8">
        <f>VLOOKUP(Table1[[#This Row],[Date]],'BUD data'!A:F,6,)</f>
        <v>42.722290000000001</v>
      </c>
      <c r="C417" s="51"/>
      <c r="D417" s="51"/>
    </row>
    <row r="418" spans="1:4" x14ac:dyDescent="0.45">
      <c r="A418" s="7">
        <v>40591</v>
      </c>
      <c r="B418" s="8">
        <f>VLOOKUP(Table1[[#This Row],[Date]],'BUD data'!A:F,6,)</f>
        <v>42.660133000000002</v>
      </c>
      <c r="C418" s="51"/>
      <c r="D418" s="51"/>
    </row>
    <row r="419" spans="1:4" x14ac:dyDescent="0.45">
      <c r="A419" s="7">
        <v>40592</v>
      </c>
      <c r="B419" s="8">
        <f>VLOOKUP(Table1[[#This Row],[Date]],'BUD data'!A:F,6,)</f>
        <v>42.660133000000002</v>
      </c>
      <c r="C419" s="51"/>
      <c r="D419" s="51"/>
    </row>
    <row r="420" spans="1:4" x14ac:dyDescent="0.45">
      <c r="A420" s="7">
        <v>40596</v>
      </c>
      <c r="B420" s="8">
        <f>VLOOKUP(Table1[[#This Row],[Date]],'BUD data'!A:F,6,)</f>
        <v>42.357081999999998</v>
      </c>
      <c r="C420" s="51"/>
      <c r="D420" s="51"/>
    </row>
    <row r="421" spans="1:4" x14ac:dyDescent="0.45">
      <c r="A421" s="7">
        <v>40597</v>
      </c>
      <c r="B421" s="8">
        <f>VLOOKUP(Table1[[#This Row],[Date]],'BUD data'!A:F,6,)</f>
        <v>42.970947000000002</v>
      </c>
      <c r="C421" s="51"/>
      <c r="D421" s="51"/>
    </row>
    <row r="422" spans="1:4" x14ac:dyDescent="0.45">
      <c r="A422" s="7">
        <v>40598</v>
      </c>
      <c r="B422" s="8">
        <f>VLOOKUP(Table1[[#This Row],[Date]],'BUD data'!A:F,6,)</f>
        <v>42.869926</v>
      </c>
      <c r="C422" s="51"/>
      <c r="D422" s="51"/>
    </row>
    <row r="423" spans="1:4" x14ac:dyDescent="0.45">
      <c r="A423" s="7">
        <v>40599</v>
      </c>
      <c r="B423" s="8">
        <f>VLOOKUP(Table1[[#This Row],[Date]],'BUD data'!A:F,6,)</f>
        <v>42.893250000000002</v>
      </c>
      <c r="C423" s="51"/>
      <c r="D423" s="51"/>
    </row>
    <row r="424" spans="1:4" x14ac:dyDescent="0.45">
      <c r="A424" s="7">
        <v>40602</v>
      </c>
      <c r="B424" s="8">
        <f>VLOOKUP(Table1[[#This Row],[Date]],'BUD data'!A:F,6,)</f>
        <v>43.538200000000003</v>
      </c>
      <c r="C424" s="51"/>
      <c r="D424" s="51"/>
    </row>
    <row r="425" spans="1:4" x14ac:dyDescent="0.45">
      <c r="A425" s="7">
        <v>40603</v>
      </c>
      <c r="B425" s="8">
        <f>VLOOKUP(Table1[[#This Row],[Date]],'BUD data'!A:F,6,)</f>
        <v>43.693610999999997</v>
      </c>
      <c r="C425" s="51"/>
      <c r="D425" s="51"/>
    </row>
    <row r="426" spans="1:4" x14ac:dyDescent="0.45">
      <c r="A426" s="7">
        <v>40604</v>
      </c>
      <c r="B426" s="8">
        <f>VLOOKUP(Table1[[#This Row],[Date]],'BUD data'!A:F,6,)</f>
        <v>43.592590000000001</v>
      </c>
      <c r="C426" s="51"/>
      <c r="D426" s="51"/>
    </row>
    <row r="427" spans="1:4" x14ac:dyDescent="0.45">
      <c r="A427" s="7">
        <v>40605</v>
      </c>
      <c r="B427" s="8">
        <f>VLOOKUP(Table1[[#This Row],[Date]],'BUD data'!A:F,6,)</f>
        <v>44.929119</v>
      </c>
      <c r="C427" s="51"/>
      <c r="D427" s="51"/>
    </row>
    <row r="428" spans="1:4" x14ac:dyDescent="0.45">
      <c r="A428" s="7">
        <v>40606</v>
      </c>
      <c r="B428" s="8">
        <f>VLOOKUP(Table1[[#This Row],[Date]],'BUD data'!A:F,6,)</f>
        <v>45.100067000000003</v>
      </c>
      <c r="C428" s="51"/>
      <c r="D428" s="51"/>
    </row>
    <row r="429" spans="1:4" x14ac:dyDescent="0.45">
      <c r="A429" s="7">
        <v>40609</v>
      </c>
      <c r="B429" s="8">
        <f>VLOOKUP(Table1[[#This Row],[Date]],'BUD data'!A:F,6,)</f>
        <v>44.338562000000003</v>
      </c>
      <c r="C429" s="51"/>
      <c r="D429" s="51"/>
    </row>
    <row r="430" spans="1:4" x14ac:dyDescent="0.45">
      <c r="A430" s="7">
        <v>40610</v>
      </c>
      <c r="B430" s="8">
        <f>VLOOKUP(Table1[[#This Row],[Date]],'BUD data'!A:F,6,)</f>
        <v>44.525055000000002</v>
      </c>
      <c r="C430" s="51"/>
      <c r="D430" s="51"/>
    </row>
    <row r="431" spans="1:4" x14ac:dyDescent="0.45">
      <c r="A431" s="7">
        <v>40611</v>
      </c>
      <c r="B431" s="8">
        <f>VLOOKUP(Table1[[#This Row],[Date]],'BUD data'!A:F,6,)</f>
        <v>44.781483000000001</v>
      </c>
      <c r="C431" s="51"/>
      <c r="D431" s="51"/>
    </row>
    <row r="432" spans="1:4" x14ac:dyDescent="0.45">
      <c r="A432" s="7">
        <v>40612</v>
      </c>
      <c r="B432" s="8">
        <f>VLOOKUP(Table1[[#This Row],[Date]],'BUD data'!A:F,6,)</f>
        <v>44.291943000000003</v>
      </c>
      <c r="C432" s="51"/>
      <c r="D432" s="51"/>
    </row>
    <row r="433" spans="1:4" x14ac:dyDescent="0.45">
      <c r="A433" s="7">
        <v>40613</v>
      </c>
      <c r="B433" s="8">
        <f>VLOOKUP(Table1[[#This Row],[Date]],'BUD data'!A:F,6,)</f>
        <v>44.330795000000002</v>
      </c>
      <c r="C433" s="51"/>
      <c r="D433" s="51"/>
    </row>
    <row r="434" spans="1:4" x14ac:dyDescent="0.45">
      <c r="A434" s="7">
        <v>40616</v>
      </c>
      <c r="B434" s="8">
        <f>VLOOKUP(Table1[[#This Row],[Date]],'BUD data'!A:F,6,)</f>
        <v>44.019970000000001</v>
      </c>
      <c r="C434" s="51"/>
      <c r="D434" s="51"/>
    </row>
    <row r="435" spans="1:4" x14ac:dyDescent="0.45">
      <c r="A435" s="7">
        <v>40617</v>
      </c>
      <c r="B435" s="8">
        <f>VLOOKUP(Table1[[#This Row],[Date]],'BUD data'!A:F,6,)</f>
        <v>42.854396999999999</v>
      </c>
      <c r="C435" s="51"/>
      <c r="D435" s="51"/>
    </row>
    <row r="436" spans="1:4" x14ac:dyDescent="0.45">
      <c r="A436" s="7">
        <v>40618</v>
      </c>
      <c r="B436" s="8">
        <f>VLOOKUP(Table1[[#This Row],[Date]],'BUD data'!A:F,6,)</f>
        <v>41.883087000000003</v>
      </c>
      <c r="C436" s="51"/>
      <c r="D436" s="51"/>
    </row>
    <row r="437" spans="1:4" x14ac:dyDescent="0.45">
      <c r="A437" s="7">
        <v>40619</v>
      </c>
      <c r="B437" s="8">
        <f>VLOOKUP(Table1[[#This Row],[Date]],'BUD data'!A:F,6,)</f>
        <v>42.636814000000001</v>
      </c>
      <c r="C437" s="51"/>
      <c r="D437" s="51"/>
    </row>
    <row r="438" spans="1:4" x14ac:dyDescent="0.45">
      <c r="A438" s="7">
        <v>40620</v>
      </c>
      <c r="B438" s="8">
        <f>VLOOKUP(Table1[[#This Row],[Date]],'BUD data'!A:F,6,)</f>
        <v>42.768912999999998</v>
      </c>
      <c r="C438" s="51"/>
      <c r="D438" s="51"/>
    </row>
    <row r="439" spans="1:4" x14ac:dyDescent="0.45">
      <c r="A439" s="7">
        <v>40623</v>
      </c>
      <c r="B439" s="8">
        <f>VLOOKUP(Table1[[#This Row],[Date]],'BUD data'!A:F,6,)</f>
        <v>43.887878000000001</v>
      </c>
      <c r="C439" s="51"/>
      <c r="D439" s="51"/>
    </row>
    <row r="440" spans="1:4" x14ac:dyDescent="0.45">
      <c r="A440" s="7">
        <v>40624</v>
      </c>
      <c r="B440" s="8">
        <f>VLOOKUP(Table1[[#This Row],[Date]],'BUD data'!A:F,6,)</f>
        <v>43.514888999999997</v>
      </c>
      <c r="C440" s="51"/>
      <c r="D440" s="51"/>
    </row>
    <row r="441" spans="1:4" x14ac:dyDescent="0.45">
      <c r="A441" s="7">
        <v>40625</v>
      </c>
      <c r="B441" s="8">
        <f>VLOOKUP(Table1[[#This Row],[Date]],'BUD data'!A:F,6,)</f>
        <v>43.973351000000001</v>
      </c>
      <c r="C441" s="51"/>
      <c r="D441" s="51"/>
    </row>
    <row r="442" spans="1:4" x14ac:dyDescent="0.45">
      <c r="A442" s="7">
        <v>40626</v>
      </c>
      <c r="B442" s="8">
        <f>VLOOKUP(Table1[[#This Row],[Date]],'BUD data'!A:F,6,)</f>
        <v>44.626072000000001</v>
      </c>
      <c r="C442" s="51"/>
      <c r="D442" s="51"/>
    </row>
    <row r="443" spans="1:4" x14ac:dyDescent="0.45">
      <c r="A443" s="7">
        <v>40627</v>
      </c>
      <c r="B443" s="8">
        <f>VLOOKUP(Table1[[#This Row],[Date]],'BUD data'!A:F,6,)</f>
        <v>44.657158000000003</v>
      </c>
      <c r="C443" s="51"/>
      <c r="D443" s="51"/>
    </row>
    <row r="444" spans="1:4" x14ac:dyDescent="0.45">
      <c r="A444" s="7">
        <v>40630</v>
      </c>
      <c r="B444" s="8">
        <f>VLOOKUP(Table1[[#This Row],[Date]],'BUD data'!A:F,6,)</f>
        <v>44.144298999999997</v>
      </c>
      <c r="C444" s="51"/>
      <c r="D444" s="51"/>
    </row>
    <row r="445" spans="1:4" x14ac:dyDescent="0.45">
      <c r="A445" s="7">
        <v>40631</v>
      </c>
      <c r="B445" s="8">
        <f>VLOOKUP(Table1[[#This Row],[Date]],'BUD data'!A:F,6,)</f>
        <v>44.214233</v>
      </c>
      <c r="C445" s="51"/>
      <c r="D445" s="51"/>
    </row>
    <row r="446" spans="1:4" x14ac:dyDescent="0.45">
      <c r="A446" s="7">
        <v>40632</v>
      </c>
      <c r="B446" s="8">
        <f>VLOOKUP(Table1[[#This Row],[Date]],'BUD data'!A:F,6,)</f>
        <v>44.734856000000001</v>
      </c>
      <c r="C446" s="51"/>
      <c r="D446" s="51"/>
    </row>
    <row r="447" spans="1:4" x14ac:dyDescent="0.45">
      <c r="A447" s="7">
        <v>40633</v>
      </c>
      <c r="B447" s="8">
        <f>VLOOKUP(Table1[[#This Row],[Date]],'BUD data'!A:F,6,)</f>
        <v>44.424038000000003</v>
      </c>
      <c r="C447" s="51"/>
      <c r="D447" s="51"/>
    </row>
    <row r="448" spans="1:4" x14ac:dyDescent="0.45">
      <c r="A448" s="7">
        <v>40634</v>
      </c>
      <c r="B448" s="8">
        <f>VLOOKUP(Table1[[#This Row],[Date]],'BUD data'!A:F,6,)</f>
        <v>45.737259000000002</v>
      </c>
      <c r="C448" s="51"/>
      <c r="D448" s="51"/>
    </row>
    <row r="449" spans="1:4" x14ac:dyDescent="0.45">
      <c r="A449" s="7">
        <v>40637</v>
      </c>
      <c r="B449" s="8">
        <f>VLOOKUP(Table1[[#This Row],[Date]],'BUD data'!A:F,6,)</f>
        <v>46.273421999999997</v>
      </c>
      <c r="C449" s="51"/>
      <c r="D449" s="51"/>
    </row>
    <row r="450" spans="1:4" x14ac:dyDescent="0.45">
      <c r="A450" s="7">
        <v>40638</v>
      </c>
      <c r="B450" s="8">
        <f>VLOOKUP(Table1[[#This Row],[Date]],'BUD data'!A:F,6,)</f>
        <v>46.498772000000002</v>
      </c>
      <c r="C450" s="51"/>
      <c r="D450" s="51"/>
    </row>
    <row r="451" spans="1:4" x14ac:dyDescent="0.45">
      <c r="A451" s="7">
        <v>40639</v>
      </c>
      <c r="B451" s="8">
        <f>VLOOKUP(Table1[[#This Row],[Date]],'BUD data'!A:F,6,)</f>
        <v>46.522075999999998</v>
      </c>
      <c r="C451" s="51"/>
      <c r="D451" s="51"/>
    </row>
    <row r="452" spans="1:4" x14ac:dyDescent="0.45">
      <c r="A452" s="7">
        <v>40640</v>
      </c>
      <c r="B452" s="8">
        <f>VLOOKUP(Table1[[#This Row],[Date]],'BUD data'!A:F,6,)</f>
        <v>46.040309999999998</v>
      </c>
      <c r="C452" s="51"/>
      <c r="D452" s="51"/>
    </row>
    <row r="453" spans="1:4" x14ac:dyDescent="0.45">
      <c r="A453" s="7">
        <v>40641</v>
      </c>
      <c r="B453" s="8">
        <f>VLOOKUP(Table1[[#This Row],[Date]],'BUD data'!A:F,6,)</f>
        <v>45.869346999999998</v>
      </c>
      <c r="C453" s="51"/>
      <c r="D453" s="51"/>
    </row>
    <row r="454" spans="1:4" x14ac:dyDescent="0.45">
      <c r="A454" s="7">
        <v>40644</v>
      </c>
      <c r="B454" s="8">
        <f>VLOOKUP(Table1[[#This Row],[Date]],'BUD data'!A:F,6,)</f>
        <v>46.172404999999998</v>
      </c>
      <c r="C454" s="51"/>
      <c r="D454" s="51"/>
    </row>
    <row r="455" spans="1:4" x14ac:dyDescent="0.45">
      <c r="A455" s="7">
        <v>40645</v>
      </c>
      <c r="B455" s="8">
        <f>VLOOKUP(Table1[[#This Row],[Date]],'BUD data'!A:F,6,)</f>
        <v>46.18018</v>
      </c>
      <c r="C455" s="51"/>
      <c r="D455" s="51"/>
    </row>
    <row r="456" spans="1:4" x14ac:dyDescent="0.45">
      <c r="A456" s="7">
        <v>40646</v>
      </c>
      <c r="B456" s="8">
        <f>VLOOKUP(Table1[[#This Row],[Date]],'BUD data'!A:F,6,)</f>
        <v>46.762965999999999</v>
      </c>
      <c r="C456" s="51"/>
      <c r="D456" s="51"/>
    </row>
    <row r="457" spans="1:4" x14ac:dyDescent="0.45">
      <c r="A457" s="7">
        <v>40647</v>
      </c>
      <c r="B457" s="8">
        <f>VLOOKUP(Table1[[#This Row],[Date]],'BUD data'!A:F,6,)</f>
        <v>47.097092000000004</v>
      </c>
      <c r="C457" s="51"/>
      <c r="D457" s="51"/>
    </row>
    <row r="458" spans="1:4" x14ac:dyDescent="0.45">
      <c r="A458" s="7">
        <v>40648</v>
      </c>
      <c r="B458" s="8">
        <f>VLOOKUP(Table1[[#This Row],[Date]],'BUD data'!A:F,6,)</f>
        <v>47.819752000000001</v>
      </c>
      <c r="C458" s="51"/>
      <c r="D458" s="51"/>
    </row>
    <row r="459" spans="1:4" x14ac:dyDescent="0.45">
      <c r="A459" s="7">
        <v>40651</v>
      </c>
      <c r="B459" s="8">
        <f>VLOOKUP(Table1[[#This Row],[Date]],'BUD data'!A:F,6,)</f>
        <v>47.003852999999999</v>
      </c>
      <c r="C459" s="51"/>
      <c r="D459" s="51"/>
    </row>
    <row r="460" spans="1:4" x14ac:dyDescent="0.45">
      <c r="A460" s="7">
        <v>40652</v>
      </c>
      <c r="B460" s="8">
        <f>VLOOKUP(Table1[[#This Row],[Date]],'BUD data'!A:F,6,)</f>
        <v>48.433632000000003</v>
      </c>
      <c r="C460" s="51"/>
      <c r="D460" s="51"/>
    </row>
    <row r="461" spans="1:4" x14ac:dyDescent="0.45">
      <c r="A461" s="7">
        <v>40653</v>
      </c>
      <c r="B461" s="8">
        <f>VLOOKUP(Table1[[#This Row],[Date]],'BUD data'!A:F,6,)</f>
        <v>48.006241000000003</v>
      </c>
      <c r="C461" s="51"/>
      <c r="D461" s="51"/>
    </row>
    <row r="462" spans="1:4" x14ac:dyDescent="0.45">
      <c r="A462" s="7">
        <v>40654</v>
      </c>
      <c r="B462" s="8">
        <f>VLOOKUP(Table1[[#This Row],[Date]],'BUD data'!A:F,6,)</f>
        <v>48.654010999999997</v>
      </c>
      <c r="C462" s="51"/>
      <c r="D462" s="51"/>
    </row>
    <row r="463" spans="1:4" x14ac:dyDescent="0.45">
      <c r="A463" s="7">
        <v>40658</v>
      </c>
      <c r="B463" s="8">
        <f>VLOOKUP(Table1[[#This Row],[Date]],'BUD data'!A:F,6,)</f>
        <v>48.598579000000001</v>
      </c>
      <c r="C463" s="51"/>
      <c r="D463" s="51"/>
    </row>
    <row r="464" spans="1:4" x14ac:dyDescent="0.45">
      <c r="A464" s="7">
        <v>40659</v>
      </c>
      <c r="B464" s="8">
        <f>VLOOKUP(Table1[[#This Row],[Date]],'BUD data'!A:F,6,)</f>
        <v>49.548855000000003</v>
      </c>
      <c r="C464" s="51"/>
      <c r="D464" s="51"/>
    </row>
    <row r="465" spans="1:4" x14ac:dyDescent="0.45">
      <c r="A465" s="7">
        <v>40660</v>
      </c>
      <c r="B465" s="8">
        <f>VLOOKUP(Table1[[#This Row],[Date]],'BUD data'!A:F,6,)</f>
        <v>50.245730999999999</v>
      </c>
      <c r="C465" s="51"/>
      <c r="D465" s="51"/>
    </row>
    <row r="466" spans="1:4" x14ac:dyDescent="0.45">
      <c r="A466" s="7">
        <v>40661</v>
      </c>
      <c r="B466" s="8">
        <f>VLOOKUP(Table1[[#This Row],[Date]],'BUD data'!A:F,6,)</f>
        <v>50.491211</v>
      </c>
      <c r="C466" s="51"/>
      <c r="D466" s="51"/>
    </row>
    <row r="467" spans="1:4" x14ac:dyDescent="0.45">
      <c r="A467" s="7">
        <v>40662</v>
      </c>
      <c r="B467" s="8">
        <f>VLOOKUP(Table1[[#This Row],[Date]],'BUD data'!A:F,6,)</f>
        <v>50.657513000000002</v>
      </c>
      <c r="C467" s="51"/>
      <c r="D467" s="51"/>
    </row>
    <row r="468" spans="1:4" x14ac:dyDescent="0.45">
      <c r="A468" s="7">
        <v>40665</v>
      </c>
      <c r="B468" s="8">
        <f>VLOOKUP(Table1[[#This Row],[Date]],'BUD data'!A:F,6,)</f>
        <v>50.625838999999999</v>
      </c>
      <c r="C468" s="51"/>
      <c r="D468" s="51"/>
    </row>
    <row r="469" spans="1:4" x14ac:dyDescent="0.45">
      <c r="A469" s="7">
        <v>40666</v>
      </c>
      <c r="B469" s="8">
        <f>VLOOKUP(Table1[[#This Row],[Date]],'BUD data'!A:F,6,)</f>
        <v>50.198208000000001</v>
      </c>
      <c r="C469" s="51"/>
      <c r="D469" s="51"/>
    </row>
    <row r="470" spans="1:4" x14ac:dyDescent="0.45">
      <c r="A470" s="7">
        <v>40667</v>
      </c>
      <c r="B470" s="8">
        <f>VLOOKUP(Table1[[#This Row],[Date]],'BUD data'!A:F,6,)</f>
        <v>48.289741999999997</v>
      </c>
      <c r="C470" s="51"/>
      <c r="D470" s="51"/>
    </row>
    <row r="471" spans="1:4" x14ac:dyDescent="0.45">
      <c r="A471" s="7">
        <v>40668</v>
      </c>
      <c r="B471" s="8">
        <f>VLOOKUP(Table1[[#This Row],[Date]],'BUD data'!A:F,6,)</f>
        <v>47.252361000000001</v>
      </c>
      <c r="C471" s="51"/>
      <c r="D471" s="51"/>
    </row>
    <row r="472" spans="1:4" x14ac:dyDescent="0.45">
      <c r="A472" s="7">
        <v>40669</v>
      </c>
      <c r="B472" s="8">
        <f>VLOOKUP(Table1[[#This Row],[Date]],'BUD data'!A:F,6,)</f>
        <v>46.998958999999999</v>
      </c>
      <c r="C472" s="51"/>
      <c r="D472" s="51"/>
    </row>
    <row r="473" spans="1:4" x14ac:dyDescent="0.45">
      <c r="A473" s="7">
        <v>40672</v>
      </c>
      <c r="B473" s="8">
        <f>VLOOKUP(Table1[[#This Row],[Date]],'BUD data'!A:F,6,)</f>
        <v>46.880172999999999</v>
      </c>
      <c r="C473" s="51"/>
      <c r="D473" s="51"/>
    </row>
    <row r="474" spans="1:4" x14ac:dyDescent="0.45">
      <c r="A474" s="7">
        <v>40673</v>
      </c>
      <c r="B474" s="8">
        <f>VLOOKUP(Table1[[#This Row],[Date]],'BUD data'!A:F,6,)</f>
        <v>46.919764999999998</v>
      </c>
      <c r="C474" s="51"/>
      <c r="D474" s="51"/>
    </row>
    <row r="475" spans="1:4" x14ac:dyDescent="0.45">
      <c r="A475" s="7">
        <v>40674</v>
      </c>
      <c r="B475" s="8">
        <f>VLOOKUP(Table1[[#This Row],[Date]],'BUD data'!A:F,6,)</f>
        <v>46.127876000000001</v>
      </c>
      <c r="C475" s="51"/>
      <c r="D475" s="51"/>
    </row>
    <row r="476" spans="1:4" x14ac:dyDescent="0.45">
      <c r="A476" s="7">
        <v>40675</v>
      </c>
      <c r="B476" s="8">
        <f>VLOOKUP(Table1[[#This Row],[Date]],'BUD data'!A:F,6,)</f>
        <v>46.856406999999997</v>
      </c>
      <c r="C476" s="51"/>
      <c r="D476" s="51"/>
    </row>
    <row r="477" spans="1:4" x14ac:dyDescent="0.45">
      <c r="A477" s="7">
        <v>40676</v>
      </c>
      <c r="B477" s="8">
        <f>VLOOKUP(Table1[[#This Row],[Date]],'BUD data'!A:F,6,)</f>
        <v>47.157336999999998</v>
      </c>
      <c r="C477" s="51"/>
      <c r="D477" s="51"/>
    </row>
    <row r="478" spans="1:4" x14ac:dyDescent="0.45">
      <c r="A478" s="7">
        <v>40679</v>
      </c>
      <c r="B478" s="8">
        <f>VLOOKUP(Table1[[#This Row],[Date]],'BUD data'!A:F,6,)</f>
        <v>47.125664</v>
      </c>
      <c r="C478" s="51"/>
      <c r="D478" s="51"/>
    </row>
    <row r="479" spans="1:4" x14ac:dyDescent="0.45">
      <c r="A479" s="7">
        <v>40680</v>
      </c>
      <c r="B479" s="8">
        <f>VLOOKUP(Table1[[#This Row],[Date]],'BUD data'!A:F,6,)</f>
        <v>47.513691000000001</v>
      </c>
      <c r="C479" s="51"/>
      <c r="D479" s="51"/>
    </row>
    <row r="480" spans="1:4" x14ac:dyDescent="0.45">
      <c r="A480" s="7">
        <v>40681</v>
      </c>
      <c r="B480" s="8">
        <f>VLOOKUP(Table1[[#This Row],[Date]],'BUD data'!A:F,6,)</f>
        <v>47.505772</v>
      </c>
      <c r="C480" s="51"/>
      <c r="D480" s="51"/>
    </row>
    <row r="481" spans="1:4" x14ac:dyDescent="0.45">
      <c r="A481" s="7">
        <v>40682</v>
      </c>
      <c r="B481" s="8">
        <f>VLOOKUP(Table1[[#This Row],[Date]],'BUD data'!A:F,6,)</f>
        <v>47.838363999999999</v>
      </c>
      <c r="C481" s="51"/>
      <c r="D481" s="51"/>
    </row>
    <row r="482" spans="1:4" x14ac:dyDescent="0.45">
      <c r="A482" s="7">
        <v>40683</v>
      </c>
      <c r="B482" s="8">
        <f>VLOOKUP(Table1[[#This Row],[Date]],'BUD data'!A:F,6,)</f>
        <v>47.862118000000002</v>
      </c>
      <c r="C482" s="51"/>
      <c r="D482" s="51"/>
    </row>
    <row r="483" spans="1:4" x14ac:dyDescent="0.45">
      <c r="A483" s="7">
        <v>40686</v>
      </c>
      <c r="B483" s="8">
        <f>VLOOKUP(Table1[[#This Row],[Date]],'BUD data'!A:F,6,)</f>
        <v>46.278323999999998</v>
      </c>
      <c r="C483" s="51"/>
      <c r="D483" s="51"/>
    </row>
    <row r="484" spans="1:4" x14ac:dyDescent="0.45">
      <c r="A484" s="7">
        <v>40687</v>
      </c>
      <c r="B484" s="8">
        <f>VLOOKUP(Table1[[#This Row],[Date]],'BUD data'!A:F,6,)</f>
        <v>46.412951999999997</v>
      </c>
      <c r="C484" s="51"/>
      <c r="D484" s="51"/>
    </row>
    <row r="485" spans="1:4" x14ac:dyDescent="0.45">
      <c r="A485" s="7">
        <v>40688</v>
      </c>
      <c r="B485" s="8">
        <f>VLOOKUP(Table1[[#This Row],[Date]],'BUD data'!A:F,6,)</f>
        <v>46.310009000000001</v>
      </c>
      <c r="C485" s="51"/>
      <c r="D485" s="51"/>
    </row>
    <row r="486" spans="1:4" x14ac:dyDescent="0.45">
      <c r="A486" s="7">
        <v>40689</v>
      </c>
      <c r="B486" s="8">
        <f>VLOOKUP(Table1[[#This Row],[Date]],'BUD data'!A:F,6,)</f>
        <v>46.175384999999999</v>
      </c>
      <c r="C486" s="51"/>
      <c r="D486" s="51"/>
    </row>
    <row r="487" spans="1:4" x14ac:dyDescent="0.45">
      <c r="A487" s="7">
        <v>40690</v>
      </c>
      <c r="B487" s="8">
        <f>VLOOKUP(Table1[[#This Row],[Date]],'BUD data'!A:F,6,)</f>
        <v>46.476303000000001</v>
      </c>
      <c r="C487" s="51"/>
      <c r="D487" s="51"/>
    </row>
    <row r="488" spans="1:4" x14ac:dyDescent="0.45">
      <c r="A488" s="7">
        <v>40694</v>
      </c>
      <c r="B488" s="8">
        <f>VLOOKUP(Table1[[#This Row],[Date]],'BUD data'!A:F,6,)</f>
        <v>47.893791</v>
      </c>
      <c r="C488" s="51"/>
      <c r="D488" s="51"/>
    </row>
    <row r="489" spans="1:4" x14ac:dyDescent="0.45">
      <c r="A489" s="7">
        <v>40695</v>
      </c>
      <c r="B489" s="8">
        <f>VLOOKUP(Table1[[#This Row],[Date]],'BUD data'!A:F,6,)</f>
        <v>47.165253</v>
      </c>
      <c r="C489" s="51"/>
      <c r="D489" s="51"/>
    </row>
    <row r="490" spans="1:4" x14ac:dyDescent="0.45">
      <c r="A490" s="7">
        <v>40696</v>
      </c>
      <c r="B490" s="8">
        <f>VLOOKUP(Table1[[#This Row],[Date]],'BUD data'!A:F,6,)</f>
        <v>46.816814000000001</v>
      </c>
      <c r="C490" s="51"/>
      <c r="D490" s="51"/>
    </row>
    <row r="491" spans="1:4" x14ac:dyDescent="0.45">
      <c r="A491" s="7">
        <v>40697</v>
      </c>
      <c r="B491" s="8">
        <f>VLOOKUP(Table1[[#This Row],[Date]],'BUD data'!A:F,6,)</f>
        <v>47.093978999999997</v>
      </c>
      <c r="C491" s="51"/>
      <c r="D491" s="51"/>
    </row>
    <row r="492" spans="1:4" x14ac:dyDescent="0.45">
      <c r="A492" s="7">
        <v>40700</v>
      </c>
      <c r="B492" s="8">
        <f>VLOOKUP(Table1[[#This Row],[Date]],'BUD data'!A:F,6,)</f>
        <v>46.531734</v>
      </c>
      <c r="C492" s="51"/>
      <c r="D492" s="51"/>
    </row>
    <row r="493" spans="1:4" x14ac:dyDescent="0.45">
      <c r="A493" s="7">
        <v>40701</v>
      </c>
      <c r="B493" s="8">
        <f>VLOOKUP(Table1[[#This Row],[Date]],'BUD data'!A:F,6,)</f>
        <v>46.587173</v>
      </c>
      <c r="C493" s="51"/>
      <c r="D493" s="51"/>
    </row>
    <row r="494" spans="1:4" x14ac:dyDescent="0.45">
      <c r="A494" s="7">
        <v>40702</v>
      </c>
      <c r="B494" s="8">
        <f>VLOOKUP(Table1[[#This Row],[Date]],'BUD data'!A:F,6,)</f>
        <v>46.405037</v>
      </c>
      <c r="C494" s="51"/>
      <c r="D494" s="51"/>
    </row>
    <row r="495" spans="1:4" x14ac:dyDescent="0.45">
      <c r="A495" s="7">
        <v>40703</v>
      </c>
      <c r="B495" s="8">
        <f>VLOOKUP(Table1[[#This Row],[Date]],'BUD data'!A:F,6,)</f>
        <v>46.460467999999999</v>
      </c>
      <c r="C495" s="51"/>
      <c r="D495" s="51"/>
    </row>
    <row r="496" spans="1:4" x14ac:dyDescent="0.45">
      <c r="A496" s="7">
        <v>40704</v>
      </c>
      <c r="B496" s="8">
        <f>VLOOKUP(Table1[[#This Row],[Date]],'BUD data'!A:F,6,)</f>
        <v>45.201351000000003</v>
      </c>
      <c r="C496" s="51"/>
      <c r="D496" s="51"/>
    </row>
    <row r="497" spans="1:4" x14ac:dyDescent="0.45">
      <c r="A497" s="7">
        <v>40707</v>
      </c>
      <c r="B497" s="8">
        <f>VLOOKUP(Table1[[#This Row],[Date]],'BUD data'!A:F,6,)</f>
        <v>45.320132999999998</v>
      </c>
      <c r="C497" s="51"/>
      <c r="D497" s="51"/>
    </row>
    <row r="498" spans="1:4" x14ac:dyDescent="0.45">
      <c r="A498" s="7">
        <v>40708</v>
      </c>
      <c r="B498" s="8">
        <f>VLOOKUP(Table1[[#This Row],[Date]],'BUD data'!A:F,6,)</f>
        <v>45.866543</v>
      </c>
      <c r="C498" s="51"/>
      <c r="D498" s="51"/>
    </row>
    <row r="499" spans="1:4" x14ac:dyDescent="0.45">
      <c r="A499" s="7">
        <v>40709</v>
      </c>
      <c r="B499" s="8">
        <f>VLOOKUP(Table1[[#This Row],[Date]],'BUD data'!A:F,6,)</f>
        <v>44.710380999999998</v>
      </c>
      <c r="C499" s="51"/>
      <c r="D499" s="51"/>
    </row>
    <row r="500" spans="1:4" x14ac:dyDescent="0.45">
      <c r="A500" s="7">
        <v>40710</v>
      </c>
      <c r="B500" s="8">
        <f>VLOOKUP(Table1[[#This Row],[Date]],'BUD data'!A:F,6,)</f>
        <v>44.361946000000003</v>
      </c>
      <c r="C500" s="51"/>
      <c r="D500" s="51"/>
    </row>
    <row r="501" spans="1:4" x14ac:dyDescent="0.45">
      <c r="A501" s="7">
        <v>40711</v>
      </c>
      <c r="B501" s="8">
        <f>VLOOKUP(Table1[[#This Row],[Date]],'BUD data'!A:F,6,)</f>
        <v>45.145916</v>
      </c>
      <c r="C501" s="51"/>
      <c r="D501" s="51"/>
    </row>
    <row r="502" spans="1:4" x14ac:dyDescent="0.45">
      <c r="A502" s="7">
        <v>40714</v>
      </c>
      <c r="B502" s="8">
        <f>VLOOKUP(Table1[[#This Row],[Date]],'BUD data'!A:F,6,)</f>
        <v>45.320132999999998</v>
      </c>
      <c r="C502" s="51"/>
      <c r="D502" s="51"/>
    </row>
    <row r="503" spans="1:4" x14ac:dyDescent="0.45">
      <c r="A503" s="7">
        <v>40715</v>
      </c>
      <c r="B503" s="8">
        <f>VLOOKUP(Table1[[#This Row],[Date]],'BUD data'!A:F,6,)</f>
        <v>45.731918</v>
      </c>
      <c r="C503" s="51"/>
      <c r="D503" s="51"/>
    </row>
    <row r="504" spans="1:4" x14ac:dyDescent="0.45">
      <c r="A504" s="7">
        <v>40716</v>
      </c>
      <c r="B504" s="8">
        <f>VLOOKUP(Table1[[#This Row],[Date]],'BUD data'!A:F,6,)</f>
        <v>44.995457000000002</v>
      </c>
      <c r="C504" s="51"/>
      <c r="D504" s="51"/>
    </row>
    <row r="505" spans="1:4" x14ac:dyDescent="0.45">
      <c r="A505" s="7">
        <v>40717</v>
      </c>
      <c r="B505" s="8">
        <f>VLOOKUP(Table1[[#This Row],[Date]],'BUD data'!A:F,6,)</f>
        <v>44.868758999999997</v>
      </c>
      <c r="C505" s="51"/>
      <c r="D505" s="51"/>
    </row>
    <row r="506" spans="1:4" x14ac:dyDescent="0.45">
      <c r="A506" s="7">
        <v>40718</v>
      </c>
      <c r="B506" s="8">
        <f>VLOOKUP(Table1[[#This Row],[Date]],'BUD data'!A:F,6,)</f>
        <v>44.068950999999998</v>
      </c>
      <c r="C506" s="51"/>
      <c r="D506" s="51"/>
    </row>
    <row r="507" spans="1:4" x14ac:dyDescent="0.45">
      <c r="A507" s="7">
        <v>40721</v>
      </c>
      <c r="B507" s="8">
        <f>VLOOKUP(Table1[[#This Row],[Date]],'BUD data'!A:F,6,)</f>
        <v>44.488647</v>
      </c>
      <c r="C507" s="51"/>
      <c r="D507" s="51"/>
    </row>
    <row r="508" spans="1:4" x14ac:dyDescent="0.45">
      <c r="A508" s="7">
        <v>40722</v>
      </c>
      <c r="B508" s="8">
        <f>VLOOKUP(Table1[[#This Row],[Date]],'BUD data'!A:F,6,)</f>
        <v>45.320132999999998</v>
      </c>
      <c r="C508" s="51"/>
      <c r="D508" s="51"/>
    </row>
    <row r="509" spans="1:4" x14ac:dyDescent="0.45">
      <c r="A509" s="7">
        <v>40723</v>
      </c>
      <c r="B509" s="8">
        <f>VLOOKUP(Table1[[#This Row],[Date]],'BUD data'!A:F,6,)</f>
        <v>45.676490999999999</v>
      </c>
      <c r="C509" s="51"/>
      <c r="D509" s="51"/>
    </row>
    <row r="510" spans="1:4" x14ac:dyDescent="0.45">
      <c r="A510" s="7">
        <v>40724</v>
      </c>
      <c r="B510" s="8">
        <f>VLOOKUP(Table1[[#This Row],[Date]],'BUD data'!A:F,6,)</f>
        <v>45.937812999999998</v>
      </c>
      <c r="C510" s="51"/>
      <c r="D510" s="51"/>
    </row>
    <row r="511" spans="1:4" x14ac:dyDescent="0.45">
      <c r="A511" s="7">
        <v>40725</v>
      </c>
      <c r="B511" s="8">
        <f>VLOOKUP(Table1[[#This Row],[Date]],'BUD data'!A:F,6,)</f>
        <v>45.985325000000003</v>
      </c>
      <c r="C511" s="51"/>
      <c r="D511" s="51"/>
    </row>
    <row r="512" spans="1:4" x14ac:dyDescent="0.45">
      <c r="A512" s="7">
        <v>40729</v>
      </c>
      <c r="B512" s="8">
        <f>VLOOKUP(Table1[[#This Row],[Date]],'BUD data'!A:F,6,)</f>
        <v>45.993243999999997</v>
      </c>
      <c r="C512" s="51"/>
      <c r="D512" s="51"/>
    </row>
    <row r="513" spans="1:4" x14ac:dyDescent="0.45">
      <c r="A513" s="7">
        <v>40730</v>
      </c>
      <c r="B513" s="8">
        <f>VLOOKUP(Table1[[#This Row],[Date]],'BUD data'!A:F,6,)</f>
        <v>45.898215999999998</v>
      </c>
      <c r="C513" s="51"/>
      <c r="D513" s="51"/>
    </row>
    <row r="514" spans="1:4" x14ac:dyDescent="0.45">
      <c r="A514" s="7">
        <v>40731</v>
      </c>
      <c r="B514" s="8">
        <f>VLOOKUP(Table1[[#This Row],[Date]],'BUD data'!A:F,6,)</f>
        <v>46.642605000000003</v>
      </c>
      <c r="C514" s="51"/>
      <c r="D514" s="51"/>
    </row>
    <row r="515" spans="1:4" x14ac:dyDescent="0.45">
      <c r="A515" s="7">
        <v>40732</v>
      </c>
      <c r="B515" s="8">
        <f>VLOOKUP(Table1[[#This Row],[Date]],'BUD data'!A:F,6,)</f>
        <v>45.621056000000003</v>
      </c>
      <c r="C515" s="51"/>
      <c r="D515" s="51"/>
    </row>
    <row r="516" spans="1:4" x14ac:dyDescent="0.45">
      <c r="A516" s="7">
        <v>40735</v>
      </c>
      <c r="B516" s="8">
        <f>VLOOKUP(Table1[[#This Row],[Date]],'BUD data'!A:F,6,)</f>
        <v>44.163970999999997</v>
      </c>
      <c r="C516" s="51"/>
      <c r="D516" s="51"/>
    </row>
    <row r="517" spans="1:4" x14ac:dyDescent="0.45">
      <c r="A517" s="7">
        <v>40736</v>
      </c>
      <c r="B517" s="8">
        <f>VLOOKUP(Table1[[#This Row],[Date]],'BUD data'!A:F,6,)</f>
        <v>43.340401</v>
      </c>
      <c r="C517" s="51"/>
      <c r="D517" s="51"/>
    </row>
    <row r="518" spans="1:4" x14ac:dyDescent="0.45">
      <c r="A518" s="7">
        <v>40737</v>
      </c>
      <c r="B518" s="8">
        <f>VLOOKUP(Table1[[#This Row],[Date]],'BUD data'!A:F,6,)</f>
        <v>43.292884999999998</v>
      </c>
      <c r="C518" s="51"/>
      <c r="D518" s="51"/>
    </row>
    <row r="519" spans="1:4" x14ac:dyDescent="0.45">
      <c r="A519" s="7">
        <v>40738</v>
      </c>
      <c r="B519" s="8">
        <f>VLOOKUP(Table1[[#This Row],[Date]],'BUD data'!A:F,6,)</f>
        <v>43.665073</v>
      </c>
      <c r="C519" s="51"/>
      <c r="D519" s="51"/>
    </row>
    <row r="520" spans="1:4" x14ac:dyDescent="0.45">
      <c r="A520" s="7">
        <v>40739</v>
      </c>
      <c r="B520" s="8">
        <f>VLOOKUP(Table1[[#This Row],[Date]],'BUD data'!A:F,6,)</f>
        <v>44.456974000000002</v>
      </c>
      <c r="C520" s="51"/>
      <c r="D520" s="51"/>
    </row>
    <row r="521" spans="1:4" x14ac:dyDescent="0.45">
      <c r="A521" s="7">
        <v>40742</v>
      </c>
      <c r="B521" s="8">
        <f>VLOOKUP(Table1[[#This Row],[Date]],'BUD data'!A:F,6,)</f>
        <v>43.870967999999998</v>
      </c>
      <c r="C521" s="51"/>
      <c r="D521" s="51"/>
    </row>
    <row r="522" spans="1:4" x14ac:dyDescent="0.45">
      <c r="A522" s="7">
        <v>40743</v>
      </c>
      <c r="B522" s="8">
        <f>VLOOKUP(Table1[[#This Row],[Date]],'BUD data'!A:F,6,)</f>
        <v>44.757888999999999</v>
      </c>
      <c r="C522" s="51"/>
      <c r="D522" s="51"/>
    </row>
    <row r="523" spans="1:4" x14ac:dyDescent="0.45">
      <c r="A523" s="7">
        <v>40744</v>
      </c>
      <c r="B523" s="8">
        <f>VLOOKUP(Table1[[#This Row],[Date]],'BUD data'!A:F,6,)</f>
        <v>45.138004000000002</v>
      </c>
      <c r="C523" s="51"/>
      <c r="D523" s="51"/>
    </row>
    <row r="524" spans="1:4" x14ac:dyDescent="0.45">
      <c r="A524" s="7">
        <v>40745</v>
      </c>
      <c r="B524" s="8">
        <f>VLOOKUP(Table1[[#This Row],[Date]],'BUD data'!A:F,6,)</f>
        <v>46.080353000000002</v>
      </c>
      <c r="C524" s="51"/>
      <c r="D524" s="51"/>
    </row>
    <row r="525" spans="1:4" x14ac:dyDescent="0.45">
      <c r="A525" s="7">
        <v>40746</v>
      </c>
      <c r="B525" s="8">
        <f>VLOOKUP(Table1[[#This Row],[Date]],'BUD data'!A:F,6,)</f>
        <v>46.919764999999998</v>
      </c>
      <c r="C525" s="51"/>
      <c r="D525" s="51"/>
    </row>
    <row r="526" spans="1:4" x14ac:dyDescent="0.45">
      <c r="A526" s="7">
        <v>40749</v>
      </c>
      <c r="B526" s="8">
        <f>VLOOKUP(Table1[[#This Row],[Date]],'BUD data'!A:F,6,)</f>
        <v>46.800983000000002</v>
      </c>
      <c r="C526" s="51"/>
      <c r="D526" s="51"/>
    </row>
    <row r="527" spans="1:4" x14ac:dyDescent="0.45">
      <c r="A527" s="7">
        <v>40750</v>
      </c>
      <c r="B527" s="8">
        <f>VLOOKUP(Table1[[#This Row],[Date]],'BUD data'!A:F,6,)</f>
        <v>46.983111999999998</v>
      </c>
      <c r="C527" s="51"/>
      <c r="D527" s="51"/>
    </row>
    <row r="528" spans="1:4" x14ac:dyDescent="0.45">
      <c r="A528" s="7">
        <v>40751</v>
      </c>
      <c r="B528" s="8">
        <f>VLOOKUP(Table1[[#This Row],[Date]],'BUD data'!A:F,6,)</f>
        <v>45.945740000000001</v>
      </c>
      <c r="C528" s="51"/>
      <c r="D528" s="51"/>
    </row>
    <row r="529" spans="1:4" x14ac:dyDescent="0.45">
      <c r="A529" s="7">
        <v>40752</v>
      </c>
      <c r="B529" s="8">
        <f>VLOOKUP(Table1[[#This Row],[Date]],'BUD data'!A:F,6,)</f>
        <v>46.325843999999996</v>
      </c>
      <c r="C529" s="51"/>
      <c r="D529" s="51"/>
    </row>
    <row r="530" spans="1:4" x14ac:dyDescent="0.45">
      <c r="A530" s="7">
        <v>40753</v>
      </c>
      <c r="B530" s="8">
        <f>VLOOKUP(Table1[[#This Row],[Date]],'BUD data'!A:F,6,)</f>
        <v>45.597304999999999</v>
      </c>
      <c r="C530" s="51"/>
      <c r="D530" s="51"/>
    </row>
    <row r="531" spans="1:4" x14ac:dyDescent="0.45">
      <c r="A531" s="7">
        <v>40756</v>
      </c>
      <c r="B531" s="8">
        <f>VLOOKUP(Table1[[#This Row],[Date]],'BUD data'!A:F,6,)</f>
        <v>45.438923000000003</v>
      </c>
      <c r="C531" s="51"/>
      <c r="D531" s="51"/>
    </row>
    <row r="532" spans="1:4" x14ac:dyDescent="0.45">
      <c r="A532" s="7">
        <v>40757</v>
      </c>
      <c r="B532" s="8">
        <f>VLOOKUP(Table1[[#This Row],[Date]],'BUD data'!A:F,6,)</f>
        <v>44.354030999999999</v>
      </c>
      <c r="C532" s="51"/>
      <c r="D532" s="51"/>
    </row>
    <row r="533" spans="1:4" x14ac:dyDescent="0.45">
      <c r="A533" s="7">
        <v>40758</v>
      </c>
      <c r="B533" s="8">
        <f>VLOOKUP(Table1[[#This Row],[Date]],'BUD data'!A:F,6,)</f>
        <v>44.298591999999999</v>
      </c>
      <c r="C533" s="51"/>
      <c r="D533" s="51"/>
    </row>
    <row r="534" spans="1:4" x14ac:dyDescent="0.45">
      <c r="A534" s="7">
        <v>40759</v>
      </c>
      <c r="B534" s="8">
        <f>VLOOKUP(Table1[[#This Row],[Date]],'BUD data'!A:F,6,)</f>
        <v>42.105041999999997</v>
      </c>
      <c r="C534" s="51"/>
      <c r="D534" s="51"/>
    </row>
    <row r="535" spans="1:4" x14ac:dyDescent="0.45">
      <c r="A535" s="7">
        <v>40760</v>
      </c>
      <c r="B535" s="8">
        <f>VLOOKUP(Table1[[#This Row],[Date]],'BUD data'!A:F,6,)</f>
        <v>43.015723999999999</v>
      </c>
      <c r="C535" s="51"/>
      <c r="D535" s="51"/>
    </row>
    <row r="536" spans="1:4" x14ac:dyDescent="0.45">
      <c r="A536" s="7">
        <v>40763</v>
      </c>
      <c r="B536" s="8">
        <f>VLOOKUP(Table1[[#This Row],[Date]],'BUD data'!A:F,6,)</f>
        <v>40.655875999999999</v>
      </c>
      <c r="C536" s="51"/>
      <c r="D536" s="51"/>
    </row>
    <row r="537" spans="1:4" x14ac:dyDescent="0.45">
      <c r="A537" s="7">
        <v>40764</v>
      </c>
      <c r="B537" s="8">
        <f>VLOOKUP(Table1[[#This Row],[Date]],'BUD data'!A:F,6,)</f>
        <v>41.835799999999999</v>
      </c>
      <c r="C537" s="51"/>
      <c r="D537" s="51"/>
    </row>
    <row r="538" spans="1:4" x14ac:dyDescent="0.45">
      <c r="A538" s="7">
        <v>40765</v>
      </c>
      <c r="B538" s="8">
        <f>VLOOKUP(Table1[[#This Row],[Date]],'BUD data'!A:F,6,)</f>
        <v>39.373004999999999</v>
      </c>
      <c r="C538" s="51"/>
      <c r="D538" s="51"/>
    </row>
    <row r="539" spans="1:4" x14ac:dyDescent="0.45">
      <c r="A539" s="7">
        <v>40766</v>
      </c>
      <c r="B539" s="8">
        <f>VLOOKUP(Table1[[#This Row],[Date]],'BUD data'!A:F,6,)</f>
        <v>40.790497000000002</v>
      </c>
      <c r="C539" s="51"/>
      <c r="D539" s="51"/>
    </row>
    <row r="540" spans="1:4" x14ac:dyDescent="0.45">
      <c r="A540" s="7">
        <v>40767</v>
      </c>
      <c r="B540" s="8">
        <f>VLOOKUP(Table1[[#This Row],[Date]],'BUD data'!A:F,6,)</f>
        <v>43.221615</v>
      </c>
      <c r="C540" s="51"/>
      <c r="D540" s="51"/>
    </row>
    <row r="541" spans="1:4" x14ac:dyDescent="0.45">
      <c r="A541" s="7">
        <v>40770</v>
      </c>
      <c r="B541" s="8">
        <f>VLOOKUP(Table1[[#This Row],[Date]],'BUD data'!A:F,6,)</f>
        <v>43.926399000000004</v>
      </c>
      <c r="C541" s="51"/>
      <c r="D541" s="51"/>
    </row>
    <row r="542" spans="1:4" x14ac:dyDescent="0.45">
      <c r="A542" s="7">
        <v>40771</v>
      </c>
      <c r="B542" s="8">
        <f>VLOOKUP(Table1[[#This Row],[Date]],'BUD data'!A:F,6,)</f>
        <v>44.219402000000002</v>
      </c>
      <c r="C542" s="51"/>
      <c r="D542" s="51"/>
    </row>
    <row r="543" spans="1:4" x14ac:dyDescent="0.45">
      <c r="A543" s="7">
        <v>40772</v>
      </c>
      <c r="B543" s="8">
        <f>VLOOKUP(Table1[[#This Row],[Date]],'BUD data'!A:F,6,)</f>
        <v>44.520321000000003</v>
      </c>
      <c r="C543" s="51"/>
      <c r="D543" s="51"/>
    </row>
    <row r="544" spans="1:4" x14ac:dyDescent="0.45">
      <c r="A544" s="7">
        <v>40773</v>
      </c>
      <c r="B544" s="8">
        <f>VLOOKUP(Table1[[#This Row],[Date]],'BUD data'!A:F,6,)</f>
        <v>43.308723000000001</v>
      </c>
      <c r="C544" s="51"/>
      <c r="D544" s="51"/>
    </row>
    <row r="545" spans="1:4" x14ac:dyDescent="0.45">
      <c r="A545" s="7">
        <v>40774</v>
      </c>
      <c r="B545" s="8">
        <f>VLOOKUP(Table1[[#This Row],[Date]],'BUD data'!A:F,6,)</f>
        <v>42.659370000000003</v>
      </c>
      <c r="C545" s="51"/>
      <c r="D545" s="51"/>
    </row>
    <row r="546" spans="1:4" x14ac:dyDescent="0.45">
      <c r="A546" s="7">
        <v>40777</v>
      </c>
      <c r="B546" s="8">
        <f>VLOOKUP(Table1[[#This Row],[Date]],'BUD data'!A:F,6,)</f>
        <v>43.071151999999998</v>
      </c>
      <c r="C546" s="51"/>
      <c r="D546" s="51"/>
    </row>
    <row r="547" spans="1:4" x14ac:dyDescent="0.45">
      <c r="A547" s="7">
        <v>40778</v>
      </c>
      <c r="B547" s="8">
        <f>VLOOKUP(Table1[[#This Row],[Date]],'BUD data'!A:F,6,)</f>
        <v>43.989753999999998</v>
      </c>
      <c r="C547" s="51"/>
      <c r="D547" s="51"/>
    </row>
    <row r="548" spans="1:4" x14ac:dyDescent="0.45">
      <c r="A548" s="7">
        <v>40779</v>
      </c>
      <c r="B548" s="8">
        <f>VLOOKUP(Table1[[#This Row],[Date]],'BUD data'!A:F,6,)</f>
        <v>42.881104000000001</v>
      </c>
      <c r="C548" s="51"/>
      <c r="D548" s="51"/>
    </row>
    <row r="549" spans="1:4" x14ac:dyDescent="0.45">
      <c r="A549" s="7">
        <v>40780</v>
      </c>
      <c r="B549" s="8">
        <f>VLOOKUP(Table1[[#This Row],[Date]],'BUD data'!A:F,6,)</f>
        <v>42.215912000000003</v>
      </c>
      <c r="C549" s="51"/>
      <c r="D549" s="51"/>
    </row>
    <row r="550" spans="1:4" x14ac:dyDescent="0.45">
      <c r="A550" s="7">
        <v>40781</v>
      </c>
      <c r="B550" s="8">
        <f>VLOOKUP(Table1[[#This Row],[Date]],'BUD data'!A:F,6,)</f>
        <v>42.675204999999998</v>
      </c>
      <c r="C550" s="51"/>
      <c r="D550" s="51"/>
    </row>
    <row r="551" spans="1:4" x14ac:dyDescent="0.45">
      <c r="A551" s="7">
        <v>40784</v>
      </c>
      <c r="B551" s="8">
        <f>VLOOKUP(Table1[[#This Row],[Date]],'BUD data'!A:F,6,)</f>
        <v>43.332478000000002</v>
      </c>
      <c r="C551" s="51"/>
      <c r="D551" s="51"/>
    </row>
    <row r="552" spans="1:4" x14ac:dyDescent="0.45">
      <c r="A552" s="7">
        <v>40785</v>
      </c>
      <c r="B552" s="8">
        <f>VLOOKUP(Table1[[#This Row],[Date]],'BUD data'!A:F,6,)</f>
        <v>43.380001</v>
      </c>
      <c r="C552" s="51"/>
      <c r="D552" s="51"/>
    </row>
    <row r="553" spans="1:4" x14ac:dyDescent="0.45">
      <c r="A553" s="7">
        <v>40786</v>
      </c>
      <c r="B553" s="8">
        <f>VLOOKUP(Table1[[#This Row],[Date]],'BUD data'!A:F,6,)</f>
        <v>43.760105000000003</v>
      </c>
      <c r="C553" s="51"/>
      <c r="D553" s="51"/>
    </row>
    <row r="554" spans="1:4" x14ac:dyDescent="0.45">
      <c r="A554" s="7">
        <v>40787</v>
      </c>
      <c r="B554" s="8">
        <f>VLOOKUP(Table1[[#This Row],[Date]],'BUD data'!A:F,6,)</f>
        <v>43.364151</v>
      </c>
      <c r="C554" s="51"/>
      <c r="D554" s="51"/>
    </row>
    <row r="555" spans="1:4" x14ac:dyDescent="0.45">
      <c r="A555" s="7">
        <v>40788</v>
      </c>
      <c r="B555" s="8">
        <f>VLOOKUP(Table1[[#This Row],[Date]],'BUD data'!A:F,6,)</f>
        <v>43.055317000000002</v>
      </c>
      <c r="C555" s="51"/>
      <c r="D555" s="51"/>
    </row>
    <row r="556" spans="1:4" x14ac:dyDescent="0.45">
      <c r="A556" s="7">
        <v>40792</v>
      </c>
      <c r="B556" s="8">
        <f>VLOOKUP(Table1[[#This Row],[Date]],'BUD data'!A:F,6,)</f>
        <v>41.883311999999997</v>
      </c>
      <c r="C556" s="51"/>
      <c r="D556" s="51"/>
    </row>
    <row r="557" spans="1:4" x14ac:dyDescent="0.45">
      <c r="A557" s="7">
        <v>40793</v>
      </c>
      <c r="B557" s="8">
        <f>VLOOKUP(Table1[[#This Row],[Date]],'BUD data'!A:F,6,)</f>
        <v>42.263427999999998</v>
      </c>
      <c r="C557" s="51"/>
      <c r="D557" s="51"/>
    </row>
    <row r="558" spans="1:4" x14ac:dyDescent="0.45">
      <c r="A558" s="7">
        <v>40794</v>
      </c>
      <c r="B558" s="8">
        <f>VLOOKUP(Table1[[#This Row],[Date]],'BUD data'!A:F,6,)</f>
        <v>41.748694999999998</v>
      </c>
      <c r="C558" s="51"/>
      <c r="D558" s="51"/>
    </row>
    <row r="559" spans="1:4" x14ac:dyDescent="0.45">
      <c r="A559" s="7">
        <v>40795</v>
      </c>
      <c r="B559" s="8">
        <f>VLOOKUP(Table1[[#This Row],[Date]],'BUD data'!A:F,6,)</f>
        <v>40.418315999999997</v>
      </c>
      <c r="C559" s="51"/>
      <c r="D559" s="51"/>
    </row>
    <row r="560" spans="1:4" x14ac:dyDescent="0.45">
      <c r="A560" s="7">
        <v>40798</v>
      </c>
      <c r="B560" s="8">
        <f>VLOOKUP(Table1[[#This Row],[Date]],'BUD data'!A:F,6,)</f>
        <v>39.768954999999998</v>
      </c>
      <c r="C560" s="51"/>
      <c r="D560" s="51"/>
    </row>
    <row r="561" spans="1:4" x14ac:dyDescent="0.45">
      <c r="A561" s="7">
        <v>40799</v>
      </c>
      <c r="B561" s="8">
        <f>VLOOKUP(Table1[[#This Row],[Date]],'BUD data'!A:F,6,)</f>
        <v>39.729362000000002</v>
      </c>
      <c r="C561" s="51"/>
      <c r="D561" s="51"/>
    </row>
    <row r="562" spans="1:4" x14ac:dyDescent="0.45">
      <c r="A562" s="7">
        <v>40800</v>
      </c>
      <c r="B562" s="8">
        <f>VLOOKUP(Table1[[#This Row],[Date]],'BUD data'!A:F,6,)</f>
        <v>39.998595999999999</v>
      </c>
      <c r="C562" s="51"/>
      <c r="D562" s="51"/>
    </row>
    <row r="563" spans="1:4" x14ac:dyDescent="0.45">
      <c r="A563" s="7">
        <v>40801</v>
      </c>
      <c r="B563" s="8">
        <f>VLOOKUP(Table1[[#This Row],[Date]],'BUD data'!A:F,6,)</f>
        <v>40.782581</v>
      </c>
      <c r="C563" s="51"/>
      <c r="D563" s="51"/>
    </row>
    <row r="564" spans="1:4" x14ac:dyDescent="0.45">
      <c r="A564" s="7">
        <v>40802</v>
      </c>
      <c r="B564" s="8">
        <f>VLOOKUP(Table1[[#This Row],[Date]],'BUD data'!A:F,6,)</f>
        <v>41.614071000000003</v>
      </c>
      <c r="C564" s="51"/>
      <c r="D564" s="51"/>
    </row>
    <row r="565" spans="1:4" x14ac:dyDescent="0.45">
      <c r="A565" s="7">
        <v>40805</v>
      </c>
      <c r="B565" s="8">
        <f>VLOOKUP(Table1[[#This Row],[Date]],'BUD data'!A:F,6,)</f>
        <v>40.901359999999997</v>
      </c>
      <c r="C565" s="51"/>
      <c r="D565" s="51"/>
    </row>
    <row r="566" spans="1:4" x14ac:dyDescent="0.45">
      <c r="A566" s="7">
        <v>40806</v>
      </c>
      <c r="B566" s="8">
        <f>VLOOKUP(Table1[[#This Row],[Date]],'BUD data'!A:F,6,)</f>
        <v>41.629910000000002</v>
      </c>
      <c r="C566" s="51"/>
      <c r="D566" s="51"/>
    </row>
    <row r="567" spans="1:4" x14ac:dyDescent="0.45">
      <c r="A567" s="7">
        <v>40807</v>
      </c>
      <c r="B567" s="8">
        <f>VLOOKUP(Table1[[#This Row],[Date]],'BUD data'!A:F,6,)</f>
        <v>40.742984999999997</v>
      </c>
      <c r="C567" s="51"/>
      <c r="D567" s="51"/>
    </row>
    <row r="568" spans="1:4" x14ac:dyDescent="0.45">
      <c r="A568" s="7">
        <v>40808</v>
      </c>
      <c r="B568" s="8">
        <f>VLOOKUP(Table1[[#This Row],[Date]],'BUD data'!A:F,6,)</f>
        <v>39.594734000000003</v>
      </c>
      <c r="C568" s="51"/>
      <c r="D568" s="51"/>
    </row>
    <row r="569" spans="1:4" x14ac:dyDescent="0.45">
      <c r="A569" s="7">
        <v>40809</v>
      </c>
      <c r="B569" s="8">
        <f>VLOOKUP(Table1[[#This Row],[Date]],'BUD data'!A:F,6,)</f>
        <v>40.521259000000001</v>
      </c>
      <c r="C569" s="51"/>
      <c r="D569" s="51"/>
    </row>
    <row r="570" spans="1:4" x14ac:dyDescent="0.45">
      <c r="A570" s="7">
        <v>40812</v>
      </c>
      <c r="B570" s="8">
        <f>VLOOKUP(Table1[[#This Row],[Date]],'BUD data'!A:F,6,)</f>
        <v>41.661586999999997</v>
      </c>
      <c r="C570" s="51"/>
      <c r="D570" s="51"/>
    </row>
    <row r="571" spans="1:4" x14ac:dyDescent="0.45">
      <c r="A571" s="7">
        <v>40813</v>
      </c>
      <c r="B571" s="8">
        <f>VLOOKUP(Table1[[#This Row],[Date]],'BUD data'!A:F,6,)</f>
        <v>42.778151999999999</v>
      </c>
      <c r="C571" s="51"/>
      <c r="D571" s="51"/>
    </row>
    <row r="572" spans="1:4" x14ac:dyDescent="0.45">
      <c r="A572" s="7">
        <v>40814</v>
      </c>
      <c r="B572" s="8">
        <f>VLOOKUP(Table1[[#This Row],[Date]],'BUD data'!A:F,6,)</f>
        <v>42.350529000000002</v>
      </c>
      <c r="C572" s="51"/>
      <c r="D572" s="51"/>
    </row>
    <row r="573" spans="1:4" x14ac:dyDescent="0.45">
      <c r="A573" s="7">
        <v>40815</v>
      </c>
      <c r="B573" s="8">
        <f>VLOOKUP(Table1[[#This Row],[Date]],'BUD data'!A:F,6,)</f>
        <v>42.683128000000004</v>
      </c>
      <c r="C573" s="51"/>
      <c r="D573" s="51"/>
    </row>
    <row r="574" spans="1:4" x14ac:dyDescent="0.45">
      <c r="A574" s="7">
        <v>40816</v>
      </c>
      <c r="B574" s="8">
        <f>VLOOKUP(Table1[[#This Row],[Date]],'BUD data'!A:F,6,)</f>
        <v>41.954585999999999</v>
      </c>
      <c r="C574" s="51"/>
      <c r="D574" s="51"/>
    </row>
    <row r="575" spans="1:4" x14ac:dyDescent="0.45">
      <c r="A575" s="7">
        <v>40819</v>
      </c>
      <c r="B575" s="8">
        <f>VLOOKUP(Table1[[#This Row],[Date]],'BUD data'!A:F,6,)</f>
        <v>41.621983</v>
      </c>
      <c r="C575" s="51"/>
      <c r="D575" s="51"/>
    </row>
    <row r="576" spans="1:4" x14ac:dyDescent="0.45">
      <c r="A576" s="7">
        <v>40820</v>
      </c>
      <c r="B576" s="8">
        <f>VLOOKUP(Table1[[#This Row],[Date]],'BUD data'!A:F,6,)</f>
        <v>42.358448000000003</v>
      </c>
      <c r="C576" s="51"/>
      <c r="D576" s="51"/>
    </row>
    <row r="577" spans="1:4" x14ac:dyDescent="0.45">
      <c r="A577" s="7">
        <v>40821</v>
      </c>
      <c r="B577" s="8">
        <f>VLOOKUP(Table1[[#This Row],[Date]],'BUD data'!A:F,6,)</f>
        <v>41.946663000000001</v>
      </c>
      <c r="C577" s="51"/>
      <c r="D577" s="51"/>
    </row>
    <row r="578" spans="1:4" x14ac:dyDescent="0.45">
      <c r="A578" s="7">
        <v>40822</v>
      </c>
      <c r="B578" s="8">
        <f>VLOOKUP(Table1[[#This Row],[Date]],'BUD data'!A:F,6,)</f>
        <v>42.192162000000003</v>
      </c>
      <c r="C578" s="51"/>
      <c r="D578" s="51"/>
    </row>
    <row r="579" spans="1:4" x14ac:dyDescent="0.45">
      <c r="A579" s="7">
        <v>40823</v>
      </c>
      <c r="B579" s="8">
        <f>VLOOKUP(Table1[[#This Row],[Date]],'BUD data'!A:F,6,)</f>
        <v>40.988464</v>
      </c>
      <c r="C579" s="51"/>
      <c r="D579" s="51"/>
    </row>
    <row r="580" spans="1:4" x14ac:dyDescent="0.45">
      <c r="A580" s="7">
        <v>40826</v>
      </c>
      <c r="B580" s="8">
        <f>VLOOKUP(Table1[[#This Row],[Date]],'BUD data'!A:F,6,)</f>
        <v>42.548512000000002</v>
      </c>
      <c r="C580" s="51"/>
      <c r="D580" s="51"/>
    </row>
    <row r="581" spans="1:4" x14ac:dyDescent="0.45">
      <c r="A581" s="7">
        <v>40827</v>
      </c>
      <c r="B581" s="8">
        <f>VLOOKUP(Table1[[#This Row],[Date]],'BUD data'!A:F,6,)</f>
        <v>42.461395000000003</v>
      </c>
      <c r="C581" s="51"/>
      <c r="D581" s="51"/>
    </row>
    <row r="582" spans="1:4" x14ac:dyDescent="0.45">
      <c r="A582" s="7">
        <v>40828</v>
      </c>
      <c r="B582" s="8">
        <f>VLOOKUP(Table1[[#This Row],[Date]],'BUD data'!A:F,6,)</f>
        <v>42.817745000000002</v>
      </c>
      <c r="C582" s="51"/>
      <c r="D582" s="51"/>
    </row>
    <row r="583" spans="1:4" x14ac:dyDescent="0.45">
      <c r="A583" s="7">
        <v>40829</v>
      </c>
      <c r="B583" s="8">
        <f>VLOOKUP(Table1[[#This Row],[Date]],'BUD data'!A:F,6,)</f>
        <v>43.150348999999999</v>
      </c>
      <c r="C583" s="51"/>
      <c r="D583" s="51"/>
    </row>
    <row r="584" spans="1:4" x14ac:dyDescent="0.45">
      <c r="A584" s="7">
        <v>40830</v>
      </c>
      <c r="B584" s="8">
        <f>VLOOKUP(Table1[[#This Row],[Date]],'BUD data'!A:F,6,)</f>
        <v>43.847209999999997</v>
      </c>
      <c r="C584" s="51"/>
      <c r="D584" s="51"/>
    </row>
    <row r="585" spans="1:4" x14ac:dyDescent="0.45">
      <c r="A585" s="7">
        <v>40833</v>
      </c>
      <c r="B585" s="8">
        <f>VLOOKUP(Table1[[#This Row],[Date]],'BUD data'!A:F,6,)</f>
        <v>42.841510999999997</v>
      </c>
      <c r="C585" s="51"/>
      <c r="D585" s="51"/>
    </row>
    <row r="586" spans="1:4" x14ac:dyDescent="0.45">
      <c r="A586" s="7">
        <v>40834</v>
      </c>
      <c r="B586" s="8">
        <f>VLOOKUP(Table1[[#This Row],[Date]],'BUD data'!A:F,6,)</f>
        <v>43.585884</v>
      </c>
      <c r="C586" s="51"/>
      <c r="D586" s="51"/>
    </row>
    <row r="587" spans="1:4" x14ac:dyDescent="0.45">
      <c r="A587" s="7">
        <v>40835</v>
      </c>
      <c r="B587" s="8">
        <f>VLOOKUP(Table1[[#This Row],[Date]],'BUD data'!A:F,6,)</f>
        <v>43.015723999999999</v>
      </c>
      <c r="C587" s="51"/>
      <c r="D587" s="51"/>
    </row>
    <row r="588" spans="1:4" x14ac:dyDescent="0.45">
      <c r="A588" s="7">
        <v>40836</v>
      </c>
      <c r="B588" s="8">
        <f>VLOOKUP(Table1[[#This Row],[Date]],'BUD data'!A:F,6,)</f>
        <v>43.189945000000002</v>
      </c>
      <c r="C588" s="51"/>
      <c r="D588" s="51"/>
    </row>
    <row r="589" spans="1:4" x14ac:dyDescent="0.45">
      <c r="A589" s="7">
        <v>40837</v>
      </c>
      <c r="B589" s="8">
        <f>VLOOKUP(Table1[[#This Row],[Date]],'BUD data'!A:F,6,)</f>
        <v>44.171897999999999</v>
      </c>
      <c r="C589" s="51"/>
      <c r="D589" s="51"/>
    </row>
    <row r="590" spans="1:4" x14ac:dyDescent="0.45">
      <c r="A590" s="7">
        <v>40840</v>
      </c>
      <c r="B590" s="8">
        <f>VLOOKUP(Table1[[#This Row],[Date]],'BUD data'!A:F,6,)</f>
        <v>44.346107000000003</v>
      </c>
      <c r="C590" s="51"/>
      <c r="D590" s="51"/>
    </row>
    <row r="591" spans="1:4" x14ac:dyDescent="0.45">
      <c r="A591" s="7">
        <v>40841</v>
      </c>
      <c r="B591" s="8">
        <f>VLOOKUP(Table1[[#This Row],[Date]],'BUD data'!A:F,6,)</f>
        <v>43.451267000000001</v>
      </c>
      <c r="C591" s="51"/>
      <c r="D591" s="51"/>
    </row>
    <row r="592" spans="1:4" x14ac:dyDescent="0.45">
      <c r="A592" s="7">
        <v>40842</v>
      </c>
      <c r="B592" s="8">
        <f>VLOOKUP(Table1[[#This Row],[Date]],'BUD data'!A:F,6,)</f>
        <v>43.768023999999997</v>
      </c>
      <c r="C592" s="51"/>
      <c r="D592" s="51"/>
    </row>
    <row r="593" spans="1:4" x14ac:dyDescent="0.45">
      <c r="A593" s="7">
        <v>40843</v>
      </c>
      <c r="B593" s="8">
        <f>VLOOKUP(Table1[[#This Row],[Date]],'BUD data'!A:F,6,)</f>
        <v>45.058826000000003</v>
      </c>
      <c r="C593" s="51"/>
      <c r="D593" s="51"/>
    </row>
    <row r="594" spans="1:4" x14ac:dyDescent="0.45">
      <c r="A594" s="7">
        <v>40844</v>
      </c>
      <c r="B594" s="8">
        <f>VLOOKUP(Table1[[#This Row],[Date]],'BUD data'!A:F,6,)</f>
        <v>44.940029000000003</v>
      </c>
      <c r="C594" s="51"/>
      <c r="D594" s="51"/>
    </row>
    <row r="595" spans="1:4" x14ac:dyDescent="0.45">
      <c r="A595" s="7">
        <v>40847</v>
      </c>
      <c r="B595" s="8">
        <f>VLOOKUP(Table1[[#This Row],[Date]],'BUD data'!A:F,6,)</f>
        <v>43.926399000000004</v>
      </c>
      <c r="C595" s="51"/>
      <c r="D595" s="51"/>
    </row>
    <row r="596" spans="1:4" x14ac:dyDescent="0.45">
      <c r="A596" s="7">
        <v>40848</v>
      </c>
      <c r="B596" s="8">
        <f>VLOOKUP(Table1[[#This Row],[Date]],'BUD data'!A:F,6,)</f>
        <v>43.292884999999998</v>
      </c>
      <c r="C596" s="51"/>
      <c r="D596" s="51"/>
    </row>
    <row r="597" spans="1:4" x14ac:dyDescent="0.45">
      <c r="A597" s="7">
        <v>40849</v>
      </c>
      <c r="B597" s="8">
        <f>VLOOKUP(Table1[[#This Row],[Date]],'BUD data'!A:F,6,)</f>
        <v>42.825671999999997</v>
      </c>
      <c r="C597" s="51"/>
      <c r="D597" s="51"/>
    </row>
    <row r="598" spans="1:4" x14ac:dyDescent="0.45">
      <c r="A598" s="7">
        <v>40850</v>
      </c>
      <c r="B598" s="8">
        <f>VLOOKUP(Table1[[#This Row],[Date]],'BUD data'!A:F,6,)</f>
        <v>43.942242</v>
      </c>
      <c r="C598" s="51"/>
      <c r="D598" s="51"/>
    </row>
    <row r="599" spans="1:4" x14ac:dyDescent="0.45">
      <c r="A599" s="7">
        <v>40851</v>
      </c>
      <c r="B599" s="8">
        <f>VLOOKUP(Table1[[#This Row],[Date]],'BUD data'!A:F,6,)</f>
        <v>43.174103000000002</v>
      </c>
      <c r="C599" s="51"/>
      <c r="D599" s="51"/>
    </row>
    <row r="600" spans="1:4" x14ac:dyDescent="0.45">
      <c r="A600" s="7">
        <v>40854</v>
      </c>
      <c r="B600" s="8">
        <f>VLOOKUP(Table1[[#This Row],[Date]],'BUD data'!A:F,6,)</f>
        <v>43.720509</v>
      </c>
      <c r="C600" s="51"/>
      <c r="D600" s="51"/>
    </row>
    <row r="601" spans="1:4" x14ac:dyDescent="0.45">
      <c r="A601" s="7">
        <v>40855</v>
      </c>
      <c r="B601" s="8">
        <f>VLOOKUP(Table1[[#This Row],[Date]],'BUD data'!A:F,6,)</f>
        <v>45.138004000000002</v>
      </c>
      <c r="C601" s="51"/>
      <c r="D601" s="51"/>
    </row>
    <row r="602" spans="1:4" x14ac:dyDescent="0.45">
      <c r="A602" s="7">
        <v>40856</v>
      </c>
      <c r="B602" s="8">
        <f>VLOOKUP(Table1[[#This Row],[Date]],'BUD data'!A:F,6,)</f>
        <v>44.512405000000001</v>
      </c>
      <c r="C602" s="51"/>
      <c r="D602" s="51"/>
    </row>
    <row r="603" spans="1:4" x14ac:dyDescent="0.45">
      <c r="A603" s="7">
        <v>40857</v>
      </c>
      <c r="B603" s="8">
        <f>VLOOKUP(Table1[[#This Row],[Date]],'BUD data'!A:F,6,)</f>
        <v>45.502276999999999</v>
      </c>
      <c r="C603" s="51"/>
      <c r="D603" s="51"/>
    </row>
    <row r="604" spans="1:4" x14ac:dyDescent="0.45">
      <c r="A604" s="7">
        <v>40858</v>
      </c>
      <c r="B604" s="8">
        <f>VLOOKUP(Table1[[#This Row],[Date]],'BUD data'!A:F,6,)</f>
        <v>46.951430999999999</v>
      </c>
      <c r="C604" s="51"/>
      <c r="D604" s="51"/>
    </row>
    <row r="605" spans="1:4" x14ac:dyDescent="0.45">
      <c r="A605" s="7">
        <v>40861</v>
      </c>
      <c r="B605" s="8">
        <f>VLOOKUP(Table1[[#This Row],[Date]],'BUD data'!A:F,6,)</f>
        <v>45.644813999999997</v>
      </c>
      <c r="C605" s="51"/>
      <c r="D605" s="51"/>
    </row>
    <row r="606" spans="1:4" x14ac:dyDescent="0.45">
      <c r="A606" s="7">
        <v>40862</v>
      </c>
      <c r="B606" s="8">
        <f>VLOOKUP(Table1[[#This Row],[Date]],'BUD data'!A:F,6,)</f>
        <v>45.518112000000002</v>
      </c>
      <c r="C606" s="51"/>
      <c r="D606" s="51"/>
    </row>
    <row r="607" spans="1:4" x14ac:dyDescent="0.45">
      <c r="A607" s="7">
        <v>40863</v>
      </c>
      <c r="B607" s="8">
        <f>VLOOKUP(Table1[[#This Row],[Date]],'BUD data'!A:F,6,)</f>
        <v>45.359726000000002</v>
      </c>
      <c r="C607" s="51"/>
      <c r="D607" s="51"/>
    </row>
    <row r="608" spans="1:4" x14ac:dyDescent="0.45">
      <c r="A608" s="7">
        <v>40864</v>
      </c>
      <c r="B608" s="8">
        <f>VLOOKUP(Table1[[#This Row],[Date]],'BUD data'!A:F,6,)</f>
        <v>45.240952</v>
      </c>
      <c r="C608" s="51"/>
      <c r="D608" s="51"/>
    </row>
    <row r="609" spans="1:4" x14ac:dyDescent="0.45">
      <c r="A609" s="7">
        <v>40865</v>
      </c>
      <c r="B609" s="8">
        <f>VLOOKUP(Table1[[#This Row],[Date]],'BUD data'!A:F,6,)</f>
        <v>45.716076000000001</v>
      </c>
      <c r="C609" s="51"/>
      <c r="D609" s="51"/>
    </row>
    <row r="610" spans="1:4" x14ac:dyDescent="0.45">
      <c r="A610" s="7">
        <v>40868</v>
      </c>
      <c r="B610" s="8">
        <f>VLOOKUP(Table1[[#This Row],[Date]],'BUD data'!A:F,6,)</f>
        <v>45.391402999999997</v>
      </c>
      <c r="C610" s="51"/>
      <c r="D610" s="51"/>
    </row>
    <row r="611" spans="1:4" x14ac:dyDescent="0.45">
      <c r="A611" s="7">
        <v>40869</v>
      </c>
      <c r="B611" s="8">
        <f>VLOOKUP(Table1[[#This Row],[Date]],'BUD data'!A:F,6,)</f>
        <v>46.080353000000002</v>
      </c>
      <c r="C611" s="51"/>
      <c r="D611" s="51"/>
    </row>
    <row r="612" spans="1:4" x14ac:dyDescent="0.45">
      <c r="A612" s="7">
        <v>40870</v>
      </c>
      <c r="B612" s="8">
        <f>VLOOKUP(Table1[[#This Row],[Date]],'BUD data'!A:F,6,)</f>
        <v>45.035049000000001</v>
      </c>
      <c r="C612" s="51"/>
      <c r="D612" s="51"/>
    </row>
    <row r="613" spans="1:4" x14ac:dyDescent="0.45">
      <c r="A613" s="7">
        <v>40872</v>
      </c>
      <c r="B613" s="8">
        <f>VLOOKUP(Table1[[#This Row],[Date]],'BUD data'!A:F,6,)</f>
        <v>44.615360000000003</v>
      </c>
      <c r="C613" s="51"/>
      <c r="D613" s="51"/>
    </row>
    <row r="614" spans="1:4" x14ac:dyDescent="0.45">
      <c r="A614" s="7">
        <v>40875</v>
      </c>
      <c r="B614" s="8">
        <f>VLOOKUP(Table1[[#This Row],[Date]],'BUD data'!A:F,6,)</f>
        <v>46.104111000000003</v>
      </c>
      <c r="C614" s="51"/>
      <c r="D614" s="51"/>
    </row>
    <row r="615" spans="1:4" x14ac:dyDescent="0.45">
      <c r="A615" s="7">
        <v>40876</v>
      </c>
      <c r="B615" s="8">
        <f>VLOOKUP(Table1[[#This Row],[Date]],'BUD data'!A:F,6,)</f>
        <v>46.278323999999998</v>
      </c>
      <c r="C615" s="51"/>
      <c r="D615" s="51"/>
    </row>
    <row r="616" spans="1:4" x14ac:dyDescent="0.45">
      <c r="A616" s="7">
        <v>40877</v>
      </c>
      <c r="B616" s="8">
        <f>VLOOKUP(Table1[[#This Row],[Date]],'BUD data'!A:F,6,)</f>
        <v>47.513691000000001</v>
      </c>
      <c r="C616" s="51"/>
      <c r="D616" s="51"/>
    </row>
    <row r="617" spans="1:4" x14ac:dyDescent="0.45">
      <c r="A617" s="7">
        <v>40878</v>
      </c>
      <c r="B617" s="8">
        <f>VLOOKUP(Table1[[#This Row],[Date]],'BUD data'!A:F,6,)</f>
        <v>47.363232000000004</v>
      </c>
      <c r="C617" s="51"/>
      <c r="D617" s="51"/>
    </row>
    <row r="618" spans="1:4" x14ac:dyDescent="0.45">
      <c r="A618" s="7">
        <v>40879</v>
      </c>
      <c r="B618" s="8">
        <f>VLOOKUP(Table1[[#This Row],[Date]],'BUD data'!A:F,6,)</f>
        <v>47.442421000000003</v>
      </c>
      <c r="C618" s="51"/>
      <c r="D618" s="51"/>
    </row>
    <row r="619" spans="1:4" x14ac:dyDescent="0.45">
      <c r="A619" s="7">
        <v>40882</v>
      </c>
      <c r="B619" s="8">
        <f>VLOOKUP(Table1[[#This Row],[Date]],'BUD data'!A:F,6,)</f>
        <v>47.672066000000001</v>
      </c>
      <c r="C619" s="51"/>
      <c r="D619" s="51"/>
    </row>
    <row r="620" spans="1:4" x14ac:dyDescent="0.45">
      <c r="A620" s="7">
        <v>40883</v>
      </c>
      <c r="B620" s="8">
        <f>VLOOKUP(Table1[[#This Row],[Date]],'BUD data'!A:F,6,)</f>
        <v>47.276122999999998</v>
      </c>
      <c r="C620" s="51"/>
      <c r="D620" s="51"/>
    </row>
    <row r="621" spans="1:4" x14ac:dyDescent="0.45">
      <c r="A621" s="7">
        <v>40884</v>
      </c>
      <c r="B621" s="8">
        <f>VLOOKUP(Table1[[#This Row],[Date]],'BUD data'!A:F,6,)</f>
        <v>47.648304000000003</v>
      </c>
      <c r="C621" s="51"/>
      <c r="D621" s="51"/>
    </row>
    <row r="622" spans="1:4" x14ac:dyDescent="0.45">
      <c r="A622" s="7">
        <v>40885</v>
      </c>
      <c r="B622" s="8">
        <f>VLOOKUP(Table1[[#This Row],[Date]],'BUD data'!A:F,6,)</f>
        <v>47.006874000000003</v>
      </c>
      <c r="C622" s="51"/>
      <c r="D622" s="51"/>
    </row>
    <row r="623" spans="1:4" x14ac:dyDescent="0.45">
      <c r="A623" s="7">
        <v>40886</v>
      </c>
      <c r="B623" s="8">
        <f>VLOOKUP(Table1[[#This Row],[Date]],'BUD data'!A:F,6,)</f>
        <v>46.975200999999998</v>
      </c>
      <c r="C623" s="51"/>
      <c r="D623" s="51"/>
    </row>
    <row r="624" spans="1:4" x14ac:dyDescent="0.45">
      <c r="A624" s="7">
        <v>40889</v>
      </c>
      <c r="B624" s="8">
        <f>VLOOKUP(Table1[[#This Row],[Date]],'BUD data'!A:F,6,)</f>
        <v>46.349606000000001</v>
      </c>
      <c r="C624" s="51"/>
      <c r="D624" s="51"/>
    </row>
    <row r="625" spans="1:4" x14ac:dyDescent="0.45">
      <c r="A625" s="7">
        <v>40890</v>
      </c>
      <c r="B625" s="8">
        <f>VLOOKUP(Table1[[#This Row],[Date]],'BUD data'!A:F,6,)</f>
        <v>45.771518999999998</v>
      </c>
      <c r="C625" s="51"/>
      <c r="D625" s="51"/>
    </row>
    <row r="626" spans="1:4" x14ac:dyDescent="0.45">
      <c r="A626" s="7">
        <v>40891</v>
      </c>
      <c r="B626" s="8">
        <f>VLOOKUP(Table1[[#This Row],[Date]],'BUD data'!A:F,6,)</f>
        <v>45.446846000000001</v>
      </c>
      <c r="C626" s="51"/>
      <c r="D626" s="51"/>
    </row>
    <row r="627" spans="1:4" x14ac:dyDescent="0.45">
      <c r="A627" s="7">
        <v>40892</v>
      </c>
      <c r="B627" s="8">
        <f>VLOOKUP(Table1[[#This Row],[Date]],'BUD data'!A:F,6,)</f>
        <v>45.985325000000003</v>
      </c>
      <c r="C627" s="51"/>
      <c r="D627" s="51"/>
    </row>
    <row r="628" spans="1:4" x14ac:dyDescent="0.45">
      <c r="A628" s="7">
        <v>40893</v>
      </c>
      <c r="B628" s="8">
        <f>VLOOKUP(Table1[[#This Row],[Date]],'BUD data'!A:F,6,)</f>
        <v>45.898215999999998</v>
      </c>
      <c r="C628" s="51"/>
      <c r="D628" s="51"/>
    </row>
    <row r="629" spans="1:4" x14ac:dyDescent="0.45">
      <c r="A629" s="7">
        <v>40896</v>
      </c>
      <c r="B629" s="8">
        <f>VLOOKUP(Table1[[#This Row],[Date]],'BUD data'!A:F,6,)</f>
        <v>46.333762999999998</v>
      </c>
      <c r="C629" s="51"/>
      <c r="D629" s="51"/>
    </row>
    <row r="630" spans="1:4" x14ac:dyDescent="0.45">
      <c r="A630" s="7">
        <v>40897</v>
      </c>
      <c r="B630" s="8">
        <f>VLOOKUP(Table1[[#This Row],[Date]],'BUD data'!A:F,6,)</f>
        <v>46.864342000000001</v>
      </c>
      <c r="C630" s="51"/>
      <c r="D630" s="51"/>
    </row>
    <row r="631" spans="1:4" x14ac:dyDescent="0.45">
      <c r="A631" s="7">
        <v>40898</v>
      </c>
      <c r="B631" s="8">
        <f>VLOOKUP(Table1[[#This Row],[Date]],'BUD data'!A:F,6,)</f>
        <v>46.737625000000001</v>
      </c>
      <c r="C631" s="51"/>
      <c r="D631" s="51"/>
    </row>
    <row r="632" spans="1:4" x14ac:dyDescent="0.45">
      <c r="A632" s="7">
        <v>40899</v>
      </c>
      <c r="B632" s="8">
        <f>VLOOKUP(Table1[[#This Row],[Date]],'BUD data'!A:F,6,)</f>
        <v>47.291953999999997</v>
      </c>
      <c r="C632" s="51"/>
      <c r="D632" s="51"/>
    </row>
    <row r="633" spans="1:4" x14ac:dyDescent="0.45">
      <c r="A633" s="7">
        <v>40900</v>
      </c>
      <c r="B633" s="8">
        <f>VLOOKUP(Table1[[#This Row],[Date]],'BUD data'!A:F,6,)</f>
        <v>47.537436999999997</v>
      </c>
      <c r="C633" s="51"/>
      <c r="D633" s="51"/>
    </row>
    <row r="634" spans="1:4" x14ac:dyDescent="0.45">
      <c r="A634" s="7">
        <v>40904</v>
      </c>
      <c r="B634" s="8">
        <f>VLOOKUP(Table1[[#This Row],[Date]],'BUD data'!A:F,6,)</f>
        <v>48.075927999999998</v>
      </c>
      <c r="C634" s="51"/>
      <c r="D634" s="51"/>
    </row>
    <row r="635" spans="1:4" x14ac:dyDescent="0.45">
      <c r="A635" s="7">
        <v>40905</v>
      </c>
      <c r="B635" s="8">
        <f>VLOOKUP(Table1[[#This Row],[Date]],'BUD data'!A:F,6,)</f>
        <v>47.624554000000003</v>
      </c>
      <c r="C635" s="51"/>
      <c r="D635" s="51"/>
    </row>
    <row r="636" spans="1:4" x14ac:dyDescent="0.45">
      <c r="A636" s="7">
        <v>40906</v>
      </c>
      <c r="B636" s="8">
        <f>VLOOKUP(Table1[[#This Row],[Date]],'BUD data'!A:F,6,)</f>
        <v>48.471885999999998</v>
      </c>
      <c r="C636" s="51"/>
      <c r="D636" s="51"/>
    </row>
    <row r="637" spans="1:4" x14ac:dyDescent="0.45">
      <c r="A637" s="7">
        <v>40907</v>
      </c>
      <c r="B637" s="8">
        <f>VLOOKUP(Table1[[#This Row],[Date]],'BUD data'!A:F,6,)</f>
        <v>48.297660999999998</v>
      </c>
      <c r="C637" s="51"/>
      <c r="D637" s="51"/>
    </row>
    <row r="638" spans="1:4" x14ac:dyDescent="0.45">
      <c r="A638" s="7">
        <v>40911</v>
      </c>
      <c r="B638" s="8">
        <f>VLOOKUP(Table1[[#This Row],[Date]],'BUD data'!A:F,6,)</f>
        <v>48.598579000000001</v>
      </c>
      <c r="C638" s="51"/>
      <c r="D638" s="51"/>
    </row>
    <row r="639" spans="1:4" x14ac:dyDescent="0.45">
      <c r="A639" s="7">
        <v>40912</v>
      </c>
      <c r="B639" s="8">
        <f>VLOOKUP(Table1[[#This Row],[Date]],'BUD data'!A:F,6,)</f>
        <v>47.529522</v>
      </c>
      <c r="C639" s="51"/>
      <c r="D639" s="51"/>
    </row>
    <row r="640" spans="1:4" x14ac:dyDescent="0.45">
      <c r="A640" s="7">
        <v>40913</v>
      </c>
      <c r="B640" s="8">
        <f>VLOOKUP(Table1[[#This Row],[Date]],'BUD data'!A:F,6,)</f>
        <v>47.474097999999998</v>
      </c>
      <c r="C640" s="51"/>
      <c r="D640" s="51"/>
    </row>
    <row r="641" spans="1:4" x14ac:dyDescent="0.45">
      <c r="A641" s="7">
        <v>40914</v>
      </c>
      <c r="B641" s="8">
        <f>VLOOKUP(Table1[[#This Row],[Date]],'BUD data'!A:F,6,)</f>
        <v>46.658442999999998</v>
      </c>
      <c r="C641" s="51"/>
      <c r="D641" s="51"/>
    </row>
    <row r="642" spans="1:4" x14ac:dyDescent="0.45">
      <c r="A642" s="7">
        <v>40917</v>
      </c>
      <c r="B642" s="8">
        <f>VLOOKUP(Table1[[#This Row],[Date]],'BUD data'!A:F,6,)</f>
        <v>48.210555999999997</v>
      </c>
      <c r="C642" s="51"/>
      <c r="D642" s="51"/>
    </row>
    <row r="643" spans="1:4" x14ac:dyDescent="0.45">
      <c r="A643" s="7">
        <v>40918</v>
      </c>
      <c r="B643" s="8">
        <f>VLOOKUP(Table1[[#This Row],[Date]],'BUD data'!A:F,6,)</f>
        <v>48.408526999999999</v>
      </c>
      <c r="C643" s="51"/>
      <c r="D643" s="51"/>
    </row>
    <row r="644" spans="1:4" x14ac:dyDescent="0.45">
      <c r="A644" s="7">
        <v>40919</v>
      </c>
      <c r="B644" s="8">
        <f>VLOOKUP(Table1[[#This Row],[Date]],'BUD data'!A:F,6,)</f>
        <v>47.917549000000001</v>
      </c>
      <c r="C644" s="51"/>
      <c r="D644" s="51"/>
    </row>
    <row r="645" spans="1:4" x14ac:dyDescent="0.45">
      <c r="A645" s="7">
        <v>40920</v>
      </c>
      <c r="B645" s="8">
        <f>VLOOKUP(Table1[[#This Row],[Date]],'BUD data'!A:F,6,)</f>
        <v>48.297660999999998</v>
      </c>
      <c r="C645" s="51"/>
      <c r="D645" s="51"/>
    </row>
    <row r="646" spans="1:4" x14ac:dyDescent="0.45">
      <c r="A646" s="7">
        <v>40921</v>
      </c>
      <c r="B646" s="8">
        <f>VLOOKUP(Table1[[#This Row],[Date]],'BUD data'!A:F,6,)</f>
        <v>47.212764999999997</v>
      </c>
      <c r="C646" s="51"/>
      <c r="D646" s="51"/>
    </row>
    <row r="647" spans="1:4" x14ac:dyDescent="0.45">
      <c r="A647" s="7">
        <v>40925</v>
      </c>
      <c r="B647" s="8">
        <f>VLOOKUP(Table1[[#This Row],[Date]],'BUD data'!A:F,6,)</f>
        <v>48.099693000000002</v>
      </c>
      <c r="C647" s="51"/>
      <c r="D647" s="51"/>
    </row>
    <row r="648" spans="1:4" x14ac:dyDescent="0.45">
      <c r="A648" s="7">
        <v>40926</v>
      </c>
      <c r="B648" s="8">
        <f>VLOOKUP(Table1[[#This Row],[Date]],'BUD data'!A:F,6,)</f>
        <v>49.065804</v>
      </c>
      <c r="C648" s="51"/>
      <c r="D648" s="51"/>
    </row>
    <row r="649" spans="1:4" x14ac:dyDescent="0.45">
      <c r="A649" s="7">
        <v>40927</v>
      </c>
      <c r="B649" s="8">
        <f>VLOOKUP(Table1[[#This Row],[Date]],'BUD data'!A:F,6,)</f>
        <v>49.453826999999997</v>
      </c>
      <c r="C649" s="51"/>
      <c r="D649" s="51"/>
    </row>
    <row r="650" spans="1:4" x14ac:dyDescent="0.45">
      <c r="A650" s="7">
        <v>40928</v>
      </c>
      <c r="B650" s="8">
        <f>VLOOKUP(Table1[[#This Row],[Date]],'BUD data'!A:F,6,)</f>
        <v>49.184593</v>
      </c>
      <c r="C650" s="51"/>
      <c r="D650" s="51"/>
    </row>
    <row r="651" spans="1:4" x14ac:dyDescent="0.45">
      <c r="A651" s="7">
        <v>40931</v>
      </c>
      <c r="B651" s="8">
        <f>VLOOKUP(Table1[[#This Row],[Date]],'BUD data'!A:F,6,)</f>
        <v>48.416438999999997</v>
      </c>
      <c r="C651" s="51"/>
      <c r="D651" s="51"/>
    </row>
    <row r="652" spans="1:4" x14ac:dyDescent="0.45">
      <c r="A652" s="7">
        <v>40932</v>
      </c>
      <c r="B652" s="8">
        <f>VLOOKUP(Table1[[#This Row],[Date]],'BUD data'!A:F,6,)</f>
        <v>48.654010999999997</v>
      </c>
      <c r="C652" s="51"/>
      <c r="D652" s="51"/>
    </row>
    <row r="653" spans="1:4" x14ac:dyDescent="0.45">
      <c r="A653" s="7">
        <v>40933</v>
      </c>
      <c r="B653" s="8">
        <f>VLOOKUP(Table1[[#This Row],[Date]],'BUD data'!A:F,6,)</f>
        <v>49.232093999999996</v>
      </c>
      <c r="C653" s="51"/>
      <c r="D653" s="51"/>
    </row>
    <row r="654" spans="1:4" x14ac:dyDescent="0.45">
      <c r="A654" s="7">
        <v>40934</v>
      </c>
      <c r="B654" s="8">
        <f>VLOOKUP(Table1[[#This Row],[Date]],'BUD data'!A:F,6,)</f>
        <v>49.010368</v>
      </c>
      <c r="C654" s="51"/>
      <c r="D654" s="51"/>
    </row>
    <row r="655" spans="1:4" x14ac:dyDescent="0.45">
      <c r="A655" s="7">
        <v>40935</v>
      </c>
      <c r="B655" s="8">
        <f>VLOOKUP(Table1[[#This Row],[Date]],'BUD data'!A:F,6,)</f>
        <v>48.741123000000002</v>
      </c>
      <c r="C655" s="51"/>
      <c r="D655" s="51"/>
    </row>
    <row r="656" spans="1:4" x14ac:dyDescent="0.45">
      <c r="A656" s="7">
        <v>40938</v>
      </c>
      <c r="B656" s="8">
        <f>VLOOKUP(Table1[[#This Row],[Date]],'BUD data'!A:F,6,)</f>
        <v>48.392696000000001</v>
      </c>
      <c r="C656" s="51"/>
      <c r="D656" s="51"/>
    </row>
    <row r="657" spans="1:4" x14ac:dyDescent="0.45">
      <c r="A657" s="7">
        <v>40939</v>
      </c>
      <c r="B657" s="8">
        <f>VLOOKUP(Table1[[#This Row],[Date]],'BUD data'!A:F,6,)</f>
        <v>48.147193999999999</v>
      </c>
      <c r="C657" s="51"/>
      <c r="D657" s="51"/>
    </row>
    <row r="658" spans="1:4" x14ac:dyDescent="0.45">
      <c r="A658" s="7">
        <v>40940</v>
      </c>
      <c r="B658" s="8">
        <f>VLOOKUP(Table1[[#This Row],[Date]],'BUD data'!A:F,6,)</f>
        <v>49.683478999999998</v>
      </c>
      <c r="C658" s="51"/>
      <c r="D658" s="51"/>
    </row>
    <row r="659" spans="1:4" x14ac:dyDescent="0.45">
      <c r="A659" s="7">
        <v>40941</v>
      </c>
      <c r="B659" s="8">
        <f>VLOOKUP(Table1[[#This Row],[Date]],'BUD data'!A:F,6,)</f>
        <v>49.897289000000001</v>
      </c>
      <c r="C659" s="51"/>
      <c r="D659" s="51"/>
    </row>
    <row r="660" spans="1:4" x14ac:dyDescent="0.45">
      <c r="A660" s="7">
        <v>40942</v>
      </c>
      <c r="B660" s="8">
        <f>VLOOKUP(Table1[[#This Row],[Date]],'BUD data'!A:F,6,)</f>
        <v>51.124724999999998</v>
      </c>
      <c r="C660" s="51"/>
      <c r="D660" s="51"/>
    </row>
    <row r="661" spans="1:4" x14ac:dyDescent="0.45">
      <c r="A661" s="7">
        <v>40945</v>
      </c>
      <c r="B661" s="8">
        <f>VLOOKUP(Table1[[#This Row],[Date]],'BUD data'!A:F,6,)</f>
        <v>50.720866999999998</v>
      </c>
      <c r="C661" s="51"/>
      <c r="D661" s="51"/>
    </row>
    <row r="662" spans="1:4" x14ac:dyDescent="0.45">
      <c r="A662" s="7">
        <v>40946</v>
      </c>
      <c r="B662" s="8">
        <f>VLOOKUP(Table1[[#This Row],[Date]],'BUD data'!A:F,6,)</f>
        <v>51.330624</v>
      </c>
      <c r="C662" s="51"/>
      <c r="D662" s="51"/>
    </row>
    <row r="663" spans="1:4" x14ac:dyDescent="0.45">
      <c r="A663" s="7">
        <v>40947</v>
      </c>
      <c r="B663" s="8">
        <f>VLOOKUP(Table1[[#This Row],[Date]],'BUD data'!A:F,6,)</f>
        <v>51.037609000000003</v>
      </c>
      <c r="C663" s="51"/>
      <c r="D663" s="51"/>
    </row>
    <row r="664" spans="1:4" x14ac:dyDescent="0.45">
      <c r="A664" s="7">
        <v>40948</v>
      </c>
      <c r="B664" s="8">
        <f>VLOOKUP(Table1[[#This Row],[Date]],'BUD data'!A:F,6,)</f>
        <v>51.671135</v>
      </c>
      <c r="C664" s="51"/>
      <c r="D664" s="51"/>
    </row>
    <row r="665" spans="1:4" x14ac:dyDescent="0.45">
      <c r="A665" s="7">
        <v>40949</v>
      </c>
      <c r="B665" s="8">
        <f>VLOOKUP(Table1[[#This Row],[Date]],'BUD data'!A:F,6,)</f>
        <v>50.895080999999998</v>
      </c>
      <c r="C665" s="51"/>
      <c r="D665" s="51"/>
    </row>
    <row r="666" spans="1:4" x14ac:dyDescent="0.45">
      <c r="A666" s="7">
        <v>40952</v>
      </c>
      <c r="B666" s="8">
        <f>VLOOKUP(Table1[[#This Row],[Date]],'BUD data'!A:F,6,)</f>
        <v>51.457324999999997</v>
      </c>
      <c r="C666" s="51"/>
      <c r="D666" s="51"/>
    </row>
    <row r="667" spans="1:4" x14ac:dyDescent="0.45">
      <c r="A667" s="7">
        <v>40953</v>
      </c>
      <c r="B667" s="8">
        <f>VLOOKUP(Table1[[#This Row],[Date]],'BUD data'!A:F,6,)</f>
        <v>51.243507000000001</v>
      </c>
      <c r="C667" s="51"/>
      <c r="D667" s="51"/>
    </row>
    <row r="668" spans="1:4" x14ac:dyDescent="0.45">
      <c r="A668" s="7">
        <v>40954</v>
      </c>
      <c r="B668" s="8">
        <f>VLOOKUP(Table1[[#This Row],[Date]],'BUD data'!A:F,6,)</f>
        <v>50.863402999999998</v>
      </c>
      <c r="C668" s="51"/>
      <c r="D668" s="51"/>
    </row>
    <row r="669" spans="1:4" x14ac:dyDescent="0.45">
      <c r="A669" s="7">
        <v>40955</v>
      </c>
      <c r="B669" s="8">
        <f>VLOOKUP(Table1[[#This Row],[Date]],'BUD data'!A:F,6,)</f>
        <v>51.766162999999999</v>
      </c>
      <c r="C669" s="51"/>
      <c r="D669" s="51"/>
    </row>
    <row r="670" spans="1:4" x14ac:dyDescent="0.45">
      <c r="A670" s="7">
        <v>40956</v>
      </c>
      <c r="B670" s="8">
        <f>VLOOKUP(Table1[[#This Row],[Date]],'BUD data'!A:F,6,)</f>
        <v>51.766162999999999</v>
      </c>
      <c r="C670" s="51"/>
      <c r="D670" s="51"/>
    </row>
    <row r="671" spans="1:4" x14ac:dyDescent="0.45">
      <c r="A671" s="7">
        <v>40960</v>
      </c>
      <c r="B671" s="8">
        <f>VLOOKUP(Table1[[#This Row],[Date]],'BUD data'!A:F,6,)</f>
        <v>51.861179</v>
      </c>
      <c r="C671" s="51"/>
      <c r="D671" s="51"/>
    </row>
    <row r="672" spans="1:4" x14ac:dyDescent="0.45">
      <c r="A672" s="7">
        <v>40961</v>
      </c>
      <c r="B672" s="8">
        <f>VLOOKUP(Table1[[#This Row],[Date]],'BUD data'!A:F,6,)</f>
        <v>52.067073999999998</v>
      </c>
      <c r="C672" s="51"/>
      <c r="D672" s="51"/>
    </row>
    <row r="673" spans="1:4" x14ac:dyDescent="0.45">
      <c r="A673" s="7">
        <v>40962</v>
      </c>
      <c r="B673" s="8">
        <f>VLOOKUP(Table1[[#This Row],[Date]],'BUD data'!A:F,6,)</f>
        <v>52.265048999999998</v>
      </c>
      <c r="C673" s="51"/>
      <c r="D673" s="51"/>
    </row>
    <row r="674" spans="1:4" x14ac:dyDescent="0.45">
      <c r="A674" s="7">
        <v>40963</v>
      </c>
      <c r="B674" s="8">
        <f>VLOOKUP(Table1[[#This Row],[Date]],'BUD data'!A:F,6,)</f>
        <v>52.463031999999998</v>
      </c>
      <c r="C674" s="51"/>
      <c r="D674" s="51"/>
    </row>
    <row r="675" spans="1:4" x14ac:dyDescent="0.45">
      <c r="A675" s="7">
        <v>40966</v>
      </c>
      <c r="B675" s="8">
        <f>VLOOKUP(Table1[[#This Row],[Date]],'BUD data'!A:F,6,)</f>
        <v>52.257133000000003</v>
      </c>
      <c r="C675" s="51"/>
      <c r="D675" s="51"/>
    </row>
    <row r="676" spans="1:4" x14ac:dyDescent="0.45">
      <c r="A676" s="7">
        <v>40967</v>
      </c>
      <c r="B676" s="8">
        <f>VLOOKUP(Table1[[#This Row],[Date]],'BUD data'!A:F,6,)</f>
        <v>52.938167999999997</v>
      </c>
      <c r="C676" s="51"/>
      <c r="D676" s="51"/>
    </row>
    <row r="677" spans="1:4" x14ac:dyDescent="0.45">
      <c r="A677" s="7">
        <v>40968</v>
      </c>
      <c r="B677" s="8">
        <f>VLOOKUP(Table1[[#This Row],[Date]],'BUD data'!A:F,6,)</f>
        <v>53.254921000000003</v>
      </c>
      <c r="C677" s="51"/>
      <c r="D677" s="51"/>
    </row>
    <row r="678" spans="1:4" x14ac:dyDescent="0.45">
      <c r="A678" s="7">
        <v>40969</v>
      </c>
      <c r="B678" s="8">
        <f>VLOOKUP(Table1[[#This Row],[Date]],'BUD data'!A:F,6,)</f>
        <v>54.181438</v>
      </c>
      <c r="C678" s="51"/>
      <c r="D678" s="51"/>
    </row>
    <row r="679" spans="1:4" x14ac:dyDescent="0.45">
      <c r="A679" s="7">
        <v>40970</v>
      </c>
      <c r="B679" s="8">
        <f>VLOOKUP(Table1[[#This Row],[Date]],'BUD data'!A:F,6,)</f>
        <v>52.961925999999998</v>
      </c>
      <c r="C679" s="51"/>
      <c r="D679" s="51"/>
    </row>
    <row r="680" spans="1:4" x14ac:dyDescent="0.45">
      <c r="A680" s="7">
        <v>40973</v>
      </c>
      <c r="B680" s="8">
        <f>VLOOKUP(Table1[[#This Row],[Date]],'BUD data'!A:F,6,)</f>
        <v>53.254921000000003</v>
      </c>
      <c r="C680" s="51"/>
      <c r="D680" s="51"/>
    </row>
    <row r="681" spans="1:4" x14ac:dyDescent="0.45">
      <c r="A681" s="7">
        <v>40974</v>
      </c>
      <c r="B681" s="8">
        <f>VLOOKUP(Table1[[#This Row],[Date]],'BUD data'!A:F,6,)</f>
        <v>52.170029</v>
      </c>
      <c r="C681" s="51"/>
      <c r="D681" s="51"/>
    </row>
    <row r="682" spans="1:4" x14ac:dyDescent="0.45">
      <c r="A682" s="7">
        <v>40975</v>
      </c>
      <c r="B682" s="8">
        <f>VLOOKUP(Table1[[#This Row],[Date]],'BUD data'!A:F,6,)</f>
        <v>52.953999000000003</v>
      </c>
      <c r="C682" s="51"/>
      <c r="D682" s="51"/>
    </row>
    <row r="683" spans="1:4" x14ac:dyDescent="0.45">
      <c r="A683" s="7">
        <v>40976</v>
      </c>
      <c r="B683" s="8">
        <f>VLOOKUP(Table1[[#This Row],[Date]],'BUD data'!A:F,6,)</f>
        <v>55.084193999999997</v>
      </c>
      <c r="C683" s="51"/>
      <c r="D683" s="51"/>
    </row>
    <row r="684" spans="1:4" x14ac:dyDescent="0.45">
      <c r="A684" s="7">
        <v>40977</v>
      </c>
      <c r="B684" s="8">
        <f>VLOOKUP(Table1[[#This Row],[Date]],'BUD data'!A:F,6,)</f>
        <v>55.084193999999997</v>
      </c>
      <c r="C684" s="51"/>
      <c r="D684" s="51"/>
    </row>
    <row r="685" spans="1:4" x14ac:dyDescent="0.45">
      <c r="A685" s="7">
        <v>40980</v>
      </c>
      <c r="B685" s="8">
        <f>VLOOKUP(Table1[[#This Row],[Date]],'BUD data'!A:F,6,)</f>
        <v>56.137424000000003</v>
      </c>
      <c r="C685" s="51"/>
      <c r="D685" s="51"/>
    </row>
    <row r="686" spans="1:4" x14ac:dyDescent="0.45">
      <c r="A686" s="7">
        <v>40981</v>
      </c>
      <c r="B686" s="8">
        <f>VLOOKUP(Table1[[#This Row],[Date]],'BUD data'!A:F,6,)</f>
        <v>56.770935000000001</v>
      </c>
      <c r="C686" s="51"/>
      <c r="D686" s="51"/>
    </row>
    <row r="687" spans="1:4" x14ac:dyDescent="0.45">
      <c r="A687" s="7">
        <v>40982</v>
      </c>
      <c r="B687" s="8">
        <f>VLOOKUP(Table1[[#This Row],[Date]],'BUD data'!A:F,6,)</f>
        <v>56.565041000000001</v>
      </c>
      <c r="C687" s="51"/>
      <c r="D687" s="51"/>
    </row>
    <row r="688" spans="1:4" x14ac:dyDescent="0.45">
      <c r="A688" s="7">
        <v>40983</v>
      </c>
      <c r="B688" s="8">
        <f>VLOOKUP(Table1[[#This Row],[Date]],'BUD data'!A:F,6,)</f>
        <v>56.541297999999998</v>
      </c>
      <c r="C688" s="51"/>
      <c r="D688" s="51"/>
    </row>
    <row r="689" spans="1:4" x14ac:dyDescent="0.45">
      <c r="A689" s="7">
        <v>40984</v>
      </c>
      <c r="B689" s="8">
        <f>VLOOKUP(Table1[[#This Row],[Date]],'BUD data'!A:F,6,)</f>
        <v>57.28566</v>
      </c>
      <c r="C689" s="51"/>
      <c r="D689" s="51"/>
    </row>
    <row r="690" spans="1:4" x14ac:dyDescent="0.45">
      <c r="A690" s="7">
        <v>40987</v>
      </c>
      <c r="B690" s="8">
        <f>VLOOKUP(Table1[[#This Row],[Date]],'BUD data'!A:F,6,)</f>
        <v>57.32526</v>
      </c>
      <c r="C690" s="51"/>
      <c r="D690" s="51"/>
    </row>
    <row r="691" spans="1:4" x14ac:dyDescent="0.45">
      <c r="A691" s="7">
        <v>40988</v>
      </c>
      <c r="B691" s="8">
        <f>VLOOKUP(Table1[[#This Row],[Date]],'BUD data'!A:F,6,)</f>
        <v>57.317345000000003</v>
      </c>
      <c r="C691" s="51"/>
      <c r="D691" s="51"/>
    </row>
    <row r="692" spans="1:4" x14ac:dyDescent="0.45">
      <c r="A692" s="7">
        <v>40989</v>
      </c>
      <c r="B692" s="8">
        <f>VLOOKUP(Table1[[#This Row],[Date]],'BUD data'!A:F,6,)</f>
        <v>57.380702999999997</v>
      </c>
      <c r="C692" s="51"/>
      <c r="D692" s="51"/>
    </row>
    <row r="693" spans="1:4" x14ac:dyDescent="0.45">
      <c r="A693" s="7">
        <v>40990</v>
      </c>
      <c r="B693" s="8">
        <f>VLOOKUP(Table1[[#This Row],[Date]],'BUD data'!A:F,6,)</f>
        <v>57.507404000000001</v>
      </c>
      <c r="C693" s="51"/>
      <c r="D693" s="51"/>
    </row>
    <row r="694" spans="1:4" x14ac:dyDescent="0.45">
      <c r="A694" s="7">
        <v>40991</v>
      </c>
      <c r="B694" s="8">
        <f>VLOOKUP(Table1[[#This Row],[Date]],'BUD data'!A:F,6,)</f>
        <v>57.135212000000003</v>
      </c>
      <c r="C694" s="51"/>
      <c r="D694" s="51"/>
    </row>
    <row r="695" spans="1:4" x14ac:dyDescent="0.45">
      <c r="A695" s="7">
        <v>40994</v>
      </c>
      <c r="B695" s="8">
        <f>VLOOKUP(Table1[[#This Row],[Date]],'BUD data'!A:F,6,)</f>
        <v>58.188437999999998</v>
      </c>
      <c r="C695" s="51"/>
      <c r="D695" s="51"/>
    </row>
    <row r="696" spans="1:4" x14ac:dyDescent="0.45">
      <c r="A696" s="7">
        <v>40995</v>
      </c>
      <c r="B696" s="8">
        <f>VLOOKUP(Table1[[#This Row],[Date]],'BUD data'!A:F,6,)</f>
        <v>57.721214000000003</v>
      </c>
      <c r="C696" s="51"/>
      <c r="D696" s="51"/>
    </row>
    <row r="697" spans="1:4" x14ac:dyDescent="0.45">
      <c r="A697" s="7">
        <v>40996</v>
      </c>
      <c r="B697" s="8">
        <f>VLOOKUP(Table1[[#This Row],[Date]],'BUD data'!A:F,6,)</f>
        <v>57.28566</v>
      </c>
      <c r="C697" s="51"/>
      <c r="D697" s="51"/>
    </row>
    <row r="698" spans="1:4" x14ac:dyDescent="0.45">
      <c r="A698" s="7">
        <v>40997</v>
      </c>
      <c r="B698" s="8">
        <f>VLOOKUP(Table1[[#This Row],[Date]],'BUD data'!A:F,6,)</f>
        <v>57.016415000000002</v>
      </c>
      <c r="C698" s="51"/>
      <c r="D698" s="51"/>
    </row>
    <row r="699" spans="1:4" x14ac:dyDescent="0.45">
      <c r="A699" s="7">
        <v>40998</v>
      </c>
      <c r="B699" s="8">
        <f>VLOOKUP(Table1[[#This Row],[Date]],'BUD data'!A:F,6,)</f>
        <v>57.586582</v>
      </c>
      <c r="C699" s="51"/>
      <c r="D699" s="51"/>
    </row>
    <row r="700" spans="1:4" x14ac:dyDescent="0.45">
      <c r="A700" s="7">
        <v>41001</v>
      </c>
      <c r="B700" s="8">
        <f>VLOOKUP(Table1[[#This Row],[Date]],'BUD data'!A:F,6,)</f>
        <v>58.140906999999999</v>
      </c>
      <c r="C700" s="51"/>
      <c r="D700" s="51"/>
    </row>
    <row r="701" spans="1:4" x14ac:dyDescent="0.45">
      <c r="A701" s="7">
        <v>41002</v>
      </c>
      <c r="B701" s="8">
        <f>VLOOKUP(Table1[[#This Row],[Date]],'BUD data'!A:F,6,)</f>
        <v>58.220100000000002</v>
      </c>
      <c r="C701" s="51"/>
      <c r="D701" s="51"/>
    </row>
    <row r="702" spans="1:4" x14ac:dyDescent="0.45">
      <c r="A702" s="7">
        <v>41003</v>
      </c>
      <c r="B702" s="8">
        <f>VLOOKUP(Table1[[#This Row],[Date]],'BUD data'!A:F,6,)</f>
        <v>56.517544000000001</v>
      </c>
      <c r="C702" s="51"/>
      <c r="D702" s="51"/>
    </row>
    <row r="703" spans="1:4" x14ac:dyDescent="0.45">
      <c r="A703" s="7">
        <v>41004</v>
      </c>
      <c r="B703" s="8">
        <f>VLOOKUP(Table1[[#This Row],[Date]],'BUD data'!A:F,6,)</f>
        <v>56.105736</v>
      </c>
      <c r="C703" s="51"/>
      <c r="D703" s="51"/>
    </row>
    <row r="704" spans="1:4" x14ac:dyDescent="0.45">
      <c r="A704" s="7">
        <v>41008</v>
      </c>
      <c r="B704" s="8">
        <f>VLOOKUP(Table1[[#This Row],[Date]],'BUD data'!A:F,6,)</f>
        <v>55.963203</v>
      </c>
      <c r="C704" s="51"/>
      <c r="D704" s="51"/>
    </row>
    <row r="705" spans="1:4" x14ac:dyDescent="0.45">
      <c r="A705" s="7">
        <v>41009</v>
      </c>
      <c r="B705" s="8">
        <f>VLOOKUP(Table1[[#This Row],[Date]],'BUD data'!A:F,6,)</f>
        <v>55.488075000000002</v>
      </c>
      <c r="C705" s="51"/>
      <c r="D705" s="51"/>
    </row>
    <row r="706" spans="1:4" x14ac:dyDescent="0.45">
      <c r="A706" s="7">
        <v>41010</v>
      </c>
      <c r="B706" s="8">
        <f>VLOOKUP(Table1[[#This Row],[Date]],'BUD data'!A:F,6,)</f>
        <v>56.295799000000002</v>
      </c>
      <c r="C706" s="51"/>
      <c r="D706" s="51"/>
    </row>
    <row r="707" spans="1:4" x14ac:dyDescent="0.45">
      <c r="A707" s="7">
        <v>41011</v>
      </c>
      <c r="B707" s="8">
        <f>VLOOKUP(Table1[[#This Row],[Date]],'BUD data'!A:F,6,)</f>
        <v>57.246077999999997</v>
      </c>
      <c r="C707" s="51"/>
      <c r="D707" s="51"/>
    </row>
    <row r="708" spans="1:4" x14ac:dyDescent="0.45">
      <c r="A708" s="7">
        <v>41012</v>
      </c>
      <c r="B708" s="8">
        <f>VLOOKUP(Table1[[#This Row],[Date]],'BUD data'!A:F,6,)</f>
        <v>56.113667</v>
      </c>
      <c r="C708" s="51"/>
      <c r="D708" s="51"/>
    </row>
    <row r="709" spans="1:4" x14ac:dyDescent="0.45">
      <c r="A709" s="7">
        <v>41015</v>
      </c>
      <c r="B709" s="8">
        <f>VLOOKUP(Table1[[#This Row],[Date]],'BUD data'!A:F,6,)</f>
        <v>57.079768999999999</v>
      </c>
      <c r="C709" s="51"/>
      <c r="D709" s="51"/>
    </row>
    <row r="710" spans="1:4" x14ac:dyDescent="0.45">
      <c r="A710" s="7">
        <v>41016</v>
      </c>
      <c r="B710" s="8">
        <f>VLOOKUP(Table1[[#This Row],[Date]],'BUD data'!A:F,6,)</f>
        <v>57.364857000000001</v>
      </c>
      <c r="C710" s="51"/>
      <c r="D710" s="51"/>
    </row>
    <row r="711" spans="1:4" x14ac:dyDescent="0.45">
      <c r="A711" s="7">
        <v>41017</v>
      </c>
      <c r="B711" s="8">
        <f>VLOOKUP(Table1[[#This Row],[Date]],'BUD data'!A:F,6,)</f>
        <v>58.489345999999998</v>
      </c>
      <c r="C711" s="51"/>
      <c r="D711" s="51"/>
    </row>
    <row r="712" spans="1:4" x14ac:dyDescent="0.45">
      <c r="A712" s="7">
        <v>41018</v>
      </c>
      <c r="B712" s="8">
        <f>VLOOKUP(Table1[[#This Row],[Date]],'BUD data'!A:F,6,)</f>
        <v>57.966686000000003</v>
      </c>
      <c r="C712" s="51"/>
      <c r="D712" s="51"/>
    </row>
    <row r="713" spans="1:4" x14ac:dyDescent="0.45">
      <c r="A713" s="7">
        <v>41019</v>
      </c>
      <c r="B713" s="8">
        <f>VLOOKUP(Table1[[#This Row],[Date]],'BUD data'!A:F,6,)</f>
        <v>57.63409</v>
      </c>
      <c r="C713" s="51"/>
      <c r="D713" s="51"/>
    </row>
    <row r="714" spans="1:4" x14ac:dyDescent="0.45">
      <c r="A714" s="7">
        <v>41022</v>
      </c>
      <c r="B714" s="8">
        <f>VLOOKUP(Table1[[#This Row],[Date]],'BUD data'!A:F,6,)</f>
        <v>56.968921999999999</v>
      </c>
      <c r="C714" s="51"/>
      <c r="D714" s="51"/>
    </row>
    <row r="715" spans="1:4" x14ac:dyDescent="0.45">
      <c r="A715" s="7">
        <v>41023</v>
      </c>
      <c r="B715" s="8">
        <f>VLOOKUP(Table1[[#This Row],[Date]],'BUD data'!A:F,6,)</f>
        <v>57.846516000000001</v>
      </c>
      <c r="C715" s="51"/>
      <c r="D715" s="51"/>
    </row>
    <row r="716" spans="1:4" x14ac:dyDescent="0.45">
      <c r="A716" s="7">
        <v>41024</v>
      </c>
      <c r="B716" s="8">
        <f>VLOOKUP(Table1[[#This Row],[Date]],'BUD data'!A:F,6,)</f>
        <v>58.129883</v>
      </c>
      <c r="C716" s="51"/>
      <c r="D716" s="51"/>
    </row>
    <row r="717" spans="1:4" x14ac:dyDescent="0.45">
      <c r="A717" s="7">
        <v>41025</v>
      </c>
      <c r="B717" s="8">
        <f>VLOOKUP(Table1[[#This Row],[Date]],'BUD data'!A:F,6,)</f>
        <v>58.818049999999999</v>
      </c>
      <c r="C717" s="51"/>
      <c r="D717" s="51"/>
    </row>
    <row r="718" spans="1:4" x14ac:dyDescent="0.45">
      <c r="A718" s="7">
        <v>41026</v>
      </c>
      <c r="B718" s="8">
        <f>VLOOKUP(Table1[[#This Row],[Date]],'BUD data'!A:F,6,)</f>
        <v>58.809956</v>
      </c>
      <c r="C718" s="51"/>
      <c r="D718" s="51"/>
    </row>
    <row r="719" spans="1:4" x14ac:dyDescent="0.45">
      <c r="A719" s="7">
        <v>41029</v>
      </c>
      <c r="B719" s="8">
        <f>VLOOKUP(Table1[[#This Row],[Date]],'BUD data'!A:F,6,)</f>
        <v>58.793770000000002</v>
      </c>
      <c r="C719" s="51"/>
      <c r="D719" s="51"/>
    </row>
    <row r="720" spans="1:4" x14ac:dyDescent="0.45">
      <c r="A720" s="7">
        <v>41030</v>
      </c>
      <c r="B720" s="8">
        <f>VLOOKUP(Table1[[#This Row],[Date]],'BUD data'!A:F,6,)</f>
        <v>59.271434999999997</v>
      </c>
      <c r="C720" s="51"/>
      <c r="D720" s="51"/>
    </row>
    <row r="721" spans="1:4" x14ac:dyDescent="0.45">
      <c r="A721" s="7">
        <v>41031</v>
      </c>
      <c r="B721" s="8">
        <f>VLOOKUP(Table1[[#This Row],[Date]],'BUD data'!A:F,6,)</f>
        <v>59.036651999999997</v>
      </c>
      <c r="C721" s="51"/>
      <c r="D721" s="51"/>
    </row>
    <row r="722" spans="1:4" x14ac:dyDescent="0.45">
      <c r="A722" s="7">
        <v>41032</v>
      </c>
      <c r="B722" s="8">
        <f>VLOOKUP(Table1[[#This Row],[Date]],'BUD data'!A:F,6,)</f>
        <v>60.178204000000001</v>
      </c>
      <c r="C722" s="51"/>
      <c r="D722" s="51"/>
    </row>
    <row r="723" spans="1:4" x14ac:dyDescent="0.45">
      <c r="A723" s="7">
        <v>41033</v>
      </c>
      <c r="B723" s="8">
        <f>VLOOKUP(Table1[[#This Row],[Date]],'BUD data'!A:F,6,)</f>
        <v>59.554810000000003</v>
      </c>
      <c r="C723" s="51"/>
      <c r="D723" s="51"/>
    </row>
    <row r="724" spans="1:4" x14ac:dyDescent="0.45">
      <c r="A724" s="7">
        <v>41036</v>
      </c>
      <c r="B724" s="8">
        <f>VLOOKUP(Table1[[#This Row],[Date]],'BUD data'!A:F,6,)</f>
        <v>60.655853</v>
      </c>
      <c r="C724" s="51"/>
      <c r="D724" s="51"/>
    </row>
    <row r="725" spans="1:4" x14ac:dyDescent="0.45">
      <c r="A725" s="7">
        <v>41037</v>
      </c>
      <c r="B725" s="8">
        <f>VLOOKUP(Table1[[#This Row],[Date]],'BUD data'!A:F,6,)</f>
        <v>58.939498999999998</v>
      </c>
      <c r="C725" s="51"/>
      <c r="D725" s="51"/>
    </row>
    <row r="726" spans="1:4" x14ac:dyDescent="0.45">
      <c r="A726" s="7">
        <v>41038</v>
      </c>
      <c r="B726" s="8">
        <f>VLOOKUP(Table1[[#This Row],[Date]],'BUD data'!A:F,6,)</f>
        <v>58.057026</v>
      </c>
      <c r="C726" s="51"/>
      <c r="D726" s="51"/>
    </row>
    <row r="727" spans="1:4" x14ac:dyDescent="0.45">
      <c r="A727" s="7">
        <v>41039</v>
      </c>
      <c r="B727" s="8">
        <f>VLOOKUP(Table1[[#This Row],[Date]],'BUD data'!A:F,6,)</f>
        <v>57.935566000000001</v>
      </c>
      <c r="C727" s="51"/>
      <c r="D727" s="51"/>
    </row>
    <row r="728" spans="1:4" x14ac:dyDescent="0.45">
      <c r="A728" s="7">
        <v>41040</v>
      </c>
      <c r="B728" s="8">
        <f>VLOOKUP(Table1[[#This Row],[Date]],'BUD data'!A:F,6,)</f>
        <v>58.251323999999997</v>
      </c>
      <c r="C728" s="51"/>
      <c r="D728" s="51"/>
    </row>
    <row r="729" spans="1:4" x14ac:dyDescent="0.45">
      <c r="A729" s="7">
        <v>41043</v>
      </c>
      <c r="B729" s="8">
        <f>VLOOKUP(Table1[[#This Row],[Date]],'BUD data'!A:F,6,)</f>
        <v>57.878906000000001</v>
      </c>
      <c r="C729" s="51"/>
      <c r="D729" s="51"/>
    </row>
    <row r="730" spans="1:4" x14ac:dyDescent="0.45">
      <c r="A730" s="7">
        <v>41044</v>
      </c>
      <c r="B730" s="8">
        <f>VLOOKUP(Table1[[#This Row],[Date]],'BUD data'!A:F,6,)</f>
        <v>57.344566</v>
      </c>
      <c r="C730" s="51"/>
      <c r="D730" s="51"/>
    </row>
    <row r="731" spans="1:4" x14ac:dyDescent="0.45">
      <c r="A731" s="7">
        <v>41045</v>
      </c>
      <c r="B731" s="8">
        <f>VLOOKUP(Table1[[#This Row],[Date]],'BUD data'!A:F,6,)</f>
        <v>56.753548000000002</v>
      </c>
      <c r="C731" s="51"/>
      <c r="D731" s="51"/>
    </row>
    <row r="732" spans="1:4" x14ac:dyDescent="0.45">
      <c r="A732" s="7">
        <v>41046</v>
      </c>
      <c r="B732" s="8">
        <f>VLOOKUP(Table1[[#This Row],[Date]],'BUD data'!A:F,6,)</f>
        <v>56.178722</v>
      </c>
      <c r="C732" s="51"/>
      <c r="D732" s="51"/>
    </row>
    <row r="733" spans="1:4" x14ac:dyDescent="0.45">
      <c r="A733" s="7">
        <v>41047</v>
      </c>
      <c r="B733" s="8">
        <f>VLOOKUP(Table1[[#This Row],[Date]],'BUD data'!A:F,6,)</f>
        <v>55.320540999999999</v>
      </c>
      <c r="C733" s="51"/>
      <c r="D733" s="51"/>
    </row>
    <row r="734" spans="1:4" x14ac:dyDescent="0.45">
      <c r="A734" s="7">
        <v>41050</v>
      </c>
      <c r="B734" s="8">
        <f>VLOOKUP(Table1[[#This Row],[Date]],'BUD data'!A:F,6,)</f>
        <v>55.636291999999997</v>
      </c>
      <c r="C734" s="51"/>
      <c r="D734" s="51"/>
    </row>
    <row r="735" spans="1:4" x14ac:dyDescent="0.45">
      <c r="A735" s="7">
        <v>41051</v>
      </c>
      <c r="B735" s="8">
        <f>VLOOKUP(Table1[[#This Row],[Date]],'BUD data'!A:F,6,)</f>
        <v>55.571517999999998</v>
      </c>
      <c r="C735" s="51"/>
      <c r="D735" s="51"/>
    </row>
    <row r="736" spans="1:4" x14ac:dyDescent="0.45">
      <c r="A736" s="7">
        <v>41052</v>
      </c>
      <c r="B736" s="8">
        <f>VLOOKUP(Table1[[#This Row],[Date]],'BUD data'!A:F,6,)</f>
        <v>54.721438999999997</v>
      </c>
      <c r="C736" s="51"/>
      <c r="D736" s="51"/>
    </row>
    <row r="737" spans="1:4" x14ac:dyDescent="0.45">
      <c r="A737" s="7">
        <v>41053</v>
      </c>
      <c r="B737" s="8">
        <f>VLOOKUP(Table1[[#This Row],[Date]],'BUD data'!A:F,6,)</f>
        <v>55.555335999999997</v>
      </c>
      <c r="C737" s="51"/>
      <c r="D737" s="51"/>
    </row>
    <row r="738" spans="1:4" x14ac:dyDescent="0.45">
      <c r="A738" s="7">
        <v>41054</v>
      </c>
      <c r="B738" s="8">
        <f>VLOOKUP(Table1[[#This Row],[Date]],'BUD data'!A:F,6,)</f>
        <v>55.280067000000003</v>
      </c>
      <c r="C738" s="51"/>
      <c r="D738" s="51"/>
    </row>
    <row r="739" spans="1:4" x14ac:dyDescent="0.45">
      <c r="A739" s="7">
        <v>41058</v>
      </c>
      <c r="B739" s="8">
        <f>VLOOKUP(Table1[[#This Row],[Date]],'BUD data'!A:F,6,)</f>
        <v>55.822502</v>
      </c>
      <c r="C739" s="51"/>
      <c r="D739" s="51"/>
    </row>
    <row r="740" spans="1:4" x14ac:dyDescent="0.45">
      <c r="A740" s="7">
        <v>41059</v>
      </c>
      <c r="B740" s="8">
        <f>VLOOKUP(Table1[[#This Row],[Date]],'BUD data'!A:F,6,)</f>
        <v>54.664752999999997</v>
      </c>
      <c r="C740" s="51"/>
      <c r="D740" s="51"/>
    </row>
    <row r="741" spans="1:4" x14ac:dyDescent="0.45">
      <c r="A741" s="7">
        <v>41060</v>
      </c>
      <c r="B741" s="8">
        <f>VLOOKUP(Table1[[#This Row],[Date]],'BUD data'!A:F,6,)</f>
        <v>54.810493000000001</v>
      </c>
      <c r="C741" s="51"/>
      <c r="D741" s="51"/>
    </row>
    <row r="742" spans="1:4" x14ac:dyDescent="0.45">
      <c r="A742" s="7">
        <v>41061</v>
      </c>
      <c r="B742" s="8">
        <f>VLOOKUP(Table1[[#This Row],[Date]],'BUD data'!A:F,6,)</f>
        <v>53.086024999999999</v>
      </c>
      <c r="C742" s="51"/>
      <c r="D742" s="51"/>
    </row>
    <row r="743" spans="1:4" x14ac:dyDescent="0.45">
      <c r="A743" s="7">
        <v>41064</v>
      </c>
      <c r="B743" s="8">
        <f>VLOOKUP(Table1[[#This Row],[Date]],'BUD data'!A:F,6,)</f>
        <v>53.393681000000001</v>
      </c>
      <c r="C743" s="51"/>
      <c r="D743" s="51"/>
    </row>
    <row r="744" spans="1:4" x14ac:dyDescent="0.45">
      <c r="A744" s="7">
        <v>41065</v>
      </c>
      <c r="B744" s="8">
        <f>VLOOKUP(Table1[[#This Row],[Date]],'BUD data'!A:F,6,)</f>
        <v>53.450347999999998</v>
      </c>
      <c r="C744" s="51"/>
      <c r="D744" s="51"/>
    </row>
    <row r="745" spans="1:4" x14ac:dyDescent="0.45">
      <c r="A745" s="7">
        <v>41066</v>
      </c>
      <c r="B745" s="8">
        <f>VLOOKUP(Table1[[#This Row],[Date]],'BUD data'!A:F,6,)</f>
        <v>55.150523999999997</v>
      </c>
      <c r="C745" s="51"/>
      <c r="D745" s="51"/>
    </row>
    <row r="746" spans="1:4" x14ac:dyDescent="0.45">
      <c r="A746" s="7">
        <v>41067</v>
      </c>
      <c r="B746" s="8">
        <f>VLOOKUP(Table1[[#This Row],[Date]],'BUD data'!A:F,6,)</f>
        <v>54.729523</v>
      </c>
      <c r="C746" s="51"/>
      <c r="D746" s="51"/>
    </row>
    <row r="747" spans="1:4" x14ac:dyDescent="0.45">
      <c r="A747" s="7">
        <v>41068</v>
      </c>
      <c r="B747" s="8">
        <f>VLOOKUP(Table1[[#This Row],[Date]],'BUD data'!A:F,6,)</f>
        <v>55.158619000000002</v>
      </c>
      <c r="C747" s="51"/>
      <c r="D747" s="51"/>
    </row>
    <row r="748" spans="1:4" x14ac:dyDescent="0.45">
      <c r="A748" s="7">
        <v>41071</v>
      </c>
      <c r="B748" s="8">
        <f>VLOOKUP(Table1[[#This Row],[Date]],'BUD data'!A:F,6,)</f>
        <v>54.405692999999999</v>
      </c>
      <c r="C748" s="51"/>
      <c r="D748" s="51"/>
    </row>
    <row r="749" spans="1:4" x14ac:dyDescent="0.45">
      <c r="A749" s="7">
        <v>41072</v>
      </c>
      <c r="B749" s="8">
        <f>VLOOKUP(Table1[[#This Row],[Date]],'BUD data'!A:F,6,)</f>
        <v>55.871090000000002</v>
      </c>
      <c r="C749" s="51"/>
      <c r="D749" s="51"/>
    </row>
    <row r="750" spans="1:4" x14ac:dyDescent="0.45">
      <c r="A750" s="7">
        <v>41073</v>
      </c>
      <c r="B750" s="8">
        <f>VLOOKUP(Table1[[#This Row],[Date]],'BUD data'!A:F,6,)</f>
        <v>56.624020000000002</v>
      </c>
      <c r="C750" s="51"/>
      <c r="D750" s="51"/>
    </row>
    <row r="751" spans="1:4" x14ac:dyDescent="0.45">
      <c r="A751" s="7">
        <v>41074</v>
      </c>
      <c r="B751" s="8">
        <f>VLOOKUP(Table1[[#This Row],[Date]],'BUD data'!A:F,6,)</f>
        <v>57.749381999999997</v>
      </c>
      <c r="C751" s="51"/>
      <c r="D751" s="51"/>
    </row>
    <row r="752" spans="1:4" x14ac:dyDescent="0.45">
      <c r="A752" s="7">
        <v>41075</v>
      </c>
      <c r="B752" s="8">
        <f>VLOOKUP(Table1[[#This Row],[Date]],'BUD data'!A:F,6,)</f>
        <v>57.457912</v>
      </c>
      <c r="C752" s="51"/>
      <c r="D752" s="51"/>
    </row>
    <row r="753" spans="1:4" x14ac:dyDescent="0.45">
      <c r="A753" s="7">
        <v>41078</v>
      </c>
      <c r="B753" s="8">
        <f>VLOOKUP(Table1[[#This Row],[Date]],'BUD data'!A:F,6,)</f>
        <v>57.295994</v>
      </c>
      <c r="C753" s="51"/>
      <c r="D753" s="51"/>
    </row>
    <row r="754" spans="1:4" x14ac:dyDescent="0.45">
      <c r="A754" s="7">
        <v>41079</v>
      </c>
      <c r="B754" s="8">
        <f>VLOOKUP(Table1[[#This Row],[Date]],'BUD data'!A:F,6,)</f>
        <v>57.716991</v>
      </c>
      <c r="C754" s="51"/>
      <c r="D754" s="51"/>
    </row>
    <row r="755" spans="1:4" x14ac:dyDescent="0.45">
      <c r="A755" s="7">
        <v>41080</v>
      </c>
      <c r="B755" s="8">
        <f>VLOOKUP(Table1[[#This Row],[Date]],'BUD data'!A:F,6,)</f>
        <v>56.826416000000002</v>
      </c>
      <c r="C755" s="51"/>
      <c r="D755" s="51"/>
    </row>
    <row r="756" spans="1:4" x14ac:dyDescent="0.45">
      <c r="A756" s="7">
        <v>41081</v>
      </c>
      <c r="B756" s="8">
        <f>VLOOKUP(Table1[[#This Row],[Date]],'BUD data'!A:F,6,)</f>
        <v>56.227302999999999</v>
      </c>
      <c r="C756" s="51"/>
      <c r="D756" s="51"/>
    </row>
    <row r="757" spans="1:4" x14ac:dyDescent="0.45">
      <c r="A757" s="7">
        <v>41082</v>
      </c>
      <c r="B757" s="8">
        <f>VLOOKUP(Table1[[#This Row],[Date]],'BUD data'!A:F,6,)</f>
        <v>56.907375000000002</v>
      </c>
      <c r="C757" s="51"/>
      <c r="D757" s="51"/>
    </row>
    <row r="758" spans="1:4" x14ac:dyDescent="0.45">
      <c r="A758" s="7">
        <v>41085</v>
      </c>
      <c r="B758" s="8">
        <f>VLOOKUP(Table1[[#This Row],[Date]],'BUD data'!A:F,6,)</f>
        <v>57.360751999999998</v>
      </c>
      <c r="C758" s="51"/>
      <c r="D758" s="51"/>
    </row>
    <row r="759" spans="1:4" x14ac:dyDescent="0.45">
      <c r="A759" s="7">
        <v>41086</v>
      </c>
      <c r="B759" s="8">
        <f>VLOOKUP(Table1[[#This Row],[Date]],'BUD data'!A:F,6,)</f>
        <v>58.834248000000002</v>
      </c>
      <c r="C759" s="51"/>
      <c r="D759" s="51"/>
    </row>
    <row r="760" spans="1:4" x14ac:dyDescent="0.45">
      <c r="A760" s="7">
        <v>41087</v>
      </c>
      <c r="B760" s="8">
        <f>VLOOKUP(Table1[[#This Row],[Date]],'BUD data'!A:F,6,)</f>
        <v>59.384788999999998</v>
      </c>
      <c r="C760" s="51"/>
      <c r="D760" s="51"/>
    </row>
    <row r="761" spans="1:4" x14ac:dyDescent="0.45">
      <c r="A761" s="7">
        <v>41088</v>
      </c>
      <c r="B761" s="8">
        <f>VLOOKUP(Table1[[#This Row],[Date]],'BUD data'!A:F,6,)</f>
        <v>59.741013000000002</v>
      </c>
      <c r="C761" s="51"/>
      <c r="D761" s="51"/>
    </row>
    <row r="762" spans="1:4" x14ac:dyDescent="0.45">
      <c r="A762" s="7">
        <v>41089</v>
      </c>
      <c r="B762" s="8">
        <f>VLOOKUP(Table1[[#This Row],[Date]],'BUD data'!A:F,6,)</f>
        <v>64.485313000000005</v>
      </c>
      <c r="C762" s="51"/>
      <c r="D762" s="51"/>
    </row>
    <row r="763" spans="1:4" x14ac:dyDescent="0.45">
      <c r="A763" s="7">
        <v>41092</v>
      </c>
      <c r="B763" s="8">
        <f>VLOOKUP(Table1[[#This Row],[Date]],'BUD data'!A:F,6,)</f>
        <v>64.201949999999997</v>
      </c>
      <c r="C763" s="51"/>
      <c r="D763" s="51"/>
    </row>
    <row r="764" spans="1:4" x14ac:dyDescent="0.45">
      <c r="A764" s="7">
        <v>41093</v>
      </c>
      <c r="B764" s="8">
        <f>VLOOKUP(Table1[[#This Row],[Date]],'BUD data'!A:F,6,)</f>
        <v>64.371955999999997</v>
      </c>
      <c r="C764" s="51"/>
      <c r="D764" s="51"/>
    </row>
    <row r="765" spans="1:4" x14ac:dyDescent="0.45">
      <c r="A765" s="7">
        <v>41095</v>
      </c>
      <c r="B765" s="8">
        <f>VLOOKUP(Table1[[#This Row],[Date]],'BUD data'!A:F,6,)</f>
        <v>63.343761000000001</v>
      </c>
      <c r="C765" s="51"/>
      <c r="D765" s="51"/>
    </row>
    <row r="766" spans="1:4" x14ac:dyDescent="0.45">
      <c r="A766" s="7">
        <v>41096</v>
      </c>
      <c r="B766" s="8">
        <f>VLOOKUP(Table1[[#This Row],[Date]],'BUD data'!A:F,6,)</f>
        <v>62.987549000000001</v>
      </c>
      <c r="C766" s="51"/>
      <c r="D766" s="51"/>
    </row>
    <row r="767" spans="1:4" x14ac:dyDescent="0.45">
      <c r="A767" s="7">
        <v>41099</v>
      </c>
      <c r="B767" s="8">
        <f>VLOOKUP(Table1[[#This Row],[Date]],'BUD data'!A:F,6,)</f>
        <v>62.963234</v>
      </c>
      <c r="C767" s="51"/>
      <c r="D767" s="51"/>
    </row>
    <row r="768" spans="1:4" x14ac:dyDescent="0.45">
      <c r="A768" s="7">
        <v>41100</v>
      </c>
      <c r="B768" s="8">
        <f>VLOOKUP(Table1[[#This Row],[Date]],'BUD data'!A:F,6,)</f>
        <v>63.416629999999998</v>
      </c>
      <c r="C768" s="51"/>
      <c r="D768" s="51"/>
    </row>
    <row r="769" spans="1:4" x14ac:dyDescent="0.45">
      <c r="A769" s="7">
        <v>41101</v>
      </c>
      <c r="B769" s="8">
        <f>VLOOKUP(Table1[[#This Row],[Date]],'BUD data'!A:F,6,)</f>
        <v>62.477477999999998</v>
      </c>
      <c r="C769" s="51"/>
      <c r="D769" s="51"/>
    </row>
    <row r="770" spans="1:4" x14ac:dyDescent="0.45">
      <c r="A770" s="7">
        <v>41102</v>
      </c>
      <c r="B770" s="8">
        <f>VLOOKUP(Table1[[#This Row],[Date]],'BUD data'!A:F,6,)</f>
        <v>62.121262000000002</v>
      </c>
      <c r="C770" s="51"/>
      <c r="D770" s="51"/>
    </row>
    <row r="771" spans="1:4" x14ac:dyDescent="0.45">
      <c r="A771" s="7">
        <v>41103</v>
      </c>
      <c r="B771" s="8">
        <f>VLOOKUP(Table1[[#This Row],[Date]],'BUD data'!A:F,6,)</f>
        <v>62.720359999999999</v>
      </c>
      <c r="C771" s="51"/>
      <c r="D771" s="51"/>
    </row>
    <row r="772" spans="1:4" x14ac:dyDescent="0.45">
      <c r="A772" s="7">
        <v>41106</v>
      </c>
      <c r="B772" s="8">
        <f>VLOOKUP(Table1[[#This Row],[Date]],'BUD data'!A:F,6,)</f>
        <v>62.550345999999998</v>
      </c>
      <c r="C772" s="51"/>
      <c r="D772" s="51"/>
    </row>
    <row r="773" spans="1:4" x14ac:dyDescent="0.45">
      <c r="A773" s="7">
        <v>41107</v>
      </c>
      <c r="B773" s="8">
        <f>VLOOKUP(Table1[[#This Row],[Date]],'BUD data'!A:F,6,)</f>
        <v>62.566535999999999</v>
      </c>
      <c r="C773" s="51"/>
      <c r="D773" s="51"/>
    </row>
    <row r="774" spans="1:4" x14ac:dyDescent="0.45">
      <c r="A774" s="7">
        <v>41108</v>
      </c>
      <c r="B774" s="8">
        <f>VLOOKUP(Table1[[#This Row],[Date]],'BUD data'!A:F,6,)</f>
        <v>63.562354999999997</v>
      </c>
      <c r="C774" s="51"/>
      <c r="D774" s="51"/>
    </row>
    <row r="775" spans="1:4" x14ac:dyDescent="0.45">
      <c r="A775" s="7">
        <v>41109</v>
      </c>
      <c r="B775" s="8">
        <f>VLOOKUP(Table1[[#This Row],[Date]],'BUD data'!A:F,6,)</f>
        <v>64.315285000000003</v>
      </c>
      <c r="C775" s="51"/>
      <c r="D775" s="51"/>
    </row>
    <row r="776" spans="1:4" x14ac:dyDescent="0.45">
      <c r="A776" s="7">
        <v>41110</v>
      </c>
      <c r="B776" s="8">
        <f>VLOOKUP(Table1[[#This Row],[Date]],'BUD data'!A:F,6,)</f>
        <v>63.044215999999999</v>
      </c>
      <c r="C776" s="51"/>
      <c r="D776" s="51"/>
    </row>
    <row r="777" spans="1:4" x14ac:dyDescent="0.45">
      <c r="A777" s="7">
        <v>41113</v>
      </c>
      <c r="B777" s="8">
        <f>VLOOKUP(Table1[[#This Row],[Date]],'BUD data'!A:F,6,)</f>
        <v>62.315562999999997</v>
      </c>
      <c r="C777" s="51"/>
      <c r="D777" s="51"/>
    </row>
    <row r="778" spans="1:4" x14ac:dyDescent="0.45">
      <c r="A778" s="7">
        <v>41114</v>
      </c>
      <c r="B778" s="8">
        <f>VLOOKUP(Table1[[#This Row],[Date]],'BUD data'!A:F,6,)</f>
        <v>62.177933000000003</v>
      </c>
      <c r="C778" s="51"/>
      <c r="D778" s="51"/>
    </row>
    <row r="779" spans="1:4" x14ac:dyDescent="0.45">
      <c r="A779" s="7">
        <v>41115</v>
      </c>
      <c r="B779" s="8">
        <f>VLOOKUP(Table1[[#This Row],[Date]],'BUD data'!A:F,6,)</f>
        <v>62.048389</v>
      </c>
      <c r="C779" s="51"/>
      <c r="D779" s="51"/>
    </row>
    <row r="780" spans="1:4" x14ac:dyDescent="0.45">
      <c r="A780" s="7">
        <v>41116</v>
      </c>
      <c r="B780" s="8">
        <f>VLOOKUP(Table1[[#This Row],[Date]],'BUD data'!A:F,6,)</f>
        <v>64.776779000000005</v>
      </c>
      <c r="C780" s="51"/>
      <c r="D780" s="51"/>
    </row>
    <row r="781" spans="1:4" x14ac:dyDescent="0.45">
      <c r="A781" s="7">
        <v>41117</v>
      </c>
      <c r="B781" s="8">
        <f>VLOOKUP(Table1[[#This Row],[Date]],'BUD data'!A:F,6,)</f>
        <v>65.643058999999994</v>
      </c>
      <c r="C781" s="51"/>
      <c r="D781" s="51"/>
    </row>
    <row r="782" spans="1:4" x14ac:dyDescent="0.45">
      <c r="A782" s="7">
        <v>41120</v>
      </c>
      <c r="B782" s="8">
        <f>VLOOKUP(Table1[[#This Row],[Date]],'BUD data'!A:F,6,)</f>
        <v>65.634949000000006</v>
      </c>
      <c r="C782" s="51"/>
      <c r="D782" s="51"/>
    </row>
    <row r="783" spans="1:4" x14ac:dyDescent="0.45">
      <c r="A783" s="7">
        <v>41121</v>
      </c>
      <c r="B783" s="8">
        <f>VLOOKUP(Table1[[#This Row],[Date]],'BUD data'!A:F,6,)</f>
        <v>64.137191999999999</v>
      </c>
      <c r="C783" s="51"/>
      <c r="D783" s="51"/>
    </row>
    <row r="784" spans="1:4" x14ac:dyDescent="0.45">
      <c r="A784" s="7">
        <v>41122</v>
      </c>
      <c r="B784" s="8">
        <f>VLOOKUP(Table1[[#This Row],[Date]],'BUD data'!A:F,6,)</f>
        <v>64.671509</v>
      </c>
      <c r="C784" s="51"/>
      <c r="D784" s="51"/>
    </row>
    <row r="785" spans="1:4" x14ac:dyDescent="0.45">
      <c r="A785" s="7">
        <v>41123</v>
      </c>
      <c r="B785" s="8">
        <f>VLOOKUP(Table1[[#This Row],[Date]],'BUD data'!A:F,6,)</f>
        <v>63.950969999999998</v>
      </c>
      <c r="C785" s="51"/>
      <c r="D785" s="51"/>
    </row>
    <row r="786" spans="1:4" x14ac:dyDescent="0.45">
      <c r="A786" s="7">
        <v>41124</v>
      </c>
      <c r="B786" s="8">
        <f>VLOOKUP(Table1[[#This Row],[Date]],'BUD data'!A:F,6,)</f>
        <v>66.185492999999994</v>
      </c>
      <c r="C786" s="51"/>
      <c r="D786" s="51"/>
    </row>
    <row r="787" spans="1:4" x14ac:dyDescent="0.45">
      <c r="A787" s="7">
        <v>41127</v>
      </c>
      <c r="B787" s="8">
        <f>VLOOKUP(Table1[[#This Row],[Date]],'BUD data'!A:F,6,)</f>
        <v>66.363624999999999</v>
      </c>
      <c r="C787" s="51"/>
      <c r="D787" s="51"/>
    </row>
    <row r="788" spans="1:4" x14ac:dyDescent="0.45">
      <c r="A788" s="7">
        <v>41128</v>
      </c>
      <c r="B788" s="8">
        <f>VLOOKUP(Table1[[#This Row],[Date]],'BUD data'!A:F,6,)</f>
        <v>66.995109999999997</v>
      </c>
      <c r="C788" s="51"/>
      <c r="D788" s="51"/>
    </row>
    <row r="789" spans="1:4" x14ac:dyDescent="0.45">
      <c r="A789" s="7">
        <v>41129</v>
      </c>
      <c r="B789" s="8">
        <f>VLOOKUP(Table1[[#This Row],[Date]],'BUD data'!A:F,6,)</f>
        <v>66.566001999999997</v>
      </c>
      <c r="C789" s="51"/>
      <c r="D789" s="51"/>
    </row>
    <row r="790" spans="1:4" x14ac:dyDescent="0.45">
      <c r="A790" s="7">
        <v>41130</v>
      </c>
      <c r="B790" s="8">
        <f>VLOOKUP(Table1[[#This Row],[Date]],'BUD data'!A:F,6,)</f>
        <v>66.306945999999996</v>
      </c>
      <c r="C790" s="51"/>
      <c r="D790" s="51"/>
    </row>
    <row r="791" spans="1:4" x14ac:dyDescent="0.45">
      <c r="A791" s="7">
        <v>41131</v>
      </c>
      <c r="B791" s="8">
        <f>VLOOKUP(Table1[[#This Row],[Date]],'BUD data'!A:F,6,)</f>
        <v>65.651138000000003</v>
      </c>
      <c r="C791" s="51"/>
      <c r="D791" s="51"/>
    </row>
    <row r="792" spans="1:4" x14ac:dyDescent="0.45">
      <c r="A792" s="7">
        <v>41134</v>
      </c>
      <c r="B792" s="8">
        <f>VLOOKUP(Table1[[#This Row],[Date]],'BUD data'!A:F,6,)</f>
        <v>65.497321999999997</v>
      </c>
      <c r="C792" s="51"/>
      <c r="D792" s="51"/>
    </row>
    <row r="793" spans="1:4" x14ac:dyDescent="0.45">
      <c r="A793" s="7">
        <v>41135</v>
      </c>
      <c r="B793" s="8">
        <f>VLOOKUP(Table1[[#This Row],[Date]],'BUD data'!A:F,6,)</f>
        <v>65.222060999999997</v>
      </c>
      <c r="C793" s="51"/>
      <c r="D793" s="51"/>
    </row>
    <row r="794" spans="1:4" x14ac:dyDescent="0.45">
      <c r="A794" s="7">
        <v>41136</v>
      </c>
      <c r="B794" s="8">
        <f>VLOOKUP(Table1[[#This Row],[Date]],'BUD data'!A:F,6,)</f>
        <v>65.683532999999997</v>
      </c>
      <c r="C794" s="51"/>
      <c r="D794" s="51"/>
    </row>
    <row r="795" spans="1:4" x14ac:dyDescent="0.45">
      <c r="A795" s="7">
        <v>41137</v>
      </c>
      <c r="B795" s="8">
        <f>VLOOKUP(Table1[[#This Row],[Date]],'BUD data'!A:F,6,)</f>
        <v>65.643058999999994</v>
      </c>
      <c r="C795" s="51"/>
      <c r="D795" s="51"/>
    </row>
    <row r="796" spans="1:4" x14ac:dyDescent="0.45">
      <c r="A796" s="7">
        <v>41138</v>
      </c>
      <c r="B796" s="8">
        <f>VLOOKUP(Table1[[#This Row],[Date]],'BUD data'!A:F,6,)</f>
        <v>65.562088000000003</v>
      </c>
      <c r="C796" s="51"/>
      <c r="D796" s="51"/>
    </row>
    <row r="797" spans="1:4" x14ac:dyDescent="0.45">
      <c r="A797" s="7">
        <v>41141</v>
      </c>
      <c r="B797" s="8">
        <f>VLOOKUP(Table1[[#This Row],[Date]],'BUD data'!A:F,6,)</f>
        <v>65.950714000000005</v>
      </c>
      <c r="C797" s="51"/>
      <c r="D797" s="51"/>
    </row>
    <row r="798" spans="1:4" x14ac:dyDescent="0.45">
      <c r="A798" s="7">
        <v>41142</v>
      </c>
      <c r="B798" s="8">
        <f>VLOOKUP(Table1[[#This Row],[Date]],'BUD data'!A:F,6,)</f>
        <v>66.112633000000002</v>
      </c>
      <c r="C798" s="51"/>
      <c r="D798" s="51"/>
    </row>
    <row r="799" spans="1:4" x14ac:dyDescent="0.45">
      <c r="A799" s="7">
        <v>41143</v>
      </c>
      <c r="B799" s="8">
        <f>VLOOKUP(Table1[[#This Row],[Date]],'BUD data'!A:F,6,)</f>
        <v>66.039764000000005</v>
      </c>
      <c r="C799" s="51"/>
      <c r="D799" s="51"/>
    </row>
    <row r="800" spans="1:4" x14ac:dyDescent="0.45">
      <c r="A800" s="7">
        <v>41144</v>
      </c>
      <c r="B800" s="8">
        <f>VLOOKUP(Table1[[#This Row],[Date]],'BUD data'!A:F,6,)</f>
        <v>65.529708999999997</v>
      </c>
      <c r="C800" s="51"/>
      <c r="D800" s="51"/>
    </row>
    <row r="801" spans="1:4" x14ac:dyDescent="0.45">
      <c r="A801" s="7">
        <v>41145</v>
      </c>
      <c r="B801" s="8">
        <f>VLOOKUP(Table1[[#This Row],[Date]],'BUD data'!A:F,6,)</f>
        <v>66.582190999999995</v>
      </c>
      <c r="C801" s="51"/>
      <c r="D801" s="51"/>
    </row>
    <row r="802" spans="1:4" x14ac:dyDescent="0.45">
      <c r="A802" s="7">
        <v>41148</v>
      </c>
      <c r="B802" s="8">
        <f>VLOOKUP(Table1[[#This Row],[Date]],'BUD data'!A:F,6,)</f>
        <v>66.889861999999994</v>
      </c>
      <c r="C802" s="51"/>
      <c r="D802" s="51"/>
    </row>
    <row r="803" spans="1:4" x14ac:dyDescent="0.45">
      <c r="A803" s="7">
        <v>41149</v>
      </c>
      <c r="B803" s="8">
        <f>VLOOKUP(Table1[[#This Row],[Date]],'BUD data'!A:F,6,)</f>
        <v>68.015204999999995</v>
      </c>
      <c r="C803" s="51"/>
      <c r="D803" s="51"/>
    </row>
    <row r="804" spans="1:4" x14ac:dyDescent="0.45">
      <c r="A804" s="7">
        <v>41150</v>
      </c>
      <c r="B804" s="8">
        <f>VLOOKUP(Table1[[#This Row],[Date]],'BUD data'!A:F,6,)</f>
        <v>67.853286999999995</v>
      </c>
      <c r="C804" s="51"/>
      <c r="D804" s="51"/>
    </row>
    <row r="805" spans="1:4" x14ac:dyDescent="0.45">
      <c r="A805" s="7">
        <v>41151</v>
      </c>
      <c r="B805" s="8">
        <f>VLOOKUP(Table1[[#This Row],[Date]],'BUD data'!A:F,6,)</f>
        <v>67.480857999999998</v>
      </c>
      <c r="C805" s="51"/>
      <c r="D805" s="51"/>
    </row>
    <row r="806" spans="1:4" x14ac:dyDescent="0.45">
      <c r="A806" s="7">
        <v>41152</v>
      </c>
      <c r="B806" s="8">
        <f>VLOOKUP(Table1[[#This Row],[Date]],'BUD data'!A:F,6,)</f>
        <v>68.152839999999998</v>
      </c>
      <c r="C806" s="51"/>
      <c r="D806" s="51"/>
    </row>
    <row r="807" spans="1:4" x14ac:dyDescent="0.45">
      <c r="A807" s="7">
        <v>41156</v>
      </c>
      <c r="B807" s="8">
        <f>VLOOKUP(Table1[[#This Row],[Date]],'BUD data'!A:F,6,)</f>
        <v>69.197243</v>
      </c>
      <c r="C807" s="51"/>
      <c r="D807" s="51"/>
    </row>
    <row r="808" spans="1:4" x14ac:dyDescent="0.45">
      <c r="A808" s="7">
        <v>41157</v>
      </c>
      <c r="B808" s="8">
        <f>VLOOKUP(Table1[[#This Row],[Date]],'BUD data'!A:F,6,)</f>
        <v>69.861107000000004</v>
      </c>
      <c r="C808" s="51"/>
      <c r="D808" s="51"/>
    </row>
    <row r="809" spans="1:4" x14ac:dyDescent="0.45">
      <c r="A809" s="7">
        <v>41158</v>
      </c>
      <c r="B809" s="8">
        <f>VLOOKUP(Table1[[#This Row],[Date]],'BUD data'!A:F,6,)</f>
        <v>70.873123000000007</v>
      </c>
      <c r="C809" s="51"/>
      <c r="D809" s="51"/>
    </row>
    <row r="810" spans="1:4" x14ac:dyDescent="0.45">
      <c r="A810" s="7">
        <v>41159</v>
      </c>
      <c r="B810" s="8">
        <f>VLOOKUP(Table1[[#This Row],[Date]],'BUD data'!A:F,6,)</f>
        <v>70.395447000000004</v>
      </c>
      <c r="C810" s="51"/>
      <c r="D810" s="51"/>
    </row>
    <row r="811" spans="1:4" x14ac:dyDescent="0.45">
      <c r="A811" s="7">
        <v>41162</v>
      </c>
      <c r="B811" s="8">
        <f>VLOOKUP(Table1[[#This Row],[Date]],'BUD data'!A:F,6,)</f>
        <v>68.225684999999999</v>
      </c>
      <c r="C811" s="51"/>
      <c r="D811" s="51"/>
    </row>
    <row r="812" spans="1:4" x14ac:dyDescent="0.45">
      <c r="A812" s="7">
        <v>41163</v>
      </c>
      <c r="B812" s="8">
        <f>VLOOKUP(Table1[[#This Row],[Date]],'BUD data'!A:F,6,)</f>
        <v>68.841003000000001</v>
      </c>
      <c r="C812" s="51"/>
      <c r="D812" s="51"/>
    </row>
    <row r="813" spans="1:4" x14ac:dyDescent="0.45">
      <c r="A813" s="7">
        <v>41164</v>
      </c>
      <c r="B813" s="8">
        <f>VLOOKUP(Table1[[#This Row],[Date]],'BUD data'!A:F,6,)</f>
        <v>67.990921</v>
      </c>
      <c r="C813" s="51"/>
      <c r="D813" s="51"/>
    </row>
    <row r="814" spans="1:4" x14ac:dyDescent="0.45">
      <c r="A814" s="7">
        <v>41165</v>
      </c>
      <c r="B814" s="8">
        <f>VLOOKUP(Table1[[#This Row],[Date]],'BUD data'!A:F,6,)</f>
        <v>69.051506000000003</v>
      </c>
      <c r="C814" s="51"/>
      <c r="D814" s="51"/>
    </row>
    <row r="815" spans="1:4" x14ac:dyDescent="0.45">
      <c r="A815" s="7">
        <v>41166</v>
      </c>
      <c r="B815" s="8">
        <f>VLOOKUP(Table1[[#This Row],[Date]],'BUD data'!A:F,6,)</f>
        <v>69.116271999999995</v>
      </c>
      <c r="C815" s="51"/>
      <c r="D815" s="51"/>
    </row>
    <row r="816" spans="1:4" x14ac:dyDescent="0.45">
      <c r="A816" s="7">
        <v>41169</v>
      </c>
      <c r="B816" s="8">
        <f>VLOOKUP(Table1[[#This Row],[Date]],'BUD data'!A:F,6,)</f>
        <v>68.954338000000007</v>
      </c>
      <c r="C816" s="51"/>
      <c r="D816" s="51"/>
    </row>
    <row r="817" spans="1:4" x14ac:dyDescent="0.45">
      <c r="A817" s="7">
        <v>41170</v>
      </c>
      <c r="B817" s="8">
        <f>VLOOKUP(Table1[[#This Row],[Date]],'BUD data'!A:F,6,)</f>
        <v>69.715378000000001</v>
      </c>
      <c r="C817" s="51"/>
      <c r="D817" s="51"/>
    </row>
    <row r="818" spans="1:4" x14ac:dyDescent="0.45">
      <c r="A818" s="7">
        <v>41171</v>
      </c>
      <c r="B818" s="8">
        <f>VLOOKUP(Table1[[#This Row],[Date]],'BUD data'!A:F,6,)</f>
        <v>70.071617000000003</v>
      </c>
      <c r="C818" s="51"/>
      <c r="D818" s="51"/>
    </row>
    <row r="819" spans="1:4" x14ac:dyDescent="0.45">
      <c r="A819" s="7">
        <v>41172</v>
      </c>
      <c r="B819" s="8">
        <f>VLOOKUP(Table1[[#This Row],[Date]],'BUD data'!A:F,6,)</f>
        <v>70.435928000000004</v>
      </c>
      <c r="C819" s="51"/>
      <c r="D819" s="51"/>
    </row>
    <row r="820" spans="1:4" x14ac:dyDescent="0.45">
      <c r="A820" s="7">
        <v>41173</v>
      </c>
      <c r="B820" s="8">
        <f>VLOOKUP(Table1[[#This Row],[Date]],'BUD data'!A:F,6,)</f>
        <v>70.444046</v>
      </c>
      <c r="C820" s="51"/>
      <c r="D820" s="51"/>
    </row>
    <row r="821" spans="1:4" x14ac:dyDescent="0.45">
      <c r="A821" s="7">
        <v>41176</v>
      </c>
      <c r="B821" s="8">
        <f>VLOOKUP(Table1[[#This Row],[Date]],'BUD data'!A:F,6,)</f>
        <v>70.290199000000001</v>
      </c>
      <c r="C821" s="51"/>
      <c r="D821" s="51"/>
    </row>
    <row r="822" spans="1:4" x14ac:dyDescent="0.45">
      <c r="A822" s="7">
        <v>41177</v>
      </c>
      <c r="B822" s="8">
        <f>VLOOKUP(Table1[[#This Row],[Date]],'BUD data'!A:F,6,)</f>
        <v>69.998756</v>
      </c>
      <c r="C822" s="51"/>
      <c r="D822" s="51"/>
    </row>
    <row r="823" spans="1:4" x14ac:dyDescent="0.45">
      <c r="A823" s="7">
        <v>41178</v>
      </c>
      <c r="B823" s="8">
        <f>VLOOKUP(Table1[[#This Row],[Date]],'BUD data'!A:F,6,)</f>
        <v>70.873123000000007</v>
      </c>
      <c r="C823" s="51"/>
      <c r="D823" s="51"/>
    </row>
    <row r="824" spans="1:4" x14ac:dyDescent="0.45">
      <c r="A824" s="7">
        <v>41179</v>
      </c>
      <c r="B824" s="8">
        <f>VLOOKUP(Table1[[#This Row],[Date]],'BUD data'!A:F,6,)</f>
        <v>70.160674999999998</v>
      </c>
      <c r="C824" s="51"/>
      <c r="D824" s="51"/>
    </row>
    <row r="825" spans="1:4" x14ac:dyDescent="0.45">
      <c r="A825" s="7">
        <v>41180</v>
      </c>
      <c r="B825" s="8">
        <f>VLOOKUP(Table1[[#This Row],[Date]],'BUD data'!A:F,6,)</f>
        <v>69.553459000000004</v>
      </c>
      <c r="C825" s="51"/>
      <c r="D825" s="51"/>
    </row>
    <row r="826" spans="1:4" x14ac:dyDescent="0.45">
      <c r="A826" s="7">
        <v>41183</v>
      </c>
      <c r="B826" s="8">
        <f>VLOOKUP(Table1[[#This Row],[Date]],'BUD data'!A:F,6,)</f>
        <v>69.262000999999998</v>
      </c>
      <c r="C826" s="51"/>
      <c r="D826" s="51"/>
    </row>
    <row r="827" spans="1:4" x14ac:dyDescent="0.45">
      <c r="A827" s="7">
        <v>41184</v>
      </c>
      <c r="B827" s="8">
        <f>VLOOKUP(Table1[[#This Row],[Date]],'BUD data'!A:F,6,)</f>
        <v>71.593673999999993</v>
      </c>
      <c r="C827" s="51"/>
      <c r="D827" s="51"/>
    </row>
    <row r="828" spans="1:4" x14ac:dyDescent="0.45">
      <c r="A828" s="7">
        <v>41185</v>
      </c>
      <c r="B828" s="8">
        <f>VLOOKUP(Table1[[#This Row],[Date]],'BUD data'!A:F,6,)</f>
        <v>71.553200000000004</v>
      </c>
      <c r="C828" s="51"/>
      <c r="D828" s="51"/>
    </row>
    <row r="829" spans="1:4" x14ac:dyDescent="0.45">
      <c r="A829" s="7">
        <v>41186</v>
      </c>
      <c r="B829" s="8">
        <f>VLOOKUP(Table1[[#This Row],[Date]],'BUD data'!A:F,6,)</f>
        <v>71.787964000000002</v>
      </c>
      <c r="C829" s="51"/>
      <c r="D829" s="51"/>
    </row>
    <row r="830" spans="1:4" x14ac:dyDescent="0.45">
      <c r="A830" s="7">
        <v>41187</v>
      </c>
      <c r="B830" s="8">
        <f>VLOOKUP(Table1[[#This Row],[Date]],'BUD data'!A:F,6,)</f>
        <v>73.083374000000006</v>
      </c>
      <c r="C830" s="51"/>
      <c r="D830" s="51"/>
    </row>
    <row r="831" spans="1:4" x14ac:dyDescent="0.45">
      <c r="A831" s="7">
        <v>41190</v>
      </c>
      <c r="B831" s="8">
        <f>VLOOKUP(Table1[[#This Row],[Date]],'BUD data'!A:F,6,)</f>
        <v>72.581406000000001</v>
      </c>
      <c r="C831" s="51"/>
      <c r="D831" s="51"/>
    </row>
    <row r="832" spans="1:4" x14ac:dyDescent="0.45">
      <c r="A832" s="7">
        <v>41191</v>
      </c>
      <c r="B832" s="8">
        <f>VLOOKUP(Table1[[#This Row],[Date]],'BUD data'!A:F,6,)</f>
        <v>70.686904999999996</v>
      </c>
      <c r="C832" s="51"/>
      <c r="D832" s="51"/>
    </row>
    <row r="833" spans="1:4" x14ac:dyDescent="0.45">
      <c r="A833" s="7">
        <v>41192</v>
      </c>
      <c r="B833" s="8">
        <f>VLOOKUP(Table1[[#This Row],[Date]],'BUD data'!A:F,6,)</f>
        <v>70.225425999999999</v>
      </c>
      <c r="C833" s="51"/>
      <c r="D833" s="51"/>
    </row>
    <row r="834" spans="1:4" x14ac:dyDescent="0.45">
      <c r="A834" s="7">
        <v>41193</v>
      </c>
      <c r="B834" s="8">
        <f>VLOOKUP(Table1[[#This Row],[Date]],'BUD data'!A:F,6,)</f>
        <v>70.371161999999998</v>
      </c>
      <c r="C834" s="51"/>
      <c r="D834" s="51"/>
    </row>
    <row r="835" spans="1:4" x14ac:dyDescent="0.45">
      <c r="A835" s="7">
        <v>41194</v>
      </c>
      <c r="B835" s="8">
        <f>VLOOKUP(Table1[[#This Row],[Date]],'BUD data'!A:F,6,)</f>
        <v>70.290199000000001</v>
      </c>
      <c r="C835" s="51"/>
      <c r="D835" s="51"/>
    </row>
    <row r="836" spans="1:4" x14ac:dyDescent="0.45">
      <c r="A836" s="7">
        <v>41197</v>
      </c>
      <c r="B836" s="8">
        <f>VLOOKUP(Table1[[#This Row],[Date]],'BUD data'!A:F,6,)</f>
        <v>70.363083000000003</v>
      </c>
      <c r="C836" s="51"/>
      <c r="D836" s="51"/>
    </row>
    <row r="837" spans="1:4" x14ac:dyDescent="0.45">
      <c r="A837" s="7">
        <v>41198</v>
      </c>
      <c r="B837" s="8">
        <f>VLOOKUP(Table1[[#This Row],[Date]],'BUD data'!A:F,6,)</f>
        <v>71.949905000000001</v>
      </c>
      <c r="C837" s="51"/>
      <c r="D837" s="51"/>
    </row>
    <row r="838" spans="1:4" x14ac:dyDescent="0.45">
      <c r="A838" s="7">
        <v>41199</v>
      </c>
      <c r="B838" s="8">
        <f>VLOOKUP(Table1[[#This Row],[Date]],'BUD data'!A:F,6,)</f>
        <v>71.690833999999995</v>
      </c>
      <c r="C838" s="51"/>
      <c r="D838" s="51"/>
    </row>
    <row r="839" spans="1:4" x14ac:dyDescent="0.45">
      <c r="A839" s="7">
        <v>41200</v>
      </c>
      <c r="B839" s="8">
        <f>VLOOKUP(Table1[[#This Row],[Date]],'BUD data'!A:F,6,)</f>
        <v>69.925888</v>
      </c>
      <c r="C839" s="51"/>
      <c r="D839" s="51"/>
    </row>
    <row r="840" spans="1:4" x14ac:dyDescent="0.45">
      <c r="A840" s="7">
        <v>41201</v>
      </c>
      <c r="B840" s="8">
        <f>VLOOKUP(Table1[[#This Row],[Date]],'BUD data'!A:F,6,)</f>
        <v>69.278198000000003</v>
      </c>
      <c r="C840" s="51"/>
      <c r="D840" s="51"/>
    </row>
    <row r="841" spans="1:4" x14ac:dyDescent="0.45">
      <c r="A841" s="7">
        <v>41204</v>
      </c>
      <c r="B841" s="8">
        <f>VLOOKUP(Table1[[#This Row],[Date]],'BUD data'!A:F,6,)</f>
        <v>69.772057000000004</v>
      </c>
      <c r="C841" s="51"/>
      <c r="D841" s="51"/>
    </row>
    <row r="842" spans="1:4" x14ac:dyDescent="0.45">
      <c r="A842" s="7">
        <v>41205</v>
      </c>
      <c r="B842" s="8">
        <f>VLOOKUP(Table1[[#This Row],[Date]],'BUD data'!A:F,6,)</f>
        <v>69.699180999999996</v>
      </c>
      <c r="C842" s="51"/>
      <c r="D842" s="51"/>
    </row>
    <row r="843" spans="1:4" x14ac:dyDescent="0.45">
      <c r="A843" s="7">
        <v>41206</v>
      </c>
      <c r="B843" s="8">
        <f>VLOOKUP(Table1[[#This Row],[Date]],'BUD data'!A:F,6,)</f>
        <v>69.189125000000004</v>
      </c>
      <c r="C843" s="51"/>
      <c r="D843" s="51"/>
    </row>
    <row r="844" spans="1:4" x14ac:dyDescent="0.45">
      <c r="A844" s="7">
        <v>41207</v>
      </c>
      <c r="B844" s="8">
        <f>VLOOKUP(Table1[[#This Row],[Date]],'BUD data'!A:F,6,)</f>
        <v>69.245827000000006</v>
      </c>
      <c r="C844" s="51"/>
      <c r="D844" s="51"/>
    </row>
    <row r="845" spans="1:4" x14ac:dyDescent="0.45">
      <c r="A845" s="7">
        <v>41208</v>
      </c>
      <c r="B845" s="8">
        <f>VLOOKUP(Table1[[#This Row],[Date]],'BUD data'!A:F,6,)</f>
        <v>68.986732000000003</v>
      </c>
      <c r="C845" s="51"/>
      <c r="D845" s="51"/>
    </row>
    <row r="846" spans="1:4" x14ac:dyDescent="0.45">
      <c r="A846" s="7">
        <v>41213</v>
      </c>
      <c r="B846" s="8">
        <f>VLOOKUP(Table1[[#This Row],[Date]],'BUD data'!A:F,6,)</f>
        <v>67.845191999999997</v>
      </c>
      <c r="C846" s="51"/>
      <c r="D846" s="51"/>
    </row>
    <row r="847" spans="1:4" x14ac:dyDescent="0.45">
      <c r="A847" s="7">
        <v>41214</v>
      </c>
      <c r="B847" s="8">
        <f>VLOOKUP(Table1[[#This Row],[Date]],'BUD data'!A:F,6,)</f>
        <v>67.019394000000005</v>
      </c>
      <c r="C847" s="51"/>
      <c r="D847" s="51"/>
    </row>
    <row r="848" spans="1:4" x14ac:dyDescent="0.45">
      <c r="A848" s="7">
        <v>41215</v>
      </c>
      <c r="B848" s="8">
        <f>VLOOKUP(Table1[[#This Row],[Date]],'BUD data'!A:F,6,)</f>
        <v>67.553741000000002</v>
      </c>
      <c r="C848" s="51"/>
      <c r="D848" s="51"/>
    </row>
    <row r="849" spans="1:4" x14ac:dyDescent="0.45">
      <c r="A849" s="7">
        <v>41218</v>
      </c>
      <c r="B849" s="8">
        <f>VLOOKUP(Table1[[#This Row],[Date]],'BUD data'!A:F,6,)</f>
        <v>66.606482999999997</v>
      </c>
      <c r="C849" s="51"/>
      <c r="D849" s="51"/>
    </row>
    <row r="850" spans="1:4" x14ac:dyDescent="0.45">
      <c r="A850" s="7">
        <v>41219</v>
      </c>
      <c r="B850" s="8">
        <f>VLOOKUP(Table1[[#This Row],[Date]],'BUD data'!A:F,6,)</f>
        <v>67.658980999999997</v>
      </c>
      <c r="C850" s="51"/>
      <c r="D850" s="51"/>
    </row>
    <row r="851" spans="1:4" x14ac:dyDescent="0.45">
      <c r="A851" s="7">
        <v>41220</v>
      </c>
      <c r="B851" s="8">
        <f>VLOOKUP(Table1[[#This Row],[Date]],'BUD data'!A:F,6,)</f>
        <v>66.52552</v>
      </c>
      <c r="C851" s="51"/>
      <c r="D851" s="51"/>
    </row>
    <row r="852" spans="1:4" x14ac:dyDescent="0.45">
      <c r="A852" s="7">
        <v>41221</v>
      </c>
      <c r="B852" s="8">
        <f>VLOOKUP(Table1[[#This Row],[Date]],'BUD data'!A:F,6,)</f>
        <v>66.339309999999998</v>
      </c>
      <c r="C852" s="51"/>
      <c r="D852" s="51"/>
    </row>
    <row r="853" spans="1:4" x14ac:dyDescent="0.45">
      <c r="A853" s="7">
        <v>41222</v>
      </c>
      <c r="B853" s="8">
        <f>VLOOKUP(Table1[[#This Row],[Date]],'BUD data'!A:F,6,)</f>
        <v>66.970802000000006</v>
      </c>
      <c r="C853" s="51"/>
      <c r="D853" s="51"/>
    </row>
    <row r="854" spans="1:4" x14ac:dyDescent="0.45">
      <c r="A854" s="7">
        <v>41225</v>
      </c>
      <c r="B854" s="8">
        <f>VLOOKUP(Table1[[#This Row],[Date]],'BUD data'!A:F,6,)</f>
        <v>67.286559999999994</v>
      </c>
      <c r="C854" s="51"/>
      <c r="D854" s="51"/>
    </row>
    <row r="855" spans="1:4" x14ac:dyDescent="0.45">
      <c r="A855" s="7">
        <v>41226</v>
      </c>
      <c r="B855" s="8">
        <f>VLOOKUP(Table1[[#This Row],[Date]],'BUD data'!A:F,6,)</f>
        <v>67.715652000000006</v>
      </c>
      <c r="C855" s="51"/>
      <c r="D855" s="51"/>
    </row>
    <row r="856" spans="1:4" x14ac:dyDescent="0.45">
      <c r="A856" s="7">
        <v>41227</v>
      </c>
      <c r="B856" s="8">
        <f>VLOOKUP(Table1[[#This Row],[Date]],'BUD data'!A:F,6,)</f>
        <v>66.566001999999997</v>
      </c>
      <c r="C856" s="51"/>
      <c r="D856" s="51"/>
    </row>
    <row r="857" spans="1:4" x14ac:dyDescent="0.45">
      <c r="A857" s="7">
        <v>41228</v>
      </c>
      <c r="B857" s="8">
        <f>VLOOKUP(Table1[[#This Row],[Date]],'BUD data'!A:F,6,)</f>
        <v>67.027489000000003</v>
      </c>
      <c r="C857" s="51"/>
      <c r="D857" s="51"/>
    </row>
    <row r="858" spans="1:4" x14ac:dyDescent="0.45">
      <c r="A858" s="7">
        <v>41229</v>
      </c>
      <c r="B858" s="8">
        <f>VLOOKUP(Table1[[#This Row],[Date]],'BUD data'!A:F,6,)</f>
        <v>67.003203999999997</v>
      </c>
      <c r="C858" s="51"/>
      <c r="D858" s="51"/>
    </row>
    <row r="859" spans="1:4" x14ac:dyDescent="0.45">
      <c r="A859" s="7">
        <v>41232</v>
      </c>
      <c r="B859" s="8">
        <f>VLOOKUP(Table1[[#This Row],[Date]],'BUD data'!A:F,6,)</f>
        <v>68.549553000000003</v>
      </c>
      <c r="C859" s="51"/>
      <c r="D859" s="51"/>
    </row>
    <row r="860" spans="1:4" x14ac:dyDescent="0.45">
      <c r="A860" s="7">
        <v>41233</v>
      </c>
      <c r="B860" s="8">
        <f>VLOOKUP(Table1[[#This Row],[Date]],'BUD data'!A:F,6,)</f>
        <v>69.537270000000007</v>
      </c>
      <c r="C860" s="51"/>
      <c r="D860" s="51"/>
    </row>
    <row r="861" spans="1:4" x14ac:dyDescent="0.45">
      <c r="A861" s="7">
        <v>41234</v>
      </c>
      <c r="B861" s="8">
        <f>VLOOKUP(Table1[[#This Row],[Date]],'BUD data'!A:F,6,)</f>
        <v>68.897682000000003</v>
      </c>
      <c r="C861" s="51"/>
      <c r="D861" s="51"/>
    </row>
    <row r="862" spans="1:4" x14ac:dyDescent="0.45">
      <c r="A862" s="7">
        <v>41236</v>
      </c>
      <c r="B862" s="8">
        <f>VLOOKUP(Table1[[#This Row],[Date]],'BUD data'!A:F,6,)</f>
        <v>70.419746000000004</v>
      </c>
      <c r="C862" s="51"/>
      <c r="D862" s="51"/>
    </row>
    <row r="863" spans="1:4" x14ac:dyDescent="0.45">
      <c r="A863" s="7">
        <v>41239</v>
      </c>
      <c r="B863" s="8">
        <f>VLOOKUP(Table1[[#This Row],[Date]],'BUD data'!A:F,6,)</f>
        <v>70.201141000000007</v>
      </c>
      <c r="C863" s="51"/>
      <c r="D863" s="51"/>
    </row>
    <row r="864" spans="1:4" x14ac:dyDescent="0.45">
      <c r="A864" s="7">
        <v>41240</v>
      </c>
      <c r="B864" s="8">
        <f>VLOOKUP(Table1[[#This Row],[Date]],'BUD data'!A:F,6,)</f>
        <v>69.723479999999995</v>
      </c>
      <c r="C864" s="51"/>
      <c r="D864" s="51"/>
    </row>
    <row r="865" spans="1:4" x14ac:dyDescent="0.45">
      <c r="A865" s="7">
        <v>41241</v>
      </c>
      <c r="B865" s="8">
        <f>VLOOKUP(Table1[[#This Row],[Date]],'BUD data'!A:F,6,)</f>
        <v>69.270088000000001</v>
      </c>
      <c r="C865" s="51"/>
      <c r="D865" s="51"/>
    </row>
    <row r="866" spans="1:4" x14ac:dyDescent="0.45">
      <c r="A866" s="7">
        <v>41242</v>
      </c>
      <c r="B866" s="8">
        <f>VLOOKUP(Table1[[#This Row],[Date]],'BUD data'!A:F,6,)</f>
        <v>69.974457000000001</v>
      </c>
      <c r="C866" s="51"/>
      <c r="D866" s="51"/>
    </row>
    <row r="867" spans="1:4" x14ac:dyDescent="0.45">
      <c r="A867" s="7">
        <v>41243</v>
      </c>
      <c r="B867" s="8">
        <f>VLOOKUP(Table1[[#This Row],[Date]],'BUD data'!A:F,6,)</f>
        <v>71.221252000000007</v>
      </c>
      <c r="C867" s="51"/>
      <c r="D867" s="51"/>
    </row>
    <row r="868" spans="1:4" x14ac:dyDescent="0.45">
      <c r="A868" s="7">
        <v>41246</v>
      </c>
      <c r="B868" s="8">
        <f>VLOOKUP(Table1[[#This Row],[Date]],'BUD data'!A:F,6,)</f>
        <v>71.480339000000001</v>
      </c>
      <c r="C868" s="51"/>
      <c r="D868" s="51"/>
    </row>
    <row r="869" spans="1:4" x14ac:dyDescent="0.45">
      <c r="A869" s="7">
        <v>41247</v>
      </c>
      <c r="B869" s="8">
        <f>VLOOKUP(Table1[[#This Row],[Date]],'BUD data'!A:F,6,)</f>
        <v>71.472244000000003</v>
      </c>
      <c r="C869" s="51"/>
      <c r="D869" s="51"/>
    </row>
    <row r="870" spans="1:4" x14ac:dyDescent="0.45">
      <c r="A870" s="7">
        <v>41248</v>
      </c>
      <c r="B870" s="8">
        <f>VLOOKUP(Table1[[#This Row],[Date]],'BUD data'!A:F,6,)</f>
        <v>70.921700000000001</v>
      </c>
      <c r="C870" s="51"/>
      <c r="D870" s="51"/>
    </row>
    <row r="871" spans="1:4" x14ac:dyDescent="0.45">
      <c r="A871" s="7">
        <v>41249</v>
      </c>
      <c r="B871" s="8">
        <f>VLOOKUP(Table1[[#This Row],[Date]],'BUD data'!A:F,6,)</f>
        <v>70.816460000000006</v>
      </c>
      <c r="C871" s="51"/>
      <c r="D871" s="51"/>
    </row>
    <row r="872" spans="1:4" x14ac:dyDescent="0.45">
      <c r="A872" s="7">
        <v>41250</v>
      </c>
      <c r="B872" s="8">
        <f>VLOOKUP(Table1[[#This Row],[Date]],'BUD data'!A:F,6,)</f>
        <v>71.043143999999998</v>
      </c>
      <c r="C872" s="51"/>
      <c r="D872" s="51"/>
    </row>
    <row r="873" spans="1:4" x14ac:dyDescent="0.45">
      <c r="A873" s="7">
        <v>41253</v>
      </c>
      <c r="B873" s="8">
        <f>VLOOKUP(Table1[[#This Row],[Date]],'BUD data'!A:F,6,)</f>
        <v>71.415565000000001</v>
      </c>
      <c r="C873" s="51"/>
      <c r="D873" s="51"/>
    </row>
    <row r="874" spans="1:4" x14ac:dyDescent="0.45">
      <c r="A874" s="7">
        <v>41254</v>
      </c>
      <c r="B874" s="8">
        <f>VLOOKUP(Table1[[#This Row],[Date]],'BUD data'!A:F,6,)</f>
        <v>72.111832000000007</v>
      </c>
      <c r="C874" s="51"/>
      <c r="D874" s="51"/>
    </row>
    <row r="875" spans="1:4" x14ac:dyDescent="0.45">
      <c r="A875" s="7">
        <v>41255</v>
      </c>
      <c r="B875" s="8">
        <f>VLOOKUP(Table1[[#This Row],[Date]],'BUD data'!A:F,6,)</f>
        <v>71.018844999999999</v>
      </c>
      <c r="C875" s="51"/>
      <c r="D875" s="51"/>
    </row>
    <row r="876" spans="1:4" x14ac:dyDescent="0.45">
      <c r="A876" s="7">
        <v>41256</v>
      </c>
      <c r="B876" s="8">
        <f>VLOOKUP(Table1[[#This Row],[Date]],'BUD data'!A:F,6,)</f>
        <v>70.711196999999999</v>
      </c>
      <c r="C876" s="51"/>
      <c r="D876" s="51"/>
    </row>
    <row r="877" spans="1:4" x14ac:dyDescent="0.45">
      <c r="A877" s="7">
        <v>41257</v>
      </c>
      <c r="B877" s="8">
        <f>VLOOKUP(Table1[[#This Row],[Date]],'BUD data'!A:F,6,)</f>
        <v>71.504608000000005</v>
      </c>
      <c r="C877" s="51"/>
      <c r="D877" s="51"/>
    </row>
    <row r="878" spans="1:4" x14ac:dyDescent="0.45">
      <c r="A878" s="7">
        <v>41260</v>
      </c>
      <c r="B878" s="8">
        <f>VLOOKUP(Table1[[#This Row],[Date]],'BUD data'!A:F,6,)</f>
        <v>70.589766999999995</v>
      </c>
      <c r="C878" s="51"/>
      <c r="D878" s="51"/>
    </row>
    <row r="879" spans="1:4" x14ac:dyDescent="0.45">
      <c r="A879" s="7">
        <v>41261</v>
      </c>
      <c r="B879" s="8">
        <f>VLOOKUP(Table1[[#This Row],[Date]],'BUD data'!A:F,6,)</f>
        <v>71.496528999999995</v>
      </c>
      <c r="C879" s="51"/>
      <c r="D879" s="51"/>
    </row>
    <row r="880" spans="1:4" x14ac:dyDescent="0.45">
      <c r="A880" s="7">
        <v>41262</v>
      </c>
      <c r="B880" s="8">
        <f>VLOOKUP(Table1[[#This Row],[Date]],'BUD data'!A:F,6,)</f>
        <v>71.917518999999999</v>
      </c>
      <c r="C880" s="51"/>
      <c r="D880" s="51"/>
    </row>
    <row r="881" spans="1:4" x14ac:dyDescent="0.45">
      <c r="A881" s="7">
        <v>41263</v>
      </c>
      <c r="B881" s="8">
        <f>VLOOKUP(Table1[[#This Row],[Date]],'BUD data'!A:F,6,)</f>
        <v>71.690833999999995</v>
      </c>
      <c r="C881" s="51"/>
      <c r="D881" s="51"/>
    </row>
    <row r="882" spans="1:4" x14ac:dyDescent="0.45">
      <c r="A882" s="7">
        <v>41264</v>
      </c>
      <c r="B882" s="8">
        <f>VLOOKUP(Table1[[#This Row],[Date]],'BUD data'!A:F,6,)</f>
        <v>70.840751999999995</v>
      </c>
      <c r="C882" s="51"/>
      <c r="D882" s="51"/>
    </row>
    <row r="883" spans="1:4" x14ac:dyDescent="0.45">
      <c r="A883" s="7">
        <v>41267</v>
      </c>
      <c r="B883" s="8">
        <f>VLOOKUP(Table1[[#This Row],[Date]],'BUD data'!A:F,6,)</f>
        <v>70.873123000000007</v>
      </c>
      <c r="C883" s="51"/>
      <c r="D883" s="51"/>
    </row>
    <row r="884" spans="1:4" x14ac:dyDescent="0.45">
      <c r="A884" s="7">
        <v>41269</v>
      </c>
      <c r="B884" s="8">
        <f>VLOOKUP(Table1[[#This Row],[Date]],'BUD data'!A:F,6,)</f>
        <v>70.792152000000002</v>
      </c>
      <c r="C884" s="51"/>
      <c r="D884" s="51"/>
    </row>
    <row r="885" spans="1:4" x14ac:dyDescent="0.45">
      <c r="A885" s="7">
        <v>41270</v>
      </c>
      <c r="B885" s="8">
        <f>VLOOKUP(Table1[[#This Row],[Date]],'BUD data'!A:F,6,)</f>
        <v>71.213165000000004</v>
      </c>
      <c r="C885" s="51"/>
      <c r="D885" s="51"/>
    </row>
    <row r="886" spans="1:4" x14ac:dyDescent="0.45">
      <c r="A886" s="7">
        <v>41271</v>
      </c>
      <c r="B886" s="8">
        <f>VLOOKUP(Table1[[#This Row],[Date]],'BUD data'!A:F,6,)</f>
        <v>70.282096999999993</v>
      </c>
      <c r="C886" s="51"/>
      <c r="D886" s="51"/>
    </row>
    <row r="887" spans="1:4" x14ac:dyDescent="0.45">
      <c r="A887" s="7">
        <v>41274</v>
      </c>
      <c r="B887" s="8">
        <f>VLOOKUP(Table1[[#This Row],[Date]],'BUD data'!A:F,6,)</f>
        <v>70.767876000000001</v>
      </c>
      <c r="C887" s="51"/>
      <c r="D887" s="51"/>
    </row>
    <row r="888" spans="1:4" x14ac:dyDescent="0.45">
      <c r="A888" s="7">
        <v>41276</v>
      </c>
      <c r="B888" s="8">
        <f>VLOOKUP(Table1[[#This Row],[Date]],'BUD data'!A:F,6,)</f>
        <v>72.087547000000001</v>
      </c>
      <c r="C888" s="51"/>
      <c r="D888" s="51"/>
    </row>
    <row r="889" spans="1:4" x14ac:dyDescent="0.45">
      <c r="A889" s="7">
        <v>41277</v>
      </c>
      <c r="B889" s="8">
        <f>VLOOKUP(Table1[[#This Row],[Date]],'BUD data'!A:F,6,)</f>
        <v>70.314483999999993</v>
      </c>
      <c r="C889" s="51"/>
      <c r="D889" s="51"/>
    </row>
    <row r="890" spans="1:4" x14ac:dyDescent="0.45">
      <c r="A890" s="7">
        <v>41278</v>
      </c>
      <c r="B890" s="8">
        <f>VLOOKUP(Table1[[#This Row],[Date]],'BUD data'!A:F,6,)</f>
        <v>71.577477000000002</v>
      </c>
      <c r="C890" s="51"/>
      <c r="D890" s="51"/>
    </row>
    <row r="891" spans="1:4" x14ac:dyDescent="0.45">
      <c r="A891" s="7">
        <v>41281</v>
      </c>
      <c r="B891" s="8">
        <f>VLOOKUP(Table1[[#This Row],[Date]],'BUD data'!A:F,6,)</f>
        <v>70.921700000000001</v>
      </c>
      <c r="C891" s="51"/>
      <c r="D891" s="51"/>
    </row>
    <row r="892" spans="1:4" x14ac:dyDescent="0.45">
      <c r="A892" s="7">
        <v>41282</v>
      </c>
      <c r="B892" s="8">
        <f>VLOOKUP(Table1[[#This Row],[Date]],'BUD data'!A:F,6,)</f>
        <v>69.861107000000004</v>
      </c>
      <c r="C892" s="51"/>
      <c r="D892" s="51"/>
    </row>
    <row r="893" spans="1:4" x14ac:dyDescent="0.45">
      <c r="A893" s="7">
        <v>41283</v>
      </c>
      <c r="B893" s="8">
        <f>VLOOKUP(Table1[[#This Row],[Date]],'BUD data'!A:F,6,)</f>
        <v>68.241889999999998</v>
      </c>
      <c r="C893" s="51"/>
      <c r="D893" s="51"/>
    </row>
    <row r="894" spans="1:4" x14ac:dyDescent="0.45">
      <c r="A894" s="7">
        <v>41284</v>
      </c>
      <c r="B894" s="8">
        <f>VLOOKUP(Table1[[#This Row],[Date]],'BUD data'!A:F,6,)</f>
        <v>70.120177999999996</v>
      </c>
      <c r="C894" s="51"/>
      <c r="D894" s="51"/>
    </row>
    <row r="895" spans="1:4" x14ac:dyDescent="0.45">
      <c r="A895" s="7">
        <v>41285</v>
      </c>
      <c r="B895" s="8">
        <f>VLOOKUP(Table1[[#This Row],[Date]],'BUD data'!A:F,6,)</f>
        <v>70.921700000000001</v>
      </c>
      <c r="C895" s="51"/>
      <c r="D895" s="51"/>
    </row>
    <row r="896" spans="1:4" x14ac:dyDescent="0.45">
      <c r="A896" s="7">
        <v>41288</v>
      </c>
      <c r="B896" s="8">
        <f>VLOOKUP(Table1[[#This Row],[Date]],'BUD data'!A:F,6,)</f>
        <v>70.678825000000003</v>
      </c>
      <c r="C896" s="51"/>
      <c r="D896" s="51"/>
    </row>
    <row r="897" spans="1:4" x14ac:dyDescent="0.45">
      <c r="A897" s="7">
        <v>41289</v>
      </c>
      <c r="B897" s="8">
        <f>VLOOKUP(Table1[[#This Row],[Date]],'BUD data'!A:F,6,)</f>
        <v>71.804192</v>
      </c>
      <c r="C897" s="51"/>
      <c r="D897" s="51"/>
    </row>
    <row r="898" spans="1:4" x14ac:dyDescent="0.45">
      <c r="A898" s="7">
        <v>41290</v>
      </c>
      <c r="B898" s="8">
        <f>VLOOKUP(Table1[[#This Row],[Date]],'BUD data'!A:F,6,)</f>
        <v>72.047049999999999</v>
      </c>
      <c r="C898" s="51"/>
      <c r="D898" s="51"/>
    </row>
    <row r="899" spans="1:4" x14ac:dyDescent="0.45">
      <c r="A899" s="7">
        <v>41291</v>
      </c>
      <c r="B899" s="8">
        <f>VLOOKUP(Table1[[#This Row],[Date]],'BUD data'!A:F,6,)</f>
        <v>71.982299999999995</v>
      </c>
      <c r="C899" s="51"/>
      <c r="D899" s="51"/>
    </row>
    <row r="900" spans="1:4" x14ac:dyDescent="0.45">
      <c r="A900" s="7">
        <v>41292</v>
      </c>
      <c r="B900" s="8">
        <f>VLOOKUP(Table1[[#This Row],[Date]],'BUD data'!A:F,6,)</f>
        <v>72.638069000000002</v>
      </c>
      <c r="C900" s="51"/>
      <c r="D900" s="51"/>
    </row>
    <row r="901" spans="1:4" x14ac:dyDescent="0.45">
      <c r="A901" s="7">
        <v>41296</v>
      </c>
      <c r="B901" s="8">
        <f>VLOOKUP(Table1[[#This Row],[Date]],'BUD data'!A:F,6,)</f>
        <v>73.544830000000005</v>
      </c>
      <c r="C901" s="51"/>
      <c r="D901" s="51"/>
    </row>
    <row r="902" spans="1:4" x14ac:dyDescent="0.45">
      <c r="A902" s="7">
        <v>41297</v>
      </c>
      <c r="B902" s="8">
        <f>VLOOKUP(Table1[[#This Row],[Date]],'BUD data'!A:F,6,)</f>
        <v>72.961913999999993</v>
      </c>
      <c r="C902" s="51"/>
      <c r="D902" s="51"/>
    </row>
    <row r="903" spans="1:4" x14ac:dyDescent="0.45">
      <c r="A903" s="7">
        <v>41298</v>
      </c>
      <c r="B903" s="8">
        <f>VLOOKUP(Table1[[#This Row],[Date]],'BUD data'!A:F,6,)</f>
        <v>73.075264000000004</v>
      </c>
      <c r="C903" s="51"/>
      <c r="D903" s="51"/>
    </row>
    <row r="904" spans="1:4" x14ac:dyDescent="0.45">
      <c r="A904" s="7">
        <v>41299</v>
      </c>
      <c r="B904" s="8">
        <f>VLOOKUP(Table1[[#This Row],[Date]],'BUD data'!A:F,6,)</f>
        <v>74.249190999999996</v>
      </c>
      <c r="C904" s="51"/>
      <c r="D904" s="51"/>
    </row>
    <row r="905" spans="1:4" x14ac:dyDescent="0.45">
      <c r="A905" s="7">
        <v>41302</v>
      </c>
      <c r="B905" s="8">
        <f>VLOOKUP(Table1[[#This Row],[Date]],'BUD data'!A:F,6,)</f>
        <v>74.330153999999993</v>
      </c>
      <c r="C905" s="51"/>
      <c r="D905" s="51"/>
    </row>
    <row r="906" spans="1:4" x14ac:dyDescent="0.45">
      <c r="A906" s="7">
        <v>41303</v>
      </c>
      <c r="B906" s="8">
        <f>VLOOKUP(Table1[[#This Row],[Date]],'BUD data'!A:F,6,)</f>
        <v>75.487899999999996</v>
      </c>
      <c r="C906" s="51"/>
      <c r="D906" s="51"/>
    </row>
    <row r="907" spans="1:4" x14ac:dyDescent="0.45">
      <c r="A907" s="7">
        <v>41304</v>
      </c>
      <c r="B907" s="8">
        <f>VLOOKUP(Table1[[#This Row],[Date]],'BUD data'!A:F,6,)</f>
        <v>76.216530000000006</v>
      </c>
      <c r="C907" s="51"/>
      <c r="D907" s="51"/>
    </row>
    <row r="908" spans="1:4" x14ac:dyDescent="0.45">
      <c r="A908" s="7">
        <v>41305</v>
      </c>
      <c r="B908" s="8">
        <f>VLOOKUP(Table1[[#This Row],[Date]],'BUD data'!A:F,6,)</f>
        <v>71.731316000000007</v>
      </c>
      <c r="C908" s="51"/>
      <c r="D908" s="51"/>
    </row>
    <row r="909" spans="1:4" x14ac:dyDescent="0.45">
      <c r="A909" s="7">
        <v>41306</v>
      </c>
      <c r="B909" s="8">
        <f>VLOOKUP(Table1[[#This Row],[Date]],'BUD data'!A:F,6,)</f>
        <v>74.710655000000003</v>
      </c>
      <c r="C909" s="51"/>
      <c r="D909" s="51"/>
    </row>
    <row r="910" spans="1:4" x14ac:dyDescent="0.45">
      <c r="A910" s="7">
        <v>41309</v>
      </c>
      <c r="B910" s="8">
        <f>VLOOKUP(Table1[[#This Row],[Date]],'BUD data'!A:F,6,)</f>
        <v>70.978370999999996</v>
      </c>
      <c r="C910" s="51"/>
      <c r="D910" s="51"/>
    </row>
    <row r="911" spans="1:4" x14ac:dyDescent="0.45">
      <c r="A911" s="7">
        <v>41310</v>
      </c>
      <c r="B911" s="8">
        <f>VLOOKUP(Table1[[#This Row],[Date]],'BUD data'!A:F,6,)</f>
        <v>71.310317999999995</v>
      </c>
      <c r="C911" s="51"/>
      <c r="D911" s="51"/>
    </row>
    <row r="912" spans="1:4" x14ac:dyDescent="0.45">
      <c r="A912" s="7">
        <v>41311</v>
      </c>
      <c r="B912" s="8">
        <f>VLOOKUP(Table1[[#This Row],[Date]],'BUD data'!A:F,6,)</f>
        <v>70.735480999999993</v>
      </c>
      <c r="C912" s="51"/>
      <c r="D912" s="51"/>
    </row>
    <row r="913" spans="1:4" x14ac:dyDescent="0.45">
      <c r="A913" s="7">
        <v>41312</v>
      </c>
      <c r="B913" s="8">
        <f>VLOOKUP(Table1[[#This Row],[Date]],'BUD data'!A:F,6,)</f>
        <v>69.950180000000003</v>
      </c>
      <c r="C913" s="51"/>
      <c r="D913" s="51"/>
    </row>
    <row r="914" spans="1:4" x14ac:dyDescent="0.45">
      <c r="A914" s="7">
        <v>41313</v>
      </c>
      <c r="B914" s="8">
        <f>VLOOKUP(Table1[[#This Row],[Date]],'BUD data'!A:F,6,)</f>
        <v>69.415824999999998</v>
      </c>
      <c r="C914" s="51"/>
      <c r="D914" s="51"/>
    </row>
    <row r="915" spans="1:4" x14ac:dyDescent="0.45">
      <c r="A915" s="7">
        <v>41316</v>
      </c>
      <c r="B915" s="8">
        <f>VLOOKUP(Table1[[#This Row],[Date]],'BUD data'!A:F,6,)</f>
        <v>69.844916999999995</v>
      </c>
      <c r="C915" s="51"/>
      <c r="D915" s="51"/>
    </row>
    <row r="916" spans="1:4" x14ac:dyDescent="0.45">
      <c r="A916" s="7">
        <v>41317</v>
      </c>
      <c r="B916" s="8">
        <f>VLOOKUP(Table1[[#This Row],[Date]],'BUD data'!A:F,6,)</f>
        <v>70.856926000000001</v>
      </c>
      <c r="C916" s="51"/>
      <c r="D916" s="51"/>
    </row>
    <row r="917" spans="1:4" x14ac:dyDescent="0.45">
      <c r="A917" s="7">
        <v>41318</v>
      </c>
      <c r="B917" s="8">
        <f>VLOOKUP(Table1[[#This Row],[Date]],'BUD data'!A:F,6,)</f>
        <v>71.456039000000004</v>
      </c>
      <c r="C917" s="51"/>
      <c r="D917" s="51"/>
    </row>
    <row r="918" spans="1:4" x14ac:dyDescent="0.45">
      <c r="A918" s="7">
        <v>41319</v>
      </c>
      <c r="B918" s="8">
        <f>VLOOKUP(Table1[[#This Row],[Date]],'BUD data'!A:F,6,)</f>
        <v>75.099281000000005</v>
      </c>
      <c r="C918" s="51"/>
      <c r="D918" s="51"/>
    </row>
    <row r="919" spans="1:4" x14ac:dyDescent="0.45">
      <c r="A919" s="7">
        <v>41320</v>
      </c>
      <c r="B919" s="8">
        <f>VLOOKUP(Table1[[#This Row],[Date]],'BUD data'!A:F,6,)</f>
        <v>75.074989000000002</v>
      </c>
      <c r="C919" s="51"/>
      <c r="D919" s="51"/>
    </row>
    <row r="920" spans="1:4" x14ac:dyDescent="0.45">
      <c r="A920" s="7">
        <v>41324</v>
      </c>
      <c r="B920" s="8">
        <f>VLOOKUP(Table1[[#This Row],[Date]],'BUD data'!A:F,6,)</f>
        <v>75.366439999999997</v>
      </c>
      <c r="C920" s="51"/>
      <c r="D920" s="51"/>
    </row>
    <row r="921" spans="1:4" x14ac:dyDescent="0.45">
      <c r="A921" s="7">
        <v>41325</v>
      </c>
      <c r="B921" s="8">
        <f>VLOOKUP(Table1[[#This Row],[Date]],'BUD data'!A:F,6,)</f>
        <v>75.188354000000004</v>
      </c>
      <c r="C921" s="51"/>
      <c r="D921" s="51"/>
    </row>
    <row r="922" spans="1:4" x14ac:dyDescent="0.45">
      <c r="A922" s="7">
        <v>41326</v>
      </c>
      <c r="B922" s="8">
        <f>VLOOKUP(Table1[[#This Row],[Date]],'BUD data'!A:F,6,)</f>
        <v>74.532546999999994</v>
      </c>
      <c r="C922" s="51"/>
      <c r="D922" s="51"/>
    </row>
    <row r="923" spans="1:4" x14ac:dyDescent="0.45">
      <c r="A923" s="7">
        <v>41327</v>
      </c>
      <c r="B923" s="8">
        <f>VLOOKUP(Table1[[#This Row],[Date]],'BUD data'!A:F,6,)</f>
        <v>75.601241999999999</v>
      </c>
      <c r="C923" s="51"/>
      <c r="D923" s="51"/>
    </row>
    <row r="924" spans="1:4" x14ac:dyDescent="0.45">
      <c r="A924" s="7">
        <v>41330</v>
      </c>
      <c r="B924" s="8">
        <f>VLOOKUP(Table1[[#This Row],[Date]],'BUD data'!A:F,6,)</f>
        <v>74.419212000000002</v>
      </c>
      <c r="C924" s="51"/>
      <c r="D924" s="51"/>
    </row>
    <row r="925" spans="1:4" x14ac:dyDescent="0.45">
      <c r="A925" s="7">
        <v>41331</v>
      </c>
      <c r="B925" s="8">
        <f>VLOOKUP(Table1[[#This Row],[Date]],'BUD data'!A:F,6,)</f>
        <v>74.322051999999999</v>
      </c>
      <c r="C925" s="51"/>
      <c r="D925" s="51"/>
    </row>
    <row r="926" spans="1:4" x14ac:dyDescent="0.45">
      <c r="A926" s="7">
        <v>41332</v>
      </c>
      <c r="B926" s="8">
        <f>VLOOKUP(Table1[[#This Row],[Date]],'BUD data'!A:F,6,)</f>
        <v>75.852226000000002</v>
      </c>
      <c r="C926" s="51"/>
      <c r="D926" s="51"/>
    </row>
    <row r="927" spans="1:4" x14ac:dyDescent="0.45">
      <c r="A927" s="7">
        <v>41333</v>
      </c>
      <c r="B927" s="8">
        <f>VLOOKUP(Table1[[#This Row],[Date]],'BUD data'!A:F,6,)</f>
        <v>76.095093000000006</v>
      </c>
      <c r="C927" s="51"/>
      <c r="D927" s="51"/>
    </row>
    <row r="928" spans="1:4" x14ac:dyDescent="0.45">
      <c r="A928" s="7">
        <v>41334</v>
      </c>
      <c r="B928" s="8">
        <f>VLOOKUP(Table1[[#This Row],[Date]],'BUD data'!A:F,6,)</f>
        <v>76.540390000000002</v>
      </c>
      <c r="C928" s="51"/>
      <c r="D928" s="51"/>
    </row>
    <row r="929" spans="1:4" x14ac:dyDescent="0.45">
      <c r="A929" s="7">
        <v>41337</v>
      </c>
      <c r="B929" s="8">
        <f>VLOOKUP(Table1[[#This Row],[Date]],'BUD data'!A:F,6,)</f>
        <v>76.532272000000006</v>
      </c>
      <c r="C929" s="51"/>
      <c r="D929" s="51"/>
    </row>
    <row r="930" spans="1:4" x14ac:dyDescent="0.45">
      <c r="A930" s="7">
        <v>41338</v>
      </c>
      <c r="B930" s="8">
        <f>VLOOKUP(Table1[[#This Row],[Date]],'BUD data'!A:F,6,)</f>
        <v>76.669906999999995</v>
      </c>
      <c r="C930" s="51"/>
      <c r="D930" s="51"/>
    </row>
    <row r="931" spans="1:4" x14ac:dyDescent="0.45">
      <c r="A931" s="7">
        <v>41339</v>
      </c>
      <c r="B931" s="8">
        <f>VLOOKUP(Table1[[#This Row],[Date]],'BUD data'!A:F,6,)</f>
        <v>76.200355999999999</v>
      </c>
      <c r="C931" s="51"/>
      <c r="D931" s="51"/>
    </row>
    <row r="932" spans="1:4" x14ac:dyDescent="0.45">
      <c r="A932" s="7">
        <v>41340</v>
      </c>
      <c r="B932" s="8">
        <f>VLOOKUP(Table1[[#This Row],[Date]],'BUD data'!A:F,6,)</f>
        <v>77.382369999999995</v>
      </c>
      <c r="C932" s="51"/>
      <c r="D932" s="51"/>
    </row>
    <row r="933" spans="1:4" x14ac:dyDescent="0.45">
      <c r="A933" s="7">
        <v>41341</v>
      </c>
      <c r="B933" s="8">
        <f>VLOOKUP(Table1[[#This Row],[Date]],'BUD data'!A:F,6,)</f>
        <v>78.645354999999995</v>
      </c>
      <c r="C933" s="51"/>
      <c r="D933" s="51"/>
    </row>
    <row r="934" spans="1:4" x14ac:dyDescent="0.45">
      <c r="A934" s="7">
        <v>41344</v>
      </c>
      <c r="B934" s="8">
        <f>VLOOKUP(Table1[[#This Row],[Date]],'BUD data'!A:F,6,)</f>
        <v>78.515822999999997</v>
      </c>
      <c r="C934" s="51"/>
      <c r="D934" s="51"/>
    </row>
    <row r="935" spans="1:4" x14ac:dyDescent="0.45">
      <c r="A935" s="7">
        <v>41345</v>
      </c>
      <c r="B935" s="8">
        <f>VLOOKUP(Table1[[#This Row],[Date]],'BUD data'!A:F,6,)</f>
        <v>77.584778</v>
      </c>
      <c r="C935" s="51"/>
      <c r="D935" s="51"/>
    </row>
    <row r="936" spans="1:4" x14ac:dyDescent="0.45">
      <c r="A936" s="7">
        <v>41346</v>
      </c>
      <c r="B936" s="8">
        <f>VLOOKUP(Table1[[#This Row],[Date]],'BUD data'!A:F,6,)</f>
        <v>77.455246000000002</v>
      </c>
      <c r="C936" s="51"/>
      <c r="D936" s="51"/>
    </row>
    <row r="937" spans="1:4" x14ac:dyDescent="0.45">
      <c r="A937" s="7">
        <v>41347</v>
      </c>
      <c r="B937" s="8">
        <f>VLOOKUP(Table1[[#This Row],[Date]],'BUD data'!A:F,6,)</f>
        <v>77.932914999999994</v>
      </c>
      <c r="C937" s="51"/>
      <c r="D937" s="51"/>
    </row>
    <row r="938" spans="1:4" x14ac:dyDescent="0.45">
      <c r="A938" s="7">
        <v>41348</v>
      </c>
      <c r="B938" s="8">
        <f>VLOOKUP(Table1[[#This Row],[Date]],'BUD data'!A:F,6,)</f>
        <v>77.260941000000003</v>
      </c>
      <c r="C938" s="51"/>
      <c r="D938" s="51"/>
    </row>
    <row r="939" spans="1:4" x14ac:dyDescent="0.45">
      <c r="A939" s="7">
        <v>41351</v>
      </c>
      <c r="B939" s="8">
        <f>VLOOKUP(Table1[[#This Row],[Date]],'BUD data'!A:F,6,)</f>
        <v>77.414771999999999</v>
      </c>
      <c r="C939" s="51"/>
      <c r="D939" s="51"/>
    </row>
    <row r="940" spans="1:4" x14ac:dyDescent="0.45">
      <c r="A940" s="7">
        <v>41352</v>
      </c>
      <c r="B940" s="8">
        <f>VLOOKUP(Table1[[#This Row],[Date]],'BUD data'!A:F,6,)</f>
        <v>77.139503000000005</v>
      </c>
      <c r="C940" s="51"/>
      <c r="D940" s="51"/>
    </row>
    <row r="941" spans="1:4" x14ac:dyDescent="0.45">
      <c r="A941" s="7">
        <v>41353</v>
      </c>
      <c r="B941" s="8">
        <f>VLOOKUP(Table1[[#This Row],[Date]],'BUD data'!A:F,6,)</f>
        <v>77.827667000000005</v>
      </c>
      <c r="C941" s="51"/>
      <c r="D941" s="51"/>
    </row>
    <row r="942" spans="1:4" x14ac:dyDescent="0.45">
      <c r="A942" s="7">
        <v>41354</v>
      </c>
      <c r="B942" s="8">
        <f>VLOOKUP(Table1[[#This Row],[Date]],'BUD data'!A:F,6,)</f>
        <v>77.455246000000002</v>
      </c>
      <c r="C942" s="51"/>
      <c r="D942" s="51"/>
    </row>
    <row r="943" spans="1:4" x14ac:dyDescent="0.45">
      <c r="A943" s="7">
        <v>41355</v>
      </c>
      <c r="B943" s="8">
        <f>VLOOKUP(Table1[[#This Row],[Date]],'BUD data'!A:F,6,)</f>
        <v>79.422577000000004</v>
      </c>
      <c r="C943" s="51"/>
      <c r="D943" s="51"/>
    </row>
    <row r="944" spans="1:4" x14ac:dyDescent="0.45">
      <c r="A944" s="7">
        <v>41358</v>
      </c>
      <c r="B944" s="8">
        <f>VLOOKUP(Table1[[#This Row],[Date]],'BUD data'!A:F,6,)</f>
        <v>78.847770999999995</v>
      </c>
      <c r="C944" s="51"/>
      <c r="D944" s="51"/>
    </row>
    <row r="945" spans="1:4" x14ac:dyDescent="0.45">
      <c r="A945" s="7">
        <v>41359</v>
      </c>
      <c r="B945" s="8">
        <f>VLOOKUP(Table1[[#This Row],[Date]],'BUD data'!A:F,6,)</f>
        <v>79.900276000000005</v>
      </c>
      <c r="C945" s="51"/>
      <c r="D945" s="51"/>
    </row>
    <row r="946" spans="1:4" x14ac:dyDescent="0.45">
      <c r="A946" s="7">
        <v>41360</v>
      </c>
      <c r="B946" s="8">
        <f>VLOOKUP(Table1[[#This Row],[Date]],'BUD data'!A:F,6,)</f>
        <v>78.896324000000007</v>
      </c>
      <c r="C946" s="51"/>
      <c r="D946" s="51"/>
    </row>
    <row r="947" spans="1:4" x14ac:dyDescent="0.45">
      <c r="A947" s="7">
        <v>41361</v>
      </c>
      <c r="B947" s="8">
        <f>VLOOKUP(Table1[[#This Row],[Date]],'BUD data'!A:F,6,)</f>
        <v>80.596526999999995</v>
      </c>
      <c r="C947" s="51"/>
      <c r="D947" s="51"/>
    </row>
    <row r="948" spans="1:4" x14ac:dyDescent="0.45">
      <c r="A948" s="7">
        <v>41365</v>
      </c>
      <c r="B948" s="8">
        <f>VLOOKUP(Table1[[#This Row],[Date]],'BUD data'!A:F,6,)</f>
        <v>80.410315999999995</v>
      </c>
      <c r="C948" s="51"/>
      <c r="D948" s="51"/>
    </row>
    <row r="949" spans="1:4" x14ac:dyDescent="0.45">
      <c r="A949" s="7">
        <v>41366</v>
      </c>
      <c r="B949" s="8">
        <f>VLOOKUP(Table1[[#This Row],[Date]],'BUD data'!A:F,6,)</f>
        <v>81.074202999999997</v>
      </c>
      <c r="C949" s="51"/>
      <c r="D949" s="51"/>
    </row>
    <row r="950" spans="1:4" x14ac:dyDescent="0.45">
      <c r="A950" s="7">
        <v>41367</v>
      </c>
      <c r="B950" s="8">
        <f>VLOOKUP(Table1[[#This Row],[Date]],'BUD data'!A:F,6,)</f>
        <v>80.216003000000001</v>
      </c>
      <c r="C950" s="51"/>
      <c r="D950" s="51"/>
    </row>
    <row r="951" spans="1:4" x14ac:dyDescent="0.45">
      <c r="A951" s="7">
        <v>41368</v>
      </c>
      <c r="B951" s="8">
        <f>VLOOKUP(Table1[[#This Row],[Date]],'BUD data'!A:F,6,)</f>
        <v>80.596526999999995</v>
      </c>
      <c r="C951" s="51"/>
      <c r="D951" s="51"/>
    </row>
    <row r="952" spans="1:4" x14ac:dyDescent="0.45">
      <c r="A952" s="7">
        <v>41369</v>
      </c>
      <c r="B952" s="8">
        <f>VLOOKUP(Table1[[#This Row],[Date]],'BUD data'!A:F,6,)</f>
        <v>79.017784000000006</v>
      </c>
      <c r="C952" s="51"/>
      <c r="D952" s="51"/>
    </row>
    <row r="953" spans="1:4" x14ac:dyDescent="0.45">
      <c r="A953" s="7">
        <v>41372</v>
      </c>
      <c r="B953" s="8">
        <f>VLOOKUP(Table1[[#This Row],[Date]],'BUD data'!A:F,6,)</f>
        <v>80.337447999999995</v>
      </c>
      <c r="C953" s="51"/>
      <c r="D953" s="51"/>
    </row>
    <row r="954" spans="1:4" x14ac:dyDescent="0.45">
      <c r="A954" s="7">
        <v>41373</v>
      </c>
      <c r="B954" s="8">
        <f>VLOOKUP(Table1[[#This Row],[Date]],'BUD data'!A:F,6,)</f>
        <v>79.932640000000006</v>
      </c>
      <c r="C954" s="51"/>
      <c r="D954" s="51"/>
    </row>
    <row r="955" spans="1:4" x14ac:dyDescent="0.45">
      <c r="A955" s="7">
        <v>41374</v>
      </c>
      <c r="B955" s="8">
        <f>VLOOKUP(Table1[[#This Row],[Date]],'BUD data'!A:F,6,)</f>
        <v>82.450523000000004</v>
      </c>
      <c r="C955" s="51"/>
      <c r="D955" s="51"/>
    </row>
    <row r="956" spans="1:4" x14ac:dyDescent="0.45">
      <c r="A956" s="7">
        <v>41375</v>
      </c>
      <c r="B956" s="8">
        <f>VLOOKUP(Table1[[#This Row],[Date]],'BUD data'!A:F,6,)</f>
        <v>81.673302000000007</v>
      </c>
      <c r="C956" s="51"/>
      <c r="D956" s="51"/>
    </row>
    <row r="957" spans="1:4" x14ac:dyDescent="0.45">
      <c r="A957" s="7">
        <v>41376</v>
      </c>
      <c r="B957" s="8">
        <f>VLOOKUP(Table1[[#This Row],[Date]],'BUD data'!A:F,6,)</f>
        <v>81.268478000000002</v>
      </c>
      <c r="C957" s="51"/>
      <c r="D957" s="51"/>
    </row>
    <row r="958" spans="1:4" x14ac:dyDescent="0.45">
      <c r="A958" s="7">
        <v>41379</v>
      </c>
      <c r="B958" s="8">
        <f>VLOOKUP(Table1[[#This Row],[Date]],'BUD data'!A:F,6,)</f>
        <v>79.527846999999994</v>
      </c>
      <c r="C958" s="51"/>
      <c r="D958" s="51"/>
    </row>
    <row r="959" spans="1:4" x14ac:dyDescent="0.45">
      <c r="A959" s="7">
        <v>41380</v>
      </c>
      <c r="B959" s="8">
        <f>VLOOKUP(Table1[[#This Row],[Date]],'BUD data'!A:F,6,)</f>
        <v>80.426490999999999</v>
      </c>
      <c r="C959" s="51"/>
      <c r="D959" s="51"/>
    </row>
    <row r="960" spans="1:4" x14ac:dyDescent="0.45">
      <c r="A960" s="7">
        <v>41381</v>
      </c>
      <c r="B960" s="8">
        <f>VLOOKUP(Table1[[#This Row],[Date]],'BUD data'!A:F,6,)</f>
        <v>78.321517999999998</v>
      </c>
      <c r="C960" s="51"/>
      <c r="D960" s="51"/>
    </row>
    <row r="961" spans="1:4" x14ac:dyDescent="0.45">
      <c r="A961" s="7">
        <v>41382</v>
      </c>
      <c r="B961" s="8">
        <f>VLOOKUP(Table1[[#This Row],[Date]],'BUD data'!A:F,6,)</f>
        <v>78.993506999999994</v>
      </c>
      <c r="C961" s="51"/>
      <c r="D961" s="51"/>
    </row>
    <row r="962" spans="1:4" x14ac:dyDescent="0.45">
      <c r="A962" s="7">
        <v>41383</v>
      </c>
      <c r="B962" s="8">
        <f>VLOOKUP(Table1[[#This Row],[Date]],'BUD data'!A:F,6,)</f>
        <v>80.329361000000006</v>
      </c>
      <c r="C962" s="51"/>
      <c r="D962" s="51"/>
    </row>
    <row r="963" spans="1:4" x14ac:dyDescent="0.45">
      <c r="A963" s="7">
        <v>41386</v>
      </c>
      <c r="B963" s="8">
        <f>VLOOKUP(Table1[[#This Row],[Date]],'BUD data'!A:F,6,)</f>
        <v>80.167434999999998</v>
      </c>
      <c r="C963" s="51"/>
      <c r="D963" s="51"/>
    </row>
    <row r="964" spans="1:4" x14ac:dyDescent="0.45">
      <c r="A964" s="7">
        <v>41387</v>
      </c>
      <c r="B964" s="8">
        <f>VLOOKUP(Table1[[#This Row],[Date]],'BUD data'!A:F,6,)</f>
        <v>80.683350000000004</v>
      </c>
      <c r="C964" s="51"/>
      <c r="D964" s="51"/>
    </row>
    <row r="965" spans="1:4" x14ac:dyDescent="0.45">
      <c r="A965" s="7">
        <v>41388</v>
      </c>
      <c r="B965" s="8">
        <f>VLOOKUP(Table1[[#This Row],[Date]],'BUD data'!A:F,6,)</f>
        <v>79.731009999999998</v>
      </c>
      <c r="C965" s="51"/>
      <c r="D965" s="51"/>
    </row>
    <row r="966" spans="1:4" x14ac:dyDescent="0.45">
      <c r="A966" s="7">
        <v>41389</v>
      </c>
      <c r="B966" s="8">
        <f>VLOOKUP(Table1[[#This Row],[Date]],'BUD data'!A:F,6,)</f>
        <v>79.673034999999999</v>
      </c>
      <c r="C966" s="51"/>
      <c r="D966" s="51"/>
    </row>
    <row r="967" spans="1:4" x14ac:dyDescent="0.45">
      <c r="A967" s="7">
        <v>41390</v>
      </c>
      <c r="B967" s="8">
        <f>VLOOKUP(Table1[[#This Row],[Date]],'BUD data'!A:F,6,)</f>
        <v>77.950553999999997</v>
      </c>
      <c r="C967" s="51"/>
      <c r="D967" s="51"/>
    </row>
    <row r="968" spans="1:4" x14ac:dyDescent="0.45">
      <c r="A968" s="7">
        <v>41393</v>
      </c>
      <c r="B968" s="8">
        <f>VLOOKUP(Table1[[#This Row],[Date]],'BUD data'!A:F,6,)</f>
        <v>79.068511999999998</v>
      </c>
      <c r="C968" s="51"/>
      <c r="D968" s="51"/>
    </row>
    <row r="969" spans="1:4" x14ac:dyDescent="0.45">
      <c r="A969" s="7">
        <v>41394</v>
      </c>
      <c r="B969" s="8">
        <f>VLOOKUP(Table1[[#This Row],[Date]],'BUD data'!A:F,6,)</f>
        <v>79.184455999999997</v>
      </c>
      <c r="C969" s="51"/>
      <c r="D969" s="51"/>
    </row>
    <row r="970" spans="1:4" x14ac:dyDescent="0.45">
      <c r="A970" s="7">
        <v>41395</v>
      </c>
      <c r="B970" s="8">
        <f>VLOOKUP(Table1[[#This Row],[Date]],'BUD data'!A:F,6,)</f>
        <v>78.579926</v>
      </c>
      <c r="C970" s="51"/>
      <c r="D970" s="51"/>
    </row>
    <row r="971" spans="1:4" x14ac:dyDescent="0.45">
      <c r="A971" s="7">
        <v>41396</v>
      </c>
      <c r="B971" s="8">
        <f>VLOOKUP(Table1[[#This Row],[Date]],'BUD data'!A:F,6,)</f>
        <v>78.878051999999997</v>
      </c>
      <c r="C971" s="51"/>
      <c r="D971" s="51"/>
    </row>
    <row r="972" spans="1:4" x14ac:dyDescent="0.45">
      <c r="A972" s="7">
        <v>41397</v>
      </c>
      <c r="B972" s="8">
        <f>VLOOKUP(Table1[[#This Row],[Date]],'BUD data'!A:F,6,)</f>
        <v>79.664764000000005</v>
      </c>
      <c r="C972" s="51"/>
      <c r="D972" s="51"/>
    </row>
    <row r="973" spans="1:4" x14ac:dyDescent="0.45">
      <c r="A973" s="7">
        <v>41400</v>
      </c>
      <c r="B973" s="8">
        <f>VLOOKUP(Table1[[#This Row],[Date]],'BUD data'!A:F,6,)</f>
        <v>79.333534</v>
      </c>
      <c r="C973" s="51"/>
      <c r="D973" s="51"/>
    </row>
    <row r="974" spans="1:4" x14ac:dyDescent="0.45">
      <c r="A974" s="7">
        <v>41401</v>
      </c>
      <c r="B974" s="8">
        <f>VLOOKUP(Table1[[#This Row],[Date]],'BUD data'!A:F,6,)</f>
        <v>79.764129999999994</v>
      </c>
      <c r="C974" s="51"/>
      <c r="D974" s="51"/>
    </row>
    <row r="975" spans="1:4" x14ac:dyDescent="0.45">
      <c r="A975" s="7">
        <v>41402</v>
      </c>
      <c r="B975" s="8">
        <f>VLOOKUP(Table1[[#This Row],[Date]],'BUD data'!A:F,6,)</f>
        <v>80.964896999999993</v>
      </c>
      <c r="C975" s="51"/>
      <c r="D975" s="51"/>
    </row>
    <row r="976" spans="1:4" x14ac:dyDescent="0.45">
      <c r="A976" s="7">
        <v>41403</v>
      </c>
      <c r="B976" s="8">
        <f>VLOOKUP(Table1[[#This Row],[Date]],'BUD data'!A:F,6,)</f>
        <v>79.714455000000001</v>
      </c>
      <c r="C976" s="51"/>
      <c r="D976" s="51"/>
    </row>
    <row r="977" spans="1:4" x14ac:dyDescent="0.45">
      <c r="A977" s="7">
        <v>41404</v>
      </c>
      <c r="B977" s="8">
        <f>VLOOKUP(Table1[[#This Row],[Date]],'BUD data'!A:F,6,)</f>
        <v>80.120238999999998</v>
      </c>
      <c r="C977" s="51"/>
      <c r="D977" s="51"/>
    </row>
    <row r="978" spans="1:4" x14ac:dyDescent="0.45">
      <c r="A978" s="7">
        <v>41407</v>
      </c>
      <c r="B978" s="8">
        <f>VLOOKUP(Table1[[#This Row],[Date]],'BUD data'!A:F,6,)</f>
        <v>80.774428999999998</v>
      </c>
      <c r="C978" s="51"/>
      <c r="D978" s="51"/>
    </row>
    <row r="979" spans="1:4" x14ac:dyDescent="0.45">
      <c r="A979" s="7">
        <v>41408</v>
      </c>
      <c r="B979" s="8">
        <f>VLOOKUP(Table1[[#This Row],[Date]],'BUD data'!A:F,6,)</f>
        <v>81.561142000000004</v>
      </c>
      <c r="C979" s="51"/>
      <c r="D979" s="51"/>
    </row>
    <row r="980" spans="1:4" x14ac:dyDescent="0.45">
      <c r="A980" s="7">
        <v>41409</v>
      </c>
      <c r="B980" s="8">
        <f>VLOOKUP(Table1[[#This Row],[Date]],'BUD data'!A:F,6,)</f>
        <v>80.956626999999997</v>
      </c>
      <c r="C980" s="51"/>
      <c r="D980" s="51"/>
    </row>
    <row r="981" spans="1:4" x14ac:dyDescent="0.45">
      <c r="A981" s="7">
        <v>41410</v>
      </c>
      <c r="B981" s="8">
        <f>VLOOKUP(Table1[[#This Row],[Date]],'BUD data'!A:F,6,)</f>
        <v>80.095389999999995</v>
      </c>
      <c r="C981" s="51"/>
      <c r="D981" s="51"/>
    </row>
    <row r="982" spans="1:4" x14ac:dyDescent="0.45">
      <c r="A982" s="7">
        <v>41411</v>
      </c>
      <c r="B982" s="8">
        <f>VLOOKUP(Table1[[#This Row],[Date]],'BUD data'!A:F,6,)</f>
        <v>79.805556999999993</v>
      </c>
      <c r="C982" s="51"/>
      <c r="D982" s="51"/>
    </row>
    <row r="983" spans="1:4" x14ac:dyDescent="0.45">
      <c r="A983" s="7">
        <v>41414</v>
      </c>
      <c r="B983" s="8">
        <f>VLOOKUP(Table1[[#This Row],[Date]],'BUD data'!A:F,6,)</f>
        <v>79.068511999999998</v>
      </c>
      <c r="C983" s="51"/>
      <c r="D983" s="51"/>
    </row>
    <row r="984" spans="1:4" x14ac:dyDescent="0.45">
      <c r="A984" s="7">
        <v>41415</v>
      </c>
      <c r="B984" s="8">
        <f>VLOOKUP(Table1[[#This Row],[Date]],'BUD data'!A:F,6,)</f>
        <v>79.167891999999995</v>
      </c>
      <c r="C984" s="51"/>
      <c r="D984" s="51"/>
    </row>
    <row r="985" spans="1:4" x14ac:dyDescent="0.45">
      <c r="A985" s="7">
        <v>41416</v>
      </c>
      <c r="B985" s="8">
        <f>VLOOKUP(Table1[[#This Row],[Date]],'BUD data'!A:F,6,)</f>
        <v>78.894615000000002</v>
      </c>
      <c r="C985" s="51"/>
      <c r="D985" s="51"/>
    </row>
    <row r="986" spans="1:4" x14ac:dyDescent="0.45">
      <c r="A986" s="7">
        <v>41417</v>
      </c>
      <c r="B986" s="8">
        <f>VLOOKUP(Table1[[#This Row],[Date]],'BUD data'!A:F,6,)</f>
        <v>79.167891999999995</v>
      </c>
      <c r="C986" s="51"/>
      <c r="D986" s="51"/>
    </row>
    <row r="987" spans="1:4" x14ac:dyDescent="0.45">
      <c r="A987" s="7">
        <v>41418</v>
      </c>
      <c r="B987" s="8">
        <f>VLOOKUP(Table1[[#This Row],[Date]],'BUD data'!A:F,6,)</f>
        <v>79.176169999999999</v>
      </c>
      <c r="C987" s="51"/>
      <c r="D987" s="51"/>
    </row>
    <row r="988" spans="1:4" x14ac:dyDescent="0.45">
      <c r="A988" s="7">
        <v>41422</v>
      </c>
      <c r="B988" s="8">
        <f>VLOOKUP(Table1[[#This Row],[Date]],'BUD data'!A:F,6,)</f>
        <v>79.325241000000005</v>
      </c>
      <c r="C988" s="51"/>
      <c r="D988" s="51"/>
    </row>
    <row r="989" spans="1:4" x14ac:dyDescent="0.45">
      <c r="A989" s="7">
        <v>41423</v>
      </c>
      <c r="B989" s="8">
        <f>VLOOKUP(Table1[[#This Row],[Date]],'BUD data'!A:F,6,)</f>
        <v>77.652443000000005</v>
      </c>
      <c r="C989" s="51"/>
      <c r="D989" s="51"/>
    </row>
    <row r="990" spans="1:4" x14ac:dyDescent="0.45">
      <c r="A990" s="7">
        <v>41424</v>
      </c>
      <c r="B990" s="8">
        <f>VLOOKUP(Table1[[#This Row],[Date]],'BUD data'!A:F,6,)</f>
        <v>78.008521999999999</v>
      </c>
      <c r="C990" s="51"/>
      <c r="D990" s="51"/>
    </row>
    <row r="991" spans="1:4" x14ac:dyDescent="0.45">
      <c r="A991" s="7">
        <v>41425</v>
      </c>
      <c r="B991" s="8">
        <f>VLOOKUP(Table1[[#This Row],[Date]],'BUD data'!A:F,6,)</f>
        <v>76.120414999999994</v>
      </c>
      <c r="C991" s="51"/>
      <c r="D991" s="51"/>
    </row>
    <row r="992" spans="1:4" x14ac:dyDescent="0.45">
      <c r="A992" s="7">
        <v>41428</v>
      </c>
      <c r="B992" s="8">
        <f>VLOOKUP(Table1[[#This Row],[Date]],'BUD data'!A:F,6,)</f>
        <v>76.443389999999994</v>
      </c>
      <c r="C992" s="51"/>
      <c r="D992" s="51"/>
    </row>
    <row r="993" spans="1:4" x14ac:dyDescent="0.45">
      <c r="A993" s="7">
        <v>41429</v>
      </c>
      <c r="B993" s="8">
        <f>VLOOKUP(Table1[[#This Row],[Date]],'BUD data'!A:F,6,)</f>
        <v>76.459961000000007</v>
      </c>
      <c r="C993" s="51"/>
      <c r="D993" s="51"/>
    </row>
    <row r="994" spans="1:4" x14ac:dyDescent="0.45">
      <c r="A994" s="7">
        <v>41430</v>
      </c>
      <c r="B994" s="8">
        <f>VLOOKUP(Table1[[#This Row],[Date]],'BUD data'!A:F,6,)</f>
        <v>74.969345000000004</v>
      </c>
      <c r="C994" s="51"/>
      <c r="D994" s="51"/>
    </row>
    <row r="995" spans="1:4" x14ac:dyDescent="0.45">
      <c r="A995" s="7">
        <v>41431</v>
      </c>
      <c r="B995" s="8">
        <f>VLOOKUP(Table1[[#This Row],[Date]],'BUD data'!A:F,6,)</f>
        <v>76.766364999999993</v>
      </c>
      <c r="C995" s="51"/>
      <c r="D995" s="51"/>
    </row>
    <row r="996" spans="1:4" x14ac:dyDescent="0.45">
      <c r="A996" s="7">
        <v>41432</v>
      </c>
      <c r="B996" s="8">
        <f>VLOOKUP(Table1[[#This Row],[Date]],'BUD data'!A:F,6,)</f>
        <v>78.182441999999995</v>
      </c>
      <c r="C996" s="51"/>
      <c r="D996" s="51"/>
    </row>
    <row r="997" spans="1:4" x14ac:dyDescent="0.45">
      <c r="A997" s="7">
        <v>41435</v>
      </c>
      <c r="B997" s="8">
        <f>VLOOKUP(Table1[[#This Row],[Date]],'BUD data'!A:F,6,)</f>
        <v>77.611030999999997</v>
      </c>
      <c r="C997" s="51"/>
      <c r="D997" s="51"/>
    </row>
    <row r="998" spans="1:4" x14ac:dyDescent="0.45">
      <c r="A998" s="7">
        <v>41436</v>
      </c>
      <c r="B998" s="8">
        <f>VLOOKUP(Table1[[#This Row],[Date]],'BUD data'!A:F,6,)</f>
        <v>76.816032000000007</v>
      </c>
      <c r="C998" s="51"/>
      <c r="D998" s="51"/>
    </row>
    <row r="999" spans="1:4" x14ac:dyDescent="0.45">
      <c r="A999" s="7">
        <v>41437</v>
      </c>
      <c r="B999" s="8">
        <f>VLOOKUP(Table1[[#This Row],[Date]],'BUD data'!A:F,6,)</f>
        <v>76.749793999999994</v>
      </c>
      <c r="C999" s="51"/>
      <c r="D999" s="51"/>
    </row>
    <row r="1000" spans="1:4" x14ac:dyDescent="0.45">
      <c r="A1000" s="7">
        <v>41438</v>
      </c>
      <c r="B1000" s="8">
        <f>VLOOKUP(Table1[[#This Row],[Date]],'BUD data'!A:F,6,)</f>
        <v>77.238365000000002</v>
      </c>
      <c r="C1000" s="51"/>
      <c r="D1000" s="51"/>
    </row>
    <row r="1001" spans="1:4" x14ac:dyDescent="0.45">
      <c r="A1001" s="7">
        <v>41439</v>
      </c>
      <c r="B1001" s="8">
        <f>VLOOKUP(Table1[[#This Row],[Date]],'BUD data'!A:F,6,)</f>
        <v>77.619331000000003</v>
      </c>
      <c r="C1001" s="51"/>
      <c r="D1001" s="51"/>
    </row>
    <row r="1002" spans="1:4" x14ac:dyDescent="0.45">
      <c r="A1002" s="7">
        <v>41442</v>
      </c>
      <c r="B1002" s="8">
        <f>VLOOKUP(Table1[[#This Row],[Date]],'BUD data'!A:F,6,)</f>
        <v>78.397743000000006</v>
      </c>
      <c r="C1002" s="51"/>
      <c r="D1002" s="51"/>
    </row>
    <row r="1003" spans="1:4" x14ac:dyDescent="0.45">
      <c r="A1003" s="7">
        <v>41443</v>
      </c>
      <c r="B1003" s="8">
        <f>VLOOKUP(Table1[[#This Row],[Date]],'BUD data'!A:F,6,)</f>
        <v>77.544785000000005</v>
      </c>
      <c r="C1003" s="51"/>
      <c r="D1003" s="51"/>
    </row>
    <row r="1004" spans="1:4" x14ac:dyDescent="0.45">
      <c r="A1004" s="7">
        <v>41444</v>
      </c>
      <c r="B1004" s="8">
        <f>VLOOKUP(Table1[[#This Row],[Date]],'BUD data'!A:F,6,)</f>
        <v>75.987922999999995</v>
      </c>
      <c r="C1004" s="51"/>
      <c r="D1004" s="51"/>
    </row>
    <row r="1005" spans="1:4" x14ac:dyDescent="0.45">
      <c r="A1005" s="7">
        <v>41445</v>
      </c>
      <c r="B1005" s="8">
        <f>VLOOKUP(Table1[[#This Row],[Date]],'BUD data'!A:F,6,)</f>
        <v>72.443603999999993</v>
      </c>
      <c r="C1005" s="51"/>
      <c r="D1005" s="51"/>
    </row>
    <row r="1006" spans="1:4" x14ac:dyDescent="0.45">
      <c r="A1006" s="7">
        <v>41446</v>
      </c>
      <c r="B1006" s="8">
        <f>VLOOKUP(Table1[[#This Row],[Date]],'BUD data'!A:F,6,)</f>
        <v>72.244834999999995</v>
      </c>
      <c r="C1006" s="51"/>
      <c r="D1006" s="51"/>
    </row>
    <row r="1007" spans="1:4" x14ac:dyDescent="0.45">
      <c r="A1007" s="7">
        <v>41449</v>
      </c>
      <c r="B1007" s="8">
        <f>VLOOKUP(Table1[[#This Row],[Date]],'BUD data'!A:F,6,)</f>
        <v>71.747971000000007</v>
      </c>
      <c r="C1007" s="51"/>
      <c r="D1007" s="51"/>
    </row>
    <row r="1008" spans="1:4" x14ac:dyDescent="0.45">
      <c r="A1008" s="7">
        <v>41450</v>
      </c>
      <c r="B1008" s="8">
        <f>VLOOKUP(Table1[[#This Row],[Date]],'BUD data'!A:F,6,)</f>
        <v>71.979836000000006</v>
      </c>
      <c r="C1008" s="51"/>
      <c r="D1008" s="51"/>
    </row>
    <row r="1009" spans="1:4" x14ac:dyDescent="0.45">
      <c r="A1009" s="7">
        <v>41451</v>
      </c>
      <c r="B1009" s="8">
        <f>VLOOKUP(Table1[[#This Row],[Date]],'BUD data'!A:F,6,)</f>
        <v>73.429039000000003</v>
      </c>
      <c r="C1009" s="51"/>
      <c r="D1009" s="51"/>
    </row>
    <row r="1010" spans="1:4" x14ac:dyDescent="0.45">
      <c r="A1010" s="7">
        <v>41452</v>
      </c>
      <c r="B1010" s="8">
        <f>VLOOKUP(Table1[[#This Row],[Date]],'BUD data'!A:F,6,)</f>
        <v>74.563559999999995</v>
      </c>
      <c r="C1010" s="51"/>
      <c r="D1010" s="51"/>
    </row>
    <row r="1011" spans="1:4" x14ac:dyDescent="0.45">
      <c r="A1011" s="7">
        <v>41453</v>
      </c>
      <c r="B1011" s="8">
        <f>VLOOKUP(Table1[[#This Row],[Date]],'BUD data'!A:F,6,)</f>
        <v>74.745750000000001</v>
      </c>
      <c r="C1011" s="51"/>
      <c r="D1011" s="51"/>
    </row>
    <row r="1012" spans="1:4" x14ac:dyDescent="0.45">
      <c r="A1012" s="7">
        <v>41456</v>
      </c>
      <c r="B1012" s="8">
        <f>VLOOKUP(Table1[[#This Row],[Date]],'BUD data'!A:F,6,)</f>
        <v>75.168082999999996</v>
      </c>
      <c r="C1012" s="51"/>
      <c r="D1012" s="51"/>
    </row>
    <row r="1013" spans="1:4" x14ac:dyDescent="0.45">
      <c r="A1013" s="7">
        <v>41457</v>
      </c>
      <c r="B1013" s="8">
        <f>VLOOKUP(Table1[[#This Row],[Date]],'BUD data'!A:F,6,)</f>
        <v>74.025290999999996</v>
      </c>
      <c r="C1013" s="51"/>
      <c r="D1013" s="51"/>
    </row>
    <row r="1014" spans="1:4" x14ac:dyDescent="0.45">
      <c r="A1014" s="7">
        <v>41458</v>
      </c>
      <c r="B1014" s="8">
        <f>VLOOKUP(Table1[[#This Row],[Date]],'BUD data'!A:F,6,)</f>
        <v>72.427009999999996</v>
      </c>
      <c r="C1014" s="51"/>
      <c r="D1014" s="51"/>
    </row>
    <row r="1015" spans="1:4" x14ac:dyDescent="0.45">
      <c r="A1015" s="7">
        <v>41460</v>
      </c>
      <c r="B1015" s="8">
        <f>VLOOKUP(Table1[[#This Row],[Date]],'BUD data'!A:F,6,)</f>
        <v>72.874206999999998</v>
      </c>
      <c r="C1015" s="51"/>
      <c r="D1015" s="51"/>
    </row>
    <row r="1016" spans="1:4" x14ac:dyDescent="0.45">
      <c r="A1016" s="7">
        <v>41463</v>
      </c>
      <c r="B1016" s="8">
        <f>VLOOKUP(Table1[[#This Row],[Date]],'BUD data'!A:F,6,)</f>
        <v>74.248878000000005</v>
      </c>
      <c r="C1016" s="51"/>
      <c r="D1016" s="51"/>
    </row>
    <row r="1017" spans="1:4" x14ac:dyDescent="0.45">
      <c r="A1017" s="7">
        <v>41464</v>
      </c>
      <c r="B1017" s="8">
        <f>VLOOKUP(Table1[[#This Row],[Date]],'BUD data'!A:F,6,)</f>
        <v>74.547011999999995</v>
      </c>
      <c r="C1017" s="51"/>
      <c r="D1017" s="51"/>
    </row>
    <row r="1018" spans="1:4" x14ac:dyDescent="0.45">
      <c r="A1018" s="7">
        <v>41465</v>
      </c>
      <c r="B1018" s="8">
        <f>VLOOKUP(Table1[[#This Row],[Date]],'BUD data'!A:F,6,)</f>
        <v>75.317145999999994</v>
      </c>
      <c r="C1018" s="51"/>
      <c r="D1018" s="51"/>
    </row>
    <row r="1019" spans="1:4" x14ac:dyDescent="0.45">
      <c r="A1019" s="7">
        <v>41466</v>
      </c>
      <c r="B1019" s="8">
        <f>VLOOKUP(Table1[[#This Row],[Date]],'BUD data'!A:F,6,)</f>
        <v>76.956824999999995</v>
      </c>
      <c r="C1019" s="51"/>
      <c r="D1019" s="51"/>
    </row>
    <row r="1020" spans="1:4" x14ac:dyDescent="0.45">
      <c r="A1020" s="7">
        <v>41467</v>
      </c>
      <c r="B1020" s="8">
        <f>VLOOKUP(Table1[[#This Row],[Date]],'BUD data'!A:F,6,)</f>
        <v>75.905128000000005</v>
      </c>
      <c r="C1020" s="51"/>
      <c r="D1020" s="51"/>
    </row>
    <row r="1021" spans="1:4" x14ac:dyDescent="0.45">
      <c r="A1021" s="7">
        <v>41470</v>
      </c>
      <c r="B1021" s="8">
        <f>VLOOKUP(Table1[[#This Row],[Date]],'BUD data'!A:F,6,)</f>
        <v>76.128708000000003</v>
      </c>
      <c r="C1021" s="51"/>
      <c r="D1021" s="51"/>
    </row>
    <row r="1022" spans="1:4" x14ac:dyDescent="0.45">
      <c r="A1022" s="7">
        <v>41471</v>
      </c>
      <c r="B1022" s="8">
        <f>VLOOKUP(Table1[[#This Row],[Date]],'BUD data'!A:F,6,)</f>
        <v>76.029326999999995</v>
      </c>
      <c r="C1022" s="51"/>
      <c r="D1022" s="51"/>
    </row>
    <row r="1023" spans="1:4" x14ac:dyDescent="0.45">
      <c r="A1023" s="7">
        <v>41472</v>
      </c>
      <c r="B1023" s="8">
        <f>VLOOKUP(Table1[[#This Row],[Date]],'BUD data'!A:F,6,)</f>
        <v>75.184653999999995</v>
      </c>
      <c r="C1023" s="51"/>
      <c r="D1023" s="51"/>
    </row>
    <row r="1024" spans="1:4" x14ac:dyDescent="0.45">
      <c r="A1024" s="7">
        <v>41473</v>
      </c>
      <c r="B1024" s="8">
        <f>VLOOKUP(Table1[[#This Row],[Date]],'BUD data'!A:F,6,)</f>
        <v>74.240607999999995</v>
      </c>
      <c r="C1024" s="51"/>
      <c r="D1024" s="51"/>
    </row>
    <row r="1025" spans="1:4" x14ac:dyDescent="0.45">
      <c r="A1025" s="7">
        <v>41474</v>
      </c>
      <c r="B1025" s="8">
        <f>VLOOKUP(Table1[[#This Row],[Date]],'BUD data'!A:F,6,)</f>
        <v>74.058411000000007</v>
      </c>
      <c r="C1025" s="51"/>
      <c r="D1025" s="51"/>
    </row>
    <row r="1026" spans="1:4" x14ac:dyDescent="0.45">
      <c r="A1026" s="7">
        <v>41477</v>
      </c>
      <c r="B1026" s="8">
        <f>VLOOKUP(Table1[[#This Row],[Date]],'BUD data'!A:F,6,)</f>
        <v>73.884499000000005</v>
      </c>
      <c r="C1026" s="51"/>
      <c r="D1026" s="51"/>
    </row>
    <row r="1027" spans="1:4" x14ac:dyDescent="0.45">
      <c r="A1027" s="7">
        <v>41478</v>
      </c>
      <c r="B1027" s="8">
        <f>VLOOKUP(Table1[[#This Row],[Date]],'BUD data'!A:F,6,)</f>
        <v>73.337952000000001</v>
      </c>
      <c r="C1027" s="51"/>
      <c r="D1027" s="51"/>
    </row>
    <row r="1028" spans="1:4" x14ac:dyDescent="0.45">
      <c r="A1028" s="7">
        <v>41479</v>
      </c>
      <c r="B1028" s="8">
        <f>VLOOKUP(Table1[[#This Row],[Date]],'BUD data'!A:F,6,)</f>
        <v>73.975600999999997</v>
      </c>
      <c r="C1028" s="51"/>
      <c r="D1028" s="51"/>
    </row>
    <row r="1029" spans="1:4" x14ac:dyDescent="0.45">
      <c r="A1029" s="7">
        <v>41480</v>
      </c>
      <c r="B1029" s="8">
        <f>VLOOKUP(Table1[[#This Row],[Date]],'BUD data'!A:F,6,)</f>
        <v>73.636070000000004</v>
      </c>
      <c r="C1029" s="51"/>
      <c r="D1029" s="51"/>
    </row>
    <row r="1030" spans="1:4" x14ac:dyDescent="0.45">
      <c r="A1030" s="7">
        <v>41481</v>
      </c>
      <c r="B1030" s="8">
        <f>VLOOKUP(Table1[[#This Row],[Date]],'BUD data'!A:F,6,)</f>
        <v>73.975600999999997</v>
      </c>
      <c r="C1030" s="51"/>
      <c r="D1030" s="51"/>
    </row>
    <row r="1031" spans="1:4" x14ac:dyDescent="0.45">
      <c r="A1031" s="7">
        <v>41484</v>
      </c>
      <c r="B1031" s="8">
        <f>VLOOKUP(Table1[[#This Row],[Date]],'BUD data'!A:F,6,)</f>
        <v>73.528419</v>
      </c>
      <c r="C1031" s="51"/>
      <c r="D1031" s="51"/>
    </row>
    <row r="1032" spans="1:4" x14ac:dyDescent="0.45">
      <c r="A1032" s="7">
        <v>41485</v>
      </c>
      <c r="B1032" s="8">
        <f>VLOOKUP(Table1[[#This Row],[Date]],'BUD data'!A:F,6,)</f>
        <v>74.505591999999993</v>
      </c>
      <c r="C1032" s="51"/>
      <c r="D1032" s="51"/>
    </row>
    <row r="1033" spans="1:4" x14ac:dyDescent="0.45">
      <c r="A1033" s="7">
        <v>41486</v>
      </c>
      <c r="B1033" s="8">
        <f>VLOOKUP(Table1[[#This Row],[Date]],'BUD data'!A:F,6,)</f>
        <v>79.258979999999994</v>
      </c>
      <c r="C1033" s="51"/>
      <c r="D1033" s="51"/>
    </row>
    <row r="1034" spans="1:4" x14ac:dyDescent="0.45">
      <c r="A1034" s="7">
        <v>41487</v>
      </c>
      <c r="B1034" s="8">
        <f>VLOOKUP(Table1[[#This Row],[Date]],'BUD data'!A:F,6,)</f>
        <v>81.105682000000002</v>
      </c>
      <c r="C1034" s="51"/>
      <c r="D1034" s="51"/>
    </row>
    <row r="1035" spans="1:4" x14ac:dyDescent="0.45">
      <c r="A1035" s="7">
        <v>41488</v>
      </c>
      <c r="B1035" s="8">
        <f>VLOOKUP(Table1[[#This Row],[Date]],'BUD data'!A:F,6,)</f>
        <v>81.279594000000003</v>
      </c>
      <c r="C1035" s="51"/>
      <c r="D1035" s="51"/>
    </row>
    <row r="1036" spans="1:4" x14ac:dyDescent="0.45">
      <c r="A1036" s="7">
        <v>41491</v>
      </c>
      <c r="B1036" s="8">
        <f>VLOOKUP(Table1[[#This Row],[Date]],'BUD data'!A:F,6,)</f>
        <v>81.370688999999999</v>
      </c>
      <c r="C1036" s="51"/>
      <c r="D1036" s="51"/>
    </row>
    <row r="1037" spans="1:4" x14ac:dyDescent="0.45">
      <c r="A1037" s="7">
        <v>41492</v>
      </c>
      <c r="B1037" s="8">
        <f>VLOOKUP(Table1[[#This Row],[Date]],'BUD data'!A:F,6,)</f>
        <v>81.503165999999993</v>
      </c>
      <c r="C1037" s="51"/>
      <c r="D1037" s="51"/>
    </row>
    <row r="1038" spans="1:4" x14ac:dyDescent="0.45">
      <c r="A1038" s="7">
        <v>41493</v>
      </c>
      <c r="B1038" s="8">
        <f>VLOOKUP(Table1[[#This Row],[Date]],'BUD data'!A:F,6,)</f>
        <v>82.000052999999994</v>
      </c>
      <c r="C1038" s="51"/>
      <c r="D1038" s="51"/>
    </row>
    <row r="1039" spans="1:4" x14ac:dyDescent="0.45">
      <c r="A1039" s="7">
        <v>41494</v>
      </c>
      <c r="B1039" s="8">
        <f>VLOOKUP(Table1[[#This Row],[Date]],'BUD data'!A:F,6,)</f>
        <v>83.647994999999995</v>
      </c>
      <c r="C1039" s="51"/>
      <c r="D1039" s="51"/>
    </row>
    <row r="1040" spans="1:4" x14ac:dyDescent="0.45">
      <c r="A1040" s="7">
        <v>41495</v>
      </c>
      <c r="B1040" s="8">
        <f>VLOOKUP(Table1[[#This Row],[Date]],'BUD data'!A:F,6,)</f>
        <v>82.248474000000002</v>
      </c>
      <c r="C1040" s="51"/>
      <c r="D1040" s="51"/>
    </row>
    <row r="1041" spans="1:4" x14ac:dyDescent="0.45">
      <c r="A1041" s="7">
        <v>41498</v>
      </c>
      <c r="B1041" s="8">
        <f>VLOOKUP(Table1[[#This Row],[Date]],'BUD data'!A:F,6,)</f>
        <v>82.836433</v>
      </c>
      <c r="C1041" s="51"/>
      <c r="D1041" s="51"/>
    </row>
    <row r="1042" spans="1:4" x14ac:dyDescent="0.45">
      <c r="A1042" s="7">
        <v>41499</v>
      </c>
      <c r="B1042" s="8">
        <f>VLOOKUP(Table1[[#This Row],[Date]],'BUD data'!A:F,6,)</f>
        <v>82.993790000000004</v>
      </c>
      <c r="C1042" s="51"/>
      <c r="D1042" s="51"/>
    </row>
    <row r="1043" spans="1:4" x14ac:dyDescent="0.45">
      <c r="A1043" s="7">
        <v>41500</v>
      </c>
      <c r="B1043" s="8">
        <f>VLOOKUP(Table1[[#This Row],[Date]],'BUD data'!A:F,6,)</f>
        <v>81.942085000000006</v>
      </c>
      <c r="C1043" s="51"/>
      <c r="D1043" s="51"/>
    </row>
    <row r="1044" spans="1:4" x14ac:dyDescent="0.45">
      <c r="A1044" s="7">
        <v>41501</v>
      </c>
      <c r="B1044" s="8">
        <f>VLOOKUP(Table1[[#This Row],[Date]],'BUD data'!A:F,6,)</f>
        <v>81.221633999999995</v>
      </c>
      <c r="C1044" s="51"/>
      <c r="D1044" s="51"/>
    </row>
    <row r="1045" spans="1:4" x14ac:dyDescent="0.45">
      <c r="A1045" s="7">
        <v>41502</v>
      </c>
      <c r="B1045" s="8">
        <f>VLOOKUP(Table1[[#This Row],[Date]],'BUD data'!A:F,6,)</f>
        <v>80.848975999999993</v>
      </c>
      <c r="C1045" s="51"/>
      <c r="D1045" s="51"/>
    </row>
    <row r="1046" spans="1:4" x14ac:dyDescent="0.45">
      <c r="A1046" s="7">
        <v>41505</v>
      </c>
      <c r="B1046" s="8">
        <f>VLOOKUP(Table1[[#This Row],[Date]],'BUD data'!A:F,6,)</f>
        <v>80.335541000000006</v>
      </c>
      <c r="C1046" s="51"/>
      <c r="D1046" s="51"/>
    </row>
    <row r="1047" spans="1:4" x14ac:dyDescent="0.45">
      <c r="A1047" s="7">
        <v>41506</v>
      </c>
      <c r="B1047" s="8">
        <f>VLOOKUP(Table1[[#This Row],[Date]],'BUD data'!A:F,6,)</f>
        <v>79.913184999999999</v>
      </c>
      <c r="C1047" s="51"/>
      <c r="D1047" s="51"/>
    </row>
    <row r="1048" spans="1:4" x14ac:dyDescent="0.45">
      <c r="A1048" s="7">
        <v>41507</v>
      </c>
      <c r="B1048" s="8">
        <f>VLOOKUP(Table1[[#This Row],[Date]],'BUD data'!A:F,6,)</f>
        <v>79.697890999999998</v>
      </c>
      <c r="C1048" s="51"/>
      <c r="D1048" s="51"/>
    </row>
    <row r="1049" spans="1:4" x14ac:dyDescent="0.45">
      <c r="A1049" s="7">
        <v>41508</v>
      </c>
      <c r="B1049" s="8">
        <f>VLOOKUP(Table1[[#This Row],[Date]],'BUD data'!A:F,6,)</f>
        <v>79.904921999999999</v>
      </c>
      <c r="C1049" s="51"/>
      <c r="D1049" s="51"/>
    </row>
    <row r="1050" spans="1:4" x14ac:dyDescent="0.45">
      <c r="A1050" s="7">
        <v>41509</v>
      </c>
      <c r="B1050" s="8">
        <f>VLOOKUP(Table1[[#This Row],[Date]],'BUD data'!A:F,6,)</f>
        <v>80.625373999999994</v>
      </c>
      <c r="C1050" s="51"/>
      <c r="D1050" s="51"/>
    </row>
    <row r="1051" spans="1:4" x14ac:dyDescent="0.45">
      <c r="A1051" s="7">
        <v>41512</v>
      </c>
      <c r="B1051" s="8">
        <f>VLOOKUP(Table1[[#This Row],[Date]],'BUD data'!A:F,6,)</f>
        <v>80.203040999999999</v>
      </c>
      <c r="C1051" s="51"/>
      <c r="D1051" s="51"/>
    </row>
    <row r="1052" spans="1:4" x14ac:dyDescent="0.45">
      <c r="A1052" s="7">
        <v>41513</v>
      </c>
      <c r="B1052" s="8">
        <f>VLOOKUP(Table1[[#This Row],[Date]],'BUD data'!A:F,6,)</f>
        <v>78.538512999999995</v>
      </c>
      <c r="C1052" s="51"/>
      <c r="D1052" s="51"/>
    </row>
    <row r="1053" spans="1:4" x14ac:dyDescent="0.45">
      <c r="A1053" s="7">
        <v>41514</v>
      </c>
      <c r="B1053" s="8">
        <f>VLOOKUP(Table1[[#This Row],[Date]],'BUD data'!A:F,6,)</f>
        <v>77.842895999999996</v>
      </c>
      <c r="C1053" s="51"/>
      <c r="D1053" s="51"/>
    </row>
    <row r="1054" spans="1:4" x14ac:dyDescent="0.45">
      <c r="A1054" s="7">
        <v>41515</v>
      </c>
      <c r="B1054" s="8">
        <f>VLOOKUP(Table1[[#This Row],[Date]],'BUD data'!A:F,6,)</f>
        <v>77.801475999999994</v>
      </c>
      <c r="C1054" s="51"/>
      <c r="D1054" s="51"/>
    </row>
    <row r="1055" spans="1:4" x14ac:dyDescent="0.45">
      <c r="A1055" s="7">
        <v>41516</v>
      </c>
      <c r="B1055" s="8">
        <f>VLOOKUP(Table1[[#This Row],[Date]],'BUD data'!A:F,6,)</f>
        <v>77.304642000000001</v>
      </c>
      <c r="C1055" s="51"/>
      <c r="D1055" s="51"/>
    </row>
    <row r="1056" spans="1:4" x14ac:dyDescent="0.45">
      <c r="A1056" s="7">
        <v>41520</v>
      </c>
      <c r="B1056" s="8">
        <f>VLOOKUP(Table1[[#This Row],[Date]],'BUD data'!A:F,6,)</f>
        <v>78.538512999999995</v>
      </c>
      <c r="C1056" s="51"/>
      <c r="D1056" s="51"/>
    </row>
    <row r="1057" spans="1:4" x14ac:dyDescent="0.45">
      <c r="A1057" s="7">
        <v>41521</v>
      </c>
      <c r="B1057" s="8">
        <f>VLOOKUP(Table1[[#This Row],[Date]],'BUD data'!A:F,6,)</f>
        <v>79.101653999999996</v>
      </c>
      <c r="C1057" s="51"/>
      <c r="D1057" s="51"/>
    </row>
    <row r="1058" spans="1:4" x14ac:dyDescent="0.45">
      <c r="A1058" s="7">
        <v>41522</v>
      </c>
      <c r="B1058" s="8">
        <f>VLOOKUP(Table1[[#This Row],[Date]],'BUD data'!A:F,6,)</f>
        <v>78.447425999999993</v>
      </c>
      <c r="C1058" s="51"/>
      <c r="D1058" s="51"/>
    </row>
    <row r="1059" spans="1:4" x14ac:dyDescent="0.45">
      <c r="A1059" s="7">
        <v>41523</v>
      </c>
      <c r="B1059" s="8">
        <f>VLOOKUP(Table1[[#This Row],[Date]],'BUD data'!A:F,6,)</f>
        <v>79.308661999999998</v>
      </c>
      <c r="C1059" s="51"/>
      <c r="D1059" s="51"/>
    </row>
    <row r="1060" spans="1:4" x14ac:dyDescent="0.45">
      <c r="A1060" s="7">
        <v>41526</v>
      </c>
      <c r="B1060" s="8">
        <f>VLOOKUP(Table1[[#This Row],[Date]],'BUD data'!A:F,6,)</f>
        <v>79.217574999999997</v>
      </c>
      <c r="C1060" s="51"/>
      <c r="D1060" s="51"/>
    </row>
    <row r="1061" spans="1:4" x14ac:dyDescent="0.45">
      <c r="A1061" s="7">
        <v>41527</v>
      </c>
      <c r="B1061" s="8">
        <f>VLOOKUP(Table1[[#This Row],[Date]],'BUD data'!A:F,6,)</f>
        <v>79.830405999999996</v>
      </c>
      <c r="C1061" s="51"/>
      <c r="D1061" s="51"/>
    </row>
    <row r="1062" spans="1:4" x14ac:dyDescent="0.45">
      <c r="A1062" s="7">
        <v>41528</v>
      </c>
      <c r="B1062" s="8">
        <f>VLOOKUP(Table1[[#This Row],[Date]],'BUD data'!A:F,6,)</f>
        <v>80.865523999999994</v>
      </c>
      <c r="C1062" s="51"/>
      <c r="D1062" s="51"/>
    </row>
    <row r="1063" spans="1:4" x14ac:dyDescent="0.45">
      <c r="A1063" s="7">
        <v>41529</v>
      </c>
      <c r="B1063" s="8">
        <f>VLOOKUP(Table1[[#This Row],[Date]],'BUD data'!A:F,6,)</f>
        <v>80.161629000000005</v>
      </c>
      <c r="C1063" s="51"/>
      <c r="D1063" s="51"/>
    </row>
    <row r="1064" spans="1:4" x14ac:dyDescent="0.45">
      <c r="A1064" s="7">
        <v>41530</v>
      </c>
      <c r="B1064" s="8">
        <f>VLOOKUP(Table1[[#This Row],[Date]],'BUD data'!A:F,6,)</f>
        <v>81.436927999999995</v>
      </c>
      <c r="C1064" s="51"/>
      <c r="D1064" s="51"/>
    </row>
    <row r="1065" spans="1:4" x14ac:dyDescent="0.45">
      <c r="A1065" s="7">
        <v>41533</v>
      </c>
      <c r="B1065" s="8">
        <f>VLOOKUP(Table1[[#This Row],[Date]],'BUD data'!A:F,6,)</f>
        <v>82.546608000000006</v>
      </c>
      <c r="C1065" s="51"/>
      <c r="D1065" s="51"/>
    </row>
    <row r="1066" spans="1:4" x14ac:dyDescent="0.45">
      <c r="A1066" s="7">
        <v>41534</v>
      </c>
      <c r="B1066" s="8">
        <f>VLOOKUP(Table1[[#This Row],[Date]],'BUD data'!A:F,6,)</f>
        <v>82.530051999999998</v>
      </c>
      <c r="C1066" s="51"/>
      <c r="D1066" s="51"/>
    </row>
    <row r="1067" spans="1:4" x14ac:dyDescent="0.45">
      <c r="A1067" s="7">
        <v>41535</v>
      </c>
      <c r="B1067" s="8">
        <f>VLOOKUP(Table1[[#This Row],[Date]],'BUD data'!A:F,6,)</f>
        <v>84.823914000000002</v>
      </c>
      <c r="C1067" s="51"/>
      <c r="D1067" s="51"/>
    </row>
    <row r="1068" spans="1:4" x14ac:dyDescent="0.45">
      <c r="A1068" s="7">
        <v>41536</v>
      </c>
      <c r="B1068" s="8">
        <f>VLOOKUP(Table1[[#This Row],[Date]],'BUD data'!A:F,6,)</f>
        <v>84.939864999999998</v>
      </c>
      <c r="C1068" s="51"/>
      <c r="D1068" s="51"/>
    </row>
    <row r="1069" spans="1:4" x14ac:dyDescent="0.45">
      <c r="A1069" s="7">
        <v>41537</v>
      </c>
      <c r="B1069" s="8">
        <f>VLOOKUP(Table1[[#This Row],[Date]],'BUD data'!A:F,6,)</f>
        <v>83.275351999999998</v>
      </c>
      <c r="C1069" s="51"/>
      <c r="D1069" s="51"/>
    </row>
    <row r="1070" spans="1:4" x14ac:dyDescent="0.45">
      <c r="A1070" s="7">
        <v>41540</v>
      </c>
      <c r="B1070" s="8">
        <f>VLOOKUP(Table1[[#This Row],[Date]],'BUD data'!A:F,6,)</f>
        <v>82.438957000000002</v>
      </c>
      <c r="C1070" s="51"/>
      <c r="D1070" s="51"/>
    </row>
    <row r="1071" spans="1:4" x14ac:dyDescent="0.45">
      <c r="A1071" s="7">
        <v>41541</v>
      </c>
      <c r="B1071" s="8">
        <f>VLOOKUP(Table1[[#This Row],[Date]],'BUD data'!A:F,6,)</f>
        <v>82.074584999999999</v>
      </c>
      <c r="C1071" s="51"/>
      <c r="D1071" s="51"/>
    </row>
    <row r="1072" spans="1:4" x14ac:dyDescent="0.45">
      <c r="A1072" s="7">
        <v>41542</v>
      </c>
      <c r="B1072" s="8">
        <f>VLOOKUP(Table1[[#This Row],[Date]],'BUD data'!A:F,6,)</f>
        <v>82.364425999999995</v>
      </c>
      <c r="C1072" s="51"/>
      <c r="D1072" s="51"/>
    </row>
    <row r="1073" spans="1:4" x14ac:dyDescent="0.45">
      <c r="A1073" s="7">
        <v>41543</v>
      </c>
      <c r="B1073" s="8">
        <f>VLOOKUP(Table1[[#This Row],[Date]],'BUD data'!A:F,6,)</f>
        <v>82.985504000000006</v>
      </c>
      <c r="C1073" s="51"/>
      <c r="D1073" s="51"/>
    </row>
    <row r="1074" spans="1:4" x14ac:dyDescent="0.45">
      <c r="A1074" s="7">
        <v>41544</v>
      </c>
      <c r="B1074" s="8">
        <f>VLOOKUP(Table1[[#This Row],[Date]],'BUD data'!A:F,6,)</f>
        <v>82.488617000000005</v>
      </c>
      <c r="C1074" s="51"/>
      <c r="D1074" s="51"/>
    </row>
    <row r="1075" spans="1:4" x14ac:dyDescent="0.45">
      <c r="A1075" s="7">
        <v>41547</v>
      </c>
      <c r="B1075" s="8">
        <f>VLOOKUP(Table1[[#This Row],[Date]],'BUD data'!A:F,6,)</f>
        <v>82.149101000000002</v>
      </c>
      <c r="C1075" s="51"/>
      <c r="D1075" s="51"/>
    </row>
    <row r="1076" spans="1:4" x14ac:dyDescent="0.45">
      <c r="A1076" s="7">
        <v>41548</v>
      </c>
      <c r="B1076" s="8">
        <f>VLOOKUP(Table1[[#This Row],[Date]],'BUD data'!A:F,6,)</f>
        <v>81.726768000000007</v>
      </c>
      <c r="C1076" s="51"/>
      <c r="D1076" s="51"/>
    </row>
    <row r="1077" spans="1:4" x14ac:dyDescent="0.45">
      <c r="A1077" s="7">
        <v>41549</v>
      </c>
      <c r="B1077" s="8">
        <f>VLOOKUP(Table1[[#This Row],[Date]],'BUD data'!A:F,6,)</f>
        <v>81.470039</v>
      </c>
      <c r="C1077" s="51"/>
      <c r="D1077" s="51"/>
    </row>
    <row r="1078" spans="1:4" x14ac:dyDescent="0.45">
      <c r="A1078" s="7">
        <v>41550</v>
      </c>
      <c r="B1078" s="8">
        <f>VLOOKUP(Table1[[#This Row],[Date]],'BUD data'!A:F,6,)</f>
        <v>81.320992000000004</v>
      </c>
      <c r="C1078" s="51"/>
      <c r="D1078" s="51"/>
    </row>
    <row r="1079" spans="1:4" x14ac:dyDescent="0.45">
      <c r="A1079" s="7">
        <v>41551</v>
      </c>
      <c r="B1079" s="8">
        <f>VLOOKUP(Table1[[#This Row],[Date]],'BUD data'!A:F,6,)</f>
        <v>81.950362999999996</v>
      </c>
      <c r="C1079" s="51"/>
      <c r="D1079" s="51"/>
    </row>
    <row r="1080" spans="1:4" x14ac:dyDescent="0.45">
      <c r="A1080" s="7">
        <v>41554</v>
      </c>
      <c r="B1080" s="8">
        <f>VLOOKUP(Table1[[#This Row],[Date]],'BUD data'!A:F,6,)</f>
        <v>80.923491999999996</v>
      </c>
      <c r="C1080" s="51"/>
      <c r="D1080" s="51"/>
    </row>
    <row r="1081" spans="1:4" x14ac:dyDescent="0.45">
      <c r="A1081" s="7">
        <v>41555</v>
      </c>
      <c r="B1081" s="8">
        <f>VLOOKUP(Table1[[#This Row],[Date]],'BUD data'!A:F,6,)</f>
        <v>80.128501999999997</v>
      </c>
      <c r="C1081" s="51"/>
      <c r="D1081" s="51"/>
    </row>
    <row r="1082" spans="1:4" x14ac:dyDescent="0.45">
      <c r="A1082" s="7">
        <v>41556</v>
      </c>
      <c r="B1082" s="8">
        <f>VLOOKUP(Table1[[#This Row],[Date]],'BUD data'!A:F,6,)</f>
        <v>79.366646000000003</v>
      </c>
      <c r="C1082" s="51"/>
      <c r="D1082" s="51"/>
    </row>
    <row r="1083" spans="1:4" x14ac:dyDescent="0.45">
      <c r="A1083" s="7">
        <v>41557</v>
      </c>
      <c r="B1083" s="8">
        <f>VLOOKUP(Table1[[#This Row],[Date]],'BUD data'!A:F,6,)</f>
        <v>80.691635000000005</v>
      </c>
      <c r="C1083" s="51"/>
      <c r="D1083" s="51"/>
    </row>
    <row r="1084" spans="1:4" x14ac:dyDescent="0.45">
      <c r="A1084" s="7">
        <v>41558</v>
      </c>
      <c r="B1084" s="8">
        <f>VLOOKUP(Table1[[#This Row],[Date]],'BUD data'!A:F,6,)</f>
        <v>81.494895999999997</v>
      </c>
      <c r="C1084" s="51"/>
      <c r="D1084" s="51"/>
    </row>
    <row r="1085" spans="1:4" x14ac:dyDescent="0.45">
      <c r="A1085" s="7">
        <v>41561</v>
      </c>
      <c r="B1085" s="8">
        <f>VLOOKUP(Table1[[#This Row],[Date]],'BUD data'!A:F,6,)</f>
        <v>81.793014999999997</v>
      </c>
      <c r="C1085" s="51"/>
      <c r="D1085" s="51"/>
    </row>
    <row r="1086" spans="1:4" x14ac:dyDescent="0.45">
      <c r="A1086" s="7">
        <v>41562</v>
      </c>
      <c r="B1086" s="8">
        <f>VLOOKUP(Table1[[#This Row],[Date]],'BUD data'!A:F,6,)</f>
        <v>81.213341</v>
      </c>
      <c r="C1086" s="51"/>
      <c r="D1086" s="51"/>
    </row>
    <row r="1087" spans="1:4" x14ac:dyDescent="0.45">
      <c r="A1087" s="7">
        <v>41563</v>
      </c>
      <c r="B1087" s="8">
        <f>VLOOKUP(Table1[[#This Row],[Date]],'BUD data'!A:F,6,)</f>
        <v>81.867546000000004</v>
      </c>
      <c r="C1087" s="51"/>
      <c r="D1087" s="51"/>
    </row>
    <row r="1088" spans="1:4" x14ac:dyDescent="0.45">
      <c r="A1088" s="7">
        <v>41564</v>
      </c>
      <c r="B1088" s="8">
        <f>VLOOKUP(Table1[[#This Row],[Date]],'BUD data'!A:F,6,)</f>
        <v>83.639724999999999</v>
      </c>
      <c r="C1088" s="51"/>
      <c r="D1088" s="51"/>
    </row>
    <row r="1089" spans="1:4" x14ac:dyDescent="0.45">
      <c r="A1089" s="7">
        <v>41565</v>
      </c>
      <c r="B1089" s="8">
        <f>VLOOKUP(Table1[[#This Row],[Date]],'BUD data'!A:F,6,)</f>
        <v>85.047516000000002</v>
      </c>
      <c r="C1089" s="51"/>
      <c r="D1089" s="51"/>
    </row>
    <row r="1090" spans="1:4" x14ac:dyDescent="0.45">
      <c r="A1090" s="7">
        <v>41568</v>
      </c>
      <c r="B1090" s="8">
        <f>VLOOKUP(Table1[[#This Row],[Date]],'BUD data'!A:F,6,)</f>
        <v>84.989540000000005</v>
      </c>
      <c r="C1090" s="51"/>
      <c r="D1090" s="51"/>
    </row>
    <row r="1091" spans="1:4" x14ac:dyDescent="0.45">
      <c r="A1091" s="7">
        <v>41569</v>
      </c>
      <c r="B1091" s="8">
        <f>VLOOKUP(Table1[[#This Row],[Date]],'BUD data'!A:F,6,)</f>
        <v>85.867339999999999</v>
      </c>
      <c r="C1091" s="51"/>
      <c r="D1091" s="51"/>
    </row>
    <row r="1092" spans="1:4" x14ac:dyDescent="0.45">
      <c r="A1092" s="7">
        <v>41570</v>
      </c>
      <c r="B1092" s="8">
        <f>VLOOKUP(Table1[[#This Row],[Date]],'BUD data'!A:F,6,)</f>
        <v>85.345641999999998</v>
      </c>
      <c r="C1092" s="51"/>
      <c r="D1092" s="51"/>
    </row>
    <row r="1093" spans="1:4" x14ac:dyDescent="0.45">
      <c r="A1093" s="7">
        <v>41571</v>
      </c>
      <c r="B1093" s="8">
        <f>VLOOKUP(Table1[[#This Row],[Date]],'BUD data'!A:F,6,)</f>
        <v>85.445007000000004</v>
      </c>
      <c r="C1093" s="51"/>
      <c r="D1093" s="51"/>
    </row>
    <row r="1094" spans="1:4" x14ac:dyDescent="0.45">
      <c r="A1094" s="7">
        <v>41572</v>
      </c>
      <c r="B1094" s="8">
        <f>VLOOKUP(Table1[[#This Row],[Date]],'BUD data'!A:F,6,)</f>
        <v>86.712020999999993</v>
      </c>
      <c r="C1094" s="51"/>
      <c r="D1094" s="51"/>
    </row>
    <row r="1095" spans="1:4" x14ac:dyDescent="0.45">
      <c r="A1095" s="7">
        <v>41575</v>
      </c>
      <c r="B1095" s="8">
        <f>VLOOKUP(Table1[[#This Row],[Date]],'BUD data'!A:F,6,)</f>
        <v>86.355934000000005</v>
      </c>
      <c r="C1095" s="51"/>
      <c r="D1095" s="51"/>
    </row>
    <row r="1096" spans="1:4" x14ac:dyDescent="0.45">
      <c r="A1096" s="7">
        <v>41576</v>
      </c>
      <c r="B1096" s="8">
        <f>VLOOKUP(Table1[[#This Row],[Date]],'BUD data'!A:F,6,)</f>
        <v>86.405624000000003</v>
      </c>
      <c r="C1096" s="51"/>
      <c r="D1096" s="51"/>
    </row>
    <row r="1097" spans="1:4" x14ac:dyDescent="0.45">
      <c r="A1097" s="7">
        <v>41577</v>
      </c>
      <c r="B1097" s="8">
        <f>VLOOKUP(Table1[[#This Row],[Date]],'BUD data'!A:F,6,)</f>
        <v>85.494704999999996</v>
      </c>
      <c r="C1097" s="51"/>
      <c r="D1097" s="51"/>
    </row>
    <row r="1098" spans="1:4" x14ac:dyDescent="0.45">
      <c r="A1098" s="7">
        <v>41578</v>
      </c>
      <c r="B1098" s="8">
        <f>VLOOKUP(Table1[[#This Row],[Date]],'BUD data'!A:F,6,)</f>
        <v>85.900481999999997</v>
      </c>
      <c r="C1098" s="51"/>
      <c r="D1098" s="51"/>
    </row>
    <row r="1099" spans="1:4" x14ac:dyDescent="0.45">
      <c r="A1099" s="7">
        <v>41579</v>
      </c>
      <c r="B1099" s="8">
        <f>VLOOKUP(Table1[[#This Row],[Date]],'BUD data'!A:F,6,)</f>
        <v>84.948134999999994</v>
      </c>
      <c r="C1099" s="51"/>
      <c r="D1099" s="51"/>
    </row>
    <row r="1100" spans="1:4" x14ac:dyDescent="0.45">
      <c r="A1100" s="7">
        <v>41582</v>
      </c>
      <c r="B1100" s="8">
        <f>VLOOKUP(Table1[[#This Row],[Date]],'BUD data'!A:F,6,)</f>
        <v>84.774246000000005</v>
      </c>
      <c r="C1100" s="51"/>
      <c r="D1100" s="51"/>
    </row>
    <row r="1101" spans="1:4" x14ac:dyDescent="0.45">
      <c r="A1101" s="7">
        <v>41583</v>
      </c>
      <c r="B1101" s="8">
        <f>VLOOKUP(Table1[[#This Row],[Date]],'BUD data'!A:F,6,)</f>
        <v>84.674858</v>
      </c>
      <c r="C1101" s="51"/>
      <c r="D1101" s="51"/>
    </row>
    <row r="1102" spans="1:4" x14ac:dyDescent="0.45">
      <c r="A1102" s="7">
        <v>41584</v>
      </c>
      <c r="B1102" s="8">
        <f>VLOOKUP(Table1[[#This Row],[Date]],'BUD data'!A:F,6,)</f>
        <v>85.958443000000003</v>
      </c>
      <c r="C1102" s="51"/>
      <c r="D1102" s="51"/>
    </row>
    <row r="1103" spans="1:4" x14ac:dyDescent="0.45">
      <c r="A1103" s="7">
        <v>41585</v>
      </c>
      <c r="B1103" s="8">
        <f>VLOOKUP(Table1[[#This Row],[Date]],'BUD data'!A:F,6,)</f>
        <v>84.744827000000001</v>
      </c>
      <c r="C1103" s="51"/>
      <c r="D1103" s="51"/>
    </row>
    <row r="1104" spans="1:4" x14ac:dyDescent="0.45">
      <c r="A1104" s="7">
        <v>41586</v>
      </c>
      <c r="B1104" s="8">
        <f>VLOOKUP(Table1[[#This Row],[Date]],'BUD data'!A:F,6,)</f>
        <v>85.804862999999997</v>
      </c>
      <c r="C1104" s="51"/>
      <c r="D1104" s="51"/>
    </row>
    <row r="1105" spans="1:4" x14ac:dyDescent="0.45">
      <c r="A1105" s="7">
        <v>41589</v>
      </c>
      <c r="B1105" s="8">
        <f>VLOOKUP(Table1[[#This Row],[Date]],'BUD data'!A:F,6,)</f>
        <v>87.098618000000002</v>
      </c>
      <c r="C1105" s="51"/>
      <c r="D1105" s="51"/>
    </row>
    <row r="1106" spans="1:4" x14ac:dyDescent="0.45">
      <c r="A1106" s="7">
        <v>41590</v>
      </c>
      <c r="B1106" s="8">
        <f>VLOOKUP(Table1[[#This Row],[Date]],'BUD data'!A:F,6,)</f>
        <v>86.681267000000005</v>
      </c>
      <c r="C1106" s="51"/>
      <c r="D1106" s="51"/>
    </row>
    <row r="1107" spans="1:4" x14ac:dyDescent="0.45">
      <c r="A1107" s="7">
        <v>41591</v>
      </c>
      <c r="B1107" s="8">
        <f>VLOOKUP(Table1[[#This Row],[Date]],'BUD data'!A:F,6,)</f>
        <v>86.606155000000001</v>
      </c>
      <c r="C1107" s="51"/>
      <c r="D1107" s="51"/>
    </row>
    <row r="1108" spans="1:4" x14ac:dyDescent="0.45">
      <c r="A1108" s="7">
        <v>41592</v>
      </c>
      <c r="B1108" s="8">
        <f>VLOOKUP(Table1[[#This Row],[Date]],'BUD data'!A:F,6,)</f>
        <v>87.399094000000005</v>
      </c>
      <c r="C1108" s="51"/>
      <c r="D1108" s="51"/>
    </row>
    <row r="1109" spans="1:4" x14ac:dyDescent="0.45">
      <c r="A1109" s="7">
        <v>41593</v>
      </c>
      <c r="B1109" s="8">
        <f>VLOOKUP(Table1[[#This Row],[Date]],'BUD data'!A:F,6,)</f>
        <v>87.323966999999996</v>
      </c>
      <c r="C1109" s="51"/>
      <c r="D1109" s="51"/>
    </row>
    <row r="1110" spans="1:4" x14ac:dyDescent="0.45">
      <c r="A1110" s="7">
        <v>41596</v>
      </c>
      <c r="B1110" s="8">
        <f>VLOOKUP(Table1[[#This Row],[Date]],'BUD data'!A:F,6,)</f>
        <v>87.499260000000007</v>
      </c>
      <c r="C1110" s="51"/>
      <c r="D1110" s="51"/>
    </row>
    <row r="1111" spans="1:4" x14ac:dyDescent="0.45">
      <c r="A1111" s="7">
        <v>41597</v>
      </c>
      <c r="B1111" s="8">
        <f>VLOOKUP(Table1[[#This Row],[Date]],'BUD data'!A:F,6,)</f>
        <v>87.215468999999999</v>
      </c>
      <c r="C1111" s="51"/>
      <c r="D1111" s="51"/>
    </row>
    <row r="1112" spans="1:4" x14ac:dyDescent="0.45">
      <c r="A1112" s="7">
        <v>41598</v>
      </c>
      <c r="B1112" s="8">
        <f>VLOOKUP(Table1[[#This Row],[Date]],'BUD data'!A:F,6,)</f>
        <v>86.422531000000006</v>
      </c>
      <c r="C1112" s="51"/>
      <c r="D1112" s="51"/>
    </row>
    <row r="1113" spans="1:4" x14ac:dyDescent="0.45">
      <c r="A1113" s="7">
        <v>41599</v>
      </c>
      <c r="B1113" s="8">
        <f>VLOOKUP(Table1[[#This Row],[Date]],'BUD data'!A:F,6,)</f>
        <v>86.430869999999999</v>
      </c>
      <c r="C1113" s="51"/>
      <c r="D1113" s="51"/>
    </row>
    <row r="1114" spans="1:4" x14ac:dyDescent="0.45">
      <c r="A1114" s="7">
        <v>41600</v>
      </c>
      <c r="B1114" s="8">
        <f>VLOOKUP(Table1[[#This Row],[Date]],'BUD data'!A:F,6,)</f>
        <v>86.272278</v>
      </c>
      <c r="C1114" s="51"/>
      <c r="D1114" s="51"/>
    </row>
    <row r="1115" spans="1:4" x14ac:dyDescent="0.45">
      <c r="A1115" s="7">
        <v>41603</v>
      </c>
      <c r="B1115" s="8">
        <f>VLOOKUP(Table1[[#This Row],[Date]],'BUD data'!A:F,6,)</f>
        <v>85.471001000000001</v>
      </c>
      <c r="C1115" s="51"/>
      <c r="D1115" s="51"/>
    </row>
    <row r="1116" spans="1:4" x14ac:dyDescent="0.45">
      <c r="A1116" s="7">
        <v>41604</v>
      </c>
      <c r="B1116" s="8">
        <f>VLOOKUP(Table1[[#This Row],[Date]],'BUD data'!A:F,6,)</f>
        <v>85.738097999999994</v>
      </c>
      <c r="C1116" s="51"/>
      <c r="D1116" s="51"/>
    </row>
    <row r="1117" spans="1:4" x14ac:dyDescent="0.45">
      <c r="A1117" s="7">
        <v>41605</v>
      </c>
      <c r="B1117" s="8">
        <f>VLOOKUP(Table1[[#This Row],[Date]],'BUD data'!A:F,6,)</f>
        <v>85.738097999999994</v>
      </c>
      <c r="C1117" s="51"/>
      <c r="D1117" s="51"/>
    </row>
    <row r="1118" spans="1:4" x14ac:dyDescent="0.45">
      <c r="A1118" s="7">
        <v>41607</v>
      </c>
      <c r="B1118" s="8">
        <f>VLOOKUP(Table1[[#This Row],[Date]],'BUD data'!A:F,6,)</f>
        <v>85.228927999999996</v>
      </c>
      <c r="C1118" s="51"/>
      <c r="D1118" s="51"/>
    </row>
    <row r="1119" spans="1:4" x14ac:dyDescent="0.45">
      <c r="A1119" s="7">
        <v>41610</v>
      </c>
      <c r="B1119" s="8">
        <f>VLOOKUP(Table1[[#This Row],[Date]],'BUD data'!A:F,6,)</f>
        <v>85.203896</v>
      </c>
      <c r="C1119" s="51"/>
      <c r="D1119" s="51"/>
    </row>
    <row r="1120" spans="1:4" x14ac:dyDescent="0.45">
      <c r="A1120" s="7">
        <v>41611</v>
      </c>
      <c r="B1120" s="8">
        <f>VLOOKUP(Table1[[#This Row],[Date]],'BUD data'!A:F,6,)</f>
        <v>84.920096999999998</v>
      </c>
      <c r="C1120" s="51"/>
      <c r="D1120" s="51"/>
    </row>
    <row r="1121" spans="1:4" x14ac:dyDescent="0.45">
      <c r="A1121" s="7">
        <v>41612</v>
      </c>
      <c r="B1121" s="8">
        <f>VLOOKUP(Table1[[#This Row],[Date]],'BUD data'!A:F,6,)</f>
        <v>84.71978</v>
      </c>
      <c r="C1121" s="51"/>
      <c r="D1121" s="51"/>
    </row>
    <row r="1122" spans="1:4" x14ac:dyDescent="0.45">
      <c r="A1122" s="7">
        <v>41613</v>
      </c>
      <c r="B1122" s="8">
        <f>VLOOKUP(Table1[[#This Row],[Date]],'BUD data'!A:F,6,)</f>
        <v>84.068741000000003</v>
      </c>
      <c r="C1122" s="51"/>
      <c r="D1122" s="51"/>
    </row>
    <row r="1123" spans="1:4" x14ac:dyDescent="0.45">
      <c r="A1123" s="7">
        <v>41614</v>
      </c>
      <c r="B1123" s="8">
        <f>VLOOKUP(Table1[[#This Row],[Date]],'BUD data'!A:F,6,)</f>
        <v>85.662964000000002</v>
      </c>
      <c r="C1123" s="51"/>
      <c r="D1123" s="51"/>
    </row>
    <row r="1124" spans="1:4" x14ac:dyDescent="0.45">
      <c r="A1124" s="7">
        <v>41617</v>
      </c>
      <c r="B1124" s="8">
        <f>VLOOKUP(Table1[[#This Row],[Date]],'BUD data'!A:F,6,)</f>
        <v>85.546104</v>
      </c>
      <c r="C1124" s="51"/>
      <c r="D1124" s="51"/>
    </row>
    <row r="1125" spans="1:4" x14ac:dyDescent="0.45">
      <c r="A1125" s="7">
        <v>41618</v>
      </c>
      <c r="B1125" s="8">
        <f>VLOOKUP(Table1[[#This Row],[Date]],'BUD data'!A:F,6,)</f>
        <v>85.195541000000006</v>
      </c>
      <c r="C1125" s="51"/>
      <c r="D1125" s="51"/>
    </row>
    <row r="1126" spans="1:4" x14ac:dyDescent="0.45">
      <c r="A1126" s="7">
        <v>41619</v>
      </c>
      <c r="B1126" s="8">
        <f>VLOOKUP(Table1[[#This Row],[Date]],'BUD data'!A:F,6,)</f>
        <v>84.644660999999999</v>
      </c>
      <c r="C1126" s="51"/>
      <c r="D1126" s="51"/>
    </row>
    <row r="1127" spans="1:4" x14ac:dyDescent="0.45">
      <c r="A1127" s="7">
        <v>41620</v>
      </c>
      <c r="B1127" s="8">
        <f>VLOOKUP(Table1[[#This Row],[Date]],'BUD data'!A:F,6,)</f>
        <v>83.826674999999994</v>
      </c>
      <c r="C1127" s="51"/>
      <c r="D1127" s="51"/>
    </row>
    <row r="1128" spans="1:4" x14ac:dyDescent="0.45">
      <c r="A1128" s="7">
        <v>41621</v>
      </c>
      <c r="B1128" s="8">
        <f>VLOOKUP(Table1[[#This Row],[Date]],'BUD data'!A:F,6,)</f>
        <v>83.643051</v>
      </c>
      <c r="C1128" s="51"/>
      <c r="D1128" s="51"/>
    </row>
    <row r="1129" spans="1:4" x14ac:dyDescent="0.45">
      <c r="A1129" s="7">
        <v>41624</v>
      </c>
      <c r="B1129" s="8">
        <f>VLOOKUP(Table1[[#This Row],[Date]],'BUD data'!A:F,6,)</f>
        <v>85.220580999999996</v>
      </c>
      <c r="C1129" s="51"/>
      <c r="D1129" s="51"/>
    </row>
    <row r="1130" spans="1:4" x14ac:dyDescent="0.45">
      <c r="A1130" s="7">
        <v>41625</v>
      </c>
      <c r="B1130" s="8">
        <f>VLOOKUP(Table1[[#This Row],[Date]],'BUD data'!A:F,6,)</f>
        <v>84.711449000000002</v>
      </c>
      <c r="C1130" s="51"/>
      <c r="D1130" s="51"/>
    </row>
    <row r="1131" spans="1:4" x14ac:dyDescent="0.45">
      <c r="A1131" s="7">
        <v>41626</v>
      </c>
      <c r="B1131" s="8">
        <f>VLOOKUP(Table1[[#This Row],[Date]],'BUD data'!A:F,6,)</f>
        <v>86.297318000000004</v>
      </c>
      <c r="C1131" s="51"/>
      <c r="D1131" s="51"/>
    </row>
    <row r="1132" spans="1:4" x14ac:dyDescent="0.45">
      <c r="A1132" s="7">
        <v>41627</v>
      </c>
      <c r="B1132" s="8">
        <f>VLOOKUP(Table1[[#This Row],[Date]],'BUD data'!A:F,6,)</f>
        <v>86.122039999999998</v>
      </c>
      <c r="C1132" s="51"/>
      <c r="D1132" s="51"/>
    </row>
    <row r="1133" spans="1:4" x14ac:dyDescent="0.45">
      <c r="A1133" s="7">
        <v>41628</v>
      </c>
      <c r="B1133" s="8">
        <f>VLOOKUP(Table1[[#This Row],[Date]],'BUD data'!A:F,6,)</f>
        <v>86.280631999999997</v>
      </c>
      <c r="C1133" s="51"/>
      <c r="D1133" s="51"/>
    </row>
    <row r="1134" spans="1:4" x14ac:dyDescent="0.45">
      <c r="A1134" s="7">
        <v>41631</v>
      </c>
      <c r="B1134" s="8">
        <f>VLOOKUP(Table1[[#This Row],[Date]],'BUD data'!A:F,6,)</f>
        <v>86.522675000000007</v>
      </c>
      <c r="C1134" s="51"/>
      <c r="D1134" s="51"/>
    </row>
    <row r="1135" spans="1:4" x14ac:dyDescent="0.45">
      <c r="A1135" s="7">
        <v>41632</v>
      </c>
      <c r="B1135" s="8">
        <f>VLOOKUP(Table1[[#This Row],[Date]],'BUD data'!A:F,6,)</f>
        <v>86.597801000000004</v>
      </c>
      <c r="C1135" s="51"/>
      <c r="D1135" s="51"/>
    </row>
    <row r="1136" spans="1:4" x14ac:dyDescent="0.45">
      <c r="A1136" s="7">
        <v>41634</v>
      </c>
      <c r="B1136" s="8">
        <f>VLOOKUP(Table1[[#This Row],[Date]],'BUD data'!A:F,6,)</f>
        <v>87.691222999999994</v>
      </c>
      <c r="C1136" s="51"/>
      <c r="D1136" s="51"/>
    </row>
    <row r="1137" spans="1:4" x14ac:dyDescent="0.45">
      <c r="A1137" s="7">
        <v>41635</v>
      </c>
      <c r="B1137" s="8">
        <f>VLOOKUP(Table1[[#This Row],[Date]],'BUD data'!A:F,6,)</f>
        <v>88.509224000000003</v>
      </c>
      <c r="C1137" s="51"/>
      <c r="D1137" s="51"/>
    </row>
    <row r="1138" spans="1:4" x14ac:dyDescent="0.45">
      <c r="A1138" s="7">
        <v>41638</v>
      </c>
      <c r="B1138" s="8">
        <f>VLOOKUP(Table1[[#This Row],[Date]],'BUD data'!A:F,6,)</f>
        <v>87.941642999999999</v>
      </c>
      <c r="C1138" s="51"/>
      <c r="D1138" s="51"/>
    </row>
    <row r="1139" spans="1:4" x14ac:dyDescent="0.45">
      <c r="A1139" s="7">
        <v>41639</v>
      </c>
      <c r="B1139" s="8">
        <f>VLOOKUP(Table1[[#This Row],[Date]],'BUD data'!A:F,6,)</f>
        <v>88.859779000000003</v>
      </c>
      <c r="C1139" s="51"/>
      <c r="D1139" s="51"/>
    </row>
    <row r="1140" spans="1:4" x14ac:dyDescent="0.45">
      <c r="A1140" s="7">
        <v>41641</v>
      </c>
      <c r="B1140" s="8">
        <f>VLOOKUP(Table1[[#This Row],[Date]],'BUD data'!A:F,6,)</f>
        <v>86.430869999999999</v>
      </c>
      <c r="C1140" s="51"/>
      <c r="D1140" s="51"/>
    </row>
    <row r="1141" spans="1:4" x14ac:dyDescent="0.45">
      <c r="A1141" s="7">
        <v>41642</v>
      </c>
      <c r="B1141" s="8">
        <f>VLOOKUP(Table1[[#This Row],[Date]],'BUD data'!A:F,6,)</f>
        <v>86.589455000000001</v>
      </c>
      <c r="C1141" s="51"/>
      <c r="D1141" s="51"/>
    </row>
    <row r="1142" spans="1:4" x14ac:dyDescent="0.45">
      <c r="A1142" s="7">
        <v>41645</v>
      </c>
      <c r="B1142" s="8">
        <f>VLOOKUP(Table1[[#This Row],[Date]],'BUD data'!A:F,6,)</f>
        <v>85.587845000000002</v>
      </c>
      <c r="C1142" s="51"/>
      <c r="D1142" s="51"/>
    </row>
    <row r="1143" spans="1:4" x14ac:dyDescent="0.45">
      <c r="A1143" s="7">
        <v>41646</v>
      </c>
      <c r="B1143" s="8">
        <f>VLOOKUP(Table1[[#This Row],[Date]],'BUD data'!A:F,6,)</f>
        <v>87.207115000000002</v>
      </c>
      <c r="C1143" s="51"/>
      <c r="D1143" s="51"/>
    </row>
    <row r="1144" spans="1:4" x14ac:dyDescent="0.45">
      <c r="A1144" s="7">
        <v>41647</v>
      </c>
      <c r="B1144" s="8">
        <f>VLOOKUP(Table1[[#This Row],[Date]],'BUD data'!A:F,6,)</f>
        <v>87.582725999999994</v>
      </c>
      <c r="C1144" s="51"/>
      <c r="D1144" s="51"/>
    </row>
    <row r="1145" spans="1:4" x14ac:dyDescent="0.45">
      <c r="A1145" s="7">
        <v>41648</v>
      </c>
      <c r="B1145" s="8">
        <f>VLOOKUP(Table1[[#This Row],[Date]],'BUD data'!A:F,6,)</f>
        <v>87.582725999999994</v>
      </c>
      <c r="C1145" s="51"/>
      <c r="D1145" s="51"/>
    </row>
    <row r="1146" spans="1:4" x14ac:dyDescent="0.45">
      <c r="A1146" s="7">
        <v>41649</v>
      </c>
      <c r="B1146" s="8">
        <f>VLOOKUP(Table1[[#This Row],[Date]],'BUD data'!A:F,6,)</f>
        <v>87.808075000000002</v>
      </c>
      <c r="C1146" s="51"/>
      <c r="D1146" s="51"/>
    </row>
    <row r="1147" spans="1:4" x14ac:dyDescent="0.45">
      <c r="A1147" s="7">
        <v>41652</v>
      </c>
      <c r="B1147" s="8">
        <f>VLOOKUP(Table1[[#This Row],[Date]],'BUD data'!A:F,6,)</f>
        <v>85.579491000000004</v>
      </c>
      <c r="C1147" s="51"/>
      <c r="D1147" s="51"/>
    </row>
    <row r="1148" spans="1:4" x14ac:dyDescent="0.45">
      <c r="A1148" s="7">
        <v>41653</v>
      </c>
      <c r="B1148" s="8">
        <f>VLOOKUP(Table1[[#This Row],[Date]],'BUD data'!A:F,6,)</f>
        <v>85.913368000000006</v>
      </c>
      <c r="C1148" s="51"/>
      <c r="D1148" s="51"/>
    </row>
    <row r="1149" spans="1:4" x14ac:dyDescent="0.45">
      <c r="A1149" s="7">
        <v>41654</v>
      </c>
      <c r="B1149" s="8">
        <f>VLOOKUP(Table1[[#This Row],[Date]],'BUD data'!A:F,6,)</f>
        <v>86.063614000000001</v>
      </c>
      <c r="C1149" s="51"/>
      <c r="D1149" s="51"/>
    </row>
    <row r="1150" spans="1:4" x14ac:dyDescent="0.45">
      <c r="A1150" s="7">
        <v>41655</v>
      </c>
      <c r="B1150" s="8">
        <f>VLOOKUP(Table1[[#This Row],[Date]],'BUD data'!A:F,6,)</f>
        <v>86.347397000000001</v>
      </c>
      <c r="C1150" s="51"/>
      <c r="D1150" s="51"/>
    </row>
    <row r="1151" spans="1:4" x14ac:dyDescent="0.45">
      <c r="A1151" s="7">
        <v>41656</v>
      </c>
      <c r="B1151" s="8">
        <f>VLOOKUP(Table1[[#This Row],[Date]],'BUD data'!A:F,6,)</f>
        <v>84.694739999999996</v>
      </c>
      <c r="C1151" s="51"/>
      <c r="D1151" s="51"/>
    </row>
    <row r="1152" spans="1:4" x14ac:dyDescent="0.45">
      <c r="A1152" s="7">
        <v>41660</v>
      </c>
      <c r="B1152" s="8">
        <f>VLOOKUP(Table1[[#This Row],[Date]],'BUD data'!A:F,6,)</f>
        <v>86.597801000000004</v>
      </c>
      <c r="C1152" s="51"/>
      <c r="D1152" s="51"/>
    </row>
    <row r="1153" spans="1:4" x14ac:dyDescent="0.45">
      <c r="A1153" s="7">
        <v>41661</v>
      </c>
      <c r="B1153" s="8">
        <f>VLOOKUP(Table1[[#This Row],[Date]],'BUD data'!A:F,6,)</f>
        <v>86.439209000000005</v>
      </c>
      <c r="C1153" s="51"/>
      <c r="D1153" s="51"/>
    </row>
    <row r="1154" spans="1:4" x14ac:dyDescent="0.45">
      <c r="A1154" s="7">
        <v>41662</v>
      </c>
      <c r="B1154" s="8">
        <f>VLOOKUP(Table1[[#This Row],[Date]],'BUD data'!A:F,6,)</f>
        <v>85.487679</v>
      </c>
      <c r="C1154" s="51"/>
      <c r="D1154" s="51"/>
    </row>
    <row r="1155" spans="1:4" x14ac:dyDescent="0.45">
      <c r="A1155" s="7">
        <v>41663</v>
      </c>
      <c r="B1155" s="8">
        <f>VLOOKUP(Table1[[#This Row],[Date]],'BUD data'!A:F,6,)</f>
        <v>81.840148999999997</v>
      </c>
      <c r="C1155" s="51"/>
      <c r="D1155" s="51"/>
    </row>
    <row r="1156" spans="1:4" x14ac:dyDescent="0.45">
      <c r="A1156" s="7">
        <v>41666</v>
      </c>
      <c r="B1156" s="8">
        <f>VLOOKUP(Table1[[#This Row],[Date]],'BUD data'!A:F,6,)</f>
        <v>81.990395000000007</v>
      </c>
      <c r="C1156" s="51"/>
      <c r="D1156" s="51"/>
    </row>
    <row r="1157" spans="1:4" x14ac:dyDescent="0.45">
      <c r="A1157" s="7">
        <v>41667</v>
      </c>
      <c r="B1157" s="8">
        <f>VLOOKUP(Table1[[#This Row],[Date]],'BUD data'!A:F,6,)</f>
        <v>82.282523999999995</v>
      </c>
      <c r="C1157" s="51"/>
      <c r="D1157" s="51"/>
    </row>
    <row r="1158" spans="1:4" x14ac:dyDescent="0.45">
      <c r="A1158" s="7">
        <v>41668</v>
      </c>
      <c r="B1158" s="8">
        <f>VLOOKUP(Table1[[#This Row],[Date]],'BUD data'!A:F,6,)</f>
        <v>80.730018999999999</v>
      </c>
      <c r="C1158" s="51"/>
      <c r="D1158" s="51"/>
    </row>
    <row r="1159" spans="1:4" x14ac:dyDescent="0.45">
      <c r="A1159" s="7">
        <v>41669</v>
      </c>
      <c r="B1159" s="8">
        <f>VLOOKUP(Table1[[#This Row],[Date]],'BUD data'!A:F,6,)</f>
        <v>80.621505999999997</v>
      </c>
      <c r="C1159" s="51"/>
      <c r="D1159" s="51"/>
    </row>
    <row r="1160" spans="1:4" x14ac:dyDescent="0.45">
      <c r="A1160" s="7">
        <v>41670</v>
      </c>
      <c r="B1160" s="8">
        <f>VLOOKUP(Table1[[#This Row],[Date]],'BUD data'!A:F,6,)</f>
        <v>80.037231000000006</v>
      </c>
      <c r="C1160" s="51"/>
      <c r="D1160" s="51"/>
    </row>
    <row r="1161" spans="1:4" x14ac:dyDescent="0.45">
      <c r="A1161" s="7">
        <v>41673</v>
      </c>
      <c r="B1161" s="8">
        <f>VLOOKUP(Table1[[#This Row],[Date]],'BUD data'!A:F,6,)</f>
        <v>78.718451999999999</v>
      </c>
      <c r="C1161" s="51"/>
      <c r="D1161" s="51"/>
    </row>
    <row r="1162" spans="1:4" x14ac:dyDescent="0.45">
      <c r="A1162" s="7">
        <v>41674</v>
      </c>
      <c r="B1162" s="8">
        <f>VLOOKUP(Table1[[#This Row],[Date]],'BUD data'!A:F,6,)</f>
        <v>78.676720000000003</v>
      </c>
      <c r="C1162" s="51"/>
      <c r="D1162" s="51"/>
    </row>
    <row r="1163" spans="1:4" x14ac:dyDescent="0.45">
      <c r="A1163" s="7">
        <v>41675</v>
      </c>
      <c r="B1163" s="8">
        <f>VLOOKUP(Table1[[#This Row],[Date]],'BUD data'!A:F,6,)</f>
        <v>78.601601000000002</v>
      </c>
      <c r="C1163" s="51"/>
      <c r="D1163" s="51"/>
    </row>
    <row r="1164" spans="1:4" x14ac:dyDescent="0.45">
      <c r="A1164" s="7">
        <v>41676</v>
      </c>
      <c r="B1164" s="8">
        <f>VLOOKUP(Table1[[#This Row],[Date]],'BUD data'!A:F,6,)</f>
        <v>80.354423999999995</v>
      </c>
      <c r="C1164" s="51"/>
      <c r="D1164" s="51"/>
    </row>
    <row r="1165" spans="1:4" x14ac:dyDescent="0.45">
      <c r="A1165" s="7">
        <v>41677</v>
      </c>
      <c r="B1165" s="8">
        <f>VLOOKUP(Table1[[#This Row],[Date]],'BUD data'!A:F,6,)</f>
        <v>81.305946000000006</v>
      </c>
      <c r="C1165" s="51"/>
      <c r="D1165" s="51"/>
    </row>
    <row r="1166" spans="1:4" x14ac:dyDescent="0.45">
      <c r="A1166" s="7">
        <v>41680</v>
      </c>
      <c r="B1166" s="8">
        <f>VLOOKUP(Table1[[#This Row],[Date]],'BUD data'!A:F,6,)</f>
        <v>81.422805999999994</v>
      </c>
      <c r="C1166" s="51"/>
      <c r="D1166" s="51"/>
    </row>
    <row r="1167" spans="1:4" x14ac:dyDescent="0.45">
      <c r="A1167" s="7">
        <v>41681</v>
      </c>
      <c r="B1167" s="8">
        <f>VLOOKUP(Table1[[#This Row],[Date]],'BUD data'!A:F,6,)</f>
        <v>83.108849000000006</v>
      </c>
      <c r="C1167" s="51"/>
      <c r="D1167" s="51"/>
    </row>
    <row r="1168" spans="1:4" x14ac:dyDescent="0.45">
      <c r="A1168" s="7">
        <v>41682</v>
      </c>
      <c r="B1168" s="8">
        <f>VLOOKUP(Table1[[#This Row],[Date]],'BUD data'!A:F,6,)</f>
        <v>83.200660999999997</v>
      </c>
      <c r="C1168" s="51"/>
      <c r="D1168" s="51"/>
    </row>
    <row r="1169" spans="1:4" x14ac:dyDescent="0.45">
      <c r="A1169" s="7">
        <v>41683</v>
      </c>
      <c r="B1169" s="8">
        <f>VLOOKUP(Table1[[#This Row],[Date]],'BUD data'!A:F,6,)</f>
        <v>83.676437000000007</v>
      </c>
      <c r="C1169" s="51"/>
      <c r="D1169" s="51"/>
    </row>
    <row r="1170" spans="1:4" x14ac:dyDescent="0.45">
      <c r="A1170" s="7">
        <v>41684</v>
      </c>
      <c r="B1170" s="8">
        <f>VLOOKUP(Table1[[#This Row],[Date]],'BUD data'!A:F,6,)</f>
        <v>84.811606999999995</v>
      </c>
      <c r="C1170" s="51"/>
      <c r="D1170" s="51"/>
    </row>
    <row r="1171" spans="1:4" x14ac:dyDescent="0.45">
      <c r="A1171" s="7">
        <v>41688</v>
      </c>
      <c r="B1171" s="8">
        <f>VLOOKUP(Table1[[#This Row],[Date]],'BUD data'!A:F,6,)</f>
        <v>84.152191000000002</v>
      </c>
      <c r="C1171" s="51"/>
      <c r="D1171" s="51"/>
    </row>
    <row r="1172" spans="1:4" x14ac:dyDescent="0.45">
      <c r="A1172" s="7">
        <v>41689</v>
      </c>
      <c r="B1172" s="8">
        <f>VLOOKUP(Table1[[#This Row],[Date]],'BUD data'!A:F,6,)</f>
        <v>84.602936</v>
      </c>
      <c r="C1172" s="51"/>
      <c r="D1172" s="51"/>
    </row>
    <row r="1173" spans="1:4" x14ac:dyDescent="0.45">
      <c r="A1173" s="7">
        <v>41690</v>
      </c>
      <c r="B1173" s="8">
        <f>VLOOKUP(Table1[[#This Row],[Date]],'BUD data'!A:F,6,)</f>
        <v>84.577888000000002</v>
      </c>
      <c r="C1173" s="51"/>
      <c r="D1173" s="51"/>
    </row>
    <row r="1174" spans="1:4" x14ac:dyDescent="0.45">
      <c r="A1174" s="7">
        <v>41691</v>
      </c>
      <c r="B1174" s="8">
        <f>VLOOKUP(Table1[[#This Row],[Date]],'BUD data'!A:F,6,)</f>
        <v>84.703102000000001</v>
      </c>
      <c r="C1174" s="51"/>
      <c r="D1174" s="51"/>
    </row>
    <row r="1175" spans="1:4" x14ac:dyDescent="0.45">
      <c r="A1175" s="7">
        <v>41694</v>
      </c>
      <c r="B1175" s="8">
        <f>VLOOKUP(Table1[[#This Row],[Date]],'BUD data'!A:F,6,)</f>
        <v>86.097008000000002</v>
      </c>
      <c r="C1175" s="51"/>
      <c r="D1175" s="51"/>
    </row>
    <row r="1176" spans="1:4" x14ac:dyDescent="0.45">
      <c r="A1176" s="7">
        <v>41695</v>
      </c>
      <c r="B1176" s="8">
        <f>VLOOKUP(Table1[[#This Row],[Date]],'BUD data'!A:F,6,)</f>
        <v>85.279015000000001</v>
      </c>
      <c r="C1176" s="51"/>
      <c r="D1176" s="51"/>
    </row>
    <row r="1177" spans="1:4" x14ac:dyDescent="0.45">
      <c r="A1177" s="7">
        <v>41696</v>
      </c>
      <c r="B1177" s="8">
        <f>VLOOKUP(Table1[[#This Row],[Date]],'BUD data'!A:F,6,)</f>
        <v>86.597801000000004</v>
      </c>
      <c r="C1177" s="51"/>
      <c r="D1177" s="51"/>
    </row>
    <row r="1178" spans="1:4" x14ac:dyDescent="0.45">
      <c r="A1178" s="7">
        <v>41697</v>
      </c>
      <c r="B1178" s="8">
        <f>VLOOKUP(Table1[[#This Row],[Date]],'BUD data'!A:F,6,)</f>
        <v>86.798125999999996</v>
      </c>
      <c r="C1178" s="51"/>
      <c r="D1178" s="51"/>
    </row>
    <row r="1179" spans="1:4" x14ac:dyDescent="0.45">
      <c r="A1179" s="7">
        <v>41698</v>
      </c>
      <c r="B1179" s="8">
        <f>VLOOKUP(Table1[[#This Row],[Date]],'BUD data'!A:F,6,)</f>
        <v>87.315635999999998</v>
      </c>
      <c r="C1179" s="51"/>
      <c r="D1179" s="51"/>
    </row>
    <row r="1180" spans="1:4" x14ac:dyDescent="0.45">
      <c r="A1180" s="7">
        <v>41701</v>
      </c>
      <c r="B1180" s="8">
        <f>VLOOKUP(Table1[[#This Row],[Date]],'BUD data'!A:F,6,)</f>
        <v>85.237281999999993</v>
      </c>
      <c r="C1180" s="51"/>
      <c r="D1180" s="51"/>
    </row>
    <row r="1181" spans="1:4" x14ac:dyDescent="0.45">
      <c r="A1181" s="7">
        <v>41702</v>
      </c>
      <c r="B1181" s="8">
        <f>VLOOKUP(Table1[[#This Row],[Date]],'BUD data'!A:F,6,)</f>
        <v>86.606155000000001</v>
      </c>
      <c r="C1181" s="51"/>
      <c r="D1181" s="51"/>
    </row>
    <row r="1182" spans="1:4" x14ac:dyDescent="0.45">
      <c r="A1182" s="7">
        <v>41703</v>
      </c>
      <c r="B1182" s="8">
        <f>VLOOKUP(Table1[[#This Row],[Date]],'BUD data'!A:F,6,)</f>
        <v>86.389137000000005</v>
      </c>
      <c r="C1182" s="51"/>
      <c r="D1182" s="51"/>
    </row>
    <row r="1183" spans="1:4" x14ac:dyDescent="0.45">
      <c r="A1183" s="7">
        <v>41704</v>
      </c>
      <c r="B1183" s="8">
        <f>VLOOKUP(Table1[[#This Row],[Date]],'BUD data'!A:F,6,)</f>
        <v>87.232146999999998</v>
      </c>
      <c r="C1183" s="51"/>
      <c r="D1183" s="51"/>
    </row>
    <row r="1184" spans="1:4" x14ac:dyDescent="0.45">
      <c r="A1184" s="7">
        <v>41705</v>
      </c>
      <c r="B1184" s="8">
        <f>VLOOKUP(Table1[[#This Row],[Date]],'BUD data'!A:F,6,)</f>
        <v>86.297318000000004</v>
      </c>
      <c r="C1184" s="51"/>
      <c r="D1184" s="51"/>
    </row>
    <row r="1185" spans="1:4" x14ac:dyDescent="0.45">
      <c r="A1185" s="7">
        <v>41708</v>
      </c>
      <c r="B1185" s="8">
        <f>VLOOKUP(Table1[[#This Row],[Date]],'BUD data'!A:F,6,)</f>
        <v>86.197158999999999</v>
      </c>
      <c r="C1185" s="51"/>
      <c r="D1185" s="51"/>
    </row>
    <row r="1186" spans="1:4" x14ac:dyDescent="0.45">
      <c r="A1186" s="7">
        <v>41709</v>
      </c>
      <c r="B1186" s="8">
        <f>VLOOKUP(Table1[[#This Row],[Date]],'BUD data'!A:F,6,)</f>
        <v>86.030227999999994</v>
      </c>
      <c r="C1186" s="51"/>
      <c r="D1186" s="51"/>
    </row>
    <row r="1187" spans="1:4" x14ac:dyDescent="0.45">
      <c r="A1187" s="7">
        <v>41710</v>
      </c>
      <c r="B1187" s="8">
        <f>VLOOKUP(Table1[[#This Row],[Date]],'BUD data'!A:F,6,)</f>
        <v>85.270668000000001</v>
      </c>
      <c r="C1187" s="51"/>
      <c r="D1187" s="51"/>
    </row>
    <row r="1188" spans="1:4" x14ac:dyDescent="0.45">
      <c r="A1188" s="7">
        <v>41711</v>
      </c>
      <c r="B1188" s="8">
        <f>VLOOKUP(Table1[[#This Row],[Date]],'BUD data'!A:F,6,)</f>
        <v>84.102126999999996</v>
      </c>
      <c r="C1188" s="51"/>
      <c r="D1188" s="51"/>
    </row>
    <row r="1189" spans="1:4" x14ac:dyDescent="0.45">
      <c r="A1189" s="7">
        <v>41712</v>
      </c>
      <c r="B1189" s="8">
        <f>VLOOKUP(Table1[[#This Row],[Date]],'BUD data'!A:F,6,)</f>
        <v>83.300835000000006</v>
      </c>
      <c r="C1189" s="51"/>
      <c r="D1189" s="51"/>
    </row>
    <row r="1190" spans="1:4" x14ac:dyDescent="0.45">
      <c r="A1190" s="7">
        <v>41715</v>
      </c>
      <c r="B1190" s="8">
        <f>VLOOKUP(Table1[[#This Row],[Date]],'BUD data'!A:F,6,)</f>
        <v>83.910133000000002</v>
      </c>
      <c r="C1190" s="51"/>
      <c r="D1190" s="51"/>
    </row>
    <row r="1191" spans="1:4" x14ac:dyDescent="0.45">
      <c r="A1191" s="7">
        <v>41716</v>
      </c>
      <c r="B1191" s="8">
        <f>VLOOKUP(Table1[[#This Row],[Date]],'BUD data'!A:F,6,)</f>
        <v>85.053650000000005</v>
      </c>
      <c r="C1191" s="51"/>
      <c r="D1191" s="51"/>
    </row>
    <row r="1192" spans="1:4" x14ac:dyDescent="0.45">
      <c r="A1192" s="7">
        <v>41717</v>
      </c>
      <c r="B1192" s="8">
        <f>VLOOKUP(Table1[[#This Row],[Date]],'BUD data'!A:F,6,)</f>
        <v>83.526206999999999</v>
      </c>
      <c r="C1192" s="51"/>
      <c r="D1192" s="51"/>
    </row>
    <row r="1193" spans="1:4" x14ac:dyDescent="0.45">
      <c r="A1193" s="7">
        <v>41718</v>
      </c>
      <c r="B1193" s="8">
        <f>VLOOKUP(Table1[[#This Row],[Date]],'BUD data'!A:F,6,)</f>
        <v>83.910133000000002</v>
      </c>
      <c r="C1193" s="51"/>
      <c r="D1193" s="51"/>
    </row>
    <row r="1194" spans="1:4" x14ac:dyDescent="0.45">
      <c r="A1194" s="7">
        <v>41719</v>
      </c>
      <c r="B1194" s="8">
        <f>VLOOKUP(Table1[[#This Row],[Date]],'BUD data'!A:F,6,)</f>
        <v>85.087035999999998</v>
      </c>
      <c r="C1194" s="51"/>
      <c r="D1194" s="51"/>
    </row>
    <row r="1195" spans="1:4" x14ac:dyDescent="0.45">
      <c r="A1195" s="7">
        <v>41722</v>
      </c>
      <c r="B1195" s="8">
        <f>VLOOKUP(Table1[[#This Row],[Date]],'BUD data'!A:F,6,)</f>
        <v>84.71978</v>
      </c>
      <c r="C1195" s="51"/>
      <c r="D1195" s="51"/>
    </row>
    <row r="1196" spans="1:4" x14ac:dyDescent="0.45">
      <c r="A1196" s="7">
        <v>41723</v>
      </c>
      <c r="B1196" s="8">
        <f>VLOOKUP(Table1[[#This Row],[Date]],'BUD data'!A:F,6,)</f>
        <v>85.905022000000002</v>
      </c>
      <c r="C1196" s="51"/>
      <c r="D1196" s="51"/>
    </row>
    <row r="1197" spans="1:4" x14ac:dyDescent="0.45">
      <c r="A1197" s="7">
        <v>41724</v>
      </c>
      <c r="B1197" s="8">
        <f>VLOOKUP(Table1[[#This Row],[Date]],'BUD data'!A:F,6,)</f>
        <v>86.030227999999994</v>
      </c>
      <c r="C1197" s="51"/>
      <c r="D1197" s="51"/>
    </row>
    <row r="1198" spans="1:4" x14ac:dyDescent="0.45">
      <c r="A1198" s="7">
        <v>41725</v>
      </c>
      <c r="B1198" s="8">
        <f>VLOOKUP(Table1[[#This Row],[Date]],'BUD data'!A:F,6,)</f>
        <v>87.015144000000006</v>
      </c>
      <c r="C1198" s="51"/>
      <c r="D1198" s="51"/>
    </row>
    <row r="1199" spans="1:4" x14ac:dyDescent="0.45">
      <c r="A1199" s="7">
        <v>41726</v>
      </c>
      <c r="B1199" s="8">
        <f>VLOOKUP(Table1[[#This Row],[Date]],'BUD data'!A:F,6,)</f>
        <v>88.317238000000003</v>
      </c>
      <c r="C1199" s="51"/>
      <c r="D1199" s="51"/>
    </row>
    <row r="1200" spans="1:4" x14ac:dyDescent="0.45">
      <c r="A1200" s="7">
        <v>41729</v>
      </c>
      <c r="B1200" s="8">
        <f>VLOOKUP(Table1[[#This Row],[Date]],'BUD data'!A:F,6,)</f>
        <v>87.891548</v>
      </c>
      <c r="C1200" s="51"/>
      <c r="D1200" s="51"/>
    </row>
    <row r="1201" spans="1:4" x14ac:dyDescent="0.45">
      <c r="A1201" s="7">
        <v>41730</v>
      </c>
      <c r="B1201" s="8">
        <f>VLOOKUP(Table1[[#This Row],[Date]],'BUD data'!A:F,6,)</f>
        <v>88.968269000000006</v>
      </c>
      <c r="C1201" s="51"/>
      <c r="D1201" s="51"/>
    </row>
    <row r="1202" spans="1:4" x14ac:dyDescent="0.45">
      <c r="A1202" s="7">
        <v>41731</v>
      </c>
      <c r="B1202" s="8">
        <f>VLOOKUP(Table1[[#This Row],[Date]],'BUD data'!A:F,6,)</f>
        <v>89.260436999999996</v>
      </c>
      <c r="C1202" s="51"/>
      <c r="D1202" s="51"/>
    </row>
    <row r="1203" spans="1:4" x14ac:dyDescent="0.45">
      <c r="A1203" s="7">
        <v>41732</v>
      </c>
      <c r="B1203" s="8">
        <f>VLOOKUP(Table1[[#This Row],[Date]],'BUD data'!A:F,6,)</f>
        <v>89.368942000000004</v>
      </c>
      <c r="C1203" s="51"/>
      <c r="D1203" s="51"/>
    </row>
    <row r="1204" spans="1:4" x14ac:dyDescent="0.45">
      <c r="A1204" s="7">
        <v>41733</v>
      </c>
      <c r="B1204" s="8">
        <f>VLOOKUP(Table1[[#This Row],[Date]],'BUD data'!A:F,6,)</f>
        <v>89.001671000000002</v>
      </c>
      <c r="C1204" s="51"/>
      <c r="D1204" s="51"/>
    </row>
    <row r="1205" spans="1:4" x14ac:dyDescent="0.45">
      <c r="A1205" s="7">
        <v>41736</v>
      </c>
      <c r="B1205" s="8">
        <f>VLOOKUP(Table1[[#This Row],[Date]],'BUD data'!A:F,6,)</f>
        <v>88.225425999999999</v>
      </c>
      <c r="C1205" s="51"/>
      <c r="D1205" s="51"/>
    </row>
    <row r="1206" spans="1:4" x14ac:dyDescent="0.45">
      <c r="A1206" s="7">
        <v>41737</v>
      </c>
      <c r="B1206" s="8">
        <f>VLOOKUP(Table1[[#This Row],[Date]],'BUD data'!A:F,6,)</f>
        <v>88.550949000000003</v>
      </c>
      <c r="C1206" s="51"/>
      <c r="D1206" s="51"/>
    </row>
    <row r="1207" spans="1:4" x14ac:dyDescent="0.45">
      <c r="A1207" s="7">
        <v>41738</v>
      </c>
      <c r="B1207" s="8">
        <f>VLOOKUP(Table1[[#This Row],[Date]],'BUD data'!A:F,6,)</f>
        <v>89.786277999999996</v>
      </c>
      <c r="C1207" s="51"/>
      <c r="D1207" s="51"/>
    </row>
    <row r="1208" spans="1:4" x14ac:dyDescent="0.45">
      <c r="A1208" s="7">
        <v>41739</v>
      </c>
      <c r="B1208" s="8">
        <f>VLOOKUP(Table1[[#This Row],[Date]],'BUD data'!A:F,6,)</f>
        <v>88.083527000000004</v>
      </c>
      <c r="C1208" s="51"/>
      <c r="D1208" s="51"/>
    </row>
    <row r="1209" spans="1:4" x14ac:dyDescent="0.45">
      <c r="A1209" s="7">
        <v>41740</v>
      </c>
      <c r="B1209" s="8">
        <f>VLOOKUP(Table1[[#This Row],[Date]],'BUD data'!A:F,6,)</f>
        <v>88.141959999999997</v>
      </c>
      <c r="C1209" s="51"/>
      <c r="D1209" s="51"/>
    </row>
    <row r="1210" spans="1:4" x14ac:dyDescent="0.45">
      <c r="A1210" s="7">
        <v>41743</v>
      </c>
      <c r="B1210" s="8">
        <f>VLOOKUP(Table1[[#This Row],[Date]],'BUD data'!A:F,6,)</f>
        <v>90.337165999999996</v>
      </c>
      <c r="C1210" s="51"/>
      <c r="D1210" s="51"/>
    </row>
    <row r="1211" spans="1:4" x14ac:dyDescent="0.45">
      <c r="A1211" s="7">
        <v>41744</v>
      </c>
      <c r="B1211" s="8">
        <f>VLOOKUP(Table1[[#This Row],[Date]],'BUD data'!A:F,6,)</f>
        <v>90.337165999999996</v>
      </c>
      <c r="C1211" s="51"/>
      <c r="D1211" s="51"/>
    </row>
    <row r="1212" spans="1:4" x14ac:dyDescent="0.45">
      <c r="A1212" s="7">
        <v>41745</v>
      </c>
      <c r="B1212" s="8">
        <f>VLOOKUP(Table1[[#This Row],[Date]],'BUD data'!A:F,6,)</f>
        <v>90.946479999999994</v>
      </c>
      <c r="C1212" s="51"/>
      <c r="D1212" s="51"/>
    </row>
    <row r="1213" spans="1:4" x14ac:dyDescent="0.45">
      <c r="A1213" s="7">
        <v>41746</v>
      </c>
      <c r="B1213" s="8">
        <f>VLOOKUP(Table1[[#This Row],[Date]],'BUD data'!A:F,6,)</f>
        <v>91.146789999999996</v>
      </c>
      <c r="C1213" s="51"/>
      <c r="D1213" s="51"/>
    </row>
    <row r="1214" spans="1:4" x14ac:dyDescent="0.45">
      <c r="A1214" s="7">
        <v>41750</v>
      </c>
      <c r="B1214" s="8">
        <f>VLOOKUP(Table1[[#This Row],[Date]],'BUD data'!A:F,6,)</f>
        <v>90.904731999999996</v>
      </c>
      <c r="C1214" s="51"/>
      <c r="D1214" s="51"/>
    </row>
    <row r="1215" spans="1:4" x14ac:dyDescent="0.45">
      <c r="A1215" s="7">
        <v>41751</v>
      </c>
      <c r="B1215" s="8">
        <f>VLOOKUP(Table1[[#This Row],[Date]],'BUD data'!A:F,6,)</f>
        <v>91.580817999999994</v>
      </c>
      <c r="C1215" s="51"/>
      <c r="D1215" s="51"/>
    </row>
    <row r="1216" spans="1:4" x14ac:dyDescent="0.45">
      <c r="A1216" s="7">
        <v>41752</v>
      </c>
      <c r="B1216" s="8">
        <f>VLOOKUP(Table1[[#This Row],[Date]],'BUD data'!A:F,6,)</f>
        <v>90.479056999999997</v>
      </c>
      <c r="C1216" s="51"/>
      <c r="D1216" s="51"/>
    </row>
    <row r="1217" spans="1:4" x14ac:dyDescent="0.45">
      <c r="A1217" s="7">
        <v>41753</v>
      </c>
      <c r="B1217" s="8">
        <f>VLOOKUP(Table1[[#This Row],[Date]],'BUD data'!A:F,6,)</f>
        <v>91.096717999999996</v>
      </c>
      <c r="C1217" s="51"/>
      <c r="D1217" s="51"/>
    </row>
    <row r="1218" spans="1:4" x14ac:dyDescent="0.45">
      <c r="A1218" s="7">
        <v>41754</v>
      </c>
      <c r="B1218" s="8">
        <f>VLOOKUP(Table1[[#This Row],[Date]],'BUD data'!A:F,6,)</f>
        <v>91.063323999999994</v>
      </c>
      <c r="C1218" s="51"/>
      <c r="D1218" s="51"/>
    </row>
    <row r="1219" spans="1:4" x14ac:dyDescent="0.45">
      <c r="A1219" s="7">
        <v>41757</v>
      </c>
      <c r="B1219" s="8">
        <f>VLOOKUP(Table1[[#This Row],[Date]],'BUD data'!A:F,6,)</f>
        <v>91.973129</v>
      </c>
      <c r="C1219" s="51"/>
      <c r="D1219" s="51"/>
    </row>
    <row r="1220" spans="1:4" x14ac:dyDescent="0.45">
      <c r="A1220" s="7">
        <v>41758</v>
      </c>
      <c r="B1220" s="8">
        <f>VLOOKUP(Table1[[#This Row],[Date]],'BUD data'!A:F,6,)</f>
        <v>92.732674000000003</v>
      </c>
      <c r="C1220" s="51"/>
      <c r="D1220" s="51"/>
    </row>
    <row r="1221" spans="1:4" x14ac:dyDescent="0.45">
      <c r="A1221" s="7">
        <v>41759</v>
      </c>
      <c r="B1221" s="8">
        <f>VLOOKUP(Table1[[#This Row],[Date]],'BUD data'!A:F,6,)</f>
        <v>89.944748000000004</v>
      </c>
      <c r="C1221" s="51"/>
      <c r="D1221" s="51"/>
    </row>
    <row r="1222" spans="1:4" x14ac:dyDescent="0.45">
      <c r="A1222" s="7">
        <v>41760</v>
      </c>
      <c r="B1222" s="8">
        <f>VLOOKUP(Table1[[#This Row],[Date]],'BUD data'!A:F,6,)</f>
        <v>90.684235000000001</v>
      </c>
      <c r="C1222" s="51"/>
      <c r="D1222" s="51"/>
    </row>
    <row r="1223" spans="1:4" x14ac:dyDescent="0.45">
      <c r="A1223" s="7">
        <v>41761</v>
      </c>
      <c r="B1223" s="8">
        <f>VLOOKUP(Table1[[#This Row],[Date]],'BUD data'!A:F,6,)</f>
        <v>90.318747999999999</v>
      </c>
      <c r="C1223" s="51"/>
      <c r="D1223" s="51"/>
    </row>
    <row r="1224" spans="1:4" x14ac:dyDescent="0.45">
      <c r="A1224" s="7">
        <v>41764</v>
      </c>
      <c r="B1224" s="8">
        <f>VLOOKUP(Table1[[#This Row],[Date]],'BUD data'!A:F,6,)</f>
        <v>91.270729000000003</v>
      </c>
      <c r="C1224" s="51"/>
      <c r="D1224" s="51"/>
    </row>
    <row r="1225" spans="1:4" x14ac:dyDescent="0.45">
      <c r="A1225" s="7">
        <v>41765</v>
      </c>
      <c r="B1225" s="8">
        <f>VLOOKUP(Table1[[#This Row],[Date]],'BUD data'!A:F,6,)</f>
        <v>90.488747000000004</v>
      </c>
      <c r="C1225" s="51"/>
      <c r="D1225" s="51"/>
    </row>
    <row r="1226" spans="1:4" x14ac:dyDescent="0.45">
      <c r="A1226" s="7">
        <v>41766</v>
      </c>
      <c r="B1226" s="8">
        <f>VLOOKUP(Table1[[#This Row],[Date]],'BUD data'!A:F,6,)</f>
        <v>92.069694999999996</v>
      </c>
      <c r="C1226" s="51"/>
      <c r="D1226" s="51"/>
    </row>
    <row r="1227" spans="1:4" x14ac:dyDescent="0.45">
      <c r="A1227" s="7">
        <v>41767</v>
      </c>
      <c r="B1227" s="8">
        <f>VLOOKUP(Table1[[#This Row],[Date]],'BUD data'!A:F,6,)</f>
        <v>92.826187000000004</v>
      </c>
      <c r="C1227" s="51"/>
      <c r="D1227" s="51"/>
    </row>
    <row r="1228" spans="1:4" x14ac:dyDescent="0.45">
      <c r="A1228" s="7">
        <v>41768</v>
      </c>
      <c r="B1228" s="8">
        <f>VLOOKUP(Table1[[#This Row],[Date]],'BUD data'!A:F,6,)</f>
        <v>92.647689999999997</v>
      </c>
      <c r="C1228" s="51"/>
      <c r="D1228" s="51"/>
    </row>
    <row r="1229" spans="1:4" x14ac:dyDescent="0.45">
      <c r="A1229" s="7">
        <v>41771</v>
      </c>
      <c r="B1229" s="8">
        <f>VLOOKUP(Table1[[#This Row],[Date]],'BUD data'!A:F,6,)</f>
        <v>93.472160000000002</v>
      </c>
      <c r="C1229" s="51"/>
      <c r="D1229" s="51"/>
    </row>
    <row r="1230" spans="1:4" x14ac:dyDescent="0.45">
      <c r="A1230" s="7">
        <v>41772</v>
      </c>
      <c r="B1230" s="8">
        <f>VLOOKUP(Table1[[#This Row],[Date]],'BUD data'!A:F,6,)</f>
        <v>93.446663000000001</v>
      </c>
      <c r="C1230" s="51"/>
      <c r="D1230" s="51"/>
    </row>
    <row r="1231" spans="1:4" x14ac:dyDescent="0.45">
      <c r="A1231" s="7">
        <v>41773</v>
      </c>
      <c r="B1231" s="8">
        <f>VLOOKUP(Table1[[#This Row],[Date]],'BUD data'!A:F,6,)</f>
        <v>92.766684999999995</v>
      </c>
      <c r="C1231" s="51"/>
      <c r="D1231" s="51"/>
    </row>
    <row r="1232" spans="1:4" x14ac:dyDescent="0.45">
      <c r="A1232" s="7">
        <v>41774</v>
      </c>
      <c r="B1232" s="8">
        <f>VLOOKUP(Table1[[#This Row],[Date]],'BUD data'!A:F,6,)</f>
        <v>92.086699999999993</v>
      </c>
      <c r="C1232" s="51"/>
      <c r="D1232" s="51"/>
    </row>
    <row r="1233" spans="1:4" x14ac:dyDescent="0.45">
      <c r="A1233" s="7">
        <v>41775</v>
      </c>
      <c r="B1233" s="8">
        <f>VLOOKUP(Table1[[#This Row],[Date]],'BUD data'!A:F,6,)</f>
        <v>94.220146</v>
      </c>
      <c r="C1233" s="51"/>
      <c r="D1233" s="51"/>
    </row>
    <row r="1234" spans="1:4" x14ac:dyDescent="0.45">
      <c r="A1234" s="7">
        <v>41778</v>
      </c>
      <c r="B1234" s="8">
        <f>VLOOKUP(Table1[[#This Row],[Date]],'BUD data'!A:F,6,)</f>
        <v>93.684669</v>
      </c>
      <c r="C1234" s="51"/>
      <c r="D1234" s="51"/>
    </row>
    <row r="1235" spans="1:4" x14ac:dyDescent="0.45">
      <c r="A1235" s="7">
        <v>41779</v>
      </c>
      <c r="B1235" s="8">
        <f>VLOOKUP(Table1[[#This Row],[Date]],'BUD data'!A:F,6,)</f>
        <v>93.676154999999994</v>
      </c>
      <c r="C1235" s="51"/>
      <c r="D1235" s="51"/>
    </row>
    <row r="1236" spans="1:4" x14ac:dyDescent="0.45">
      <c r="A1236" s="7">
        <v>41780</v>
      </c>
      <c r="B1236" s="8">
        <f>VLOOKUP(Table1[[#This Row],[Date]],'BUD data'!A:F,6,)</f>
        <v>94.135161999999994</v>
      </c>
      <c r="C1236" s="51"/>
      <c r="D1236" s="51"/>
    </row>
    <row r="1237" spans="1:4" x14ac:dyDescent="0.45">
      <c r="A1237" s="7">
        <v>41781</v>
      </c>
      <c r="B1237" s="8">
        <f>VLOOKUP(Table1[[#This Row],[Date]],'BUD data'!A:F,6,)</f>
        <v>93.922661000000005</v>
      </c>
      <c r="C1237" s="51"/>
      <c r="D1237" s="51"/>
    </row>
    <row r="1238" spans="1:4" x14ac:dyDescent="0.45">
      <c r="A1238" s="7">
        <v>41782</v>
      </c>
      <c r="B1238" s="8">
        <f>VLOOKUP(Table1[[#This Row],[Date]],'BUD data'!A:F,6,)</f>
        <v>93.540169000000006</v>
      </c>
      <c r="C1238" s="51"/>
      <c r="D1238" s="51"/>
    </row>
    <row r="1239" spans="1:4" x14ac:dyDescent="0.45">
      <c r="A1239" s="7">
        <v>41786</v>
      </c>
      <c r="B1239" s="8">
        <f>VLOOKUP(Table1[[#This Row],[Date]],'BUD data'!A:F,6,)</f>
        <v>94.322136</v>
      </c>
      <c r="C1239" s="51"/>
      <c r="D1239" s="51"/>
    </row>
    <row r="1240" spans="1:4" x14ac:dyDescent="0.45">
      <c r="A1240" s="7">
        <v>41787</v>
      </c>
      <c r="B1240" s="8">
        <f>VLOOKUP(Table1[[#This Row],[Date]],'BUD data'!A:F,6,)</f>
        <v>93.438170999999997</v>
      </c>
      <c r="C1240" s="51"/>
      <c r="D1240" s="51"/>
    </row>
    <row r="1241" spans="1:4" x14ac:dyDescent="0.45">
      <c r="A1241" s="7">
        <v>41788</v>
      </c>
      <c r="B1241" s="8">
        <f>VLOOKUP(Table1[[#This Row],[Date]],'BUD data'!A:F,6,)</f>
        <v>93.523162999999997</v>
      </c>
      <c r="C1241" s="51"/>
      <c r="D1241" s="51"/>
    </row>
    <row r="1242" spans="1:4" x14ac:dyDescent="0.45">
      <c r="A1242" s="7">
        <v>41789</v>
      </c>
      <c r="B1242" s="8">
        <f>VLOOKUP(Table1[[#This Row],[Date]],'BUD data'!A:F,6,)</f>
        <v>93.429657000000006</v>
      </c>
      <c r="C1242" s="51"/>
      <c r="D1242" s="51"/>
    </row>
    <row r="1243" spans="1:4" x14ac:dyDescent="0.45">
      <c r="A1243" s="7">
        <v>41792</v>
      </c>
      <c r="B1243" s="8">
        <f>VLOOKUP(Table1[[#This Row],[Date]],'BUD data'!A:F,6,)</f>
        <v>93.200187999999997</v>
      </c>
      <c r="C1243" s="51"/>
      <c r="D1243" s="51"/>
    </row>
    <row r="1244" spans="1:4" x14ac:dyDescent="0.45">
      <c r="A1244" s="7">
        <v>41793</v>
      </c>
      <c r="B1244" s="8">
        <f>VLOOKUP(Table1[[#This Row],[Date]],'BUD data'!A:F,6,)</f>
        <v>93.421165000000002</v>
      </c>
      <c r="C1244" s="51"/>
      <c r="D1244" s="51"/>
    </row>
    <row r="1245" spans="1:4" x14ac:dyDescent="0.45">
      <c r="A1245" s="7">
        <v>41794</v>
      </c>
      <c r="B1245" s="8">
        <f>VLOOKUP(Table1[[#This Row],[Date]],'BUD data'!A:F,6,)</f>
        <v>93.625145000000003</v>
      </c>
      <c r="C1245" s="51"/>
      <c r="D1245" s="51"/>
    </row>
    <row r="1246" spans="1:4" x14ac:dyDescent="0.45">
      <c r="A1246" s="7">
        <v>41795</v>
      </c>
      <c r="B1246" s="8">
        <f>VLOOKUP(Table1[[#This Row],[Date]],'BUD data'!A:F,6,)</f>
        <v>93.846153000000001</v>
      </c>
      <c r="C1246" s="51"/>
      <c r="D1246" s="51"/>
    </row>
    <row r="1247" spans="1:4" x14ac:dyDescent="0.45">
      <c r="A1247" s="7">
        <v>41796</v>
      </c>
      <c r="B1247" s="8">
        <f>VLOOKUP(Table1[[#This Row],[Date]],'BUD data'!A:F,6,)</f>
        <v>94.424149</v>
      </c>
      <c r="C1247" s="51"/>
      <c r="D1247" s="51"/>
    </row>
    <row r="1248" spans="1:4" x14ac:dyDescent="0.45">
      <c r="A1248" s="7">
        <v>41799</v>
      </c>
      <c r="B1248" s="8">
        <f>VLOOKUP(Table1[[#This Row],[Date]],'BUD data'!A:F,6,)</f>
        <v>94.271156000000005</v>
      </c>
      <c r="C1248" s="51"/>
      <c r="D1248" s="51"/>
    </row>
    <row r="1249" spans="1:4" x14ac:dyDescent="0.45">
      <c r="A1249" s="7">
        <v>41800</v>
      </c>
      <c r="B1249" s="8">
        <f>VLOOKUP(Table1[[#This Row],[Date]],'BUD data'!A:F,6,)</f>
        <v>96.957069000000004</v>
      </c>
      <c r="C1249" s="51"/>
      <c r="D1249" s="51"/>
    </row>
    <row r="1250" spans="1:4" x14ac:dyDescent="0.45">
      <c r="A1250" s="7">
        <v>41801</v>
      </c>
      <c r="B1250" s="8">
        <f>VLOOKUP(Table1[[#This Row],[Date]],'BUD data'!A:F,6,)</f>
        <v>95.979598999999993</v>
      </c>
      <c r="C1250" s="51"/>
      <c r="D1250" s="51"/>
    </row>
    <row r="1251" spans="1:4" x14ac:dyDescent="0.45">
      <c r="A1251" s="7">
        <v>41802</v>
      </c>
      <c r="B1251" s="8">
        <f>VLOOKUP(Table1[[#This Row],[Date]],'BUD data'!A:F,6,)</f>
        <v>95.061615000000003</v>
      </c>
      <c r="C1251" s="51"/>
      <c r="D1251" s="51"/>
    </row>
    <row r="1252" spans="1:4" x14ac:dyDescent="0.45">
      <c r="A1252" s="7">
        <v>41803</v>
      </c>
      <c r="B1252" s="8">
        <f>VLOOKUP(Table1[[#This Row],[Date]],'BUD data'!A:F,6,)</f>
        <v>94.432631999999998</v>
      </c>
      <c r="C1252" s="51"/>
      <c r="D1252" s="51"/>
    </row>
    <row r="1253" spans="1:4" x14ac:dyDescent="0.45">
      <c r="A1253" s="7">
        <v>41806</v>
      </c>
      <c r="B1253" s="8">
        <f>VLOOKUP(Table1[[#This Row],[Date]],'BUD data'!A:F,6,)</f>
        <v>94.840630000000004</v>
      </c>
      <c r="C1253" s="51"/>
      <c r="D1253" s="51"/>
    </row>
    <row r="1254" spans="1:4" x14ac:dyDescent="0.45">
      <c r="A1254" s="7">
        <v>41807</v>
      </c>
      <c r="B1254" s="8">
        <f>VLOOKUP(Table1[[#This Row],[Date]],'BUD data'!A:F,6,)</f>
        <v>95.291122000000001</v>
      </c>
      <c r="C1254" s="51"/>
      <c r="D1254" s="51"/>
    </row>
    <row r="1255" spans="1:4" x14ac:dyDescent="0.45">
      <c r="A1255" s="7">
        <v>41808</v>
      </c>
      <c r="B1255" s="8">
        <f>VLOOKUP(Table1[[#This Row],[Date]],'BUD data'!A:F,6,)</f>
        <v>96.328093999999993</v>
      </c>
      <c r="C1255" s="51"/>
      <c r="D1255" s="51"/>
    </row>
    <row r="1256" spans="1:4" x14ac:dyDescent="0.45">
      <c r="A1256" s="7">
        <v>41809</v>
      </c>
      <c r="B1256" s="8">
        <f>VLOOKUP(Table1[[#This Row],[Date]],'BUD data'!A:F,6,)</f>
        <v>97.535072</v>
      </c>
      <c r="C1256" s="51"/>
      <c r="D1256" s="51"/>
    </row>
    <row r="1257" spans="1:4" x14ac:dyDescent="0.45">
      <c r="A1257" s="7">
        <v>41810</v>
      </c>
      <c r="B1257" s="8">
        <f>VLOOKUP(Table1[[#This Row],[Date]],'BUD data'!A:F,6,)</f>
        <v>98.742042999999995</v>
      </c>
      <c r="C1257" s="51"/>
      <c r="D1257" s="51"/>
    </row>
    <row r="1258" spans="1:4" x14ac:dyDescent="0.45">
      <c r="A1258" s="7">
        <v>41813</v>
      </c>
      <c r="B1258" s="8">
        <f>VLOOKUP(Table1[[#This Row],[Date]],'BUD data'!A:F,6,)</f>
        <v>98.16404</v>
      </c>
      <c r="C1258" s="51"/>
      <c r="D1258" s="51"/>
    </row>
    <row r="1259" spans="1:4" x14ac:dyDescent="0.45">
      <c r="A1259" s="7">
        <v>41814</v>
      </c>
      <c r="B1259" s="8">
        <f>VLOOKUP(Table1[[#This Row],[Date]],'BUD data'!A:F,6,)</f>
        <v>97.807060000000007</v>
      </c>
      <c r="C1259" s="51"/>
      <c r="D1259" s="51"/>
    </row>
    <row r="1260" spans="1:4" x14ac:dyDescent="0.45">
      <c r="A1260" s="7">
        <v>41815</v>
      </c>
      <c r="B1260" s="8">
        <f>VLOOKUP(Table1[[#This Row],[Date]],'BUD data'!A:F,6,)</f>
        <v>98.155563000000001</v>
      </c>
      <c r="C1260" s="51"/>
      <c r="D1260" s="51"/>
    </row>
    <row r="1261" spans="1:4" x14ac:dyDescent="0.45">
      <c r="A1261" s="7">
        <v>41816</v>
      </c>
      <c r="B1261" s="8">
        <f>VLOOKUP(Table1[[#This Row],[Date]],'BUD data'!A:F,6,)</f>
        <v>96.991080999999994</v>
      </c>
      <c r="C1261" s="51"/>
      <c r="D1261" s="51"/>
    </row>
    <row r="1262" spans="1:4" x14ac:dyDescent="0.45">
      <c r="A1262" s="7">
        <v>41817</v>
      </c>
      <c r="B1262" s="8">
        <f>VLOOKUP(Table1[[#This Row],[Date]],'BUD data'!A:F,6,)</f>
        <v>97.637062</v>
      </c>
      <c r="C1262" s="51"/>
      <c r="D1262" s="51"/>
    </row>
    <row r="1263" spans="1:4" x14ac:dyDescent="0.45">
      <c r="A1263" s="7">
        <v>41820</v>
      </c>
      <c r="B1263" s="8">
        <f>VLOOKUP(Table1[[#This Row],[Date]],'BUD data'!A:F,6,)</f>
        <v>97.696556000000001</v>
      </c>
      <c r="C1263" s="51"/>
      <c r="D1263" s="51"/>
    </row>
    <row r="1264" spans="1:4" x14ac:dyDescent="0.45">
      <c r="A1264" s="7">
        <v>41821</v>
      </c>
      <c r="B1264" s="8">
        <f>VLOOKUP(Table1[[#This Row],[Date]],'BUD data'!A:F,6,)</f>
        <v>97.560569999999998</v>
      </c>
      <c r="C1264" s="51"/>
      <c r="D1264" s="51"/>
    </row>
    <row r="1265" spans="1:4" x14ac:dyDescent="0.45">
      <c r="A1265" s="7">
        <v>41822</v>
      </c>
      <c r="B1265" s="8">
        <f>VLOOKUP(Table1[[#This Row],[Date]],'BUD data'!A:F,6,)</f>
        <v>97.178070000000005</v>
      </c>
      <c r="C1265" s="51"/>
      <c r="D1265" s="51"/>
    </row>
    <row r="1266" spans="1:4" x14ac:dyDescent="0.45">
      <c r="A1266" s="7">
        <v>41823</v>
      </c>
      <c r="B1266" s="8">
        <f>VLOOKUP(Table1[[#This Row],[Date]],'BUD data'!A:F,6,)</f>
        <v>98.300040999999993</v>
      </c>
      <c r="C1266" s="51"/>
      <c r="D1266" s="51"/>
    </row>
    <row r="1267" spans="1:4" x14ac:dyDescent="0.45">
      <c r="A1267" s="7">
        <v>41827</v>
      </c>
      <c r="B1267" s="8">
        <f>VLOOKUP(Table1[[#This Row],[Date]],'BUD data'!A:F,6,)</f>
        <v>97.832565000000002</v>
      </c>
      <c r="C1267" s="51"/>
      <c r="D1267" s="51"/>
    </row>
    <row r="1268" spans="1:4" x14ac:dyDescent="0.45">
      <c r="A1268" s="7">
        <v>41828</v>
      </c>
      <c r="B1268" s="8">
        <f>VLOOKUP(Table1[[#This Row],[Date]],'BUD data'!A:F,6,)</f>
        <v>97.110077000000004</v>
      </c>
      <c r="C1268" s="51"/>
      <c r="D1268" s="51"/>
    </row>
    <row r="1269" spans="1:4" x14ac:dyDescent="0.45">
      <c r="A1269" s="7">
        <v>41829</v>
      </c>
      <c r="B1269" s="8">
        <f>VLOOKUP(Table1[[#This Row],[Date]],'BUD data'!A:F,6,)</f>
        <v>97.535072</v>
      </c>
      <c r="C1269" s="51"/>
      <c r="D1269" s="51"/>
    </row>
    <row r="1270" spans="1:4" x14ac:dyDescent="0.45">
      <c r="A1270" s="7">
        <v>41830</v>
      </c>
      <c r="B1270" s="8">
        <f>VLOOKUP(Table1[[#This Row],[Date]],'BUD data'!A:F,6,)</f>
        <v>96.421593000000001</v>
      </c>
      <c r="C1270" s="51"/>
      <c r="D1270" s="51"/>
    </row>
    <row r="1271" spans="1:4" x14ac:dyDescent="0.45">
      <c r="A1271" s="7">
        <v>41831</v>
      </c>
      <c r="B1271" s="8">
        <f>VLOOKUP(Table1[[#This Row],[Date]],'BUD data'!A:F,6,)</f>
        <v>96.098595000000003</v>
      </c>
      <c r="C1271" s="51"/>
      <c r="D1271" s="51"/>
    </row>
    <row r="1272" spans="1:4" x14ac:dyDescent="0.45">
      <c r="A1272" s="7">
        <v>41834</v>
      </c>
      <c r="B1272" s="8">
        <f>VLOOKUP(Table1[[#This Row],[Date]],'BUD data'!A:F,6,)</f>
        <v>96.294105999999999</v>
      </c>
      <c r="C1272" s="51"/>
      <c r="D1272" s="51"/>
    </row>
    <row r="1273" spans="1:4" x14ac:dyDescent="0.45">
      <c r="A1273" s="7">
        <v>41835</v>
      </c>
      <c r="B1273" s="8">
        <f>VLOOKUP(Table1[[#This Row],[Date]],'BUD data'!A:F,6,)</f>
        <v>95.758613999999994</v>
      </c>
      <c r="C1273" s="51"/>
      <c r="D1273" s="51"/>
    </row>
    <row r="1274" spans="1:4" x14ac:dyDescent="0.45">
      <c r="A1274" s="7">
        <v>41836</v>
      </c>
      <c r="B1274" s="8">
        <f>VLOOKUP(Table1[[#This Row],[Date]],'BUD data'!A:F,6,)</f>
        <v>95.801108999999997</v>
      </c>
      <c r="C1274" s="51"/>
      <c r="D1274" s="51"/>
    </row>
    <row r="1275" spans="1:4" x14ac:dyDescent="0.45">
      <c r="A1275" s="7">
        <v>41837</v>
      </c>
      <c r="B1275" s="8">
        <f>VLOOKUP(Table1[[#This Row],[Date]],'BUD data'!A:F,6,)</f>
        <v>94.254142999999999</v>
      </c>
      <c r="C1275" s="51"/>
      <c r="D1275" s="51"/>
    </row>
    <row r="1276" spans="1:4" x14ac:dyDescent="0.45">
      <c r="A1276" s="7">
        <v>41838</v>
      </c>
      <c r="B1276" s="8">
        <f>VLOOKUP(Table1[[#This Row],[Date]],'BUD data'!A:F,6,)</f>
        <v>95.750107</v>
      </c>
      <c r="C1276" s="51"/>
      <c r="D1276" s="51"/>
    </row>
    <row r="1277" spans="1:4" x14ac:dyDescent="0.45">
      <c r="A1277" s="7">
        <v>41841</v>
      </c>
      <c r="B1277" s="8">
        <f>VLOOKUP(Table1[[#This Row],[Date]],'BUD data'!A:F,6,)</f>
        <v>95.061615000000003</v>
      </c>
      <c r="C1277" s="51"/>
      <c r="D1277" s="51"/>
    </row>
    <row r="1278" spans="1:4" x14ac:dyDescent="0.45">
      <c r="A1278" s="7">
        <v>41842</v>
      </c>
      <c r="B1278" s="8">
        <f>VLOOKUP(Table1[[#This Row],[Date]],'BUD data'!A:F,6,)</f>
        <v>95.894608000000005</v>
      </c>
      <c r="C1278" s="51"/>
      <c r="D1278" s="51"/>
    </row>
    <row r="1279" spans="1:4" x14ac:dyDescent="0.45">
      <c r="A1279" s="7">
        <v>41843</v>
      </c>
      <c r="B1279" s="8">
        <f>VLOOKUP(Table1[[#This Row],[Date]],'BUD data'!A:F,6,)</f>
        <v>95.920105000000007</v>
      </c>
      <c r="C1279" s="51"/>
      <c r="D1279" s="51"/>
    </row>
    <row r="1280" spans="1:4" x14ac:dyDescent="0.45">
      <c r="A1280" s="7">
        <v>41844</v>
      </c>
      <c r="B1280" s="8">
        <f>VLOOKUP(Table1[[#This Row],[Date]],'BUD data'!A:F,6,)</f>
        <v>96.056099000000003</v>
      </c>
      <c r="C1280" s="51"/>
      <c r="D1280" s="51"/>
    </row>
    <row r="1281" spans="1:4" x14ac:dyDescent="0.45">
      <c r="A1281" s="7">
        <v>41845</v>
      </c>
      <c r="B1281" s="8">
        <f>VLOOKUP(Table1[[#This Row],[Date]],'BUD data'!A:F,6,)</f>
        <v>94.245643999999999</v>
      </c>
      <c r="C1281" s="51"/>
      <c r="D1281" s="51"/>
    </row>
    <row r="1282" spans="1:4" x14ac:dyDescent="0.45">
      <c r="A1282" s="7">
        <v>41848</v>
      </c>
      <c r="B1282" s="8">
        <f>VLOOKUP(Table1[[#This Row],[Date]],'BUD data'!A:F,6,)</f>
        <v>93.319175999999999</v>
      </c>
      <c r="C1282" s="51"/>
      <c r="D1282" s="51"/>
    </row>
    <row r="1283" spans="1:4" x14ac:dyDescent="0.45">
      <c r="A1283" s="7">
        <v>41849</v>
      </c>
      <c r="B1283" s="8">
        <f>VLOOKUP(Table1[[#This Row],[Date]],'BUD data'!A:F,6,)</f>
        <v>93.234183999999999</v>
      </c>
      <c r="C1283" s="51"/>
      <c r="D1283" s="51"/>
    </row>
    <row r="1284" spans="1:4" x14ac:dyDescent="0.45">
      <c r="A1284" s="7">
        <v>41850</v>
      </c>
      <c r="B1284" s="8">
        <f>VLOOKUP(Table1[[#This Row],[Date]],'BUD data'!A:F,6,)</f>
        <v>93.225662</v>
      </c>
      <c r="C1284" s="51"/>
      <c r="D1284" s="51"/>
    </row>
    <row r="1285" spans="1:4" x14ac:dyDescent="0.45">
      <c r="A1285" s="7">
        <v>41851</v>
      </c>
      <c r="B1285" s="8">
        <f>VLOOKUP(Table1[[#This Row],[Date]],'BUD data'!A:F,6,)</f>
        <v>91.780700999999993</v>
      </c>
      <c r="C1285" s="51"/>
      <c r="D1285" s="51"/>
    </row>
    <row r="1286" spans="1:4" x14ac:dyDescent="0.45">
      <c r="A1286" s="7">
        <v>41852</v>
      </c>
      <c r="B1286" s="8">
        <f>VLOOKUP(Table1[[#This Row],[Date]],'BUD data'!A:F,6,)</f>
        <v>90.981735</v>
      </c>
      <c r="C1286" s="51"/>
      <c r="D1286" s="51"/>
    </row>
    <row r="1287" spans="1:4" x14ac:dyDescent="0.45">
      <c r="A1287" s="7">
        <v>41855</v>
      </c>
      <c r="B1287" s="8">
        <f>VLOOKUP(Table1[[#This Row],[Date]],'BUD data'!A:F,6,)</f>
        <v>92.231200999999999</v>
      </c>
      <c r="C1287" s="51"/>
      <c r="D1287" s="51"/>
    </row>
    <row r="1288" spans="1:4" x14ac:dyDescent="0.45">
      <c r="A1288" s="7">
        <v>41856</v>
      </c>
      <c r="B1288" s="8">
        <f>VLOOKUP(Table1[[#This Row],[Date]],'BUD data'!A:F,6,)</f>
        <v>91.627716000000007</v>
      </c>
      <c r="C1288" s="51"/>
      <c r="D1288" s="51"/>
    </row>
    <row r="1289" spans="1:4" x14ac:dyDescent="0.45">
      <c r="A1289" s="7">
        <v>41857</v>
      </c>
      <c r="B1289" s="8">
        <f>VLOOKUP(Table1[[#This Row],[Date]],'BUD data'!A:F,6,)</f>
        <v>91.704207999999994</v>
      </c>
      <c r="C1289" s="51"/>
      <c r="D1289" s="51"/>
    </row>
    <row r="1290" spans="1:4" x14ac:dyDescent="0.45">
      <c r="A1290" s="7">
        <v>41858</v>
      </c>
      <c r="B1290" s="8">
        <f>VLOOKUP(Table1[[#This Row],[Date]],'BUD data'!A:F,6,)</f>
        <v>90.769226000000003</v>
      </c>
      <c r="C1290" s="51"/>
      <c r="D1290" s="51"/>
    </row>
    <row r="1291" spans="1:4" x14ac:dyDescent="0.45">
      <c r="A1291" s="7">
        <v>41859</v>
      </c>
      <c r="B1291" s="8">
        <f>VLOOKUP(Table1[[#This Row],[Date]],'BUD data'!A:F,6,)</f>
        <v>91.525718999999995</v>
      </c>
      <c r="C1291" s="51"/>
      <c r="D1291" s="51"/>
    </row>
    <row r="1292" spans="1:4" x14ac:dyDescent="0.45">
      <c r="A1292" s="7">
        <v>41862</v>
      </c>
      <c r="B1292" s="8">
        <f>VLOOKUP(Table1[[#This Row],[Date]],'BUD data'!A:F,6,)</f>
        <v>92.197204999999997</v>
      </c>
      <c r="C1292" s="51"/>
      <c r="D1292" s="51"/>
    </row>
    <row r="1293" spans="1:4" x14ac:dyDescent="0.45">
      <c r="A1293" s="7">
        <v>41863</v>
      </c>
      <c r="B1293" s="8">
        <f>VLOOKUP(Table1[[#This Row],[Date]],'BUD data'!A:F,6,)</f>
        <v>92.078201000000007</v>
      </c>
      <c r="C1293" s="51"/>
      <c r="D1293" s="51"/>
    </row>
    <row r="1294" spans="1:4" x14ac:dyDescent="0.45">
      <c r="A1294" s="7">
        <v>41864</v>
      </c>
      <c r="B1294" s="8">
        <f>VLOOKUP(Table1[[#This Row],[Date]],'BUD data'!A:F,6,)</f>
        <v>91.865714999999994</v>
      </c>
      <c r="C1294" s="51"/>
      <c r="D1294" s="51"/>
    </row>
    <row r="1295" spans="1:4" x14ac:dyDescent="0.45">
      <c r="A1295" s="7">
        <v>41865</v>
      </c>
      <c r="B1295" s="8">
        <f>VLOOKUP(Table1[[#This Row],[Date]],'BUD data'!A:F,6,)</f>
        <v>92.962188999999995</v>
      </c>
      <c r="C1295" s="51"/>
      <c r="D1295" s="51"/>
    </row>
    <row r="1296" spans="1:4" x14ac:dyDescent="0.45">
      <c r="A1296" s="7">
        <v>41866</v>
      </c>
      <c r="B1296" s="8">
        <f>VLOOKUP(Table1[[#This Row],[Date]],'BUD data'!A:F,6,)</f>
        <v>93.565665999999993</v>
      </c>
      <c r="C1296" s="51"/>
      <c r="D1296" s="51"/>
    </row>
    <row r="1297" spans="1:4" x14ac:dyDescent="0.45">
      <c r="A1297" s="7">
        <v>41869</v>
      </c>
      <c r="B1297" s="8">
        <f>VLOOKUP(Table1[[#This Row],[Date]],'BUD data'!A:F,6,)</f>
        <v>94.118140999999994</v>
      </c>
      <c r="C1297" s="51"/>
      <c r="D1297" s="51"/>
    </row>
    <row r="1298" spans="1:4" x14ac:dyDescent="0.45">
      <c r="A1298" s="7">
        <v>41870</v>
      </c>
      <c r="B1298" s="8">
        <f>VLOOKUP(Table1[[#This Row],[Date]],'BUD data'!A:F,6,)</f>
        <v>94.466628999999998</v>
      </c>
      <c r="C1298" s="51"/>
      <c r="D1298" s="51"/>
    </row>
    <row r="1299" spans="1:4" x14ac:dyDescent="0.45">
      <c r="A1299" s="7">
        <v>41871</v>
      </c>
      <c r="B1299" s="8">
        <f>VLOOKUP(Table1[[#This Row],[Date]],'BUD data'!A:F,6,)</f>
        <v>93.812156999999999</v>
      </c>
      <c r="C1299" s="51"/>
      <c r="D1299" s="51"/>
    </row>
    <row r="1300" spans="1:4" x14ac:dyDescent="0.45">
      <c r="A1300" s="7">
        <v>41872</v>
      </c>
      <c r="B1300" s="8">
        <f>VLOOKUP(Table1[[#This Row],[Date]],'BUD data'!A:F,6,)</f>
        <v>94.466628999999998</v>
      </c>
      <c r="C1300" s="51"/>
      <c r="D1300" s="51"/>
    </row>
    <row r="1301" spans="1:4" x14ac:dyDescent="0.45">
      <c r="A1301" s="7">
        <v>41873</v>
      </c>
      <c r="B1301" s="8">
        <f>VLOOKUP(Table1[[#This Row],[Date]],'BUD data'!A:F,6,)</f>
        <v>93.616669000000002</v>
      </c>
      <c r="C1301" s="51"/>
      <c r="D1301" s="51"/>
    </row>
    <row r="1302" spans="1:4" x14ac:dyDescent="0.45">
      <c r="A1302" s="7">
        <v>41876</v>
      </c>
      <c r="B1302" s="8">
        <f>VLOOKUP(Table1[[#This Row],[Date]],'BUD data'!A:F,6,)</f>
        <v>94.942618999999993</v>
      </c>
      <c r="C1302" s="51"/>
      <c r="D1302" s="51"/>
    </row>
    <row r="1303" spans="1:4" x14ac:dyDescent="0.45">
      <c r="A1303" s="7">
        <v>41877</v>
      </c>
      <c r="B1303" s="8">
        <f>VLOOKUP(Table1[[#This Row],[Date]],'BUD data'!A:F,6,)</f>
        <v>95.206130999999999</v>
      </c>
      <c r="C1303" s="51"/>
      <c r="D1303" s="51"/>
    </row>
    <row r="1304" spans="1:4" x14ac:dyDescent="0.45">
      <c r="A1304" s="7">
        <v>41878</v>
      </c>
      <c r="B1304" s="8">
        <f>VLOOKUP(Table1[[#This Row],[Date]],'BUD data'!A:F,6,)</f>
        <v>95.129608000000005</v>
      </c>
      <c r="C1304" s="51"/>
      <c r="D1304" s="51"/>
    </row>
    <row r="1305" spans="1:4" x14ac:dyDescent="0.45">
      <c r="A1305" s="7">
        <v>41879</v>
      </c>
      <c r="B1305" s="8">
        <f>VLOOKUP(Table1[[#This Row],[Date]],'BUD data'!A:F,6,)</f>
        <v>94.585648000000006</v>
      </c>
      <c r="C1305" s="51"/>
      <c r="D1305" s="51"/>
    </row>
    <row r="1306" spans="1:4" x14ac:dyDescent="0.45">
      <c r="A1306" s="7">
        <v>41880</v>
      </c>
      <c r="B1306" s="8">
        <f>VLOOKUP(Table1[[#This Row],[Date]],'BUD data'!A:F,6,)</f>
        <v>95.010627999999997</v>
      </c>
      <c r="C1306" s="51"/>
      <c r="D1306" s="51"/>
    </row>
    <row r="1307" spans="1:4" x14ac:dyDescent="0.45">
      <c r="A1307" s="7">
        <v>41884</v>
      </c>
      <c r="B1307" s="8">
        <f>VLOOKUP(Table1[[#This Row],[Date]],'BUD data'!A:F,6,)</f>
        <v>94.602645999999993</v>
      </c>
      <c r="C1307" s="51"/>
      <c r="D1307" s="51"/>
    </row>
    <row r="1308" spans="1:4" x14ac:dyDescent="0.45">
      <c r="A1308" s="7">
        <v>41885</v>
      </c>
      <c r="B1308" s="8">
        <f>VLOOKUP(Table1[[#This Row],[Date]],'BUD data'!A:F,6,)</f>
        <v>95.546120000000002</v>
      </c>
      <c r="C1308" s="51"/>
      <c r="D1308" s="51"/>
    </row>
    <row r="1309" spans="1:4" x14ac:dyDescent="0.45">
      <c r="A1309" s="7">
        <v>41886</v>
      </c>
      <c r="B1309" s="8">
        <f>VLOOKUP(Table1[[#This Row],[Date]],'BUD data'!A:F,6,)</f>
        <v>96.404594000000003</v>
      </c>
      <c r="C1309" s="51"/>
      <c r="D1309" s="51"/>
    </row>
    <row r="1310" spans="1:4" x14ac:dyDescent="0.45">
      <c r="A1310" s="7">
        <v>41887</v>
      </c>
      <c r="B1310" s="8">
        <f>VLOOKUP(Table1[[#This Row],[Date]],'BUD data'!A:F,6,)</f>
        <v>96.090096000000003</v>
      </c>
      <c r="C1310" s="51"/>
      <c r="D1310" s="51"/>
    </row>
    <row r="1311" spans="1:4" x14ac:dyDescent="0.45">
      <c r="A1311" s="7">
        <v>41890</v>
      </c>
      <c r="B1311" s="8">
        <f>VLOOKUP(Table1[[#This Row],[Date]],'BUD data'!A:F,6,)</f>
        <v>94.730132999999995</v>
      </c>
      <c r="C1311" s="51"/>
      <c r="D1311" s="51"/>
    </row>
    <row r="1312" spans="1:4" x14ac:dyDescent="0.45">
      <c r="A1312" s="7">
        <v>41891</v>
      </c>
      <c r="B1312" s="8">
        <f>VLOOKUP(Table1[[#This Row],[Date]],'BUD data'!A:F,6,)</f>
        <v>94.755645999999999</v>
      </c>
      <c r="C1312" s="51"/>
      <c r="D1312" s="51"/>
    </row>
    <row r="1313" spans="1:4" x14ac:dyDescent="0.45">
      <c r="A1313" s="7">
        <v>41892</v>
      </c>
      <c r="B1313" s="8">
        <f>VLOOKUP(Table1[[#This Row],[Date]],'BUD data'!A:F,6,)</f>
        <v>94.951133999999996</v>
      </c>
      <c r="C1313" s="51"/>
      <c r="D1313" s="51"/>
    </row>
    <row r="1314" spans="1:4" x14ac:dyDescent="0.45">
      <c r="A1314" s="7">
        <v>41893</v>
      </c>
      <c r="B1314" s="8">
        <f>VLOOKUP(Table1[[#This Row],[Date]],'BUD data'!A:F,6,)</f>
        <v>95.291122000000001</v>
      </c>
      <c r="C1314" s="51"/>
      <c r="D1314" s="51"/>
    </row>
    <row r="1315" spans="1:4" x14ac:dyDescent="0.45">
      <c r="A1315" s="7">
        <v>41894</v>
      </c>
      <c r="B1315" s="8">
        <f>VLOOKUP(Table1[[#This Row],[Date]],'BUD data'!A:F,6,)</f>
        <v>94.305153000000004</v>
      </c>
      <c r="C1315" s="51"/>
      <c r="D1315" s="51"/>
    </row>
    <row r="1316" spans="1:4" x14ac:dyDescent="0.45">
      <c r="A1316" s="7">
        <v>41897</v>
      </c>
      <c r="B1316" s="8">
        <f>VLOOKUP(Table1[[#This Row],[Date]],'BUD data'!A:F,6,)</f>
        <v>97.280083000000005</v>
      </c>
      <c r="C1316" s="51"/>
      <c r="D1316" s="51"/>
    </row>
    <row r="1317" spans="1:4" x14ac:dyDescent="0.45">
      <c r="A1317" s="7">
        <v>41898</v>
      </c>
      <c r="B1317" s="8">
        <f>VLOOKUP(Table1[[#This Row],[Date]],'BUD data'!A:F,6,)</f>
        <v>97.288573999999997</v>
      </c>
      <c r="C1317" s="51"/>
      <c r="D1317" s="51"/>
    </row>
    <row r="1318" spans="1:4" x14ac:dyDescent="0.45">
      <c r="A1318" s="7">
        <v>41899</v>
      </c>
      <c r="B1318" s="8">
        <f>VLOOKUP(Table1[[#This Row],[Date]],'BUD data'!A:F,6,)</f>
        <v>96.268592999999996</v>
      </c>
      <c r="C1318" s="51"/>
      <c r="D1318" s="51"/>
    </row>
    <row r="1319" spans="1:4" x14ac:dyDescent="0.45">
      <c r="A1319" s="7">
        <v>41900</v>
      </c>
      <c r="B1319" s="8">
        <f>VLOOKUP(Table1[[#This Row],[Date]],'BUD data'!A:F,6,)</f>
        <v>97.501068000000004</v>
      </c>
      <c r="C1319" s="51"/>
      <c r="D1319" s="51"/>
    </row>
    <row r="1320" spans="1:4" x14ac:dyDescent="0.45">
      <c r="A1320" s="7">
        <v>41901</v>
      </c>
      <c r="B1320" s="8">
        <f>VLOOKUP(Table1[[#This Row],[Date]],'BUD data'!A:F,6,)</f>
        <v>97.586051999999995</v>
      </c>
      <c r="C1320" s="51"/>
      <c r="D1320" s="51"/>
    </row>
    <row r="1321" spans="1:4" x14ac:dyDescent="0.45">
      <c r="A1321" s="7">
        <v>41904</v>
      </c>
      <c r="B1321" s="8">
        <f>VLOOKUP(Table1[[#This Row],[Date]],'BUD data'!A:F,6,)</f>
        <v>97.373572999999993</v>
      </c>
      <c r="C1321" s="51"/>
      <c r="D1321" s="51"/>
    </row>
    <row r="1322" spans="1:4" x14ac:dyDescent="0.45">
      <c r="A1322" s="7">
        <v>41905</v>
      </c>
      <c r="B1322" s="8">
        <f>VLOOKUP(Table1[[#This Row],[Date]],'BUD data'!A:F,6,)</f>
        <v>96.897582999999997</v>
      </c>
      <c r="C1322" s="51"/>
      <c r="D1322" s="51"/>
    </row>
    <row r="1323" spans="1:4" x14ac:dyDescent="0.45">
      <c r="A1323" s="7">
        <v>41906</v>
      </c>
      <c r="B1323" s="8">
        <f>VLOOKUP(Table1[[#This Row],[Date]],'BUD data'!A:F,6,)</f>
        <v>97.144073000000006</v>
      </c>
      <c r="C1323" s="51"/>
      <c r="D1323" s="51"/>
    </row>
    <row r="1324" spans="1:4" x14ac:dyDescent="0.45">
      <c r="A1324" s="7">
        <v>41907</v>
      </c>
      <c r="B1324" s="8">
        <f>VLOOKUP(Table1[[#This Row],[Date]],'BUD data'!A:F,6,)</f>
        <v>95.648109000000005</v>
      </c>
      <c r="C1324" s="51"/>
      <c r="D1324" s="51"/>
    </row>
    <row r="1325" spans="1:4" x14ac:dyDescent="0.45">
      <c r="A1325" s="7">
        <v>41908</v>
      </c>
      <c r="B1325" s="8">
        <f>VLOOKUP(Table1[[#This Row],[Date]],'BUD data'!A:F,6,)</f>
        <v>95.214614999999995</v>
      </c>
      <c r="C1325" s="51"/>
      <c r="D1325" s="51"/>
    </row>
    <row r="1326" spans="1:4" x14ac:dyDescent="0.45">
      <c r="A1326" s="7">
        <v>41911</v>
      </c>
      <c r="B1326" s="8">
        <f>VLOOKUP(Table1[[#This Row],[Date]],'BUD data'!A:F,6,)</f>
        <v>94.084145000000007</v>
      </c>
      <c r="C1326" s="51"/>
      <c r="D1326" s="51"/>
    </row>
    <row r="1327" spans="1:4" x14ac:dyDescent="0.45">
      <c r="A1327" s="7">
        <v>41912</v>
      </c>
      <c r="B1327" s="8">
        <f>VLOOKUP(Table1[[#This Row],[Date]],'BUD data'!A:F,6,)</f>
        <v>94.220146</v>
      </c>
      <c r="C1327" s="51"/>
      <c r="D1327" s="51"/>
    </row>
    <row r="1328" spans="1:4" x14ac:dyDescent="0.45">
      <c r="A1328" s="7">
        <v>41913</v>
      </c>
      <c r="B1328" s="8">
        <f>VLOOKUP(Table1[[#This Row],[Date]],'BUD data'!A:F,6,)</f>
        <v>91.585220000000007</v>
      </c>
      <c r="C1328" s="51"/>
      <c r="D1328" s="51"/>
    </row>
    <row r="1329" spans="1:4" x14ac:dyDescent="0.45">
      <c r="A1329" s="7">
        <v>41914</v>
      </c>
      <c r="B1329" s="8">
        <f>VLOOKUP(Table1[[#This Row],[Date]],'BUD data'!A:F,6,)</f>
        <v>90.896743999999998</v>
      </c>
      <c r="C1329" s="51"/>
      <c r="D1329" s="51"/>
    </row>
    <row r="1330" spans="1:4" x14ac:dyDescent="0.45">
      <c r="A1330" s="7">
        <v>41915</v>
      </c>
      <c r="B1330" s="8">
        <f>VLOOKUP(Table1[[#This Row],[Date]],'BUD data'!A:F,6,)</f>
        <v>91.330214999999995</v>
      </c>
      <c r="C1330" s="51"/>
      <c r="D1330" s="51"/>
    </row>
    <row r="1331" spans="1:4" x14ac:dyDescent="0.45">
      <c r="A1331" s="7">
        <v>41918</v>
      </c>
      <c r="B1331" s="8">
        <f>VLOOKUP(Table1[[#This Row],[Date]],'BUD data'!A:F,6,)</f>
        <v>92.154694000000006</v>
      </c>
      <c r="C1331" s="51"/>
      <c r="D1331" s="51"/>
    </row>
    <row r="1332" spans="1:4" x14ac:dyDescent="0.45">
      <c r="A1332" s="7">
        <v>41919</v>
      </c>
      <c r="B1332" s="8">
        <f>VLOOKUP(Table1[[#This Row],[Date]],'BUD data'!A:F,6,)</f>
        <v>89.553771999999995</v>
      </c>
      <c r="C1332" s="51"/>
      <c r="D1332" s="51"/>
    </row>
    <row r="1333" spans="1:4" x14ac:dyDescent="0.45">
      <c r="A1333" s="7">
        <v>41920</v>
      </c>
      <c r="B1333" s="8">
        <f>VLOOKUP(Table1[[#This Row],[Date]],'BUD data'!A:F,6,)</f>
        <v>90.565239000000005</v>
      </c>
      <c r="C1333" s="51"/>
      <c r="D1333" s="51"/>
    </row>
    <row r="1334" spans="1:4" x14ac:dyDescent="0.45">
      <c r="A1334" s="7">
        <v>41921</v>
      </c>
      <c r="B1334" s="8">
        <f>VLOOKUP(Table1[[#This Row],[Date]],'BUD data'!A:F,6,)</f>
        <v>89.264770999999996</v>
      </c>
      <c r="C1334" s="51"/>
      <c r="D1334" s="51"/>
    </row>
    <row r="1335" spans="1:4" x14ac:dyDescent="0.45">
      <c r="A1335" s="7">
        <v>41922</v>
      </c>
      <c r="B1335" s="8">
        <f>VLOOKUP(Table1[[#This Row],[Date]],'BUD data'!A:F,6,)</f>
        <v>90.318747999999999</v>
      </c>
      <c r="C1335" s="51"/>
      <c r="D1335" s="51"/>
    </row>
    <row r="1336" spans="1:4" x14ac:dyDescent="0.45">
      <c r="A1336" s="7">
        <v>41925</v>
      </c>
      <c r="B1336" s="8">
        <f>VLOOKUP(Table1[[#This Row],[Date]],'BUD data'!A:F,6,)</f>
        <v>90.123238000000001</v>
      </c>
      <c r="C1336" s="51"/>
      <c r="D1336" s="51"/>
    </row>
    <row r="1337" spans="1:4" x14ac:dyDescent="0.45">
      <c r="A1337" s="7">
        <v>41926</v>
      </c>
      <c r="B1337" s="8">
        <f>VLOOKUP(Table1[[#This Row],[Date]],'BUD data'!A:F,6,)</f>
        <v>89.953254999999999</v>
      </c>
      <c r="C1337" s="51"/>
      <c r="D1337" s="51"/>
    </row>
    <row r="1338" spans="1:4" x14ac:dyDescent="0.45">
      <c r="A1338" s="7">
        <v>41927</v>
      </c>
      <c r="B1338" s="8">
        <f>VLOOKUP(Table1[[#This Row],[Date]],'BUD data'!A:F,6,)</f>
        <v>89.706749000000002</v>
      </c>
      <c r="C1338" s="51"/>
      <c r="D1338" s="51"/>
    </row>
    <row r="1339" spans="1:4" x14ac:dyDescent="0.45">
      <c r="A1339" s="7">
        <v>41928</v>
      </c>
      <c r="B1339" s="8">
        <f>VLOOKUP(Table1[[#This Row],[Date]],'BUD data'!A:F,6,)</f>
        <v>88.270294000000007</v>
      </c>
      <c r="C1339" s="51"/>
      <c r="D1339" s="51"/>
    </row>
    <row r="1340" spans="1:4" x14ac:dyDescent="0.45">
      <c r="A1340" s="7">
        <v>41929</v>
      </c>
      <c r="B1340" s="8">
        <f>VLOOKUP(Table1[[#This Row],[Date]],'BUD data'!A:F,6,)</f>
        <v>90.480225000000004</v>
      </c>
      <c r="C1340" s="51"/>
      <c r="D1340" s="51"/>
    </row>
    <row r="1341" spans="1:4" x14ac:dyDescent="0.45">
      <c r="A1341" s="7">
        <v>41932</v>
      </c>
      <c r="B1341" s="8">
        <f>VLOOKUP(Table1[[#This Row],[Date]],'BUD data'!A:F,6,)</f>
        <v>91.015732</v>
      </c>
      <c r="C1341" s="51"/>
      <c r="D1341" s="51"/>
    </row>
    <row r="1342" spans="1:4" x14ac:dyDescent="0.45">
      <c r="A1342" s="7">
        <v>41933</v>
      </c>
      <c r="B1342" s="8">
        <f>VLOOKUP(Table1[[#This Row],[Date]],'BUD data'!A:F,6,)</f>
        <v>91.993210000000005</v>
      </c>
      <c r="C1342" s="51"/>
      <c r="D1342" s="51"/>
    </row>
    <row r="1343" spans="1:4" x14ac:dyDescent="0.45">
      <c r="A1343" s="7">
        <v>41934</v>
      </c>
      <c r="B1343" s="8">
        <f>VLOOKUP(Table1[[#This Row],[Date]],'BUD data'!A:F,6,)</f>
        <v>90.939223999999996</v>
      </c>
      <c r="C1343" s="51"/>
      <c r="D1343" s="51"/>
    </row>
    <row r="1344" spans="1:4" x14ac:dyDescent="0.45">
      <c r="A1344" s="7">
        <v>41935</v>
      </c>
      <c r="B1344" s="8">
        <f>VLOOKUP(Table1[[#This Row],[Date]],'BUD data'!A:F,6,)</f>
        <v>91.585220000000007</v>
      </c>
      <c r="C1344" s="51"/>
      <c r="D1344" s="51"/>
    </row>
    <row r="1345" spans="1:4" x14ac:dyDescent="0.45">
      <c r="A1345" s="7">
        <v>41936</v>
      </c>
      <c r="B1345" s="8">
        <f>VLOOKUP(Table1[[#This Row],[Date]],'BUD data'!A:F,6,)</f>
        <v>92.435187999999997</v>
      </c>
      <c r="C1345" s="51"/>
      <c r="D1345" s="51"/>
    </row>
    <row r="1346" spans="1:4" x14ac:dyDescent="0.45">
      <c r="A1346" s="7">
        <v>41939</v>
      </c>
      <c r="B1346" s="8">
        <f>VLOOKUP(Table1[[#This Row],[Date]],'BUD data'!A:F,6,)</f>
        <v>91.797698999999994</v>
      </c>
      <c r="C1346" s="51"/>
      <c r="D1346" s="51"/>
    </row>
    <row r="1347" spans="1:4" x14ac:dyDescent="0.45">
      <c r="A1347" s="7">
        <v>41940</v>
      </c>
      <c r="B1347" s="8">
        <f>VLOOKUP(Table1[[#This Row],[Date]],'BUD data'!A:F,6,)</f>
        <v>93.659156999999993</v>
      </c>
      <c r="C1347" s="51"/>
      <c r="D1347" s="51"/>
    </row>
    <row r="1348" spans="1:4" x14ac:dyDescent="0.45">
      <c r="A1348" s="7">
        <v>41941</v>
      </c>
      <c r="B1348" s="8">
        <f>VLOOKUP(Table1[[#This Row],[Date]],'BUD data'!A:F,6,)</f>
        <v>93.429657000000006</v>
      </c>
      <c r="C1348" s="51"/>
      <c r="D1348" s="51"/>
    </row>
    <row r="1349" spans="1:4" x14ac:dyDescent="0.45">
      <c r="A1349" s="7">
        <v>41942</v>
      </c>
      <c r="B1349" s="8">
        <f>VLOOKUP(Table1[[#This Row],[Date]],'BUD data'!A:F,6,)</f>
        <v>93.506157000000002</v>
      </c>
      <c r="C1349" s="51"/>
      <c r="D1349" s="51"/>
    </row>
    <row r="1350" spans="1:4" x14ac:dyDescent="0.45">
      <c r="A1350" s="7">
        <v>41943</v>
      </c>
      <c r="B1350" s="8">
        <f>VLOOKUP(Table1[[#This Row],[Date]],'BUD data'!A:F,6,)</f>
        <v>94.330658</v>
      </c>
      <c r="C1350" s="51"/>
      <c r="D1350" s="51"/>
    </row>
    <row r="1351" spans="1:4" x14ac:dyDescent="0.45">
      <c r="A1351" s="7">
        <v>41946</v>
      </c>
      <c r="B1351" s="8">
        <f>VLOOKUP(Table1[[#This Row],[Date]],'BUD data'!A:F,6,)</f>
        <v>93.115181000000007</v>
      </c>
      <c r="C1351" s="51"/>
      <c r="D1351" s="51"/>
    </row>
    <row r="1352" spans="1:4" x14ac:dyDescent="0.45">
      <c r="A1352" s="7">
        <v>41947</v>
      </c>
      <c r="B1352" s="8">
        <f>VLOOKUP(Table1[[#This Row],[Date]],'BUD data'!A:F,6,)</f>
        <v>92.987685999999997</v>
      </c>
      <c r="C1352" s="51"/>
      <c r="D1352" s="51"/>
    </row>
    <row r="1353" spans="1:4" x14ac:dyDescent="0.45">
      <c r="A1353" s="7">
        <v>41948</v>
      </c>
      <c r="B1353" s="8">
        <f>VLOOKUP(Table1[[#This Row],[Date]],'BUD data'!A:F,6,)</f>
        <v>93.412659000000005</v>
      </c>
      <c r="C1353" s="51"/>
      <c r="D1353" s="51"/>
    </row>
    <row r="1354" spans="1:4" x14ac:dyDescent="0.45">
      <c r="A1354" s="7">
        <v>41949</v>
      </c>
      <c r="B1354" s="8">
        <f>VLOOKUP(Table1[[#This Row],[Date]],'BUD data'!A:F,6,)</f>
        <v>93.286285000000007</v>
      </c>
      <c r="C1354" s="51"/>
      <c r="D1354" s="51"/>
    </row>
    <row r="1355" spans="1:4" x14ac:dyDescent="0.45">
      <c r="A1355" s="7">
        <v>41950</v>
      </c>
      <c r="B1355" s="8">
        <f>VLOOKUP(Table1[[#This Row],[Date]],'BUD data'!A:F,6,)</f>
        <v>93.148712000000003</v>
      </c>
      <c r="C1355" s="51"/>
      <c r="D1355" s="51"/>
    </row>
    <row r="1356" spans="1:4" x14ac:dyDescent="0.45">
      <c r="A1356" s="7">
        <v>41953</v>
      </c>
      <c r="B1356" s="8">
        <f>VLOOKUP(Table1[[#This Row],[Date]],'BUD data'!A:F,6,)</f>
        <v>94.163253999999995</v>
      </c>
      <c r="C1356" s="51"/>
      <c r="D1356" s="51"/>
    </row>
    <row r="1357" spans="1:4" x14ac:dyDescent="0.45">
      <c r="A1357" s="7">
        <v>41954</v>
      </c>
      <c r="B1357" s="8">
        <f>VLOOKUP(Table1[[#This Row],[Date]],'BUD data'!A:F,6,)</f>
        <v>94.919876000000002</v>
      </c>
      <c r="C1357" s="51"/>
      <c r="D1357" s="51"/>
    </row>
    <row r="1358" spans="1:4" x14ac:dyDescent="0.45">
      <c r="A1358" s="7">
        <v>41955</v>
      </c>
      <c r="B1358" s="8">
        <f>VLOOKUP(Table1[[#This Row],[Date]],'BUD data'!A:F,6,)</f>
        <v>93.965514999999996</v>
      </c>
      <c r="C1358" s="51"/>
      <c r="D1358" s="51"/>
    </row>
    <row r="1359" spans="1:4" x14ac:dyDescent="0.45">
      <c r="A1359" s="7">
        <v>41956</v>
      </c>
      <c r="B1359" s="8">
        <f>VLOOKUP(Table1[[#This Row],[Date]],'BUD data'!A:F,6,)</f>
        <v>95.263779</v>
      </c>
      <c r="C1359" s="51"/>
      <c r="D1359" s="51"/>
    </row>
    <row r="1360" spans="1:4" x14ac:dyDescent="0.45">
      <c r="A1360" s="7">
        <v>41957</v>
      </c>
      <c r="B1360" s="8">
        <f>VLOOKUP(Table1[[#This Row],[Date]],'BUD data'!A:F,6,)</f>
        <v>95.237976000000003</v>
      </c>
      <c r="C1360" s="51"/>
      <c r="D1360" s="51"/>
    </row>
    <row r="1361" spans="1:4" x14ac:dyDescent="0.45">
      <c r="A1361" s="7">
        <v>41960</v>
      </c>
      <c r="B1361" s="8">
        <f>VLOOKUP(Table1[[#This Row],[Date]],'BUD data'!A:F,6,)</f>
        <v>95.194999999999993</v>
      </c>
      <c r="C1361" s="51"/>
      <c r="D1361" s="51"/>
    </row>
    <row r="1362" spans="1:4" x14ac:dyDescent="0.45">
      <c r="A1362" s="7">
        <v>41961</v>
      </c>
      <c r="B1362" s="8">
        <f>VLOOKUP(Table1[[#This Row],[Date]],'BUD data'!A:F,6,)</f>
        <v>95.839827999999997</v>
      </c>
      <c r="C1362" s="51"/>
      <c r="D1362" s="51"/>
    </row>
    <row r="1363" spans="1:4" x14ac:dyDescent="0.45">
      <c r="A1363" s="7">
        <v>41962</v>
      </c>
      <c r="B1363" s="8">
        <f>VLOOKUP(Table1[[#This Row],[Date]],'BUD data'!A:F,6,)</f>
        <v>96.467467999999997</v>
      </c>
      <c r="C1363" s="51"/>
      <c r="D1363" s="51"/>
    </row>
    <row r="1364" spans="1:4" x14ac:dyDescent="0.45">
      <c r="A1364" s="7">
        <v>41963</v>
      </c>
      <c r="B1364" s="8">
        <f>VLOOKUP(Table1[[#This Row],[Date]],'BUD data'!A:F,6,)</f>
        <v>97.009124999999997</v>
      </c>
      <c r="C1364" s="51"/>
      <c r="D1364" s="51"/>
    </row>
    <row r="1365" spans="1:4" x14ac:dyDescent="0.45">
      <c r="A1365" s="7">
        <v>41964</v>
      </c>
      <c r="B1365" s="8">
        <f>VLOOKUP(Table1[[#This Row],[Date]],'BUD data'!A:F,6,)</f>
        <v>98.479370000000003</v>
      </c>
      <c r="C1365" s="51"/>
      <c r="D1365" s="51"/>
    </row>
    <row r="1366" spans="1:4" x14ac:dyDescent="0.45">
      <c r="A1366" s="7">
        <v>41967</v>
      </c>
      <c r="B1366" s="8">
        <f>VLOOKUP(Table1[[#This Row],[Date]],'BUD data'!A:F,6,)</f>
        <v>99.141396</v>
      </c>
      <c r="C1366" s="51"/>
      <c r="D1366" s="51"/>
    </row>
    <row r="1367" spans="1:4" x14ac:dyDescent="0.45">
      <c r="A1367" s="7">
        <v>41968</v>
      </c>
      <c r="B1367" s="8">
        <f>VLOOKUP(Table1[[#This Row],[Date]],'BUD data'!A:F,6,)</f>
        <v>98.943641999999997</v>
      </c>
      <c r="C1367" s="51"/>
      <c r="D1367" s="51"/>
    </row>
    <row r="1368" spans="1:4" x14ac:dyDescent="0.45">
      <c r="A1368" s="7">
        <v>41969</v>
      </c>
      <c r="B1368" s="8">
        <f>VLOOKUP(Table1[[#This Row],[Date]],'BUD data'!A:F,6,)</f>
        <v>98.995247000000006</v>
      </c>
      <c r="C1368" s="51"/>
      <c r="D1368" s="51"/>
    </row>
    <row r="1369" spans="1:4" x14ac:dyDescent="0.45">
      <c r="A1369" s="7">
        <v>41971</v>
      </c>
      <c r="B1369" s="8">
        <f>VLOOKUP(Table1[[#This Row],[Date]],'BUD data'!A:F,6,)</f>
        <v>100.585823</v>
      </c>
      <c r="C1369" s="51"/>
      <c r="D1369" s="51"/>
    </row>
    <row r="1370" spans="1:4" x14ac:dyDescent="0.45">
      <c r="A1370" s="7">
        <v>41974</v>
      </c>
      <c r="B1370" s="8">
        <f>VLOOKUP(Table1[[#This Row],[Date]],'BUD data'!A:F,6,)</f>
        <v>99.863608999999997</v>
      </c>
      <c r="C1370" s="51"/>
      <c r="D1370" s="51"/>
    </row>
    <row r="1371" spans="1:4" x14ac:dyDescent="0.45">
      <c r="A1371" s="7">
        <v>41975</v>
      </c>
      <c r="B1371" s="8">
        <f>VLOOKUP(Table1[[#This Row],[Date]],'BUD data'!A:F,6,)</f>
        <v>98.788887000000003</v>
      </c>
      <c r="C1371" s="51"/>
      <c r="D1371" s="51"/>
    </row>
    <row r="1372" spans="1:4" x14ac:dyDescent="0.45">
      <c r="A1372" s="7">
        <v>41976</v>
      </c>
      <c r="B1372" s="8">
        <f>VLOOKUP(Table1[[#This Row],[Date]],'BUD data'!A:F,6,)</f>
        <v>98.401993000000004</v>
      </c>
      <c r="C1372" s="51"/>
      <c r="D1372" s="51"/>
    </row>
    <row r="1373" spans="1:4" x14ac:dyDescent="0.45">
      <c r="A1373" s="7">
        <v>41977</v>
      </c>
      <c r="B1373" s="8">
        <f>VLOOKUP(Table1[[#This Row],[Date]],'BUD data'!A:F,6,)</f>
        <v>98.135459999999995</v>
      </c>
      <c r="C1373" s="51"/>
      <c r="D1373" s="51"/>
    </row>
    <row r="1374" spans="1:4" x14ac:dyDescent="0.45">
      <c r="A1374" s="7">
        <v>41978</v>
      </c>
      <c r="B1374" s="8">
        <f>VLOOKUP(Table1[[#This Row],[Date]],'BUD data'!A:F,6,)</f>
        <v>99.734641999999994</v>
      </c>
      <c r="C1374" s="51"/>
      <c r="D1374" s="51"/>
    </row>
    <row r="1375" spans="1:4" x14ac:dyDescent="0.45">
      <c r="A1375" s="7">
        <v>41981</v>
      </c>
      <c r="B1375" s="8">
        <f>VLOOKUP(Table1[[#This Row],[Date]],'BUD data'!A:F,6,)</f>
        <v>98.943641999999997</v>
      </c>
      <c r="C1375" s="51"/>
      <c r="D1375" s="51"/>
    </row>
    <row r="1376" spans="1:4" x14ac:dyDescent="0.45">
      <c r="A1376" s="7">
        <v>41982</v>
      </c>
      <c r="B1376" s="8">
        <f>VLOOKUP(Table1[[#This Row],[Date]],'BUD data'!A:F,6,)</f>
        <v>97.705558999999994</v>
      </c>
      <c r="C1376" s="51"/>
      <c r="D1376" s="51"/>
    </row>
    <row r="1377" spans="1:4" x14ac:dyDescent="0.45">
      <c r="A1377" s="7">
        <v>41983</v>
      </c>
      <c r="B1377" s="8">
        <f>VLOOKUP(Table1[[#This Row],[Date]],'BUD data'!A:F,6,)</f>
        <v>97.439025999999998</v>
      </c>
      <c r="C1377" s="51"/>
      <c r="D1377" s="51"/>
    </row>
    <row r="1378" spans="1:4" x14ac:dyDescent="0.45">
      <c r="A1378" s="7">
        <v>41984</v>
      </c>
      <c r="B1378" s="8">
        <f>VLOOKUP(Table1[[#This Row],[Date]],'BUD data'!A:F,6,)</f>
        <v>96.888762999999997</v>
      </c>
      <c r="C1378" s="51"/>
      <c r="D1378" s="51"/>
    </row>
    <row r="1379" spans="1:4" x14ac:dyDescent="0.45">
      <c r="A1379" s="7">
        <v>41985</v>
      </c>
      <c r="B1379" s="8">
        <f>VLOOKUP(Table1[[#This Row],[Date]],'BUD data'!A:F,6,)</f>
        <v>94.859679999999997</v>
      </c>
      <c r="C1379" s="51"/>
      <c r="D1379" s="51"/>
    </row>
    <row r="1380" spans="1:4" x14ac:dyDescent="0.45">
      <c r="A1380" s="7">
        <v>41988</v>
      </c>
      <c r="B1380" s="8">
        <f>VLOOKUP(Table1[[#This Row],[Date]],'BUD data'!A:F,6,)</f>
        <v>93.888130000000004</v>
      </c>
      <c r="C1380" s="51"/>
      <c r="D1380" s="51"/>
    </row>
    <row r="1381" spans="1:4" x14ac:dyDescent="0.45">
      <c r="A1381" s="7">
        <v>41989</v>
      </c>
      <c r="B1381" s="8">
        <f>VLOOKUP(Table1[[#This Row],[Date]],'BUD data'!A:F,6,)</f>
        <v>93.655991</v>
      </c>
      <c r="C1381" s="51"/>
      <c r="D1381" s="51"/>
    </row>
    <row r="1382" spans="1:4" x14ac:dyDescent="0.45">
      <c r="A1382" s="7">
        <v>41990</v>
      </c>
      <c r="B1382" s="8">
        <f>VLOOKUP(Table1[[#This Row],[Date]],'BUD data'!A:F,6,)</f>
        <v>94.773712000000003</v>
      </c>
      <c r="C1382" s="51"/>
      <c r="D1382" s="51"/>
    </row>
    <row r="1383" spans="1:4" x14ac:dyDescent="0.45">
      <c r="A1383" s="7">
        <v>41991</v>
      </c>
      <c r="B1383" s="8">
        <f>VLOOKUP(Table1[[#This Row],[Date]],'BUD data'!A:F,6,)</f>
        <v>98.565337999999997</v>
      </c>
      <c r="C1383" s="51"/>
      <c r="D1383" s="51"/>
    </row>
    <row r="1384" spans="1:4" x14ac:dyDescent="0.45">
      <c r="A1384" s="7">
        <v>41992</v>
      </c>
      <c r="B1384" s="8">
        <f>VLOOKUP(Table1[[#This Row],[Date]],'BUD data'!A:F,6,)</f>
        <v>98.247223000000005</v>
      </c>
      <c r="C1384" s="51"/>
      <c r="D1384" s="51"/>
    </row>
    <row r="1385" spans="1:4" x14ac:dyDescent="0.45">
      <c r="A1385" s="7">
        <v>41995</v>
      </c>
      <c r="B1385" s="8">
        <f>VLOOKUP(Table1[[#This Row],[Date]],'BUD data'!A:F,6,)</f>
        <v>98.462173000000007</v>
      </c>
      <c r="C1385" s="51"/>
      <c r="D1385" s="51"/>
    </row>
    <row r="1386" spans="1:4" x14ac:dyDescent="0.45">
      <c r="A1386" s="7">
        <v>41996</v>
      </c>
      <c r="B1386" s="8">
        <f>VLOOKUP(Table1[[#This Row],[Date]],'BUD data'!A:F,6,)</f>
        <v>99.235969999999995</v>
      </c>
      <c r="C1386" s="51"/>
      <c r="D1386" s="51"/>
    </row>
    <row r="1387" spans="1:4" x14ac:dyDescent="0.45">
      <c r="A1387" s="7">
        <v>41997</v>
      </c>
      <c r="B1387" s="8">
        <f>VLOOKUP(Table1[[#This Row],[Date]],'BUD data'!A:F,6,)</f>
        <v>99.313361999999998</v>
      </c>
      <c r="C1387" s="51"/>
      <c r="D1387" s="51"/>
    </row>
    <row r="1388" spans="1:4" x14ac:dyDescent="0.45">
      <c r="A1388" s="7">
        <v>41999</v>
      </c>
      <c r="B1388" s="8">
        <f>VLOOKUP(Table1[[#This Row],[Date]],'BUD data'!A:F,6,)</f>
        <v>99.141396</v>
      </c>
      <c r="C1388" s="51"/>
      <c r="D1388" s="51"/>
    </row>
    <row r="1389" spans="1:4" x14ac:dyDescent="0.45">
      <c r="A1389" s="7">
        <v>42002</v>
      </c>
      <c r="B1389" s="8">
        <f>VLOOKUP(Table1[[#This Row],[Date]],'BUD data'!A:F,6,)</f>
        <v>98.728699000000006</v>
      </c>
      <c r="C1389" s="51"/>
      <c r="D1389" s="51"/>
    </row>
    <row r="1390" spans="1:4" x14ac:dyDescent="0.45">
      <c r="A1390" s="7">
        <v>42003</v>
      </c>
      <c r="B1390" s="8">
        <f>VLOOKUP(Table1[[#This Row],[Date]],'BUD data'!A:F,6,)</f>
        <v>97.155296000000007</v>
      </c>
      <c r="C1390" s="51"/>
      <c r="D1390" s="51"/>
    </row>
    <row r="1391" spans="1:4" x14ac:dyDescent="0.45">
      <c r="A1391" s="7">
        <v>42004</v>
      </c>
      <c r="B1391" s="8">
        <f>VLOOKUP(Table1[[#This Row],[Date]],'BUD data'!A:F,6,)</f>
        <v>96.570656</v>
      </c>
      <c r="C1391" s="51"/>
      <c r="D1391" s="51"/>
    </row>
    <row r="1392" spans="1:4" x14ac:dyDescent="0.45">
      <c r="A1392" s="7">
        <v>42006</v>
      </c>
      <c r="B1392" s="8">
        <f>VLOOKUP(Table1[[#This Row],[Date]],'BUD data'!A:F,6,)</f>
        <v>96.071976000000006</v>
      </c>
      <c r="C1392" s="51"/>
      <c r="D1392" s="51"/>
    </row>
    <row r="1393" spans="1:4" x14ac:dyDescent="0.45">
      <c r="A1393" s="7">
        <v>42009</v>
      </c>
      <c r="B1393" s="8">
        <f>VLOOKUP(Table1[[#This Row],[Date]],'BUD data'!A:F,6,)</f>
        <v>92.933762000000002</v>
      </c>
      <c r="C1393" s="51"/>
      <c r="D1393" s="51"/>
    </row>
    <row r="1394" spans="1:4" x14ac:dyDescent="0.45">
      <c r="A1394" s="7">
        <v>42010</v>
      </c>
      <c r="B1394" s="8">
        <f>VLOOKUP(Table1[[#This Row],[Date]],'BUD data'!A:F,6,)</f>
        <v>92.727417000000003</v>
      </c>
      <c r="C1394" s="51"/>
      <c r="D1394" s="51"/>
    </row>
    <row r="1395" spans="1:4" x14ac:dyDescent="0.45">
      <c r="A1395" s="7">
        <v>42011</v>
      </c>
      <c r="B1395" s="8">
        <f>VLOOKUP(Table1[[#This Row],[Date]],'BUD data'!A:F,6,)</f>
        <v>94.077270999999996</v>
      </c>
      <c r="C1395" s="51"/>
      <c r="D1395" s="51"/>
    </row>
    <row r="1396" spans="1:4" x14ac:dyDescent="0.45">
      <c r="A1396" s="7">
        <v>42012</v>
      </c>
      <c r="B1396" s="8">
        <f>VLOOKUP(Table1[[#This Row],[Date]],'BUD data'!A:F,6,)</f>
        <v>97.052124000000006</v>
      </c>
      <c r="C1396" s="51"/>
      <c r="D1396" s="51"/>
    </row>
    <row r="1397" spans="1:4" x14ac:dyDescent="0.45">
      <c r="A1397" s="7">
        <v>42013</v>
      </c>
      <c r="B1397" s="8">
        <f>VLOOKUP(Table1[[#This Row],[Date]],'BUD data'!A:F,6,)</f>
        <v>96.269722000000002</v>
      </c>
      <c r="C1397" s="51"/>
      <c r="D1397" s="51"/>
    </row>
    <row r="1398" spans="1:4" x14ac:dyDescent="0.45">
      <c r="A1398" s="7">
        <v>42016</v>
      </c>
      <c r="B1398" s="8">
        <f>VLOOKUP(Table1[[#This Row],[Date]],'BUD data'!A:F,6,)</f>
        <v>97.550803999999999</v>
      </c>
      <c r="C1398" s="51"/>
      <c r="D1398" s="51"/>
    </row>
    <row r="1399" spans="1:4" x14ac:dyDescent="0.45">
      <c r="A1399" s="7">
        <v>42017</v>
      </c>
      <c r="B1399" s="8">
        <f>VLOOKUP(Table1[[#This Row],[Date]],'BUD data'!A:F,6,)</f>
        <v>97.920501999999999</v>
      </c>
      <c r="C1399" s="51"/>
      <c r="D1399" s="51"/>
    </row>
    <row r="1400" spans="1:4" x14ac:dyDescent="0.45">
      <c r="A1400" s="7">
        <v>42018</v>
      </c>
      <c r="B1400" s="8">
        <f>VLOOKUP(Table1[[#This Row],[Date]],'BUD data'!A:F,6,)</f>
        <v>97.610984999999999</v>
      </c>
      <c r="C1400" s="51"/>
      <c r="D1400" s="51"/>
    </row>
    <row r="1401" spans="1:4" x14ac:dyDescent="0.45">
      <c r="A1401" s="7">
        <v>42019</v>
      </c>
      <c r="B1401" s="8">
        <f>VLOOKUP(Table1[[#This Row],[Date]],'BUD data'!A:F,6,)</f>
        <v>98.221428000000003</v>
      </c>
      <c r="C1401" s="51"/>
      <c r="D1401" s="51"/>
    </row>
    <row r="1402" spans="1:4" x14ac:dyDescent="0.45">
      <c r="A1402" s="7">
        <v>42020</v>
      </c>
      <c r="B1402" s="8">
        <f>VLOOKUP(Table1[[#This Row],[Date]],'BUD data'!A:F,6,)</f>
        <v>100.603027</v>
      </c>
      <c r="C1402" s="51"/>
      <c r="D1402" s="51"/>
    </row>
    <row r="1403" spans="1:4" x14ac:dyDescent="0.45">
      <c r="A1403" s="7">
        <v>42024</v>
      </c>
      <c r="B1403" s="8">
        <f>VLOOKUP(Table1[[#This Row],[Date]],'BUD data'!A:F,6,)</f>
        <v>100.37088</v>
      </c>
      <c r="C1403" s="51"/>
      <c r="D1403" s="51"/>
    </row>
    <row r="1404" spans="1:4" x14ac:dyDescent="0.45">
      <c r="A1404" s="7">
        <v>42025</v>
      </c>
      <c r="B1404" s="8">
        <f>VLOOKUP(Table1[[#This Row],[Date]],'BUD data'!A:F,6,)</f>
        <v>101.239265</v>
      </c>
      <c r="C1404" s="51"/>
      <c r="D1404" s="51"/>
    </row>
    <row r="1405" spans="1:4" x14ac:dyDescent="0.45">
      <c r="A1405" s="7">
        <v>42026</v>
      </c>
      <c r="B1405" s="8">
        <f>VLOOKUP(Table1[[#This Row],[Date]],'BUD data'!A:F,6,)</f>
        <v>102.270988</v>
      </c>
      <c r="C1405" s="51"/>
      <c r="D1405" s="51"/>
    </row>
    <row r="1406" spans="1:4" x14ac:dyDescent="0.45">
      <c r="A1406" s="7">
        <v>42027</v>
      </c>
      <c r="B1406" s="8">
        <f>VLOOKUP(Table1[[#This Row],[Date]],'BUD data'!A:F,6,)</f>
        <v>103.10498</v>
      </c>
      <c r="C1406" s="51"/>
      <c r="D1406" s="51"/>
    </row>
    <row r="1407" spans="1:4" x14ac:dyDescent="0.45">
      <c r="A1407" s="7">
        <v>42030</v>
      </c>
      <c r="B1407" s="8">
        <f>VLOOKUP(Table1[[#This Row],[Date]],'BUD data'!A:F,6,)</f>
        <v>104.093735</v>
      </c>
      <c r="C1407" s="51"/>
      <c r="D1407" s="51"/>
    </row>
    <row r="1408" spans="1:4" x14ac:dyDescent="0.45">
      <c r="A1408" s="7">
        <v>42031</v>
      </c>
      <c r="B1408" s="8">
        <f>VLOOKUP(Table1[[#This Row],[Date]],'BUD data'!A:F,6,)</f>
        <v>103.913177</v>
      </c>
      <c r="C1408" s="51"/>
      <c r="D1408" s="51"/>
    </row>
    <row r="1409" spans="1:4" x14ac:dyDescent="0.45">
      <c r="A1409" s="7">
        <v>42032</v>
      </c>
      <c r="B1409" s="8">
        <f>VLOOKUP(Table1[[#This Row],[Date]],'BUD data'!A:F,6,)</f>
        <v>103.474693</v>
      </c>
      <c r="C1409" s="51"/>
      <c r="D1409" s="51"/>
    </row>
    <row r="1410" spans="1:4" x14ac:dyDescent="0.45">
      <c r="A1410" s="7">
        <v>42033</v>
      </c>
      <c r="B1410" s="8">
        <f>VLOOKUP(Table1[[#This Row],[Date]],'BUD data'!A:F,6,)</f>
        <v>106.157211</v>
      </c>
      <c r="C1410" s="51"/>
      <c r="D1410" s="51"/>
    </row>
    <row r="1411" spans="1:4" x14ac:dyDescent="0.45">
      <c r="A1411" s="7">
        <v>42034</v>
      </c>
      <c r="B1411" s="8">
        <f>VLOOKUP(Table1[[#This Row],[Date]],'BUD data'!A:F,6,)</f>
        <v>104.95352200000001</v>
      </c>
      <c r="C1411" s="51"/>
      <c r="D1411" s="51"/>
    </row>
    <row r="1412" spans="1:4" x14ac:dyDescent="0.45">
      <c r="A1412" s="7">
        <v>42037</v>
      </c>
      <c r="B1412" s="8">
        <f>VLOOKUP(Table1[[#This Row],[Date]],'BUD data'!A:F,6,)</f>
        <v>105.92506400000001</v>
      </c>
      <c r="C1412" s="51"/>
      <c r="D1412" s="51"/>
    </row>
    <row r="1413" spans="1:4" x14ac:dyDescent="0.45">
      <c r="A1413" s="7">
        <v>42038</v>
      </c>
      <c r="B1413" s="8">
        <f>VLOOKUP(Table1[[#This Row],[Date]],'BUD data'!A:F,6,)</f>
        <v>107.945572</v>
      </c>
      <c r="C1413" s="51"/>
      <c r="D1413" s="51"/>
    </row>
    <row r="1414" spans="1:4" x14ac:dyDescent="0.45">
      <c r="A1414" s="7">
        <v>42039</v>
      </c>
      <c r="B1414" s="8">
        <f>VLOOKUP(Table1[[#This Row],[Date]],'BUD data'!A:F,6,)</f>
        <v>106.320564</v>
      </c>
      <c r="C1414" s="51"/>
      <c r="D1414" s="51"/>
    </row>
    <row r="1415" spans="1:4" x14ac:dyDescent="0.45">
      <c r="A1415" s="7">
        <v>42040</v>
      </c>
      <c r="B1415" s="8">
        <f>VLOOKUP(Table1[[#This Row],[Date]],'BUD data'!A:F,6,)</f>
        <v>106.77625999999999</v>
      </c>
      <c r="C1415" s="51"/>
      <c r="D1415" s="51"/>
    </row>
    <row r="1416" spans="1:4" x14ac:dyDescent="0.45">
      <c r="A1416" s="7">
        <v>42041</v>
      </c>
      <c r="B1416" s="8">
        <f>VLOOKUP(Table1[[#This Row],[Date]],'BUD data'!A:F,6,)</f>
        <v>104.28288999999999</v>
      </c>
      <c r="C1416" s="51"/>
      <c r="D1416" s="51"/>
    </row>
    <row r="1417" spans="1:4" x14ac:dyDescent="0.45">
      <c r="A1417" s="7">
        <v>42044</v>
      </c>
      <c r="B1417" s="8">
        <f>VLOOKUP(Table1[[#This Row],[Date]],'BUD data'!A:F,6,)</f>
        <v>103.509094</v>
      </c>
      <c r="C1417" s="51"/>
      <c r="D1417" s="51"/>
    </row>
    <row r="1418" spans="1:4" x14ac:dyDescent="0.45">
      <c r="A1418" s="7">
        <v>42045</v>
      </c>
      <c r="B1418" s="8">
        <f>VLOOKUP(Table1[[#This Row],[Date]],'BUD data'!A:F,6,)</f>
        <v>104.833153</v>
      </c>
      <c r="C1418" s="51"/>
      <c r="D1418" s="51"/>
    </row>
    <row r="1419" spans="1:4" x14ac:dyDescent="0.45">
      <c r="A1419" s="7">
        <v>42046</v>
      </c>
      <c r="B1419" s="8">
        <f>VLOOKUP(Table1[[#This Row],[Date]],'BUD data'!A:F,6,)</f>
        <v>104.2313</v>
      </c>
      <c r="C1419" s="51"/>
      <c r="D1419" s="51"/>
    </row>
    <row r="1420" spans="1:4" x14ac:dyDescent="0.45">
      <c r="A1420" s="7">
        <v>42047</v>
      </c>
      <c r="B1420" s="8">
        <f>VLOOKUP(Table1[[#This Row],[Date]],'BUD data'!A:F,6,)</f>
        <v>105.340401</v>
      </c>
      <c r="C1420" s="51"/>
      <c r="D1420" s="51"/>
    </row>
    <row r="1421" spans="1:4" x14ac:dyDescent="0.45">
      <c r="A1421" s="7">
        <v>42048</v>
      </c>
      <c r="B1421" s="8">
        <f>VLOOKUP(Table1[[#This Row],[Date]],'BUD data'!A:F,6,)</f>
        <v>104.65258799999999</v>
      </c>
      <c r="C1421" s="51"/>
      <c r="D1421" s="51"/>
    </row>
    <row r="1422" spans="1:4" x14ac:dyDescent="0.45">
      <c r="A1422" s="7">
        <v>42052</v>
      </c>
      <c r="B1422" s="8">
        <f>VLOOKUP(Table1[[#This Row],[Date]],'BUD data'!A:F,6,)</f>
        <v>104.884743</v>
      </c>
      <c r="C1422" s="51"/>
      <c r="D1422" s="51"/>
    </row>
    <row r="1423" spans="1:4" x14ac:dyDescent="0.45">
      <c r="A1423" s="7">
        <v>42053</v>
      </c>
      <c r="B1423" s="8">
        <f>VLOOKUP(Table1[[#This Row],[Date]],'BUD data'!A:F,6,)</f>
        <v>104.781555</v>
      </c>
      <c r="C1423" s="51"/>
      <c r="D1423" s="51"/>
    </row>
    <row r="1424" spans="1:4" x14ac:dyDescent="0.45">
      <c r="A1424" s="7">
        <v>42054</v>
      </c>
      <c r="B1424" s="8">
        <f>VLOOKUP(Table1[[#This Row],[Date]],'BUD data'!A:F,6,)</f>
        <v>105.52956399999999</v>
      </c>
      <c r="C1424" s="51"/>
      <c r="D1424" s="51"/>
    </row>
    <row r="1425" spans="1:4" x14ac:dyDescent="0.45">
      <c r="A1425" s="7">
        <v>42055</v>
      </c>
      <c r="B1425" s="8">
        <f>VLOOKUP(Table1[[#This Row],[Date]],'BUD data'!A:F,6,)</f>
        <v>106.24318700000001</v>
      </c>
      <c r="C1425" s="51"/>
      <c r="D1425" s="51"/>
    </row>
    <row r="1426" spans="1:4" x14ac:dyDescent="0.45">
      <c r="A1426" s="7">
        <v>42058</v>
      </c>
      <c r="B1426" s="8">
        <f>VLOOKUP(Table1[[#This Row],[Date]],'BUD data'!A:F,6,)</f>
        <v>107.704803</v>
      </c>
      <c r="C1426" s="51"/>
      <c r="D1426" s="51"/>
    </row>
    <row r="1427" spans="1:4" x14ac:dyDescent="0.45">
      <c r="A1427" s="7">
        <v>42059</v>
      </c>
      <c r="B1427" s="8">
        <f>VLOOKUP(Table1[[#This Row],[Date]],'BUD data'!A:F,6,)</f>
        <v>107.911171</v>
      </c>
      <c r="C1427" s="51"/>
      <c r="D1427" s="51"/>
    </row>
    <row r="1428" spans="1:4" x14ac:dyDescent="0.45">
      <c r="A1428" s="7">
        <v>42060</v>
      </c>
      <c r="B1428" s="8">
        <f>VLOOKUP(Table1[[#This Row],[Date]],'BUD data'!A:F,6,)</f>
        <v>106.991196</v>
      </c>
      <c r="C1428" s="51"/>
      <c r="D1428" s="51"/>
    </row>
    <row r="1429" spans="1:4" x14ac:dyDescent="0.45">
      <c r="A1429" s="7">
        <v>42061</v>
      </c>
      <c r="B1429" s="8">
        <f>VLOOKUP(Table1[[#This Row],[Date]],'BUD data'!A:F,6,)</f>
        <v>109.613541</v>
      </c>
      <c r="C1429" s="51"/>
      <c r="D1429" s="51"/>
    </row>
    <row r="1430" spans="1:4" x14ac:dyDescent="0.45">
      <c r="A1430" s="7">
        <v>42062</v>
      </c>
      <c r="B1430" s="8">
        <f>VLOOKUP(Table1[[#This Row],[Date]],'BUD data'!A:F,6,)</f>
        <v>108.899918</v>
      </c>
      <c r="C1430" s="51"/>
      <c r="D1430" s="51"/>
    </row>
    <row r="1431" spans="1:4" x14ac:dyDescent="0.45">
      <c r="A1431" s="7">
        <v>42065</v>
      </c>
      <c r="B1431" s="8">
        <f>VLOOKUP(Table1[[#This Row],[Date]],'BUD data'!A:F,6,)</f>
        <v>108.994484</v>
      </c>
      <c r="C1431" s="51"/>
      <c r="D1431" s="51"/>
    </row>
    <row r="1432" spans="1:4" x14ac:dyDescent="0.45">
      <c r="A1432" s="7">
        <v>42066</v>
      </c>
      <c r="B1432" s="8">
        <f>VLOOKUP(Table1[[#This Row],[Date]],'BUD data'!A:F,6,)</f>
        <v>108.56459</v>
      </c>
      <c r="C1432" s="51"/>
      <c r="D1432" s="51"/>
    </row>
    <row r="1433" spans="1:4" x14ac:dyDescent="0.45">
      <c r="A1433" s="7">
        <v>42067</v>
      </c>
      <c r="B1433" s="8">
        <f>VLOOKUP(Table1[[#This Row],[Date]],'BUD data'!A:F,6,)</f>
        <v>108.60759</v>
      </c>
      <c r="C1433" s="51"/>
      <c r="D1433" s="51"/>
    </row>
    <row r="1434" spans="1:4" x14ac:dyDescent="0.45">
      <c r="A1434" s="7">
        <v>42068</v>
      </c>
      <c r="B1434" s="8">
        <f>VLOOKUP(Table1[[#This Row],[Date]],'BUD data'!A:F,6,)</f>
        <v>109.785492</v>
      </c>
      <c r="C1434" s="51"/>
      <c r="D1434" s="51"/>
    </row>
    <row r="1435" spans="1:4" x14ac:dyDescent="0.45">
      <c r="A1435" s="7">
        <v>42069</v>
      </c>
      <c r="B1435" s="8">
        <f>VLOOKUP(Table1[[#This Row],[Date]],'BUD data'!A:F,6,)</f>
        <v>107.30070499999999</v>
      </c>
      <c r="C1435" s="51"/>
      <c r="D1435" s="51"/>
    </row>
    <row r="1436" spans="1:4" x14ac:dyDescent="0.45">
      <c r="A1436" s="7">
        <v>42072</v>
      </c>
      <c r="B1436" s="8">
        <f>VLOOKUP(Table1[[#This Row],[Date]],'BUD data'!A:F,6,)</f>
        <v>106.63867999999999</v>
      </c>
      <c r="C1436" s="51"/>
      <c r="D1436" s="51"/>
    </row>
    <row r="1437" spans="1:4" x14ac:dyDescent="0.45">
      <c r="A1437" s="7">
        <v>42073</v>
      </c>
      <c r="B1437" s="8">
        <f>VLOOKUP(Table1[[#This Row],[Date]],'BUD data'!A:F,6,)</f>
        <v>102.907242</v>
      </c>
      <c r="C1437" s="51"/>
      <c r="D1437" s="51"/>
    </row>
    <row r="1438" spans="1:4" x14ac:dyDescent="0.45">
      <c r="A1438" s="7">
        <v>42074</v>
      </c>
      <c r="B1438" s="8">
        <f>VLOOKUP(Table1[[#This Row],[Date]],'BUD data'!A:F,6,)</f>
        <v>104.40325199999999</v>
      </c>
      <c r="C1438" s="51"/>
      <c r="D1438" s="51"/>
    </row>
    <row r="1439" spans="1:4" x14ac:dyDescent="0.45">
      <c r="A1439" s="7">
        <v>42075</v>
      </c>
      <c r="B1439" s="8">
        <f>VLOOKUP(Table1[[#This Row],[Date]],'BUD data'!A:F,6,)</f>
        <v>105.692924</v>
      </c>
      <c r="C1439" s="51"/>
      <c r="D1439" s="51"/>
    </row>
    <row r="1440" spans="1:4" x14ac:dyDescent="0.45">
      <c r="A1440" s="7">
        <v>42076</v>
      </c>
      <c r="B1440" s="8">
        <f>VLOOKUP(Table1[[#This Row],[Date]],'BUD data'!A:F,6,)</f>
        <v>103.78421</v>
      </c>
      <c r="C1440" s="51"/>
      <c r="D1440" s="51"/>
    </row>
    <row r="1441" spans="1:4" x14ac:dyDescent="0.45">
      <c r="A1441" s="7">
        <v>42079</v>
      </c>
      <c r="B1441" s="8">
        <f>VLOOKUP(Table1[[#This Row],[Date]],'BUD data'!A:F,6,)</f>
        <v>105.159859</v>
      </c>
      <c r="C1441" s="51"/>
      <c r="D1441" s="51"/>
    </row>
    <row r="1442" spans="1:4" x14ac:dyDescent="0.45">
      <c r="A1442" s="7">
        <v>42080</v>
      </c>
      <c r="B1442" s="8">
        <f>VLOOKUP(Table1[[#This Row],[Date]],'BUD data'!A:F,6,)</f>
        <v>104.033562</v>
      </c>
      <c r="C1442" s="51"/>
      <c r="D1442" s="51"/>
    </row>
    <row r="1443" spans="1:4" x14ac:dyDescent="0.45">
      <c r="A1443" s="7">
        <v>42081</v>
      </c>
      <c r="B1443" s="8">
        <f>VLOOKUP(Table1[[#This Row],[Date]],'BUD data'!A:F,6,)</f>
        <v>105.546761</v>
      </c>
      <c r="C1443" s="51"/>
      <c r="D1443" s="51"/>
    </row>
    <row r="1444" spans="1:4" x14ac:dyDescent="0.45">
      <c r="A1444" s="7">
        <v>42082</v>
      </c>
      <c r="B1444" s="8">
        <f>VLOOKUP(Table1[[#This Row],[Date]],'BUD data'!A:F,6,)</f>
        <v>104.420456</v>
      </c>
      <c r="C1444" s="51"/>
      <c r="D1444" s="51"/>
    </row>
    <row r="1445" spans="1:4" x14ac:dyDescent="0.45">
      <c r="A1445" s="7">
        <v>42083</v>
      </c>
      <c r="B1445" s="8">
        <f>VLOOKUP(Table1[[#This Row],[Date]],'BUD data'!A:F,6,)</f>
        <v>105.624138</v>
      </c>
      <c r="C1445" s="51"/>
      <c r="D1445" s="51"/>
    </row>
    <row r="1446" spans="1:4" x14ac:dyDescent="0.45">
      <c r="A1446" s="7">
        <v>42086</v>
      </c>
      <c r="B1446" s="8">
        <f>VLOOKUP(Table1[[#This Row],[Date]],'BUD data'!A:F,6,)</f>
        <v>106.03684199999999</v>
      </c>
      <c r="C1446" s="51"/>
      <c r="D1446" s="51"/>
    </row>
    <row r="1447" spans="1:4" x14ac:dyDescent="0.45">
      <c r="A1447" s="7">
        <v>42087</v>
      </c>
      <c r="B1447" s="8">
        <f>VLOOKUP(Table1[[#This Row],[Date]],'BUD data'!A:F,6,)</f>
        <v>105.18564600000001</v>
      </c>
      <c r="C1447" s="51"/>
      <c r="D1447" s="51"/>
    </row>
    <row r="1448" spans="1:4" x14ac:dyDescent="0.45">
      <c r="A1448" s="7">
        <v>42088</v>
      </c>
      <c r="B1448" s="8">
        <f>VLOOKUP(Table1[[#This Row],[Date]],'BUD data'!A:F,6,)</f>
        <v>104.772964</v>
      </c>
      <c r="C1448" s="51"/>
      <c r="D1448" s="51"/>
    </row>
    <row r="1449" spans="1:4" x14ac:dyDescent="0.45">
      <c r="A1449" s="7">
        <v>42089</v>
      </c>
      <c r="B1449" s="8">
        <f>VLOOKUP(Table1[[#This Row],[Date]],'BUD data'!A:F,6,)</f>
        <v>104.12812</v>
      </c>
      <c r="C1449" s="51"/>
      <c r="D1449" s="51"/>
    </row>
    <row r="1450" spans="1:4" x14ac:dyDescent="0.45">
      <c r="A1450" s="7">
        <v>42090</v>
      </c>
      <c r="B1450" s="8">
        <f>VLOOKUP(Table1[[#This Row],[Date]],'BUD data'!A:F,6,)</f>
        <v>105.366219</v>
      </c>
      <c r="C1450" s="51"/>
      <c r="D1450" s="51"/>
    </row>
    <row r="1451" spans="1:4" x14ac:dyDescent="0.45">
      <c r="A1451" s="7">
        <v>42093</v>
      </c>
      <c r="B1451" s="8">
        <f>VLOOKUP(Table1[[#This Row],[Date]],'BUD data'!A:F,6,)</f>
        <v>106.225998</v>
      </c>
      <c r="C1451" s="51"/>
      <c r="D1451" s="51"/>
    </row>
    <row r="1452" spans="1:4" x14ac:dyDescent="0.45">
      <c r="A1452" s="7">
        <v>42094</v>
      </c>
      <c r="B1452" s="8">
        <f>VLOOKUP(Table1[[#This Row],[Date]],'BUD data'!A:F,6,)</f>
        <v>104.81594800000001</v>
      </c>
      <c r="C1452" s="51"/>
      <c r="D1452" s="51"/>
    </row>
    <row r="1453" spans="1:4" x14ac:dyDescent="0.45">
      <c r="A1453" s="7">
        <v>42095</v>
      </c>
      <c r="B1453" s="8">
        <f>VLOOKUP(Table1[[#This Row],[Date]],'BUD data'!A:F,6,)</f>
        <v>106.174408</v>
      </c>
      <c r="C1453" s="51"/>
      <c r="D1453" s="51"/>
    </row>
    <row r="1454" spans="1:4" x14ac:dyDescent="0.45">
      <c r="A1454" s="7">
        <v>42096</v>
      </c>
      <c r="B1454" s="8">
        <f>VLOOKUP(Table1[[#This Row],[Date]],'BUD data'!A:F,6,)</f>
        <v>108.08311500000001</v>
      </c>
      <c r="C1454" s="51"/>
      <c r="D1454" s="51"/>
    </row>
    <row r="1455" spans="1:4" x14ac:dyDescent="0.45">
      <c r="A1455" s="7">
        <v>42100</v>
      </c>
      <c r="B1455" s="8">
        <f>VLOOKUP(Table1[[#This Row],[Date]],'BUD data'!A:F,6,)</f>
        <v>108.899918</v>
      </c>
      <c r="C1455" s="51"/>
      <c r="D1455" s="51"/>
    </row>
    <row r="1456" spans="1:4" x14ac:dyDescent="0.45">
      <c r="A1456" s="7">
        <v>42101</v>
      </c>
      <c r="B1456" s="8">
        <f>VLOOKUP(Table1[[#This Row],[Date]],'BUD data'!A:F,6,)</f>
        <v>108.899918</v>
      </c>
      <c r="C1456" s="51"/>
      <c r="D1456" s="51"/>
    </row>
    <row r="1457" spans="1:4" x14ac:dyDescent="0.45">
      <c r="A1457" s="7">
        <v>42102</v>
      </c>
      <c r="B1457" s="8">
        <f>VLOOKUP(Table1[[#This Row],[Date]],'BUD data'!A:F,6,)</f>
        <v>107.936943</v>
      </c>
      <c r="C1457" s="51"/>
      <c r="D1457" s="51"/>
    </row>
    <row r="1458" spans="1:4" x14ac:dyDescent="0.45">
      <c r="A1458" s="7">
        <v>42103</v>
      </c>
      <c r="B1458" s="8">
        <f>VLOOKUP(Table1[[#This Row],[Date]],'BUD data'!A:F,6,)</f>
        <v>108.26366400000001</v>
      </c>
      <c r="C1458" s="51"/>
      <c r="D1458" s="51"/>
    </row>
    <row r="1459" spans="1:4" x14ac:dyDescent="0.45">
      <c r="A1459" s="7">
        <v>42104</v>
      </c>
      <c r="B1459" s="8">
        <f>VLOOKUP(Table1[[#This Row],[Date]],'BUD data'!A:F,6,)</f>
        <v>107.550049</v>
      </c>
      <c r="C1459" s="51"/>
      <c r="D1459" s="51"/>
    </row>
    <row r="1460" spans="1:4" x14ac:dyDescent="0.45">
      <c r="A1460" s="7">
        <v>42107</v>
      </c>
      <c r="B1460" s="8">
        <f>VLOOKUP(Table1[[#This Row],[Date]],'BUD data'!A:F,6,)</f>
        <v>107.249138</v>
      </c>
      <c r="C1460" s="51"/>
      <c r="D1460" s="51"/>
    </row>
    <row r="1461" spans="1:4" x14ac:dyDescent="0.45">
      <c r="A1461" s="7">
        <v>42108</v>
      </c>
      <c r="B1461" s="8">
        <f>VLOOKUP(Table1[[#This Row],[Date]],'BUD data'!A:F,6,)</f>
        <v>107.679016</v>
      </c>
      <c r="C1461" s="51"/>
      <c r="D1461" s="51"/>
    </row>
    <row r="1462" spans="1:4" x14ac:dyDescent="0.45">
      <c r="A1462" s="7">
        <v>42109</v>
      </c>
      <c r="B1462" s="8">
        <f>VLOOKUP(Table1[[#This Row],[Date]],'BUD data'!A:F,6,)</f>
        <v>107.128761</v>
      </c>
      <c r="C1462" s="51"/>
      <c r="D1462" s="51"/>
    </row>
    <row r="1463" spans="1:4" x14ac:dyDescent="0.45">
      <c r="A1463" s="7">
        <v>42110</v>
      </c>
      <c r="B1463" s="8">
        <f>VLOOKUP(Table1[[#This Row],[Date]],'BUD data'!A:F,6,)</f>
        <v>107.12016300000001</v>
      </c>
      <c r="C1463" s="51"/>
      <c r="D1463" s="51"/>
    </row>
    <row r="1464" spans="1:4" x14ac:dyDescent="0.45">
      <c r="A1464" s="7">
        <v>42111</v>
      </c>
      <c r="B1464" s="8">
        <f>VLOOKUP(Table1[[#This Row],[Date]],'BUD data'!A:F,6,)</f>
        <v>106.363556</v>
      </c>
      <c r="C1464" s="51"/>
      <c r="D1464" s="51"/>
    </row>
    <row r="1465" spans="1:4" x14ac:dyDescent="0.45">
      <c r="A1465" s="7">
        <v>42114</v>
      </c>
      <c r="B1465" s="8">
        <f>VLOOKUP(Table1[[#This Row],[Date]],'BUD data'!A:F,6,)</f>
        <v>105.409195</v>
      </c>
      <c r="C1465" s="51"/>
      <c r="D1465" s="51"/>
    </row>
    <row r="1466" spans="1:4" x14ac:dyDescent="0.45">
      <c r="A1466" s="7">
        <v>42115</v>
      </c>
      <c r="B1466" s="8">
        <f>VLOOKUP(Table1[[#This Row],[Date]],'BUD data'!A:F,6,)</f>
        <v>106.09702299999999</v>
      </c>
      <c r="C1466" s="51"/>
      <c r="D1466" s="51"/>
    </row>
    <row r="1467" spans="1:4" x14ac:dyDescent="0.45">
      <c r="A1467" s="7">
        <v>42116</v>
      </c>
      <c r="B1467" s="8">
        <f>VLOOKUP(Table1[[#This Row],[Date]],'BUD data'!A:F,6,)</f>
        <v>105.05669399999999</v>
      </c>
      <c r="C1467" s="51"/>
      <c r="D1467" s="51"/>
    </row>
    <row r="1468" spans="1:4" x14ac:dyDescent="0.45">
      <c r="A1468" s="7">
        <v>42117</v>
      </c>
      <c r="B1468" s="8">
        <f>VLOOKUP(Table1[[#This Row],[Date]],'BUD data'!A:F,6,)</f>
        <v>105.323235</v>
      </c>
      <c r="C1468" s="51"/>
      <c r="D1468" s="51"/>
    </row>
    <row r="1469" spans="1:4" x14ac:dyDescent="0.45">
      <c r="A1469" s="7">
        <v>42118</v>
      </c>
      <c r="B1469" s="8">
        <f>VLOOKUP(Table1[[#This Row],[Date]],'BUD data'!A:F,6,)</f>
        <v>106.372147</v>
      </c>
      <c r="C1469" s="51"/>
      <c r="D1469" s="51"/>
    </row>
    <row r="1470" spans="1:4" x14ac:dyDescent="0.45">
      <c r="A1470" s="7">
        <v>42121</v>
      </c>
      <c r="B1470" s="8">
        <f>VLOOKUP(Table1[[#This Row],[Date]],'BUD data'!A:F,6,)</f>
        <v>107.335106</v>
      </c>
      <c r="C1470" s="51"/>
      <c r="D1470" s="51"/>
    </row>
    <row r="1471" spans="1:4" x14ac:dyDescent="0.45">
      <c r="A1471" s="7">
        <v>42122</v>
      </c>
      <c r="B1471" s="8">
        <f>VLOOKUP(Table1[[#This Row],[Date]],'BUD data'!A:F,6,)</f>
        <v>106.965408</v>
      </c>
      <c r="C1471" s="51"/>
      <c r="D1471" s="51"/>
    </row>
    <row r="1472" spans="1:4" x14ac:dyDescent="0.45">
      <c r="A1472" s="7">
        <v>42123</v>
      </c>
      <c r="B1472" s="8">
        <f>VLOOKUP(Table1[[#This Row],[Date]],'BUD data'!A:F,6,)</f>
        <v>104.71122699999999</v>
      </c>
      <c r="C1472" s="51"/>
      <c r="D1472" s="51"/>
    </row>
    <row r="1473" spans="1:4" x14ac:dyDescent="0.45">
      <c r="A1473" s="7">
        <v>42124</v>
      </c>
      <c r="B1473" s="8">
        <f>VLOOKUP(Table1[[#This Row],[Date]],'BUD data'!A:F,6,)</f>
        <v>105.043739</v>
      </c>
      <c r="C1473" s="51"/>
      <c r="D1473" s="51"/>
    </row>
    <row r="1474" spans="1:4" x14ac:dyDescent="0.45">
      <c r="A1474" s="7">
        <v>42125</v>
      </c>
      <c r="B1474" s="8">
        <f>VLOOKUP(Table1[[#This Row],[Date]],'BUD data'!A:F,6,)</f>
        <v>106.225082</v>
      </c>
      <c r="C1474" s="51"/>
      <c r="D1474" s="51"/>
    </row>
    <row r="1475" spans="1:4" x14ac:dyDescent="0.45">
      <c r="A1475" s="7">
        <v>42128</v>
      </c>
      <c r="B1475" s="8">
        <f>VLOOKUP(Table1[[#This Row],[Date]],'BUD data'!A:F,6,)</f>
        <v>103.49485799999999</v>
      </c>
      <c r="C1475" s="51"/>
      <c r="D1475" s="51"/>
    </row>
    <row r="1476" spans="1:4" x14ac:dyDescent="0.45">
      <c r="A1476" s="7">
        <v>42129</v>
      </c>
      <c r="B1476" s="8">
        <f>VLOOKUP(Table1[[#This Row],[Date]],'BUD data'!A:F,6,)</f>
        <v>102.55853999999999</v>
      </c>
      <c r="C1476" s="51"/>
      <c r="D1476" s="51"/>
    </row>
    <row r="1477" spans="1:4" x14ac:dyDescent="0.45">
      <c r="A1477" s="7">
        <v>42130</v>
      </c>
      <c r="B1477" s="8">
        <f>VLOOKUP(Table1[[#This Row],[Date]],'BUD data'!A:F,6,)</f>
        <v>104.90372499999999</v>
      </c>
      <c r="C1477" s="51"/>
      <c r="D1477" s="51"/>
    </row>
    <row r="1478" spans="1:4" x14ac:dyDescent="0.45">
      <c r="A1478" s="7">
        <v>42131</v>
      </c>
      <c r="B1478" s="8">
        <f>VLOOKUP(Table1[[#This Row],[Date]],'BUD data'!A:F,6,)</f>
        <v>104.73747299999999</v>
      </c>
      <c r="C1478" s="51"/>
      <c r="D1478" s="51"/>
    </row>
    <row r="1479" spans="1:4" x14ac:dyDescent="0.45">
      <c r="A1479" s="7">
        <v>42132</v>
      </c>
      <c r="B1479" s="8">
        <f>VLOOKUP(Table1[[#This Row],[Date]],'BUD data'!A:F,6,)</f>
        <v>107.27516900000001</v>
      </c>
      <c r="C1479" s="51"/>
      <c r="D1479" s="51"/>
    </row>
    <row r="1480" spans="1:4" x14ac:dyDescent="0.45">
      <c r="A1480" s="7">
        <v>42135</v>
      </c>
      <c r="B1480" s="8">
        <f>VLOOKUP(Table1[[#This Row],[Date]],'BUD data'!A:F,6,)</f>
        <v>106.05883</v>
      </c>
      <c r="C1480" s="51"/>
      <c r="D1480" s="51"/>
    </row>
    <row r="1481" spans="1:4" x14ac:dyDescent="0.45">
      <c r="A1481" s="7">
        <v>42136</v>
      </c>
      <c r="B1481" s="8">
        <f>VLOOKUP(Table1[[#This Row],[Date]],'BUD data'!A:F,6,)</f>
        <v>105.595039</v>
      </c>
      <c r="C1481" s="51"/>
      <c r="D1481" s="51"/>
    </row>
    <row r="1482" spans="1:4" x14ac:dyDescent="0.45">
      <c r="A1482" s="7">
        <v>42137</v>
      </c>
      <c r="B1482" s="8">
        <f>VLOOKUP(Table1[[#This Row],[Date]],'BUD data'!A:F,6,)</f>
        <v>105.71753699999999</v>
      </c>
      <c r="C1482" s="51"/>
      <c r="D1482" s="51"/>
    </row>
    <row r="1483" spans="1:4" x14ac:dyDescent="0.45">
      <c r="A1483" s="7">
        <v>42138</v>
      </c>
      <c r="B1483" s="8">
        <f>VLOOKUP(Table1[[#This Row],[Date]],'BUD data'!A:F,6,)</f>
        <v>107.38018</v>
      </c>
      <c r="C1483" s="51"/>
      <c r="D1483" s="51"/>
    </row>
    <row r="1484" spans="1:4" x14ac:dyDescent="0.45">
      <c r="A1484" s="7">
        <v>42139</v>
      </c>
      <c r="B1484" s="8">
        <f>VLOOKUP(Table1[[#This Row],[Date]],'BUD data'!A:F,6,)</f>
        <v>107.616463</v>
      </c>
      <c r="C1484" s="51"/>
      <c r="D1484" s="51"/>
    </row>
    <row r="1485" spans="1:4" x14ac:dyDescent="0.45">
      <c r="A1485" s="7">
        <v>42142</v>
      </c>
      <c r="B1485" s="8">
        <f>VLOOKUP(Table1[[#This Row],[Date]],'BUD data'!A:F,6,)</f>
        <v>106.77639000000001</v>
      </c>
      <c r="C1485" s="51"/>
      <c r="D1485" s="51"/>
    </row>
    <row r="1486" spans="1:4" x14ac:dyDescent="0.45">
      <c r="A1486" s="7">
        <v>42143</v>
      </c>
      <c r="B1486" s="8">
        <f>VLOOKUP(Table1[[#This Row],[Date]],'BUD data'!A:F,6,)</f>
        <v>108.334023</v>
      </c>
      <c r="C1486" s="51"/>
      <c r="D1486" s="51"/>
    </row>
    <row r="1487" spans="1:4" x14ac:dyDescent="0.45">
      <c r="A1487" s="7">
        <v>42144</v>
      </c>
      <c r="B1487" s="8">
        <f>VLOOKUP(Table1[[#This Row],[Date]],'BUD data'!A:F,6,)</f>
        <v>107.983986</v>
      </c>
      <c r="C1487" s="51"/>
      <c r="D1487" s="51"/>
    </row>
    <row r="1488" spans="1:4" x14ac:dyDescent="0.45">
      <c r="A1488" s="7">
        <v>42145</v>
      </c>
      <c r="B1488" s="8">
        <f>VLOOKUP(Table1[[#This Row],[Date]],'BUD data'!A:F,6,)</f>
        <v>108.43027499999999</v>
      </c>
      <c r="C1488" s="51"/>
      <c r="D1488" s="51"/>
    </row>
    <row r="1489" spans="1:4" x14ac:dyDescent="0.45">
      <c r="A1489" s="7">
        <v>42146</v>
      </c>
      <c r="B1489" s="8">
        <f>VLOOKUP(Table1[[#This Row],[Date]],'BUD data'!A:F,6,)</f>
        <v>107.231438</v>
      </c>
      <c r="C1489" s="51"/>
      <c r="D1489" s="51"/>
    </row>
    <row r="1490" spans="1:4" x14ac:dyDescent="0.45">
      <c r="A1490" s="7">
        <v>42150</v>
      </c>
      <c r="B1490" s="8">
        <f>VLOOKUP(Table1[[#This Row],[Date]],'BUD data'!A:F,6,)</f>
        <v>105.061234</v>
      </c>
      <c r="C1490" s="51"/>
      <c r="D1490" s="51"/>
    </row>
    <row r="1491" spans="1:4" x14ac:dyDescent="0.45">
      <c r="A1491" s="7">
        <v>42151</v>
      </c>
      <c r="B1491" s="8">
        <f>VLOOKUP(Table1[[#This Row],[Date]],'BUD data'!A:F,6,)</f>
        <v>106.706383</v>
      </c>
      <c r="C1491" s="51"/>
      <c r="D1491" s="51"/>
    </row>
    <row r="1492" spans="1:4" x14ac:dyDescent="0.45">
      <c r="A1492" s="7">
        <v>42152</v>
      </c>
      <c r="B1492" s="8">
        <f>VLOOKUP(Table1[[#This Row],[Date]],'BUD data'!A:F,6,)</f>
        <v>107.091408</v>
      </c>
      <c r="C1492" s="51"/>
      <c r="D1492" s="51"/>
    </row>
    <row r="1493" spans="1:4" x14ac:dyDescent="0.45">
      <c r="A1493" s="7">
        <v>42153</v>
      </c>
      <c r="B1493" s="8">
        <f>VLOOKUP(Table1[[#This Row],[Date]],'BUD data'!A:F,6,)</f>
        <v>105.49878699999999</v>
      </c>
      <c r="C1493" s="51"/>
      <c r="D1493" s="51"/>
    </row>
    <row r="1494" spans="1:4" x14ac:dyDescent="0.45">
      <c r="A1494" s="7">
        <v>42156</v>
      </c>
      <c r="B1494" s="8">
        <f>VLOOKUP(Table1[[#This Row],[Date]],'BUD data'!A:F,6,)</f>
        <v>104.387451</v>
      </c>
      <c r="C1494" s="51"/>
      <c r="D1494" s="51"/>
    </row>
    <row r="1495" spans="1:4" x14ac:dyDescent="0.45">
      <c r="A1495" s="7">
        <v>42157</v>
      </c>
      <c r="B1495" s="8">
        <f>VLOOKUP(Table1[[#This Row],[Date]],'BUD data'!A:F,6,)</f>
        <v>106.758881</v>
      </c>
      <c r="C1495" s="51"/>
      <c r="D1495" s="51"/>
    </row>
    <row r="1496" spans="1:4" x14ac:dyDescent="0.45">
      <c r="A1496" s="7">
        <v>42158</v>
      </c>
      <c r="B1496" s="8">
        <f>VLOOKUP(Table1[[#This Row],[Date]],'BUD data'!A:F,6,)</f>
        <v>107.695206</v>
      </c>
      <c r="C1496" s="51"/>
      <c r="D1496" s="51"/>
    </row>
    <row r="1497" spans="1:4" x14ac:dyDescent="0.45">
      <c r="A1497" s="7">
        <v>42159</v>
      </c>
      <c r="B1497" s="8">
        <f>VLOOKUP(Table1[[#This Row],[Date]],'BUD data'!A:F,6,)</f>
        <v>106.566368</v>
      </c>
      <c r="C1497" s="51"/>
      <c r="D1497" s="51"/>
    </row>
    <row r="1498" spans="1:4" x14ac:dyDescent="0.45">
      <c r="A1498" s="7">
        <v>42160</v>
      </c>
      <c r="B1498" s="8">
        <f>VLOOKUP(Table1[[#This Row],[Date]],'BUD data'!A:F,6,)</f>
        <v>108.946579</v>
      </c>
      <c r="C1498" s="51"/>
      <c r="D1498" s="51"/>
    </row>
    <row r="1499" spans="1:4" x14ac:dyDescent="0.45">
      <c r="A1499" s="7">
        <v>42163</v>
      </c>
      <c r="B1499" s="8">
        <f>VLOOKUP(Table1[[#This Row],[Date]],'BUD data'!A:F,6,)</f>
        <v>105.525032</v>
      </c>
      <c r="C1499" s="51"/>
      <c r="D1499" s="51"/>
    </row>
    <row r="1500" spans="1:4" x14ac:dyDescent="0.45">
      <c r="A1500" s="7">
        <v>42164</v>
      </c>
      <c r="B1500" s="8">
        <f>VLOOKUP(Table1[[#This Row],[Date]],'BUD data'!A:F,6,)</f>
        <v>105.210007</v>
      </c>
      <c r="C1500" s="51"/>
      <c r="D1500" s="51"/>
    </row>
    <row r="1501" spans="1:4" x14ac:dyDescent="0.45">
      <c r="A1501" s="7">
        <v>42165</v>
      </c>
      <c r="B1501" s="8">
        <f>VLOOKUP(Table1[[#This Row],[Date]],'BUD data'!A:F,6,)</f>
        <v>107.11766799999999</v>
      </c>
      <c r="C1501" s="51"/>
      <c r="D1501" s="51"/>
    </row>
    <row r="1502" spans="1:4" x14ac:dyDescent="0.45">
      <c r="A1502" s="7">
        <v>42166</v>
      </c>
      <c r="B1502" s="8">
        <f>VLOOKUP(Table1[[#This Row],[Date]],'BUD data'!A:F,6,)</f>
        <v>107.581451</v>
      </c>
      <c r="C1502" s="51"/>
      <c r="D1502" s="51"/>
    </row>
    <row r="1503" spans="1:4" x14ac:dyDescent="0.45">
      <c r="A1503" s="7">
        <v>42167</v>
      </c>
      <c r="B1503" s="8">
        <f>VLOOKUP(Table1[[#This Row],[Date]],'BUD data'!A:F,6,)</f>
        <v>106.77639000000001</v>
      </c>
      <c r="C1503" s="51"/>
      <c r="D1503" s="51"/>
    </row>
    <row r="1504" spans="1:4" x14ac:dyDescent="0.45">
      <c r="A1504" s="7">
        <v>42170</v>
      </c>
      <c r="B1504" s="8">
        <f>VLOOKUP(Table1[[#This Row],[Date]],'BUD data'!A:F,6,)</f>
        <v>105.35876500000001</v>
      </c>
      <c r="C1504" s="51"/>
      <c r="D1504" s="51"/>
    </row>
    <row r="1505" spans="1:4" x14ac:dyDescent="0.45">
      <c r="A1505" s="7">
        <v>42171</v>
      </c>
      <c r="B1505" s="8">
        <f>VLOOKUP(Table1[[#This Row],[Date]],'BUD data'!A:F,6,)</f>
        <v>106.24260700000001</v>
      </c>
      <c r="C1505" s="51"/>
      <c r="D1505" s="51"/>
    </row>
    <row r="1506" spans="1:4" x14ac:dyDescent="0.45">
      <c r="A1506" s="7">
        <v>42172</v>
      </c>
      <c r="B1506" s="8">
        <f>VLOOKUP(Table1[[#This Row],[Date]],'BUD data'!A:F,6,)</f>
        <v>106.260086</v>
      </c>
      <c r="C1506" s="51"/>
      <c r="D1506" s="51"/>
    </row>
    <row r="1507" spans="1:4" x14ac:dyDescent="0.45">
      <c r="A1507" s="7">
        <v>42173</v>
      </c>
      <c r="B1507" s="8">
        <f>VLOOKUP(Table1[[#This Row],[Date]],'BUD data'!A:F,6,)</f>
        <v>107.362686</v>
      </c>
      <c r="C1507" s="51"/>
      <c r="D1507" s="51"/>
    </row>
    <row r="1508" spans="1:4" x14ac:dyDescent="0.45">
      <c r="A1508" s="7">
        <v>42174</v>
      </c>
      <c r="B1508" s="8">
        <f>VLOOKUP(Table1[[#This Row],[Date]],'BUD data'!A:F,6,)</f>
        <v>106.76763200000001</v>
      </c>
      <c r="C1508" s="51"/>
      <c r="D1508" s="51"/>
    </row>
    <row r="1509" spans="1:4" x14ac:dyDescent="0.45">
      <c r="A1509" s="7">
        <v>42177</v>
      </c>
      <c r="B1509" s="8">
        <f>VLOOKUP(Table1[[#This Row],[Date]],'BUD data'!A:F,6,)</f>
        <v>109.366608</v>
      </c>
      <c r="C1509" s="51"/>
      <c r="D1509" s="51"/>
    </row>
    <row r="1510" spans="1:4" x14ac:dyDescent="0.45">
      <c r="A1510" s="7">
        <v>42178</v>
      </c>
      <c r="B1510" s="8">
        <f>VLOOKUP(Table1[[#This Row],[Date]],'BUD data'!A:F,6,)</f>
        <v>110.40793600000001</v>
      </c>
      <c r="C1510" s="51"/>
      <c r="D1510" s="51"/>
    </row>
    <row r="1511" spans="1:4" x14ac:dyDescent="0.45">
      <c r="A1511" s="7">
        <v>42179</v>
      </c>
      <c r="B1511" s="8">
        <f>VLOOKUP(Table1[[#This Row],[Date]],'BUD data'!A:F,6,)</f>
        <v>110.33792099999999</v>
      </c>
      <c r="C1511" s="51"/>
      <c r="D1511" s="51"/>
    </row>
    <row r="1512" spans="1:4" x14ac:dyDescent="0.45">
      <c r="A1512" s="7">
        <v>42180</v>
      </c>
      <c r="B1512" s="8">
        <f>VLOOKUP(Table1[[#This Row],[Date]],'BUD data'!A:F,6,)</f>
        <v>109.82164</v>
      </c>
      <c r="C1512" s="51"/>
      <c r="D1512" s="51"/>
    </row>
    <row r="1513" spans="1:4" x14ac:dyDescent="0.45">
      <c r="A1513" s="7">
        <v>42181</v>
      </c>
      <c r="B1513" s="8">
        <f>VLOOKUP(Table1[[#This Row],[Date]],'BUD data'!A:F,6,)</f>
        <v>110.20667299999999</v>
      </c>
      <c r="C1513" s="51"/>
      <c r="D1513" s="51"/>
    </row>
    <row r="1514" spans="1:4" x14ac:dyDescent="0.45">
      <c r="A1514" s="7">
        <v>42184</v>
      </c>
      <c r="B1514" s="8">
        <f>VLOOKUP(Table1[[#This Row],[Date]],'BUD data'!A:F,6,)</f>
        <v>106.62763200000001</v>
      </c>
      <c r="C1514" s="51"/>
      <c r="D1514" s="51"/>
    </row>
    <row r="1515" spans="1:4" x14ac:dyDescent="0.45">
      <c r="A1515" s="7">
        <v>42185</v>
      </c>
      <c r="B1515" s="8">
        <f>VLOOKUP(Table1[[#This Row],[Date]],'BUD data'!A:F,6,)</f>
        <v>105.595039</v>
      </c>
      <c r="C1515" s="51"/>
      <c r="D1515" s="51"/>
    </row>
    <row r="1516" spans="1:4" x14ac:dyDescent="0.45">
      <c r="A1516" s="7">
        <v>42186</v>
      </c>
      <c r="B1516" s="8">
        <f>VLOOKUP(Table1[[#This Row],[Date]],'BUD data'!A:F,6,)</f>
        <v>107.248924</v>
      </c>
      <c r="C1516" s="51"/>
      <c r="D1516" s="51"/>
    </row>
    <row r="1517" spans="1:4" x14ac:dyDescent="0.45">
      <c r="A1517" s="7">
        <v>42187</v>
      </c>
      <c r="B1517" s="8">
        <f>VLOOKUP(Table1[[#This Row],[Date]],'BUD data'!A:F,6,)</f>
        <v>106.723877</v>
      </c>
      <c r="C1517" s="51"/>
      <c r="D1517" s="51"/>
    </row>
    <row r="1518" spans="1:4" x14ac:dyDescent="0.45">
      <c r="A1518" s="7">
        <v>42191</v>
      </c>
      <c r="B1518" s="8">
        <f>VLOOKUP(Table1[[#This Row],[Date]],'BUD data'!A:F,6,)</f>
        <v>103.61737100000001</v>
      </c>
      <c r="C1518" s="51"/>
      <c r="D1518" s="51"/>
    </row>
    <row r="1519" spans="1:4" x14ac:dyDescent="0.45">
      <c r="A1519" s="7">
        <v>42192</v>
      </c>
      <c r="B1519" s="8">
        <f>VLOOKUP(Table1[[#This Row],[Date]],'BUD data'!A:F,6,)</f>
        <v>104.48369599999999</v>
      </c>
      <c r="C1519" s="51"/>
      <c r="D1519" s="51"/>
    </row>
    <row r="1520" spans="1:4" x14ac:dyDescent="0.45">
      <c r="A1520" s="7">
        <v>42193</v>
      </c>
      <c r="B1520" s="8">
        <f>VLOOKUP(Table1[[#This Row],[Date]],'BUD data'!A:F,6,)</f>
        <v>103.80989099999999</v>
      </c>
      <c r="C1520" s="51"/>
      <c r="D1520" s="51"/>
    </row>
    <row r="1521" spans="1:4" x14ac:dyDescent="0.45">
      <c r="A1521" s="7">
        <v>42194</v>
      </c>
      <c r="B1521" s="8">
        <f>VLOOKUP(Table1[[#This Row],[Date]],'BUD data'!A:F,6,)</f>
        <v>105.35876500000001</v>
      </c>
      <c r="C1521" s="51"/>
      <c r="D1521" s="51"/>
    </row>
    <row r="1522" spans="1:4" x14ac:dyDescent="0.45">
      <c r="A1522" s="7">
        <v>42195</v>
      </c>
      <c r="B1522" s="8">
        <f>VLOOKUP(Table1[[#This Row],[Date]],'BUD data'!A:F,6,)</f>
        <v>110.792976</v>
      </c>
      <c r="C1522" s="51"/>
      <c r="D1522" s="51"/>
    </row>
    <row r="1523" spans="1:4" x14ac:dyDescent="0.45">
      <c r="A1523" s="7">
        <v>42198</v>
      </c>
      <c r="B1523" s="8">
        <f>VLOOKUP(Table1[[#This Row],[Date]],'BUD data'!A:F,6,)</f>
        <v>110.836731</v>
      </c>
      <c r="C1523" s="51"/>
      <c r="D1523" s="51"/>
    </row>
    <row r="1524" spans="1:4" x14ac:dyDescent="0.45">
      <c r="A1524" s="7">
        <v>42199</v>
      </c>
      <c r="B1524" s="8">
        <f>VLOOKUP(Table1[[#This Row],[Date]],'BUD data'!A:F,6,)</f>
        <v>111.17800099999999</v>
      </c>
      <c r="C1524" s="51"/>
      <c r="D1524" s="51"/>
    </row>
    <row r="1525" spans="1:4" x14ac:dyDescent="0.45">
      <c r="A1525" s="7">
        <v>42200</v>
      </c>
      <c r="B1525" s="8">
        <f>VLOOKUP(Table1[[#This Row],[Date]],'BUD data'!A:F,6,)</f>
        <v>111.291763</v>
      </c>
      <c r="C1525" s="51"/>
      <c r="D1525" s="51"/>
    </row>
    <row r="1526" spans="1:4" x14ac:dyDescent="0.45">
      <c r="A1526" s="7">
        <v>42201</v>
      </c>
      <c r="B1526" s="8">
        <f>VLOOKUP(Table1[[#This Row],[Date]],'BUD data'!A:F,6,)</f>
        <v>112.385605</v>
      </c>
      <c r="C1526" s="51"/>
      <c r="D1526" s="51"/>
    </row>
    <row r="1527" spans="1:4" x14ac:dyDescent="0.45">
      <c r="A1527" s="7">
        <v>42202</v>
      </c>
      <c r="B1527" s="8">
        <f>VLOOKUP(Table1[[#This Row],[Date]],'BUD data'!A:F,6,)</f>
        <v>112.446854</v>
      </c>
      <c r="C1527" s="51"/>
      <c r="D1527" s="51"/>
    </row>
    <row r="1528" spans="1:4" x14ac:dyDescent="0.45">
      <c r="A1528" s="7">
        <v>42205</v>
      </c>
      <c r="B1528" s="8">
        <f>VLOOKUP(Table1[[#This Row],[Date]],'BUD data'!A:F,6,)</f>
        <v>112.455612</v>
      </c>
      <c r="C1528" s="51"/>
      <c r="D1528" s="51"/>
    </row>
    <row r="1529" spans="1:4" x14ac:dyDescent="0.45">
      <c r="A1529" s="7">
        <v>42206</v>
      </c>
      <c r="B1529" s="8">
        <f>VLOOKUP(Table1[[#This Row],[Date]],'BUD data'!A:F,6,)</f>
        <v>112.070595</v>
      </c>
      <c r="C1529" s="51"/>
      <c r="D1529" s="51"/>
    </row>
    <row r="1530" spans="1:4" x14ac:dyDescent="0.45">
      <c r="A1530" s="7">
        <v>42207</v>
      </c>
      <c r="B1530" s="8">
        <f>VLOOKUP(Table1[[#This Row],[Date]],'BUD data'!A:F,6,)</f>
        <v>111.54553199999999</v>
      </c>
      <c r="C1530" s="51"/>
      <c r="D1530" s="51"/>
    </row>
    <row r="1531" spans="1:4" x14ac:dyDescent="0.45">
      <c r="A1531" s="7">
        <v>42208</v>
      </c>
      <c r="B1531" s="8">
        <f>VLOOKUP(Table1[[#This Row],[Date]],'BUD data'!A:F,6,)</f>
        <v>110.08416699999999</v>
      </c>
      <c r="C1531" s="51"/>
      <c r="D1531" s="51"/>
    </row>
    <row r="1532" spans="1:4" x14ac:dyDescent="0.45">
      <c r="A1532" s="7">
        <v>42209</v>
      </c>
      <c r="B1532" s="8">
        <f>VLOOKUP(Table1[[#This Row],[Date]],'BUD data'!A:F,6,)</f>
        <v>108.85030399999999</v>
      </c>
      <c r="C1532" s="51"/>
      <c r="D1532" s="51"/>
    </row>
    <row r="1533" spans="1:4" x14ac:dyDescent="0.45">
      <c r="A1533" s="7">
        <v>42212</v>
      </c>
      <c r="B1533" s="8">
        <f>VLOOKUP(Table1[[#This Row],[Date]],'BUD data'!A:F,6,)</f>
        <v>107.93147999999999</v>
      </c>
      <c r="C1533" s="51"/>
      <c r="D1533" s="51"/>
    </row>
    <row r="1534" spans="1:4" x14ac:dyDescent="0.45">
      <c r="A1534" s="7">
        <v>42213</v>
      </c>
      <c r="B1534" s="8">
        <f>VLOOKUP(Table1[[#This Row],[Date]],'BUD data'!A:F,6,)</f>
        <v>108.334023</v>
      </c>
      <c r="C1534" s="51"/>
      <c r="D1534" s="51"/>
    </row>
    <row r="1535" spans="1:4" x14ac:dyDescent="0.45">
      <c r="A1535" s="7">
        <v>42214</v>
      </c>
      <c r="B1535" s="8">
        <f>VLOOKUP(Table1[[#This Row],[Date]],'BUD data'!A:F,6,)</f>
        <v>109.462852</v>
      </c>
      <c r="C1535" s="51"/>
      <c r="D1535" s="51"/>
    </row>
    <row r="1536" spans="1:4" x14ac:dyDescent="0.45">
      <c r="A1536" s="7">
        <v>42215</v>
      </c>
      <c r="B1536" s="8">
        <f>VLOOKUP(Table1[[#This Row],[Date]],'BUD data'!A:F,6,)</f>
        <v>104.921234</v>
      </c>
      <c r="C1536" s="51"/>
      <c r="D1536" s="51"/>
    </row>
    <row r="1537" spans="1:4" x14ac:dyDescent="0.45">
      <c r="A1537" s="7">
        <v>42216</v>
      </c>
      <c r="B1537" s="8">
        <f>VLOOKUP(Table1[[#This Row],[Date]],'BUD data'!A:F,6,)</f>
        <v>104.61496</v>
      </c>
      <c r="C1537" s="51"/>
      <c r="D1537" s="51"/>
    </row>
    <row r="1538" spans="1:4" x14ac:dyDescent="0.45">
      <c r="A1538" s="7">
        <v>42219</v>
      </c>
      <c r="B1538" s="8">
        <f>VLOOKUP(Table1[[#This Row],[Date]],'BUD data'!A:F,6,)</f>
        <v>105.139999</v>
      </c>
      <c r="C1538" s="51"/>
      <c r="D1538" s="51"/>
    </row>
    <row r="1539" spans="1:4" x14ac:dyDescent="0.45">
      <c r="A1539" s="7">
        <v>42220</v>
      </c>
      <c r="B1539" s="8">
        <f>VLOOKUP(Table1[[#This Row],[Date]],'BUD data'!A:F,6,)</f>
        <v>104.68495900000001</v>
      </c>
      <c r="C1539" s="51"/>
      <c r="D1539" s="51"/>
    </row>
    <row r="1540" spans="1:4" x14ac:dyDescent="0.45">
      <c r="A1540" s="7">
        <v>42221</v>
      </c>
      <c r="B1540" s="8">
        <f>VLOOKUP(Table1[[#This Row],[Date]],'BUD data'!A:F,6,)</f>
        <v>106.548866</v>
      </c>
      <c r="C1540" s="51"/>
      <c r="D1540" s="51"/>
    </row>
    <row r="1541" spans="1:4" x14ac:dyDescent="0.45">
      <c r="A1541" s="7">
        <v>42222</v>
      </c>
      <c r="B1541" s="8">
        <f>VLOOKUP(Table1[[#This Row],[Date]],'BUD data'!A:F,6,)</f>
        <v>106.662628</v>
      </c>
      <c r="C1541" s="51"/>
      <c r="D1541" s="51"/>
    </row>
    <row r="1542" spans="1:4" x14ac:dyDescent="0.45">
      <c r="A1542" s="7">
        <v>42223</v>
      </c>
      <c r="B1542" s="8">
        <f>VLOOKUP(Table1[[#This Row],[Date]],'BUD data'!A:F,6,)</f>
        <v>105.55128499999999</v>
      </c>
      <c r="C1542" s="51"/>
      <c r="D1542" s="51"/>
    </row>
    <row r="1543" spans="1:4" x14ac:dyDescent="0.45">
      <c r="A1543" s="7">
        <v>42226</v>
      </c>
      <c r="B1543" s="8">
        <f>VLOOKUP(Table1[[#This Row],[Date]],'BUD data'!A:F,6,)</f>
        <v>106.71513400000001</v>
      </c>
      <c r="C1543" s="51"/>
      <c r="D1543" s="51"/>
    </row>
    <row r="1544" spans="1:4" x14ac:dyDescent="0.45">
      <c r="A1544" s="7">
        <v>42227</v>
      </c>
      <c r="B1544" s="8">
        <f>VLOOKUP(Table1[[#This Row],[Date]],'BUD data'!A:F,6,)</f>
        <v>105.840057</v>
      </c>
      <c r="C1544" s="51"/>
      <c r="D1544" s="51"/>
    </row>
    <row r="1545" spans="1:4" x14ac:dyDescent="0.45">
      <c r="A1545" s="7">
        <v>42228</v>
      </c>
      <c r="B1545" s="8">
        <f>VLOOKUP(Table1[[#This Row],[Date]],'BUD data'!A:F,6,)</f>
        <v>104.34367399999999</v>
      </c>
      <c r="C1545" s="51"/>
      <c r="D1545" s="51"/>
    </row>
    <row r="1546" spans="1:4" x14ac:dyDescent="0.45">
      <c r="A1546" s="7">
        <v>42229</v>
      </c>
      <c r="B1546" s="8">
        <f>VLOOKUP(Table1[[#This Row],[Date]],'BUD data'!A:F,6,)</f>
        <v>104.098671</v>
      </c>
      <c r="C1546" s="51"/>
      <c r="D1546" s="51"/>
    </row>
    <row r="1547" spans="1:4" x14ac:dyDescent="0.45">
      <c r="A1547" s="7">
        <v>42230</v>
      </c>
      <c r="B1547" s="8">
        <f>VLOOKUP(Table1[[#This Row],[Date]],'BUD data'!A:F,6,)</f>
        <v>102.66353599999999</v>
      </c>
      <c r="C1547" s="51"/>
      <c r="D1547" s="51"/>
    </row>
    <row r="1548" spans="1:4" x14ac:dyDescent="0.45">
      <c r="A1548" s="7">
        <v>42233</v>
      </c>
      <c r="B1548" s="8">
        <f>VLOOKUP(Table1[[#This Row],[Date]],'BUD data'!A:F,6,)</f>
        <v>102.1735</v>
      </c>
      <c r="C1548" s="51"/>
      <c r="D1548" s="51"/>
    </row>
    <row r="1549" spans="1:4" x14ac:dyDescent="0.45">
      <c r="A1549" s="7">
        <v>42234</v>
      </c>
      <c r="B1549" s="8">
        <f>VLOOKUP(Table1[[#This Row],[Date]],'BUD data'!A:F,6,)</f>
        <v>102.331024</v>
      </c>
      <c r="C1549" s="51"/>
      <c r="D1549" s="51"/>
    </row>
    <row r="1550" spans="1:4" x14ac:dyDescent="0.45">
      <c r="A1550" s="7">
        <v>42235</v>
      </c>
      <c r="B1550" s="8">
        <f>VLOOKUP(Table1[[#This Row],[Date]],'BUD data'!A:F,6,)</f>
        <v>100.23085</v>
      </c>
      <c r="C1550" s="51"/>
      <c r="D1550" s="51"/>
    </row>
    <row r="1551" spans="1:4" x14ac:dyDescent="0.45">
      <c r="A1551" s="7">
        <v>42236</v>
      </c>
      <c r="B1551" s="8">
        <f>VLOOKUP(Table1[[#This Row],[Date]],'BUD data'!A:F,6,)</f>
        <v>98.139420000000001</v>
      </c>
      <c r="C1551" s="51"/>
      <c r="D1551" s="51"/>
    </row>
    <row r="1552" spans="1:4" x14ac:dyDescent="0.45">
      <c r="A1552" s="7">
        <v>42237</v>
      </c>
      <c r="B1552" s="8">
        <f>VLOOKUP(Table1[[#This Row],[Date]],'BUD data'!A:F,6,)</f>
        <v>95.347938999999997</v>
      </c>
      <c r="C1552" s="51"/>
      <c r="D1552" s="51"/>
    </row>
    <row r="1553" spans="1:4" x14ac:dyDescent="0.45">
      <c r="A1553" s="7">
        <v>42240</v>
      </c>
      <c r="B1553" s="8">
        <f>VLOOKUP(Table1[[#This Row],[Date]],'BUD data'!A:F,6,)</f>
        <v>94.035331999999997</v>
      </c>
      <c r="C1553" s="51"/>
      <c r="D1553" s="51"/>
    </row>
    <row r="1554" spans="1:4" x14ac:dyDescent="0.45">
      <c r="A1554" s="7">
        <v>42241</v>
      </c>
      <c r="B1554" s="8">
        <f>VLOOKUP(Table1[[#This Row],[Date]],'BUD data'!A:F,6,)</f>
        <v>92.906479000000004</v>
      </c>
      <c r="C1554" s="51"/>
      <c r="D1554" s="51"/>
    </row>
    <row r="1555" spans="1:4" x14ac:dyDescent="0.45">
      <c r="A1555" s="7">
        <v>42242</v>
      </c>
      <c r="B1555" s="8">
        <f>VLOOKUP(Table1[[#This Row],[Date]],'BUD data'!A:F,6,)</f>
        <v>94.665367000000003</v>
      </c>
      <c r="C1555" s="51"/>
      <c r="D1555" s="51"/>
    </row>
    <row r="1556" spans="1:4" x14ac:dyDescent="0.45">
      <c r="A1556" s="7">
        <v>42243</v>
      </c>
      <c r="B1556" s="8">
        <f>VLOOKUP(Table1[[#This Row],[Date]],'BUD data'!A:F,6,)</f>
        <v>96.538039999999995</v>
      </c>
      <c r="C1556" s="51"/>
      <c r="D1556" s="51"/>
    </row>
    <row r="1557" spans="1:4" x14ac:dyDescent="0.45">
      <c r="A1557" s="7">
        <v>42244</v>
      </c>
      <c r="B1557" s="8">
        <f>VLOOKUP(Table1[[#This Row],[Date]],'BUD data'!A:F,6,)</f>
        <v>96.161750999999995</v>
      </c>
      <c r="C1557" s="51"/>
      <c r="D1557" s="51"/>
    </row>
    <row r="1558" spans="1:4" x14ac:dyDescent="0.45">
      <c r="A1558" s="7">
        <v>42247</v>
      </c>
      <c r="B1558" s="8">
        <f>VLOOKUP(Table1[[#This Row],[Date]],'BUD data'!A:F,6,)</f>
        <v>95.304175999999998</v>
      </c>
      <c r="C1558" s="51"/>
      <c r="D1558" s="51"/>
    </row>
    <row r="1559" spans="1:4" x14ac:dyDescent="0.45">
      <c r="A1559" s="7">
        <v>42248</v>
      </c>
      <c r="B1559" s="8">
        <f>VLOOKUP(Table1[[#This Row],[Date]],'BUD data'!A:F,6,)</f>
        <v>92.818969999999993</v>
      </c>
      <c r="C1559" s="51"/>
      <c r="D1559" s="51"/>
    </row>
    <row r="1560" spans="1:4" x14ac:dyDescent="0.45">
      <c r="A1560" s="7">
        <v>42249</v>
      </c>
      <c r="B1560" s="8">
        <f>VLOOKUP(Table1[[#This Row],[Date]],'BUD data'!A:F,6,)</f>
        <v>94.735389999999995</v>
      </c>
      <c r="C1560" s="51"/>
      <c r="D1560" s="51"/>
    </row>
    <row r="1561" spans="1:4" x14ac:dyDescent="0.45">
      <c r="A1561" s="7">
        <v>42250</v>
      </c>
      <c r="B1561" s="8">
        <f>VLOOKUP(Table1[[#This Row],[Date]],'BUD data'!A:F,6,)</f>
        <v>94.367844000000005</v>
      </c>
      <c r="C1561" s="51"/>
      <c r="D1561" s="51"/>
    </row>
    <row r="1562" spans="1:4" x14ac:dyDescent="0.45">
      <c r="A1562" s="7">
        <v>42251</v>
      </c>
      <c r="B1562" s="8">
        <f>VLOOKUP(Table1[[#This Row],[Date]],'BUD data'!A:F,6,)</f>
        <v>92.670203999999998</v>
      </c>
      <c r="C1562" s="51"/>
      <c r="D1562" s="51"/>
    </row>
    <row r="1563" spans="1:4" x14ac:dyDescent="0.45">
      <c r="A1563" s="7">
        <v>42255</v>
      </c>
      <c r="B1563" s="8">
        <f>VLOOKUP(Table1[[#This Row],[Date]],'BUD data'!A:F,6,)</f>
        <v>94.455353000000002</v>
      </c>
      <c r="C1563" s="51"/>
      <c r="D1563" s="51"/>
    </row>
    <row r="1564" spans="1:4" x14ac:dyDescent="0.45">
      <c r="A1564" s="7">
        <v>42256</v>
      </c>
      <c r="B1564" s="8">
        <f>VLOOKUP(Table1[[#This Row],[Date]],'BUD data'!A:F,6,)</f>
        <v>94.560371000000004</v>
      </c>
      <c r="C1564" s="51"/>
      <c r="D1564" s="51"/>
    </row>
    <row r="1565" spans="1:4" x14ac:dyDescent="0.45">
      <c r="A1565" s="7">
        <v>42257</v>
      </c>
      <c r="B1565" s="8">
        <f>VLOOKUP(Table1[[#This Row],[Date]],'BUD data'!A:F,6,)</f>
        <v>94.621619999999993</v>
      </c>
      <c r="C1565" s="51"/>
      <c r="D1565" s="51"/>
    </row>
    <row r="1566" spans="1:4" x14ac:dyDescent="0.45">
      <c r="A1566" s="7">
        <v>42258</v>
      </c>
      <c r="B1566" s="8">
        <f>VLOOKUP(Table1[[#This Row],[Date]],'BUD data'!A:F,6,)</f>
        <v>94.114090000000004</v>
      </c>
      <c r="C1566" s="51"/>
      <c r="D1566" s="51"/>
    </row>
    <row r="1567" spans="1:4" x14ac:dyDescent="0.45">
      <c r="A1567" s="7">
        <v>42261</v>
      </c>
      <c r="B1567" s="8">
        <f>VLOOKUP(Table1[[#This Row],[Date]],'BUD data'!A:F,6,)</f>
        <v>93.107758000000004</v>
      </c>
      <c r="C1567" s="51"/>
      <c r="D1567" s="51"/>
    </row>
    <row r="1568" spans="1:4" x14ac:dyDescent="0.45">
      <c r="A1568" s="7">
        <v>42262</v>
      </c>
      <c r="B1568" s="8">
        <f>VLOOKUP(Table1[[#This Row],[Date]],'BUD data'!A:F,6,)</f>
        <v>94.542877000000004</v>
      </c>
      <c r="C1568" s="51"/>
      <c r="D1568" s="51"/>
    </row>
    <row r="1569" spans="1:4" x14ac:dyDescent="0.45">
      <c r="A1569" s="7">
        <v>42263</v>
      </c>
      <c r="B1569" s="8">
        <f>VLOOKUP(Table1[[#This Row],[Date]],'BUD data'!A:F,6,)</f>
        <v>101.009659</v>
      </c>
      <c r="C1569" s="51"/>
      <c r="D1569" s="51"/>
    </row>
    <row r="1570" spans="1:4" x14ac:dyDescent="0.45">
      <c r="A1570" s="7">
        <v>42264</v>
      </c>
      <c r="B1570" s="8">
        <f>VLOOKUP(Table1[[#This Row],[Date]],'BUD data'!A:F,6,)</f>
        <v>100.467102</v>
      </c>
      <c r="C1570" s="51"/>
      <c r="D1570" s="51"/>
    </row>
    <row r="1571" spans="1:4" x14ac:dyDescent="0.45">
      <c r="A1571" s="7">
        <v>42265</v>
      </c>
      <c r="B1571" s="8">
        <f>VLOOKUP(Table1[[#This Row],[Date]],'BUD data'!A:F,6,)</f>
        <v>100.047073</v>
      </c>
      <c r="C1571" s="51"/>
      <c r="D1571" s="51"/>
    </row>
    <row r="1572" spans="1:4" x14ac:dyDescent="0.45">
      <c r="A1572" s="7">
        <v>42268</v>
      </c>
      <c r="B1572" s="8">
        <f>VLOOKUP(Table1[[#This Row],[Date]],'BUD data'!A:F,6,)</f>
        <v>96.660538000000003</v>
      </c>
      <c r="C1572" s="51"/>
      <c r="D1572" s="51"/>
    </row>
    <row r="1573" spans="1:4" x14ac:dyDescent="0.45">
      <c r="A1573" s="7">
        <v>42269</v>
      </c>
      <c r="B1573" s="8">
        <f>VLOOKUP(Table1[[#This Row],[Date]],'BUD data'!A:F,6,)</f>
        <v>94.044083000000001</v>
      </c>
      <c r="C1573" s="51"/>
      <c r="D1573" s="51"/>
    </row>
    <row r="1574" spans="1:4" x14ac:dyDescent="0.45">
      <c r="A1574" s="7">
        <v>42270</v>
      </c>
      <c r="B1574" s="8">
        <f>VLOOKUP(Table1[[#This Row],[Date]],'BUD data'!A:F,6,)</f>
        <v>94.350357000000002</v>
      </c>
      <c r="C1574" s="51"/>
      <c r="D1574" s="51"/>
    </row>
    <row r="1575" spans="1:4" x14ac:dyDescent="0.45">
      <c r="A1575" s="7">
        <v>42271</v>
      </c>
      <c r="B1575" s="8">
        <f>VLOOKUP(Table1[[#This Row],[Date]],'BUD data'!A:F,6,)</f>
        <v>93.510277000000002</v>
      </c>
      <c r="C1575" s="51"/>
      <c r="D1575" s="51"/>
    </row>
    <row r="1576" spans="1:4" x14ac:dyDescent="0.45">
      <c r="A1576" s="7">
        <v>42272</v>
      </c>
      <c r="B1576" s="8">
        <f>VLOOKUP(Table1[[#This Row],[Date]],'BUD data'!A:F,6,)</f>
        <v>95.829223999999996</v>
      </c>
      <c r="C1576" s="51"/>
      <c r="D1576" s="51"/>
    </row>
    <row r="1577" spans="1:4" x14ac:dyDescent="0.45">
      <c r="A1577" s="7">
        <v>42275</v>
      </c>
      <c r="B1577" s="8">
        <f>VLOOKUP(Table1[[#This Row],[Date]],'BUD data'!A:F,6,)</f>
        <v>92.512694999999994</v>
      </c>
      <c r="C1577" s="51"/>
      <c r="D1577" s="51"/>
    </row>
    <row r="1578" spans="1:4" x14ac:dyDescent="0.45">
      <c r="A1578" s="7">
        <v>42276</v>
      </c>
      <c r="B1578" s="8">
        <f>VLOOKUP(Table1[[#This Row],[Date]],'BUD data'!A:F,6,)</f>
        <v>90.885056000000006</v>
      </c>
      <c r="C1578" s="51"/>
      <c r="D1578" s="51"/>
    </row>
    <row r="1579" spans="1:4" x14ac:dyDescent="0.45">
      <c r="A1579" s="7">
        <v>42277</v>
      </c>
      <c r="B1579" s="8">
        <f>VLOOKUP(Table1[[#This Row],[Date]],'BUD data'!A:F,6,)</f>
        <v>93.037757999999997</v>
      </c>
      <c r="C1579" s="51"/>
      <c r="D1579" s="51"/>
    </row>
    <row r="1580" spans="1:4" x14ac:dyDescent="0.45">
      <c r="A1580" s="7">
        <v>42278</v>
      </c>
      <c r="B1580" s="8">
        <f>VLOOKUP(Table1[[#This Row],[Date]],'BUD data'!A:F,6,)</f>
        <v>93.344016999999994</v>
      </c>
      <c r="C1580" s="51"/>
      <c r="D1580" s="51"/>
    </row>
    <row r="1581" spans="1:4" x14ac:dyDescent="0.45">
      <c r="A1581" s="7">
        <v>42279</v>
      </c>
      <c r="B1581" s="8">
        <f>VLOOKUP(Table1[[#This Row],[Date]],'BUD data'!A:F,6,)</f>
        <v>96.293014999999997</v>
      </c>
      <c r="C1581" s="51"/>
      <c r="D1581" s="51"/>
    </row>
    <row r="1582" spans="1:4" x14ac:dyDescent="0.45">
      <c r="A1582" s="7">
        <v>42282</v>
      </c>
      <c r="B1582" s="8">
        <f>VLOOKUP(Table1[[#This Row],[Date]],'BUD data'!A:F,6,)</f>
        <v>96.905563000000001</v>
      </c>
      <c r="C1582" s="51"/>
      <c r="D1582" s="51"/>
    </row>
    <row r="1583" spans="1:4" x14ac:dyDescent="0.45">
      <c r="A1583" s="7">
        <v>42283</v>
      </c>
      <c r="B1583" s="8">
        <f>VLOOKUP(Table1[[#This Row],[Date]],'BUD data'!A:F,6,)</f>
        <v>95.907966999999999</v>
      </c>
      <c r="C1583" s="51"/>
      <c r="D1583" s="51"/>
    </row>
    <row r="1584" spans="1:4" x14ac:dyDescent="0.45">
      <c r="A1584" s="7">
        <v>42284</v>
      </c>
      <c r="B1584" s="8">
        <f>VLOOKUP(Table1[[#This Row],[Date]],'BUD data'!A:F,6,)</f>
        <v>97.098076000000006</v>
      </c>
      <c r="C1584" s="51"/>
      <c r="D1584" s="51"/>
    </row>
    <row r="1585" spans="1:4" x14ac:dyDescent="0.45">
      <c r="A1585" s="7">
        <v>42285</v>
      </c>
      <c r="B1585" s="8">
        <f>VLOOKUP(Table1[[#This Row],[Date]],'BUD data'!A:F,6,)</f>
        <v>96.861808999999994</v>
      </c>
      <c r="C1585" s="51"/>
      <c r="D1585" s="51"/>
    </row>
    <row r="1586" spans="1:4" x14ac:dyDescent="0.45">
      <c r="A1586" s="7">
        <v>42286</v>
      </c>
      <c r="B1586" s="8">
        <f>VLOOKUP(Table1[[#This Row],[Date]],'BUD data'!A:F,6,)</f>
        <v>97.903144999999995</v>
      </c>
      <c r="C1586" s="51"/>
      <c r="D1586" s="51"/>
    </row>
    <row r="1587" spans="1:4" x14ac:dyDescent="0.45">
      <c r="A1587" s="7">
        <v>42289</v>
      </c>
      <c r="B1587" s="8">
        <f>VLOOKUP(Table1[[#This Row],[Date]],'BUD data'!A:F,6,)</f>
        <v>97.561874000000003</v>
      </c>
      <c r="C1587" s="51"/>
      <c r="D1587" s="51"/>
    </row>
    <row r="1588" spans="1:4" x14ac:dyDescent="0.45">
      <c r="A1588" s="7">
        <v>42290</v>
      </c>
      <c r="B1588" s="8">
        <f>VLOOKUP(Table1[[#This Row],[Date]],'BUD data'!A:F,6,)</f>
        <v>99.609549999999999</v>
      </c>
      <c r="C1588" s="51"/>
      <c r="D1588" s="51"/>
    </row>
    <row r="1589" spans="1:4" x14ac:dyDescent="0.45">
      <c r="A1589" s="7">
        <v>42291</v>
      </c>
      <c r="B1589" s="8">
        <f>VLOOKUP(Table1[[#This Row],[Date]],'BUD data'!A:F,6,)</f>
        <v>101.009659</v>
      </c>
      <c r="C1589" s="51"/>
      <c r="D1589" s="51"/>
    </row>
    <row r="1590" spans="1:4" x14ac:dyDescent="0.45">
      <c r="A1590" s="7">
        <v>42292</v>
      </c>
      <c r="B1590" s="8">
        <f>VLOOKUP(Table1[[#This Row],[Date]],'BUD data'!A:F,6,)</f>
        <v>100.860901</v>
      </c>
      <c r="C1590" s="51"/>
      <c r="D1590" s="51"/>
    </row>
    <row r="1591" spans="1:4" x14ac:dyDescent="0.45">
      <c r="A1591" s="7">
        <v>42293</v>
      </c>
      <c r="B1591" s="8">
        <f>VLOOKUP(Table1[[#This Row],[Date]],'BUD data'!A:F,6,)</f>
        <v>100.72088599999999</v>
      </c>
      <c r="C1591" s="51"/>
      <c r="D1591" s="51"/>
    </row>
    <row r="1592" spans="1:4" x14ac:dyDescent="0.45">
      <c r="A1592" s="7">
        <v>42296</v>
      </c>
      <c r="B1592" s="8">
        <f>VLOOKUP(Table1[[#This Row],[Date]],'BUD data'!A:F,6,)</f>
        <v>101.622208</v>
      </c>
      <c r="C1592" s="51"/>
      <c r="D1592" s="51"/>
    </row>
    <row r="1593" spans="1:4" x14ac:dyDescent="0.45">
      <c r="A1593" s="7">
        <v>42297</v>
      </c>
      <c r="B1593" s="8">
        <f>VLOOKUP(Table1[[#This Row],[Date]],'BUD data'!A:F,6,)</f>
        <v>101.534706</v>
      </c>
      <c r="C1593" s="51"/>
      <c r="D1593" s="51"/>
    </row>
    <row r="1594" spans="1:4" x14ac:dyDescent="0.45">
      <c r="A1594" s="7">
        <v>42298</v>
      </c>
      <c r="B1594" s="8">
        <f>VLOOKUP(Table1[[#This Row],[Date]],'BUD data'!A:F,6,)</f>
        <v>99.872062999999997</v>
      </c>
      <c r="C1594" s="51"/>
      <c r="D1594" s="51"/>
    </row>
    <row r="1595" spans="1:4" x14ac:dyDescent="0.45">
      <c r="A1595" s="7">
        <v>42299</v>
      </c>
      <c r="B1595" s="8">
        <f>VLOOKUP(Table1[[#This Row],[Date]],'BUD data'!A:F,6,)</f>
        <v>102.61979700000001</v>
      </c>
      <c r="C1595" s="51"/>
      <c r="D1595" s="51"/>
    </row>
    <row r="1596" spans="1:4" x14ac:dyDescent="0.45">
      <c r="A1596" s="7">
        <v>42300</v>
      </c>
      <c r="B1596" s="8">
        <f>VLOOKUP(Table1[[#This Row],[Date]],'BUD data'!A:F,6,)</f>
        <v>103.8974</v>
      </c>
      <c r="C1596" s="51"/>
      <c r="D1596" s="51"/>
    </row>
    <row r="1597" spans="1:4" x14ac:dyDescent="0.45">
      <c r="A1597" s="7">
        <v>42303</v>
      </c>
      <c r="B1597" s="8">
        <f>VLOOKUP(Table1[[#This Row],[Date]],'BUD data'!A:F,6,)</f>
        <v>103.17108899999999</v>
      </c>
      <c r="C1597" s="51"/>
      <c r="D1597" s="51"/>
    </row>
    <row r="1598" spans="1:4" x14ac:dyDescent="0.45">
      <c r="A1598" s="7">
        <v>42304</v>
      </c>
      <c r="B1598" s="8">
        <f>VLOOKUP(Table1[[#This Row],[Date]],'BUD data'!A:F,6,)</f>
        <v>102.567291</v>
      </c>
      <c r="C1598" s="51"/>
      <c r="D1598" s="51"/>
    </row>
    <row r="1599" spans="1:4" x14ac:dyDescent="0.45">
      <c r="A1599" s="7">
        <v>42305</v>
      </c>
      <c r="B1599" s="8">
        <f>VLOOKUP(Table1[[#This Row],[Date]],'BUD data'!A:F,6,)</f>
        <v>103.8974</v>
      </c>
      <c r="C1599" s="51"/>
      <c r="D1599" s="51"/>
    </row>
    <row r="1600" spans="1:4" x14ac:dyDescent="0.45">
      <c r="A1600" s="7">
        <v>42306</v>
      </c>
      <c r="B1600" s="8">
        <f>VLOOKUP(Table1[[#This Row],[Date]],'BUD data'!A:F,6,)</f>
        <v>103.031082</v>
      </c>
      <c r="C1600" s="51"/>
      <c r="D1600" s="51"/>
    </row>
    <row r="1601" spans="1:4" x14ac:dyDescent="0.45">
      <c r="A1601" s="7">
        <v>42307</v>
      </c>
      <c r="B1601" s="8">
        <f>VLOOKUP(Table1[[#This Row],[Date]],'BUD data'!A:F,6,)</f>
        <v>104.42243999999999</v>
      </c>
      <c r="C1601" s="51"/>
      <c r="D1601" s="51"/>
    </row>
    <row r="1602" spans="1:4" x14ac:dyDescent="0.45">
      <c r="A1602" s="7">
        <v>42310</v>
      </c>
      <c r="B1602" s="8">
        <f>VLOOKUP(Table1[[#This Row],[Date]],'BUD data'!A:F,6,)</f>
        <v>104.623695</v>
      </c>
      <c r="C1602" s="51"/>
      <c r="D1602" s="51"/>
    </row>
    <row r="1603" spans="1:4" x14ac:dyDescent="0.45">
      <c r="A1603" s="7">
        <v>42311</v>
      </c>
      <c r="B1603" s="8">
        <f>VLOOKUP(Table1[[#This Row],[Date]],'BUD data'!A:F,6,)</f>
        <v>103.9674</v>
      </c>
      <c r="C1603" s="51"/>
      <c r="D1603" s="51"/>
    </row>
    <row r="1604" spans="1:4" x14ac:dyDescent="0.45">
      <c r="A1604" s="7">
        <v>42312</v>
      </c>
      <c r="B1604" s="8">
        <f>VLOOKUP(Table1[[#This Row],[Date]],'BUD data'!A:F,6,)</f>
        <v>104.36119100000001</v>
      </c>
      <c r="C1604" s="51"/>
      <c r="D1604" s="51"/>
    </row>
    <row r="1605" spans="1:4" x14ac:dyDescent="0.45">
      <c r="A1605" s="7">
        <v>42313</v>
      </c>
      <c r="B1605" s="8">
        <f>VLOOKUP(Table1[[#This Row],[Date]],'BUD data'!A:F,6,)</f>
        <v>105.56004299999999</v>
      </c>
      <c r="C1605" s="51"/>
      <c r="D1605" s="51"/>
    </row>
    <row r="1606" spans="1:4" x14ac:dyDescent="0.45">
      <c r="A1606" s="7">
        <v>42314</v>
      </c>
      <c r="B1606" s="8">
        <f>VLOOKUP(Table1[[#This Row],[Date]],'BUD data'!A:F,6,)</f>
        <v>105.648849</v>
      </c>
      <c r="C1606" s="51"/>
      <c r="D1606" s="51"/>
    </row>
    <row r="1607" spans="1:4" x14ac:dyDescent="0.45">
      <c r="A1607" s="7">
        <v>42317</v>
      </c>
      <c r="B1607" s="8">
        <f>VLOOKUP(Table1[[#This Row],[Date]],'BUD data'!A:F,6,)</f>
        <v>104.885071</v>
      </c>
      <c r="C1607" s="51"/>
      <c r="D1607" s="51"/>
    </row>
    <row r="1608" spans="1:4" x14ac:dyDescent="0.45">
      <c r="A1608" s="7">
        <v>42318</v>
      </c>
      <c r="B1608" s="8">
        <f>VLOOKUP(Table1[[#This Row],[Date]],'BUD data'!A:F,6,)</f>
        <v>105.107101</v>
      </c>
      <c r="C1608" s="51"/>
      <c r="D1608" s="51"/>
    </row>
    <row r="1609" spans="1:4" x14ac:dyDescent="0.45">
      <c r="A1609" s="7">
        <v>42319</v>
      </c>
      <c r="B1609" s="8">
        <f>VLOOKUP(Table1[[#This Row],[Date]],'BUD data'!A:F,6,)</f>
        <v>108.020081</v>
      </c>
      <c r="C1609" s="51"/>
      <c r="D1609" s="51"/>
    </row>
    <row r="1610" spans="1:4" x14ac:dyDescent="0.45">
      <c r="A1610" s="7">
        <v>42320</v>
      </c>
      <c r="B1610" s="8">
        <f>VLOOKUP(Table1[[#This Row],[Date]],'BUD data'!A:F,6,)</f>
        <v>107.66484800000001</v>
      </c>
      <c r="C1610" s="51"/>
      <c r="D1610" s="51"/>
    </row>
    <row r="1611" spans="1:4" x14ac:dyDescent="0.45">
      <c r="A1611" s="7">
        <v>42321</v>
      </c>
      <c r="B1611" s="8">
        <f>VLOOKUP(Table1[[#This Row],[Date]],'BUD data'!A:F,6,)</f>
        <v>106.687935</v>
      </c>
      <c r="C1611" s="51"/>
      <c r="D1611" s="51"/>
    </row>
    <row r="1612" spans="1:4" x14ac:dyDescent="0.45">
      <c r="A1612" s="7">
        <v>42324</v>
      </c>
      <c r="B1612" s="8">
        <f>VLOOKUP(Table1[[#This Row],[Date]],'BUD data'!A:F,6,)</f>
        <v>108.69504499999999</v>
      </c>
      <c r="C1612" s="51"/>
      <c r="D1612" s="51"/>
    </row>
    <row r="1613" spans="1:4" x14ac:dyDescent="0.45">
      <c r="A1613" s="7">
        <v>42325</v>
      </c>
      <c r="B1613" s="8">
        <f>VLOOKUP(Table1[[#This Row],[Date]],'BUD data'!A:F,6,)</f>
        <v>110.93306699999999</v>
      </c>
      <c r="C1613" s="51"/>
      <c r="D1613" s="51"/>
    </row>
    <row r="1614" spans="1:4" x14ac:dyDescent="0.45">
      <c r="A1614" s="7">
        <v>42326</v>
      </c>
      <c r="B1614" s="8">
        <f>VLOOKUP(Table1[[#This Row],[Date]],'BUD data'!A:F,6,)</f>
        <v>111.93662999999999</v>
      </c>
      <c r="C1614" s="51"/>
      <c r="D1614" s="51"/>
    </row>
    <row r="1615" spans="1:4" x14ac:dyDescent="0.45">
      <c r="A1615" s="7">
        <v>42327</v>
      </c>
      <c r="B1615" s="8">
        <f>VLOOKUP(Table1[[#This Row],[Date]],'BUD data'!A:F,6,)</f>
        <v>110.80873099999999</v>
      </c>
      <c r="C1615" s="51"/>
      <c r="D1615" s="51"/>
    </row>
    <row r="1616" spans="1:4" x14ac:dyDescent="0.45">
      <c r="A1616" s="7">
        <v>42328</v>
      </c>
      <c r="B1616" s="8">
        <f>VLOOKUP(Table1[[#This Row],[Date]],'BUD data'!A:F,6,)</f>
        <v>111.767883</v>
      </c>
      <c r="C1616" s="51"/>
      <c r="D1616" s="51"/>
    </row>
    <row r="1617" spans="1:4" x14ac:dyDescent="0.45">
      <c r="A1617" s="7">
        <v>42331</v>
      </c>
      <c r="B1617" s="8">
        <f>VLOOKUP(Table1[[#This Row],[Date]],'BUD data'!A:F,6,)</f>
        <v>112.33626599999999</v>
      </c>
      <c r="C1617" s="51"/>
      <c r="D1617" s="51"/>
    </row>
    <row r="1618" spans="1:4" x14ac:dyDescent="0.45">
      <c r="A1618" s="7">
        <v>42332</v>
      </c>
      <c r="B1618" s="8">
        <f>VLOOKUP(Table1[[#This Row],[Date]],'BUD data'!A:F,6,)</f>
        <v>113.615143</v>
      </c>
      <c r="C1618" s="51"/>
      <c r="D1618" s="51"/>
    </row>
    <row r="1619" spans="1:4" x14ac:dyDescent="0.45">
      <c r="A1619" s="7">
        <v>42333</v>
      </c>
      <c r="B1619" s="8">
        <f>VLOOKUP(Table1[[#This Row],[Date]],'BUD data'!A:F,6,)</f>
        <v>114.68974300000001</v>
      </c>
      <c r="C1619" s="51"/>
      <c r="D1619" s="51"/>
    </row>
    <row r="1620" spans="1:4" x14ac:dyDescent="0.45">
      <c r="A1620" s="7">
        <v>42335</v>
      </c>
      <c r="B1620" s="8">
        <f>VLOOKUP(Table1[[#This Row],[Date]],'BUD data'!A:F,6,)</f>
        <v>114.68974300000001</v>
      </c>
      <c r="C1620" s="51"/>
      <c r="D1620" s="51"/>
    </row>
    <row r="1621" spans="1:4" x14ac:dyDescent="0.45">
      <c r="A1621" s="7">
        <v>42338</v>
      </c>
      <c r="B1621" s="8">
        <f>VLOOKUP(Table1[[#This Row],[Date]],'BUD data'!A:F,6,)</f>
        <v>114.085838</v>
      </c>
      <c r="C1621" s="51"/>
      <c r="D1621" s="51"/>
    </row>
    <row r="1622" spans="1:4" x14ac:dyDescent="0.45">
      <c r="A1622" s="7">
        <v>42339</v>
      </c>
      <c r="B1622" s="8">
        <f>VLOOKUP(Table1[[#This Row],[Date]],'BUD data'!A:F,6,)</f>
        <v>114.22792800000001</v>
      </c>
      <c r="C1622" s="51"/>
      <c r="D1622" s="51"/>
    </row>
    <row r="1623" spans="1:4" x14ac:dyDescent="0.45">
      <c r="A1623" s="7">
        <v>42340</v>
      </c>
      <c r="B1623" s="8">
        <f>VLOOKUP(Table1[[#This Row],[Date]],'BUD data'!A:F,6,)</f>
        <v>113.446411</v>
      </c>
      <c r="C1623" s="51"/>
      <c r="D1623" s="51"/>
    </row>
    <row r="1624" spans="1:4" x14ac:dyDescent="0.45">
      <c r="A1624" s="7">
        <v>42341</v>
      </c>
      <c r="B1624" s="8">
        <f>VLOOKUP(Table1[[#This Row],[Date]],'BUD data'!A:F,6,)</f>
        <v>112.655998</v>
      </c>
      <c r="C1624" s="51"/>
      <c r="D1624" s="51"/>
    </row>
    <row r="1625" spans="1:4" x14ac:dyDescent="0.45">
      <c r="A1625" s="7">
        <v>42342</v>
      </c>
      <c r="B1625" s="8">
        <f>VLOOKUP(Table1[[#This Row],[Date]],'BUD data'!A:F,6,)</f>
        <v>113.561859</v>
      </c>
      <c r="C1625" s="51"/>
      <c r="D1625" s="51"/>
    </row>
    <row r="1626" spans="1:4" x14ac:dyDescent="0.45">
      <c r="A1626" s="7">
        <v>42345</v>
      </c>
      <c r="B1626" s="8">
        <f>VLOOKUP(Table1[[#This Row],[Date]],'BUD data'!A:F,6,)</f>
        <v>114.47659299999999</v>
      </c>
      <c r="C1626" s="51"/>
      <c r="D1626" s="51"/>
    </row>
    <row r="1627" spans="1:4" x14ac:dyDescent="0.45">
      <c r="A1627" s="7">
        <v>42346</v>
      </c>
      <c r="B1627" s="8">
        <f>VLOOKUP(Table1[[#This Row],[Date]],'BUD data'!A:F,6,)</f>
        <v>114.281212</v>
      </c>
      <c r="C1627" s="51"/>
      <c r="D1627" s="51"/>
    </row>
    <row r="1628" spans="1:4" x14ac:dyDescent="0.45">
      <c r="A1628" s="7">
        <v>42347</v>
      </c>
      <c r="B1628" s="8">
        <f>VLOOKUP(Table1[[#This Row],[Date]],'BUD data'!A:F,6,)</f>
        <v>112.602699</v>
      </c>
      <c r="C1628" s="51"/>
      <c r="D1628" s="51"/>
    </row>
    <row r="1629" spans="1:4" x14ac:dyDescent="0.45">
      <c r="A1629" s="7">
        <v>42348</v>
      </c>
      <c r="B1629" s="8">
        <f>VLOOKUP(Table1[[#This Row],[Date]],'BUD data'!A:F,6,)</f>
        <v>112.194176</v>
      </c>
      <c r="C1629" s="51"/>
      <c r="D1629" s="51"/>
    </row>
    <row r="1630" spans="1:4" x14ac:dyDescent="0.45">
      <c r="A1630" s="7">
        <v>42349</v>
      </c>
      <c r="B1630" s="8">
        <f>VLOOKUP(Table1[[#This Row],[Date]],'BUD data'!A:F,6,)</f>
        <v>108.88153800000001</v>
      </c>
      <c r="C1630" s="51"/>
      <c r="D1630" s="51"/>
    </row>
    <row r="1631" spans="1:4" x14ac:dyDescent="0.45">
      <c r="A1631" s="7">
        <v>42352</v>
      </c>
      <c r="B1631" s="8">
        <f>VLOOKUP(Table1[[#This Row],[Date]],'BUD data'!A:F,6,)</f>
        <v>109.059174</v>
      </c>
      <c r="C1631" s="51"/>
      <c r="D1631" s="51"/>
    </row>
    <row r="1632" spans="1:4" x14ac:dyDescent="0.45">
      <c r="A1632" s="7">
        <v>42353</v>
      </c>
      <c r="B1632" s="8">
        <f>VLOOKUP(Table1[[#This Row],[Date]],'BUD data'!A:F,6,)</f>
        <v>108.774986</v>
      </c>
      <c r="C1632" s="51"/>
      <c r="D1632" s="51"/>
    </row>
    <row r="1633" spans="1:4" x14ac:dyDescent="0.45">
      <c r="A1633" s="7">
        <v>42354</v>
      </c>
      <c r="B1633" s="8">
        <f>VLOOKUP(Table1[[#This Row],[Date]],'BUD data'!A:F,6,)</f>
        <v>111.11069500000001</v>
      </c>
      <c r="C1633" s="51"/>
      <c r="D1633" s="51"/>
    </row>
    <row r="1634" spans="1:4" x14ac:dyDescent="0.45">
      <c r="A1634" s="7">
        <v>42355</v>
      </c>
      <c r="B1634" s="8">
        <f>VLOOKUP(Table1[[#This Row],[Date]],'BUD data'!A:F,6,)</f>
        <v>110.826492</v>
      </c>
      <c r="C1634" s="51"/>
      <c r="D1634" s="51"/>
    </row>
    <row r="1635" spans="1:4" x14ac:dyDescent="0.45">
      <c r="A1635" s="7">
        <v>42356</v>
      </c>
      <c r="B1635" s="8">
        <f>VLOOKUP(Table1[[#This Row],[Date]],'BUD data'!A:F,6,)</f>
        <v>110.12490099999999</v>
      </c>
      <c r="C1635" s="51"/>
      <c r="D1635" s="51"/>
    </row>
    <row r="1636" spans="1:4" x14ac:dyDescent="0.45">
      <c r="A1636" s="7">
        <v>42359</v>
      </c>
      <c r="B1636" s="8">
        <f>VLOOKUP(Table1[[#This Row],[Date]],'BUD data'!A:F,6,)</f>
        <v>109.95616099999999</v>
      </c>
      <c r="C1636" s="51"/>
      <c r="D1636" s="51"/>
    </row>
    <row r="1637" spans="1:4" x14ac:dyDescent="0.45">
      <c r="A1637" s="7">
        <v>42360</v>
      </c>
      <c r="B1637" s="8">
        <f>VLOOKUP(Table1[[#This Row],[Date]],'BUD data'!A:F,6,)</f>
        <v>110.568939</v>
      </c>
      <c r="C1637" s="51"/>
      <c r="D1637" s="51"/>
    </row>
    <row r="1638" spans="1:4" x14ac:dyDescent="0.45">
      <c r="A1638" s="7">
        <v>42361</v>
      </c>
      <c r="B1638" s="8">
        <f>VLOOKUP(Table1[[#This Row],[Date]],'BUD data'!A:F,6,)</f>
        <v>111.767883</v>
      </c>
      <c r="C1638" s="51"/>
      <c r="D1638" s="51"/>
    </row>
    <row r="1639" spans="1:4" x14ac:dyDescent="0.45">
      <c r="A1639" s="7">
        <v>42362</v>
      </c>
      <c r="B1639" s="8">
        <f>VLOOKUP(Table1[[#This Row],[Date]],'BUD data'!A:F,6,)</f>
        <v>111.67907700000001</v>
      </c>
      <c r="C1639" s="51"/>
      <c r="D1639" s="51"/>
    </row>
    <row r="1640" spans="1:4" x14ac:dyDescent="0.45">
      <c r="A1640" s="7">
        <v>42366</v>
      </c>
      <c r="B1640" s="8">
        <f>VLOOKUP(Table1[[#This Row],[Date]],'BUD data'!A:F,6,)</f>
        <v>111.758995</v>
      </c>
      <c r="C1640" s="51"/>
      <c r="D1640" s="51"/>
    </row>
    <row r="1641" spans="1:4" x14ac:dyDescent="0.45">
      <c r="A1641" s="7">
        <v>42367</v>
      </c>
      <c r="B1641" s="8">
        <f>VLOOKUP(Table1[[#This Row],[Date]],'BUD data'!A:F,6,)</f>
        <v>113.13557400000001</v>
      </c>
      <c r="C1641" s="51"/>
      <c r="D1641" s="51"/>
    </row>
    <row r="1642" spans="1:4" x14ac:dyDescent="0.45">
      <c r="A1642" s="7">
        <v>42368</v>
      </c>
      <c r="B1642" s="8">
        <f>VLOOKUP(Table1[[#This Row],[Date]],'BUD data'!A:F,6,)</f>
        <v>112.01655599999999</v>
      </c>
      <c r="C1642" s="51"/>
      <c r="D1642" s="51"/>
    </row>
    <row r="1643" spans="1:4" x14ac:dyDescent="0.45">
      <c r="A1643" s="7">
        <v>42369</v>
      </c>
      <c r="B1643" s="8">
        <f>VLOOKUP(Table1[[#This Row],[Date]],'BUD data'!A:F,6,)</f>
        <v>111.01300000000001</v>
      </c>
      <c r="C1643" s="51"/>
      <c r="D1643" s="51"/>
    </row>
    <row r="1644" spans="1:4" x14ac:dyDescent="0.45">
      <c r="A1644" s="7">
        <v>42373</v>
      </c>
      <c r="B1644" s="8">
        <f>VLOOKUP(Table1[[#This Row],[Date]],'BUD data'!A:F,6,)</f>
        <v>108.766098</v>
      </c>
      <c r="C1644" s="51"/>
      <c r="D1644" s="51"/>
    </row>
    <row r="1645" spans="1:4" x14ac:dyDescent="0.45">
      <c r="A1645" s="7">
        <v>42374</v>
      </c>
      <c r="B1645" s="8">
        <f>VLOOKUP(Table1[[#This Row],[Date]],'BUD data'!A:F,6,)</f>
        <v>108.837143</v>
      </c>
      <c r="C1645" s="51"/>
      <c r="D1645" s="51"/>
    </row>
    <row r="1646" spans="1:4" x14ac:dyDescent="0.45">
      <c r="A1646" s="7">
        <v>42375</v>
      </c>
      <c r="B1646" s="8">
        <f>VLOOKUP(Table1[[#This Row],[Date]],'BUD data'!A:F,6,)</f>
        <v>106.776741</v>
      </c>
      <c r="C1646" s="51"/>
      <c r="D1646" s="51"/>
    </row>
    <row r="1647" spans="1:4" x14ac:dyDescent="0.45">
      <c r="A1647" s="7">
        <v>42376</v>
      </c>
      <c r="B1647" s="8">
        <f>VLOOKUP(Table1[[#This Row],[Date]],'BUD data'!A:F,6,)</f>
        <v>106.10178399999999</v>
      </c>
      <c r="C1647" s="51"/>
      <c r="D1647" s="51"/>
    </row>
    <row r="1648" spans="1:4" x14ac:dyDescent="0.45">
      <c r="A1648" s="7">
        <v>42377</v>
      </c>
      <c r="B1648" s="8">
        <f>VLOOKUP(Table1[[#This Row],[Date]],'BUD data'!A:F,6,)</f>
        <v>104.023613</v>
      </c>
      <c r="C1648" s="51"/>
      <c r="D1648" s="51"/>
    </row>
    <row r="1649" spans="1:4" x14ac:dyDescent="0.45">
      <c r="A1649" s="7">
        <v>42380</v>
      </c>
      <c r="B1649" s="8">
        <f>VLOOKUP(Table1[[#This Row],[Date]],'BUD data'!A:F,6,)</f>
        <v>105.83535000000001</v>
      </c>
      <c r="C1649" s="51"/>
      <c r="D1649" s="51"/>
    </row>
    <row r="1650" spans="1:4" x14ac:dyDescent="0.45">
      <c r="A1650" s="7">
        <v>42381</v>
      </c>
      <c r="B1650" s="8">
        <f>VLOOKUP(Table1[[#This Row],[Date]],'BUD data'!A:F,6,)</f>
        <v>105.684372</v>
      </c>
      <c r="C1650" s="51"/>
      <c r="D1650" s="51"/>
    </row>
    <row r="1651" spans="1:4" x14ac:dyDescent="0.45">
      <c r="A1651" s="7">
        <v>42382</v>
      </c>
      <c r="B1651" s="8">
        <f>VLOOKUP(Table1[[#This Row],[Date]],'BUD data'!A:F,6,)</f>
        <v>103.14439400000001</v>
      </c>
      <c r="C1651" s="51"/>
      <c r="D1651" s="51"/>
    </row>
    <row r="1652" spans="1:4" x14ac:dyDescent="0.45">
      <c r="A1652" s="7">
        <v>42383</v>
      </c>
      <c r="B1652" s="8">
        <f>VLOOKUP(Table1[[#This Row],[Date]],'BUD data'!A:F,6,)</f>
        <v>104.023613</v>
      </c>
      <c r="C1652" s="51"/>
      <c r="D1652" s="51"/>
    </row>
    <row r="1653" spans="1:4" x14ac:dyDescent="0.45">
      <c r="A1653" s="7">
        <v>42384</v>
      </c>
      <c r="B1653" s="8">
        <f>VLOOKUP(Table1[[#This Row],[Date]],'BUD data'!A:F,6,)</f>
        <v>103.384193</v>
      </c>
      <c r="C1653" s="51"/>
      <c r="D1653" s="51"/>
    </row>
    <row r="1654" spans="1:4" x14ac:dyDescent="0.45">
      <c r="A1654" s="7">
        <v>42388</v>
      </c>
      <c r="B1654" s="8">
        <f>VLOOKUP(Table1[[#This Row],[Date]],'BUD data'!A:F,6,)</f>
        <v>105.542282</v>
      </c>
      <c r="C1654" s="51"/>
      <c r="D1654" s="51"/>
    </row>
    <row r="1655" spans="1:4" x14ac:dyDescent="0.45">
      <c r="A1655" s="7">
        <v>42389</v>
      </c>
      <c r="B1655" s="8">
        <f>VLOOKUP(Table1[[#This Row],[Date]],'BUD data'!A:F,6,)</f>
        <v>102.96678900000001</v>
      </c>
      <c r="C1655" s="51"/>
      <c r="D1655" s="51"/>
    </row>
    <row r="1656" spans="1:4" x14ac:dyDescent="0.45">
      <c r="A1656" s="7">
        <v>42390</v>
      </c>
      <c r="B1656" s="8">
        <f>VLOOKUP(Table1[[#This Row],[Date]],'BUD data'!A:F,6,)</f>
        <v>103.677254</v>
      </c>
      <c r="C1656" s="51"/>
      <c r="D1656" s="51"/>
    </row>
    <row r="1657" spans="1:4" x14ac:dyDescent="0.45">
      <c r="A1657" s="7">
        <v>42391</v>
      </c>
      <c r="B1657" s="8">
        <f>VLOOKUP(Table1[[#This Row],[Date]],'BUD data'!A:F,6,)</f>
        <v>107.45169799999999</v>
      </c>
      <c r="C1657" s="51"/>
      <c r="D1657" s="51"/>
    </row>
    <row r="1658" spans="1:4" x14ac:dyDescent="0.45">
      <c r="A1658" s="7">
        <v>42394</v>
      </c>
      <c r="B1658" s="8">
        <f>VLOOKUP(Table1[[#This Row],[Date]],'BUD data'!A:F,6,)</f>
        <v>107.718124</v>
      </c>
      <c r="C1658" s="51"/>
      <c r="D1658" s="51"/>
    </row>
    <row r="1659" spans="1:4" x14ac:dyDescent="0.45">
      <c r="A1659" s="7">
        <v>42395</v>
      </c>
      <c r="B1659" s="8">
        <f>VLOOKUP(Table1[[#This Row],[Date]],'BUD data'!A:F,6,)</f>
        <v>108.89930699999999</v>
      </c>
      <c r="C1659" s="51"/>
      <c r="D1659" s="51"/>
    </row>
    <row r="1660" spans="1:4" x14ac:dyDescent="0.45">
      <c r="A1660" s="7">
        <v>42396</v>
      </c>
      <c r="B1660" s="8">
        <f>VLOOKUP(Table1[[#This Row],[Date]],'BUD data'!A:F,6,)</f>
        <v>108.25988</v>
      </c>
      <c r="C1660" s="51"/>
      <c r="D1660" s="51"/>
    </row>
    <row r="1661" spans="1:4" x14ac:dyDescent="0.45">
      <c r="A1661" s="7">
        <v>42397</v>
      </c>
      <c r="B1661" s="8">
        <f>VLOOKUP(Table1[[#This Row],[Date]],'BUD data'!A:F,6,)</f>
        <v>108.615128</v>
      </c>
      <c r="C1661" s="51"/>
      <c r="D1661" s="51"/>
    </row>
    <row r="1662" spans="1:4" x14ac:dyDescent="0.45">
      <c r="A1662" s="7">
        <v>42398</v>
      </c>
      <c r="B1662" s="8">
        <f>VLOOKUP(Table1[[#This Row],[Date]],'BUD data'!A:F,6,)</f>
        <v>111.758995</v>
      </c>
      <c r="C1662" s="51"/>
      <c r="D1662" s="51"/>
    </row>
    <row r="1663" spans="1:4" x14ac:dyDescent="0.45">
      <c r="A1663" s="7">
        <v>42401</v>
      </c>
      <c r="B1663" s="8">
        <f>VLOOKUP(Table1[[#This Row],[Date]],'BUD data'!A:F,6,)</f>
        <v>112.531654</v>
      </c>
      <c r="C1663" s="51"/>
      <c r="D1663" s="51"/>
    </row>
    <row r="1664" spans="1:4" x14ac:dyDescent="0.45">
      <c r="A1664" s="7">
        <v>42402</v>
      </c>
      <c r="B1664" s="8">
        <f>VLOOKUP(Table1[[#This Row],[Date]],'BUD data'!A:F,6,)</f>
        <v>111.00411200000001</v>
      </c>
      <c r="C1664" s="51"/>
      <c r="D1664" s="51"/>
    </row>
    <row r="1665" spans="1:4" x14ac:dyDescent="0.45">
      <c r="A1665" s="7">
        <v>42403</v>
      </c>
      <c r="B1665" s="8">
        <f>VLOOKUP(Table1[[#This Row],[Date]],'BUD data'!A:F,6,)</f>
        <v>110.97747</v>
      </c>
      <c r="C1665" s="51"/>
      <c r="D1665" s="51"/>
    </row>
    <row r="1666" spans="1:4" x14ac:dyDescent="0.45">
      <c r="A1666" s="7">
        <v>42404</v>
      </c>
      <c r="B1666" s="8">
        <f>VLOOKUP(Table1[[#This Row],[Date]],'BUD data'!A:F,6,)</f>
        <v>108.67729199999999</v>
      </c>
      <c r="C1666" s="51"/>
      <c r="D1666" s="51"/>
    </row>
    <row r="1667" spans="1:4" x14ac:dyDescent="0.45">
      <c r="A1667" s="7">
        <v>42405</v>
      </c>
      <c r="B1667" s="8">
        <f>VLOOKUP(Table1[[#This Row],[Date]],'BUD data'!A:F,6,)</f>
        <v>105.06270600000001</v>
      </c>
      <c r="C1667" s="51"/>
      <c r="D1667" s="51"/>
    </row>
    <row r="1668" spans="1:4" x14ac:dyDescent="0.45">
      <c r="A1668" s="7">
        <v>42408</v>
      </c>
      <c r="B1668" s="8">
        <f>VLOOKUP(Table1[[#This Row],[Date]],'BUD data'!A:F,6,)</f>
        <v>102.300697</v>
      </c>
      <c r="C1668" s="51"/>
      <c r="D1668" s="51"/>
    </row>
    <row r="1669" spans="1:4" x14ac:dyDescent="0.45">
      <c r="A1669" s="7">
        <v>42409</v>
      </c>
      <c r="B1669" s="8">
        <f>VLOOKUP(Table1[[#This Row],[Date]],'BUD data'!A:F,6,)</f>
        <v>103.117752</v>
      </c>
      <c r="C1669" s="51"/>
      <c r="D1669" s="51"/>
    </row>
    <row r="1670" spans="1:4" x14ac:dyDescent="0.45">
      <c r="A1670" s="7">
        <v>42410</v>
      </c>
      <c r="B1670" s="8">
        <f>VLOOKUP(Table1[[#This Row],[Date]],'BUD data'!A:F,6,)</f>
        <v>103.277603</v>
      </c>
      <c r="C1670" s="51"/>
      <c r="D1670" s="51"/>
    </row>
    <row r="1671" spans="1:4" x14ac:dyDescent="0.45">
      <c r="A1671" s="7">
        <v>42411</v>
      </c>
      <c r="B1671" s="8">
        <f>VLOOKUP(Table1[[#This Row],[Date]],'BUD data'!A:F,6,)</f>
        <v>101.794487</v>
      </c>
      <c r="C1671" s="51"/>
      <c r="D1671" s="51"/>
    </row>
    <row r="1672" spans="1:4" x14ac:dyDescent="0.45">
      <c r="A1672" s="7">
        <v>42412</v>
      </c>
      <c r="B1672" s="8">
        <f>VLOOKUP(Table1[[#This Row],[Date]],'BUD data'!A:F,6,)</f>
        <v>102.504959</v>
      </c>
      <c r="C1672" s="51"/>
      <c r="D1672" s="51"/>
    </row>
    <row r="1673" spans="1:4" x14ac:dyDescent="0.45">
      <c r="A1673" s="7">
        <v>42416</v>
      </c>
      <c r="B1673" s="8">
        <f>VLOOKUP(Table1[[#This Row],[Date]],'BUD data'!A:F,6,)</f>
        <v>103.62397799999999</v>
      </c>
      <c r="C1673" s="51"/>
      <c r="D1673" s="51"/>
    </row>
    <row r="1674" spans="1:4" x14ac:dyDescent="0.45">
      <c r="A1674" s="7">
        <v>42417</v>
      </c>
      <c r="B1674" s="8">
        <f>VLOOKUP(Table1[[#This Row],[Date]],'BUD data'!A:F,6,)</f>
        <v>104.307816</v>
      </c>
      <c r="C1674" s="51"/>
      <c r="D1674" s="51"/>
    </row>
    <row r="1675" spans="1:4" x14ac:dyDescent="0.45">
      <c r="A1675" s="7">
        <v>42418</v>
      </c>
      <c r="B1675" s="8">
        <f>VLOOKUP(Table1[[#This Row],[Date]],'BUD data'!A:F,6,)</f>
        <v>103.33090199999999</v>
      </c>
      <c r="C1675" s="51"/>
      <c r="D1675" s="51"/>
    </row>
    <row r="1676" spans="1:4" x14ac:dyDescent="0.45">
      <c r="A1676" s="7">
        <v>42419</v>
      </c>
      <c r="B1676" s="8">
        <f>VLOOKUP(Table1[[#This Row],[Date]],'BUD data'!A:F,6,)</f>
        <v>103.37531300000001</v>
      </c>
      <c r="C1676" s="51"/>
      <c r="D1676" s="51"/>
    </row>
    <row r="1677" spans="1:4" x14ac:dyDescent="0.45">
      <c r="A1677" s="7">
        <v>42422</v>
      </c>
      <c r="B1677" s="8">
        <f>VLOOKUP(Table1[[#This Row],[Date]],'BUD data'!A:F,6,)</f>
        <v>104.023613</v>
      </c>
      <c r="C1677" s="51"/>
      <c r="D1677" s="51"/>
    </row>
    <row r="1678" spans="1:4" x14ac:dyDescent="0.45">
      <c r="A1678" s="7">
        <v>42423</v>
      </c>
      <c r="B1678" s="8">
        <f>VLOOKUP(Table1[[#This Row],[Date]],'BUD data'!A:F,6,)</f>
        <v>103.250969</v>
      </c>
      <c r="C1678" s="51"/>
      <c r="D1678" s="51"/>
    </row>
    <row r="1679" spans="1:4" x14ac:dyDescent="0.45">
      <c r="A1679" s="7">
        <v>42424</v>
      </c>
      <c r="B1679" s="8">
        <f>VLOOKUP(Table1[[#This Row],[Date]],'BUD data'!A:F,6,)</f>
        <v>102.726974</v>
      </c>
      <c r="C1679" s="51"/>
      <c r="D1679" s="51"/>
    </row>
    <row r="1680" spans="1:4" x14ac:dyDescent="0.45">
      <c r="A1680" s="7">
        <v>42425</v>
      </c>
      <c r="B1680" s="8">
        <f>VLOOKUP(Table1[[#This Row],[Date]],'BUD data'!A:F,6,)</f>
        <v>100.73764</v>
      </c>
      <c r="C1680" s="51"/>
      <c r="D1680" s="51"/>
    </row>
    <row r="1681" spans="1:4" x14ac:dyDescent="0.45">
      <c r="A1681" s="7">
        <v>42426</v>
      </c>
      <c r="B1681" s="8">
        <f>VLOOKUP(Table1[[#This Row],[Date]],'BUD data'!A:F,6,)</f>
        <v>99.707436000000001</v>
      </c>
      <c r="C1681" s="51"/>
      <c r="D1681" s="51"/>
    </row>
    <row r="1682" spans="1:4" x14ac:dyDescent="0.45">
      <c r="A1682" s="7">
        <v>42429</v>
      </c>
      <c r="B1682" s="8">
        <f>VLOOKUP(Table1[[#This Row],[Date]],'BUD data'!A:F,6,)</f>
        <v>99.023598000000007</v>
      </c>
      <c r="C1682" s="51"/>
      <c r="D1682" s="51"/>
    </row>
    <row r="1683" spans="1:4" x14ac:dyDescent="0.45">
      <c r="A1683" s="7">
        <v>42430</v>
      </c>
      <c r="B1683" s="8">
        <f>VLOOKUP(Table1[[#This Row],[Date]],'BUD data'!A:F,6,)</f>
        <v>101.323784</v>
      </c>
      <c r="C1683" s="51"/>
      <c r="D1683" s="51"/>
    </row>
    <row r="1684" spans="1:4" x14ac:dyDescent="0.45">
      <c r="A1684" s="7">
        <v>42431</v>
      </c>
      <c r="B1684" s="8">
        <f>VLOOKUP(Table1[[#This Row],[Date]],'BUD data'!A:F,6,)</f>
        <v>100.897491</v>
      </c>
      <c r="C1684" s="51"/>
      <c r="D1684" s="51"/>
    </row>
    <row r="1685" spans="1:4" x14ac:dyDescent="0.45">
      <c r="A1685" s="7">
        <v>42432</v>
      </c>
      <c r="B1685" s="8">
        <f>VLOOKUP(Table1[[#This Row],[Date]],'BUD data'!A:F,6,)</f>
        <v>101.65237399999999</v>
      </c>
      <c r="C1685" s="51"/>
      <c r="D1685" s="51"/>
    </row>
    <row r="1686" spans="1:4" x14ac:dyDescent="0.45">
      <c r="A1686" s="7">
        <v>42433</v>
      </c>
      <c r="B1686" s="8">
        <f>VLOOKUP(Table1[[#This Row],[Date]],'BUD data'!A:F,6,)</f>
        <v>103.250969</v>
      </c>
      <c r="C1686" s="51"/>
      <c r="D1686" s="51"/>
    </row>
    <row r="1687" spans="1:4" x14ac:dyDescent="0.45">
      <c r="A1687" s="7">
        <v>42436</v>
      </c>
      <c r="B1687" s="8">
        <f>VLOOKUP(Table1[[#This Row],[Date]],'BUD data'!A:F,6,)</f>
        <v>102.886841</v>
      </c>
      <c r="C1687" s="51"/>
      <c r="D1687" s="51"/>
    </row>
    <row r="1688" spans="1:4" x14ac:dyDescent="0.45">
      <c r="A1688" s="7">
        <v>42437</v>
      </c>
      <c r="B1688" s="8">
        <f>VLOOKUP(Table1[[#This Row],[Date]],'BUD data'!A:F,6,)</f>
        <v>102.140839</v>
      </c>
      <c r="C1688" s="51"/>
      <c r="D1688" s="51"/>
    </row>
    <row r="1689" spans="1:4" x14ac:dyDescent="0.45">
      <c r="A1689" s="7">
        <v>42438</v>
      </c>
      <c r="B1689" s="8">
        <f>VLOOKUP(Table1[[#This Row],[Date]],'BUD data'!A:F,6,)</f>
        <v>102.90461000000001</v>
      </c>
      <c r="C1689" s="51"/>
      <c r="D1689" s="51"/>
    </row>
    <row r="1690" spans="1:4" x14ac:dyDescent="0.45">
      <c r="A1690" s="7">
        <v>42439</v>
      </c>
      <c r="B1690" s="8">
        <f>VLOOKUP(Table1[[#This Row],[Date]],'BUD data'!A:F,6,)</f>
        <v>103.721672</v>
      </c>
      <c r="C1690" s="51"/>
      <c r="D1690" s="51"/>
    </row>
    <row r="1691" spans="1:4" x14ac:dyDescent="0.45">
      <c r="A1691" s="7">
        <v>42440</v>
      </c>
      <c r="B1691" s="8">
        <f>VLOOKUP(Table1[[#This Row],[Date]],'BUD data'!A:F,6,)</f>
        <v>104.57424899999999</v>
      </c>
      <c r="C1691" s="51"/>
      <c r="D1691" s="51"/>
    </row>
    <row r="1692" spans="1:4" x14ac:dyDescent="0.45">
      <c r="A1692" s="7">
        <v>42443</v>
      </c>
      <c r="B1692" s="8">
        <f>VLOOKUP(Table1[[#This Row],[Date]],'BUD data'!A:F,6,)</f>
        <v>104.05914300000001</v>
      </c>
      <c r="C1692" s="51"/>
      <c r="D1692" s="51"/>
    </row>
    <row r="1693" spans="1:4" x14ac:dyDescent="0.45">
      <c r="A1693" s="7">
        <v>42444</v>
      </c>
      <c r="B1693" s="8">
        <f>VLOOKUP(Table1[[#This Row],[Date]],'BUD data'!A:F,6,)</f>
        <v>103.473007</v>
      </c>
      <c r="C1693" s="51"/>
      <c r="D1693" s="51"/>
    </row>
    <row r="1694" spans="1:4" x14ac:dyDescent="0.45">
      <c r="A1694" s="7">
        <v>42445</v>
      </c>
      <c r="B1694" s="8">
        <f>VLOOKUP(Table1[[#This Row],[Date]],'BUD data'!A:F,6,)</f>
        <v>104.11243399999999</v>
      </c>
      <c r="C1694" s="51"/>
      <c r="D1694" s="51"/>
    </row>
    <row r="1695" spans="1:4" x14ac:dyDescent="0.45">
      <c r="A1695" s="7">
        <v>42446</v>
      </c>
      <c r="B1695" s="8">
        <f>VLOOKUP(Table1[[#This Row],[Date]],'BUD data'!A:F,6,)</f>
        <v>105.151512</v>
      </c>
      <c r="C1695" s="51"/>
      <c r="D1695" s="51"/>
    </row>
    <row r="1696" spans="1:4" x14ac:dyDescent="0.45">
      <c r="A1696" s="7">
        <v>42447</v>
      </c>
      <c r="B1696" s="8">
        <f>VLOOKUP(Table1[[#This Row],[Date]],'BUD data'!A:F,6,)</f>
        <v>107.949043</v>
      </c>
      <c r="C1696" s="51"/>
      <c r="D1696" s="51"/>
    </row>
    <row r="1697" spans="1:4" x14ac:dyDescent="0.45">
      <c r="A1697" s="7">
        <v>42450</v>
      </c>
      <c r="B1697" s="8">
        <f>VLOOKUP(Table1[[#This Row],[Date]],'BUD data'!A:F,6,)</f>
        <v>107.247444</v>
      </c>
      <c r="C1697" s="51"/>
      <c r="D1697" s="51"/>
    </row>
    <row r="1698" spans="1:4" x14ac:dyDescent="0.45">
      <c r="A1698" s="7">
        <v>42451</v>
      </c>
      <c r="B1698" s="8">
        <f>VLOOKUP(Table1[[#This Row],[Date]],'BUD data'!A:F,6,)</f>
        <v>108.517433</v>
      </c>
      <c r="C1698" s="51"/>
      <c r="D1698" s="51"/>
    </row>
    <row r="1699" spans="1:4" x14ac:dyDescent="0.45">
      <c r="A1699" s="7">
        <v>42452</v>
      </c>
      <c r="B1699" s="8">
        <f>VLOOKUP(Table1[[#This Row],[Date]],'BUD data'!A:F,6,)</f>
        <v>108.490784</v>
      </c>
      <c r="C1699" s="51"/>
      <c r="D1699" s="51"/>
    </row>
    <row r="1700" spans="1:4" x14ac:dyDescent="0.45">
      <c r="A1700" s="7">
        <v>42453</v>
      </c>
      <c r="B1700" s="8">
        <f>VLOOKUP(Table1[[#This Row],[Date]],'BUD data'!A:F,6,)</f>
        <v>107.975685</v>
      </c>
      <c r="C1700" s="51"/>
      <c r="D1700" s="51"/>
    </row>
    <row r="1701" spans="1:4" x14ac:dyDescent="0.45">
      <c r="A1701" s="7">
        <v>42457</v>
      </c>
      <c r="B1701" s="8">
        <f>VLOOKUP(Table1[[#This Row],[Date]],'BUD data'!A:F,6,)</f>
        <v>108.250992</v>
      </c>
      <c r="C1701" s="51"/>
      <c r="D1701" s="51"/>
    </row>
    <row r="1702" spans="1:4" x14ac:dyDescent="0.45">
      <c r="A1702" s="7">
        <v>42458</v>
      </c>
      <c r="B1702" s="8">
        <f>VLOOKUP(Table1[[#This Row],[Date]],'BUD data'!A:F,6,)</f>
        <v>110.462379</v>
      </c>
      <c r="C1702" s="51"/>
      <c r="D1702" s="51"/>
    </row>
    <row r="1703" spans="1:4" x14ac:dyDescent="0.45">
      <c r="A1703" s="7">
        <v>42459</v>
      </c>
      <c r="B1703" s="8">
        <f>VLOOKUP(Table1[[#This Row],[Date]],'BUD data'!A:F,6,)</f>
        <v>111.67018899999999</v>
      </c>
      <c r="C1703" s="51"/>
      <c r="D1703" s="51"/>
    </row>
    <row r="1704" spans="1:4" x14ac:dyDescent="0.45">
      <c r="A1704" s="7">
        <v>42460</v>
      </c>
      <c r="B1704" s="8">
        <f>VLOOKUP(Table1[[#This Row],[Date]],'BUD data'!A:F,6,)</f>
        <v>110.711052</v>
      </c>
      <c r="C1704" s="51"/>
      <c r="D1704" s="51"/>
    </row>
    <row r="1705" spans="1:4" x14ac:dyDescent="0.45">
      <c r="A1705" s="7">
        <v>42461</v>
      </c>
      <c r="B1705" s="8">
        <f>VLOOKUP(Table1[[#This Row],[Date]],'BUD data'!A:F,6,)</f>
        <v>111.59026299999999</v>
      </c>
      <c r="C1705" s="51"/>
      <c r="D1705" s="51"/>
    </row>
    <row r="1706" spans="1:4" x14ac:dyDescent="0.45">
      <c r="A1706" s="7">
        <v>42464</v>
      </c>
      <c r="B1706" s="8">
        <f>VLOOKUP(Table1[[#This Row],[Date]],'BUD data'!A:F,6,)</f>
        <v>112.007683</v>
      </c>
      <c r="C1706" s="51"/>
      <c r="D1706" s="51"/>
    </row>
    <row r="1707" spans="1:4" x14ac:dyDescent="0.45">
      <c r="A1707" s="7">
        <v>42465</v>
      </c>
      <c r="B1707" s="8">
        <f>VLOOKUP(Table1[[#This Row],[Date]],'BUD data'!A:F,6,)</f>
        <v>110.14265399999999</v>
      </c>
      <c r="C1707" s="51"/>
      <c r="D1707" s="51"/>
    </row>
    <row r="1708" spans="1:4" x14ac:dyDescent="0.45">
      <c r="A1708" s="7">
        <v>42466</v>
      </c>
      <c r="B1708" s="8">
        <f>VLOOKUP(Table1[[#This Row],[Date]],'BUD data'!A:F,6,)</f>
        <v>109.583145</v>
      </c>
      <c r="C1708" s="51"/>
      <c r="D1708" s="51"/>
    </row>
    <row r="1709" spans="1:4" x14ac:dyDescent="0.45">
      <c r="A1709" s="7">
        <v>42467</v>
      </c>
      <c r="B1709" s="8">
        <f>VLOOKUP(Table1[[#This Row],[Date]],'BUD data'!A:F,6,)</f>
        <v>107.46946699999999</v>
      </c>
      <c r="C1709" s="51"/>
      <c r="D1709" s="51"/>
    </row>
    <row r="1710" spans="1:4" x14ac:dyDescent="0.45">
      <c r="A1710" s="7">
        <v>42468</v>
      </c>
      <c r="B1710" s="8">
        <f>VLOOKUP(Table1[[#This Row],[Date]],'BUD data'!A:F,6,)</f>
        <v>108.011208</v>
      </c>
      <c r="C1710" s="51"/>
      <c r="D1710" s="51"/>
    </row>
    <row r="1711" spans="1:4" x14ac:dyDescent="0.45">
      <c r="A1711" s="7">
        <v>42471</v>
      </c>
      <c r="B1711" s="8">
        <f>VLOOKUP(Table1[[#This Row],[Date]],'BUD data'!A:F,6,)</f>
        <v>107.052055</v>
      </c>
      <c r="C1711" s="51"/>
      <c r="D1711" s="51"/>
    </row>
    <row r="1712" spans="1:4" x14ac:dyDescent="0.45">
      <c r="A1712" s="7">
        <v>42472</v>
      </c>
      <c r="B1712" s="8">
        <f>VLOOKUP(Table1[[#This Row],[Date]],'BUD data'!A:F,6,)</f>
        <v>107.576042</v>
      </c>
      <c r="C1712" s="51"/>
      <c r="D1712" s="51"/>
    </row>
    <row r="1713" spans="1:4" x14ac:dyDescent="0.45">
      <c r="A1713" s="7">
        <v>42473</v>
      </c>
      <c r="B1713" s="8">
        <f>VLOOKUP(Table1[[#This Row],[Date]],'BUD data'!A:F,6,)</f>
        <v>108.535194</v>
      </c>
      <c r="C1713" s="51"/>
      <c r="D1713" s="51"/>
    </row>
    <row r="1714" spans="1:4" x14ac:dyDescent="0.45">
      <c r="A1714" s="7">
        <v>42474</v>
      </c>
      <c r="B1714" s="8">
        <f>VLOOKUP(Table1[[#This Row],[Date]],'BUD data'!A:F,6,)</f>
        <v>111.652435</v>
      </c>
      <c r="C1714" s="51"/>
      <c r="D1714" s="51"/>
    </row>
    <row r="1715" spans="1:4" x14ac:dyDescent="0.45">
      <c r="A1715" s="7">
        <v>42475</v>
      </c>
      <c r="B1715" s="8">
        <f>VLOOKUP(Table1[[#This Row],[Date]],'BUD data'!A:F,6,)</f>
        <v>112.140884</v>
      </c>
      <c r="C1715" s="51"/>
      <c r="D1715" s="51"/>
    </row>
    <row r="1716" spans="1:4" x14ac:dyDescent="0.45">
      <c r="A1716" s="7">
        <v>42478</v>
      </c>
      <c r="B1716" s="8">
        <f>VLOOKUP(Table1[[#This Row],[Date]],'BUD data'!A:F,6,)</f>
        <v>113.606255</v>
      </c>
      <c r="C1716" s="51"/>
      <c r="D1716" s="51"/>
    </row>
    <row r="1717" spans="1:4" x14ac:dyDescent="0.45">
      <c r="A1717" s="7">
        <v>42479</v>
      </c>
      <c r="B1717" s="8">
        <f>VLOOKUP(Table1[[#This Row],[Date]],'BUD data'!A:F,6,)</f>
        <v>117.025459</v>
      </c>
      <c r="C1717" s="51"/>
      <c r="D1717" s="51"/>
    </row>
    <row r="1718" spans="1:4" x14ac:dyDescent="0.45">
      <c r="A1718" s="7">
        <v>42480</v>
      </c>
      <c r="B1718" s="8">
        <f>VLOOKUP(Table1[[#This Row],[Date]],'BUD data'!A:F,6,)</f>
        <v>116.47483099999999</v>
      </c>
      <c r="C1718" s="51"/>
      <c r="D1718" s="51"/>
    </row>
    <row r="1719" spans="1:4" x14ac:dyDescent="0.45">
      <c r="A1719" s="7">
        <v>42481</v>
      </c>
      <c r="B1719" s="8">
        <f>VLOOKUP(Table1[[#This Row],[Date]],'BUD data'!A:F,6,)</f>
        <v>114.174644</v>
      </c>
      <c r="C1719" s="51"/>
      <c r="D1719" s="51"/>
    </row>
    <row r="1720" spans="1:4" x14ac:dyDescent="0.45">
      <c r="A1720" s="7">
        <v>42482</v>
      </c>
      <c r="B1720" s="8">
        <f>VLOOKUP(Table1[[#This Row],[Date]],'BUD data'!A:F,6,)</f>
        <v>113.917107</v>
      </c>
      <c r="C1720" s="51"/>
      <c r="D1720" s="51"/>
    </row>
    <row r="1721" spans="1:4" x14ac:dyDescent="0.45">
      <c r="A1721" s="7">
        <v>42485</v>
      </c>
      <c r="B1721" s="8">
        <f>VLOOKUP(Table1[[#This Row],[Date]],'BUD data'!A:F,6,)</f>
        <v>114.60092899999999</v>
      </c>
      <c r="C1721" s="51"/>
      <c r="D1721" s="51"/>
    </row>
    <row r="1722" spans="1:4" x14ac:dyDescent="0.45">
      <c r="A1722" s="7">
        <v>42486</v>
      </c>
      <c r="B1722" s="8">
        <f>VLOOKUP(Table1[[#This Row],[Date]],'BUD data'!A:F,6,)</f>
        <v>114.130241</v>
      </c>
      <c r="C1722" s="51"/>
      <c r="D1722" s="51"/>
    </row>
    <row r="1723" spans="1:4" x14ac:dyDescent="0.45">
      <c r="A1723" s="7">
        <v>42487</v>
      </c>
      <c r="B1723" s="8">
        <f>VLOOKUP(Table1[[#This Row],[Date]],'BUD data'!A:F,6,)</f>
        <v>114.02366600000001</v>
      </c>
      <c r="C1723" s="51"/>
      <c r="D1723" s="51"/>
    </row>
    <row r="1724" spans="1:4" x14ac:dyDescent="0.45">
      <c r="A1724" s="7">
        <v>42488</v>
      </c>
      <c r="B1724" s="8">
        <f>VLOOKUP(Table1[[#This Row],[Date]],'BUD data'!A:F,6,)</f>
        <v>113.14946</v>
      </c>
      <c r="C1724" s="51"/>
      <c r="D1724" s="51"/>
    </row>
    <row r="1725" spans="1:4" x14ac:dyDescent="0.45">
      <c r="A1725" s="7">
        <v>42489</v>
      </c>
      <c r="B1725" s="8">
        <f>VLOOKUP(Table1[[#This Row],[Date]],'BUD data'!A:F,6,)</f>
        <v>112.263504</v>
      </c>
      <c r="C1725" s="51"/>
      <c r="D1725" s="51"/>
    </row>
    <row r="1726" spans="1:4" x14ac:dyDescent="0.45">
      <c r="A1726" s="7">
        <v>42492</v>
      </c>
      <c r="B1726" s="8">
        <f>VLOOKUP(Table1[[#This Row],[Date]],'BUD data'!A:F,6,)</f>
        <v>113.764206</v>
      </c>
      <c r="C1726" s="51"/>
      <c r="D1726" s="51"/>
    </row>
    <row r="1727" spans="1:4" x14ac:dyDescent="0.45">
      <c r="A1727" s="7">
        <v>42493</v>
      </c>
      <c r="B1727" s="8">
        <f>VLOOKUP(Table1[[#This Row],[Date]],'BUD data'!A:F,6,)</f>
        <v>112.977692</v>
      </c>
      <c r="C1727" s="51"/>
      <c r="D1727" s="51"/>
    </row>
    <row r="1728" spans="1:4" x14ac:dyDescent="0.45">
      <c r="A1728" s="7">
        <v>42494</v>
      </c>
      <c r="B1728" s="8">
        <f>VLOOKUP(Table1[[#This Row],[Date]],'BUD data'!A:F,6,)</f>
        <v>111.24194300000001</v>
      </c>
      <c r="C1728" s="51"/>
      <c r="D1728" s="51"/>
    </row>
    <row r="1729" spans="1:4" x14ac:dyDescent="0.45">
      <c r="A1729" s="7">
        <v>42495</v>
      </c>
      <c r="B1729" s="8">
        <f>VLOOKUP(Table1[[#This Row],[Date]],'BUD data'!A:F,6,)</f>
        <v>113.194664</v>
      </c>
      <c r="C1729" s="51"/>
      <c r="D1729" s="51"/>
    </row>
    <row r="1730" spans="1:4" x14ac:dyDescent="0.45">
      <c r="A1730" s="7">
        <v>42496</v>
      </c>
      <c r="B1730" s="8">
        <f>VLOOKUP(Table1[[#This Row],[Date]],'BUD data'!A:F,6,)</f>
        <v>113.013863</v>
      </c>
      <c r="C1730" s="51"/>
      <c r="D1730" s="51"/>
    </row>
    <row r="1731" spans="1:4" x14ac:dyDescent="0.45">
      <c r="A1731" s="7">
        <v>42499</v>
      </c>
      <c r="B1731" s="8">
        <f>VLOOKUP(Table1[[#This Row],[Date]],'BUD data'!A:F,6,)</f>
        <v>115.047935</v>
      </c>
      <c r="C1731" s="51"/>
      <c r="D1731" s="51"/>
    </row>
    <row r="1732" spans="1:4" x14ac:dyDescent="0.45">
      <c r="A1732" s="7">
        <v>42500</v>
      </c>
      <c r="B1732" s="8">
        <f>VLOOKUP(Table1[[#This Row],[Date]],'BUD data'!A:F,6,)</f>
        <v>115.80735</v>
      </c>
      <c r="C1732" s="51"/>
      <c r="D1732" s="51"/>
    </row>
    <row r="1733" spans="1:4" x14ac:dyDescent="0.45">
      <c r="A1733" s="7">
        <v>42501</v>
      </c>
      <c r="B1733" s="8">
        <f>VLOOKUP(Table1[[#This Row],[Date]],'BUD data'!A:F,6,)</f>
        <v>114.668243</v>
      </c>
      <c r="C1733" s="51"/>
      <c r="D1733" s="51"/>
    </row>
    <row r="1734" spans="1:4" x14ac:dyDescent="0.45">
      <c r="A1734" s="7">
        <v>42502</v>
      </c>
      <c r="B1734" s="8">
        <f>VLOOKUP(Table1[[#This Row],[Date]],'BUD data'!A:F,6,)</f>
        <v>114.360878</v>
      </c>
      <c r="C1734" s="51"/>
      <c r="D1734" s="51"/>
    </row>
    <row r="1735" spans="1:4" x14ac:dyDescent="0.45">
      <c r="A1735" s="7">
        <v>42503</v>
      </c>
      <c r="B1735" s="8">
        <f>VLOOKUP(Table1[[#This Row],[Date]],'BUD data'!A:F,6,)</f>
        <v>112.905373</v>
      </c>
      <c r="C1735" s="51"/>
      <c r="D1735" s="51"/>
    </row>
    <row r="1736" spans="1:4" x14ac:dyDescent="0.45">
      <c r="A1736" s="7">
        <v>42506</v>
      </c>
      <c r="B1736" s="8">
        <f>VLOOKUP(Table1[[#This Row],[Date]],'BUD data'!A:F,6,)</f>
        <v>113.44779200000001</v>
      </c>
      <c r="C1736" s="51"/>
      <c r="D1736" s="51"/>
    </row>
    <row r="1737" spans="1:4" x14ac:dyDescent="0.45">
      <c r="A1737" s="7">
        <v>42507</v>
      </c>
      <c r="B1737" s="8">
        <f>VLOOKUP(Table1[[#This Row],[Date]],'BUD data'!A:F,6,)</f>
        <v>111.44987500000001</v>
      </c>
      <c r="C1737" s="51"/>
      <c r="D1737" s="51"/>
    </row>
    <row r="1738" spans="1:4" x14ac:dyDescent="0.45">
      <c r="A1738" s="7">
        <v>42508</v>
      </c>
      <c r="B1738" s="8">
        <f>VLOOKUP(Table1[[#This Row],[Date]],'BUD data'!A:F,6,)</f>
        <v>110.527756</v>
      </c>
      <c r="C1738" s="51"/>
      <c r="D1738" s="51"/>
    </row>
    <row r="1739" spans="1:4" x14ac:dyDescent="0.45">
      <c r="A1739" s="7">
        <v>42509</v>
      </c>
      <c r="B1739" s="8">
        <f>VLOOKUP(Table1[[#This Row],[Date]],'BUD data'!A:F,6,)</f>
        <v>110.609116</v>
      </c>
      <c r="C1739" s="51"/>
      <c r="D1739" s="51"/>
    </row>
    <row r="1740" spans="1:4" x14ac:dyDescent="0.45">
      <c r="A1740" s="7">
        <v>42510</v>
      </c>
      <c r="B1740" s="8">
        <f>VLOOKUP(Table1[[#This Row],[Date]],'BUD data'!A:F,6,)</f>
        <v>110.283669</v>
      </c>
      <c r="C1740" s="51"/>
      <c r="D1740" s="51"/>
    </row>
    <row r="1741" spans="1:4" x14ac:dyDescent="0.45">
      <c r="A1741" s="7">
        <v>42513</v>
      </c>
      <c r="B1741" s="8">
        <f>VLOOKUP(Table1[[#This Row],[Date]],'BUD data'!A:F,6,)</f>
        <v>109.858757</v>
      </c>
      <c r="C1741" s="51"/>
      <c r="D1741" s="51"/>
    </row>
    <row r="1742" spans="1:4" x14ac:dyDescent="0.45">
      <c r="A1742" s="7">
        <v>42514</v>
      </c>
      <c r="B1742" s="8">
        <f>VLOOKUP(Table1[[#This Row],[Date]],'BUD data'!A:F,6,)</f>
        <v>112.86921700000001</v>
      </c>
      <c r="C1742" s="51"/>
      <c r="D1742" s="51"/>
    </row>
    <row r="1743" spans="1:4" x14ac:dyDescent="0.45">
      <c r="A1743" s="7">
        <v>42515</v>
      </c>
      <c r="B1743" s="8">
        <f>VLOOKUP(Table1[[#This Row],[Date]],'BUD data'!A:F,6,)</f>
        <v>113.972145</v>
      </c>
      <c r="C1743" s="51"/>
      <c r="D1743" s="51"/>
    </row>
    <row r="1744" spans="1:4" x14ac:dyDescent="0.45">
      <c r="A1744" s="7">
        <v>42516</v>
      </c>
      <c r="B1744" s="8">
        <f>VLOOKUP(Table1[[#This Row],[Date]],'BUD data'!A:F,6,)</f>
        <v>114.966583</v>
      </c>
      <c r="C1744" s="51"/>
      <c r="D1744" s="51"/>
    </row>
    <row r="1745" spans="1:4" x14ac:dyDescent="0.45">
      <c r="A1745" s="7">
        <v>42517</v>
      </c>
      <c r="B1745" s="8">
        <f>VLOOKUP(Table1[[#This Row],[Date]],'BUD data'!A:F,6,)</f>
        <v>114.17102800000001</v>
      </c>
      <c r="C1745" s="51"/>
      <c r="D1745" s="51"/>
    </row>
    <row r="1746" spans="1:4" x14ac:dyDescent="0.45">
      <c r="A1746" s="7">
        <v>42521</v>
      </c>
      <c r="B1746" s="8">
        <f>VLOOKUP(Table1[[#This Row],[Date]],'BUD data'!A:F,6,)</f>
        <v>114.107742</v>
      </c>
      <c r="C1746" s="51"/>
      <c r="D1746" s="51"/>
    </row>
    <row r="1747" spans="1:4" x14ac:dyDescent="0.45">
      <c r="A1747" s="7">
        <v>42522</v>
      </c>
      <c r="B1747" s="8">
        <f>VLOOKUP(Table1[[#This Row],[Date]],'BUD data'!A:F,6,)</f>
        <v>116.648094</v>
      </c>
      <c r="C1747" s="51"/>
      <c r="D1747" s="51"/>
    </row>
    <row r="1748" spans="1:4" x14ac:dyDescent="0.45">
      <c r="A1748" s="7">
        <v>42523</v>
      </c>
      <c r="B1748" s="8">
        <f>VLOOKUP(Table1[[#This Row],[Date]],'BUD data'!A:F,6,)</f>
        <v>115.951981</v>
      </c>
      <c r="C1748" s="51"/>
      <c r="D1748" s="51"/>
    </row>
    <row r="1749" spans="1:4" x14ac:dyDescent="0.45">
      <c r="A1749" s="7">
        <v>42524</v>
      </c>
      <c r="B1749" s="8">
        <f>VLOOKUP(Table1[[#This Row],[Date]],'BUD data'!A:F,6,)</f>
        <v>115.725967</v>
      </c>
      <c r="C1749" s="51"/>
      <c r="D1749" s="51"/>
    </row>
    <row r="1750" spans="1:4" x14ac:dyDescent="0.45">
      <c r="A1750" s="7">
        <v>42527</v>
      </c>
      <c r="B1750" s="8">
        <f>VLOOKUP(Table1[[#This Row],[Date]],'BUD data'!A:F,6,)</f>
        <v>117.687721</v>
      </c>
      <c r="C1750" s="51"/>
      <c r="D1750" s="51"/>
    </row>
    <row r="1751" spans="1:4" x14ac:dyDescent="0.45">
      <c r="A1751" s="7">
        <v>42528</v>
      </c>
      <c r="B1751" s="8">
        <f>VLOOKUP(Table1[[#This Row],[Date]],'BUD data'!A:F,6,)</f>
        <v>117.89567599999999</v>
      </c>
      <c r="C1751" s="51"/>
      <c r="D1751" s="51"/>
    </row>
    <row r="1752" spans="1:4" x14ac:dyDescent="0.45">
      <c r="A1752" s="7">
        <v>42529</v>
      </c>
      <c r="B1752" s="8">
        <f>VLOOKUP(Table1[[#This Row],[Date]],'BUD data'!A:F,6,)</f>
        <v>119.034752</v>
      </c>
      <c r="C1752" s="51"/>
      <c r="D1752" s="51"/>
    </row>
    <row r="1753" spans="1:4" x14ac:dyDescent="0.45">
      <c r="A1753" s="7">
        <v>42530</v>
      </c>
      <c r="B1753" s="8">
        <f>VLOOKUP(Table1[[#This Row],[Date]],'BUD data'!A:F,6,)</f>
        <v>117.452682</v>
      </c>
      <c r="C1753" s="51"/>
      <c r="D1753" s="51"/>
    </row>
    <row r="1754" spans="1:4" x14ac:dyDescent="0.45">
      <c r="A1754" s="7">
        <v>42531</v>
      </c>
      <c r="B1754" s="8">
        <f>VLOOKUP(Table1[[#This Row],[Date]],'BUD data'!A:F,6,)</f>
        <v>113.44779200000001</v>
      </c>
      <c r="C1754" s="51"/>
      <c r="D1754" s="51"/>
    </row>
    <row r="1755" spans="1:4" x14ac:dyDescent="0.45">
      <c r="A1755" s="7">
        <v>42534</v>
      </c>
      <c r="B1755" s="8">
        <f>VLOOKUP(Table1[[#This Row],[Date]],'BUD data'!A:F,6,)</f>
        <v>112.046539</v>
      </c>
      <c r="C1755" s="51"/>
      <c r="D1755" s="51"/>
    </row>
    <row r="1756" spans="1:4" x14ac:dyDescent="0.45">
      <c r="A1756" s="7">
        <v>42535</v>
      </c>
      <c r="B1756" s="8">
        <f>VLOOKUP(Table1[[#This Row],[Date]],'BUD data'!A:F,6,)</f>
        <v>110.54583</v>
      </c>
      <c r="C1756" s="51"/>
      <c r="D1756" s="51"/>
    </row>
    <row r="1757" spans="1:4" x14ac:dyDescent="0.45">
      <c r="A1757" s="7">
        <v>42536</v>
      </c>
      <c r="B1757" s="8">
        <f>VLOOKUP(Table1[[#This Row],[Date]],'BUD data'!A:F,6,)</f>
        <v>112.344864</v>
      </c>
      <c r="C1757" s="51"/>
      <c r="D1757" s="51"/>
    </row>
    <row r="1758" spans="1:4" x14ac:dyDescent="0.45">
      <c r="A1758" s="7">
        <v>42537</v>
      </c>
      <c r="B1758" s="8">
        <f>VLOOKUP(Table1[[#This Row],[Date]],'BUD data'!A:F,6,)</f>
        <v>113.493004</v>
      </c>
      <c r="C1758" s="51"/>
      <c r="D1758" s="51"/>
    </row>
    <row r="1759" spans="1:4" x14ac:dyDescent="0.45">
      <c r="A1759" s="7">
        <v>42538</v>
      </c>
      <c r="B1759" s="8">
        <f>VLOOKUP(Table1[[#This Row],[Date]],'BUD data'!A:F,6,)</f>
        <v>112.308708</v>
      </c>
      <c r="C1759" s="51"/>
      <c r="D1759" s="51"/>
    </row>
    <row r="1760" spans="1:4" x14ac:dyDescent="0.45">
      <c r="A1760" s="7">
        <v>42541</v>
      </c>
      <c r="B1760" s="8">
        <f>VLOOKUP(Table1[[#This Row],[Date]],'BUD data'!A:F,6,)</f>
        <v>114.31566599999999</v>
      </c>
      <c r="C1760" s="51"/>
      <c r="D1760" s="51"/>
    </row>
    <row r="1761" spans="1:4" x14ac:dyDescent="0.45">
      <c r="A1761" s="7">
        <v>42542</v>
      </c>
      <c r="B1761" s="8">
        <f>VLOOKUP(Table1[[#This Row],[Date]],'BUD data'!A:F,6,)</f>
        <v>116.22319</v>
      </c>
      <c r="C1761" s="51"/>
      <c r="D1761" s="51"/>
    </row>
    <row r="1762" spans="1:4" x14ac:dyDescent="0.45">
      <c r="A1762" s="7">
        <v>42543</v>
      </c>
      <c r="B1762" s="8">
        <f>VLOOKUP(Table1[[#This Row],[Date]],'BUD data'!A:F,6,)</f>
        <v>116.123741</v>
      </c>
      <c r="C1762" s="51"/>
      <c r="D1762" s="51"/>
    </row>
    <row r="1763" spans="1:4" x14ac:dyDescent="0.45">
      <c r="A1763" s="7">
        <v>42544</v>
      </c>
      <c r="B1763" s="8">
        <f>VLOOKUP(Table1[[#This Row],[Date]],'BUD data'!A:F,6,)</f>
        <v>117.14531700000001</v>
      </c>
      <c r="C1763" s="51"/>
      <c r="D1763" s="51"/>
    </row>
    <row r="1764" spans="1:4" x14ac:dyDescent="0.45">
      <c r="A1764" s="7">
        <v>42545</v>
      </c>
      <c r="B1764" s="8">
        <f>VLOOKUP(Table1[[#This Row],[Date]],'BUD data'!A:F,6,)</f>
        <v>110.717606</v>
      </c>
      <c r="C1764" s="51"/>
      <c r="D1764" s="51"/>
    </row>
    <row r="1765" spans="1:4" x14ac:dyDescent="0.45">
      <c r="A1765" s="7">
        <v>42548</v>
      </c>
      <c r="B1765" s="8">
        <f>VLOOKUP(Table1[[#This Row],[Date]],'BUD data'!A:F,6,)</f>
        <v>109.759315</v>
      </c>
      <c r="C1765" s="51"/>
      <c r="D1765" s="51"/>
    </row>
    <row r="1766" spans="1:4" x14ac:dyDescent="0.45">
      <c r="A1766" s="7">
        <v>42549</v>
      </c>
      <c r="B1766" s="8">
        <f>VLOOKUP(Table1[[#This Row],[Date]],'BUD data'!A:F,6,)</f>
        <v>111.531235</v>
      </c>
      <c r="C1766" s="51"/>
      <c r="D1766" s="51"/>
    </row>
    <row r="1767" spans="1:4" x14ac:dyDescent="0.45">
      <c r="A1767" s="7">
        <v>42550</v>
      </c>
      <c r="B1767" s="8">
        <f>VLOOKUP(Table1[[#This Row],[Date]],'BUD data'!A:F,6,)</f>
        <v>114.180069</v>
      </c>
      <c r="C1767" s="51"/>
      <c r="D1767" s="51"/>
    </row>
    <row r="1768" spans="1:4" x14ac:dyDescent="0.45">
      <c r="A1768" s="7">
        <v>42551</v>
      </c>
      <c r="B1768" s="8">
        <f>VLOOKUP(Table1[[#This Row],[Date]],'BUD data'!A:F,6,)</f>
        <v>119.04377700000001</v>
      </c>
      <c r="C1768" s="51"/>
      <c r="D1768" s="51"/>
    </row>
    <row r="1769" spans="1:4" x14ac:dyDescent="0.45">
      <c r="A1769" s="7">
        <v>42552</v>
      </c>
      <c r="B1769" s="8">
        <f>VLOOKUP(Table1[[#This Row],[Date]],'BUD data'!A:F,6,)</f>
        <v>118.790657</v>
      </c>
      <c r="C1769" s="51"/>
      <c r="D1769" s="51"/>
    </row>
    <row r="1770" spans="1:4" x14ac:dyDescent="0.45">
      <c r="A1770" s="7">
        <v>42556</v>
      </c>
      <c r="B1770" s="8">
        <f>VLOOKUP(Table1[[#This Row],[Date]],'BUD data'!A:F,6,)</f>
        <v>116.23223900000001</v>
      </c>
      <c r="C1770" s="51"/>
      <c r="D1770" s="51"/>
    </row>
    <row r="1771" spans="1:4" x14ac:dyDescent="0.45">
      <c r="A1771" s="7">
        <v>42557</v>
      </c>
      <c r="B1771" s="8">
        <f>VLOOKUP(Table1[[#This Row],[Date]],'BUD data'!A:F,6,)</f>
        <v>115.78021200000001</v>
      </c>
      <c r="C1771" s="51"/>
      <c r="D1771" s="51"/>
    </row>
    <row r="1772" spans="1:4" x14ac:dyDescent="0.45">
      <c r="A1772" s="7">
        <v>42558</v>
      </c>
      <c r="B1772" s="8">
        <f>VLOOKUP(Table1[[#This Row],[Date]],'BUD data'!A:F,6,)</f>
        <v>114.984673</v>
      </c>
      <c r="C1772" s="51"/>
      <c r="D1772" s="51"/>
    </row>
    <row r="1773" spans="1:4" x14ac:dyDescent="0.45">
      <c r="A1773" s="7">
        <v>42559</v>
      </c>
      <c r="B1773" s="8">
        <f>VLOOKUP(Table1[[#This Row],[Date]],'BUD data'!A:F,6,)</f>
        <v>115.490921</v>
      </c>
      <c r="C1773" s="51"/>
      <c r="D1773" s="51"/>
    </row>
    <row r="1774" spans="1:4" x14ac:dyDescent="0.45">
      <c r="A1774" s="7">
        <v>42562</v>
      </c>
      <c r="B1774" s="8">
        <f>VLOOKUP(Table1[[#This Row],[Date]],'BUD data'!A:F,6,)</f>
        <v>115.20162999999999</v>
      </c>
      <c r="C1774" s="51"/>
      <c r="D1774" s="51"/>
    </row>
    <row r="1775" spans="1:4" x14ac:dyDescent="0.45">
      <c r="A1775" s="7">
        <v>42563</v>
      </c>
      <c r="B1775" s="8">
        <f>VLOOKUP(Table1[[#This Row],[Date]],'BUD data'!A:F,6,)</f>
        <v>115.725967</v>
      </c>
      <c r="C1775" s="51"/>
      <c r="D1775" s="51"/>
    </row>
    <row r="1776" spans="1:4" x14ac:dyDescent="0.45">
      <c r="A1776" s="7">
        <v>42564</v>
      </c>
      <c r="B1776" s="8">
        <f>VLOOKUP(Table1[[#This Row],[Date]],'BUD data'!A:F,6,)</f>
        <v>115.46380600000001</v>
      </c>
      <c r="C1776" s="51"/>
      <c r="D1776" s="51"/>
    </row>
    <row r="1777" spans="1:4" x14ac:dyDescent="0.45">
      <c r="A1777" s="7">
        <v>42565</v>
      </c>
      <c r="B1777" s="8">
        <f>VLOOKUP(Table1[[#This Row],[Date]],'BUD data'!A:F,6,)</f>
        <v>114.234314</v>
      </c>
      <c r="C1777" s="51"/>
      <c r="D1777" s="51"/>
    </row>
    <row r="1778" spans="1:4" x14ac:dyDescent="0.45">
      <c r="A1778" s="7">
        <v>42566</v>
      </c>
      <c r="B1778" s="8">
        <f>VLOOKUP(Table1[[#This Row],[Date]],'BUD data'!A:F,6,)</f>
        <v>113.393562</v>
      </c>
      <c r="C1778" s="51"/>
      <c r="D1778" s="51"/>
    </row>
    <row r="1779" spans="1:4" x14ac:dyDescent="0.45">
      <c r="A1779" s="7">
        <v>42569</v>
      </c>
      <c r="B1779" s="8">
        <f>VLOOKUP(Table1[[#This Row],[Date]],'BUD data'!A:F,6,)</f>
        <v>113.845573</v>
      </c>
      <c r="C1779" s="51"/>
      <c r="D1779" s="51"/>
    </row>
    <row r="1780" spans="1:4" x14ac:dyDescent="0.45">
      <c r="A1780" s="7">
        <v>42570</v>
      </c>
      <c r="B1780" s="8">
        <f>VLOOKUP(Table1[[#This Row],[Date]],'BUD data'!A:F,6,)</f>
        <v>112.63415500000001</v>
      </c>
      <c r="C1780" s="51"/>
      <c r="D1780" s="51"/>
    </row>
    <row r="1781" spans="1:4" x14ac:dyDescent="0.45">
      <c r="A1781" s="7">
        <v>42571</v>
      </c>
      <c r="B1781" s="8">
        <f>VLOOKUP(Table1[[#This Row],[Date]],'BUD data'!A:F,6,)</f>
        <v>114.107742</v>
      </c>
      <c r="C1781" s="51"/>
      <c r="D1781" s="51"/>
    </row>
    <row r="1782" spans="1:4" x14ac:dyDescent="0.45">
      <c r="A1782" s="7">
        <v>42572</v>
      </c>
      <c r="B1782" s="8">
        <f>VLOOKUP(Table1[[#This Row],[Date]],'BUD data'!A:F,6,)</f>
        <v>112.552803</v>
      </c>
      <c r="C1782" s="51"/>
      <c r="D1782" s="51"/>
    </row>
    <row r="1783" spans="1:4" x14ac:dyDescent="0.45">
      <c r="A1783" s="7">
        <v>42573</v>
      </c>
      <c r="B1783" s="8">
        <f>VLOOKUP(Table1[[#This Row],[Date]],'BUD data'!A:F,6,)</f>
        <v>114.017357</v>
      </c>
      <c r="C1783" s="51"/>
      <c r="D1783" s="51"/>
    </row>
    <row r="1784" spans="1:4" x14ac:dyDescent="0.45">
      <c r="A1784" s="7">
        <v>42576</v>
      </c>
      <c r="B1784" s="8">
        <f>VLOOKUP(Table1[[#This Row],[Date]],'BUD data'!A:F,6,)</f>
        <v>113.872696</v>
      </c>
      <c r="C1784" s="51"/>
      <c r="D1784" s="51"/>
    </row>
    <row r="1785" spans="1:4" x14ac:dyDescent="0.45">
      <c r="A1785" s="7">
        <v>42577</v>
      </c>
      <c r="B1785" s="8">
        <f>VLOOKUP(Table1[[#This Row],[Date]],'BUD data'!A:F,6,)</f>
        <v>114.451286</v>
      </c>
      <c r="C1785" s="51"/>
      <c r="D1785" s="51"/>
    </row>
    <row r="1786" spans="1:4" x14ac:dyDescent="0.45">
      <c r="A1786" s="7">
        <v>42578</v>
      </c>
      <c r="B1786" s="8">
        <f>VLOOKUP(Table1[[#This Row],[Date]],'BUD data'!A:F,6,)</f>
        <v>110.23846399999999</v>
      </c>
      <c r="C1786" s="51"/>
      <c r="D1786" s="51"/>
    </row>
    <row r="1787" spans="1:4" x14ac:dyDescent="0.45">
      <c r="A1787" s="7">
        <v>42579</v>
      </c>
      <c r="B1787" s="8">
        <f>VLOOKUP(Table1[[#This Row],[Date]],'BUD data'!A:F,6,)</f>
        <v>113.83654</v>
      </c>
      <c r="C1787" s="51"/>
      <c r="D1787" s="51"/>
    </row>
    <row r="1788" spans="1:4" x14ac:dyDescent="0.45">
      <c r="A1788" s="7">
        <v>42580</v>
      </c>
      <c r="B1788" s="8">
        <f>VLOOKUP(Table1[[#This Row],[Date]],'BUD data'!A:F,6,)</f>
        <v>117.018761</v>
      </c>
      <c r="C1788" s="51"/>
      <c r="D1788" s="51"/>
    </row>
    <row r="1789" spans="1:4" x14ac:dyDescent="0.45">
      <c r="A1789" s="7">
        <v>42583</v>
      </c>
      <c r="B1789" s="8">
        <f>VLOOKUP(Table1[[#This Row],[Date]],'BUD data'!A:F,6,)</f>
        <v>113.21275300000001</v>
      </c>
      <c r="C1789" s="51"/>
      <c r="D1789" s="51"/>
    </row>
    <row r="1790" spans="1:4" x14ac:dyDescent="0.45">
      <c r="A1790" s="7">
        <v>42584</v>
      </c>
      <c r="B1790" s="8">
        <f>VLOOKUP(Table1[[#This Row],[Date]],'BUD data'!A:F,6,)</f>
        <v>112.67031900000001</v>
      </c>
      <c r="C1790" s="51"/>
      <c r="D1790" s="51"/>
    </row>
    <row r="1791" spans="1:4" x14ac:dyDescent="0.45">
      <c r="A1791" s="7">
        <v>42585</v>
      </c>
      <c r="B1791" s="8">
        <f>VLOOKUP(Table1[[#This Row],[Date]],'BUD data'!A:F,6,)</f>
        <v>111.784378</v>
      </c>
      <c r="C1791" s="51"/>
      <c r="D1791" s="51"/>
    </row>
    <row r="1792" spans="1:4" x14ac:dyDescent="0.45">
      <c r="A1792" s="7">
        <v>42586</v>
      </c>
      <c r="B1792" s="8">
        <f>VLOOKUP(Table1[[#This Row],[Date]],'BUD data'!A:F,6,)</f>
        <v>112.037498</v>
      </c>
      <c r="C1792" s="51"/>
      <c r="D1792" s="51"/>
    </row>
    <row r="1793" spans="1:4" x14ac:dyDescent="0.45">
      <c r="A1793" s="7">
        <v>42587</v>
      </c>
      <c r="B1793" s="8">
        <f>VLOOKUP(Table1[[#This Row],[Date]],'BUD data'!A:F,6,)</f>
        <v>111.96517900000001</v>
      </c>
      <c r="C1793" s="51"/>
      <c r="D1793" s="51"/>
    </row>
    <row r="1794" spans="1:4" x14ac:dyDescent="0.45">
      <c r="A1794" s="7">
        <v>42590</v>
      </c>
      <c r="B1794" s="8">
        <f>VLOOKUP(Table1[[#This Row],[Date]],'BUD data'!A:F,6,)</f>
        <v>111.133461</v>
      </c>
      <c r="C1794" s="51"/>
      <c r="D1794" s="51"/>
    </row>
    <row r="1795" spans="1:4" x14ac:dyDescent="0.45">
      <c r="A1795" s="7">
        <v>42591</v>
      </c>
      <c r="B1795" s="8">
        <f>VLOOKUP(Table1[[#This Row],[Date]],'BUD data'!A:F,6,)</f>
        <v>111.296188</v>
      </c>
      <c r="C1795" s="51"/>
      <c r="D1795" s="51"/>
    </row>
    <row r="1796" spans="1:4" x14ac:dyDescent="0.45">
      <c r="A1796" s="7">
        <v>42592</v>
      </c>
      <c r="B1796" s="8">
        <f>VLOOKUP(Table1[[#This Row],[Date]],'BUD data'!A:F,6,)</f>
        <v>111.784378</v>
      </c>
      <c r="C1796" s="51"/>
      <c r="D1796" s="51"/>
    </row>
    <row r="1797" spans="1:4" x14ac:dyDescent="0.45">
      <c r="A1797" s="7">
        <v>42593</v>
      </c>
      <c r="B1797" s="8">
        <f>VLOOKUP(Table1[[#This Row],[Date]],'BUD data'!A:F,6,)</f>
        <v>112.64321099999999</v>
      </c>
      <c r="C1797" s="51"/>
      <c r="D1797" s="51"/>
    </row>
    <row r="1798" spans="1:4" x14ac:dyDescent="0.45">
      <c r="A1798" s="7">
        <v>42594</v>
      </c>
      <c r="B1798" s="8">
        <f>VLOOKUP(Table1[[#This Row],[Date]],'BUD data'!A:F,6,)</f>
        <v>114.08062</v>
      </c>
      <c r="C1798" s="51"/>
      <c r="D1798" s="51"/>
    </row>
    <row r="1799" spans="1:4" x14ac:dyDescent="0.45">
      <c r="A1799" s="7">
        <v>42597</v>
      </c>
      <c r="B1799" s="8">
        <f>VLOOKUP(Table1[[#This Row],[Date]],'BUD data'!A:F,6,)</f>
        <v>113.592438</v>
      </c>
      <c r="C1799" s="51"/>
      <c r="D1799" s="51"/>
    </row>
    <row r="1800" spans="1:4" x14ac:dyDescent="0.45">
      <c r="A1800" s="7">
        <v>42598</v>
      </c>
      <c r="B1800" s="8">
        <f>VLOOKUP(Table1[[#This Row],[Date]],'BUD data'!A:F,6,)</f>
        <v>113.908867</v>
      </c>
      <c r="C1800" s="51"/>
      <c r="D1800" s="51"/>
    </row>
    <row r="1801" spans="1:4" x14ac:dyDescent="0.45">
      <c r="A1801" s="7">
        <v>42599</v>
      </c>
      <c r="B1801" s="8">
        <f>VLOOKUP(Table1[[#This Row],[Date]],'BUD data'!A:F,6,)</f>
        <v>114.397041</v>
      </c>
      <c r="C1801" s="51"/>
      <c r="D1801" s="51"/>
    </row>
    <row r="1802" spans="1:4" x14ac:dyDescent="0.45">
      <c r="A1802" s="7">
        <v>42600</v>
      </c>
      <c r="B1802" s="8">
        <f>VLOOKUP(Table1[[#This Row],[Date]],'BUD data'!A:F,6,)</f>
        <v>114.641136</v>
      </c>
      <c r="C1802" s="51"/>
      <c r="D1802" s="51"/>
    </row>
    <row r="1803" spans="1:4" x14ac:dyDescent="0.45">
      <c r="A1803" s="7">
        <v>42601</v>
      </c>
      <c r="B1803" s="8">
        <f>VLOOKUP(Table1[[#This Row],[Date]],'BUD data'!A:F,6,)</f>
        <v>114.25238</v>
      </c>
      <c r="C1803" s="51"/>
      <c r="D1803" s="51"/>
    </row>
    <row r="1804" spans="1:4" x14ac:dyDescent="0.45">
      <c r="A1804" s="7">
        <v>42604</v>
      </c>
      <c r="B1804" s="8">
        <f>VLOOKUP(Table1[[#This Row],[Date]],'BUD data'!A:F,6,)</f>
        <v>113.411636</v>
      </c>
      <c r="C1804" s="51"/>
      <c r="D1804" s="51"/>
    </row>
    <row r="1805" spans="1:4" x14ac:dyDescent="0.45">
      <c r="A1805" s="7">
        <v>42605</v>
      </c>
      <c r="B1805" s="8">
        <f>VLOOKUP(Table1[[#This Row],[Date]],'BUD data'!A:F,6,)</f>
        <v>114.31566599999999</v>
      </c>
      <c r="C1805" s="51"/>
      <c r="D1805" s="51"/>
    </row>
    <row r="1806" spans="1:4" x14ac:dyDescent="0.45">
      <c r="A1806" s="7">
        <v>42606</v>
      </c>
      <c r="B1806" s="8">
        <f>VLOOKUP(Table1[[#This Row],[Date]],'BUD data'!A:F,6,)</f>
        <v>113.791344</v>
      </c>
      <c r="C1806" s="51"/>
      <c r="D1806" s="51"/>
    </row>
    <row r="1807" spans="1:4" x14ac:dyDescent="0.45">
      <c r="A1807" s="7">
        <v>42607</v>
      </c>
      <c r="B1807" s="8">
        <f>VLOOKUP(Table1[[#This Row],[Date]],'BUD data'!A:F,6,)</f>
        <v>113.72805</v>
      </c>
      <c r="C1807" s="51"/>
      <c r="D1807" s="51"/>
    </row>
    <row r="1808" spans="1:4" x14ac:dyDescent="0.45">
      <c r="A1808" s="7">
        <v>42608</v>
      </c>
      <c r="B1808" s="8">
        <f>VLOOKUP(Table1[[#This Row],[Date]],'BUD data'!A:F,6,)</f>
        <v>113.673805</v>
      </c>
      <c r="C1808" s="51"/>
      <c r="D1808" s="51"/>
    </row>
    <row r="1809" spans="1:4" x14ac:dyDescent="0.45">
      <c r="A1809" s="7">
        <v>42611</v>
      </c>
      <c r="B1809" s="8">
        <f>VLOOKUP(Table1[[#This Row],[Date]],'BUD data'!A:F,6,)</f>
        <v>114.21622499999999</v>
      </c>
      <c r="C1809" s="51"/>
      <c r="D1809" s="51"/>
    </row>
    <row r="1810" spans="1:4" x14ac:dyDescent="0.45">
      <c r="A1810" s="7">
        <v>42612</v>
      </c>
      <c r="B1810" s="8">
        <f>VLOOKUP(Table1[[#This Row],[Date]],'BUD data'!A:F,6,)</f>
        <v>113.339325</v>
      </c>
      <c r="C1810" s="51"/>
      <c r="D1810" s="51"/>
    </row>
    <row r="1811" spans="1:4" x14ac:dyDescent="0.45">
      <c r="A1811" s="7">
        <v>42613</v>
      </c>
      <c r="B1811" s="8">
        <f>VLOOKUP(Table1[[#This Row],[Date]],'BUD data'!A:F,6,)</f>
        <v>112.127899</v>
      </c>
      <c r="C1811" s="51"/>
      <c r="D1811" s="51"/>
    </row>
    <row r="1812" spans="1:4" x14ac:dyDescent="0.45">
      <c r="A1812" s="7">
        <v>42614</v>
      </c>
      <c r="B1812" s="8">
        <f>VLOOKUP(Table1[[#This Row],[Date]],'BUD data'!A:F,6,)</f>
        <v>112.833054</v>
      </c>
      <c r="C1812" s="51"/>
      <c r="D1812" s="51"/>
    </row>
    <row r="1813" spans="1:4" x14ac:dyDescent="0.45">
      <c r="A1813" s="7">
        <v>42615</v>
      </c>
      <c r="B1813" s="8">
        <f>VLOOKUP(Table1[[#This Row],[Date]],'BUD data'!A:F,6,)</f>
        <v>114.595932</v>
      </c>
      <c r="C1813" s="51"/>
      <c r="D1813" s="51"/>
    </row>
    <row r="1814" spans="1:4" x14ac:dyDescent="0.45">
      <c r="A1814" s="7">
        <v>42619</v>
      </c>
      <c r="B1814" s="8">
        <f>VLOOKUP(Table1[[#This Row],[Date]],'BUD data'!A:F,6,)</f>
        <v>115.66269699999999</v>
      </c>
      <c r="C1814" s="51"/>
      <c r="D1814" s="51"/>
    </row>
    <row r="1815" spans="1:4" x14ac:dyDescent="0.45">
      <c r="A1815" s="7">
        <v>42620</v>
      </c>
      <c r="B1815" s="8">
        <f>VLOOKUP(Table1[[#This Row],[Date]],'BUD data'!A:F,6,)</f>
        <v>115.1474</v>
      </c>
      <c r="C1815" s="51"/>
      <c r="D1815" s="51"/>
    </row>
    <row r="1816" spans="1:4" x14ac:dyDescent="0.45">
      <c r="A1816" s="7">
        <v>42621</v>
      </c>
      <c r="B1816" s="8">
        <f>VLOOKUP(Table1[[#This Row],[Date]],'BUD data'!A:F,6,)</f>
        <v>114.41512299999999</v>
      </c>
      <c r="C1816" s="51"/>
      <c r="D1816" s="51"/>
    </row>
    <row r="1817" spans="1:4" x14ac:dyDescent="0.45">
      <c r="A1817" s="7">
        <v>42622</v>
      </c>
      <c r="B1817" s="8">
        <f>VLOOKUP(Table1[[#This Row],[Date]],'BUD data'!A:F,6,)</f>
        <v>111.404678</v>
      </c>
      <c r="C1817" s="51"/>
      <c r="D1817" s="51"/>
    </row>
    <row r="1818" spans="1:4" x14ac:dyDescent="0.45">
      <c r="A1818" s="7">
        <v>42625</v>
      </c>
      <c r="B1818" s="8">
        <f>VLOOKUP(Table1[[#This Row],[Date]],'BUD data'!A:F,6,)</f>
        <v>112.824005</v>
      </c>
      <c r="C1818" s="51"/>
      <c r="D1818" s="51"/>
    </row>
    <row r="1819" spans="1:4" x14ac:dyDescent="0.45">
      <c r="A1819" s="7">
        <v>42626</v>
      </c>
      <c r="B1819" s="8">
        <f>VLOOKUP(Table1[[#This Row],[Date]],'BUD data'!A:F,6,)</f>
        <v>110.78993199999999</v>
      </c>
      <c r="C1819" s="51"/>
      <c r="D1819" s="51"/>
    </row>
    <row r="1820" spans="1:4" x14ac:dyDescent="0.45">
      <c r="A1820" s="7">
        <v>42627</v>
      </c>
      <c r="B1820" s="8">
        <f>VLOOKUP(Table1[[#This Row],[Date]],'BUD data'!A:F,6,)</f>
        <v>110.997856</v>
      </c>
      <c r="C1820" s="51"/>
      <c r="D1820" s="51"/>
    </row>
    <row r="1821" spans="1:4" x14ac:dyDescent="0.45">
      <c r="A1821" s="7">
        <v>42628</v>
      </c>
      <c r="B1821" s="8">
        <f>VLOOKUP(Table1[[#This Row],[Date]],'BUD data'!A:F,6,)</f>
        <v>112.60704800000001</v>
      </c>
      <c r="C1821" s="51"/>
      <c r="D1821" s="51"/>
    </row>
    <row r="1822" spans="1:4" x14ac:dyDescent="0.45">
      <c r="A1822" s="7">
        <v>42629</v>
      </c>
      <c r="B1822" s="8">
        <f>VLOOKUP(Table1[[#This Row],[Date]],'BUD data'!A:F,6,)</f>
        <v>112.182137</v>
      </c>
      <c r="C1822" s="51"/>
      <c r="D1822" s="51"/>
    </row>
    <row r="1823" spans="1:4" x14ac:dyDescent="0.45">
      <c r="A1823" s="7">
        <v>42632</v>
      </c>
      <c r="B1823" s="8">
        <f>VLOOKUP(Table1[[#This Row],[Date]],'BUD data'!A:F,6,)</f>
        <v>113.276039</v>
      </c>
      <c r="C1823" s="51"/>
      <c r="D1823" s="51"/>
    </row>
    <row r="1824" spans="1:4" x14ac:dyDescent="0.45">
      <c r="A1824" s="7">
        <v>42633</v>
      </c>
      <c r="B1824" s="8">
        <f>VLOOKUP(Table1[[#This Row],[Date]],'BUD data'!A:F,6,)</f>
        <v>113.800377</v>
      </c>
      <c r="C1824" s="51"/>
      <c r="D1824" s="51"/>
    </row>
    <row r="1825" spans="1:4" x14ac:dyDescent="0.45">
      <c r="A1825" s="7">
        <v>42634</v>
      </c>
      <c r="B1825" s="8">
        <f>VLOOKUP(Table1[[#This Row],[Date]],'BUD data'!A:F,6,)</f>
        <v>115.08410600000001</v>
      </c>
      <c r="C1825" s="51"/>
      <c r="D1825" s="51"/>
    </row>
    <row r="1826" spans="1:4" x14ac:dyDescent="0.45">
      <c r="A1826" s="7">
        <v>42635</v>
      </c>
      <c r="B1826" s="8">
        <f>VLOOKUP(Table1[[#This Row],[Date]],'BUD data'!A:F,6,)</f>
        <v>117.57925400000001</v>
      </c>
      <c r="C1826" s="51"/>
      <c r="D1826" s="51"/>
    </row>
    <row r="1827" spans="1:4" x14ac:dyDescent="0.45">
      <c r="A1827" s="7">
        <v>42636</v>
      </c>
      <c r="B1827" s="8">
        <f>VLOOKUP(Table1[[#This Row],[Date]],'BUD data'!A:F,6,)</f>
        <v>117.669662</v>
      </c>
      <c r="C1827" s="51"/>
      <c r="D1827" s="51"/>
    </row>
    <row r="1828" spans="1:4" x14ac:dyDescent="0.45">
      <c r="A1828" s="7">
        <v>42639</v>
      </c>
      <c r="B1828" s="8">
        <f>VLOOKUP(Table1[[#This Row],[Date]],'BUD data'!A:F,6,)</f>
        <v>119.513908</v>
      </c>
      <c r="C1828" s="51"/>
      <c r="D1828" s="51"/>
    </row>
    <row r="1829" spans="1:4" x14ac:dyDescent="0.45">
      <c r="A1829" s="7">
        <v>42640</v>
      </c>
      <c r="B1829" s="8">
        <f>VLOOKUP(Table1[[#This Row],[Date]],'BUD data'!A:F,6,)</f>
        <v>119.224609</v>
      </c>
      <c r="C1829" s="51"/>
      <c r="D1829" s="51"/>
    </row>
    <row r="1830" spans="1:4" x14ac:dyDescent="0.45">
      <c r="A1830" s="7">
        <v>42641</v>
      </c>
      <c r="B1830" s="8">
        <f>VLOOKUP(Table1[[#This Row],[Date]],'BUD data'!A:F,6,)</f>
        <v>120.634911</v>
      </c>
      <c r="C1830" s="51"/>
      <c r="D1830" s="51"/>
    </row>
    <row r="1831" spans="1:4" x14ac:dyDescent="0.45">
      <c r="A1831" s="7">
        <v>42642</v>
      </c>
      <c r="B1831" s="8">
        <f>VLOOKUP(Table1[[#This Row],[Date]],'BUD data'!A:F,6,)</f>
        <v>118.5737</v>
      </c>
      <c r="C1831" s="51"/>
      <c r="D1831" s="51"/>
    </row>
    <row r="1832" spans="1:4" x14ac:dyDescent="0.45">
      <c r="A1832" s="7">
        <v>42643</v>
      </c>
      <c r="B1832" s="8">
        <f>VLOOKUP(Table1[[#This Row],[Date]],'BUD data'!A:F,6,)</f>
        <v>118.799706</v>
      </c>
      <c r="C1832" s="51"/>
      <c r="D1832" s="51"/>
    </row>
    <row r="1833" spans="1:4" x14ac:dyDescent="0.45">
      <c r="A1833" s="7">
        <v>42646</v>
      </c>
      <c r="B1833" s="8">
        <f>VLOOKUP(Table1[[#This Row],[Date]],'BUD data'!A:F,6,)</f>
        <v>116.539619</v>
      </c>
      <c r="C1833" s="51"/>
      <c r="D1833" s="51"/>
    </row>
    <row r="1834" spans="1:4" x14ac:dyDescent="0.45">
      <c r="A1834" s="7">
        <v>42647</v>
      </c>
      <c r="B1834" s="8">
        <f>VLOOKUP(Table1[[#This Row],[Date]],'BUD data'!A:F,6,)</f>
        <v>116.36784400000001</v>
      </c>
      <c r="C1834" s="51"/>
      <c r="D1834" s="51"/>
    </row>
    <row r="1835" spans="1:4" x14ac:dyDescent="0.45">
      <c r="A1835" s="7">
        <v>42648</v>
      </c>
      <c r="B1835" s="8">
        <f>VLOOKUP(Table1[[#This Row],[Date]],'BUD data'!A:F,6,)</f>
        <v>116.85601800000001</v>
      </c>
      <c r="C1835" s="51"/>
      <c r="D1835" s="51"/>
    </row>
    <row r="1836" spans="1:4" x14ac:dyDescent="0.45">
      <c r="A1836" s="7">
        <v>42649</v>
      </c>
      <c r="B1836" s="8">
        <f>VLOOKUP(Table1[[#This Row],[Date]],'BUD data'!A:F,6,)</f>
        <v>115.047935</v>
      </c>
      <c r="C1836" s="51"/>
      <c r="D1836" s="51"/>
    </row>
    <row r="1837" spans="1:4" x14ac:dyDescent="0.45">
      <c r="A1837" s="7">
        <v>42650</v>
      </c>
      <c r="B1837" s="8">
        <f>VLOOKUP(Table1[[#This Row],[Date]],'BUD data'!A:F,6,)</f>
        <v>115.03891</v>
      </c>
      <c r="C1837" s="51"/>
      <c r="D1837" s="51"/>
    </row>
    <row r="1838" spans="1:4" x14ac:dyDescent="0.45">
      <c r="A1838" s="7">
        <v>42653</v>
      </c>
      <c r="B1838" s="8">
        <f>VLOOKUP(Table1[[#This Row],[Date]],'BUD data'!A:F,6,)</f>
        <v>115.255875</v>
      </c>
      <c r="C1838" s="51"/>
      <c r="D1838" s="51"/>
    </row>
    <row r="1839" spans="1:4" x14ac:dyDescent="0.45">
      <c r="A1839" s="7">
        <v>42654</v>
      </c>
      <c r="B1839" s="8">
        <f>VLOOKUP(Table1[[#This Row],[Date]],'BUD data'!A:F,6,)</f>
        <v>115.870628</v>
      </c>
      <c r="C1839" s="51"/>
      <c r="D1839" s="51"/>
    </row>
    <row r="1840" spans="1:4" x14ac:dyDescent="0.45">
      <c r="A1840" s="7">
        <v>42655</v>
      </c>
      <c r="B1840" s="8">
        <f>VLOOKUP(Table1[[#This Row],[Date]],'BUD data'!A:F,6,)</f>
        <v>115.1474</v>
      </c>
      <c r="C1840" s="51"/>
      <c r="D1840" s="51"/>
    </row>
    <row r="1841" spans="1:4" x14ac:dyDescent="0.45">
      <c r="A1841" s="7">
        <v>42656</v>
      </c>
      <c r="B1841" s="8">
        <f>VLOOKUP(Table1[[#This Row],[Date]],'BUD data'!A:F,6,)</f>
        <v>115.066025</v>
      </c>
      <c r="C1841" s="51"/>
      <c r="D1841" s="51"/>
    </row>
    <row r="1842" spans="1:4" x14ac:dyDescent="0.45">
      <c r="A1842" s="7">
        <v>42657</v>
      </c>
      <c r="B1842" s="8">
        <f>VLOOKUP(Table1[[#This Row],[Date]],'BUD data'!A:F,6,)</f>
        <v>116.304558</v>
      </c>
      <c r="C1842" s="51"/>
      <c r="D1842" s="51"/>
    </row>
    <row r="1843" spans="1:4" x14ac:dyDescent="0.45">
      <c r="A1843" s="7">
        <v>42660</v>
      </c>
      <c r="B1843" s="8">
        <f>VLOOKUP(Table1[[#This Row],[Date]],'BUD data'!A:F,6,)</f>
        <v>115.90679900000001</v>
      </c>
      <c r="C1843" s="51"/>
      <c r="D1843" s="51"/>
    </row>
    <row r="1844" spans="1:4" x14ac:dyDescent="0.45">
      <c r="A1844" s="7">
        <v>42661</v>
      </c>
      <c r="B1844" s="8">
        <f>VLOOKUP(Table1[[#This Row],[Date]],'BUD data'!A:F,6,)</f>
        <v>115.68077099999999</v>
      </c>
      <c r="C1844" s="51"/>
      <c r="D1844" s="51"/>
    </row>
    <row r="1845" spans="1:4" x14ac:dyDescent="0.45">
      <c r="A1845" s="7">
        <v>42662</v>
      </c>
      <c r="B1845" s="8">
        <f>VLOOKUP(Table1[[#This Row],[Date]],'BUD data'!A:F,6,)</f>
        <v>116.35881000000001</v>
      </c>
      <c r="C1845" s="51"/>
      <c r="D1845" s="51"/>
    </row>
    <row r="1846" spans="1:4" x14ac:dyDescent="0.45">
      <c r="A1846" s="7">
        <v>42663</v>
      </c>
      <c r="B1846" s="8">
        <f>VLOOKUP(Table1[[#This Row],[Date]],'BUD data'!A:F,6,)</f>
        <v>115.210678</v>
      </c>
      <c r="C1846" s="51"/>
      <c r="D1846" s="51"/>
    </row>
    <row r="1847" spans="1:4" x14ac:dyDescent="0.45">
      <c r="A1847" s="7">
        <v>42664</v>
      </c>
      <c r="B1847" s="8">
        <f>VLOOKUP(Table1[[#This Row],[Date]],'BUD data'!A:F,6,)</f>
        <v>114.60498</v>
      </c>
      <c r="C1847" s="51"/>
      <c r="D1847" s="51"/>
    </row>
    <row r="1848" spans="1:4" x14ac:dyDescent="0.45">
      <c r="A1848" s="7">
        <v>42667</v>
      </c>
      <c r="B1848" s="8">
        <f>VLOOKUP(Table1[[#This Row],[Date]],'BUD data'!A:F,6,)</f>
        <v>113.07714799999999</v>
      </c>
      <c r="C1848" s="51"/>
      <c r="D1848" s="51"/>
    </row>
    <row r="1849" spans="1:4" x14ac:dyDescent="0.45">
      <c r="A1849" s="7">
        <v>42668</v>
      </c>
      <c r="B1849" s="8">
        <f>VLOOKUP(Table1[[#This Row],[Date]],'BUD data'!A:F,6,)</f>
        <v>111.901894</v>
      </c>
      <c r="C1849" s="51"/>
      <c r="D1849" s="51"/>
    </row>
    <row r="1850" spans="1:4" x14ac:dyDescent="0.45">
      <c r="A1850" s="7">
        <v>42669</v>
      </c>
      <c r="B1850" s="8">
        <f>VLOOKUP(Table1[[#This Row],[Date]],'BUD data'!A:F,6,)</f>
        <v>109.89492</v>
      </c>
      <c r="C1850" s="51"/>
      <c r="D1850" s="51"/>
    </row>
    <row r="1851" spans="1:4" x14ac:dyDescent="0.45">
      <c r="A1851" s="7">
        <v>42670</v>
      </c>
      <c r="B1851" s="8">
        <f>VLOOKUP(Table1[[#This Row],[Date]],'BUD data'!A:F,6,)</f>
        <v>109.80452699999999</v>
      </c>
      <c r="C1851" s="51"/>
      <c r="D1851" s="51"/>
    </row>
    <row r="1852" spans="1:4" x14ac:dyDescent="0.45">
      <c r="A1852" s="7">
        <v>42671</v>
      </c>
      <c r="B1852" s="8">
        <f>VLOOKUP(Table1[[#This Row],[Date]],'BUD data'!A:F,6,)</f>
        <v>105.627861</v>
      </c>
      <c r="C1852" s="51"/>
      <c r="D1852" s="51"/>
    </row>
    <row r="1853" spans="1:4" x14ac:dyDescent="0.45">
      <c r="A1853" s="7">
        <v>42674</v>
      </c>
      <c r="B1853" s="8">
        <f>VLOOKUP(Table1[[#This Row],[Date]],'BUD data'!A:F,6,)</f>
        <v>104.40741</v>
      </c>
      <c r="C1853" s="51"/>
      <c r="D1853" s="51"/>
    </row>
    <row r="1854" spans="1:4" x14ac:dyDescent="0.45">
      <c r="A1854" s="7">
        <v>42675</v>
      </c>
      <c r="B1854" s="8">
        <f>VLOOKUP(Table1[[#This Row],[Date]],'BUD data'!A:F,6,)</f>
        <v>103.95539100000001</v>
      </c>
      <c r="C1854" s="51"/>
      <c r="D1854" s="51"/>
    </row>
    <row r="1855" spans="1:4" x14ac:dyDescent="0.45">
      <c r="A1855" s="7">
        <v>42676</v>
      </c>
      <c r="B1855" s="8">
        <f>VLOOKUP(Table1[[#This Row],[Date]],'BUD data'!A:F,6,)</f>
        <v>103.593773</v>
      </c>
      <c r="C1855" s="51"/>
      <c r="D1855" s="51"/>
    </row>
    <row r="1856" spans="1:4" x14ac:dyDescent="0.45">
      <c r="A1856" s="7">
        <v>42677</v>
      </c>
      <c r="B1856" s="8">
        <f>VLOOKUP(Table1[[#This Row],[Date]],'BUD data'!A:F,6,)</f>
        <v>101.61393700000001</v>
      </c>
      <c r="C1856" s="51"/>
      <c r="D1856" s="51"/>
    </row>
    <row r="1857" spans="1:4" x14ac:dyDescent="0.45">
      <c r="A1857" s="7">
        <v>42678</v>
      </c>
      <c r="B1857" s="8">
        <f>VLOOKUP(Table1[[#This Row],[Date]],'BUD data'!A:F,6,)</f>
        <v>101.333679</v>
      </c>
      <c r="C1857" s="51"/>
      <c r="D1857" s="51"/>
    </row>
    <row r="1858" spans="1:4" x14ac:dyDescent="0.45">
      <c r="A1858" s="7">
        <v>42681</v>
      </c>
      <c r="B1858" s="8">
        <f>VLOOKUP(Table1[[#This Row],[Date]],'BUD data'!A:F,6,)</f>
        <v>102.19252</v>
      </c>
      <c r="C1858" s="51"/>
      <c r="D1858" s="51"/>
    </row>
    <row r="1859" spans="1:4" x14ac:dyDescent="0.45">
      <c r="A1859" s="7">
        <v>42682</v>
      </c>
      <c r="B1859" s="8">
        <f>VLOOKUP(Table1[[#This Row],[Date]],'BUD data'!A:F,6,)</f>
        <v>104.506851</v>
      </c>
      <c r="C1859" s="51"/>
      <c r="D1859" s="51"/>
    </row>
    <row r="1860" spans="1:4" x14ac:dyDescent="0.45">
      <c r="A1860" s="7">
        <v>42683</v>
      </c>
      <c r="B1860" s="8">
        <f>VLOOKUP(Table1[[#This Row],[Date]],'BUD data'!A:F,6,)</f>
        <v>101.550652</v>
      </c>
      <c r="C1860" s="51"/>
      <c r="D1860" s="51"/>
    </row>
    <row r="1861" spans="1:4" x14ac:dyDescent="0.45">
      <c r="A1861" s="7">
        <v>42684</v>
      </c>
      <c r="B1861" s="8">
        <f>VLOOKUP(Table1[[#This Row],[Date]],'BUD data'!A:F,6,)</f>
        <v>98.088181000000006</v>
      </c>
      <c r="C1861" s="51"/>
      <c r="D1861" s="51"/>
    </row>
    <row r="1862" spans="1:4" x14ac:dyDescent="0.45">
      <c r="A1862" s="7">
        <v>42685</v>
      </c>
      <c r="B1862" s="8">
        <f>VLOOKUP(Table1[[#This Row],[Date]],'BUD data'!A:F,6,)</f>
        <v>97.455359999999999</v>
      </c>
      <c r="C1862" s="51"/>
      <c r="D1862" s="51"/>
    </row>
    <row r="1863" spans="1:4" x14ac:dyDescent="0.45">
      <c r="A1863" s="7">
        <v>42688</v>
      </c>
      <c r="B1863" s="8">
        <f>VLOOKUP(Table1[[#This Row],[Date]],'BUD data'!A:F,6,)</f>
        <v>93.714316999999994</v>
      </c>
      <c r="C1863" s="51"/>
      <c r="D1863" s="51"/>
    </row>
    <row r="1864" spans="1:4" x14ac:dyDescent="0.45">
      <c r="A1864" s="7">
        <v>42689</v>
      </c>
      <c r="B1864" s="8">
        <f>VLOOKUP(Table1[[#This Row],[Date]],'BUD data'!A:F,6,)</f>
        <v>94.817054999999996</v>
      </c>
      <c r="C1864" s="51"/>
      <c r="D1864" s="51"/>
    </row>
    <row r="1865" spans="1:4" x14ac:dyDescent="0.45">
      <c r="A1865" s="7">
        <v>42690</v>
      </c>
      <c r="B1865" s="8">
        <f>VLOOKUP(Table1[[#This Row],[Date]],'BUD data'!A:F,6,)</f>
        <v>93.980812</v>
      </c>
      <c r="C1865" s="51"/>
      <c r="D1865" s="51"/>
    </row>
    <row r="1866" spans="1:4" x14ac:dyDescent="0.45">
      <c r="A1866" s="7">
        <v>42691</v>
      </c>
      <c r="B1866" s="8">
        <f>VLOOKUP(Table1[[#This Row],[Date]],'BUD data'!A:F,6,)</f>
        <v>94.651641999999995</v>
      </c>
      <c r="C1866" s="51"/>
      <c r="D1866" s="51"/>
    </row>
    <row r="1867" spans="1:4" x14ac:dyDescent="0.45">
      <c r="A1867" s="7">
        <v>42692</v>
      </c>
      <c r="B1867" s="8">
        <f>VLOOKUP(Table1[[#This Row],[Date]],'BUD data'!A:F,6,)</f>
        <v>93.622421000000003</v>
      </c>
      <c r="C1867" s="51"/>
      <c r="D1867" s="51"/>
    </row>
    <row r="1868" spans="1:4" x14ac:dyDescent="0.45">
      <c r="A1868" s="7">
        <v>42695</v>
      </c>
      <c r="B1868" s="8">
        <f>VLOOKUP(Table1[[#This Row],[Date]],'BUD data'!A:F,6,)</f>
        <v>94.954903000000002</v>
      </c>
      <c r="C1868" s="51"/>
      <c r="D1868" s="51"/>
    </row>
    <row r="1869" spans="1:4" x14ac:dyDescent="0.45">
      <c r="A1869" s="7">
        <v>42696</v>
      </c>
      <c r="B1869" s="8">
        <f>VLOOKUP(Table1[[#This Row],[Date]],'BUD data'!A:F,6,)</f>
        <v>94.339211000000006</v>
      </c>
      <c r="C1869" s="51"/>
      <c r="D1869" s="51"/>
    </row>
    <row r="1870" spans="1:4" x14ac:dyDescent="0.45">
      <c r="A1870" s="7">
        <v>42697</v>
      </c>
      <c r="B1870" s="8">
        <f>VLOOKUP(Table1[[#This Row],[Date]],'BUD data'!A:F,6,)</f>
        <v>94.100273000000001</v>
      </c>
      <c r="C1870" s="51"/>
      <c r="D1870" s="51"/>
    </row>
    <row r="1871" spans="1:4" x14ac:dyDescent="0.45">
      <c r="A1871" s="7">
        <v>42699</v>
      </c>
      <c r="B1871" s="8">
        <f>VLOOKUP(Table1[[#This Row],[Date]],'BUD data'!A:F,6,)</f>
        <v>95.423552999999998</v>
      </c>
      <c r="C1871" s="51"/>
      <c r="D1871" s="51"/>
    </row>
    <row r="1872" spans="1:4" x14ac:dyDescent="0.45">
      <c r="A1872" s="7">
        <v>42702</v>
      </c>
      <c r="B1872" s="8">
        <f>VLOOKUP(Table1[[#This Row],[Date]],'BUD data'!A:F,6,)</f>
        <v>96.324141999999995</v>
      </c>
      <c r="C1872" s="51"/>
      <c r="D1872" s="51"/>
    </row>
    <row r="1873" spans="1:4" x14ac:dyDescent="0.45">
      <c r="A1873" s="7">
        <v>42703</v>
      </c>
      <c r="B1873" s="8">
        <f>VLOOKUP(Table1[[#This Row],[Date]],'BUD data'!A:F,6,)</f>
        <v>96.314941000000005</v>
      </c>
      <c r="C1873" s="51"/>
      <c r="D1873" s="51"/>
    </row>
    <row r="1874" spans="1:4" x14ac:dyDescent="0.45">
      <c r="A1874" s="7">
        <v>42704</v>
      </c>
      <c r="B1874" s="8">
        <f>VLOOKUP(Table1[[#This Row],[Date]],'BUD data'!A:F,6,)</f>
        <v>94.899765000000002</v>
      </c>
      <c r="C1874" s="51"/>
      <c r="D1874" s="51"/>
    </row>
    <row r="1875" spans="1:4" x14ac:dyDescent="0.45">
      <c r="A1875" s="7">
        <v>42705</v>
      </c>
      <c r="B1875" s="8">
        <f>VLOOKUP(Table1[[#This Row],[Date]],'BUD data'!A:F,6,)</f>
        <v>91.812102999999993</v>
      </c>
      <c r="C1875" s="51"/>
      <c r="D1875" s="51"/>
    </row>
    <row r="1876" spans="1:4" x14ac:dyDescent="0.45">
      <c r="A1876" s="7">
        <v>42706</v>
      </c>
      <c r="B1876" s="8">
        <f>VLOOKUP(Table1[[#This Row],[Date]],'BUD data'!A:F,6,)</f>
        <v>93.172141999999994</v>
      </c>
      <c r="C1876" s="51"/>
      <c r="D1876" s="51"/>
    </row>
    <row r="1877" spans="1:4" x14ac:dyDescent="0.45">
      <c r="A1877" s="7">
        <v>42709</v>
      </c>
      <c r="B1877" s="8">
        <f>VLOOKUP(Table1[[#This Row],[Date]],'BUD data'!A:F,6,)</f>
        <v>94.890586999999996</v>
      </c>
      <c r="C1877" s="51"/>
      <c r="D1877" s="51"/>
    </row>
    <row r="1878" spans="1:4" x14ac:dyDescent="0.45">
      <c r="A1878" s="7">
        <v>42710</v>
      </c>
      <c r="B1878" s="8">
        <f>VLOOKUP(Table1[[#This Row],[Date]],'BUD data'!A:F,6,)</f>
        <v>95.616553999999994</v>
      </c>
      <c r="C1878" s="51"/>
      <c r="D1878" s="51"/>
    </row>
    <row r="1879" spans="1:4" x14ac:dyDescent="0.45">
      <c r="A1879" s="7">
        <v>42711</v>
      </c>
      <c r="B1879" s="8">
        <f>VLOOKUP(Table1[[#This Row],[Date]],'BUD data'!A:F,6,)</f>
        <v>95.883026000000001</v>
      </c>
      <c r="C1879" s="51"/>
      <c r="D1879" s="51"/>
    </row>
    <row r="1880" spans="1:4" x14ac:dyDescent="0.45">
      <c r="A1880" s="7">
        <v>42712</v>
      </c>
      <c r="B1880" s="8">
        <f>VLOOKUP(Table1[[#This Row],[Date]],'BUD data'!A:F,6,)</f>
        <v>94.330016999999998</v>
      </c>
      <c r="C1880" s="51"/>
      <c r="D1880" s="51"/>
    </row>
    <row r="1881" spans="1:4" x14ac:dyDescent="0.45">
      <c r="A1881" s="7">
        <v>42713</v>
      </c>
      <c r="B1881" s="8">
        <f>VLOOKUP(Table1[[#This Row],[Date]],'BUD data'!A:F,6,)</f>
        <v>95.147873000000004</v>
      </c>
      <c r="C1881" s="51"/>
      <c r="D1881" s="51"/>
    </row>
    <row r="1882" spans="1:4" x14ac:dyDescent="0.45">
      <c r="A1882" s="7">
        <v>42716</v>
      </c>
      <c r="B1882" s="8">
        <f>VLOOKUP(Table1[[#This Row],[Date]],'BUD data'!A:F,6,)</f>
        <v>95.285720999999995</v>
      </c>
      <c r="C1882" s="51"/>
      <c r="D1882" s="51"/>
    </row>
    <row r="1883" spans="1:4" x14ac:dyDescent="0.45">
      <c r="A1883" s="7">
        <v>42717</v>
      </c>
      <c r="B1883" s="8">
        <f>VLOOKUP(Table1[[#This Row],[Date]],'BUD data'!A:F,6,)</f>
        <v>96.535492000000005</v>
      </c>
      <c r="C1883" s="51"/>
      <c r="D1883" s="51"/>
    </row>
    <row r="1884" spans="1:4" x14ac:dyDescent="0.45">
      <c r="A1884" s="7">
        <v>42718</v>
      </c>
      <c r="B1884" s="8">
        <f>VLOOKUP(Table1[[#This Row],[Date]],'BUD data'!A:F,6,)</f>
        <v>94.568954000000005</v>
      </c>
      <c r="C1884" s="51"/>
      <c r="D1884" s="51"/>
    </row>
    <row r="1885" spans="1:4" x14ac:dyDescent="0.45">
      <c r="A1885" s="7">
        <v>42719</v>
      </c>
      <c r="B1885" s="8">
        <f>VLOOKUP(Table1[[#This Row],[Date]],'BUD data'!A:F,6,)</f>
        <v>93.328361999999998</v>
      </c>
      <c r="C1885" s="51"/>
      <c r="D1885" s="51"/>
    </row>
    <row r="1886" spans="1:4" x14ac:dyDescent="0.45">
      <c r="A1886" s="7">
        <v>42720</v>
      </c>
      <c r="B1886" s="8">
        <f>VLOOKUP(Table1[[#This Row],[Date]],'BUD data'!A:F,6,)</f>
        <v>94.651641999999995</v>
      </c>
      <c r="C1886" s="51"/>
      <c r="D1886" s="51"/>
    </row>
    <row r="1887" spans="1:4" x14ac:dyDescent="0.45">
      <c r="A1887" s="7">
        <v>42723</v>
      </c>
      <c r="B1887" s="8">
        <f>VLOOKUP(Table1[[#This Row],[Date]],'BUD data'!A:F,6,)</f>
        <v>94.403533999999993</v>
      </c>
      <c r="C1887" s="51"/>
      <c r="D1887" s="51"/>
    </row>
    <row r="1888" spans="1:4" x14ac:dyDescent="0.45">
      <c r="A1888" s="7">
        <v>42724</v>
      </c>
      <c r="B1888" s="8">
        <f>VLOOKUP(Table1[[#This Row],[Date]],'BUD data'!A:F,6,)</f>
        <v>94.633269999999996</v>
      </c>
      <c r="C1888" s="51"/>
      <c r="D1888" s="51"/>
    </row>
    <row r="1889" spans="1:4" x14ac:dyDescent="0.45">
      <c r="A1889" s="7">
        <v>42725</v>
      </c>
      <c r="B1889" s="8">
        <f>VLOOKUP(Table1[[#This Row],[Date]],'BUD data'!A:F,6,)</f>
        <v>95.212196000000006</v>
      </c>
      <c r="C1889" s="51"/>
      <c r="D1889" s="51"/>
    </row>
    <row r="1890" spans="1:4" x14ac:dyDescent="0.45">
      <c r="A1890" s="7">
        <v>42726</v>
      </c>
      <c r="B1890" s="8">
        <f>VLOOKUP(Table1[[#This Row],[Date]],'BUD data'!A:F,6,)</f>
        <v>94.486228999999994</v>
      </c>
      <c r="C1890" s="51"/>
      <c r="D1890" s="51"/>
    </row>
    <row r="1891" spans="1:4" x14ac:dyDescent="0.45">
      <c r="A1891" s="7">
        <v>42727</v>
      </c>
      <c r="B1891" s="8">
        <f>VLOOKUP(Table1[[#This Row],[Date]],'BUD data'!A:F,6,)</f>
        <v>95.101935999999995</v>
      </c>
      <c r="C1891" s="51"/>
      <c r="D1891" s="51"/>
    </row>
    <row r="1892" spans="1:4" x14ac:dyDescent="0.45">
      <c r="A1892" s="7">
        <v>42731</v>
      </c>
      <c r="B1892" s="8">
        <f>VLOOKUP(Table1[[#This Row],[Date]],'BUD data'!A:F,6,)</f>
        <v>95.497069999999994</v>
      </c>
      <c r="C1892" s="51"/>
      <c r="D1892" s="51"/>
    </row>
    <row r="1893" spans="1:4" x14ac:dyDescent="0.45">
      <c r="A1893" s="7">
        <v>42732</v>
      </c>
      <c r="B1893" s="8">
        <f>VLOOKUP(Table1[[#This Row],[Date]],'BUD data'!A:F,6,)</f>
        <v>95.478690999999998</v>
      </c>
      <c r="C1893" s="51"/>
      <c r="D1893" s="51"/>
    </row>
    <row r="1894" spans="1:4" x14ac:dyDescent="0.45">
      <c r="A1894" s="7">
        <v>42733</v>
      </c>
      <c r="B1894" s="8">
        <f>VLOOKUP(Table1[[#This Row],[Date]],'BUD data'!A:F,6,)</f>
        <v>96.388458</v>
      </c>
      <c r="C1894" s="51"/>
      <c r="D1894" s="51"/>
    </row>
    <row r="1895" spans="1:4" x14ac:dyDescent="0.45">
      <c r="A1895" s="7">
        <v>42734</v>
      </c>
      <c r="B1895" s="8">
        <f>VLOOKUP(Table1[[#This Row],[Date]],'BUD data'!A:F,6,)</f>
        <v>96.893883000000002</v>
      </c>
      <c r="C1895" s="51"/>
      <c r="D1895" s="51"/>
    </row>
    <row r="1896" spans="1:4" x14ac:dyDescent="0.45">
      <c r="A1896" s="7">
        <v>42738</v>
      </c>
      <c r="B1896" s="8">
        <f>VLOOKUP(Table1[[#This Row],[Date]],'BUD data'!A:F,6,)</f>
        <v>96.066826000000006</v>
      </c>
      <c r="C1896" s="51"/>
      <c r="D1896" s="51"/>
    </row>
    <row r="1897" spans="1:4" x14ac:dyDescent="0.45">
      <c r="A1897" s="7">
        <v>42739</v>
      </c>
      <c r="B1897" s="8">
        <f>VLOOKUP(Table1[[#This Row],[Date]],'BUD data'!A:F,6,)</f>
        <v>96.691719000000006</v>
      </c>
      <c r="C1897" s="51"/>
      <c r="D1897" s="51"/>
    </row>
    <row r="1898" spans="1:4" x14ac:dyDescent="0.45">
      <c r="A1898" s="7">
        <v>42740</v>
      </c>
      <c r="B1898" s="8">
        <f>VLOOKUP(Table1[[#This Row],[Date]],'BUD data'!A:F,6,)</f>
        <v>98.143660999999994</v>
      </c>
      <c r="C1898" s="51"/>
      <c r="D1898" s="51"/>
    </row>
    <row r="1899" spans="1:4" x14ac:dyDescent="0.45">
      <c r="A1899" s="7">
        <v>42741</v>
      </c>
      <c r="B1899" s="8">
        <f>VLOOKUP(Table1[[#This Row],[Date]],'BUD data'!A:F,6,)</f>
        <v>97.344161999999997</v>
      </c>
      <c r="C1899" s="51"/>
      <c r="D1899" s="51"/>
    </row>
    <row r="1900" spans="1:4" x14ac:dyDescent="0.45">
      <c r="A1900" s="7">
        <v>42744</v>
      </c>
      <c r="B1900" s="8">
        <f>VLOOKUP(Table1[[#This Row],[Date]],'BUD data'!A:F,6,)</f>
        <v>97.353354999999993</v>
      </c>
      <c r="C1900" s="51"/>
      <c r="D1900" s="51"/>
    </row>
    <row r="1901" spans="1:4" x14ac:dyDescent="0.45">
      <c r="A1901" s="7">
        <v>42745</v>
      </c>
      <c r="B1901" s="8">
        <f>VLOOKUP(Table1[[#This Row],[Date]],'BUD data'!A:F,6,)</f>
        <v>96.884688999999995</v>
      </c>
      <c r="C1901" s="51"/>
      <c r="D1901" s="51"/>
    </row>
    <row r="1902" spans="1:4" x14ac:dyDescent="0.45">
      <c r="A1902" s="7">
        <v>42746</v>
      </c>
      <c r="B1902" s="8">
        <f>VLOOKUP(Table1[[#This Row],[Date]],'BUD data'!A:F,6,)</f>
        <v>96.627380000000002</v>
      </c>
      <c r="C1902" s="51"/>
      <c r="D1902" s="51"/>
    </row>
    <row r="1903" spans="1:4" x14ac:dyDescent="0.45">
      <c r="A1903" s="7">
        <v>42747</v>
      </c>
      <c r="B1903" s="8">
        <f>VLOOKUP(Table1[[#This Row],[Date]],'BUD data'!A:F,6,)</f>
        <v>97.353354999999993</v>
      </c>
      <c r="C1903" s="51"/>
      <c r="D1903" s="51"/>
    </row>
    <row r="1904" spans="1:4" x14ac:dyDescent="0.45">
      <c r="A1904" s="7">
        <v>42748</v>
      </c>
      <c r="B1904" s="8">
        <f>VLOOKUP(Table1[[#This Row],[Date]],'BUD data'!A:F,6,)</f>
        <v>97.279838999999996</v>
      </c>
      <c r="C1904" s="51"/>
      <c r="D1904" s="51"/>
    </row>
    <row r="1905" spans="1:4" x14ac:dyDescent="0.45">
      <c r="A1905" s="7">
        <v>42752</v>
      </c>
      <c r="B1905" s="8">
        <f>VLOOKUP(Table1[[#This Row],[Date]],'BUD data'!A:F,6,)</f>
        <v>97.638221999999999</v>
      </c>
      <c r="C1905" s="51"/>
      <c r="D1905" s="51"/>
    </row>
    <row r="1906" spans="1:4" x14ac:dyDescent="0.45">
      <c r="A1906" s="7">
        <v>42753</v>
      </c>
      <c r="B1906" s="8">
        <f>VLOOKUP(Table1[[#This Row],[Date]],'BUD data'!A:F,6,)</f>
        <v>96.829559000000003</v>
      </c>
      <c r="C1906" s="51"/>
      <c r="D1906" s="51"/>
    </row>
    <row r="1907" spans="1:4" x14ac:dyDescent="0.45">
      <c r="A1907" s="7">
        <v>42754</v>
      </c>
      <c r="B1907" s="8">
        <f>VLOOKUP(Table1[[#This Row],[Date]],'BUD data'!A:F,6,)</f>
        <v>96.360893000000004</v>
      </c>
      <c r="C1907" s="51"/>
      <c r="D1907" s="51"/>
    </row>
    <row r="1908" spans="1:4" x14ac:dyDescent="0.45">
      <c r="A1908" s="7">
        <v>42755</v>
      </c>
      <c r="B1908" s="8">
        <f>VLOOKUP(Table1[[#This Row],[Date]],'BUD data'!A:F,6,)</f>
        <v>96.847931000000003</v>
      </c>
      <c r="C1908" s="51"/>
      <c r="D1908" s="51"/>
    </row>
    <row r="1909" spans="1:4" x14ac:dyDescent="0.45">
      <c r="A1909" s="7">
        <v>42758</v>
      </c>
      <c r="B1909" s="8">
        <f>VLOOKUP(Table1[[#This Row],[Date]],'BUD data'!A:F,6,)</f>
        <v>97.629035999999999</v>
      </c>
      <c r="C1909" s="51"/>
      <c r="D1909" s="51"/>
    </row>
    <row r="1910" spans="1:4" x14ac:dyDescent="0.45">
      <c r="A1910" s="7">
        <v>42759</v>
      </c>
      <c r="B1910" s="8">
        <f>VLOOKUP(Table1[[#This Row],[Date]],'BUD data'!A:F,6,)</f>
        <v>97.555526999999998</v>
      </c>
      <c r="C1910" s="51"/>
      <c r="D1910" s="51"/>
    </row>
    <row r="1911" spans="1:4" x14ac:dyDescent="0.45">
      <c r="A1911" s="7">
        <v>42760</v>
      </c>
      <c r="B1911" s="8">
        <f>VLOOKUP(Table1[[#This Row],[Date]],'BUD data'!A:F,6,)</f>
        <v>97.592277999999993</v>
      </c>
      <c r="C1911" s="51"/>
      <c r="D1911" s="51"/>
    </row>
    <row r="1912" spans="1:4" x14ac:dyDescent="0.45">
      <c r="A1912" s="7">
        <v>42761</v>
      </c>
      <c r="B1912" s="8">
        <f>VLOOKUP(Table1[[#This Row],[Date]],'BUD data'!A:F,6,)</f>
        <v>96.314941000000005</v>
      </c>
      <c r="C1912" s="51"/>
      <c r="D1912" s="51"/>
    </row>
    <row r="1913" spans="1:4" x14ac:dyDescent="0.45">
      <c r="A1913" s="7">
        <v>42762</v>
      </c>
      <c r="B1913" s="8">
        <f>VLOOKUP(Table1[[#This Row],[Date]],'BUD data'!A:F,6,)</f>
        <v>96.645759999999996</v>
      </c>
      <c r="C1913" s="51"/>
      <c r="D1913" s="51"/>
    </row>
    <row r="1914" spans="1:4" x14ac:dyDescent="0.45">
      <c r="A1914" s="7">
        <v>42765</v>
      </c>
      <c r="B1914" s="8">
        <f>VLOOKUP(Table1[[#This Row],[Date]],'BUD data'!A:F,6,)</f>
        <v>96.020882</v>
      </c>
      <c r="C1914" s="51"/>
      <c r="D1914" s="51"/>
    </row>
    <row r="1915" spans="1:4" x14ac:dyDescent="0.45">
      <c r="A1915" s="7">
        <v>42766</v>
      </c>
      <c r="B1915" s="8">
        <f>VLOOKUP(Table1[[#This Row],[Date]],'BUD data'!A:F,6,)</f>
        <v>95.809524999999994</v>
      </c>
      <c r="C1915" s="51"/>
      <c r="D1915" s="51"/>
    </row>
    <row r="1916" spans="1:4" x14ac:dyDescent="0.45">
      <c r="A1916" s="7">
        <v>42767</v>
      </c>
      <c r="B1916" s="8">
        <f>VLOOKUP(Table1[[#This Row],[Date]],'BUD data'!A:F,6,)</f>
        <v>95.892219999999995</v>
      </c>
      <c r="C1916" s="51"/>
      <c r="D1916" s="51"/>
    </row>
    <row r="1917" spans="1:4" x14ac:dyDescent="0.45">
      <c r="A1917" s="7">
        <v>42768</v>
      </c>
      <c r="B1917" s="8">
        <f>VLOOKUP(Table1[[#This Row],[Date]],'BUD data'!A:F,6,)</f>
        <v>96.020882</v>
      </c>
      <c r="C1917" s="51"/>
      <c r="D1917" s="51"/>
    </row>
    <row r="1918" spans="1:4" x14ac:dyDescent="0.45">
      <c r="A1918" s="7">
        <v>42769</v>
      </c>
      <c r="B1918" s="8">
        <f>VLOOKUP(Table1[[#This Row],[Date]],'BUD data'!A:F,6,)</f>
        <v>96.765236000000002</v>
      </c>
      <c r="C1918" s="51"/>
      <c r="D1918" s="51"/>
    </row>
    <row r="1919" spans="1:4" x14ac:dyDescent="0.45">
      <c r="A1919" s="7">
        <v>42772</v>
      </c>
      <c r="B1919" s="8">
        <f>VLOOKUP(Table1[[#This Row],[Date]],'BUD data'!A:F,6,)</f>
        <v>96.498733999999999</v>
      </c>
      <c r="C1919" s="51"/>
      <c r="D1919" s="51"/>
    </row>
    <row r="1920" spans="1:4" x14ac:dyDescent="0.45">
      <c r="A1920" s="7">
        <v>42773</v>
      </c>
      <c r="B1920" s="8">
        <f>VLOOKUP(Table1[[#This Row],[Date]],'BUD data'!A:F,6,)</f>
        <v>96.847931000000003</v>
      </c>
      <c r="C1920" s="51"/>
      <c r="D1920" s="51"/>
    </row>
    <row r="1921" spans="1:4" x14ac:dyDescent="0.45">
      <c r="A1921" s="7">
        <v>42774</v>
      </c>
      <c r="B1921" s="8">
        <f>VLOOKUP(Table1[[#This Row],[Date]],'BUD data'!A:F,6,)</f>
        <v>97.316597000000002</v>
      </c>
      <c r="C1921" s="51"/>
      <c r="D1921" s="51"/>
    </row>
    <row r="1922" spans="1:4" x14ac:dyDescent="0.45">
      <c r="A1922" s="7">
        <v>42775</v>
      </c>
      <c r="B1922" s="8">
        <f>VLOOKUP(Table1[[#This Row],[Date]],'BUD data'!A:F,6,)</f>
        <v>97.739318999999995</v>
      </c>
      <c r="C1922" s="51"/>
      <c r="D1922" s="51"/>
    </row>
    <row r="1923" spans="1:4" x14ac:dyDescent="0.45">
      <c r="A1923" s="7">
        <v>42776</v>
      </c>
      <c r="B1923" s="8">
        <f>VLOOKUP(Table1[[#This Row],[Date]],'BUD data'!A:F,6,)</f>
        <v>97.298218000000006</v>
      </c>
      <c r="C1923" s="51"/>
      <c r="D1923" s="51"/>
    </row>
    <row r="1924" spans="1:4" x14ac:dyDescent="0.45">
      <c r="A1924" s="7">
        <v>42779</v>
      </c>
      <c r="B1924" s="8">
        <f>VLOOKUP(Table1[[#This Row],[Date]],'BUD data'!A:F,6,)</f>
        <v>98.162032999999994</v>
      </c>
      <c r="C1924" s="51"/>
      <c r="D1924" s="51"/>
    </row>
    <row r="1925" spans="1:4" x14ac:dyDescent="0.45">
      <c r="A1925" s="7">
        <v>42780</v>
      </c>
      <c r="B1925" s="8">
        <f>VLOOKUP(Table1[[#This Row],[Date]],'BUD data'!A:F,6,)</f>
        <v>99.650726000000006</v>
      </c>
      <c r="C1925" s="51"/>
      <c r="D1925" s="51"/>
    </row>
    <row r="1926" spans="1:4" x14ac:dyDescent="0.45">
      <c r="A1926" s="7">
        <v>42781</v>
      </c>
      <c r="B1926" s="8">
        <f>VLOOKUP(Table1[[#This Row],[Date]],'BUD data'!A:F,6,)</f>
        <v>99.200439000000003</v>
      </c>
      <c r="C1926" s="51"/>
      <c r="D1926" s="51"/>
    </row>
    <row r="1927" spans="1:4" x14ac:dyDescent="0.45">
      <c r="A1927" s="7">
        <v>42782</v>
      </c>
      <c r="B1927" s="8">
        <f>VLOOKUP(Table1[[#This Row],[Date]],'BUD data'!A:F,6,)</f>
        <v>99.953971999999993</v>
      </c>
      <c r="C1927" s="51"/>
      <c r="D1927" s="51"/>
    </row>
    <row r="1928" spans="1:4" x14ac:dyDescent="0.45">
      <c r="A1928" s="7">
        <v>42783</v>
      </c>
      <c r="B1928" s="8">
        <f>VLOOKUP(Table1[[#This Row],[Date]],'BUD data'!A:F,6,)</f>
        <v>99.999923999999993</v>
      </c>
      <c r="C1928" s="51"/>
      <c r="D1928" s="51"/>
    </row>
    <row r="1929" spans="1:4" x14ac:dyDescent="0.45">
      <c r="A1929" s="7">
        <v>42787</v>
      </c>
      <c r="B1929" s="8">
        <f>VLOOKUP(Table1[[#This Row],[Date]],'BUD data'!A:F,6,)</f>
        <v>100.46859000000001</v>
      </c>
      <c r="C1929" s="51"/>
      <c r="D1929" s="51"/>
    </row>
    <row r="1930" spans="1:4" x14ac:dyDescent="0.45">
      <c r="A1930" s="7">
        <v>42788</v>
      </c>
      <c r="B1930" s="8">
        <f>VLOOKUP(Table1[[#This Row],[Date]],'BUD data'!A:F,6,)</f>
        <v>100.312363</v>
      </c>
      <c r="C1930" s="51"/>
      <c r="D1930" s="51"/>
    </row>
    <row r="1931" spans="1:4" x14ac:dyDescent="0.45">
      <c r="A1931" s="7">
        <v>42789</v>
      </c>
      <c r="B1931" s="8">
        <f>VLOOKUP(Table1[[#This Row],[Date]],'BUD data'!A:F,6,)</f>
        <v>99.944785999999993</v>
      </c>
      <c r="C1931" s="51"/>
      <c r="D1931" s="51"/>
    </row>
    <row r="1932" spans="1:4" x14ac:dyDescent="0.45">
      <c r="A1932" s="7">
        <v>42790</v>
      </c>
      <c r="B1932" s="8">
        <f>VLOOKUP(Table1[[#This Row],[Date]],'BUD data'!A:F,6,)</f>
        <v>100.404259</v>
      </c>
      <c r="C1932" s="51"/>
      <c r="D1932" s="51"/>
    </row>
    <row r="1933" spans="1:4" x14ac:dyDescent="0.45">
      <c r="A1933" s="7">
        <v>42793</v>
      </c>
      <c r="B1933" s="8">
        <f>VLOOKUP(Table1[[#This Row],[Date]],'BUD data'!A:F,6,)</f>
        <v>100.477768</v>
      </c>
      <c r="C1933" s="51"/>
      <c r="D1933" s="51"/>
    </row>
    <row r="1934" spans="1:4" x14ac:dyDescent="0.45">
      <c r="A1934" s="7">
        <v>42794</v>
      </c>
      <c r="B1934" s="8">
        <f>VLOOKUP(Table1[[#This Row],[Date]],'BUD data'!A:F,6,)</f>
        <v>100.615623</v>
      </c>
      <c r="C1934" s="51"/>
      <c r="D1934" s="51"/>
    </row>
    <row r="1935" spans="1:4" x14ac:dyDescent="0.45">
      <c r="A1935" s="7">
        <v>42795</v>
      </c>
      <c r="B1935" s="8">
        <f>VLOOKUP(Table1[[#This Row],[Date]],'BUD data'!A:F,6,)</f>
        <v>101.029152</v>
      </c>
      <c r="C1935" s="51"/>
      <c r="D1935" s="51"/>
    </row>
    <row r="1936" spans="1:4" x14ac:dyDescent="0.45">
      <c r="A1936" s="7">
        <v>42796</v>
      </c>
      <c r="B1936" s="8">
        <f>VLOOKUP(Table1[[#This Row],[Date]],'BUD data'!A:F,6,)</f>
        <v>97.270645000000002</v>
      </c>
      <c r="C1936" s="51"/>
      <c r="D1936" s="51"/>
    </row>
    <row r="1937" spans="1:4" x14ac:dyDescent="0.45">
      <c r="A1937" s="7">
        <v>42797</v>
      </c>
      <c r="B1937" s="8">
        <f>VLOOKUP(Table1[[#This Row],[Date]],'BUD data'!A:F,6,)</f>
        <v>99.917229000000006</v>
      </c>
      <c r="C1937" s="51"/>
      <c r="D1937" s="51"/>
    </row>
    <row r="1938" spans="1:4" x14ac:dyDescent="0.45">
      <c r="A1938" s="7">
        <v>42800</v>
      </c>
      <c r="B1938" s="8">
        <f>VLOOKUP(Table1[[#This Row],[Date]],'BUD data'!A:F,6,)</f>
        <v>98.538794999999993</v>
      </c>
      <c r="C1938" s="51"/>
      <c r="D1938" s="51"/>
    </row>
    <row r="1939" spans="1:4" x14ac:dyDescent="0.45">
      <c r="A1939" s="7">
        <v>42801</v>
      </c>
      <c r="B1939" s="8">
        <f>VLOOKUP(Table1[[#This Row],[Date]],'BUD data'!A:F,6,)</f>
        <v>98.961524999999995</v>
      </c>
      <c r="C1939" s="51"/>
      <c r="D1939" s="51"/>
    </row>
    <row r="1940" spans="1:4" x14ac:dyDescent="0.45">
      <c r="A1940" s="7">
        <v>42802</v>
      </c>
      <c r="B1940" s="8">
        <f>VLOOKUP(Table1[[#This Row],[Date]],'BUD data'!A:F,6,)</f>
        <v>97.426865000000006</v>
      </c>
      <c r="C1940" s="51"/>
      <c r="D1940" s="51"/>
    </row>
    <row r="1941" spans="1:4" x14ac:dyDescent="0.45">
      <c r="A1941" s="7">
        <v>42803</v>
      </c>
      <c r="B1941" s="8">
        <f>VLOOKUP(Table1[[#This Row],[Date]],'BUD data'!A:F,6,)</f>
        <v>98.152832000000004</v>
      </c>
      <c r="C1941" s="51"/>
      <c r="D1941" s="51"/>
    </row>
    <row r="1942" spans="1:4" x14ac:dyDescent="0.45">
      <c r="A1942" s="7">
        <v>42804</v>
      </c>
      <c r="B1942" s="8">
        <f>VLOOKUP(Table1[[#This Row],[Date]],'BUD data'!A:F,6,)</f>
        <v>98.888007999999999</v>
      </c>
      <c r="C1942" s="51"/>
      <c r="D1942" s="51"/>
    </row>
    <row r="1943" spans="1:4" x14ac:dyDescent="0.45">
      <c r="A1943" s="7">
        <v>42807</v>
      </c>
      <c r="B1943" s="8">
        <f>VLOOKUP(Table1[[#This Row],[Date]],'BUD data'!A:F,6,)</f>
        <v>99.182068000000001</v>
      </c>
      <c r="C1943" s="51"/>
      <c r="D1943" s="51"/>
    </row>
    <row r="1944" spans="1:4" x14ac:dyDescent="0.45">
      <c r="A1944" s="7">
        <v>42808</v>
      </c>
      <c r="B1944" s="8">
        <f>VLOOKUP(Table1[[#This Row],[Date]],'BUD data'!A:F,6,)</f>
        <v>98.547989000000001</v>
      </c>
      <c r="C1944" s="51"/>
      <c r="D1944" s="51"/>
    </row>
    <row r="1945" spans="1:4" x14ac:dyDescent="0.45">
      <c r="A1945" s="7">
        <v>42809</v>
      </c>
      <c r="B1945" s="8">
        <f>VLOOKUP(Table1[[#This Row],[Date]],'BUD data'!A:F,6,)</f>
        <v>99.834511000000006</v>
      </c>
      <c r="C1945" s="51"/>
      <c r="D1945" s="51"/>
    </row>
    <row r="1946" spans="1:4" x14ac:dyDescent="0.45">
      <c r="A1946" s="7">
        <v>42810</v>
      </c>
      <c r="B1946" s="8">
        <f>VLOOKUP(Table1[[#This Row],[Date]],'BUD data'!A:F,6,)</f>
        <v>101.865379</v>
      </c>
      <c r="C1946" s="51"/>
      <c r="D1946" s="51"/>
    </row>
    <row r="1947" spans="1:4" x14ac:dyDescent="0.45">
      <c r="A1947" s="7">
        <v>42811</v>
      </c>
      <c r="B1947" s="8">
        <f>VLOOKUP(Table1[[#This Row],[Date]],'BUD data'!A:F,6,)</f>
        <v>102.69244399999999</v>
      </c>
      <c r="C1947" s="51"/>
      <c r="D1947" s="51"/>
    </row>
    <row r="1948" spans="1:4" x14ac:dyDescent="0.45">
      <c r="A1948" s="7">
        <v>42814</v>
      </c>
      <c r="B1948" s="8">
        <f>VLOOKUP(Table1[[#This Row],[Date]],'BUD data'!A:F,6,)</f>
        <v>102.876221</v>
      </c>
      <c r="C1948" s="51"/>
      <c r="D1948" s="51"/>
    </row>
    <row r="1949" spans="1:4" x14ac:dyDescent="0.45">
      <c r="A1949" s="7">
        <v>42815</v>
      </c>
      <c r="B1949" s="8">
        <f>VLOOKUP(Table1[[#This Row],[Date]],'BUD data'!A:F,6,)</f>
        <v>102.481087</v>
      </c>
      <c r="C1949" s="51"/>
      <c r="D1949" s="51"/>
    </row>
    <row r="1950" spans="1:4" x14ac:dyDescent="0.45">
      <c r="A1950" s="7">
        <v>42816</v>
      </c>
      <c r="B1950" s="8">
        <f>VLOOKUP(Table1[[#This Row],[Date]],'BUD data'!A:F,6,)</f>
        <v>101.948105</v>
      </c>
      <c r="C1950" s="51"/>
      <c r="D1950" s="51"/>
    </row>
    <row r="1951" spans="1:4" x14ac:dyDescent="0.45">
      <c r="A1951" s="7">
        <v>42817</v>
      </c>
      <c r="B1951" s="8">
        <f>VLOOKUP(Table1[[#This Row],[Date]],'BUD data'!A:F,6,)</f>
        <v>101.984863</v>
      </c>
      <c r="C1951" s="51"/>
      <c r="D1951" s="51"/>
    </row>
    <row r="1952" spans="1:4" x14ac:dyDescent="0.45">
      <c r="A1952" s="7">
        <v>42818</v>
      </c>
      <c r="B1952" s="8">
        <f>VLOOKUP(Table1[[#This Row],[Date]],'BUD data'!A:F,6,)</f>
        <v>101.87457999999999</v>
      </c>
      <c r="C1952" s="51"/>
      <c r="D1952" s="51"/>
    </row>
    <row r="1953" spans="1:4" x14ac:dyDescent="0.45">
      <c r="A1953" s="7">
        <v>42821</v>
      </c>
      <c r="B1953" s="8">
        <f>VLOOKUP(Table1[[#This Row],[Date]],'BUD data'!A:F,6,)</f>
        <v>102.343239</v>
      </c>
      <c r="C1953" s="51"/>
      <c r="D1953" s="51"/>
    </row>
    <row r="1954" spans="1:4" x14ac:dyDescent="0.45">
      <c r="A1954" s="7">
        <v>42822</v>
      </c>
      <c r="B1954" s="8">
        <f>VLOOKUP(Table1[[#This Row],[Date]],'BUD data'!A:F,6,)</f>
        <v>102.49026499999999</v>
      </c>
      <c r="C1954" s="51"/>
      <c r="D1954" s="51"/>
    </row>
    <row r="1955" spans="1:4" x14ac:dyDescent="0.45">
      <c r="A1955" s="7">
        <v>42823</v>
      </c>
      <c r="B1955" s="8">
        <f>VLOOKUP(Table1[[#This Row],[Date]],'BUD data'!A:F,6,)</f>
        <v>102.306488</v>
      </c>
      <c r="C1955" s="51"/>
      <c r="D1955" s="51"/>
    </row>
    <row r="1956" spans="1:4" x14ac:dyDescent="0.45">
      <c r="A1956" s="7">
        <v>42824</v>
      </c>
      <c r="B1956" s="8">
        <f>VLOOKUP(Table1[[#This Row],[Date]],'BUD data'!A:F,6,)</f>
        <v>101.323212</v>
      </c>
      <c r="C1956" s="51"/>
      <c r="D1956" s="51"/>
    </row>
    <row r="1957" spans="1:4" x14ac:dyDescent="0.45">
      <c r="A1957" s="7">
        <v>42825</v>
      </c>
      <c r="B1957" s="8">
        <f>VLOOKUP(Table1[[#This Row],[Date]],'BUD data'!A:F,6,)</f>
        <v>100.863731</v>
      </c>
      <c r="C1957" s="51"/>
      <c r="D1957" s="51"/>
    </row>
    <row r="1958" spans="1:4" x14ac:dyDescent="0.45">
      <c r="A1958" s="7">
        <v>42828</v>
      </c>
      <c r="B1958" s="8">
        <f>VLOOKUP(Table1[[#This Row],[Date]],'BUD data'!A:F,6,)</f>
        <v>101.76430499999999</v>
      </c>
      <c r="C1958" s="51"/>
      <c r="D1958" s="51"/>
    </row>
    <row r="1959" spans="1:4" x14ac:dyDescent="0.45">
      <c r="A1959" s="7">
        <v>42829</v>
      </c>
      <c r="B1959" s="8">
        <f>VLOOKUP(Table1[[#This Row],[Date]],'BUD data'!A:F,6,)</f>
        <v>101.865379</v>
      </c>
      <c r="C1959" s="51"/>
      <c r="D1959" s="51"/>
    </row>
    <row r="1960" spans="1:4" x14ac:dyDescent="0.45">
      <c r="A1960" s="7">
        <v>42830</v>
      </c>
      <c r="B1960" s="8">
        <f>VLOOKUP(Table1[[#This Row],[Date]],'BUD data'!A:F,6,)</f>
        <v>101.52538300000001</v>
      </c>
      <c r="C1960" s="51"/>
      <c r="D1960" s="51"/>
    </row>
    <row r="1961" spans="1:4" x14ac:dyDescent="0.45">
      <c r="A1961" s="7">
        <v>42831</v>
      </c>
      <c r="B1961" s="8">
        <f>VLOOKUP(Table1[[#This Row],[Date]],'BUD data'!A:F,6,)</f>
        <v>101.534561</v>
      </c>
      <c r="C1961" s="51"/>
      <c r="D1961" s="51"/>
    </row>
    <row r="1962" spans="1:4" x14ac:dyDescent="0.45">
      <c r="A1962" s="7">
        <v>42832</v>
      </c>
      <c r="B1962" s="8">
        <f>VLOOKUP(Table1[[#This Row],[Date]],'BUD data'!A:F,6,)</f>
        <v>101.029152</v>
      </c>
      <c r="C1962" s="51"/>
      <c r="D1962" s="51"/>
    </row>
    <row r="1963" spans="1:4" x14ac:dyDescent="0.45">
      <c r="A1963" s="7">
        <v>42835</v>
      </c>
      <c r="B1963" s="8">
        <f>VLOOKUP(Table1[[#This Row],[Date]],'BUD data'!A:F,6,)</f>
        <v>101.69998200000001</v>
      </c>
      <c r="C1963" s="51"/>
      <c r="D1963" s="51"/>
    </row>
    <row r="1964" spans="1:4" x14ac:dyDescent="0.45">
      <c r="A1964" s="7">
        <v>42836</v>
      </c>
      <c r="B1964" s="8">
        <f>VLOOKUP(Table1[[#This Row],[Date]],'BUD data'!A:F,6,)</f>
        <v>101.12103999999999</v>
      </c>
      <c r="C1964" s="51"/>
      <c r="D1964" s="51"/>
    </row>
    <row r="1965" spans="1:4" x14ac:dyDescent="0.45">
      <c r="A1965" s="7">
        <v>42837</v>
      </c>
      <c r="B1965" s="8">
        <f>VLOOKUP(Table1[[#This Row],[Date]],'BUD data'!A:F,6,)</f>
        <v>101.304832</v>
      </c>
      <c r="C1965" s="51"/>
      <c r="D1965" s="51"/>
    </row>
    <row r="1966" spans="1:4" x14ac:dyDescent="0.45">
      <c r="A1966" s="7">
        <v>42838</v>
      </c>
      <c r="B1966" s="8">
        <f>VLOOKUP(Table1[[#This Row],[Date]],'BUD data'!A:F,6,)</f>
        <v>100.192909</v>
      </c>
      <c r="C1966" s="51"/>
      <c r="D1966" s="51"/>
    </row>
    <row r="1967" spans="1:4" x14ac:dyDescent="0.45">
      <c r="A1967" s="7">
        <v>42842</v>
      </c>
      <c r="B1967" s="8">
        <f>VLOOKUP(Table1[[#This Row],[Date]],'BUD data'!A:F,6,)</f>
        <v>101.433487</v>
      </c>
      <c r="C1967" s="51"/>
      <c r="D1967" s="51"/>
    </row>
    <row r="1968" spans="1:4" x14ac:dyDescent="0.45">
      <c r="A1968" s="7">
        <v>42843</v>
      </c>
      <c r="B1968" s="8">
        <f>VLOOKUP(Table1[[#This Row],[Date]],'BUD data'!A:F,6,)</f>
        <v>101.837822</v>
      </c>
      <c r="C1968" s="51"/>
      <c r="D1968" s="51"/>
    </row>
    <row r="1969" spans="1:4" x14ac:dyDescent="0.45">
      <c r="A1969" s="7">
        <v>42844</v>
      </c>
      <c r="B1969" s="8">
        <f>VLOOKUP(Table1[[#This Row],[Date]],'BUD data'!A:F,6,)</f>
        <v>101.03833</v>
      </c>
      <c r="C1969" s="51"/>
      <c r="D1969" s="51"/>
    </row>
    <row r="1970" spans="1:4" x14ac:dyDescent="0.45">
      <c r="A1970" s="7">
        <v>42845</v>
      </c>
      <c r="B1970" s="8">
        <f>VLOOKUP(Table1[[#This Row],[Date]],'BUD data'!A:F,6,)</f>
        <v>100.248047</v>
      </c>
      <c r="C1970" s="51"/>
      <c r="D1970" s="51"/>
    </row>
    <row r="1971" spans="1:4" x14ac:dyDescent="0.45">
      <c r="A1971" s="7">
        <v>42846</v>
      </c>
      <c r="B1971" s="8">
        <f>VLOOKUP(Table1[[#This Row],[Date]],'BUD data'!A:F,6,)</f>
        <v>99.503692999999998</v>
      </c>
      <c r="C1971" s="51"/>
      <c r="D1971" s="51"/>
    </row>
    <row r="1972" spans="1:4" x14ac:dyDescent="0.45">
      <c r="A1972" s="7">
        <v>42849</v>
      </c>
      <c r="B1972" s="8">
        <f>VLOOKUP(Table1[[#This Row],[Date]],'BUD data'!A:F,6,)</f>
        <v>103.427605</v>
      </c>
      <c r="C1972" s="51"/>
      <c r="D1972" s="51"/>
    </row>
    <row r="1973" spans="1:4" x14ac:dyDescent="0.45">
      <c r="A1973" s="7">
        <v>42850</v>
      </c>
      <c r="B1973" s="8">
        <f>VLOOKUP(Table1[[#This Row],[Date]],'BUD data'!A:F,6,)</f>
        <v>104.686554</v>
      </c>
      <c r="C1973" s="51"/>
      <c r="D1973" s="51"/>
    </row>
    <row r="1974" spans="1:4" x14ac:dyDescent="0.45">
      <c r="A1974" s="7">
        <v>42851</v>
      </c>
      <c r="B1974" s="8">
        <f>VLOOKUP(Table1[[#This Row],[Date]],'BUD data'!A:F,6,)</f>
        <v>103.105965</v>
      </c>
      <c r="C1974" s="51"/>
      <c r="D1974" s="51"/>
    </row>
    <row r="1975" spans="1:4" x14ac:dyDescent="0.45">
      <c r="A1975" s="7">
        <v>42852</v>
      </c>
      <c r="B1975" s="8">
        <f>VLOOKUP(Table1[[#This Row],[Date]],'BUD data'!A:F,6,)</f>
        <v>103.133537</v>
      </c>
      <c r="C1975" s="51"/>
      <c r="D1975" s="51"/>
    </row>
    <row r="1976" spans="1:4" x14ac:dyDescent="0.45">
      <c r="A1976" s="7">
        <v>42853</v>
      </c>
      <c r="B1976" s="8">
        <f>VLOOKUP(Table1[[#This Row],[Date]],'BUD data'!A:F,6,)</f>
        <v>104.06167600000001</v>
      </c>
      <c r="C1976" s="51"/>
      <c r="D1976" s="51"/>
    </row>
    <row r="1977" spans="1:4" x14ac:dyDescent="0.45">
      <c r="A1977" s="7">
        <v>42856</v>
      </c>
      <c r="B1977" s="8">
        <f>VLOOKUP(Table1[[#This Row],[Date]],'BUD data'!A:F,6,)</f>
        <v>104.323891</v>
      </c>
      <c r="C1977" s="51"/>
      <c r="D1977" s="51"/>
    </row>
    <row r="1978" spans="1:4" x14ac:dyDescent="0.45">
      <c r="A1978" s="7">
        <v>42857</v>
      </c>
      <c r="B1978" s="8">
        <f>VLOOKUP(Table1[[#This Row],[Date]],'BUD data'!A:F,6,)</f>
        <v>105.138626</v>
      </c>
      <c r="C1978" s="51"/>
      <c r="D1978" s="51"/>
    </row>
    <row r="1979" spans="1:4" x14ac:dyDescent="0.45">
      <c r="A1979" s="7">
        <v>42858</v>
      </c>
      <c r="B1979" s="8">
        <f>VLOOKUP(Table1[[#This Row],[Date]],'BUD data'!A:F,6,)</f>
        <v>105.859718</v>
      </c>
      <c r="C1979" s="51"/>
      <c r="D1979" s="51"/>
    </row>
    <row r="1980" spans="1:4" x14ac:dyDescent="0.45">
      <c r="A1980" s="7">
        <v>42859</v>
      </c>
      <c r="B1980" s="8">
        <f>VLOOKUP(Table1[[#This Row],[Date]],'BUD data'!A:F,6,)</f>
        <v>111.881287</v>
      </c>
      <c r="C1980" s="51"/>
      <c r="D1980" s="51"/>
    </row>
    <row r="1981" spans="1:4" x14ac:dyDescent="0.45">
      <c r="A1981" s="7">
        <v>42860</v>
      </c>
      <c r="B1981" s="8">
        <f>VLOOKUP(Table1[[#This Row],[Date]],'BUD data'!A:F,6,)</f>
        <v>112.920776</v>
      </c>
      <c r="C1981" s="51"/>
      <c r="D1981" s="51"/>
    </row>
    <row r="1982" spans="1:4" x14ac:dyDescent="0.45">
      <c r="A1982" s="7">
        <v>42863</v>
      </c>
      <c r="B1982" s="8">
        <f>VLOOKUP(Table1[[#This Row],[Date]],'BUD data'!A:F,6,)</f>
        <v>111.544151</v>
      </c>
      <c r="C1982" s="51"/>
      <c r="D1982" s="51"/>
    </row>
    <row r="1983" spans="1:4" x14ac:dyDescent="0.45">
      <c r="A1983" s="7">
        <v>42864</v>
      </c>
      <c r="B1983" s="8">
        <f>VLOOKUP(Table1[[#This Row],[Date]],'BUD data'!A:F,6,)</f>
        <v>111.544151</v>
      </c>
      <c r="C1983" s="51"/>
      <c r="D1983" s="51"/>
    </row>
    <row r="1984" spans="1:4" x14ac:dyDescent="0.45">
      <c r="A1984" s="7">
        <v>42865</v>
      </c>
      <c r="B1984" s="8">
        <f>VLOOKUP(Table1[[#This Row],[Date]],'BUD data'!A:F,6,)</f>
        <v>111.43177</v>
      </c>
      <c r="C1984" s="51"/>
      <c r="D1984" s="51"/>
    </row>
    <row r="1985" spans="1:4" x14ac:dyDescent="0.45">
      <c r="A1985" s="7">
        <v>42866</v>
      </c>
      <c r="B1985" s="8">
        <f>VLOOKUP(Table1[[#This Row],[Date]],'BUD data'!A:F,6,)</f>
        <v>111.338127</v>
      </c>
      <c r="C1985" s="51"/>
      <c r="D1985" s="51"/>
    </row>
    <row r="1986" spans="1:4" x14ac:dyDescent="0.45">
      <c r="A1986" s="7">
        <v>42867</v>
      </c>
      <c r="B1986" s="8">
        <f>VLOOKUP(Table1[[#This Row],[Date]],'BUD data'!A:F,6,)</f>
        <v>112.218422</v>
      </c>
      <c r="C1986" s="51"/>
      <c r="D1986" s="51"/>
    </row>
    <row r="1987" spans="1:4" x14ac:dyDescent="0.45">
      <c r="A1987" s="7">
        <v>42870</v>
      </c>
      <c r="B1987" s="8">
        <f>VLOOKUP(Table1[[#This Row],[Date]],'BUD data'!A:F,6,)</f>
        <v>112.02175099999999</v>
      </c>
      <c r="C1987" s="51"/>
      <c r="D1987" s="51"/>
    </row>
    <row r="1988" spans="1:4" x14ac:dyDescent="0.45">
      <c r="A1988" s="7">
        <v>42871</v>
      </c>
      <c r="B1988" s="8">
        <f>VLOOKUP(Table1[[#This Row],[Date]],'BUD data'!A:F,6,)</f>
        <v>112.79903400000001</v>
      </c>
      <c r="C1988" s="51"/>
      <c r="D1988" s="51"/>
    </row>
    <row r="1989" spans="1:4" x14ac:dyDescent="0.45">
      <c r="A1989" s="7">
        <v>42872</v>
      </c>
      <c r="B1989" s="8">
        <f>VLOOKUP(Table1[[#This Row],[Date]],'BUD data'!A:F,6,)</f>
        <v>111.918747</v>
      </c>
      <c r="C1989" s="51"/>
      <c r="D1989" s="51"/>
    </row>
    <row r="1990" spans="1:4" x14ac:dyDescent="0.45">
      <c r="A1990" s="7">
        <v>42873</v>
      </c>
      <c r="B1990" s="8">
        <f>VLOOKUP(Table1[[#This Row],[Date]],'BUD data'!A:F,6,)</f>
        <v>109.568169</v>
      </c>
      <c r="C1990" s="51"/>
      <c r="D1990" s="51"/>
    </row>
    <row r="1991" spans="1:4" x14ac:dyDescent="0.45">
      <c r="A1991" s="7">
        <v>42874</v>
      </c>
      <c r="B1991" s="8">
        <f>VLOOKUP(Table1[[#This Row],[Date]],'BUD data'!A:F,6,)</f>
        <v>110.51402299999999</v>
      </c>
      <c r="C1991" s="51"/>
      <c r="D1991" s="51"/>
    </row>
    <row r="1992" spans="1:4" x14ac:dyDescent="0.45">
      <c r="A1992" s="7">
        <v>42877</v>
      </c>
      <c r="B1992" s="8">
        <f>VLOOKUP(Table1[[#This Row],[Date]],'BUD data'!A:F,6,)</f>
        <v>110.897972</v>
      </c>
      <c r="C1992" s="51"/>
      <c r="D1992" s="51"/>
    </row>
    <row r="1993" spans="1:4" x14ac:dyDescent="0.45">
      <c r="A1993" s="7">
        <v>42878</v>
      </c>
      <c r="B1993" s="8">
        <f>VLOOKUP(Table1[[#This Row],[Date]],'BUD data'!A:F,6,)</f>
        <v>111.057182</v>
      </c>
      <c r="C1993" s="51"/>
      <c r="D1993" s="51"/>
    </row>
    <row r="1994" spans="1:4" x14ac:dyDescent="0.45">
      <c r="A1994" s="7">
        <v>42879</v>
      </c>
      <c r="B1994" s="8">
        <f>VLOOKUP(Table1[[#This Row],[Date]],'BUD data'!A:F,6,)</f>
        <v>111.000992</v>
      </c>
      <c r="C1994" s="51"/>
      <c r="D1994" s="51"/>
    </row>
    <row r="1995" spans="1:4" x14ac:dyDescent="0.45">
      <c r="A1995" s="7">
        <v>42880</v>
      </c>
      <c r="B1995" s="8">
        <f>VLOOKUP(Table1[[#This Row],[Date]],'BUD data'!A:F,6,)</f>
        <v>110.841797</v>
      </c>
      <c r="C1995" s="51"/>
      <c r="D1995" s="51"/>
    </row>
    <row r="1996" spans="1:4" x14ac:dyDescent="0.45">
      <c r="A1996" s="7">
        <v>42881</v>
      </c>
      <c r="B1996" s="8">
        <f>VLOOKUP(Table1[[#This Row],[Date]],'BUD data'!A:F,6,)</f>
        <v>110.963531</v>
      </c>
      <c r="C1996" s="51"/>
      <c r="D1996" s="51"/>
    </row>
    <row r="1997" spans="1:4" x14ac:dyDescent="0.45">
      <c r="A1997" s="7">
        <v>42885</v>
      </c>
      <c r="B1997" s="8">
        <f>VLOOKUP(Table1[[#This Row],[Date]],'BUD data'!A:F,6,)</f>
        <v>109.28723100000001</v>
      </c>
      <c r="C1997" s="51"/>
      <c r="D1997" s="51"/>
    </row>
    <row r="1998" spans="1:4" x14ac:dyDescent="0.45">
      <c r="A1998" s="7">
        <v>42886</v>
      </c>
      <c r="B1998" s="8">
        <f>VLOOKUP(Table1[[#This Row],[Date]],'BUD data'!A:F,6,)</f>
        <v>109.52134700000001</v>
      </c>
      <c r="C1998" s="51"/>
      <c r="D1998" s="51"/>
    </row>
    <row r="1999" spans="1:4" x14ac:dyDescent="0.45">
      <c r="A1999" s="7">
        <v>42887</v>
      </c>
      <c r="B1999" s="8">
        <f>VLOOKUP(Table1[[#This Row],[Date]],'BUD data'!A:F,6,)</f>
        <v>109.91468</v>
      </c>
      <c r="C1999" s="51"/>
      <c r="D1999" s="51"/>
    </row>
    <row r="2000" spans="1:4" x14ac:dyDescent="0.45">
      <c r="A2000" s="7">
        <v>42888</v>
      </c>
      <c r="B2000" s="8">
        <f>VLOOKUP(Table1[[#This Row],[Date]],'BUD data'!A:F,6,)</f>
        <v>110.70130899999999</v>
      </c>
      <c r="C2000" s="51"/>
      <c r="D2000" s="51"/>
    </row>
    <row r="2001" spans="1:4" x14ac:dyDescent="0.45">
      <c r="A2001" s="7">
        <v>42891</v>
      </c>
      <c r="B2001" s="8">
        <f>VLOOKUP(Table1[[#This Row],[Date]],'BUD data'!A:F,6,)</f>
        <v>110.879242</v>
      </c>
      <c r="C2001" s="51"/>
      <c r="D2001" s="51"/>
    </row>
    <row r="2002" spans="1:4" x14ac:dyDescent="0.45">
      <c r="A2002" s="7">
        <v>42892</v>
      </c>
      <c r="B2002" s="8">
        <f>VLOOKUP(Table1[[#This Row],[Date]],'BUD data'!A:F,6,)</f>
        <v>110.52338399999999</v>
      </c>
      <c r="C2002" s="51"/>
      <c r="D2002" s="51"/>
    </row>
    <row r="2003" spans="1:4" x14ac:dyDescent="0.45">
      <c r="A2003" s="7">
        <v>42893</v>
      </c>
      <c r="B2003" s="8">
        <f>VLOOKUP(Table1[[#This Row],[Date]],'BUD data'!A:F,6,)</f>
        <v>109.708641</v>
      </c>
      <c r="C2003" s="51"/>
      <c r="D2003" s="51"/>
    </row>
    <row r="2004" spans="1:4" x14ac:dyDescent="0.45">
      <c r="A2004" s="7">
        <v>42894</v>
      </c>
      <c r="B2004" s="8">
        <f>VLOOKUP(Table1[[#This Row],[Date]],'BUD data'!A:F,6,)</f>
        <v>107.208252</v>
      </c>
      <c r="C2004" s="51"/>
      <c r="D2004" s="51"/>
    </row>
    <row r="2005" spans="1:4" x14ac:dyDescent="0.45">
      <c r="A2005" s="7">
        <v>42895</v>
      </c>
      <c r="B2005" s="8">
        <f>VLOOKUP(Table1[[#This Row],[Date]],'BUD data'!A:F,6,)</f>
        <v>106.290497</v>
      </c>
      <c r="C2005" s="51"/>
      <c r="D2005" s="51"/>
    </row>
    <row r="2006" spans="1:4" x14ac:dyDescent="0.45">
      <c r="A2006" s="7">
        <v>42898</v>
      </c>
      <c r="B2006" s="8">
        <f>VLOOKUP(Table1[[#This Row],[Date]],'BUD data'!A:F,6,)</f>
        <v>105.78479799999999</v>
      </c>
      <c r="C2006" s="51"/>
      <c r="D2006" s="51"/>
    </row>
    <row r="2007" spans="1:4" x14ac:dyDescent="0.45">
      <c r="A2007" s="7">
        <v>42899</v>
      </c>
      <c r="B2007" s="8">
        <f>VLOOKUP(Table1[[#This Row],[Date]],'BUD data'!A:F,6,)</f>
        <v>106.646355</v>
      </c>
      <c r="C2007" s="51"/>
      <c r="D2007" s="51"/>
    </row>
    <row r="2008" spans="1:4" x14ac:dyDescent="0.45">
      <c r="A2008" s="7">
        <v>42900</v>
      </c>
      <c r="B2008" s="8">
        <f>VLOOKUP(Table1[[#This Row],[Date]],'BUD data'!A:F,6,)</f>
        <v>106.740013</v>
      </c>
      <c r="C2008" s="51"/>
      <c r="D2008" s="51"/>
    </row>
    <row r="2009" spans="1:4" x14ac:dyDescent="0.45">
      <c r="A2009" s="7">
        <v>42901</v>
      </c>
      <c r="B2009" s="8">
        <f>VLOOKUP(Table1[[#This Row],[Date]],'BUD data'!A:F,6,)</f>
        <v>106.01892100000001</v>
      </c>
      <c r="C2009" s="51"/>
      <c r="D2009" s="51"/>
    </row>
    <row r="2010" spans="1:4" x14ac:dyDescent="0.45">
      <c r="A2010" s="7">
        <v>42902</v>
      </c>
      <c r="B2010" s="8">
        <f>VLOOKUP(Table1[[#This Row],[Date]],'BUD data'!A:F,6,)</f>
        <v>106.665092</v>
      </c>
      <c r="C2010" s="51"/>
      <c r="D2010" s="51"/>
    </row>
    <row r="2011" spans="1:4" x14ac:dyDescent="0.45">
      <c r="A2011" s="7">
        <v>42905</v>
      </c>
      <c r="B2011" s="8">
        <f>VLOOKUP(Table1[[#This Row],[Date]],'BUD data'!A:F,6,)</f>
        <v>106.89919999999999</v>
      </c>
      <c r="C2011" s="51"/>
      <c r="D2011" s="51"/>
    </row>
    <row r="2012" spans="1:4" x14ac:dyDescent="0.45">
      <c r="A2012" s="7">
        <v>42906</v>
      </c>
      <c r="B2012" s="8">
        <f>VLOOKUP(Table1[[#This Row],[Date]],'BUD data'!A:F,6,)</f>
        <v>106.927307</v>
      </c>
      <c r="C2012" s="51"/>
      <c r="D2012" s="51"/>
    </row>
    <row r="2013" spans="1:4" x14ac:dyDescent="0.45">
      <c r="A2013" s="7">
        <v>42907</v>
      </c>
      <c r="B2013" s="8">
        <f>VLOOKUP(Table1[[#This Row],[Date]],'BUD data'!A:F,6,)</f>
        <v>106.590172</v>
      </c>
      <c r="C2013" s="51"/>
      <c r="D2013" s="51"/>
    </row>
    <row r="2014" spans="1:4" x14ac:dyDescent="0.45">
      <c r="A2014" s="7">
        <v>42908</v>
      </c>
      <c r="B2014" s="8">
        <f>VLOOKUP(Table1[[#This Row],[Date]],'BUD data'!A:F,6,)</f>
        <v>106.150024</v>
      </c>
      <c r="C2014" s="51"/>
      <c r="D2014" s="51"/>
    </row>
    <row r="2015" spans="1:4" x14ac:dyDescent="0.45">
      <c r="A2015" s="7">
        <v>42909</v>
      </c>
      <c r="B2015" s="8">
        <f>VLOOKUP(Table1[[#This Row],[Date]],'BUD data'!A:F,6,)</f>
        <v>106.103195</v>
      </c>
      <c r="C2015" s="51"/>
      <c r="D2015" s="51"/>
    </row>
    <row r="2016" spans="1:4" x14ac:dyDescent="0.45">
      <c r="A2016" s="7">
        <v>42912</v>
      </c>
      <c r="B2016" s="8">
        <f>VLOOKUP(Table1[[#This Row],[Date]],'BUD data'!A:F,6,)</f>
        <v>106.683815</v>
      </c>
      <c r="C2016" s="51"/>
      <c r="D2016" s="51"/>
    </row>
    <row r="2017" spans="1:4" x14ac:dyDescent="0.45">
      <c r="A2017" s="7">
        <v>42913</v>
      </c>
      <c r="B2017" s="8">
        <f>VLOOKUP(Table1[[#This Row],[Date]],'BUD data'!A:F,6,)</f>
        <v>106.402878</v>
      </c>
      <c r="C2017" s="51"/>
      <c r="D2017" s="51"/>
    </row>
    <row r="2018" spans="1:4" x14ac:dyDescent="0.45">
      <c r="A2018" s="7">
        <v>42914</v>
      </c>
      <c r="B2018" s="8">
        <f>VLOOKUP(Table1[[#This Row],[Date]],'BUD data'!A:F,6,)</f>
        <v>106.477783</v>
      </c>
      <c r="C2018" s="51"/>
      <c r="D2018" s="51"/>
    </row>
    <row r="2019" spans="1:4" x14ac:dyDescent="0.45">
      <c r="A2019" s="7">
        <v>42915</v>
      </c>
      <c r="B2019" s="8">
        <f>VLOOKUP(Table1[[#This Row],[Date]],'BUD data'!A:F,6,)</f>
        <v>103.630898</v>
      </c>
      <c r="C2019" s="51"/>
      <c r="D2019" s="51"/>
    </row>
    <row r="2020" spans="1:4" x14ac:dyDescent="0.45">
      <c r="A2020" s="7">
        <v>42916</v>
      </c>
      <c r="B2020" s="8">
        <f>VLOOKUP(Table1[[#This Row],[Date]],'BUD data'!A:F,6,)</f>
        <v>103.349953</v>
      </c>
      <c r="C2020" s="51"/>
      <c r="D2020" s="51"/>
    </row>
    <row r="2021" spans="1:4" x14ac:dyDescent="0.45">
      <c r="A2021" s="7">
        <v>42919</v>
      </c>
      <c r="B2021" s="8">
        <f>VLOOKUP(Table1[[#This Row],[Date]],'BUD data'!A:F,6,)</f>
        <v>103.406136</v>
      </c>
      <c r="C2021" s="51"/>
      <c r="D2021" s="51"/>
    </row>
    <row r="2022" spans="1:4" x14ac:dyDescent="0.45">
      <c r="A2022" s="7">
        <v>42921</v>
      </c>
      <c r="B2022" s="8">
        <f>VLOOKUP(Table1[[#This Row],[Date]],'BUD data'!A:F,6,)</f>
        <v>103.012817</v>
      </c>
      <c r="C2022" s="51"/>
      <c r="D2022" s="51"/>
    </row>
    <row r="2023" spans="1:4" x14ac:dyDescent="0.45">
      <c r="A2023" s="7">
        <v>42922</v>
      </c>
      <c r="B2023" s="8">
        <f>VLOOKUP(Table1[[#This Row],[Date]],'BUD data'!A:F,6,)</f>
        <v>103.359314</v>
      </c>
      <c r="C2023" s="51"/>
      <c r="D2023" s="51"/>
    </row>
    <row r="2024" spans="1:4" x14ac:dyDescent="0.45">
      <c r="A2024" s="7">
        <v>42923</v>
      </c>
      <c r="B2024" s="8">
        <f>VLOOKUP(Table1[[#This Row],[Date]],'BUD data'!A:F,6,)</f>
        <v>103.780731</v>
      </c>
      <c r="C2024" s="51"/>
      <c r="D2024" s="51"/>
    </row>
    <row r="2025" spans="1:4" x14ac:dyDescent="0.45">
      <c r="A2025" s="7">
        <v>42926</v>
      </c>
      <c r="B2025" s="8">
        <f>VLOOKUP(Table1[[#This Row],[Date]],'BUD data'!A:F,6,)</f>
        <v>104.661018</v>
      </c>
      <c r="C2025" s="51"/>
      <c r="D2025" s="51"/>
    </row>
    <row r="2026" spans="1:4" x14ac:dyDescent="0.45">
      <c r="A2026" s="7">
        <v>42927</v>
      </c>
      <c r="B2026" s="8">
        <f>VLOOKUP(Table1[[#This Row],[Date]],'BUD data'!A:F,6,)</f>
        <v>104.014847</v>
      </c>
      <c r="C2026" s="51"/>
      <c r="D2026" s="51"/>
    </row>
    <row r="2027" spans="1:4" x14ac:dyDescent="0.45">
      <c r="A2027" s="7">
        <v>42928</v>
      </c>
      <c r="B2027" s="8">
        <f>VLOOKUP(Table1[[#This Row],[Date]],'BUD data'!A:F,6,)</f>
        <v>105.36338000000001</v>
      </c>
      <c r="C2027" s="51"/>
      <c r="D2027" s="51"/>
    </row>
    <row r="2028" spans="1:4" x14ac:dyDescent="0.45">
      <c r="A2028" s="7">
        <v>42929</v>
      </c>
      <c r="B2028" s="8">
        <f>VLOOKUP(Table1[[#This Row],[Date]],'BUD data'!A:F,6,)</f>
        <v>105.86908699999999</v>
      </c>
      <c r="C2028" s="51"/>
      <c r="D2028" s="51"/>
    </row>
    <row r="2029" spans="1:4" x14ac:dyDescent="0.45">
      <c r="A2029" s="7">
        <v>42930</v>
      </c>
      <c r="B2029" s="8">
        <f>VLOOKUP(Table1[[#This Row],[Date]],'BUD data'!A:F,6,)</f>
        <v>107.03031900000001</v>
      </c>
      <c r="C2029" s="51"/>
      <c r="D2029" s="51"/>
    </row>
    <row r="2030" spans="1:4" x14ac:dyDescent="0.45">
      <c r="A2030" s="7">
        <v>42933</v>
      </c>
      <c r="B2030" s="8">
        <f>VLOOKUP(Table1[[#This Row],[Date]],'BUD data'!A:F,6,)</f>
        <v>106.936668</v>
      </c>
      <c r="C2030" s="51"/>
      <c r="D2030" s="51"/>
    </row>
    <row r="2031" spans="1:4" x14ac:dyDescent="0.45">
      <c r="A2031" s="7">
        <v>42934</v>
      </c>
      <c r="B2031" s="8">
        <f>VLOOKUP(Table1[[#This Row],[Date]],'BUD data'!A:F,6,)</f>
        <v>107.217606</v>
      </c>
      <c r="C2031" s="51"/>
      <c r="D2031" s="51"/>
    </row>
    <row r="2032" spans="1:4" x14ac:dyDescent="0.45">
      <c r="A2032" s="7">
        <v>42935</v>
      </c>
      <c r="B2032" s="8">
        <f>VLOOKUP(Table1[[#This Row],[Date]],'BUD data'!A:F,6,)</f>
        <v>107.517281</v>
      </c>
      <c r="C2032" s="51"/>
      <c r="D2032" s="51"/>
    </row>
    <row r="2033" spans="1:4" x14ac:dyDescent="0.45">
      <c r="A2033" s="7">
        <v>42936</v>
      </c>
      <c r="B2033" s="8">
        <f>VLOOKUP(Table1[[#This Row],[Date]],'BUD data'!A:F,6,)</f>
        <v>108.17282899999999</v>
      </c>
      <c r="C2033" s="51"/>
      <c r="D2033" s="51"/>
    </row>
    <row r="2034" spans="1:4" x14ac:dyDescent="0.45">
      <c r="A2034" s="7">
        <v>42937</v>
      </c>
      <c r="B2034" s="8">
        <f>VLOOKUP(Table1[[#This Row],[Date]],'BUD data'!A:F,6,)</f>
        <v>107.451729</v>
      </c>
      <c r="C2034" s="51"/>
      <c r="D2034" s="51"/>
    </row>
    <row r="2035" spans="1:4" x14ac:dyDescent="0.45">
      <c r="A2035" s="7">
        <v>42940</v>
      </c>
      <c r="B2035" s="8">
        <f>VLOOKUP(Table1[[#This Row],[Date]],'BUD data'!A:F,6,)</f>
        <v>106.54335</v>
      </c>
      <c r="C2035" s="51"/>
      <c r="D2035" s="51"/>
    </row>
    <row r="2036" spans="1:4" x14ac:dyDescent="0.45">
      <c r="A2036" s="7">
        <v>42941</v>
      </c>
      <c r="B2036" s="8">
        <f>VLOOKUP(Table1[[#This Row],[Date]],'BUD data'!A:F,6,)</f>
        <v>106.72127500000001</v>
      </c>
      <c r="C2036" s="51"/>
      <c r="D2036" s="51"/>
    </row>
    <row r="2037" spans="1:4" x14ac:dyDescent="0.45">
      <c r="A2037" s="7">
        <v>42942</v>
      </c>
      <c r="B2037" s="8">
        <f>VLOOKUP(Table1[[#This Row],[Date]],'BUD data'!A:F,6,)</f>
        <v>108.36011499999999</v>
      </c>
      <c r="C2037" s="51"/>
      <c r="D2037" s="51"/>
    </row>
    <row r="2038" spans="1:4" x14ac:dyDescent="0.45">
      <c r="A2038" s="7">
        <v>42943</v>
      </c>
      <c r="B2038" s="8">
        <f>VLOOKUP(Table1[[#This Row],[Date]],'BUD data'!A:F,6,)</f>
        <v>115.03722399999999</v>
      </c>
      <c r="C2038" s="51"/>
      <c r="D2038" s="51"/>
    </row>
    <row r="2039" spans="1:4" x14ac:dyDescent="0.45">
      <c r="A2039" s="7">
        <v>42944</v>
      </c>
      <c r="B2039" s="8">
        <f>VLOOKUP(Table1[[#This Row],[Date]],'BUD data'!A:F,6,)</f>
        <v>113.482658</v>
      </c>
      <c r="C2039" s="51"/>
      <c r="D2039" s="51"/>
    </row>
    <row r="2040" spans="1:4" x14ac:dyDescent="0.45">
      <c r="A2040" s="7">
        <v>42947</v>
      </c>
      <c r="B2040" s="8">
        <f>VLOOKUP(Table1[[#This Row],[Date]],'BUD data'!A:F,6,)</f>
        <v>112.995705</v>
      </c>
      <c r="C2040" s="51"/>
      <c r="D2040" s="51"/>
    </row>
    <row r="2041" spans="1:4" x14ac:dyDescent="0.45">
      <c r="A2041" s="7">
        <v>42948</v>
      </c>
      <c r="B2041" s="8">
        <f>VLOOKUP(Table1[[#This Row],[Date]],'BUD data'!A:F,6,)</f>
        <v>112.209045</v>
      </c>
      <c r="C2041" s="51"/>
      <c r="D2041" s="51"/>
    </row>
    <row r="2042" spans="1:4" x14ac:dyDescent="0.45">
      <c r="A2042" s="7">
        <v>42949</v>
      </c>
      <c r="B2042" s="8">
        <f>VLOOKUP(Table1[[#This Row],[Date]],'BUD data'!A:F,6,)</f>
        <v>111.216385</v>
      </c>
      <c r="C2042" s="51"/>
      <c r="D2042" s="51"/>
    </row>
    <row r="2043" spans="1:4" x14ac:dyDescent="0.45">
      <c r="A2043" s="7">
        <v>42950</v>
      </c>
      <c r="B2043" s="8">
        <f>VLOOKUP(Table1[[#This Row],[Date]],'BUD data'!A:F,6,)</f>
        <v>112.180954</v>
      </c>
      <c r="C2043" s="51"/>
      <c r="D2043" s="51"/>
    </row>
    <row r="2044" spans="1:4" x14ac:dyDescent="0.45">
      <c r="A2044" s="7">
        <v>42951</v>
      </c>
      <c r="B2044" s="8">
        <f>VLOOKUP(Table1[[#This Row],[Date]],'BUD data'!A:F,6,)</f>
        <v>112.405708</v>
      </c>
      <c r="C2044" s="51"/>
      <c r="D2044" s="51"/>
    </row>
    <row r="2045" spans="1:4" x14ac:dyDescent="0.45">
      <c r="A2045" s="7">
        <v>42954</v>
      </c>
      <c r="B2045" s="8">
        <f>VLOOKUP(Table1[[#This Row],[Date]],'BUD data'!A:F,6,)</f>
        <v>111.93746899999999</v>
      </c>
      <c r="C2045" s="51"/>
      <c r="D2045" s="51"/>
    </row>
    <row r="2046" spans="1:4" x14ac:dyDescent="0.45">
      <c r="A2046" s="7">
        <v>42955</v>
      </c>
      <c r="B2046" s="8">
        <f>VLOOKUP(Table1[[#This Row],[Date]],'BUD data'!A:F,6,)</f>
        <v>111.272575</v>
      </c>
      <c r="C2046" s="51"/>
      <c r="D2046" s="51"/>
    </row>
    <row r="2047" spans="1:4" x14ac:dyDescent="0.45">
      <c r="A2047" s="7">
        <v>42956</v>
      </c>
      <c r="B2047" s="8">
        <f>VLOOKUP(Table1[[#This Row],[Date]],'BUD data'!A:F,6,)</f>
        <v>110.167519</v>
      </c>
      <c r="C2047" s="51"/>
      <c r="D2047" s="51"/>
    </row>
    <row r="2048" spans="1:4" x14ac:dyDescent="0.45">
      <c r="A2048" s="7">
        <v>42957</v>
      </c>
      <c r="B2048" s="8">
        <f>VLOOKUP(Table1[[#This Row],[Date]],'BUD data'!A:F,6,)</f>
        <v>108.687889</v>
      </c>
      <c r="C2048" s="51"/>
      <c r="D2048" s="51"/>
    </row>
    <row r="2049" spans="1:4" x14ac:dyDescent="0.45">
      <c r="A2049" s="7">
        <v>42958</v>
      </c>
      <c r="B2049" s="8">
        <f>VLOOKUP(Table1[[#This Row],[Date]],'BUD data'!A:F,6,)</f>
        <v>108.463127</v>
      </c>
      <c r="C2049" s="51"/>
      <c r="D2049" s="51"/>
    </row>
    <row r="2050" spans="1:4" x14ac:dyDescent="0.45">
      <c r="A2050" s="7">
        <v>42961</v>
      </c>
      <c r="B2050" s="8">
        <f>VLOOKUP(Table1[[#This Row],[Date]],'BUD data'!A:F,6,)</f>
        <v>109.015663</v>
      </c>
      <c r="C2050" s="51"/>
      <c r="D2050" s="51"/>
    </row>
    <row r="2051" spans="1:4" x14ac:dyDescent="0.45">
      <c r="A2051" s="7">
        <v>42962</v>
      </c>
      <c r="B2051" s="8">
        <f>VLOOKUP(Table1[[#This Row],[Date]],'BUD data'!A:F,6,)</f>
        <v>109.59627500000001</v>
      </c>
      <c r="C2051" s="51"/>
      <c r="D2051" s="51"/>
    </row>
    <row r="2052" spans="1:4" x14ac:dyDescent="0.45">
      <c r="A2052" s="7">
        <v>42963</v>
      </c>
      <c r="B2052" s="8">
        <f>VLOOKUP(Table1[[#This Row],[Date]],'BUD data'!A:F,6,)</f>
        <v>110.270538</v>
      </c>
      <c r="C2052" s="51"/>
      <c r="D2052" s="51"/>
    </row>
    <row r="2053" spans="1:4" x14ac:dyDescent="0.45">
      <c r="A2053" s="7">
        <v>42964</v>
      </c>
      <c r="B2053" s="8">
        <f>VLOOKUP(Table1[[#This Row],[Date]],'BUD data'!A:F,6,)</f>
        <v>109.446442</v>
      </c>
      <c r="C2053" s="51"/>
      <c r="D2053" s="51"/>
    </row>
    <row r="2054" spans="1:4" x14ac:dyDescent="0.45">
      <c r="A2054" s="7">
        <v>42965</v>
      </c>
      <c r="B2054" s="8">
        <f>VLOOKUP(Table1[[#This Row],[Date]],'BUD data'!A:F,6,)</f>
        <v>108.912643</v>
      </c>
      <c r="C2054" s="51"/>
      <c r="D2054" s="51"/>
    </row>
    <row r="2055" spans="1:4" x14ac:dyDescent="0.45">
      <c r="A2055" s="7">
        <v>42968</v>
      </c>
      <c r="B2055" s="8">
        <f>VLOOKUP(Table1[[#This Row],[Date]],'BUD data'!A:F,6,)</f>
        <v>109.343422</v>
      </c>
      <c r="C2055" s="51"/>
      <c r="D2055" s="51"/>
    </row>
    <row r="2056" spans="1:4" x14ac:dyDescent="0.45">
      <c r="A2056" s="7">
        <v>42969</v>
      </c>
      <c r="B2056" s="8">
        <f>VLOOKUP(Table1[[#This Row],[Date]],'BUD data'!A:F,6,)</f>
        <v>109.465164</v>
      </c>
      <c r="C2056" s="51"/>
      <c r="D2056" s="51"/>
    </row>
    <row r="2057" spans="1:4" x14ac:dyDescent="0.45">
      <c r="A2057" s="7">
        <v>42970</v>
      </c>
      <c r="B2057" s="8">
        <f>VLOOKUP(Table1[[#This Row],[Date]],'BUD data'!A:F,6,)</f>
        <v>108.71597300000001</v>
      </c>
      <c r="C2057" s="51"/>
      <c r="D2057" s="51"/>
    </row>
    <row r="2058" spans="1:4" x14ac:dyDescent="0.45">
      <c r="A2058" s="7">
        <v>42971</v>
      </c>
      <c r="B2058" s="8">
        <f>VLOOKUP(Table1[[#This Row],[Date]],'BUD data'!A:F,6,)</f>
        <v>108.509956</v>
      </c>
      <c r="C2058" s="51"/>
      <c r="D2058" s="51"/>
    </row>
    <row r="2059" spans="1:4" x14ac:dyDescent="0.45">
      <c r="A2059" s="7">
        <v>42972</v>
      </c>
      <c r="B2059" s="8">
        <f>VLOOKUP(Table1[[#This Row],[Date]],'BUD data'!A:F,6,)</f>
        <v>109.090569</v>
      </c>
      <c r="C2059" s="51"/>
      <c r="D2059" s="51"/>
    </row>
    <row r="2060" spans="1:4" x14ac:dyDescent="0.45">
      <c r="A2060" s="7">
        <v>42975</v>
      </c>
      <c r="B2060" s="8">
        <f>VLOOKUP(Table1[[#This Row],[Date]],'BUD data'!A:F,6,)</f>
        <v>108.453766</v>
      </c>
      <c r="C2060" s="51"/>
      <c r="D2060" s="51"/>
    </row>
    <row r="2061" spans="1:4" x14ac:dyDescent="0.45">
      <c r="A2061" s="7">
        <v>42976</v>
      </c>
      <c r="B2061" s="8">
        <f>VLOOKUP(Table1[[#This Row],[Date]],'BUD data'!A:F,6,)</f>
        <v>109.42770400000001</v>
      </c>
      <c r="C2061" s="51"/>
      <c r="D2061" s="51"/>
    </row>
    <row r="2062" spans="1:4" x14ac:dyDescent="0.45">
      <c r="A2062" s="7">
        <v>42977</v>
      </c>
      <c r="B2062" s="8">
        <f>VLOOKUP(Table1[[#This Row],[Date]],'BUD data'!A:F,6,)</f>
        <v>110.27990699999999</v>
      </c>
      <c r="C2062" s="51"/>
      <c r="D2062" s="51"/>
    </row>
    <row r="2063" spans="1:4" x14ac:dyDescent="0.45">
      <c r="A2063" s="7">
        <v>42978</v>
      </c>
      <c r="B2063" s="8">
        <f>VLOOKUP(Table1[[#This Row],[Date]],'BUD data'!A:F,6,)</f>
        <v>110.851151</v>
      </c>
      <c r="C2063" s="51"/>
      <c r="D2063" s="51"/>
    </row>
    <row r="2064" spans="1:4" x14ac:dyDescent="0.45">
      <c r="A2064" s="7">
        <v>42979</v>
      </c>
      <c r="B2064" s="8">
        <f>VLOOKUP(Table1[[#This Row],[Date]],'BUD data'!A:F,6,)</f>
        <v>111.094635</v>
      </c>
      <c r="C2064" s="51"/>
      <c r="D2064" s="51"/>
    </row>
    <row r="2065" spans="1:4" x14ac:dyDescent="0.45">
      <c r="A2065" s="7">
        <v>42983</v>
      </c>
      <c r="B2065" s="8">
        <f>VLOOKUP(Table1[[#This Row],[Date]],'BUD data'!A:F,6,)</f>
        <v>111.291298</v>
      </c>
      <c r="C2065" s="51"/>
      <c r="D2065" s="51"/>
    </row>
    <row r="2066" spans="1:4" x14ac:dyDescent="0.45">
      <c r="A2066" s="7">
        <v>42984</v>
      </c>
      <c r="B2066" s="8">
        <f>VLOOKUP(Table1[[#This Row],[Date]],'BUD data'!A:F,6,)</f>
        <v>111.862549</v>
      </c>
      <c r="C2066" s="51"/>
      <c r="D2066" s="51"/>
    </row>
    <row r="2067" spans="1:4" x14ac:dyDescent="0.45">
      <c r="A2067" s="7">
        <v>42985</v>
      </c>
      <c r="B2067" s="8">
        <f>VLOOKUP(Table1[[#This Row],[Date]],'BUD data'!A:F,6,)</f>
        <v>113.51076500000001</v>
      </c>
      <c r="C2067" s="51"/>
      <c r="D2067" s="51"/>
    </row>
    <row r="2068" spans="1:4" x14ac:dyDescent="0.45">
      <c r="A2068" s="7">
        <v>42986</v>
      </c>
      <c r="B2068" s="8">
        <f>VLOOKUP(Table1[[#This Row],[Date]],'BUD data'!A:F,6,)</f>
        <v>113.772972</v>
      </c>
      <c r="C2068" s="51"/>
      <c r="D2068" s="51"/>
    </row>
    <row r="2069" spans="1:4" x14ac:dyDescent="0.45">
      <c r="A2069" s="7">
        <v>42989</v>
      </c>
      <c r="B2069" s="8">
        <f>VLOOKUP(Table1[[#This Row],[Date]],'BUD data'!A:F,6,)</f>
        <v>113.904083</v>
      </c>
      <c r="C2069" s="51"/>
      <c r="D2069" s="51"/>
    </row>
    <row r="2070" spans="1:4" x14ac:dyDescent="0.45">
      <c r="A2070" s="7">
        <v>42990</v>
      </c>
      <c r="B2070" s="8">
        <f>VLOOKUP(Table1[[#This Row],[Date]],'BUD data'!A:F,6,)</f>
        <v>113.969627</v>
      </c>
      <c r="C2070" s="51"/>
      <c r="D2070" s="51"/>
    </row>
    <row r="2071" spans="1:4" x14ac:dyDescent="0.45">
      <c r="A2071" s="7">
        <v>42991</v>
      </c>
      <c r="B2071" s="8">
        <f>VLOOKUP(Table1[[#This Row],[Date]],'BUD data'!A:F,6,)</f>
        <v>113.688698</v>
      </c>
      <c r="C2071" s="51"/>
      <c r="D2071" s="51"/>
    </row>
    <row r="2072" spans="1:4" x14ac:dyDescent="0.45">
      <c r="A2072" s="7">
        <v>42992</v>
      </c>
      <c r="B2072" s="8">
        <f>VLOOKUP(Table1[[#This Row],[Date]],'BUD data'!A:F,6,)</f>
        <v>114.00709500000001</v>
      </c>
      <c r="C2072" s="51"/>
      <c r="D2072" s="51"/>
    </row>
    <row r="2073" spans="1:4" x14ac:dyDescent="0.45">
      <c r="A2073" s="7">
        <v>42993</v>
      </c>
      <c r="B2073" s="8">
        <f>VLOOKUP(Table1[[#This Row],[Date]],'BUD data'!A:F,6,)</f>
        <v>113.182991</v>
      </c>
      <c r="C2073" s="51"/>
      <c r="D2073" s="51"/>
    </row>
    <row r="2074" spans="1:4" x14ac:dyDescent="0.45">
      <c r="A2074" s="7">
        <v>42996</v>
      </c>
      <c r="B2074" s="8">
        <f>VLOOKUP(Table1[[#This Row],[Date]],'BUD data'!A:F,6,)</f>
        <v>112.53681899999999</v>
      </c>
      <c r="C2074" s="51"/>
      <c r="D2074" s="51"/>
    </row>
    <row r="2075" spans="1:4" x14ac:dyDescent="0.45">
      <c r="A2075" s="7">
        <v>42997</v>
      </c>
      <c r="B2075" s="8">
        <f>VLOOKUP(Table1[[#This Row],[Date]],'BUD data'!A:F,6,)</f>
        <v>112.452545</v>
      </c>
      <c r="C2075" s="51"/>
      <c r="D2075" s="51"/>
    </row>
    <row r="2076" spans="1:4" x14ac:dyDescent="0.45">
      <c r="A2076" s="7">
        <v>42998</v>
      </c>
      <c r="B2076" s="8">
        <f>VLOOKUP(Table1[[#This Row],[Date]],'BUD data'!A:F,6,)</f>
        <v>110.598305</v>
      </c>
      <c r="C2076" s="51"/>
      <c r="D2076" s="51"/>
    </row>
    <row r="2077" spans="1:4" x14ac:dyDescent="0.45">
      <c r="A2077" s="7">
        <v>42999</v>
      </c>
      <c r="B2077" s="8">
        <f>VLOOKUP(Table1[[#This Row],[Date]],'BUD data'!A:F,6,)</f>
        <v>109.549454</v>
      </c>
      <c r="C2077" s="51"/>
      <c r="D2077" s="51"/>
    </row>
    <row r="2078" spans="1:4" x14ac:dyDescent="0.45">
      <c r="A2078" s="7">
        <v>43000</v>
      </c>
      <c r="B2078" s="8">
        <f>VLOOKUP(Table1[[#This Row],[Date]],'BUD data'!A:F,6,)</f>
        <v>108.996925</v>
      </c>
      <c r="C2078" s="51"/>
      <c r="D2078" s="51"/>
    </row>
    <row r="2079" spans="1:4" x14ac:dyDescent="0.45">
      <c r="A2079" s="7">
        <v>43003</v>
      </c>
      <c r="B2079" s="8">
        <f>VLOOKUP(Table1[[#This Row],[Date]],'BUD data'!A:F,6,)</f>
        <v>109.418335</v>
      </c>
      <c r="C2079" s="51"/>
      <c r="D2079" s="51"/>
    </row>
    <row r="2080" spans="1:4" x14ac:dyDescent="0.45">
      <c r="A2080" s="7">
        <v>43004</v>
      </c>
      <c r="B2080" s="8">
        <f>VLOOKUP(Table1[[#This Row],[Date]],'BUD data'!A:F,6,)</f>
        <v>110.02705400000001</v>
      </c>
      <c r="C2080" s="51"/>
      <c r="D2080" s="51"/>
    </row>
    <row r="2081" spans="1:4" x14ac:dyDescent="0.45">
      <c r="A2081" s="7">
        <v>43005</v>
      </c>
      <c r="B2081" s="8">
        <f>VLOOKUP(Table1[[#This Row],[Date]],'BUD data'!A:F,6,)</f>
        <v>110.972893</v>
      </c>
      <c r="C2081" s="51"/>
      <c r="D2081" s="51"/>
    </row>
    <row r="2082" spans="1:4" x14ac:dyDescent="0.45">
      <c r="A2082" s="7">
        <v>43006</v>
      </c>
      <c r="B2082" s="8">
        <f>VLOOKUP(Table1[[#This Row],[Date]],'BUD data'!A:F,6,)</f>
        <v>111.441132</v>
      </c>
      <c r="C2082" s="51"/>
      <c r="D2082" s="51"/>
    </row>
    <row r="2083" spans="1:4" x14ac:dyDescent="0.45">
      <c r="A2083" s="7">
        <v>43007</v>
      </c>
      <c r="B2083" s="8">
        <f>VLOOKUP(Table1[[#This Row],[Date]],'BUD data'!A:F,6,)</f>
        <v>111.722092</v>
      </c>
      <c r="C2083" s="51"/>
      <c r="D2083" s="51"/>
    </row>
    <row r="2084" spans="1:4" x14ac:dyDescent="0.45">
      <c r="A2084" s="7">
        <v>43010</v>
      </c>
      <c r="B2084" s="8">
        <f>VLOOKUP(Table1[[#This Row],[Date]],'BUD data'!A:F,6,)</f>
        <v>111.422409</v>
      </c>
      <c r="C2084" s="51"/>
      <c r="D2084" s="51"/>
    </row>
    <row r="2085" spans="1:4" x14ac:dyDescent="0.45">
      <c r="A2085" s="7">
        <v>43011</v>
      </c>
      <c r="B2085" s="8">
        <f>VLOOKUP(Table1[[#This Row],[Date]],'BUD data'!A:F,6,)</f>
        <v>112.452545</v>
      </c>
      <c r="C2085" s="51"/>
      <c r="D2085" s="51"/>
    </row>
    <row r="2086" spans="1:4" x14ac:dyDescent="0.45">
      <c r="A2086" s="7">
        <v>43012</v>
      </c>
      <c r="B2086" s="8">
        <f>VLOOKUP(Table1[[#This Row],[Date]],'BUD data'!A:F,6,)</f>
        <v>113.267273</v>
      </c>
      <c r="C2086" s="51"/>
      <c r="D2086" s="51"/>
    </row>
    <row r="2087" spans="1:4" x14ac:dyDescent="0.45">
      <c r="A2087" s="7">
        <v>43013</v>
      </c>
      <c r="B2087" s="8">
        <f>VLOOKUP(Table1[[#This Row],[Date]],'BUD data'!A:F,6,)</f>
        <v>114.79373200000001</v>
      </c>
      <c r="C2087" s="51"/>
      <c r="D2087" s="51"/>
    </row>
    <row r="2088" spans="1:4" x14ac:dyDescent="0.45">
      <c r="A2088" s="7">
        <v>43014</v>
      </c>
      <c r="B2088" s="8">
        <f>VLOOKUP(Table1[[#This Row],[Date]],'BUD data'!A:F,6,)</f>
        <v>113.88535299999999</v>
      </c>
      <c r="C2088" s="51"/>
      <c r="D2088" s="51"/>
    </row>
    <row r="2089" spans="1:4" x14ac:dyDescent="0.45">
      <c r="A2089" s="7">
        <v>43017</v>
      </c>
      <c r="B2089" s="8">
        <f>VLOOKUP(Table1[[#This Row],[Date]],'BUD data'!A:F,6,)</f>
        <v>114.625175</v>
      </c>
      <c r="C2089" s="51"/>
      <c r="D2089" s="51"/>
    </row>
    <row r="2090" spans="1:4" x14ac:dyDescent="0.45">
      <c r="A2090" s="7">
        <v>43018</v>
      </c>
      <c r="B2090" s="8">
        <f>VLOOKUP(Table1[[#This Row],[Date]],'BUD data'!A:F,6,)</f>
        <v>116.217178</v>
      </c>
      <c r="C2090" s="51"/>
      <c r="D2090" s="51"/>
    </row>
    <row r="2091" spans="1:4" x14ac:dyDescent="0.45">
      <c r="A2091" s="7">
        <v>43019</v>
      </c>
      <c r="B2091" s="8">
        <f>VLOOKUP(Table1[[#This Row],[Date]],'BUD data'!A:F,6,)</f>
        <v>116.29209899999999</v>
      </c>
      <c r="C2091" s="51"/>
      <c r="D2091" s="51"/>
    </row>
    <row r="2092" spans="1:4" x14ac:dyDescent="0.45">
      <c r="A2092" s="7">
        <v>43020</v>
      </c>
      <c r="B2092" s="8">
        <f>VLOOKUP(Table1[[#This Row],[Date]],'BUD data'!A:F,6,)</f>
        <v>116.704155</v>
      </c>
      <c r="C2092" s="51"/>
      <c r="D2092" s="51"/>
    </row>
    <row r="2093" spans="1:4" x14ac:dyDescent="0.45">
      <c r="A2093" s="7">
        <v>43021</v>
      </c>
      <c r="B2093" s="8">
        <f>VLOOKUP(Table1[[#This Row],[Date]],'BUD data'!A:F,6,)</f>
        <v>117.397156</v>
      </c>
      <c r="C2093" s="51"/>
      <c r="D2093" s="51"/>
    </row>
    <row r="2094" spans="1:4" x14ac:dyDescent="0.45">
      <c r="A2094" s="7">
        <v>43024</v>
      </c>
      <c r="B2094" s="8">
        <f>VLOOKUP(Table1[[#This Row],[Date]],'BUD data'!A:F,6,)</f>
        <v>117.734283</v>
      </c>
      <c r="C2094" s="51"/>
      <c r="D2094" s="51"/>
    </row>
    <row r="2095" spans="1:4" x14ac:dyDescent="0.45">
      <c r="A2095" s="7">
        <v>43025</v>
      </c>
      <c r="B2095" s="8">
        <f>VLOOKUP(Table1[[#This Row],[Date]],'BUD data'!A:F,6,)</f>
        <v>118.01522799999999</v>
      </c>
      <c r="C2095" s="51"/>
      <c r="D2095" s="51"/>
    </row>
    <row r="2096" spans="1:4" x14ac:dyDescent="0.45">
      <c r="A2096" s="7">
        <v>43026</v>
      </c>
      <c r="B2096" s="8">
        <f>VLOOKUP(Table1[[#This Row],[Date]],'BUD data'!A:F,6,)</f>
        <v>117.80920399999999</v>
      </c>
      <c r="C2096" s="51"/>
      <c r="D2096" s="51"/>
    </row>
    <row r="2097" spans="1:4" x14ac:dyDescent="0.45">
      <c r="A2097" s="7">
        <v>43027</v>
      </c>
      <c r="B2097" s="8">
        <f>VLOOKUP(Table1[[#This Row],[Date]],'BUD data'!A:F,6,)</f>
        <v>117.940315</v>
      </c>
      <c r="C2097" s="51"/>
      <c r="D2097" s="51"/>
    </row>
    <row r="2098" spans="1:4" x14ac:dyDescent="0.45">
      <c r="A2098" s="7">
        <v>43028</v>
      </c>
      <c r="B2098" s="8">
        <f>VLOOKUP(Table1[[#This Row],[Date]],'BUD data'!A:F,6,)</f>
        <v>117.51889</v>
      </c>
      <c r="C2098" s="51"/>
      <c r="D2098" s="51"/>
    </row>
    <row r="2099" spans="1:4" x14ac:dyDescent="0.45">
      <c r="A2099" s="7">
        <v>43031</v>
      </c>
      <c r="B2099" s="8">
        <f>VLOOKUP(Table1[[#This Row],[Date]],'BUD data'!A:F,6,)</f>
        <v>117.15366400000001</v>
      </c>
      <c r="C2099" s="51"/>
      <c r="D2099" s="51"/>
    </row>
    <row r="2100" spans="1:4" x14ac:dyDescent="0.45">
      <c r="A2100" s="7">
        <v>43032</v>
      </c>
      <c r="B2100" s="8">
        <f>VLOOKUP(Table1[[#This Row],[Date]],'BUD data'!A:F,6,)</f>
        <v>116.123535</v>
      </c>
      <c r="C2100" s="51"/>
      <c r="D2100" s="51"/>
    </row>
    <row r="2101" spans="1:4" x14ac:dyDescent="0.45">
      <c r="A2101" s="7">
        <v>43033</v>
      </c>
      <c r="B2101" s="8">
        <f>VLOOKUP(Table1[[#This Row],[Date]],'BUD data'!A:F,6,)</f>
        <v>113.838516</v>
      </c>
      <c r="C2101" s="51"/>
      <c r="D2101" s="51"/>
    </row>
    <row r="2102" spans="1:4" x14ac:dyDescent="0.45">
      <c r="A2102" s="7">
        <v>43034</v>
      </c>
      <c r="B2102" s="8">
        <f>VLOOKUP(Table1[[#This Row],[Date]],'BUD data'!A:F,6,)</f>
        <v>112.761574</v>
      </c>
      <c r="C2102" s="51"/>
      <c r="D2102" s="51"/>
    </row>
    <row r="2103" spans="1:4" x14ac:dyDescent="0.45">
      <c r="A2103" s="7">
        <v>43035</v>
      </c>
      <c r="B2103" s="8">
        <f>VLOOKUP(Table1[[#This Row],[Date]],'BUD data'!A:F,6,)</f>
        <v>112.087311</v>
      </c>
      <c r="C2103" s="51"/>
      <c r="D2103" s="51"/>
    </row>
    <row r="2104" spans="1:4" x14ac:dyDescent="0.45">
      <c r="A2104" s="7">
        <v>43038</v>
      </c>
      <c r="B2104" s="8">
        <f>VLOOKUP(Table1[[#This Row],[Date]],'BUD data'!A:F,6,)</f>
        <v>113.136162</v>
      </c>
      <c r="C2104" s="51"/>
      <c r="D2104" s="51"/>
    </row>
    <row r="2105" spans="1:4" x14ac:dyDescent="0.45">
      <c r="A2105" s="7">
        <v>43039</v>
      </c>
      <c r="B2105" s="8">
        <f>VLOOKUP(Table1[[#This Row],[Date]],'BUD data'!A:F,6,)</f>
        <v>114.981026</v>
      </c>
      <c r="C2105" s="51"/>
      <c r="D2105" s="51"/>
    </row>
    <row r="2106" spans="1:4" x14ac:dyDescent="0.45">
      <c r="A2106" s="7">
        <v>43040</v>
      </c>
      <c r="B2106" s="8">
        <f>VLOOKUP(Table1[[#This Row],[Date]],'BUD data'!A:F,6,)</f>
        <v>114.381676</v>
      </c>
      <c r="C2106" s="51"/>
      <c r="D2106" s="51"/>
    </row>
    <row r="2107" spans="1:4" x14ac:dyDescent="0.45">
      <c r="A2107" s="7">
        <v>43041</v>
      </c>
      <c r="B2107" s="8">
        <f>VLOOKUP(Table1[[#This Row],[Date]],'BUD data'!A:F,6,)</f>
        <v>113.248543</v>
      </c>
      <c r="C2107" s="51"/>
      <c r="D2107" s="51"/>
    </row>
    <row r="2108" spans="1:4" x14ac:dyDescent="0.45">
      <c r="A2108" s="7">
        <v>43042</v>
      </c>
      <c r="B2108" s="8">
        <f>VLOOKUP(Table1[[#This Row],[Date]],'BUD data'!A:F,6,)</f>
        <v>113.99773399999999</v>
      </c>
      <c r="C2108" s="51"/>
      <c r="D2108" s="51"/>
    </row>
    <row r="2109" spans="1:4" x14ac:dyDescent="0.45">
      <c r="A2109" s="7">
        <v>43045</v>
      </c>
      <c r="B2109" s="8">
        <f>VLOOKUP(Table1[[#This Row],[Date]],'BUD data'!A:F,6,)</f>
        <v>112.920776</v>
      </c>
      <c r="C2109" s="51"/>
      <c r="D2109" s="51"/>
    </row>
    <row r="2110" spans="1:4" x14ac:dyDescent="0.45">
      <c r="A2110" s="7">
        <v>43046</v>
      </c>
      <c r="B2110" s="8">
        <f>VLOOKUP(Table1[[#This Row],[Date]],'BUD data'!A:F,6,)</f>
        <v>111.12273399999999</v>
      </c>
      <c r="C2110" s="51"/>
      <c r="D2110" s="51"/>
    </row>
    <row r="2111" spans="1:4" x14ac:dyDescent="0.45">
      <c r="A2111" s="7">
        <v>43047</v>
      </c>
      <c r="B2111" s="8">
        <f>VLOOKUP(Table1[[#This Row],[Date]],'BUD data'!A:F,6,)</f>
        <v>110.645134</v>
      </c>
      <c r="C2111" s="51"/>
      <c r="D2111" s="51"/>
    </row>
    <row r="2112" spans="1:4" x14ac:dyDescent="0.45">
      <c r="A2112" s="7">
        <v>43048</v>
      </c>
      <c r="B2112" s="8">
        <f>VLOOKUP(Table1[[#This Row],[Date]],'BUD data'!A:F,6,)</f>
        <v>110.691956</v>
      </c>
      <c r="C2112" s="51"/>
      <c r="D2112" s="51"/>
    </row>
    <row r="2113" spans="1:4" x14ac:dyDescent="0.45">
      <c r="A2113" s="7">
        <v>43049</v>
      </c>
      <c r="B2113" s="8">
        <f>VLOOKUP(Table1[[#This Row],[Date]],'BUD data'!A:F,6,)</f>
        <v>110.654495</v>
      </c>
      <c r="C2113" s="51"/>
      <c r="D2113" s="51"/>
    </row>
    <row r="2114" spans="1:4" x14ac:dyDescent="0.45">
      <c r="A2114" s="7">
        <v>43052</v>
      </c>
      <c r="B2114" s="8">
        <f>VLOOKUP(Table1[[#This Row],[Date]],'BUD data'!A:F,6,)</f>
        <v>110.289261</v>
      </c>
      <c r="C2114" s="51"/>
      <c r="D2114" s="51"/>
    </row>
    <row r="2115" spans="1:4" x14ac:dyDescent="0.45">
      <c r="A2115" s="7">
        <v>43053</v>
      </c>
      <c r="B2115" s="8">
        <f>VLOOKUP(Table1[[#This Row],[Date]],'BUD data'!A:F,6,)</f>
        <v>109.197952</v>
      </c>
      <c r="C2115" s="51"/>
      <c r="D2115" s="51"/>
    </row>
    <row r="2116" spans="1:4" x14ac:dyDescent="0.45">
      <c r="A2116" s="7">
        <v>43054</v>
      </c>
      <c r="B2116" s="8">
        <f>VLOOKUP(Table1[[#This Row],[Date]],'BUD data'!A:F,6,)</f>
        <v>107.989609</v>
      </c>
      <c r="C2116" s="51"/>
      <c r="D2116" s="51"/>
    </row>
    <row r="2117" spans="1:4" x14ac:dyDescent="0.45">
      <c r="A2117" s="7">
        <v>43055</v>
      </c>
      <c r="B2117" s="8">
        <f>VLOOKUP(Table1[[#This Row],[Date]],'BUD data'!A:F,6,)</f>
        <v>109.33116099999999</v>
      </c>
      <c r="C2117" s="51"/>
      <c r="D2117" s="51"/>
    </row>
    <row r="2118" spans="1:4" x14ac:dyDescent="0.45">
      <c r="A2118" s="7">
        <v>43056</v>
      </c>
      <c r="B2118" s="8">
        <f>VLOOKUP(Table1[[#This Row],[Date]],'BUD data'!A:F,6,)</f>
        <v>109.40728</v>
      </c>
      <c r="C2118" s="51"/>
      <c r="D2118" s="51"/>
    </row>
    <row r="2119" spans="1:4" x14ac:dyDescent="0.45">
      <c r="A2119" s="7">
        <v>43059</v>
      </c>
      <c r="B2119" s="8">
        <f>VLOOKUP(Table1[[#This Row],[Date]],'BUD data'!A:F,6,)</f>
        <v>109.92105100000001</v>
      </c>
      <c r="C2119" s="51"/>
      <c r="D2119" s="51"/>
    </row>
    <row r="2120" spans="1:4" x14ac:dyDescent="0.45">
      <c r="A2120" s="7">
        <v>43060</v>
      </c>
      <c r="B2120" s="8">
        <f>VLOOKUP(Table1[[#This Row],[Date]],'BUD data'!A:F,6,)</f>
        <v>110.006691</v>
      </c>
      <c r="C2120" s="51"/>
      <c r="D2120" s="51"/>
    </row>
    <row r="2121" spans="1:4" x14ac:dyDescent="0.45">
      <c r="A2121" s="7">
        <v>43061</v>
      </c>
      <c r="B2121" s="8">
        <f>VLOOKUP(Table1[[#This Row],[Date]],'BUD data'!A:F,6,)</f>
        <v>110.130379</v>
      </c>
      <c r="C2121" s="51"/>
      <c r="D2121" s="51"/>
    </row>
    <row r="2122" spans="1:4" x14ac:dyDescent="0.45">
      <c r="A2122" s="7">
        <v>43063</v>
      </c>
      <c r="B2122" s="8">
        <f>VLOOKUP(Table1[[#This Row],[Date]],'BUD data'!A:F,6,)</f>
        <v>111.852501</v>
      </c>
      <c r="C2122" s="51"/>
      <c r="D2122" s="51"/>
    </row>
    <row r="2123" spans="1:4" x14ac:dyDescent="0.45">
      <c r="A2123" s="7">
        <v>43066</v>
      </c>
      <c r="B2123" s="8">
        <f>VLOOKUP(Table1[[#This Row],[Date]],'BUD data'!A:F,6,)</f>
        <v>111.80493199999999</v>
      </c>
      <c r="C2123" s="51"/>
      <c r="D2123" s="51"/>
    </row>
    <row r="2124" spans="1:4" x14ac:dyDescent="0.45">
      <c r="A2124" s="7">
        <v>43067</v>
      </c>
      <c r="B2124" s="8">
        <f>VLOOKUP(Table1[[#This Row],[Date]],'BUD data'!A:F,6,)</f>
        <v>111.738327</v>
      </c>
      <c r="C2124" s="51"/>
      <c r="D2124" s="51"/>
    </row>
    <row r="2125" spans="1:4" x14ac:dyDescent="0.45">
      <c r="A2125" s="7">
        <v>43068</v>
      </c>
      <c r="B2125" s="8">
        <f>VLOOKUP(Table1[[#This Row],[Date]],'BUD data'!A:F,6,)</f>
        <v>110.26358</v>
      </c>
      <c r="C2125" s="51"/>
      <c r="D2125" s="51"/>
    </row>
    <row r="2126" spans="1:4" x14ac:dyDescent="0.45">
      <c r="A2126" s="7">
        <v>43069</v>
      </c>
      <c r="B2126" s="8">
        <f>VLOOKUP(Table1[[#This Row],[Date]],'BUD data'!A:F,6,)</f>
        <v>108.931541</v>
      </c>
      <c r="C2126" s="51"/>
      <c r="D2126" s="51"/>
    </row>
    <row r="2127" spans="1:4" x14ac:dyDescent="0.45">
      <c r="A2127" s="7">
        <v>43070</v>
      </c>
      <c r="B2127" s="8">
        <f>VLOOKUP(Table1[[#This Row],[Date]],'BUD data'!A:F,6,)</f>
        <v>109.854454</v>
      </c>
      <c r="C2127" s="51"/>
      <c r="D2127" s="51"/>
    </row>
    <row r="2128" spans="1:4" x14ac:dyDescent="0.45">
      <c r="A2128" s="7">
        <v>43073</v>
      </c>
      <c r="B2128" s="8">
        <f>VLOOKUP(Table1[[#This Row],[Date]],'BUD data'!A:F,6,)</f>
        <v>109.806892</v>
      </c>
      <c r="C2128" s="51"/>
      <c r="D2128" s="51"/>
    </row>
    <row r="2129" spans="1:4" x14ac:dyDescent="0.45">
      <c r="A2129" s="7">
        <v>43074</v>
      </c>
      <c r="B2129" s="8">
        <f>VLOOKUP(Table1[[#This Row],[Date]],'BUD data'!A:F,6,)</f>
        <v>107.485344</v>
      </c>
      <c r="C2129" s="51"/>
      <c r="D2129" s="51"/>
    </row>
    <row r="2130" spans="1:4" x14ac:dyDescent="0.45">
      <c r="A2130" s="7">
        <v>43075</v>
      </c>
      <c r="B2130" s="8">
        <f>VLOOKUP(Table1[[#This Row],[Date]],'BUD data'!A:F,6,)</f>
        <v>107.513893</v>
      </c>
      <c r="C2130" s="51"/>
      <c r="D2130" s="51"/>
    </row>
    <row r="2131" spans="1:4" x14ac:dyDescent="0.45">
      <c r="A2131" s="7">
        <v>43076</v>
      </c>
      <c r="B2131" s="8">
        <f>VLOOKUP(Table1[[#This Row],[Date]],'BUD data'!A:F,6,)</f>
        <v>105.858368</v>
      </c>
      <c r="C2131" s="51"/>
      <c r="D2131" s="51"/>
    </row>
    <row r="2132" spans="1:4" x14ac:dyDescent="0.45">
      <c r="A2132" s="7">
        <v>43077</v>
      </c>
      <c r="B2132" s="8">
        <f>VLOOKUP(Table1[[#This Row],[Date]],'BUD data'!A:F,6,)</f>
        <v>106.25797300000001</v>
      </c>
      <c r="C2132" s="51"/>
      <c r="D2132" s="51"/>
    </row>
    <row r="2133" spans="1:4" x14ac:dyDescent="0.45">
      <c r="A2133" s="7">
        <v>43080</v>
      </c>
      <c r="B2133" s="8">
        <f>VLOOKUP(Table1[[#This Row],[Date]],'BUD data'!A:F,6,)</f>
        <v>106.010597</v>
      </c>
      <c r="C2133" s="51"/>
      <c r="D2133" s="51"/>
    </row>
    <row r="2134" spans="1:4" x14ac:dyDescent="0.45">
      <c r="A2134" s="7">
        <v>43081</v>
      </c>
      <c r="B2134" s="8">
        <f>VLOOKUP(Table1[[#This Row],[Date]],'BUD data'!A:F,6,)</f>
        <v>105.725166</v>
      </c>
      <c r="C2134" s="51"/>
      <c r="D2134" s="51"/>
    </row>
    <row r="2135" spans="1:4" x14ac:dyDescent="0.45">
      <c r="A2135" s="7">
        <v>43082</v>
      </c>
      <c r="B2135" s="8">
        <f>VLOOKUP(Table1[[#This Row],[Date]],'BUD data'!A:F,6,)</f>
        <v>105.52536000000001</v>
      </c>
      <c r="C2135" s="51"/>
      <c r="D2135" s="51"/>
    </row>
    <row r="2136" spans="1:4" x14ac:dyDescent="0.45">
      <c r="A2136" s="7">
        <v>43083</v>
      </c>
      <c r="B2136" s="8">
        <f>VLOOKUP(Table1[[#This Row],[Date]],'BUD data'!A:F,6,)</f>
        <v>105.135262</v>
      </c>
      <c r="C2136" s="51"/>
      <c r="D2136" s="51"/>
    </row>
    <row r="2137" spans="1:4" x14ac:dyDescent="0.45">
      <c r="A2137" s="7">
        <v>43084</v>
      </c>
      <c r="B2137" s="8">
        <f>VLOOKUP(Table1[[#This Row],[Date]],'BUD data'!A:F,6,)</f>
        <v>105.24943500000001</v>
      </c>
      <c r="C2137" s="51"/>
      <c r="D2137" s="51"/>
    </row>
    <row r="2138" spans="1:4" x14ac:dyDescent="0.45">
      <c r="A2138" s="7">
        <v>43087</v>
      </c>
      <c r="B2138" s="8">
        <f>VLOOKUP(Table1[[#This Row],[Date]],'BUD data'!A:F,6,)</f>
        <v>106.020111</v>
      </c>
      <c r="C2138" s="51"/>
      <c r="D2138" s="51"/>
    </row>
    <row r="2139" spans="1:4" x14ac:dyDescent="0.45">
      <c r="A2139" s="7">
        <v>43088</v>
      </c>
      <c r="B2139" s="8">
        <f>VLOOKUP(Table1[[#This Row],[Date]],'BUD data'!A:F,6,)</f>
        <v>106.353111</v>
      </c>
      <c r="C2139" s="51"/>
      <c r="D2139" s="51"/>
    </row>
    <row r="2140" spans="1:4" x14ac:dyDescent="0.45">
      <c r="A2140" s="7">
        <v>43089</v>
      </c>
      <c r="B2140" s="8">
        <f>VLOOKUP(Table1[[#This Row],[Date]],'BUD data'!A:F,6,)</f>
        <v>106.210396</v>
      </c>
      <c r="C2140" s="51"/>
      <c r="D2140" s="51"/>
    </row>
    <row r="2141" spans="1:4" x14ac:dyDescent="0.45">
      <c r="A2141" s="7">
        <v>43090</v>
      </c>
      <c r="B2141" s="8">
        <f>VLOOKUP(Table1[[#This Row],[Date]],'BUD data'!A:F,6,)</f>
        <v>105.94399300000001</v>
      </c>
      <c r="C2141" s="51"/>
      <c r="D2141" s="51"/>
    </row>
    <row r="2142" spans="1:4" x14ac:dyDescent="0.45">
      <c r="A2142" s="7">
        <v>43091</v>
      </c>
      <c r="B2142" s="8">
        <f>VLOOKUP(Table1[[#This Row],[Date]],'BUD data'!A:F,6,)</f>
        <v>106.143799</v>
      </c>
      <c r="C2142" s="51"/>
      <c r="D2142" s="51"/>
    </row>
    <row r="2143" spans="1:4" x14ac:dyDescent="0.45">
      <c r="A2143" s="7">
        <v>43095</v>
      </c>
      <c r="B2143" s="8">
        <f>VLOOKUP(Table1[[#This Row],[Date]],'BUD data'!A:F,6,)</f>
        <v>106.00108299999999</v>
      </c>
      <c r="C2143" s="51"/>
      <c r="D2143" s="51"/>
    </row>
    <row r="2144" spans="1:4" x14ac:dyDescent="0.45">
      <c r="A2144" s="7">
        <v>43096</v>
      </c>
      <c r="B2144" s="8">
        <f>VLOOKUP(Table1[[#This Row],[Date]],'BUD data'!A:F,6,)</f>
        <v>106.705162</v>
      </c>
      <c r="C2144" s="51"/>
      <c r="D2144" s="51"/>
    </row>
    <row r="2145" spans="1:4" x14ac:dyDescent="0.45">
      <c r="A2145" s="7">
        <v>43097</v>
      </c>
      <c r="B2145" s="8">
        <f>VLOOKUP(Table1[[#This Row],[Date]],'BUD data'!A:F,6,)</f>
        <v>105.858368</v>
      </c>
      <c r="C2145" s="51"/>
      <c r="D2145" s="51"/>
    </row>
    <row r="2146" spans="1:4" x14ac:dyDescent="0.45">
      <c r="A2146" s="7">
        <v>43098</v>
      </c>
      <c r="B2146" s="8">
        <f>VLOOKUP(Table1[[#This Row],[Date]],'BUD data'!A:F,6,)</f>
        <v>106.143799</v>
      </c>
      <c r="C2146" s="51"/>
      <c r="D2146" s="51"/>
    </row>
    <row r="2147" spans="1:4" x14ac:dyDescent="0.45">
      <c r="A2147" s="7">
        <v>43102</v>
      </c>
      <c r="B2147" s="8">
        <f>VLOOKUP(Table1[[#This Row],[Date]],'BUD data'!A:F,6,)</f>
        <v>106.962051</v>
      </c>
      <c r="C2147" s="51"/>
      <c r="D2147" s="51"/>
    </row>
    <row r="2148" spans="1:4" x14ac:dyDescent="0.45">
      <c r="A2148" s="7">
        <v>43103</v>
      </c>
      <c r="B2148" s="8">
        <f>VLOOKUP(Table1[[#This Row],[Date]],'BUD data'!A:F,6,)</f>
        <v>107.78981</v>
      </c>
      <c r="C2148" s="51"/>
      <c r="D2148" s="51"/>
    </row>
    <row r="2149" spans="1:4" x14ac:dyDescent="0.45">
      <c r="A2149" s="7">
        <v>43104</v>
      </c>
      <c r="B2149" s="8">
        <f>VLOOKUP(Table1[[#This Row],[Date]],'BUD data'!A:F,6,)</f>
        <v>108.084755</v>
      </c>
      <c r="C2149" s="51"/>
      <c r="D2149" s="51"/>
    </row>
    <row r="2150" spans="1:4" x14ac:dyDescent="0.45">
      <c r="A2150" s="7">
        <v>43105</v>
      </c>
      <c r="B2150" s="8">
        <f>VLOOKUP(Table1[[#This Row],[Date]],'BUD data'!A:F,6,)</f>
        <v>109.169411</v>
      </c>
      <c r="C2150" s="51"/>
      <c r="D2150" s="51"/>
    </row>
    <row r="2151" spans="1:4" x14ac:dyDescent="0.45">
      <c r="A2151" s="7">
        <v>43108</v>
      </c>
      <c r="B2151" s="8">
        <f>VLOOKUP(Table1[[#This Row],[Date]],'BUD data'!A:F,6,)</f>
        <v>108.41776299999999</v>
      </c>
      <c r="C2151" s="51"/>
      <c r="D2151" s="51"/>
    </row>
    <row r="2152" spans="1:4" x14ac:dyDescent="0.45">
      <c r="A2152" s="7">
        <v>43109</v>
      </c>
      <c r="B2152" s="8">
        <f>VLOOKUP(Table1[[#This Row],[Date]],'BUD data'!A:F,6,)</f>
        <v>108.77932</v>
      </c>
      <c r="C2152" s="51"/>
      <c r="D2152" s="51"/>
    </row>
    <row r="2153" spans="1:4" x14ac:dyDescent="0.45">
      <c r="A2153" s="7">
        <v>43110</v>
      </c>
      <c r="B2153" s="8">
        <f>VLOOKUP(Table1[[#This Row],[Date]],'BUD data'!A:F,6,)</f>
        <v>108.38922100000001</v>
      </c>
      <c r="C2153" s="51"/>
      <c r="D2153" s="51"/>
    </row>
    <row r="2154" spans="1:4" x14ac:dyDescent="0.45">
      <c r="A2154" s="7">
        <v>43111</v>
      </c>
      <c r="B2154" s="8">
        <f>VLOOKUP(Table1[[#This Row],[Date]],'BUD data'!A:F,6,)</f>
        <v>108.655624</v>
      </c>
      <c r="C2154" s="51"/>
      <c r="D2154" s="51"/>
    </row>
    <row r="2155" spans="1:4" x14ac:dyDescent="0.45">
      <c r="A2155" s="7">
        <v>43112</v>
      </c>
      <c r="B2155" s="8">
        <f>VLOOKUP(Table1[[#This Row],[Date]],'BUD data'!A:F,6,)</f>
        <v>109.32164</v>
      </c>
      <c r="C2155" s="51"/>
      <c r="D2155" s="51"/>
    </row>
    <row r="2156" spans="1:4" x14ac:dyDescent="0.45">
      <c r="A2156" s="7">
        <v>43116</v>
      </c>
      <c r="B2156" s="8">
        <f>VLOOKUP(Table1[[#This Row],[Date]],'BUD data'!A:F,6,)</f>
        <v>109.930573</v>
      </c>
      <c r="C2156" s="51"/>
      <c r="D2156" s="51"/>
    </row>
    <row r="2157" spans="1:4" x14ac:dyDescent="0.45">
      <c r="A2157" s="7">
        <v>43117</v>
      </c>
      <c r="B2157" s="8">
        <f>VLOOKUP(Table1[[#This Row],[Date]],'BUD data'!A:F,6,)</f>
        <v>110.34921300000001</v>
      </c>
      <c r="C2157" s="51"/>
      <c r="D2157" s="51"/>
    </row>
    <row r="2158" spans="1:4" x14ac:dyDescent="0.45">
      <c r="A2158" s="7">
        <v>43118</v>
      </c>
      <c r="B2158" s="8">
        <f>VLOOKUP(Table1[[#This Row],[Date]],'BUD data'!A:F,6,)</f>
        <v>109.530968</v>
      </c>
      <c r="C2158" s="51"/>
      <c r="D2158" s="51"/>
    </row>
    <row r="2159" spans="1:4" x14ac:dyDescent="0.45">
      <c r="A2159" s="7">
        <v>43119</v>
      </c>
      <c r="B2159" s="8">
        <f>VLOOKUP(Table1[[#This Row],[Date]],'BUD data'!A:F,6,)</f>
        <v>109.63562</v>
      </c>
      <c r="C2159" s="51"/>
      <c r="D2159" s="51"/>
    </row>
    <row r="2160" spans="1:4" x14ac:dyDescent="0.45">
      <c r="A2160" s="7">
        <v>43122</v>
      </c>
      <c r="B2160" s="8">
        <f>VLOOKUP(Table1[[#This Row],[Date]],'BUD data'!A:F,6,)</f>
        <v>109.626114</v>
      </c>
      <c r="C2160" s="51"/>
      <c r="D2160" s="51"/>
    </row>
    <row r="2161" spans="1:4" x14ac:dyDescent="0.45">
      <c r="A2161" s="7">
        <v>43123</v>
      </c>
      <c r="B2161" s="8">
        <f>VLOOKUP(Table1[[#This Row],[Date]],'BUD data'!A:F,6,)</f>
        <v>108.941063</v>
      </c>
      <c r="C2161" s="51"/>
      <c r="D2161" s="51"/>
    </row>
    <row r="2162" spans="1:4" x14ac:dyDescent="0.45">
      <c r="A2162" s="7">
        <v>43124</v>
      </c>
      <c r="B2162" s="8">
        <f>VLOOKUP(Table1[[#This Row],[Date]],'BUD data'!A:F,6,)</f>
        <v>108.70320100000001</v>
      </c>
      <c r="C2162" s="51"/>
      <c r="D2162" s="51"/>
    </row>
    <row r="2163" spans="1:4" x14ac:dyDescent="0.45">
      <c r="A2163" s="7">
        <v>43125</v>
      </c>
      <c r="B2163" s="8">
        <f>VLOOKUP(Table1[[#This Row],[Date]],'BUD data'!A:F,6,)</f>
        <v>108.160881</v>
      </c>
      <c r="C2163" s="51"/>
      <c r="D2163" s="51"/>
    </row>
    <row r="2164" spans="1:4" x14ac:dyDescent="0.45">
      <c r="A2164" s="7">
        <v>43126</v>
      </c>
      <c r="B2164" s="8">
        <f>VLOOKUP(Table1[[#This Row],[Date]],'BUD data'!A:F,6,)</f>
        <v>109.34066799999999</v>
      </c>
      <c r="C2164" s="51"/>
      <c r="D2164" s="51"/>
    </row>
    <row r="2165" spans="1:4" x14ac:dyDescent="0.45">
      <c r="A2165" s="7">
        <v>43129</v>
      </c>
      <c r="B2165" s="8">
        <f>VLOOKUP(Table1[[#This Row],[Date]],'BUD data'!A:F,6,)</f>
        <v>108.008636</v>
      </c>
      <c r="C2165" s="51"/>
      <c r="D2165" s="51"/>
    </row>
    <row r="2166" spans="1:4" x14ac:dyDescent="0.45">
      <c r="A2166" s="7">
        <v>43130</v>
      </c>
      <c r="B2166" s="8">
        <f>VLOOKUP(Table1[[#This Row],[Date]],'BUD data'!A:F,6,)</f>
        <v>107.456802</v>
      </c>
      <c r="C2166" s="51"/>
      <c r="D2166" s="51"/>
    </row>
    <row r="2167" spans="1:4" x14ac:dyDescent="0.45">
      <c r="A2167" s="7">
        <v>43131</v>
      </c>
      <c r="B2167" s="8">
        <f>VLOOKUP(Table1[[#This Row],[Date]],'BUD data'!A:F,6,)</f>
        <v>107.970589</v>
      </c>
      <c r="C2167" s="51"/>
      <c r="D2167" s="51"/>
    </row>
    <row r="2168" spans="1:4" x14ac:dyDescent="0.45">
      <c r="A2168" s="7">
        <v>43132</v>
      </c>
      <c r="B2168" s="8">
        <f>VLOOKUP(Table1[[#This Row],[Date]],'BUD data'!A:F,6,)</f>
        <v>108.560486</v>
      </c>
      <c r="C2168" s="51"/>
      <c r="D2168" s="51"/>
    </row>
    <row r="2169" spans="1:4" x14ac:dyDescent="0.45">
      <c r="A2169" s="7">
        <v>43133</v>
      </c>
      <c r="B2169" s="8">
        <f>VLOOKUP(Table1[[#This Row],[Date]],'BUD data'!A:F,6,)</f>
        <v>106.334091</v>
      </c>
      <c r="C2169" s="51"/>
      <c r="D2169" s="51"/>
    </row>
    <row r="2170" spans="1:4" x14ac:dyDescent="0.45">
      <c r="A2170" s="7">
        <v>43136</v>
      </c>
      <c r="B2170" s="8">
        <f>VLOOKUP(Table1[[#This Row],[Date]],'BUD data'!A:F,6,)</f>
        <v>101.776642</v>
      </c>
      <c r="C2170" s="51"/>
      <c r="D2170" s="51"/>
    </row>
    <row r="2171" spans="1:4" x14ac:dyDescent="0.45">
      <c r="A2171" s="7">
        <v>43137</v>
      </c>
      <c r="B2171" s="8">
        <f>VLOOKUP(Table1[[#This Row],[Date]],'BUD data'!A:F,6,)</f>
        <v>103.670036</v>
      </c>
      <c r="C2171" s="51"/>
      <c r="D2171" s="51"/>
    </row>
    <row r="2172" spans="1:4" x14ac:dyDescent="0.45">
      <c r="A2172" s="7">
        <v>43138</v>
      </c>
      <c r="B2172" s="8">
        <f>VLOOKUP(Table1[[#This Row],[Date]],'BUD data'!A:F,6,)</f>
        <v>101.871788</v>
      </c>
      <c r="C2172" s="51"/>
      <c r="D2172" s="51"/>
    </row>
    <row r="2173" spans="1:4" x14ac:dyDescent="0.45">
      <c r="A2173" s="7">
        <v>43139</v>
      </c>
      <c r="B2173" s="8">
        <f>VLOOKUP(Table1[[#This Row],[Date]],'BUD data'!A:F,6,)</f>
        <v>98.570250999999999</v>
      </c>
      <c r="C2173" s="51"/>
      <c r="D2173" s="51"/>
    </row>
    <row r="2174" spans="1:4" x14ac:dyDescent="0.45">
      <c r="A2174" s="7">
        <v>43140</v>
      </c>
      <c r="B2174" s="8">
        <f>VLOOKUP(Table1[[#This Row],[Date]],'BUD data'!A:F,6,)</f>
        <v>98.142105000000001</v>
      </c>
      <c r="C2174" s="51"/>
      <c r="D2174" s="51"/>
    </row>
    <row r="2175" spans="1:4" x14ac:dyDescent="0.45">
      <c r="A2175" s="7">
        <v>43143</v>
      </c>
      <c r="B2175" s="8">
        <f>VLOOKUP(Table1[[#This Row],[Date]],'BUD data'!A:F,6,)</f>
        <v>99.141129000000006</v>
      </c>
      <c r="C2175" s="51"/>
      <c r="D2175" s="51"/>
    </row>
    <row r="2176" spans="1:4" x14ac:dyDescent="0.45">
      <c r="A2176" s="7">
        <v>43144</v>
      </c>
      <c r="B2176" s="8">
        <f>VLOOKUP(Table1[[#This Row],[Date]],'BUD data'!A:F,6,)</f>
        <v>98.760543999999996</v>
      </c>
      <c r="C2176" s="51"/>
      <c r="D2176" s="51"/>
    </row>
    <row r="2177" spans="1:4" x14ac:dyDescent="0.45">
      <c r="A2177" s="7">
        <v>43145</v>
      </c>
      <c r="B2177" s="8">
        <f>VLOOKUP(Table1[[#This Row],[Date]],'BUD data'!A:F,6,)</f>
        <v>99.141129000000006</v>
      </c>
      <c r="C2177" s="51"/>
      <c r="D2177" s="51"/>
    </row>
    <row r="2178" spans="1:4" x14ac:dyDescent="0.45">
      <c r="A2178" s="7">
        <v>43146</v>
      </c>
      <c r="B2178" s="8">
        <f>VLOOKUP(Table1[[#This Row],[Date]],'BUD data'!A:F,6,)</f>
        <v>99.578795999999997</v>
      </c>
      <c r="C2178" s="51"/>
      <c r="D2178" s="51"/>
    </row>
    <row r="2179" spans="1:4" x14ac:dyDescent="0.45">
      <c r="A2179" s="7">
        <v>43147</v>
      </c>
      <c r="B2179" s="8">
        <f>VLOOKUP(Table1[[#This Row],[Date]],'BUD data'!A:F,6,)</f>
        <v>100.967911</v>
      </c>
      <c r="C2179" s="51"/>
      <c r="D2179" s="51"/>
    </row>
    <row r="2180" spans="1:4" x14ac:dyDescent="0.45">
      <c r="A2180" s="7">
        <v>43151</v>
      </c>
      <c r="B2180" s="8">
        <f>VLOOKUP(Table1[[#This Row],[Date]],'BUD data'!A:F,6,)</f>
        <v>100.235291</v>
      </c>
      <c r="C2180" s="51"/>
      <c r="D2180" s="51"/>
    </row>
    <row r="2181" spans="1:4" x14ac:dyDescent="0.45">
      <c r="A2181" s="7">
        <v>43152</v>
      </c>
      <c r="B2181" s="8">
        <f>VLOOKUP(Table1[[#This Row],[Date]],'BUD data'!A:F,6,)</f>
        <v>99.959372999999999</v>
      </c>
      <c r="C2181" s="51"/>
      <c r="D2181" s="51"/>
    </row>
    <row r="2182" spans="1:4" x14ac:dyDescent="0.45">
      <c r="A2182" s="7">
        <v>43153</v>
      </c>
      <c r="B2182" s="8">
        <f>VLOOKUP(Table1[[#This Row],[Date]],'BUD data'!A:F,6,)</f>
        <v>100.22577699999999</v>
      </c>
      <c r="C2182" s="51"/>
      <c r="D2182" s="51"/>
    </row>
    <row r="2183" spans="1:4" x14ac:dyDescent="0.45">
      <c r="A2183" s="7">
        <v>43154</v>
      </c>
      <c r="B2183" s="8">
        <f>VLOOKUP(Table1[[#This Row],[Date]],'BUD data'!A:F,6,)</f>
        <v>102.04304500000001</v>
      </c>
      <c r="C2183" s="51"/>
      <c r="D2183" s="51"/>
    </row>
    <row r="2184" spans="1:4" x14ac:dyDescent="0.45">
      <c r="A2184" s="7">
        <v>43157</v>
      </c>
      <c r="B2184" s="8">
        <f>VLOOKUP(Table1[[#This Row],[Date]],'BUD data'!A:F,6,)</f>
        <v>103.708084</v>
      </c>
      <c r="C2184" s="51"/>
      <c r="D2184" s="51"/>
    </row>
    <row r="2185" spans="1:4" x14ac:dyDescent="0.45">
      <c r="A2185" s="7">
        <v>43158</v>
      </c>
      <c r="B2185" s="8">
        <f>VLOOKUP(Table1[[#This Row],[Date]],'BUD data'!A:F,6,)</f>
        <v>101.08208500000001</v>
      </c>
      <c r="C2185" s="51"/>
      <c r="D2185" s="51"/>
    </row>
    <row r="2186" spans="1:4" x14ac:dyDescent="0.45">
      <c r="A2186" s="7">
        <v>43159</v>
      </c>
      <c r="B2186" s="8">
        <f>VLOOKUP(Table1[[#This Row],[Date]],'BUD data'!A:F,6,)</f>
        <v>101.02499400000001</v>
      </c>
      <c r="C2186" s="51"/>
      <c r="D2186" s="51"/>
    </row>
    <row r="2187" spans="1:4" x14ac:dyDescent="0.45">
      <c r="A2187" s="7">
        <v>43160</v>
      </c>
      <c r="B2187" s="8">
        <f>VLOOKUP(Table1[[#This Row],[Date]],'BUD data'!A:F,6,)</f>
        <v>104.13623</v>
      </c>
      <c r="C2187" s="51"/>
      <c r="D2187" s="51"/>
    </row>
    <row r="2188" spans="1:4" x14ac:dyDescent="0.45">
      <c r="A2188" s="7">
        <v>43161</v>
      </c>
      <c r="B2188" s="8">
        <f>VLOOKUP(Table1[[#This Row],[Date]],'BUD data'!A:F,6,)</f>
        <v>105.258949</v>
      </c>
      <c r="C2188" s="51"/>
      <c r="D2188" s="51"/>
    </row>
    <row r="2189" spans="1:4" x14ac:dyDescent="0.45">
      <c r="A2189" s="7">
        <v>43164</v>
      </c>
      <c r="B2189" s="8">
        <f>VLOOKUP(Table1[[#This Row],[Date]],'BUD data'!A:F,6,)</f>
        <v>106.238945</v>
      </c>
      <c r="C2189" s="51"/>
      <c r="D2189" s="51"/>
    </row>
    <row r="2190" spans="1:4" x14ac:dyDescent="0.45">
      <c r="A2190" s="7">
        <v>43165</v>
      </c>
      <c r="B2190" s="8">
        <f>VLOOKUP(Table1[[#This Row],[Date]],'BUD data'!A:F,6,)</f>
        <v>107.285538</v>
      </c>
      <c r="C2190" s="51"/>
      <c r="D2190" s="51"/>
    </row>
    <row r="2191" spans="1:4" x14ac:dyDescent="0.45">
      <c r="A2191" s="7">
        <v>43166</v>
      </c>
      <c r="B2191" s="8">
        <f>VLOOKUP(Table1[[#This Row],[Date]],'BUD data'!A:F,6,)</f>
        <v>107.33311500000001</v>
      </c>
      <c r="C2191" s="51"/>
      <c r="D2191" s="51"/>
    </row>
    <row r="2192" spans="1:4" x14ac:dyDescent="0.45">
      <c r="A2192" s="7">
        <v>43167</v>
      </c>
      <c r="B2192" s="8">
        <f>VLOOKUP(Table1[[#This Row],[Date]],'BUD data'!A:F,6,)</f>
        <v>109.645134</v>
      </c>
      <c r="C2192" s="51"/>
      <c r="D2192" s="51"/>
    </row>
    <row r="2193" spans="1:4" x14ac:dyDescent="0.45">
      <c r="A2193" s="7">
        <v>43168</v>
      </c>
      <c r="B2193" s="8">
        <f>VLOOKUP(Table1[[#This Row],[Date]],'BUD data'!A:F,6,)</f>
        <v>109.597565</v>
      </c>
      <c r="C2193" s="51"/>
      <c r="D2193" s="51"/>
    </row>
    <row r="2194" spans="1:4" x14ac:dyDescent="0.45">
      <c r="A2194" s="7">
        <v>43171</v>
      </c>
      <c r="B2194" s="8">
        <f>VLOOKUP(Table1[[#This Row],[Date]],'BUD data'!A:F,6,)</f>
        <v>109.987663</v>
      </c>
      <c r="C2194" s="51"/>
      <c r="D2194" s="51"/>
    </row>
    <row r="2195" spans="1:4" x14ac:dyDescent="0.45">
      <c r="A2195" s="7">
        <v>43172</v>
      </c>
      <c r="B2195" s="8">
        <f>VLOOKUP(Table1[[#This Row],[Date]],'BUD data'!A:F,6,)</f>
        <v>109.131355</v>
      </c>
      <c r="C2195" s="51"/>
      <c r="D2195" s="51"/>
    </row>
    <row r="2196" spans="1:4" x14ac:dyDescent="0.45">
      <c r="A2196" s="7">
        <v>43173</v>
      </c>
      <c r="B2196" s="8">
        <f>VLOOKUP(Table1[[#This Row],[Date]],'BUD data'!A:F,6,)</f>
        <v>107.989609</v>
      </c>
      <c r="C2196" s="51"/>
      <c r="D2196" s="51"/>
    </row>
    <row r="2197" spans="1:4" x14ac:dyDescent="0.45">
      <c r="A2197" s="7">
        <v>43174</v>
      </c>
      <c r="B2197" s="8">
        <f>VLOOKUP(Table1[[#This Row],[Date]],'BUD data'!A:F,6,)</f>
        <v>107.39020499999999</v>
      </c>
      <c r="C2197" s="51"/>
      <c r="D2197" s="51"/>
    </row>
    <row r="2198" spans="1:4" x14ac:dyDescent="0.45">
      <c r="A2198" s="7">
        <v>43175</v>
      </c>
      <c r="B2198" s="8">
        <f>VLOOKUP(Table1[[#This Row],[Date]],'BUD data'!A:F,6,)</f>
        <v>107.52340700000001</v>
      </c>
      <c r="C2198" s="51"/>
      <c r="D2198" s="51"/>
    </row>
    <row r="2199" spans="1:4" x14ac:dyDescent="0.45">
      <c r="A2199" s="7">
        <v>43178</v>
      </c>
      <c r="B2199" s="8">
        <f>VLOOKUP(Table1[[#This Row],[Date]],'BUD data'!A:F,6,)</f>
        <v>106.781273</v>
      </c>
      <c r="C2199" s="51"/>
      <c r="D2199" s="51"/>
    </row>
    <row r="2200" spans="1:4" x14ac:dyDescent="0.45">
      <c r="A2200" s="7">
        <v>43179</v>
      </c>
      <c r="B2200" s="8">
        <f>VLOOKUP(Table1[[#This Row],[Date]],'BUD data'!A:F,6,)</f>
        <v>107.199905</v>
      </c>
      <c r="C2200" s="51"/>
      <c r="D2200" s="51"/>
    </row>
    <row r="2201" spans="1:4" x14ac:dyDescent="0.45">
      <c r="A2201" s="7">
        <v>43180</v>
      </c>
      <c r="B2201" s="8">
        <f>VLOOKUP(Table1[[#This Row],[Date]],'BUD data'!A:F,6,)</f>
        <v>104.87838000000001</v>
      </c>
      <c r="C2201" s="51"/>
      <c r="D2201" s="51"/>
    </row>
    <row r="2202" spans="1:4" x14ac:dyDescent="0.45">
      <c r="A2202" s="7">
        <v>43181</v>
      </c>
      <c r="B2202" s="8">
        <f>VLOOKUP(Table1[[#This Row],[Date]],'BUD data'!A:F,6,)</f>
        <v>103.213341</v>
      </c>
      <c r="C2202" s="51"/>
      <c r="D2202" s="51"/>
    </row>
    <row r="2203" spans="1:4" x14ac:dyDescent="0.45">
      <c r="A2203" s="7">
        <v>43182</v>
      </c>
      <c r="B2203" s="8">
        <f>VLOOKUP(Table1[[#This Row],[Date]],'BUD data'!A:F,6,)</f>
        <v>101.614906</v>
      </c>
      <c r="C2203" s="51"/>
      <c r="D2203" s="51"/>
    </row>
    <row r="2204" spans="1:4" x14ac:dyDescent="0.45">
      <c r="A2204" s="7">
        <v>43185</v>
      </c>
      <c r="B2204" s="8">
        <f>VLOOKUP(Table1[[#This Row],[Date]],'BUD data'!A:F,6,)</f>
        <v>102.51876799999999</v>
      </c>
      <c r="C2204" s="51"/>
      <c r="D2204" s="51"/>
    </row>
    <row r="2205" spans="1:4" x14ac:dyDescent="0.45">
      <c r="A2205" s="7">
        <v>43186</v>
      </c>
      <c r="B2205" s="8">
        <f>VLOOKUP(Table1[[#This Row],[Date]],'BUD data'!A:F,6,)</f>
        <v>102.252365</v>
      </c>
      <c r="C2205" s="51"/>
      <c r="D2205" s="51"/>
    </row>
    <row r="2206" spans="1:4" x14ac:dyDescent="0.45">
      <c r="A2206" s="7">
        <v>43187</v>
      </c>
      <c r="B2206" s="8">
        <f>VLOOKUP(Table1[[#This Row],[Date]],'BUD data'!A:F,6,)</f>
        <v>104.307495</v>
      </c>
      <c r="C2206" s="51"/>
      <c r="D2206" s="51"/>
    </row>
    <row r="2207" spans="1:4" x14ac:dyDescent="0.45">
      <c r="A2207" s="7">
        <v>43188</v>
      </c>
      <c r="B2207" s="8">
        <f>VLOOKUP(Table1[[#This Row],[Date]],'BUD data'!A:F,6,)</f>
        <v>104.60245500000001</v>
      </c>
      <c r="C2207" s="51"/>
      <c r="D2207" s="51"/>
    </row>
    <row r="2208" spans="1:4" x14ac:dyDescent="0.45">
      <c r="A2208" s="7">
        <v>43192</v>
      </c>
      <c r="B2208" s="8">
        <f>VLOOKUP(Table1[[#This Row],[Date]],'BUD data'!A:F,6,)</f>
        <v>102.556831</v>
      </c>
      <c r="C2208" s="51"/>
      <c r="D2208" s="51"/>
    </row>
    <row r="2209" spans="1:4" x14ac:dyDescent="0.45">
      <c r="A2209" s="7">
        <v>43193</v>
      </c>
      <c r="B2209" s="8">
        <f>VLOOKUP(Table1[[#This Row],[Date]],'BUD data'!A:F,6,)</f>
        <v>103.49876399999999</v>
      </c>
      <c r="C2209" s="51"/>
      <c r="D2209" s="51"/>
    </row>
    <row r="2210" spans="1:4" x14ac:dyDescent="0.45">
      <c r="A2210" s="7">
        <v>43194</v>
      </c>
      <c r="B2210" s="8">
        <f>VLOOKUP(Table1[[#This Row],[Date]],'BUD data'!A:F,6,)</f>
        <v>103.936432</v>
      </c>
      <c r="C2210" s="51"/>
      <c r="D2210" s="51"/>
    </row>
    <row r="2211" spans="1:4" x14ac:dyDescent="0.45">
      <c r="A2211" s="7">
        <v>43195</v>
      </c>
      <c r="B2211" s="8">
        <f>VLOOKUP(Table1[[#This Row],[Date]],'BUD data'!A:F,6,)</f>
        <v>104.69760100000001</v>
      </c>
      <c r="C2211" s="51"/>
      <c r="D2211" s="51"/>
    </row>
    <row r="2212" spans="1:4" x14ac:dyDescent="0.45">
      <c r="A2212" s="7">
        <v>43196</v>
      </c>
      <c r="B2212" s="8">
        <f>VLOOKUP(Table1[[#This Row],[Date]],'BUD data'!A:F,6,)</f>
        <v>102.69955400000001</v>
      </c>
      <c r="C2212" s="51"/>
      <c r="D2212" s="51"/>
    </row>
    <row r="2213" spans="1:4" x14ac:dyDescent="0.45">
      <c r="A2213" s="7">
        <v>43199</v>
      </c>
      <c r="B2213" s="8">
        <f>VLOOKUP(Table1[[#This Row],[Date]],'BUD data'!A:F,6,)</f>
        <v>103.43216700000001</v>
      </c>
      <c r="C2213" s="51"/>
      <c r="D2213" s="51"/>
    </row>
    <row r="2214" spans="1:4" x14ac:dyDescent="0.45">
      <c r="A2214" s="7">
        <v>43200</v>
      </c>
      <c r="B2214" s="8">
        <f>VLOOKUP(Table1[[#This Row],[Date]],'BUD data'!A:F,6,)</f>
        <v>103.061104</v>
      </c>
      <c r="C2214" s="51"/>
      <c r="D2214" s="51"/>
    </row>
    <row r="2215" spans="1:4" x14ac:dyDescent="0.45">
      <c r="A2215" s="7">
        <v>43201</v>
      </c>
      <c r="B2215" s="8">
        <f>VLOOKUP(Table1[[#This Row],[Date]],'BUD data'!A:F,6,)</f>
        <v>101.09159099999999</v>
      </c>
      <c r="C2215" s="51"/>
      <c r="D2215" s="51"/>
    </row>
    <row r="2216" spans="1:4" x14ac:dyDescent="0.45">
      <c r="A2216" s="7">
        <v>43202</v>
      </c>
      <c r="B2216" s="8">
        <f>VLOOKUP(Table1[[#This Row],[Date]],'BUD data'!A:F,6,)</f>
        <v>100.092575</v>
      </c>
      <c r="C2216" s="51"/>
      <c r="D2216" s="51"/>
    </row>
    <row r="2217" spans="1:4" x14ac:dyDescent="0.45">
      <c r="A2217" s="7">
        <v>43203</v>
      </c>
      <c r="B2217" s="8">
        <f>VLOOKUP(Table1[[#This Row],[Date]],'BUD data'!A:F,6,)</f>
        <v>99.712006000000002</v>
      </c>
      <c r="C2217" s="51"/>
      <c r="D2217" s="51"/>
    </row>
    <row r="2218" spans="1:4" x14ac:dyDescent="0.45">
      <c r="A2218" s="7">
        <v>43206</v>
      </c>
      <c r="B2218" s="8">
        <f>VLOOKUP(Table1[[#This Row],[Date]],'BUD data'!A:F,6,)</f>
        <v>99.255302</v>
      </c>
      <c r="C2218" s="51"/>
      <c r="D2218" s="51"/>
    </row>
    <row r="2219" spans="1:4" x14ac:dyDescent="0.45">
      <c r="A2219" s="7">
        <v>43207</v>
      </c>
      <c r="B2219" s="8">
        <f>VLOOKUP(Table1[[#This Row],[Date]],'BUD data'!A:F,6,)</f>
        <v>101.529259</v>
      </c>
      <c r="C2219" s="51"/>
      <c r="D2219" s="51"/>
    </row>
    <row r="2220" spans="1:4" x14ac:dyDescent="0.45">
      <c r="A2220" s="7">
        <v>43208</v>
      </c>
      <c r="B2220" s="8">
        <f>VLOOKUP(Table1[[#This Row],[Date]],'BUD data'!A:F,6,)</f>
        <v>101.805183</v>
      </c>
      <c r="C2220" s="51"/>
      <c r="D2220" s="51"/>
    </row>
    <row r="2221" spans="1:4" x14ac:dyDescent="0.45">
      <c r="A2221" s="7">
        <v>43209</v>
      </c>
      <c r="B2221" s="8">
        <f>VLOOKUP(Table1[[#This Row],[Date]],'BUD data'!A:F,6,)</f>
        <v>99.959372999999999</v>
      </c>
      <c r="C2221" s="51"/>
      <c r="D2221" s="51"/>
    </row>
    <row r="2222" spans="1:4" x14ac:dyDescent="0.45">
      <c r="A2222" s="7">
        <v>43210</v>
      </c>
      <c r="B2222" s="8">
        <f>VLOOKUP(Table1[[#This Row],[Date]],'BUD data'!A:F,6,)</f>
        <v>98.893753000000004</v>
      </c>
      <c r="C2222" s="51"/>
      <c r="D2222" s="51"/>
    </row>
    <row r="2223" spans="1:4" x14ac:dyDescent="0.45">
      <c r="A2223" s="7">
        <v>43213</v>
      </c>
      <c r="B2223" s="8">
        <f>VLOOKUP(Table1[[#This Row],[Date]],'BUD data'!A:F,6,)</f>
        <v>98.065987000000007</v>
      </c>
      <c r="C2223" s="51"/>
      <c r="D2223" s="51"/>
    </row>
    <row r="2224" spans="1:4" x14ac:dyDescent="0.45">
      <c r="A2224" s="7">
        <v>43214</v>
      </c>
      <c r="B2224" s="8">
        <f>VLOOKUP(Table1[[#This Row],[Date]],'BUD data'!A:F,6,)</f>
        <v>97.504638999999997</v>
      </c>
      <c r="C2224" s="51"/>
      <c r="D2224" s="51"/>
    </row>
    <row r="2225" spans="1:4" x14ac:dyDescent="0.45">
      <c r="A2225" s="7">
        <v>43215</v>
      </c>
      <c r="B2225" s="8">
        <f>VLOOKUP(Table1[[#This Row],[Date]],'BUD data'!A:F,6,)</f>
        <v>98.218215999999998</v>
      </c>
      <c r="C2225" s="51"/>
      <c r="D2225" s="51"/>
    </row>
    <row r="2226" spans="1:4" x14ac:dyDescent="0.45">
      <c r="A2226" s="7">
        <v>43216</v>
      </c>
      <c r="B2226" s="8">
        <f>VLOOKUP(Table1[[#This Row],[Date]],'BUD data'!A:F,6,)</f>
        <v>96.952788999999996</v>
      </c>
      <c r="C2226" s="51"/>
      <c r="D2226" s="51"/>
    </row>
    <row r="2227" spans="1:4" x14ac:dyDescent="0.45">
      <c r="A2227" s="7">
        <v>43217</v>
      </c>
      <c r="B2227" s="8">
        <f>VLOOKUP(Table1[[#This Row],[Date]],'BUD data'!A:F,6,)</f>
        <v>95.002319</v>
      </c>
      <c r="C2227" s="51"/>
      <c r="D2227" s="51"/>
    </row>
    <row r="2228" spans="1:4" x14ac:dyDescent="0.45">
      <c r="A2228" s="7">
        <v>43220</v>
      </c>
      <c r="B2228" s="8">
        <f>VLOOKUP(Table1[[#This Row],[Date]],'BUD data'!A:F,6,)</f>
        <v>95.221153000000001</v>
      </c>
      <c r="C2228" s="51"/>
      <c r="D2228" s="51"/>
    </row>
    <row r="2229" spans="1:4" x14ac:dyDescent="0.45">
      <c r="A2229" s="7">
        <v>43221</v>
      </c>
      <c r="B2229" s="8">
        <f>VLOOKUP(Table1[[#This Row],[Date]],'BUD data'!A:F,6,)</f>
        <v>95.209441999999996</v>
      </c>
      <c r="C2229" s="51"/>
      <c r="D2229" s="51"/>
    </row>
    <row r="2230" spans="1:4" x14ac:dyDescent="0.45">
      <c r="A2230" s="7">
        <v>43222</v>
      </c>
      <c r="B2230" s="8">
        <f>VLOOKUP(Table1[[#This Row],[Date]],'BUD data'!A:F,6,)</f>
        <v>92.370429999999999</v>
      </c>
      <c r="C2230" s="51"/>
      <c r="D2230" s="51"/>
    </row>
    <row r="2231" spans="1:4" x14ac:dyDescent="0.45">
      <c r="A2231" s="7">
        <v>43223</v>
      </c>
      <c r="B2231" s="8">
        <f>VLOOKUP(Table1[[#This Row],[Date]],'BUD data'!A:F,6,)</f>
        <v>94.263107000000005</v>
      </c>
      <c r="C2231" s="51"/>
      <c r="D2231" s="51"/>
    </row>
    <row r="2232" spans="1:4" x14ac:dyDescent="0.45">
      <c r="A2232" s="7">
        <v>43224</v>
      </c>
      <c r="B2232" s="8">
        <f>VLOOKUP(Table1[[#This Row],[Date]],'BUD data'!A:F,6,)</f>
        <v>95.063102999999998</v>
      </c>
      <c r="C2232" s="51"/>
      <c r="D2232" s="51"/>
    </row>
    <row r="2233" spans="1:4" x14ac:dyDescent="0.45">
      <c r="A2233" s="7">
        <v>43227</v>
      </c>
      <c r="B2233" s="8">
        <f>VLOOKUP(Table1[[#This Row],[Date]],'BUD data'!A:F,6,)</f>
        <v>95.258217000000002</v>
      </c>
      <c r="C2233" s="51"/>
      <c r="D2233" s="51"/>
    </row>
    <row r="2234" spans="1:4" x14ac:dyDescent="0.45">
      <c r="A2234" s="7">
        <v>43228</v>
      </c>
      <c r="B2234" s="8">
        <f>VLOOKUP(Table1[[#This Row],[Date]],'BUD data'!A:F,6,)</f>
        <v>95.843581999999998</v>
      </c>
      <c r="C2234" s="51"/>
      <c r="D2234" s="51"/>
    </row>
    <row r="2235" spans="1:4" x14ac:dyDescent="0.45">
      <c r="A2235" s="7">
        <v>43229</v>
      </c>
      <c r="B2235" s="8">
        <f>VLOOKUP(Table1[[#This Row],[Date]],'BUD data'!A:F,6,)</f>
        <v>95.541145</v>
      </c>
      <c r="C2235" s="51"/>
      <c r="D2235" s="51"/>
    </row>
    <row r="2236" spans="1:4" x14ac:dyDescent="0.45">
      <c r="A2236" s="7">
        <v>43230</v>
      </c>
      <c r="B2236" s="8">
        <f>VLOOKUP(Table1[[#This Row],[Date]],'BUD data'!A:F,6,)</f>
        <v>93.072868</v>
      </c>
      <c r="C2236" s="51"/>
      <c r="D2236" s="51"/>
    </row>
    <row r="2237" spans="1:4" x14ac:dyDescent="0.45">
      <c r="A2237" s="7">
        <v>43231</v>
      </c>
      <c r="B2237" s="8">
        <f>VLOOKUP(Table1[[#This Row],[Date]],'BUD data'!A:F,6,)</f>
        <v>92.741150000000005</v>
      </c>
      <c r="C2237" s="51"/>
      <c r="D2237" s="51"/>
    </row>
    <row r="2238" spans="1:4" x14ac:dyDescent="0.45">
      <c r="A2238" s="7">
        <v>43234</v>
      </c>
      <c r="B2238" s="8">
        <f>VLOOKUP(Table1[[#This Row],[Date]],'BUD data'!A:F,6,)</f>
        <v>93.150908999999999</v>
      </c>
      <c r="C2238" s="51"/>
      <c r="D2238" s="51"/>
    </row>
    <row r="2239" spans="1:4" x14ac:dyDescent="0.45">
      <c r="A2239" s="7">
        <v>43235</v>
      </c>
      <c r="B2239" s="8">
        <f>VLOOKUP(Table1[[#This Row],[Date]],'BUD data'!A:F,6,)</f>
        <v>91.307013999999995</v>
      </c>
      <c r="C2239" s="51"/>
      <c r="D2239" s="51"/>
    </row>
    <row r="2240" spans="1:4" x14ac:dyDescent="0.45">
      <c r="A2240" s="7">
        <v>43236</v>
      </c>
      <c r="B2240" s="8">
        <f>VLOOKUP(Table1[[#This Row],[Date]],'BUD data'!A:F,6,)</f>
        <v>91.638724999999994</v>
      </c>
      <c r="C2240" s="51"/>
      <c r="D2240" s="51"/>
    </row>
    <row r="2241" spans="1:4" x14ac:dyDescent="0.45">
      <c r="A2241" s="7">
        <v>43237</v>
      </c>
      <c r="B2241" s="8">
        <f>VLOOKUP(Table1[[#This Row],[Date]],'BUD data'!A:F,6,)</f>
        <v>92.116767999999993</v>
      </c>
      <c r="C2241" s="51"/>
      <c r="D2241" s="51"/>
    </row>
    <row r="2242" spans="1:4" x14ac:dyDescent="0.45">
      <c r="A2242" s="7">
        <v>43238</v>
      </c>
      <c r="B2242" s="8">
        <f>VLOOKUP(Table1[[#This Row],[Date]],'BUD data'!A:F,6,)</f>
        <v>91.999701999999999</v>
      </c>
      <c r="C2242" s="51"/>
      <c r="D2242" s="51"/>
    </row>
    <row r="2243" spans="1:4" x14ac:dyDescent="0.45">
      <c r="A2243" s="7">
        <v>43241</v>
      </c>
      <c r="B2243" s="8">
        <f>VLOOKUP(Table1[[#This Row],[Date]],'BUD data'!A:F,6,)</f>
        <v>91.90213</v>
      </c>
      <c r="C2243" s="51"/>
      <c r="D2243" s="51"/>
    </row>
    <row r="2244" spans="1:4" x14ac:dyDescent="0.45">
      <c r="A2244" s="7">
        <v>43242</v>
      </c>
      <c r="B2244" s="8">
        <f>VLOOKUP(Table1[[#This Row],[Date]],'BUD data'!A:F,6,)</f>
        <v>92.614326000000005</v>
      </c>
      <c r="C2244" s="51"/>
      <c r="D2244" s="51"/>
    </row>
    <row r="2245" spans="1:4" x14ac:dyDescent="0.45">
      <c r="A2245" s="7">
        <v>43243</v>
      </c>
      <c r="B2245" s="8">
        <f>VLOOKUP(Table1[[#This Row],[Date]],'BUD data'!A:F,6,)</f>
        <v>92.458220999999995</v>
      </c>
      <c r="C2245" s="51"/>
      <c r="D2245" s="51"/>
    </row>
    <row r="2246" spans="1:4" x14ac:dyDescent="0.45">
      <c r="A2246" s="7">
        <v>43244</v>
      </c>
      <c r="B2246" s="8">
        <f>VLOOKUP(Table1[[#This Row],[Date]],'BUD data'!A:F,6,)</f>
        <v>93.414321999999999</v>
      </c>
      <c r="C2246" s="51"/>
      <c r="D2246" s="51"/>
    </row>
    <row r="2247" spans="1:4" x14ac:dyDescent="0.45">
      <c r="A2247" s="7">
        <v>43245</v>
      </c>
      <c r="B2247" s="8">
        <f>VLOOKUP(Table1[[#This Row],[Date]],'BUD data'!A:F,6,)</f>
        <v>92.409453999999997</v>
      </c>
      <c r="C2247" s="51"/>
      <c r="D2247" s="51"/>
    </row>
    <row r="2248" spans="1:4" x14ac:dyDescent="0.45">
      <c r="A2248" s="7">
        <v>43249</v>
      </c>
      <c r="B2248" s="8">
        <f>VLOOKUP(Table1[[#This Row],[Date]],'BUD data'!A:F,6,)</f>
        <v>90.087508999999997</v>
      </c>
      <c r="C2248" s="51"/>
      <c r="D2248" s="51"/>
    </row>
    <row r="2249" spans="1:4" x14ac:dyDescent="0.45">
      <c r="A2249" s="7">
        <v>43250</v>
      </c>
      <c r="B2249" s="8">
        <f>VLOOKUP(Table1[[#This Row],[Date]],'BUD data'!A:F,6,)</f>
        <v>91.853363000000002</v>
      </c>
      <c r="C2249" s="51"/>
      <c r="D2249" s="51"/>
    </row>
    <row r="2250" spans="1:4" x14ac:dyDescent="0.45">
      <c r="A2250" s="7">
        <v>43251</v>
      </c>
      <c r="B2250" s="8">
        <f>VLOOKUP(Table1[[#This Row],[Date]],'BUD data'!A:F,6,)</f>
        <v>91.307013999999995</v>
      </c>
      <c r="C2250" s="51"/>
      <c r="D2250" s="51"/>
    </row>
    <row r="2251" spans="1:4" x14ac:dyDescent="0.45">
      <c r="A2251" s="7">
        <v>43252</v>
      </c>
      <c r="B2251" s="8">
        <f>VLOOKUP(Table1[[#This Row],[Date]],'BUD data'!A:F,6,)</f>
        <v>91.141159000000002</v>
      </c>
      <c r="C2251" s="51"/>
      <c r="D2251" s="51"/>
    </row>
    <row r="2252" spans="1:4" x14ac:dyDescent="0.45">
      <c r="A2252" s="7">
        <v>43255</v>
      </c>
      <c r="B2252" s="8">
        <f>VLOOKUP(Table1[[#This Row],[Date]],'BUD data'!A:F,6,)</f>
        <v>93.931396000000007</v>
      </c>
      <c r="C2252" s="51"/>
      <c r="D2252" s="51"/>
    </row>
    <row r="2253" spans="1:4" x14ac:dyDescent="0.45">
      <c r="A2253" s="7">
        <v>43256</v>
      </c>
      <c r="B2253" s="8">
        <f>VLOOKUP(Table1[[#This Row],[Date]],'BUD data'!A:F,6,)</f>
        <v>92.819205999999994</v>
      </c>
      <c r="C2253" s="51"/>
      <c r="D2253" s="51"/>
    </row>
    <row r="2254" spans="1:4" x14ac:dyDescent="0.45">
      <c r="A2254" s="7">
        <v>43257</v>
      </c>
      <c r="B2254" s="8">
        <f>VLOOKUP(Table1[[#This Row],[Date]],'BUD data'!A:F,6,)</f>
        <v>92.555794000000006</v>
      </c>
      <c r="C2254" s="51"/>
      <c r="D2254" s="51"/>
    </row>
    <row r="2255" spans="1:4" x14ac:dyDescent="0.45">
      <c r="A2255" s="7">
        <v>43258</v>
      </c>
      <c r="B2255" s="8">
        <f>VLOOKUP(Table1[[#This Row],[Date]],'BUD data'!A:F,6,)</f>
        <v>91.667984000000004</v>
      </c>
      <c r="C2255" s="51"/>
      <c r="D2255" s="51"/>
    </row>
    <row r="2256" spans="1:4" x14ac:dyDescent="0.45">
      <c r="A2256" s="7">
        <v>43259</v>
      </c>
      <c r="B2256" s="8">
        <f>VLOOKUP(Table1[[#This Row],[Date]],'BUD data'!A:F,6,)</f>
        <v>92.360671999999994</v>
      </c>
      <c r="C2256" s="51"/>
      <c r="D2256" s="51"/>
    </row>
    <row r="2257" spans="1:4" x14ac:dyDescent="0.45">
      <c r="A2257" s="7">
        <v>43262</v>
      </c>
      <c r="B2257" s="8">
        <f>VLOOKUP(Table1[[#This Row],[Date]],'BUD data'!A:F,6,)</f>
        <v>94.565535999999994</v>
      </c>
      <c r="C2257" s="51"/>
      <c r="D2257" s="51"/>
    </row>
    <row r="2258" spans="1:4" x14ac:dyDescent="0.45">
      <c r="A2258" s="7">
        <v>43263</v>
      </c>
      <c r="B2258" s="8">
        <f>VLOOKUP(Table1[[#This Row],[Date]],'BUD data'!A:F,6,)</f>
        <v>95.267982000000003</v>
      </c>
      <c r="C2258" s="51"/>
      <c r="D2258" s="51"/>
    </row>
    <row r="2259" spans="1:4" x14ac:dyDescent="0.45">
      <c r="A2259" s="7">
        <v>43264</v>
      </c>
      <c r="B2259" s="8">
        <f>VLOOKUP(Table1[[#This Row],[Date]],'BUD data'!A:F,6,)</f>
        <v>95.414321999999999</v>
      </c>
      <c r="C2259" s="51"/>
      <c r="D2259" s="51"/>
    </row>
    <row r="2260" spans="1:4" x14ac:dyDescent="0.45">
      <c r="A2260" s="7">
        <v>43265</v>
      </c>
      <c r="B2260" s="8">
        <f>VLOOKUP(Table1[[#This Row],[Date]],'BUD data'!A:F,6,)</f>
        <v>94.994804000000002</v>
      </c>
      <c r="C2260" s="51"/>
      <c r="D2260" s="51"/>
    </row>
    <row r="2261" spans="1:4" x14ac:dyDescent="0.45">
      <c r="A2261" s="7">
        <v>43266</v>
      </c>
      <c r="B2261" s="8">
        <f>VLOOKUP(Table1[[#This Row],[Date]],'BUD data'!A:F,6,)</f>
        <v>96.126510999999994</v>
      </c>
      <c r="C2261" s="51"/>
      <c r="D2261" s="51"/>
    </row>
    <row r="2262" spans="1:4" x14ac:dyDescent="0.45">
      <c r="A2262" s="7">
        <v>43269</v>
      </c>
      <c r="B2262" s="8">
        <f>VLOOKUP(Table1[[#This Row],[Date]],'BUD data'!A:F,6,)</f>
        <v>94.243583999999998</v>
      </c>
      <c r="C2262" s="51"/>
      <c r="D2262" s="51"/>
    </row>
    <row r="2263" spans="1:4" x14ac:dyDescent="0.45">
      <c r="A2263" s="7">
        <v>43270</v>
      </c>
      <c r="B2263" s="8">
        <f>VLOOKUP(Table1[[#This Row],[Date]],'BUD data'!A:F,6,)</f>
        <v>94.067986000000005</v>
      </c>
      <c r="C2263" s="51"/>
      <c r="D2263" s="51"/>
    </row>
    <row r="2264" spans="1:4" x14ac:dyDescent="0.45">
      <c r="A2264" s="7">
        <v>43271</v>
      </c>
      <c r="B2264" s="8">
        <f>VLOOKUP(Table1[[#This Row],[Date]],'BUD data'!A:F,6,)</f>
        <v>94.438713000000007</v>
      </c>
      <c r="C2264" s="51"/>
      <c r="D2264" s="51"/>
    </row>
    <row r="2265" spans="1:4" x14ac:dyDescent="0.45">
      <c r="A2265" s="7">
        <v>43272</v>
      </c>
      <c r="B2265" s="8">
        <f>VLOOKUP(Table1[[#This Row],[Date]],'BUD data'!A:F,6,)</f>
        <v>94.916763000000003</v>
      </c>
      <c r="C2265" s="51"/>
      <c r="D2265" s="51"/>
    </row>
    <row r="2266" spans="1:4" x14ac:dyDescent="0.45">
      <c r="A2266" s="7">
        <v>43273</v>
      </c>
      <c r="B2266" s="8">
        <f>VLOOKUP(Table1[[#This Row],[Date]],'BUD data'!A:F,6,)</f>
        <v>96.711876000000004</v>
      </c>
      <c r="C2266" s="51"/>
      <c r="D2266" s="51"/>
    </row>
    <row r="2267" spans="1:4" x14ac:dyDescent="0.45">
      <c r="A2267" s="7">
        <v>43276</v>
      </c>
      <c r="B2267" s="8">
        <f>VLOOKUP(Table1[[#This Row],[Date]],'BUD data'!A:F,6,)</f>
        <v>95.443588000000005</v>
      </c>
      <c r="C2267" s="51"/>
      <c r="D2267" s="51"/>
    </row>
    <row r="2268" spans="1:4" x14ac:dyDescent="0.45">
      <c r="A2268" s="7">
        <v>43277</v>
      </c>
      <c r="B2268" s="8">
        <f>VLOOKUP(Table1[[#This Row],[Date]],'BUD data'!A:F,6,)</f>
        <v>96.009438000000003</v>
      </c>
      <c r="C2268" s="51"/>
      <c r="D2268" s="51"/>
    </row>
    <row r="2269" spans="1:4" x14ac:dyDescent="0.45">
      <c r="A2269" s="7">
        <v>43278</v>
      </c>
      <c r="B2269" s="8">
        <f>VLOOKUP(Table1[[#This Row],[Date]],'BUD data'!A:F,6,)</f>
        <v>95.355782000000005</v>
      </c>
      <c r="C2269" s="51"/>
      <c r="D2269" s="51"/>
    </row>
    <row r="2270" spans="1:4" x14ac:dyDescent="0.45">
      <c r="A2270" s="7">
        <v>43279</v>
      </c>
      <c r="B2270" s="8">
        <f>VLOOKUP(Table1[[#This Row],[Date]],'BUD data'!A:F,6,)</f>
        <v>96.750900000000001</v>
      </c>
      <c r="C2270" s="51"/>
      <c r="D2270" s="51"/>
    </row>
    <row r="2271" spans="1:4" x14ac:dyDescent="0.45">
      <c r="A2271" s="7">
        <v>43280</v>
      </c>
      <c r="B2271" s="8">
        <f>VLOOKUP(Table1[[#This Row],[Date]],'BUD data'!A:F,6,)</f>
        <v>98.302115999999998</v>
      </c>
      <c r="C2271" s="51"/>
      <c r="D2271" s="51"/>
    </row>
    <row r="2272" spans="1:4" x14ac:dyDescent="0.45">
      <c r="A2272" s="7">
        <v>43283</v>
      </c>
      <c r="B2272" s="8">
        <f>VLOOKUP(Table1[[#This Row],[Date]],'BUD data'!A:F,6,)</f>
        <v>98.146018999999995</v>
      </c>
      <c r="C2272" s="51"/>
      <c r="D2272" s="51"/>
    </row>
    <row r="2273" spans="1:4" x14ac:dyDescent="0.45">
      <c r="A2273" s="7">
        <v>43284</v>
      </c>
      <c r="B2273" s="8">
        <f>VLOOKUP(Table1[[#This Row],[Date]],'BUD data'!A:F,6,)</f>
        <v>98.955771999999996</v>
      </c>
      <c r="C2273" s="51"/>
      <c r="D2273" s="51"/>
    </row>
    <row r="2274" spans="1:4" x14ac:dyDescent="0.45">
      <c r="A2274" s="7">
        <v>43286</v>
      </c>
      <c r="B2274" s="8">
        <f>VLOOKUP(Table1[[#This Row],[Date]],'BUD data'!A:F,6,)</f>
        <v>99.921616</v>
      </c>
      <c r="C2274" s="51"/>
      <c r="D2274" s="51"/>
    </row>
    <row r="2275" spans="1:4" x14ac:dyDescent="0.45">
      <c r="A2275" s="7">
        <v>43287</v>
      </c>
      <c r="B2275" s="8">
        <f>VLOOKUP(Table1[[#This Row],[Date]],'BUD data'!A:F,6,)</f>
        <v>101.30697600000001</v>
      </c>
      <c r="C2275" s="51"/>
      <c r="D2275" s="51"/>
    </row>
    <row r="2276" spans="1:4" x14ac:dyDescent="0.45">
      <c r="A2276" s="7">
        <v>43290</v>
      </c>
      <c r="B2276" s="8">
        <f>VLOOKUP(Table1[[#This Row],[Date]],'BUD data'!A:F,6,)</f>
        <v>101.27771</v>
      </c>
      <c r="C2276" s="51"/>
      <c r="D2276" s="51"/>
    </row>
    <row r="2277" spans="1:4" x14ac:dyDescent="0.45">
      <c r="A2277" s="7">
        <v>43291</v>
      </c>
      <c r="B2277" s="8">
        <f>VLOOKUP(Table1[[#This Row],[Date]],'BUD data'!A:F,6,)</f>
        <v>101.355766</v>
      </c>
      <c r="C2277" s="51"/>
      <c r="D2277" s="51"/>
    </row>
    <row r="2278" spans="1:4" x14ac:dyDescent="0.45">
      <c r="A2278" s="7">
        <v>43292</v>
      </c>
      <c r="B2278" s="8">
        <f>VLOOKUP(Table1[[#This Row],[Date]],'BUD data'!A:F,6,)</f>
        <v>100.54600499999999</v>
      </c>
      <c r="C2278" s="51"/>
      <c r="D2278" s="51"/>
    </row>
    <row r="2279" spans="1:4" x14ac:dyDescent="0.45">
      <c r="A2279" s="7">
        <v>43293</v>
      </c>
      <c r="B2279" s="8">
        <f>VLOOKUP(Table1[[#This Row],[Date]],'BUD data'!A:F,6,)</f>
        <v>100.887474</v>
      </c>
      <c r="C2279" s="51"/>
      <c r="D2279" s="51"/>
    </row>
    <row r="2280" spans="1:4" x14ac:dyDescent="0.45">
      <c r="A2280" s="7">
        <v>43294</v>
      </c>
      <c r="B2280" s="8">
        <f>VLOOKUP(Table1[[#This Row],[Date]],'BUD data'!A:F,6,)</f>
        <v>101.385025</v>
      </c>
      <c r="C2280" s="51"/>
      <c r="D2280" s="51"/>
    </row>
    <row r="2281" spans="1:4" x14ac:dyDescent="0.45">
      <c r="A2281" s="7">
        <v>43297</v>
      </c>
      <c r="B2281" s="8">
        <f>VLOOKUP(Table1[[#This Row],[Date]],'BUD data'!A:F,6,)</f>
        <v>100.89722399999999</v>
      </c>
      <c r="C2281" s="51"/>
      <c r="D2281" s="51"/>
    </row>
    <row r="2282" spans="1:4" x14ac:dyDescent="0.45">
      <c r="A2282" s="7">
        <v>43298</v>
      </c>
      <c r="B2282" s="8">
        <f>VLOOKUP(Table1[[#This Row],[Date]],'BUD data'!A:F,6,)</f>
        <v>100.243568</v>
      </c>
      <c r="C2282" s="51"/>
      <c r="D2282" s="51"/>
    </row>
    <row r="2283" spans="1:4" x14ac:dyDescent="0.45">
      <c r="A2283" s="7">
        <v>43299</v>
      </c>
      <c r="B2283" s="8">
        <f>VLOOKUP(Table1[[#This Row],[Date]],'BUD data'!A:F,6,)</f>
        <v>99.980164000000002</v>
      </c>
      <c r="C2283" s="51"/>
      <c r="D2283" s="51"/>
    </row>
    <row r="2284" spans="1:4" x14ac:dyDescent="0.45">
      <c r="A2284" s="7">
        <v>43300</v>
      </c>
      <c r="B2284" s="8">
        <f>VLOOKUP(Table1[[#This Row],[Date]],'BUD data'!A:F,6,)</f>
        <v>101.004547</v>
      </c>
      <c r="C2284" s="51"/>
      <c r="D2284" s="51"/>
    </row>
    <row r="2285" spans="1:4" x14ac:dyDescent="0.45">
      <c r="A2285" s="7">
        <v>43301</v>
      </c>
      <c r="B2285" s="8">
        <f>VLOOKUP(Table1[[#This Row],[Date]],'BUD data'!A:F,6,)</f>
        <v>102.067955</v>
      </c>
      <c r="C2285" s="51"/>
      <c r="D2285" s="51"/>
    </row>
    <row r="2286" spans="1:4" x14ac:dyDescent="0.45">
      <c r="A2286" s="7">
        <v>43304</v>
      </c>
      <c r="B2286" s="8">
        <f>VLOOKUP(Table1[[#This Row],[Date]],'BUD data'!A:F,6,)</f>
        <v>102.331367</v>
      </c>
      <c r="C2286" s="51"/>
      <c r="D2286" s="51"/>
    </row>
    <row r="2287" spans="1:4" x14ac:dyDescent="0.45">
      <c r="A2287" s="7">
        <v>43305</v>
      </c>
      <c r="B2287" s="8">
        <f>VLOOKUP(Table1[[#This Row],[Date]],'BUD data'!A:F,6,)</f>
        <v>102.409424</v>
      </c>
      <c r="C2287" s="51"/>
      <c r="D2287" s="51"/>
    </row>
    <row r="2288" spans="1:4" x14ac:dyDescent="0.45">
      <c r="A2288" s="7">
        <v>43306</v>
      </c>
      <c r="B2288" s="8">
        <f>VLOOKUP(Table1[[#This Row],[Date]],'BUD data'!A:F,6,)</f>
        <v>104.12648799999999</v>
      </c>
      <c r="C2288" s="51"/>
      <c r="D2288" s="51"/>
    </row>
    <row r="2289" spans="1:4" x14ac:dyDescent="0.45">
      <c r="A2289" s="7">
        <v>43307</v>
      </c>
      <c r="B2289" s="8">
        <f>VLOOKUP(Table1[[#This Row],[Date]],'BUD data'!A:F,6,)</f>
        <v>98.897239999999996</v>
      </c>
      <c r="C2289" s="51"/>
      <c r="D2289" s="51"/>
    </row>
    <row r="2290" spans="1:4" x14ac:dyDescent="0.45">
      <c r="A2290" s="7">
        <v>43308</v>
      </c>
      <c r="B2290" s="8">
        <f>VLOOKUP(Table1[[#This Row],[Date]],'BUD data'!A:F,6,)</f>
        <v>99.267966999999999</v>
      </c>
      <c r="C2290" s="51"/>
      <c r="D2290" s="51"/>
    </row>
    <row r="2291" spans="1:4" x14ac:dyDescent="0.45">
      <c r="A2291" s="7">
        <v>43311</v>
      </c>
      <c r="B2291" s="8">
        <f>VLOOKUP(Table1[[#This Row],[Date]],'BUD data'!A:F,6,)</f>
        <v>98.799674999999993</v>
      </c>
      <c r="C2291" s="51"/>
      <c r="D2291" s="51"/>
    </row>
    <row r="2292" spans="1:4" x14ac:dyDescent="0.45">
      <c r="A2292" s="7">
        <v>43312</v>
      </c>
      <c r="B2292" s="8">
        <f>VLOOKUP(Table1[[#This Row],[Date]],'BUD data'!A:F,6,)</f>
        <v>99.238701000000006</v>
      </c>
      <c r="C2292" s="51"/>
      <c r="D2292" s="51"/>
    </row>
    <row r="2293" spans="1:4" x14ac:dyDescent="0.45">
      <c r="A2293" s="7">
        <v>43313</v>
      </c>
      <c r="B2293" s="8">
        <f>VLOOKUP(Table1[[#This Row],[Date]],'BUD data'!A:F,6,)</f>
        <v>98.692359999999994</v>
      </c>
      <c r="C2293" s="51"/>
      <c r="D2293" s="51"/>
    </row>
    <row r="2294" spans="1:4" x14ac:dyDescent="0.45">
      <c r="A2294" s="7">
        <v>43314</v>
      </c>
      <c r="B2294" s="8">
        <f>VLOOKUP(Table1[[#This Row],[Date]],'BUD data'!A:F,6,)</f>
        <v>97.980164000000002</v>
      </c>
      <c r="C2294" s="51"/>
      <c r="D2294" s="51"/>
    </row>
    <row r="2295" spans="1:4" x14ac:dyDescent="0.45">
      <c r="A2295" s="7">
        <v>43315</v>
      </c>
      <c r="B2295" s="8">
        <f>VLOOKUP(Table1[[#This Row],[Date]],'BUD data'!A:F,6,)</f>
        <v>98.185042999999993</v>
      </c>
      <c r="C2295" s="51"/>
      <c r="D2295" s="51"/>
    </row>
    <row r="2296" spans="1:4" x14ac:dyDescent="0.45">
      <c r="A2296" s="7">
        <v>43318</v>
      </c>
      <c r="B2296" s="8">
        <f>VLOOKUP(Table1[[#This Row],[Date]],'BUD data'!A:F,6,)</f>
        <v>97.541145</v>
      </c>
      <c r="C2296" s="51"/>
      <c r="D2296" s="51"/>
    </row>
    <row r="2297" spans="1:4" x14ac:dyDescent="0.45">
      <c r="A2297" s="7">
        <v>43319</v>
      </c>
      <c r="B2297" s="8">
        <f>VLOOKUP(Table1[[#This Row],[Date]],'BUD data'!A:F,6,)</f>
        <v>98.292357999999993</v>
      </c>
      <c r="C2297" s="51"/>
      <c r="D2297" s="51"/>
    </row>
    <row r="2298" spans="1:4" x14ac:dyDescent="0.45">
      <c r="A2298" s="7">
        <v>43320</v>
      </c>
      <c r="B2298" s="8">
        <f>VLOOKUP(Table1[[#This Row],[Date]],'BUD data'!A:F,6,)</f>
        <v>97.102112000000005</v>
      </c>
      <c r="C2298" s="51"/>
      <c r="D2298" s="51"/>
    </row>
    <row r="2299" spans="1:4" x14ac:dyDescent="0.45">
      <c r="A2299" s="7">
        <v>43321</v>
      </c>
      <c r="B2299" s="8">
        <f>VLOOKUP(Table1[[#This Row],[Date]],'BUD data'!A:F,6,)</f>
        <v>97.277725000000004</v>
      </c>
      <c r="C2299" s="51"/>
      <c r="D2299" s="51"/>
    </row>
    <row r="2300" spans="1:4" x14ac:dyDescent="0.45">
      <c r="A2300" s="7">
        <v>43322</v>
      </c>
      <c r="B2300" s="8">
        <f>VLOOKUP(Table1[[#This Row],[Date]],'BUD data'!A:F,6,)</f>
        <v>94.077736000000002</v>
      </c>
      <c r="C2300" s="51"/>
      <c r="D2300" s="51"/>
    </row>
    <row r="2301" spans="1:4" x14ac:dyDescent="0.45">
      <c r="A2301" s="7">
        <v>43325</v>
      </c>
      <c r="B2301" s="8">
        <f>VLOOKUP(Table1[[#This Row],[Date]],'BUD data'!A:F,6,)</f>
        <v>94.048469999999995</v>
      </c>
      <c r="C2301" s="51"/>
      <c r="D2301" s="51"/>
    </row>
    <row r="2302" spans="1:4" x14ac:dyDescent="0.45">
      <c r="A2302" s="7">
        <v>43326</v>
      </c>
      <c r="B2302" s="8">
        <f>VLOOKUP(Table1[[#This Row],[Date]],'BUD data'!A:F,6,)</f>
        <v>95.326515000000001</v>
      </c>
      <c r="C2302" s="51"/>
      <c r="D2302" s="51"/>
    </row>
    <row r="2303" spans="1:4" x14ac:dyDescent="0.45">
      <c r="A2303" s="7">
        <v>43327</v>
      </c>
      <c r="B2303" s="8">
        <f>VLOOKUP(Table1[[#This Row],[Date]],'BUD data'!A:F,6,)</f>
        <v>95.980170999999999</v>
      </c>
      <c r="C2303" s="51"/>
      <c r="D2303" s="51"/>
    </row>
    <row r="2304" spans="1:4" x14ac:dyDescent="0.45">
      <c r="A2304" s="7">
        <v>43328</v>
      </c>
      <c r="B2304" s="8">
        <f>VLOOKUP(Table1[[#This Row],[Date]],'BUD data'!A:F,6,)</f>
        <v>96.067977999999997</v>
      </c>
      <c r="C2304" s="51"/>
      <c r="D2304" s="51"/>
    </row>
    <row r="2305" spans="1:4" x14ac:dyDescent="0.45">
      <c r="A2305" s="7">
        <v>43329</v>
      </c>
      <c r="B2305" s="8">
        <f>VLOOKUP(Table1[[#This Row],[Date]],'BUD data'!A:F,6,)</f>
        <v>97.424064999999999</v>
      </c>
      <c r="C2305" s="51"/>
      <c r="D2305" s="51"/>
    </row>
    <row r="2306" spans="1:4" x14ac:dyDescent="0.45">
      <c r="A2306" s="7">
        <v>43332</v>
      </c>
      <c r="B2306" s="8">
        <f>VLOOKUP(Table1[[#This Row],[Date]],'BUD data'!A:F,6,)</f>
        <v>96.975288000000006</v>
      </c>
      <c r="C2306" s="51"/>
      <c r="D2306" s="51"/>
    </row>
    <row r="2307" spans="1:4" x14ac:dyDescent="0.45">
      <c r="A2307" s="7">
        <v>43333</v>
      </c>
      <c r="B2307" s="8">
        <f>VLOOKUP(Table1[[#This Row],[Date]],'BUD data'!A:F,6,)</f>
        <v>97.775283999999999</v>
      </c>
      <c r="C2307" s="51"/>
      <c r="D2307" s="51"/>
    </row>
    <row r="2308" spans="1:4" x14ac:dyDescent="0.45">
      <c r="A2308" s="7">
        <v>43334</v>
      </c>
      <c r="B2308" s="8">
        <f>VLOOKUP(Table1[[#This Row],[Date]],'BUD data'!A:F,6,)</f>
        <v>96.067977999999997</v>
      </c>
      <c r="C2308" s="51"/>
      <c r="D2308" s="51"/>
    </row>
    <row r="2309" spans="1:4" x14ac:dyDescent="0.45">
      <c r="A2309" s="7">
        <v>43335</v>
      </c>
      <c r="B2309" s="8">
        <f>VLOOKUP(Table1[[#This Row],[Date]],'BUD data'!A:F,6,)</f>
        <v>95.414321999999999</v>
      </c>
      <c r="C2309" s="51"/>
      <c r="D2309" s="51"/>
    </row>
    <row r="2310" spans="1:4" x14ac:dyDescent="0.45">
      <c r="A2310" s="7">
        <v>43336</v>
      </c>
      <c r="B2310" s="8">
        <f>VLOOKUP(Table1[[#This Row],[Date]],'BUD data'!A:F,6,)</f>
        <v>95.814316000000005</v>
      </c>
      <c r="C2310" s="51"/>
      <c r="D2310" s="51"/>
    </row>
    <row r="2311" spans="1:4" x14ac:dyDescent="0.45">
      <c r="A2311" s="7">
        <v>43339</v>
      </c>
      <c r="B2311" s="8">
        <f>VLOOKUP(Table1[[#This Row],[Date]],'BUD data'!A:F,6,)</f>
        <v>96.272850000000005</v>
      </c>
      <c r="C2311" s="51"/>
      <c r="D2311" s="51"/>
    </row>
    <row r="2312" spans="1:4" x14ac:dyDescent="0.45">
      <c r="A2312" s="7">
        <v>43340</v>
      </c>
      <c r="B2312" s="8">
        <f>VLOOKUP(Table1[[#This Row],[Date]],'BUD data'!A:F,6,)</f>
        <v>95.599677999999997</v>
      </c>
      <c r="C2312" s="51"/>
      <c r="D2312" s="51"/>
    </row>
    <row r="2313" spans="1:4" x14ac:dyDescent="0.45">
      <c r="A2313" s="7">
        <v>43341</v>
      </c>
      <c r="B2313" s="8">
        <f>VLOOKUP(Table1[[#This Row],[Date]],'BUD data'!A:F,6,)</f>
        <v>95.560654</v>
      </c>
      <c r="C2313" s="51"/>
      <c r="D2313" s="51"/>
    </row>
    <row r="2314" spans="1:4" x14ac:dyDescent="0.45">
      <c r="A2314" s="7">
        <v>43342</v>
      </c>
      <c r="B2314" s="8">
        <f>VLOOKUP(Table1[[#This Row],[Date]],'BUD data'!A:F,6,)</f>
        <v>93.258223999999998</v>
      </c>
      <c r="C2314" s="51"/>
      <c r="D2314" s="51"/>
    </row>
    <row r="2315" spans="1:4" x14ac:dyDescent="0.45">
      <c r="A2315" s="7">
        <v>43343</v>
      </c>
      <c r="B2315" s="8">
        <f>VLOOKUP(Table1[[#This Row],[Date]],'BUD data'!A:F,6,)</f>
        <v>90.955794999999995</v>
      </c>
      <c r="C2315" s="51"/>
      <c r="D2315" s="51"/>
    </row>
    <row r="2316" spans="1:4" x14ac:dyDescent="0.45">
      <c r="A2316" s="7">
        <v>43347</v>
      </c>
      <c r="B2316" s="8">
        <f>VLOOKUP(Table1[[#This Row],[Date]],'BUD data'!A:F,6,)</f>
        <v>89.716774000000001</v>
      </c>
      <c r="C2316" s="51"/>
      <c r="D2316" s="51"/>
    </row>
    <row r="2317" spans="1:4" x14ac:dyDescent="0.45">
      <c r="A2317" s="7">
        <v>43348</v>
      </c>
      <c r="B2317" s="8">
        <f>VLOOKUP(Table1[[#This Row],[Date]],'BUD data'!A:F,6,)</f>
        <v>88.682631999999998</v>
      </c>
      <c r="C2317" s="51"/>
      <c r="D2317" s="51"/>
    </row>
    <row r="2318" spans="1:4" x14ac:dyDescent="0.45">
      <c r="A2318" s="7">
        <v>43349</v>
      </c>
      <c r="B2318" s="8">
        <f>VLOOKUP(Table1[[#This Row],[Date]],'BUD data'!A:F,6,)</f>
        <v>88.028976</v>
      </c>
      <c r="C2318" s="51"/>
      <c r="D2318" s="51"/>
    </row>
    <row r="2319" spans="1:4" x14ac:dyDescent="0.45">
      <c r="A2319" s="7">
        <v>43350</v>
      </c>
      <c r="B2319" s="8">
        <f>VLOOKUP(Table1[[#This Row],[Date]],'BUD data'!A:F,6,)</f>
        <v>87.550933999999998</v>
      </c>
      <c r="C2319" s="51"/>
      <c r="D2319" s="51"/>
    </row>
    <row r="2320" spans="1:4" x14ac:dyDescent="0.45">
      <c r="A2320" s="7">
        <v>43353</v>
      </c>
      <c r="B2320" s="8">
        <f>VLOOKUP(Table1[[#This Row],[Date]],'BUD data'!A:F,6,)</f>
        <v>87.687507999999994</v>
      </c>
      <c r="C2320" s="51"/>
      <c r="D2320" s="51"/>
    </row>
    <row r="2321" spans="1:4" x14ac:dyDescent="0.45">
      <c r="A2321" s="7">
        <v>43354</v>
      </c>
      <c r="B2321" s="8">
        <f>VLOOKUP(Table1[[#This Row],[Date]],'BUD data'!A:F,6,)</f>
        <v>85.872887000000006</v>
      </c>
      <c r="C2321" s="51"/>
      <c r="D2321" s="51"/>
    </row>
    <row r="2322" spans="1:4" x14ac:dyDescent="0.45">
      <c r="A2322" s="7">
        <v>43355</v>
      </c>
      <c r="B2322" s="8">
        <f>VLOOKUP(Table1[[#This Row],[Date]],'BUD data'!A:F,6,)</f>
        <v>85.980202000000006</v>
      </c>
      <c r="C2322" s="51"/>
      <c r="D2322" s="51"/>
    </row>
    <row r="2323" spans="1:4" x14ac:dyDescent="0.45">
      <c r="A2323" s="7">
        <v>43356</v>
      </c>
      <c r="B2323" s="8">
        <f>VLOOKUP(Table1[[#This Row],[Date]],'BUD data'!A:F,6,)</f>
        <v>87.170440999999997</v>
      </c>
      <c r="C2323" s="51"/>
      <c r="D2323" s="51"/>
    </row>
    <row r="2324" spans="1:4" x14ac:dyDescent="0.45">
      <c r="A2324" s="7">
        <v>43357</v>
      </c>
      <c r="B2324" s="8">
        <f>VLOOKUP(Table1[[#This Row],[Date]],'BUD data'!A:F,6,)</f>
        <v>87.111908</v>
      </c>
      <c r="C2324" s="51"/>
      <c r="D2324" s="51"/>
    </row>
    <row r="2325" spans="1:4" x14ac:dyDescent="0.45">
      <c r="A2325" s="7">
        <v>43360</v>
      </c>
      <c r="B2325" s="8">
        <f>VLOOKUP(Table1[[#This Row],[Date]],'BUD data'!A:F,6,)</f>
        <v>87.609466999999995</v>
      </c>
      <c r="C2325" s="51"/>
      <c r="D2325" s="51"/>
    </row>
    <row r="2326" spans="1:4" x14ac:dyDescent="0.45">
      <c r="A2326" s="7">
        <v>43361</v>
      </c>
      <c r="B2326" s="8">
        <f>VLOOKUP(Table1[[#This Row],[Date]],'BUD data'!A:F,6,)</f>
        <v>87.960693000000006</v>
      </c>
      <c r="C2326" s="51"/>
      <c r="D2326" s="51"/>
    </row>
    <row r="2327" spans="1:4" x14ac:dyDescent="0.45">
      <c r="A2327" s="7">
        <v>43362</v>
      </c>
      <c r="B2327" s="8">
        <f>VLOOKUP(Table1[[#This Row],[Date]],'BUD data'!A:F,6,)</f>
        <v>87.736298000000005</v>
      </c>
      <c r="C2327" s="51"/>
      <c r="D2327" s="51"/>
    </row>
    <row r="2328" spans="1:4" x14ac:dyDescent="0.45">
      <c r="A2328" s="7">
        <v>43363</v>
      </c>
      <c r="B2328" s="8">
        <f>VLOOKUP(Table1[[#This Row],[Date]],'BUD data'!A:F,6,)</f>
        <v>89.687507999999994</v>
      </c>
      <c r="C2328" s="51"/>
      <c r="D2328" s="51"/>
    </row>
    <row r="2329" spans="1:4" x14ac:dyDescent="0.45">
      <c r="A2329" s="7">
        <v>43364</v>
      </c>
      <c r="B2329" s="8">
        <f>VLOOKUP(Table1[[#This Row],[Date]],'BUD data'!A:F,6,)</f>
        <v>89.794822999999994</v>
      </c>
      <c r="C2329" s="51"/>
      <c r="D2329" s="51"/>
    </row>
    <row r="2330" spans="1:4" x14ac:dyDescent="0.45">
      <c r="A2330" s="7">
        <v>43367</v>
      </c>
      <c r="B2330" s="8">
        <f>VLOOKUP(Table1[[#This Row],[Date]],'BUD data'!A:F,6,)</f>
        <v>88.302154999999999</v>
      </c>
      <c r="C2330" s="51"/>
      <c r="D2330" s="51"/>
    </row>
    <row r="2331" spans="1:4" x14ac:dyDescent="0.45">
      <c r="A2331" s="7">
        <v>43368</v>
      </c>
      <c r="B2331" s="8">
        <f>VLOOKUP(Table1[[#This Row],[Date]],'BUD data'!A:F,6,)</f>
        <v>88.302154999999999</v>
      </c>
      <c r="C2331" s="51"/>
      <c r="D2331" s="51"/>
    </row>
    <row r="2332" spans="1:4" x14ac:dyDescent="0.45">
      <c r="A2332" s="7">
        <v>43369</v>
      </c>
      <c r="B2332" s="8">
        <f>VLOOKUP(Table1[[#This Row],[Date]],'BUD data'!A:F,6,)</f>
        <v>87.482635000000002</v>
      </c>
      <c r="C2332" s="51"/>
      <c r="D2332" s="51"/>
    </row>
    <row r="2333" spans="1:4" x14ac:dyDescent="0.45">
      <c r="A2333" s="7">
        <v>43370</v>
      </c>
      <c r="B2333" s="8">
        <f>VLOOKUP(Table1[[#This Row],[Date]],'BUD data'!A:F,6,)</f>
        <v>85.950935000000001</v>
      </c>
      <c r="C2333" s="51"/>
      <c r="D2333" s="51"/>
    </row>
    <row r="2334" spans="1:4" x14ac:dyDescent="0.45">
      <c r="A2334" s="7">
        <v>43371</v>
      </c>
      <c r="B2334" s="8">
        <f>VLOOKUP(Table1[[#This Row],[Date]],'BUD data'!A:F,6,)</f>
        <v>85.433860999999993</v>
      </c>
      <c r="C2334" s="51"/>
      <c r="D2334" s="51"/>
    </row>
    <row r="2335" spans="1:4" x14ac:dyDescent="0.45">
      <c r="A2335" s="7">
        <v>43374</v>
      </c>
      <c r="B2335" s="8">
        <f>VLOOKUP(Table1[[#This Row],[Date]],'BUD data'!A:F,6,)</f>
        <v>84.428993000000006</v>
      </c>
      <c r="C2335" s="51"/>
      <c r="D2335" s="51"/>
    </row>
    <row r="2336" spans="1:4" x14ac:dyDescent="0.45">
      <c r="A2336" s="7">
        <v>43375</v>
      </c>
      <c r="B2336" s="8">
        <f>VLOOKUP(Table1[[#This Row],[Date]],'BUD data'!A:F,6,)</f>
        <v>83.726555000000005</v>
      </c>
      <c r="C2336" s="51"/>
      <c r="D2336" s="51"/>
    </row>
    <row r="2337" spans="1:4" x14ac:dyDescent="0.45">
      <c r="A2337" s="7">
        <v>43376</v>
      </c>
      <c r="B2337" s="8">
        <f>VLOOKUP(Table1[[#This Row],[Date]],'BUD data'!A:F,6,)</f>
        <v>85.472885000000005</v>
      </c>
      <c r="C2337" s="51"/>
      <c r="D2337" s="51"/>
    </row>
    <row r="2338" spans="1:4" x14ac:dyDescent="0.45">
      <c r="A2338" s="7">
        <v>43377</v>
      </c>
      <c r="B2338" s="8">
        <f>VLOOKUP(Table1[[#This Row],[Date]],'BUD data'!A:F,6,)</f>
        <v>84.936301999999998</v>
      </c>
      <c r="C2338" s="51"/>
      <c r="D2338" s="51"/>
    </row>
    <row r="2339" spans="1:4" x14ac:dyDescent="0.45">
      <c r="A2339" s="7">
        <v>43378</v>
      </c>
      <c r="B2339" s="8">
        <f>VLOOKUP(Table1[[#This Row],[Date]],'BUD data'!A:F,6,)</f>
        <v>84.536308000000005</v>
      </c>
      <c r="C2339" s="51"/>
      <c r="D2339" s="51"/>
    </row>
    <row r="2340" spans="1:4" x14ac:dyDescent="0.45">
      <c r="A2340" s="7">
        <v>43381</v>
      </c>
      <c r="B2340" s="8">
        <f>VLOOKUP(Table1[[#This Row],[Date]],'BUD data'!A:F,6,)</f>
        <v>84.936301999999998</v>
      </c>
      <c r="C2340" s="51"/>
      <c r="D2340" s="51"/>
    </row>
    <row r="2341" spans="1:4" x14ac:dyDescent="0.45">
      <c r="A2341" s="7">
        <v>43382</v>
      </c>
      <c r="B2341" s="8">
        <f>VLOOKUP(Table1[[#This Row],[Date]],'BUD data'!A:F,6,)</f>
        <v>84.477767999999998</v>
      </c>
      <c r="C2341" s="51"/>
      <c r="D2341" s="51"/>
    </row>
    <row r="2342" spans="1:4" x14ac:dyDescent="0.45">
      <c r="A2342" s="7">
        <v>43383</v>
      </c>
      <c r="B2342" s="8">
        <f>VLOOKUP(Table1[[#This Row],[Date]],'BUD data'!A:F,6,)</f>
        <v>82.936310000000006</v>
      </c>
      <c r="C2342" s="51"/>
      <c r="D2342" s="51"/>
    </row>
    <row r="2343" spans="1:4" x14ac:dyDescent="0.45">
      <c r="A2343" s="7">
        <v>43384</v>
      </c>
      <c r="B2343" s="8">
        <f>VLOOKUP(Table1[[#This Row],[Date]],'BUD data'!A:F,6,)</f>
        <v>82.282653999999994</v>
      </c>
      <c r="C2343" s="51"/>
      <c r="D2343" s="51"/>
    </row>
    <row r="2344" spans="1:4" x14ac:dyDescent="0.45">
      <c r="A2344" s="7">
        <v>43385</v>
      </c>
      <c r="B2344" s="8">
        <f>VLOOKUP(Table1[[#This Row],[Date]],'BUD data'!A:F,6,)</f>
        <v>82.282653999999994</v>
      </c>
      <c r="C2344" s="51"/>
      <c r="D2344" s="51"/>
    </row>
    <row r="2345" spans="1:4" x14ac:dyDescent="0.45">
      <c r="A2345" s="7">
        <v>43388</v>
      </c>
      <c r="B2345" s="8">
        <f>VLOOKUP(Table1[[#This Row],[Date]],'BUD data'!A:F,6,)</f>
        <v>82.565582000000006</v>
      </c>
      <c r="C2345" s="51"/>
      <c r="D2345" s="51"/>
    </row>
    <row r="2346" spans="1:4" x14ac:dyDescent="0.45">
      <c r="A2346" s="7">
        <v>43389</v>
      </c>
      <c r="B2346" s="8">
        <f>VLOOKUP(Table1[[#This Row],[Date]],'BUD data'!A:F,6,)</f>
        <v>83.346062000000003</v>
      </c>
      <c r="C2346" s="51"/>
      <c r="D2346" s="51"/>
    </row>
    <row r="2347" spans="1:4" x14ac:dyDescent="0.45">
      <c r="A2347" s="7">
        <v>43390</v>
      </c>
      <c r="B2347" s="8">
        <f>VLOOKUP(Table1[[#This Row],[Date]],'BUD data'!A:F,6,)</f>
        <v>81.668021999999993</v>
      </c>
      <c r="C2347" s="51"/>
      <c r="D2347" s="51"/>
    </row>
    <row r="2348" spans="1:4" x14ac:dyDescent="0.45">
      <c r="A2348" s="7">
        <v>43391</v>
      </c>
      <c r="B2348" s="8">
        <f>VLOOKUP(Table1[[#This Row],[Date]],'BUD data'!A:F,6,)</f>
        <v>81.385101000000006</v>
      </c>
      <c r="C2348" s="51"/>
      <c r="D2348" s="51"/>
    </row>
    <row r="2349" spans="1:4" x14ac:dyDescent="0.45">
      <c r="A2349" s="7">
        <v>43392</v>
      </c>
      <c r="B2349" s="8">
        <f>VLOOKUP(Table1[[#This Row],[Date]],'BUD data'!A:F,6,)</f>
        <v>81.814368999999999</v>
      </c>
      <c r="C2349" s="51"/>
      <c r="D2349" s="51"/>
    </row>
    <row r="2350" spans="1:4" x14ac:dyDescent="0.45">
      <c r="A2350" s="7">
        <v>43395</v>
      </c>
      <c r="B2350" s="8">
        <f>VLOOKUP(Table1[[#This Row],[Date]],'BUD data'!A:F,6,)</f>
        <v>81.424126000000001</v>
      </c>
      <c r="C2350" s="51"/>
      <c r="D2350" s="51"/>
    </row>
    <row r="2351" spans="1:4" x14ac:dyDescent="0.45">
      <c r="A2351" s="7">
        <v>43396</v>
      </c>
      <c r="B2351" s="8">
        <f>VLOOKUP(Table1[[#This Row],[Date]],'BUD data'!A:F,6,)</f>
        <v>80.214371</v>
      </c>
      <c r="C2351" s="51"/>
      <c r="D2351" s="51"/>
    </row>
    <row r="2352" spans="1:4" x14ac:dyDescent="0.45">
      <c r="A2352" s="7">
        <v>43397</v>
      </c>
      <c r="B2352" s="8">
        <f>VLOOKUP(Table1[[#This Row],[Date]],'BUD data'!A:F,6,)</f>
        <v>80.243637000000007</v>
      </c>
      <c r="C2352" s="51"/>
      <c r="D2352" s="51"/>
    </row>
    <row r="2353" spans="1:4" x14ac:dyDescent="0.45">
      <c r="A2353" s="7">
        <v>43398</v>
      </c>
      <c r="B2353" s="8">
        <f>VLOOKUP(Table1[[#This Row],[Date]],'BUD data'!A:F,6,)</f>
        <v>72.721710000000002</v>
      </c>
      <c r="C2353" s="51"/>
      <c r="D2353" s="51"/>
    </row>
    <row r="2354" spans="1:4" x14ac:dyDescent="0.45">
      <c r="A2354" s="7">
        <v>43399</v>
      </c>
      <c r="B2354" s="8">
        <f>VLOOKUP(Table1[[#This Row],[Date]],'BUD data'!A:F,6,)</f>
        <v>72.272934000000006</v>
      </c>
      <c r="C2354" s="51"/>
      <c r="D2354" s="51"/>
    </row>
    <row r="2355" spans="1:4" x14ac:dyDescent="0.45">
      <c r="A2355" s="7">
        <v>43402</v>
      </c>
      <c r="B2355" s="8">
        <f>VLOOKUP(Table1[[#This Row],[Date]],'BUD data'!A:F,6,)</f>
        <v>73.033905000000004</v>
      </c>
      <c r="C2355" s="51"/>
      <c r="D2355" s="51"/>
    </row>
    <row r="2356" spans="1:4" x14ac:dyDescent="0.45">
      <c r="A2356" s="7">
        <v>43403</v>
      </c>
      <c r="B2356" s="8">
        <f>VLOOKUP(Table1[[#This Row],[Date]],'BUD data'!A:F,6,)</f>
        <v>72.526588000000004</v>
      </c>
      <c r="C2356" s="51"/>
      <c r="D2356" s="51"/>
    </row>
    <row r="2357" spans="1:4" x14ac:dyDescent="0.45">
      <c r="A2357" s="7">
        <v>43404</v>
      </c>
      <c r="B2357" s="8">
        <f>VLOOKUP(Table1[[#This Row],[Date]],'BUD data'!A:F,6,)</f>
        <v>72.175376999999997</v>
      </c>
      <c r="C2357" s="51"/>
      <c r="D2357" s="51"/>
    </row>
    <row r="2358" spans="1:4" x14ac:dyDescent="0.45">
      <c r="A2358" s="7">
        <v>43405</v>
      </c>
      <c r="B2358" s="8">
        <f>VLOOKUP(Table1[[#This Row],[Date]],'BUD data'!A:F,6,)</f>
        <v>74.809509000000006</v>
      </c>
      <c r="C2358" s="51"/>
      <c r="D2358" s="51"/>
    </row>
    <row r="2359" spans="1:4" x14ac:dyDescent="0.45">
      <c r="A2359" s="7">
        <v>43406</v>
      </c>
      <c r="B2359" s="8">
        <f>VLOOKUP(Table1[[#This Row],[Date]],'BUD data'!A:F,6,)</f>
        <v>74.643653999999998</v>
      </c>
      <c r="C2359" s="51"/>
      <c r="D2359" s="51"/>
    </row>
    <row r="2360" spans="1:4" x14ac:dyDescent="0.45">
      <c r="A2360" s="7">
        <v>43409</v>
      </c>
      <c r="B2360" s="8">
        <f>VLOOKUP(Table1[[#This Row],[Date]],'BUD data'!A:F,6,)</f>
        <v>74.116828999999996</v>
      </c>
      <c r="C2360" s="51"/>
      <c r="D2360" s="51"/>
    </row>
    <row r="2361" spans="1:4" x14ac:dyDescent="0.45">
      <c r="A2361" s="7">
        <v>43410</v>
      </c>
      <c r="B2361" s="8">
        <f>VLOOKUP(Table1[[#This Row],[Date]],'BUD data'!A:F,6,)</f>
        <v>74.068047000000007</v>
      </c>
      <c r="C2361" s="51"/>
      <c r="D2361" s="51"/>
    </row>
    <row r="2362" spans="1:4" x14ac:dyDescent="0.45">
      <c r="A2362" s="7">
        <v>43411</v>
      </c>
      <c r="B2362" s="8">
        <f>VLOOKUP(Table1[[#This Row],[Date]],'BUD data'!A:F,6,)</f>
        <v>74.770484999999994</v>
      </c>
      <c r="C2362" s="51"/>
      <c r="D2362" s="51"/>
    </row>
    <row r="2363" spans="1:4" x14ac:dyDescent="0.45">
      <c r="A2363" s="7">
        <v>43412</v>
      </c>
      <c r="B2363" s="8">
        <f>VLOOKUP(Table1[[#This Row],[Date]],'BUD data'!A:F,6,)</f>
        <v>72.790001000000004</v>
      </c>
      <c r="C2363" s="51"/>
      <c r="D2363" s="51"/>
    </row>
    <row r="2364" spans="1:4" x14ac:dyDescent="0.45">
      <c r="A2364" s="7">
        <v>43413</v>
      </c>
      <c r="B2364" s="8">
        <f>VLOOKUP(Table1[[#This Row],[Date]],'BUD data'!A:F,6,)</f>
        <v>72.799767000000003</v>
      </c>
      <c r="C2364" s="51"/>
      <c r="D2364" s="51"/>
    </row>
    <row r="2365" spans="1:4" x14ac:dyDescent="0.45">
      <c r="A2365" s="7">
        <v>43416</v>
      </c>
      <c r="B2365" s="8">
        <f>VLOOKUP(Table1[[#This Row],[Date]],'BUD data'!A:F,6,)</f>
        <v>71.414390999999995</v>
      </c>
      <c r="C2365" s="51"/>
      <c r="D2365" s="51"/>
    </row>
    <row r="2366" spans="1:4" x14ac:dyDescent="0.45">
      <c r="A2366" s="7">
        <v>43417</v>
      </c>
      <c r="B2366" s="8">
        <f>VLOOKUP(Table1[[#This Row],[Date]],'BUD data'!A:F,6,)</f>
        <v>71.424155999999996</v>
      </c>
      <c r="C2366" s="51"/>
      <c r="D2366" s="51"/>
    </row>
    <row r="2367" spans="1:4" x14ac:dyDescent="0.45">
      <c r="A2367" s="7">
        <v>43418</v>
      </c>
      <c r="B2367" s="8">
        <f>VLOOKUP(Table1[[#This Row],[Date]],'BUD data'!A:F,6,)</f>
        <v>74.731460999999996</v>
      </c>
      <c r="C2367" s="51"/>
      <c r="D2367" s="51"/>
    </row>
    <row r="2368" spans="1:4" x14ac:dyDescent="0.45">
      <c r="A2368" s="7">
        <v>43419</v>
      </c>
      <c r="B2368" s="8">
        <f>VLOOKUP(Table1[[#This Row],[Date]],'BUD data'!A:F,6,)</f>
        <v>75.346091999999999</v>
      </c>
      <c r="C2368" s="51"/>
      <c r="D2368" s="51"/>
    </row>
    <row r="2369" spans="1:4" x14ac:dyDescent="0.45">
      <c r="A2369" s="7">
        <v>43420</v>
      </c>
      <c r="B2369" s="8">
        <f>VLOOKUP(Table1[[#This Row],[Date]],'BUD data'!A:F,6,)</f>
        <v>76.926575</v>
      </c>
      <c r="C2369" s="51"/>
      <c r="D2369" s="51"/>
    </row>
    <row r="2370" spans="1:4" x14ac:dyDescent="0.45">
      <c r="A2370" s="7">
        <v>43423</v>
      </c>
      <c r="B2370" s="8">
        <f>VLOOKUP(Table1[[#This Row],[Date]],'BUD data'!A:F,6,)</f>
        <v>76.389999000000003</v>
      </c>
      <c r="C2370" s="51"/>
      <c r="D2370" s="51"/>
    </row>
    <row r="2371" spans="1:4" x14ac:dyDescent="0.45">
      <c r="A2371" s="7">
        <v>43424</v>
      </c>
      <c r="B2371" s="8">
        <f>VLOOKUP(Table1[[#This Row],[Date]],'BUD data'!A:F,6,)</f>
        <v>74.233894000000006</v>
      </c>
      <c r="C2371" s="51"/>
      <c r="D2371" s="51"/>
    </row>
    <row r="2372" spans="1:4" x14ac:dyDescent="0.45">
      <c r="A2372" s="7">
        <v>43425</v>
      </c>
      <c r="B2372" s="8">
        <f>VLOOKUP(Table1[[#This Row],[Date]],'BUD data'!A:F,6,)</f>
        <v>74.672927999999999</v>
      </c>
      <c r="C2372" s="51"/>
      <c r="D2372" s="51"/>
    </row>
    <row r="2373" spans="1:4" x14ac:dyDescent="0.45">
      <c r="A2373" s="7">
        <v>43427</v>
      </c>
      <c r="B2373" s="8">
        <f>VLOOKUP(Table1[[#This Row],[Date]],'BUD data'!A:F,6,)</f>
        <v>74.302199999999999</v>
      </c>
      <c r="C2373" s="51"/>
      <c r="D2373" s="51"/>
    </row>
    <row r="2374" spans="1:4" x14ac:dyDescent="0.45">
      <c r="A2374" s="7">
        <v>43430</v>
      </c>
      <c r="B2374" s="8">
        <f>VLOOKUP(Table1[[#This Row],[Date]],'BUD data'!A:F,6,)</f>
        <v>75.229018999999994</v>
      </c>
      <c r="C2374" s="51"/>
      <c r="D2374" s="51"/>
    </row>
    <row r="2375" spans="1:4" x14ac:dyDescent="0.45">
      <c r="A2375" s="7">
        <v>43431</v>
      </c>
      <c r="B2375" s="8">
        <f>VLOOKUP(Table1[[#This Row],[Date]],'BUD data'!A:F,6,)</f>
        <v>75.034522999999993</v>
      </c>
      <c r="C2375" s="51"/>
      <c r="D2375" s="51"/>
    </row>
    <row r="2376" spans="1:4" x14ac:dyDescent="0.45">
      <c r="A2376" s="7">
        <v>43432</v>
      </c>
      <c r="B2376" s="8">
        <f>VLOOKUP(Table1[[#This Row],[Date]],'BUD data'!A:F,6,)</f>
        <v>76.090926999999994</v>
      </c>
      <c r="C2376" s="51"/>
      <c r="D2376" s="51"/>
    </row>
    <row r="2377" spans="1:4" x14ac:dyDescent="0.45">
      <c r="A2377" s="7">
        <v>43433</v>
      </c>
      <c r="B2377" s="8">
        <f>VLOOKUP(Table1[[#This Row],[Date]],'BUD data'!A:F,6,)</f>
        <v>76.258765999999994</v>
      </c>
      <c r="C2377" s="51"/>
      <c r="D2377" s="51"/>
    </row>
    <row r="2378" spans="1:4" x14ac:dyDescent="0.45">
      <c r="A2378" s="7">
        <v>43434</v>
      </c>
      <c r="B2378" s="8">
        <f>VLOOKUP(Table1[[#This Row],[Date]],'BUD data'!A:F,6,)</f>
        <v>75.893471000000005</v>
      </c>
      <c r="C2378" s="51"/>
      <c r="D2378" s="51"/>
    </row>
    <row r="2379" spans="1:4" x14ac:dyDescent="0.45">
      <c r="A2379" s="7">
        <v>43437</v>
      </c>
      <c r="B2379" s="8">
        <f>VLOOKUP(Table1[[#This Row],[Date]],'BUD data'!A:F,6,)</f>
        <v>74.916045999999994</v>
      </c>
      <c r="C2379" s="51"/>
      <c r="D2379" s="51"/>
    </row>
    <row r="2380" spans="1:4" x14ac:dyDescent="0.45">
      <c r="A2380" s="7">
        <v>43438</v>
      </c>
      <c r="B2380" s="8">
        <f>VLOOKUP(Table1[[#This Row],[Date]],'BUD data'!A:F,6,)</f>
        <v>73.326492000000002</v>
      </c>
      <c r="C2380" s="51"/>
      <c r="D2380" s="51"/>
    </row>
    <row r="2381" spans="1:4" x14ac:dyDescent="0.45">
      <c r="A2381" s="7">
        <v>43440</v>
      </c>
      <c r="B2381" s="8">
        <f>VLOOKUP(Table1[[#This Row],[Date]],'BUD data'!A:F,6,)</f>
        <v>71.351906</v>
      </c>
      <c r="C2381" s="51"/>
      <c r="D2381" s="51"/>
    </row>
    <row r="2382" spans="1:4" x14ac:dyDescent="0.45">
      <c r="A2382" s="7">
        <v>43441</v>
      </c>
      <c r="B2382" s="8">
        <f>VLOOKUP(Table1[[#This Row],[Date]],'BUD data'!A:F,6,)</f>
        <v>69.870956000000007</v>
      </c>
      <c r="C2382" s="51"/>
      <c r="D2382" s="51"/>
    </row>
    <row r="2383" spans="1:4" x14ac:dyDescent="0.45">
      <c r="A2383" s="7">
        <v>43444</v>
      </c>
      <c r="B2383" s="8">
        <f>VLOOKUP(Table1[[#This Row],[Date]],'BUD data'!A:F,6,)</f>
        <v>69.653762999999998</v>
      </c>
      <c r="C2383" s="51"/>
      <c r="D2383" s="51"/>
    </row>
    <row r="2384" spans="1:4" x14ac:dyDescent="0.45">
      <c r="A2384" s="7">
        <v>43445</v>
      </c>
      <c r="B2384" s="8">
        <f>VLOOKUP(Table1[[#This Row],[Date]],'BUD data'!A:F,6,)</f>
        <v>69.476044000000002</v>
      </c>
      <c r="C2384" s="51"/>
      <c r="D2384" s="51"/>
    </row>
    <row r="2385" spans="1:4" x14ac:dyDescent="0.45">
      <c r="A2385" s="7">
        <v>43446</v>
      </c>
      <c r="B2385" s="8">
        <f>VLOOKUP(Table1[[#This Row],[Date]],'BUD data'!A:F,6,)</f>
        <v>70.680542000000003</v>
      </c>
      <c r="C2385" s="51"/>
      <c r="D2385" s="51"/>
    </row>
    <row r="2386" spans="1:4" x14ac:dyDescent="0.45">
      <c r="A2386" s="7">
        <v>43447</v>
      </c>
      <c r="B2386" s="8">
        <f>VLOOKUP(Table1[[#This Row],[Date]],'BUD data'!A:F,6,)</f>
        <v>70.394233999999997</v>
      </c>
      <c r="C2386" s="51"/>
      <c r="D2386" s="51"/>
    </row>
    <row r="2387" spans="1:4" x14ac:dyDescent="0.45">
      <c r="A2387" s="7">
        <v>43448</v>
      </c>
      <c r="B2387" s="8">
        <f>VLOOKUP(Table1[[#This Row],[Date]],'BUD data'!A:F,6,)</f>
        <v>68.814552000000006</v>
      </c>
      <c r="C2387" s="51"/>
      <c r="D2387" s="51"/>
    </row>
    <row r="2388" spans="1:4" x14ac:dyDescent="0.45">
      <c r="A2388" s="7">
        <v>43451</v>
      </c>
      <c r="B2388" s="8">
        <f>VLOOKUP(Table1[[#This Row],[Date]],'BUD data'!A:F,6,)</f>
        <v>67.363235000000003</v>
      </c>
      <c r="C2388" s="51"/>
      <c r="D2388" s="51"/>
    </row>
    <row r="2389" spans="1:4" x14ac:dyDescent="0.45">
      <c r="A2389" s="7">
        <v>43452</v>
      </c>
      <c r="B2389" s="8">
        <f>VLOOKUP(Table1[[#This Row],[Date]],'BUD data'!A:F,6,)</f>
        <v>67.876625000000004</v>
      </c>
      <c r="C2389" s="51"/>
      <c r="D2389" s="51"/>
    </row>
    <row r="2390" spans="1:4" x14ac:dyDescent="0.45">
      <c r="A2390" s="7">
        <v>43453</v>
      </c>
      <c r="B2390" s="8">
        <f>VLOOKUP(Table1[[#This Row],[Date]],'BUD data'!A:F,6,)</f>
        <v>67.925995</v>
      </c>
      <c r="C2390" s="51"/>
      <c r="D2390" s="51"/>
    </row>
    <row r="2391" spans="1:4" x14ac:dyDescent="0.45">
      <c r="A2391" s="7">
        <v>43454</v>
      </c>
      <c r="B2391" s="8">
        <f>VLOOKUP(Table1[[#This Row],[Date]],'BUD data'!A:F,6,)</f>
        <v>66.918944999999994</v>
      </c>
      <c r="C2391" s="51"/>
      <c r="D2391" s="51"/>
    </row>
    <row r="2392" spans="1:4" x14ac:dyDescent="0.45">
      <c r="A2392" s="7">
        <v>43455</v>
      </c>
      <c r="B2392" s="8">
        <f>VLOOKUP(Table1[[#This Row],[Date]],'BUD data'!A:F,6,)</f>
        <v>65.546599999999998</v>
      </c>
      <c r="C2392" s="51"/>
      <c r="D2392" s="51"/>
    </row>
    <row r="2393" spans="1:4" x14ac:dyDescent="0.45">
      <c r="A2393" s="7">
        <v>43458</v>
      </c>
      <c r="B2393" s="8">
        <f>VLOOKUP(Table1[[#This Row],[Date]],'BUD data'!A:F,6,)</f>
        <v>64.598800999999995</v>
      </c>
      <c r="C2393" s="51"/>
      <c r="D2393" s="51"/>
    </row>
    <row r="2394" spans="1:4" x14ac:dyDescent="0.45">
      <c r="A2394" s="7">
        <v>43460</v>
      </c>
      <c r="B2394" s="8">
        <f>VLOOKUP(Table1[[#This Row],[Date]],'BUD data'!A:F,6,)</f>
        <v>66.079741999999996</v>
      </c>
      <c r="C2394" s="51"/>
      <c r="D2394" s="51"/>
    </row>
    <row r="2395" spans="1:4" x14ac:dyDescent="0.45">
      <c r="A2395" s="7">
        <v>43461</v>
      </c>
      <c r="B2395" s="8">
        <f>VLOOKUP(Table1[[#This Row],[Date]],'BUD data'!A:F,6,)</f>
        <v>65.457747999999995</v>
      </c>
      <c r="C2395" s="51"/>
      <c r="D2395" s="51"/>
    </row>
    <row r="2396" spans="1:4" x14ac:dyDescent="0.45">
      <c r="A2396" s="7">
        <v>43462</v>
      </c>
      <c r="B2396" s="8">
        <f>VLOOKUP(Table1[[#This Row],[Date]],'BUD data'!A:F,6,)</f>
        <v>65.033210999999994</v>
      </c>
      <c r="C2396" s="51"/>
      <c r="D2396" s="51"/>
    </row>
    <row r="2397" spans="1:4" x14ac:dyDescent="0.45">
      <c r="A2397" s="7">
        <v>43465</v>
      </c>
      <c r="B2397" s="8">
        <f>VLOOKUP(Table1[[#This Row],[Date]],'BUD data'!A:F,6,)</f>
        <v>64.973968999999997</v>
      </c>
      <c r="C2397" s="51"/>
      <c r="D2397" s="51"/>
    </row>
    <row r="2398" spans="1:4" x14ac:dyDescent="0.45">
      <c r="A2398" s="7">
        <v>43467</v>
      </c>
      <c r="B2398" s="8">
        <f>VLOOKUP(Table1[[#This Row],[Date]],'BUD data'!A:F,6,)</f>
        <v>65.072708000000006</v>
      </c>
      <c r="C2398" s="51"/>
      <c r="D2398" s="51"/>
    </row>
    <row r="2399" spans="1:4" x14ac:dyDescent="0.45">
      <c r="A2399" s="7">
        <v>43468</v>
      </c>
      <c r="B2399" s="8">
        <f>VLOOKUP(Table1[[#This Row],[Date]],'BUD data'!A:F,6,)</f>
        <v>65.576217999999997</v>
      </c>
      <c r="C2399" s="51"/>
      <c r="D2399" s="51"/>
    </row>
    <row r="2400" spans="1:4" x14ac:dyDescent="0.45">
      <c r="A2400" s="7">
        <v>43469</v>
      </c>
      <c r="B2400" s="8">
        <f>VLOOKUP(Table1[[#This Row],[Date]],'BUD data'!A:F,6,)</f>
        <v>68.212303000000006</v>
      </c>
      <c r="C2400" s="51"/>
      <c r="D2400" s="51"/>
    </row>
    <row r="2401" spans="1:4" x14ac:dyDescent="0.45">
      <c r="A2401" s="7">
        <v>43472</v>
      </c>
      <c r="B2401" s="8">
        <f>VLOOKUP(Table1[[#This Row],[Date]],'BUD data'!A:F,6,)</f>
        <v>68.518364000000005</v>
      </c>
      <c r="C2401" s="51"/>
      <c r="D2401" s="51"/>
    </row>
    <row r="2402" spans="1:4" x14ac:dyDescent="0.45">
      <c r="A2402" s="7">
        <v>43473</v>
      </c>
      <c r="B2402" s="8">
        <f>VLOOKUP(Table1[[#This Row],[Date]],'BUD data'!A:F,6,)</f>
        <v>69.851219</v>
      </c>
      <c r="C2402" s="51"/>
      <c r="D2402" s="51"/>
    </row>
    <row r="2403" spans="1:4" x14ac:dyDescent="0.45">
      <c r="A2403" s="7">
        <v>43474</v>
      </c>
      <c r="B2403" s="8">
        <f>VLOOKUP(Table1[[#This Row],[Date]],'BUD data'!A:F,6,)</f>
        <v>69.347694000000004</v>
      </c>
      <c r="C2403" s="51"/>
      <c r="D2403" s="51"/>
    </row>
    <row r="2404" spans="1:4" x14ac:dyDescent="0.45">
      <c r="A2404" s="7">
        <v>43475</v>
      </c>
      <c r="B2404" s="8">
        <f>VLOOKUP(Table1[[#This Row],[Date]],'BUD data'!A:F,6,)</f>
        <v>69.861091999999999</v>
      </c>
      <c r="C2404" s="51"/>
      <c r="D2404" s="51"/>
    </row>
    <row r="2405" spans="1:4" x14ac:dyDescent="0.45">
      <c r="A2405" s="7">
        <v>43476</v>
      </c>
      <c r="B2405" s="8">
        <f>VLOOKUP(Table1[[#This Row],[Date]],'BUD data'!A:F,6,)</f>
        <v>72.793364999999994</v>
      </c>
      <c r="C2405" s="51"/>
      <c r="D2405" s="51"/>
    </row>
    <row r="2406" spans="1:4" x14ac:dyDescent="0.45">
      <c r="A2406" s="7">
        <v>43479</v>
      </c>
      <c r="B2406" s="8">
        <f>VLOOKUP(Table1[[#This Row],[Date]],'BUD data'!A:F,6,)</f>
        <v>71.608604</v>
      </c>
      <c r="C2406" s="51"/>
      <c r="D2406" s="51"/>
    </row>
    <row r="2407" spans="1:4" x14ac:dyDescent="0.45">
      <c r="A2407" s="7">
        <v>43480</v>
      </c>
      <c r="B2407" s="8">
        <f>VLOOKUP(Table1[[#This Row],[Date]],'BUD data'!A:F,6,)</f>
        <v>71.598724000000004</v>
      </c>
      <c r="C2407" s="51"/>
      <c r="D2407" s="51"/>
    </row>
    <row r="2408" spans="1:4" x14ac:dyDescent="0.45">
      <c r="A2408" s="7">
        <v>43481</v>
      </c>
      <c r="B2408" s="8">
        <f>VLOOKUP(Table1[[#This Row],[Date]],'BUD data'!A:F,6,)</f>
        <v>69.604393000000002</v>
      </c>
      <c r="C2408" s="51"/>
      <c r="D2408" s="51"/>
    </row>
    <row r="2409" spans="1:4" x14ac:dyDescent="0.45">
      <c r="A2409" s="7">
        <v>43482</v>
      </c>
      <c r="B2409" s="8">
        <f>VLOOKUP(Table1[[#This Row],[Date]],'BUD data'!A:F,6,)</f>
        <v>71.065597999999994</v>
      </c>
      <c r="C2409" s="51"/>
      <c r="D2409" s="51"/>
    </row>
    <row r="2410" spans="1:4" x14ac:dyDescent="0.45">
      <c r="A2410" s="7">
        <v>43483</v>
      </c>
      <c r="B2410" s="8">
        <f>VLOOKUP(Table1[[#This Row],[Date]],'BUD data'!A:F,6,)</f>
        <v>72.714377999999996</v>
      </c>
      <c r="C2410" s="51"/>
      <c r="D2410" s="51"/>
    </row>
    <row r="2411" spans="1:4" x14ac:dyDescent="0.45">
      <c r="A2411" s="7">
        <v>43487</v>
      </c>
      <c r="B2411" s="8">
        <f>VLOOKUP(Table1[[#This Row],[Date]],'BUD data'!A:F,6,)</f>
        <v>72.566283999999996</v>
      </c>
      <c r="C2411" s="51"/>
      <c r="D2411" s="51"/>
    </row>
    <row r="2412" spans="1:4" x14ac:dyDescent="0.45">
      <c r="A2412" s="7">
        <v>43488</v>
      </c>
      <c r="B2412" s="8">
        <f>VLOOKUP(Table1[[#This Row],[Date]],'BUD data'!A:F,6,)</f>
        <v>72.971076999999994</v>
      </c>
      <c r="C2412" s="51"/>
      <c r="D2412" s="51"/>
    </row>
    <row r="2413" spans="1:4" x14ac:dyDescent="0.45">
      <c r="A2413" s="7">
        <v>43489</v>
      </c>
      <c r="B2413" s="8">
        <f>VLOOKUP(Table1[[#This Row],[Date]],'BUD data'!A:F,6,)</f>
        <v>73.306754999999995</v>
      </c>
      <c r="C2413" s="51"/>
      <c r="D2413" s="51"/>
    </row>
    <row r="2414" spans="1:4" x14ac:dyDescent="0.45">
      <c r="A2414" s="7">
        <v>43490</v>
      </c>
      <c r="B2414" s="8">
        <f>VLOOKUP(Table1[[#This Row],[Date]],'BUD data'!A:F,6,)</f>
        <v>73.909003999999996</v>
      </c>
      <c r="C2414" s="51"/>
      <c r="D2414" s="51"/>
    </row>
    <row r="2415" spans="1:4" x14ac:dyDescent="0.45">
      <c r="A2415" s="7">
        <v>43493</v>
      </c>
      <c r="B2415" s="8">
        <f>VLOOKUP(Table1[[#This Row],[Date]],'BUD data'!A:F,6,)</f>
        <v>72.743995999999996</v>
      </c>
      <c r="C2415" s="51"/>
      <c r="D2415" s="51"/>
    </row>
    <row r="2416" spans="1:4" x14ac:dyDescent="0.45">
      <c r="A2416" s="7">
        <v>43494</v>
      </c>
      <c r="B2416" s="8">
        <f>VLOOKUP(Table1[[#This Row],[Date]],'BUD data'!A:F,6,)</f>
        <v>73.050055999999998</v>
      </c>
      <c r="C2416" s="51"/>
      <c r="D2416" s="51"/>
    </row>
    <row r="2417" spans="1:4" x14ac:dyDescent="0.45">
      <c r="A2417" s="7">
        <v>43495</v>
      </c>
      <c r="B2417" s="8">
        <f>VLOOKUP(Table1[[#This Row],[Date]],'BUD data'!A:F,6,)</f>
        <v>73.987990999999994</v>
      </c>
      <c r="C2417" s="51"/>
      <c r="D2417" s="51"/>
    </row>
    <row r="2418" spans="1:4" x14ac:dyDescent="0.45">
      <c r="A2418" s="7">
        <v>43496</v>
      </c>
      <c r="B2418" s="8">
        <f>VLOOKUP(Table1[[#This Row],[Date]],'BUD data'!A:F,6,)</f>
        <v>75.468933000000007</v>
      </c>
      <c r="C2418" s="51"/>
      <c r="D2418" s="51"/>
    </row>
    <row r="2419" spans="1:4" x14ac:dyDescent="0.45">
      <c r="A2419" s="7">
        <v>43497</v>
      </c>
      <c r="B2419" s="8">
        <f>VLOOKUP(Table1[[#This Row],[Date]],'BUD data'!A:F,6,)</f>
        <v>75.863845999999995</v>
      </c>
      <c r="C2419" s="51"/>
      <c r="D2419" s="51"/>
    </row>
    <row r="2420" spans="1:4" x14ac:dyDescent="0.45">
      <c r="A2420" s="7">
        <v>43500</v>
      </c>
      <c r="B2420" s="8">
        <f>VLOOKUP(Table1[[#This Row],[Date]],'BUD data'!A:F,6,)</f>
        <v>76.426613000000003</v>
      </c>
      <c r="C2420" s="51"/>
      <c r="D2420" s="51"/>
    </row>
    <row r="2421" spans="1:4" x14ac:dyDescent="0.45">
      <c r="A2421" s="7">
        <v>43501</v>
      </c>
      <c r="B2421" s="8">
        <f>VLOOKUP(Table1[[#This Row],[Date]],'BUD data'!A:F,6,)</f>
        <v>77.858192000000003</v>
      </c>
      <c r="C2421" s="51"/>
      <c r="D2421" s="51"/>
    </row>
    <row r="2422" spans="1:4" x14ac:dyDescent="0.45">
      <c r="A2422" s="7">
        <v>43502</v>
      </c>
      <c r="B2422" s="8">
        <f>VLOOKUP(Table1[[#This Row],[Date]],'BUD data'!A:F,6,)</f>
        <v>77.305305000000004</v>
      </c>
      <c r="C2422" s="51"/>
      <c r="D2422" s="51"/>
    </row>
    <row r="2423" spans="1:4" x14ac:dyDescent="0.45">
      <c r="A2423" s="7">
        <v>43503</v>
      </c>
      <c r="B2423" s="8">
        <f>VLOOKUP(Table1[[#This Row],[Date]],'BUD data'!A:F,6,)</f>
        <v>75.923088000000007</v>
      </c>
      <c r="C2423" s="51"/>
      <c r="D2423" s="51"/>
    </row>
    <row r="2424" spans="1:4" x14ac:dyDescent="0.45">
      <c r="A2424" s="7">
        <v>43504</v>
      </c>
      <c r="B2424" s="8">
        <f>VLOOKUP(Table1[[#This Row],[Date]],'BUD data'!A:F,6,)</f>
        <v>75.182616999999993</v>
      </c>
      <c r="C2424" s="51"/>
      <c r="D2424" s="51"/>
    </row>
    <row r="2425" spans="1:4" x14ac:dyDescent="0.45">
      <c r="A2425" s="7">
        <v>43507</v>
      </c>
      <c r="B2425" s="8">
        <f>VLOOKUP(Table1[[#This Row],[Date]],'BUD data'!A:F,6,)</f>
        <v>75.399826000000004</v>
      </c>
      <c r="C2425" s="51"/>
      <c r="D2425" s="51"/>
    </row>
    <row r="2426" spans="1:4" x14ac:dyDescent="0.45">
      <c r="A2426" s="7">
        <v>43508</v>
      </c>
      <c r="B2426" s="8">
        <f>VLOOKUP(Table1[[#This Row],[Date]],'BUD data'!A:F,6,)</f>
        <v>75.380073999999993</v>
      </c>
      <c r="C2426" s="51"/>
      <c r="D2426" s="51"/>
    </row>
    <row r="2427" spans="1:4" x14ac:dyDescent="0.45">
      <c r="A2427" s="7">
        <v>43509</v>
      </c>
      <c r="B2427" s="8">
        <f>VLOOKUP(Table1[[#This Row],[Date]],'BUD data'!A:F,6,)</f>
        <v>76.752419000000003</v>
      </c>
      <c r="C2427" s="51"/>
      <c r="D2427" s="51"/>
    </row>
    <row r="2428" spans="1:4" x14ac:dyDescent="0.45">
      <c r="A2428" s="7">
        <v>43510</v>
      </c>
      <c r="B2428" s="8">
        <f>VLOOKUP(Table1[[#This Row],[Date]],'BUD data'!A:F,6,)</f>
        <v>74.935790999999995</v>
      </c>
      <c r="C2428" s="51"/>
      <c r="D2428" s="51"/>
    </row>
    <row r="2429" spans="1:4" x14ac:dyDescent="0.45">
      <c r="A2429" s="7">
        <v>43511</v>
      </c>
      <c r="B2429" s="8">
        <f>VLOOKUP(Table1[[#This Row],[Date]],'BUD data'!A:F,6,)</f>
        <v>76.703056000000004</v>
      </c>
      <c r="C2429" s="51"/>
      <c r="D2429" s="51"/>
    </row>
    <row r="2430" spans="1:4" x14ac:dyDescent="0.45">
      <c r="A2430" s="7">
        <v>43515</v>
      </c>
      <c r="B2430" s="8">
        <f>VLOOKUP(Table1[[#This Row],[Date]],'BUD data'!A:F,6,)</f>
        <v>76.130424000000005</v>
      </c>
      <c r="C2430" s="51"/>
      <c r="D2430" s="51"/>
    </row>
    <row r="2431" spans="1:4" x14ac:dyDescent="0.45">
      <c r="A2431" s="7">
        <v>43516</v>
      </c>
      <c r="B2431" s="8">
        <f>VLOOKUP(Table1[[#This Row],[Date]],'BUD data'!A:F,6,)</f>
        <v>76.693184000000002</v>
      </c>
      <c r="C2431" s="51"/>
      <c r="D2431" s="51"/>
    </row>
    <row r="2432" spans="1:4" x14ac:dyDescent="0.45">
      <c r="A2432" s="7">
        <v>43517</v>
      </c>
      <c r="B2432" s="8">
        <f>VLOOKUP(Table1[[#This Row],[Date]],'BUD data'!A:F,6,)</f>
        <v>76.515465000000006</v>
      </c>
      <c r="C2432" s="51"/>
      <c r="D2432" s="51"/>
    </row>
    <row r="2433" spans="1:4" x14ac:dyDescent="0.45">
      <c r="A2433" s="7">
        <v>43518</v>
      </c>
      <c r="B2433" s="8">
        <f>VLOOKUP(Table1[[#This Row],[Date]],'BUD data'!A:F,6,)</f>
        <v>74.086715999999996</v>
      </c>
      <c r="C2433" s="51"/>
      <c r="D2433" s="51"/>
    </row>
    <row r="2434" spans="1:4" x14ac:dyDescent="0.45">
      <c r="A2434" s="7">
        <v>43521</v>
      </c>
      <c r="B2434" s="8">
        <f>VLOOKUP(Table1[[#This Row],[Date]],'BUD data'!A:F,6,)</f>
        <v>73.909003999999996</v>
      </c>
      <c r="C2434" s="51"/>
      <c r="D2434" s="51"/>
    </row>
    <row r="2435" spans="1:4" x14ac:dyDescent="0.45">
      <c r="A2435" s="7">
        <v>43522</v>
      </c>
      <c r="B2435" s="8">
        <f>VLOOKUP(Table1[[#This Row],[Date]],'BUD data'!A:F,6,)</f>
        <v>74.244681999999997</v>
      </c>
      <c r="C2435" s="51"/>
      <c r="D2435" s="51"/>
    </row>
    <row r="2436" spans="1:4" x14ac:dyDescent="0.45">
      <c r="A2436" s="7">
        <v>43523</v>
      </c>
      <c r="B2436" s="8">
        <f>VLOOKUP(Table1[[#This Row],[Date]],'BUD data'!A:F,6,)</f>
        <v>73.770781999999997</v>
      </c>
      <c r="C2436" s="51"/>
      <c r="D2436" s="51"/>
    </row>
    <row r="2437" spans="1:4" x14ac:dyDescent="0.45">
      <c r="A2437" s="7">
        <v>43524</v>
      </c>
      <c r="B2437" s="8">
        <f>VLOOKUP(Table1[[#This Row],[Date]],'BUD data'!A:F,6,)</f>
        <v>77.167084000000003</v>
      </c>
      <c r="C2437" s="51"/>
      <c r="D2437" s="51"/>
    </row>
    <row r="2438" spans="1:4" x14ac:dyDescent="0.45">
      <c r="A2438" s="7">
        <v>43525</v>
      </c>
      <c r="B2438" s="8">
        <f>VLOOKUP(Table1[[#This Row],[Date]],'BUD data'!A:F,6,)</f>
        <v>80.918807999999999</v>
      </c>
      <c r="C2438" s="51"/>
      <c r="D2438" s="51"/>
    </row>
    <row r="2439" spans="1:4" x14ac:dyDescent="0.45">
      <c r="A2439" s="7">
        <v>43528</v>
      </c>
      <c r="B2439" s="8">
        <f>VLOOKUP(Table1[[#This Row],[Date]],'BUD data'!A:F,6,)</f>
        <v>80.741095999999999</v>
      </c>
      <c r="C2439" s="51"/>
      <c r="D2439" s="51"/>
    </row>
    <row r="2440" spans="1:4" x14ac:dyDescent="0.45">
      <c r="A2440" s="7">
        <v>43529</v>
      </c>
      <c r="B2440" s="8">
        <f>VLOOKUP(Table1[[#This Row],[Date]],'BUD data'!A:F,6,)</f>
        <v>81.155754000000002</v>
      </c>
      <c r="C2440" s="51"/>
      <c r="D2440" s="51"/>
    </row>
    <row r="2441" spans="1:4" x14ac:dyDescent="0.45">
      <c r="A2441" s="7">
        <v>43530</v>
      </c>
      <c r="B2441" s="8">
        <f>VLOOKUP(Table1[[#This Row],[Date]],'BUD data'!A:F,6,)</f>
        <v>81.086646999999999</v>
      </c>
      <c r="C2441" s="51"/>
      <c r="D2441" s="51"/>
    </row>
    <row r="2442" spans="1:4" x14ac:dyDescent="0.45">
      <c r="A2442" s="7">
        <v>43531</v>
      </c>
      <c r="B2442" s="8">
        <f>VLOOKUP(Table1[[#This Row],[Date]],'BUD data'!A:F,6,)</f>
        <v>79.339134000000001</v>
      </c>
      <c r="C2442" s="51"/>
      <c r="D2442" s="51"/>
    </row>
    <row r="2443" spans="1:4" x14ac:dyDescent="0.45">
      <c r="A2443" s="7">
        <v>43532</v>
      </c>
      <c r="B2443" s="8">
        <f>VLOOKUP(Table1[[#This Row],[Date]],'BUD data'!A:F,6,)</f>
        <v>79.556342999999998</v>
      </c>
      <c r="C2443" s="51"/>
      <c r="D2443" s="51"/>
    </row>
    <row r="2444" spans="1:4" x14ac:dyDescent="0.45">
      <c r="A2444" s="7">
        <v>43535</v>
      </c>
      <c r="B2444" s="8">
        <f>VLOOKUP(Table1[[#This Row],[Date]],'BUD data'!A:F,6,)</f>
        <v>79.773544000000001</v>
      </c>
      <c r="C2444" s="51"/>
      <c r="D2444" s="51"/>
    </row>
    <row r="2445" spans="1:4" x14ac:dyDescent="0.45">
      <c r="A2445" s="7">
        <v>43536</v>
      </c>
      <c r="B2445" s="8">
        <f>VLOOKUP(Table1[[#This Row],[Date]],'BUD data'!A:F,6,)</f>
        <v>79.674812000000003</v>
      </c>
      <c r="C2445" s="51"/>
      <c r="D2445" s="51"/>
    </row>
    <row r="2446" spans="1:4" x14ac:dyDescent="0.45">
      <c r="A2446" s="7">
        <v>43537</v>
      </c>
      <c r="B2446" s="8">
        <f>VLOOKUP(Table1[[#This Row],[Date]],'BUD data'!A:F,6,)</f>
        <v>79.704436999999999</v>
      </c>
      <c r="C2446" s="51"/>
      <c r="D2446" s="51"/>
    </row>
    <row r="2447" spans="1:4" x14ac:dyDescent="0.45">
      <c r="A2447" s="7">
        <v>43538</v>
      </c>
      <c r="B2447" s="8">
        <f>VLOOKUP(Table1[[#This Row],[Date]],'BUD data'!A:F,6,)</f>
        <v>78.638153000000003</v>
      </c>
      <c r="C2447" s="51"/>
      <c r="D2447" s="51"/>
    </row>
    <row r="2448" spans="1:4" x14ac:dyDescent="0.45">
      <c r="A2448" s="7">
        <v>43539</v>
      </c>
      <c r="B2448" s="8">
        <f>VLOOKUP(Table1[[#This Row],[Date]],'BUD data'!A:F,6,)</f>
        <v>80.217827</v>
      </c>
      <c r="C2448" s="51"/>
      <c r="D2448" s="51"/>
    </row>
    <row r="2449" spans="1:4" x14ac:dyDescent="0.45">
      <c r="A2449" s="7">
        <v>43542</v>
      </c>
      <c r="B2449" s="8">
        <f>VLOOKUP(Table1[[#This Row],[Date]],'BUD data'!A:F,6,)</f>
        <v>81.027411999999998</v>
      </c>
      <c r="C2449" s="51"/>
      <c r="D2449" s="51"/>
    </row>
    <row r="2450" spans="1:4" x14ac:dyDescent="0.45">
      <c r="A2450" s="7">
        <v>43543</v>
      </c>
      <c r="B2450" s="8">
        <f>VLOOKUP(Table1[[#This Row],[Date]],'BUD data'!A:F,6,)</f>
        <v>82.804550000000006</v>
      </c>
      <c r="C2450" s="51"/>
      <c r="D2450" s="51"/>
    </row>
    <row r="2451" spans="1:4" x14ac:dyDescent="0.45">
      <c r="A2451" s="7">
        <v>43544</v>
      </c>
      <c r="B2451" s="8">
        <f>VLOOKUP(Table1[[#This Row],[Date]],'BUD data'!A:F,6,)</f>
        <v>82.370131999999998</v>
      </c>
      <c r="C2451" s="51"/>
      <c r="D2451" s="51"/>
    </row>
    <row r="2452" spans="1:4" x14ac:dyDescent="0.45">
      <c r="A2452" s="7">
        <v>43545</v>
      </c>
      <c r="B2452" s="8">
        <f>VLOOKUP(Table1[[#This Row],[Date]],'BUD data'!A:F,6,)</f>
        <v>82.853904999999997</v>
      </c>
      <c r="C2452" s="51"/>
      <c r="D2452" s="51"/>
    </row>
    <row r="2453" spans="1:4" x14ac:dyDescent="0.45">
      <c r="A2453" s="7">
        <v>43546</v>
      </c>
      <c r="B2453" s="8">
        <f>VLOOKUP(Table1[[#This Row],[Date]],'BUD data'!A:F,6,)</f>
        <v>79.714302000000004</v>
      </c>
      <c r="C2453" s="51"/>
      <c r="D2453" s="51"/>
    </row>
    <row r="2454" spans="1:4" x14ac:dyDescent="0.45">
      <c r="A2454" s="7">
        <v>43549</v>
      </c>
      <c r="B2454" s="8">
        <f>VLOOKUP(Table1[[#This Row],[Date]],'BUD data'!A:F,6,)</f>
        <v>79.329262</v>
      </c>
      <c r="C2454" s="51"/>
      <c r="D2454" s="51"/>
    </row>
    <row r="2455" spans="1:4" x14ac:dyDescent="0.45">
      <c r="A2455" s="7">
        <v>43550</v>
      </c>
      <c r="B2455" s="8">
        <f>VLOOKUP(Table1[[#This Row],[Date]],'BUD data'!A:F,6,)</f>
        <v>80.987915000000001</v>
      </c>
      <c r="C2455" s="51"/>
      <c r="D2455" s="51"/>
    </row>
    <row r="2456" spans="1:4" x14ac:dyDescent="0.45">
      <c r="A2456" s="7">
        <v>43551</v>
      </c>
      <c r="B2456" s="8">
        <f>VLOOKUP(Table1[[#This Row],[Date]],'BUD data'!A:F,6,)</f>
        <v>81.412452999999999</v>
      </c>
      <c r="C2456" s="51"/>
      <c r="D2456" s="51"/>
    </row>
    <row r="2457" spans="1:4" x14ac:dyDescent="0.45">
      <c r="A2457" s="7">
        <v>43552</v>
      </c>
      <c r="B2457" s="8">
        <f>VLOOKUP(Table1[[#This Row],[Date]],'BUD data'!A:F,6,)</f>
        <v>81.649405999999999</v>
      </c>
      <c r="C2457" s="51"/>
      <c r="D2457" s="51"/>
    </row>
    <row r="2458" spans="1:4" x14ac:dyDescent="0.45">
      <c r="A2458" s="7">
        <v>43553</v>
      </c>
      <c r="B2458" s="8">
        <f>VLOOKUP(Table1[[#This Row],[Date]],'BUD data'!A:F,6,)</f>
        <v>82.903274999999994</v>
      </c>
      <c r="C2458" s="51"/>
      <c r="D2458" s="51"/>
    </row>
    <row r="2459" spans="1:4" x14ac:dyDescent="0.45">
      <c r="A2459" s="7">
        <v>43556</v>
      </c>
      <c r="B2459" s="8">
        <f>VLOOKUP(Table1[[#This Row],[Date]],'BUD data'!A:F,6,)</f>
        <v>82.577468999999994</v>
      </c>
      <c r="C2459" s="51"/>
      <c r="D2459" s="51"/>
    </row>
    <row r="2460" spans="1:4" x14ac:dyDescent="0.45">
      <c r="A2460" s="7">
        <v>43557</v>
      </c>
      <c r="B2460" s="8">
        <f>VLOOKUP(Table1[[#This Row],[Date]],'BUD data'!A:F,6,)</f>
        <v>83.110602999999998</v>
      </c>
      <c r="C2460" s="51"/>
      <c r="D2460" s="51"/>
    </row>
    <row r="2461" spans="1:4" x14ac:dyDescent="0.45">
      <c r="A2461" s="7">
        <v>43558</v>
      </c>
      <c r="B2461" s="8">
        <f>VLOOKUP(Table1[[#This Row],[Date]],'BUD data'!A:F,6,)</f>
        <v>82.784797999999995</v>
      </c>
      <c r="C2461" s="51"/>
      <c r="D2461" s="51"/>
    </row>
    <row r="2462" spans="1:4" x14ac:dyDescent="0.45">
      <c r="A2462" s="7">
        <v>43559</v>
      </c>
      <c r="B2462" s="8">
        <f>VLOOKUP(Table1[[#This Row],[Date]],'BUD data'!A:F,6,)</f>
        <v>83.910315999999995</v>
      </c>
      <c r="C2462" s="51"/>
      <c r="D2462" s="51"/>
    </row>
    <row r="2463" spans="1:4" x14ac:dyDescent="0.45">
      <c r="A2463" s="7">
        <v>43560</v>
      </c>
      <c r="B2463" s="8">
        <f>VLOOKUP(Table1[[#This Row],[Date]],'BUD data'!A:F,6,)</f>
        <v>85.223419000000007</v>
      </c>
      <c r="C2463" s="51"/>
      <c r="D2463" s="51"/>
    </row>
    <row r="2464" spans="1:4" x14ac:dyDescent="0.45">
      <c r="A2464" s="7">
        <v>43563</v>
      </c>
      <c r="B2464" s="8">
        <f>VLOOKUP(Table1[[#This Row],[Date]],'BUD data'!A:F,6,)</f>
        <v>84.966721000000007</v>
      </c>
      <c r="C2464" s="51"/>
      <c r="D2464" s="51"/>
    </row>
    <row r="2465" spans="1:4" x14ac:dyDescent="0.45">
      <c r="A2465" s="7">
        <v>43564</v>
      </c>
      <c r="B2465" s="8">
        <f>VLOOKUP(Table1[[#This Row],[Date]],'BUD data'!A:F,6,)</f>
        <v>85.332024000000004</v>
      </c>
      <c r="C2465" s="51"/>
      <c r="D2465" s="51"/>
    </row>
    <row r="2466" spans="1:4" x14ac:dyDescent="0.45">
      <c r="A2466" s="7">
        <v>43565</v>
      </c>
      <c r="B2466" s="8">
        <f>VLOOKUP(Table1[[#This Row],[Date]],'BUD data'!A:F,6,)</f>
        <v>86.121864000000002</v>
      </c>
      <c r="C2466" s="51"/>
      <c r="D2466" s="51"/>
    </row>
    <row r="2467" spans="1:4" x14ac:dyDescent="0.45">
      <c r="A2467" s="7">
        <v>43566</v>
      </c>
      <c r="B2467" s="8">
        <f>VLOOKUP(Table1[[#This Row],[Date]],'BUD data'!A:F,6,)</f>
        <v>86.852463</v>
      </c>
      <c r="C2467" s="51"/>
      <c r="D2467" s="51"/>
    </row>
    <row r="2468" spans="1:4" x14ac:dyDescent="0.45">
      <c r="A2468" s="7">
        <v>43567</v>
      </c>
      <c r="B2468" s="8">
        <f>VLOOKUP(Table1[[#This Row],[Date]],'BUD data'!A:F,6,)</f>
        <v>87.415222</v>
      </c>
      <c r="C2468" s="51"/>
      <c r="D2468" s="51"/>
    </row>
    <row r="2469" spans="1:4" x14ac:dyDescent="0.45">
      <c r="A2469" s="7">
        <v>43570</v>
      </c>
      <c r="B2469" s="8">
        <f>VLOOKUP(Table1[[#This Row],[Date]],'BUD data'!A:F,6,)</f>
        <v>87.977974000000003</v>
      </c>
      <c r="C2469" s="51"/>
      <c r="D2469" s="51"/>
    </row>
    <row r="2470" spans="1:4" x14ac:dyDescent="0.45">
      <c r="A2470" s="7">
        <v>43571</v>
      </c>
      <c r="B2470" s="8">
        <f>VLOOKUP(Table1[[#This Row],[Date]],'BUD data'!A:F,6,)</f>
        <v>87.592934</v>
      </c>
      <c r="C2470" s="51"/>
      <c r="D2470" s="51"/>
    </row>
    <row r="2471" spans="1:4" x14ac:dyDescent="0.45">
      <c r="A2471" s="7">
        <v>43572</v>
      </c>
      <c r="B2471" s="8">
        <f>VLOOKUP(Table1[[#This Row],[Date]],'BUD data'!A:F,6,)</f>
        <v>87.207886000000002</v>
      </c>
      <c r="C2471" s="51"/>
      <c r="D2471" s="51"/>
    </row>
    <row r="2472" spans="1:4" x14ac:dyDescent="0.45">
      <c r="A2472" s="7">
        <v>43573</v>
      </c>
      <c r="B2472" s="8">
        <f>VLOOKUP(Table1[[#This Row],[Date]],'BUD data'!A:F,6,)</f>
        <v>88.817177000000001</v>
      </c>
      <c r="C2472" s="51"/>
      <c r="D2472" s="51"/>
    </row>
    <row r="2473" spans="1:4" x14ac:dyDescent="0.45">
      <c r="A2473" s="7">
        <v>43577</v>
      </c>
      <c r="B2473" s="8">
        <f>VLOOKUP(Table1[[#This Row],[Date]],'BUD data'!A:F,6,)</f>
        <v>88.461753999999999</v>
      </c>
      <c r="C2473" s="51"/>
      <c r="D2473" s="51"/>
    </row>
    <row r="2474" spans="1:4" x14ac:dyDescent="0.45">
      <c r="A2474" s="7">
        <v>43578</v>
      </c>
      <c r="B2474" s="8">
        <f>VLOOKUP(Table1[[#This Row],[Date]],'BUD data'!A:F,6,)</f>
        <v>88.116196000000002</v>
      </c>
      <c r="C2474" s="51"/>
      <c r="D2474" s="51"/>
    </row>
    <row r="2475" spans="1:4" x14ac:dyDescent="0.45">
      <c r="A2475" s="7">
        <v>43579</v>
      </c>
      <c r="B2475" s="8">
        <f>VLOOKUP(Table1[[#This Row],[Date]],'BUD data'!A:F,6,)</f>
        <v>87.089409000000003</v>
      </c>
      <c r="C2475" s="51"/>
      <c r="D2475" s="51"/>
    </row>
    <row r="2476" spans="1:4" x14ac:dyDescent="0.45">
      <c r="A2476" s="7">
        <v>43580</v>
      </c>
      <c r="B2476" s="8">
        <f>VLOOKUP(Table1[[#This Row],[Date]],'BUD data'!A:F,6,)</f>
        <v>85.539351999999994</v>
      </c>
      <c r="C2476" s="51"/>
      <c r="D2476" s="51"/>
    </row>
    <row r="2477" spans="1:4" x14ac:dyDescent="0.45">
      <c r="A2477" s="7">
        <v>43581</v>
      </c>
      <c r="B2477" s="8">
        <f>VLOOKUP(Table1[[#This Row],[Date]],'BUD data'!A:F,6,)</f>
        <v>86.467415000000003</v>
      </c>
      <c r="C2477" s="51"/>
      <c r="D2477" s="51"/>
    </row>
    <row r="2478" spans="1:4" x14ac:dyDescent="0.45">
      <c r="A2478" s="7">
        <v>43584</v>
      </c>
      <c r="B2478" s="8">
        <f>VLOOKUP(Table1[[#This Row],[Date]],'BUD data'!A:F,6,)</f>
        <v>86.891953000000001</v>
      </c>
      <c r="C2478" s="51"/>
      <c r="D2478" s="51"/>
    </row>
    <row r="2479" spans="1:4" x14ac:dyDescent="0.45">
      <c r="A2479" s="7">
        <v>43585</v>
      </c>
      <c r="B2479" s="8">
        <f>VLOOKUP(Table1[[#This Row],[Date]],'BUD data'!A:F,6,)</f>
        <v>87.810142999999997</v>
      </c>
      <c r="C2479" s="51"/>
      <c r="D2479" s="51"/>
    </row>
    <row r="2480" spans="1:4" x14ac:dyDescent="0.45">
      <c r="A2480" s="7">
        <v>43586</v>
      </c>
      <c r="B2480" s="8">
        <f>VLOOKUP(Table1[[#This Row],[Date]],'BUD data'!A:F,6,)</f>
        <v>86.694489000000004</v>
      </c>
      <c r="C2480" s="51"/>
      <c r="D2480" s="51"/>
    </row>
    <row r="2481" spans="1:4" x14ac:dyDescent="0.45">
      <c r="A2481" s="7">
        <v>43587</v>
      </c>
      <c r="B2481" s="8">
        <f>VLOOKUP(Table1[[#This Row],[Date]],'BUD data'!A:F,6,)</f>
        <v>86.427925000000002</v>
      </c>
      <c r="C2481" s="51"/>
      <c r="D2481" s="51"/>
    </row>
    <row r="2482" spans="1:4" x14ac:dyDescent="0.45">
      <c r="A2482" s="7">
        <v>43588</v>
      </c>
      <c r="B2482" s="8">
        <f>VLOOKUP(Table1[[#This Row],[Date]],'BUD data'!A:F,6,)</f>
        <v>86.980804000000006</v>
      </c>
      <c r="C2482" s="51"/>
      <c r="D2482" s="51"/>
    </row>
    <row r="2483" spans="1:4" x14ac:dyDescent="0.45">
      <c r="A2483" s="7">
        <v>43591</v>
      </c>
      <c r="B2483" s="8">
        <f>VLOOKUP(Table1[[#This Row],[Date]],'BUD data'!A:F,6,)</f>
        <v>86.654999000000004</v>
      </c>
      <c r="C2483" s="51"/>
      <c r="D2483" s="51"/>
    </row>
    <row r="2484" spans="1:4" x14ac:dyDescent="0.45">
      <c r="A2484" s="7">
        <v>43592</v>
      </c>
      <c r="B2484" s="8">
        <f>VLOOKUP(Table1[[#This Row],[Date]],'BUD data'!A:F,6,)</f>
        <v>84.260002</v>
      </c>
      <c r="C2484" s="51"/>
      <c r="D2484" s="51"/>
    </row>
    <row r="2485" spans="1:4" x14ac:dyDescent="0.45">
      <c r="A2485" s="7">
        <v>43593</v>
      </c>
      <c r="B2485" s="8">
        <f>VLOOKUP(Table1[[#This Row],[Date]],'BUD data'!A:F,6,)</f>
        <v>84.940002000000007</v>
      </c>
      <c r="C2485" s="51"/>
      <c r="D2485" s="51"/>
    </row>
    <row r="2486" spans="1:4" x14ac:dyDescent="0.45">
      <c r="A2486" s="7">
        <v>43594</v>
      </c>
      <c r="B2486" s="8">
        <f>VLOOKUP(Table1[[#This Row],[Date]],'BUD data'!A:F,6,)</f>
        <v>83.940002000000007</v>
      </c>
      <c r="C2486" s="51"/>
      <c r="D2486" s="51"/>
    </row>
    <row r="2487" spans="1:4" x14ac:dyDescent="0.45">
      <c r="A2487" s="7">
        <v>43595</v>
      </c>
      <c r="B2487" s="8">
        <f>VLOOKUP(Table1[[#This Row],[Date]],'BUD data'!A:F,6,)</f>
        <v>84.139999000000003</v>
      </c>
      <c r="C2487" s="51"/>
      <c r="D2487" s="51"/>
    </row>
    <row r="2488" spans="1:4" x14ac:dyDescent="0.45">
      <c r="A2488" s="7">
        <v>43598</v>
      </c>
      <c r="B2488" s="8">
        <f>VLOOKUP(Table1[[#This Row],[Date]],'BUD data'!A:F,6,)</f>
        <v>82.730002999999996</v>
      </c>
      <c r="C2488" s="51"/>
      <c r="D2488" s="51"/>
    </row>
    <row r="2489" spans="1:4" x14ac:dyDescent="0.45">
      <c r="A2489" s="7">
        <v>43599</v>
      </c>
      <c r="B2489" s="8">
        <f>VLOOKUP(Table1[[#This Row],[Date]],'BUD data'!A:F,6,)</f>
        <v>83.010002</v>
      </c>
      <c r="C2489" s="51"/>
      <c r="D2489" s="51"/>
    </row>
    <row r="2490" spans="1:4" x14ac:dyDescent="0.45">
      <c r="A2490" s="7">
        <v>43600</v>
      </c>
      <c r="B2490" s="8">
        <f>VLOOKUP(Table1[[#This Row],[Date]],'BUD data'!A:F,6,)</f>
        <v>83.830001999999993</v>
      </c>
      <c r="C2490" s="51"/>
      <c r="D2490" s="51"/>
    </row>
    <row r="2491" spans="1:4" x14ac:dyDescent="0.45">
      <c r="A2491" s="7">
        <v>43601</v>
      </c>
      <c r="B2491" s="8">
        <f>VLOOKUP(Table1[[#This Row],[Date]],'BUD data'!A:F,6,)</f>
        <v>83.879997000000003</v>
      </c>
      <c r="C2491" s="51"/>
      <c r="D2491" s="51"/>
    </row>
    <row r="2492" spans="1:4" x14ac:dyDescent="0.45">
      <c r="A2492" s="7">
        <v>43602</v>
      </c>
      <c r="B2492" s="8">
        <f>VLOOKUP(Table1[[#This Row],[Date]],'BUD data'!A:F,6,)</f>
        <v>82.639999000000003</v>
      </c>
      <c r="C2492" s="51"/>
      <c r="D2492" s="51"/>
    </row>
    <row r="2493" spans="1:4" x14ac:dyDescent="0.45">
      <c r="A2493" s="7">
        <v>43605</v>
      </c>
      <c r="B2493" s="8">
        <f>VLOOKUP(Table1[[#This Row],[Date]],'BUD data'!A:F,6,)</f>
        <v>81.010002</v>
      </c>
      <c r="C2493" s="51"/>
      <c r="D2493" s="51"/>
    </row>
    <row r="2494" spans="1:4" x14ac:dyDescent="0.45">
      <c r="A2494" s="7">
        <v>43606</v>
      </c>
      <c r="B2494" s="8">
        <f>VLOOKUP(Table1[[#This Row],[Date]],'BUD data'!A:F,6,)</f>
        <v>81</v>
      </c>
      <c r="C2494" s="51"/>
      <c r="D2494" s="51"/>
    </row>
    <row r="2495" spans="1:4" x14ac:dyDescent="0.45">
      <c r="A2495" s="7">
        <v>43607</v>
      </c>
      <c r="B2495" s="8">
        <f>VLOOKUP(Table1[[#This Row],[Date]],'BUD data'!A:F,6,)</f>
        <v>82.620002999999997</v>
      </c>
      <c r="C2495" s="51"/>
      <c r="D2495" s="51"/>
    </row>
    <row r="2496" spans="1:4" x14ac:dyDescent="0.45">
      <c r="A2496" s="7">
        <v>43608</v>
      </c>
      <c r="B2496" s="8">
        <f>VLOOKUP(Table1[[#This Row],[Date]],'BUD data'!A:F,6,)</f>
        <v>82.300003000000004</v>
      </c>
      <c r="C2496" s="51"/>
      <c r="D2496" s="51"/>
    </row>
    <row r="2497" spans="1:4" x14ac:dyDescent="0.45">
      <c r="A2497" s="7">
        <v>43609</v>
      </c>
      <c r="B2497" s="8">
        <f>VLOOKUP(Table1[[#This Row],[Date]],'BUD data'!A:F,6,)</f>
        <v>82.760002</v>
      </c>
      <c r="C2497" s="51"/>
      <c r="D2497" s="51"/>
    </row>
    <row r="2498" spans="1:4" x14ac:dyDescent="0.45">
      <c r="A2498" s="7">
        <v>43613</v>
      </c>
      <c r="B2498" s="8">
        <f>VLOOKUP(Table1[[#This Row],[Date]],'BUD data'!A:F,6,)</f>
        <v>82.349997999999999</v>
      </c>
      <c r="C2498" s="51"/>
      <c r="D2498" s="51"/>
    </row>
    <row r="2499" spans="1:4" x14ac:dyDescent="0.45">
      <c r="A2499" s="7">
        <v>43614</v>
      </c>
      <c r="B2499" s="8">
        <f>VLOOKUP(Table1[[#This Row],[Date]],'BUD data'!A:F,6,)</f>
        <v>81.300003000000004</v>
      </c>
      <c r="C2499" s="51"/>
      <c r="D2499" s="51"/>
    </row>
    <row r="2500" spans="1:4" x14ac:dyDescent="0.45">
      <c r="A2500" s="7">
        <v>43615</v>
      </c>
      <c r="B2500" s="8">
        <f>VLOOKUP(Table1[[#This Row],[Date]],'BUD data'!A:F,6,)</f>
        <v>82.379997000000003</v>
      </c>
      <c r="C2500" s="51"/>
      <c r="D2500" s="51"/>
    </row>
    <row r="2501" spans="1:4" x14ac:dyDescent="0.45">
      <c r="A2501" s="7">
        <v>43616</v>
      </c>
      <c r="B2501" s="8">
        <f>VLOOKUP(Table1[[#This Row],[Date]],'BUD data'!A:F,6,)</f>
        <v>81.400002000000001</v>
      </c>
      <c r="C2501" s="51"/>
      <c r="D2501" s="51"/>
    </row>
    <row r="2502" spans="1:4" x14ac:dyDescent="0.45">
      <c r="A2502" s="7">
        <v>43619</v>
      </c>
      <c r="B2502" s="8">
        <f>VLOOKUP(Table1[[#This Row],[Date]],'BUD data'!A:F,6,)</f>
        <v>82.279999000000004</v>
      </c>
      <c r="C2502" s="51"/>
      <c r="D2502" s="51"/>
    </row>
    <row r="2503" spans="1:4" x14ac:dyDescent="0.45">
      <c r="A2503" s="7">
        <v>43620</v>
      </c>
      <c r="B2503" s="8">
        <f>VLOOKUP(Table1[[#This Row],[Date]],'BUD data'!A:F,6,)</f>
        <v>83.940002000000007</v>
      </c>
      <c r="C2503" s="51"/>
      <c r="D2503" s="51"/>
    </row>
    <row r="2504" spans="1:4" x14ac:dyDescent="0.45">
      <c r="A2504" s="7">
        <v>43621</v>
      </c>
      <c r="B2504" s="8">
        <f>VLOOKUP(Table1[[#This Row],[Date]],'BUD data'!A:F,6,)</f>
        <v>83.269997000000004</v>
      </c>
      <c r="C2504" s="51"/>
      <c r="D2504" s="51"/>
    </row>
    <row r="2505" spans="1:4" x14ac:dyDescent="0.45">
      <c r="A2505" s="7">
        <v>43622</v>
      </c>
      <c r="B2505" s="8">
        <f>VLOOKUP(Table1[[#This Row],[Date]],'BUD data'!A:F,6,)</f>
        <v>84.099997999999999</v>
      </c>
      <c r="C2505" s="51"/>
      <c r="D2505" s="51"/>
    </row>
    <row r="2506" spans="1:4" x14ac:dyDescent="0.45">
      <c r="A2506" s="7">
        <v>43623</v>
      </c>
      <c r="B2506" s="8">
        <f>VLOOKUP(Table1[[#This Row],[Date]],'BUD data'!A:F,6,)</f>
        <v>85.32</v>
      </c>
      <c r="C2506" s="51"/>
      <c r="D2506" s="51"/>
    </row>
    <row r="2507" spans="1:4" x14ac:dyDescent="0.45">
      <c r="A2507" s="7">
        <v>43626</v>
      </c>
      <c r="B2507" s="8">
        <f>VLOOKUP(Table1[[#This Row],[Date]],'BUD data'!A:F,6,)</f>
        <v>85.330001999999993</v>
      </c>
      <c r="C2507" s="51"/>
      <c r="D2507" s="51"/>
    </row>
    <row r="2508" spans="1:4" x14ac:dyDescent="0.45">
      <c r="A2508" s="7">
        <v>43627</v>
      </c>
      <c r="B2508" s="8">
        <f>VLOOKUP(Table1[[#This Row],[Date]],'BUD data'!A:F,6,)</f>
        <v>85.809997999999993</v>
      </c>
      <c r="C2508" s="51"/>
      <c r="D2508" s="51"/>
    </row>
    <row r="2509" spans="1:4" x14ac:dyDescent="0.45">
      <c r="A2509" s="7">
        <v>43628</v>
      </c>
      <c r="B2509" s="8">
        <f>VLOOKUP(Table1[[#This Row],[Date]],'BUD data'!A:F,6,)</f>
        <v>86.800003000000004</v>
      </c>
      <c r="C2509" s="51"/>
      <c r="D2509" s="51"/>
    </row>
    <row r="2510" spans="1:4" x14ac:dyDescent="0.45">
      <c r="A2510" s="7">
        <v>43629</v>
      </c>
      <c r="B2510" s="8">
        <f>VLOOKUP(Table1[[#This Row],[Date]],'BUD data'!A:F,6,)</f>
        <v>85.93</v>
      </c>
      <c r="C2510" s="51"/>
      <c r="D2510" s="51"/>
    </row>
    <row r="2511" spans="1:4" x14ac:dyDescent="0.45">
      <c r="A2511" s="7">
        <v>43630</v>
      </c>
      <c r="B2511" s="8">
        <f>VLOOKUP(Table1[[#This Row],[Date]],'BUD data'!A:F,6,)</f>
        <v>84.18</v>
      </c>
      <c r="C2511" s="51"/>
      <c r="D2511" s="51"/>
    </row>
    <row r="2512" spans="1:4" x14ac:dyDescent="0.45">
      <c r="A2512" s="7">
        <v>43633</v>
      </c>
      <c r="B2512" s="8">
        <f>VLOOKUP(Table1[[#This Row],[Date]],'BUD data'!A:F,6,)</f>
        <v>84.32</v>
      </c>
      <c r="C2512" s="51"/>
      <c r="D2512" s="51"/>
    </row>
    <row r="2513" spans="1:4" x14ac:dyDescent="0.45">
      <c r="A2513" s="7">
        <v>43634</v>
      </c>
      <c r="B2513" s="8">
        <f>VLOOKUP(Table1[[#This Row],[Date]],'BUD data'!A:F,6,)</f>
        <v>86.870002999999997</v>
      </c>
      <c r="C2513" s="51"/>
      <c r="D2513" s="51"/>
    </row>
    <row r="2514" spans="1:4" x14ac:dyDescent="0.45">
      <c r="A2514" s="7">
        <v>43635</v>
      </c>
      <c r="B2514" s="8">
        <f>VLOOKUP(Table1[[#This Row],[Date]],'BUD data'!A:F,6,)</f>
        <v>87.919998000000007</v>
      </c>
      <c r="C2514" s="51"/>
      <c r="D2514" s="51"/>
    </row>
    <row r="2515" spans="1:4" x14ac:dyDescent="0.45">
      <c r="A2515" s="7">
        <v>43636</v>
      </c>
      <c r="B2515" s="8">
        <f>VLOOKUP(Table1[[#This Row],[Date]],'BUD data'!A:F,6,)</f>
        <v>89.739998</v>
      </c>
      <c r="C2515" s="51"/>
      <c r="D2515" s="51"/>
    </row>
    <row r="2516" spans="1:4" x14ac:dyDescent="0.45">
      <c r="A2516" s="7">
        <v>43637</v>
      </c>
      <c r="B2516" s="8">
        <f>VLOOKUP(Table1[[#This Row],[Date]],'BUD data'!A:F,6,)</f>
        <v>90.080001999999993</v>
      </c>
      <c r="C2516" s="51"/>
      <c r="D2516" s="51"/>
    </row>
    <row r="2517" spans="1:4" x14ac:dyDescent="0.45">
      <c r="A2517" s="7">
        <v>43640</v>
      </c>
      <c r="B2517" s="8">
        <f>VLOOKUP(Table1[[#This Row],[Date]],'BUD data'!A:F,6,)</f>
        <v>90.080001999999993</v>
      </c>
      <c r="C2517" s="51"/>
      <c r="D2517" s="51"/>
    </row>
    <row r="2518" spans="1:4" x14ac:dyDescent="0.45">
      <c r="A2518" s="7">
        <v>43641</v>
      </c>
      <c r="B2518" s="8">
        <f>VLOOKUP(Table1[[#This Row],[Date]],'BUD data'!A:F,6,)</f>
        <v>88.400002000000001</v>
      </c>
      <c r="C2518" s="51"/>
      <c r="D2518" s="51"/>
    </row>
    <row r="2519" spans="1:4" x14ac:dyDescent="0.45">
      <c r="A2519" s="7">
        <v>43642</v>
      </c>
      <c r="B2519" s="8">
        <f>VLOOKUP(Table1[[#This Row],[Date]],'BUD data'!A:F,6,)</f>
        <v>87.370002999999997</v>
      </c>
      <c r="C2519" s="51"/>
      <c r="D2519" s="51"/>
    </row>
    <row r="2520" spans="1:4" x14ac:dyDescent="0.45">
      <c r="A2520" s="7">
        <v>43643</v>
      </c>
      <c r="B2520" s="8">
        <f>VLOOKUP(Table1[[#This Row],[Date]],'BUD data'!A:F,6,)</f>
        <v>87.199996999999996</v>
      </c>
      <c r="C2520" s="51"/>
      <c r="D2520" s="51"/>
    </row>
    <row r="2521" spans="1:4" x14ac:dyDescent="0.45">
      <c r="A2521" s="7">
        <v>43644</v>
      </c>
      <c r="B2521" s="8">
        <f>VLOOKUP(Table1[[#This Row],[Date]],'BUD data'!A:F,6,)</f>
        <v>88.510002</v>
      </c>
      <c r="C2521" s="51"/>
      <c r="D2521" s="51"/>
    </row>
    <row r="2522" spans="1:4" x14ac:dyDescent="0.45">
      <c r="A2522" s="7">
        <v>43647</v>
      </c>
      <c r="B2522" s="8">
        <f>VLOOKUP(Table1[[#This Row],[Date]],'BUD data'!A:F,6,)</f>
        <v>88.43</v>
      </c>
      <c r="C2522" s="51"/>
      <c r="D2522" s="51"/>
    </row>
    <row r="2523" spans="1:4" x14ac:dyDescent="0.45">
      <c r="A2523" s="7">
        <v>43648</v>
      </c>
      <c r="B2523" s="8">
        <f>VLOOKUP(Table1[[#This Row],[Date]],'BUD data'!A:F,6,)</f>
        <v>90.650002000000001</v>
      </c>
      <c r="C2523" s="51"/>
      <c r="D2523" s="51"/>
    </row>
    <row r="2524" spans="1:4" x14ac:dyDescent="0.45">
      <c r="A2524" s="7">
        <v>43649</v>
      </c>
      <c r="B2524" s="8">
        <f>VLOOKUP(Table1[[#This Row],[Date]],'BUD data'!A:F,6,)</f>
        <v>93.93</v>
      </c>
      <c r="C2524" s="51"/>
      <c r="D2524" s="51"/>
    </row>
    <row r="2525" spans="1:4" x14ac:dyDescent="0.45">
      <c r="A2525" s="7">
        <v>43651</v>
      </c>
      <c r="B2525" s="8">
        <f>VLOOKUP(Table1[[#This Row],[Date]],'BUD data'!A:F,6,)</f>
        <v>92.709998999999996</v>
      </c>
      <c r="C2525" s="51"/>
      <c r="D2525" s="51"/>
    </row>
    <row r="2526" spans="1:4" x14ac:dyDescent="0.45">
      <c r="A2526" s="7">
        <v>43654</v>
      </c>
      <c r="B2526" s="8">
        <f>VLOOKUP(Table1[[#This Row],[Date]],'BUD data'!A:F,6,)</f>
        <v>91.68</v>
      </c>
      <c r="C2526" s="51"/>
      <c r="D2526" s="51"/>
    </row>
    <row r="2527" spans="1:4" x14ac:dyDescent="0.45">
      <c r="A2527" s="7">
        <v>43655</v>
      </c>
      <c r="B2527" s="8">
        <f>VLOOKUP(Table1[[#This Row],[Date]],'BUD data'!A:F,6,)</f>
        <v>91.510002</v>
      </c>
      <c r="C2527" s="51"/>
      <c r="D2527" s="51"/>
    </row>
    <row r="2528" spans="1:4" x14ac:dyDescent="0.45">
      <c r="A2528" s="7">
        <v>43656</v>
      </c>
      <c r="B2528" s="8">
        <f>VLOOKUP(Table1[[#This Row],[Date]],'BUD data'!A:F,6,)</f>
        <v>91.349997999999999</v>
      </c>
      <c r="C2528" s="51"/>
      <c r="D2528" s="51"/>
    </row>
    <row r="2529" spans="1:4" x14ac:dyDescent="0.45">
      <c r="A2529" s="7">
        <v>43657</v>
      </c>
      <c r="B2529" s="8">
        <f>VLOOKUP(Table1[[#This Row],[Date]],'BUD data'!A:F,6,)</f>
        <v>89.660004000000001</v>
      </c>
      <c r="C2529" s="51"/>
      <c r="D2529" s="51"/>
    </row>
    <row r="2530" spans="1:4" x14ac:dyDescent="0.45">
      <c r="A2530" s="7">
        <v>43658</v>
      </c>
      <c r="B2530" s="8">
        <f>VLOOKUP(Table1[[#This Row],[Date]],'BUD data'!A:F,6,)</f>
        <v>86.940002000000007</v>
      </c>
      <c r="C2530" s="51"/>
      <c r="D2530" s="51"/>
    </row>
    <row r="2531" spans="1:4" x14ac:dyDescent="0.45">
      <c r="A2531" s="7">
        <v>43661</v>
      </c>
      <c r="B2531" s="8">
        <f>VLOOKUP(Table1[[#This Row],[Date]],'BUD data'!A:F,6,)</f>
        <v>88.559997999999993</v>
      </c>
      <c r="C2531" s="51"/>
      <c r="D2531" s="51"/>
    </row>
    <row r="2532" spans="1:4" x14ac:dyDescent="0.45">
      <c r="A2532" s="7">
        <v>43662</v>
      </c>
      <c r="B2532" s="8">
        <f>VLOOKUP(Table1[[#This Row],[Date]],'BUD data'!A:F,6,)</f>
        <v>88.010002</v>
      </c>
      <c r="C2532" s="51"/>
      <c r="D2532" s="51"/>
    </row>
    <row r="2533" spans="1:4" x14ac:dyDescent="0.45">
      <c r="A2533" s="7">
        <v>43663</v>
      </c>
      <c r="B2533" s="8">
        <f>VLOOKUP(Table1[[#This Row],[Date]],'BUD data'!A:F,6,)</f>
        <v>88.419998000000007</v>
      </c>
      <c r="C2533" s="51"/>
      <c r="D2533" s="51"/>
    </row>
    <row r="2534" spans="1:4" x14ac:dyDescent="0.45">
      <c r="A2534" s="7">
        <v>43664</v>
      </c>
      <c r="B2534" s="8">
        <f>VLOOKUP(Table1[[#This Row],[Date]],'BUD data'!A:F,6,)</f>
        <v>89.339995999999999</v>
      </c>
      <c r="C2534" s="51"/>
      <c r="D2534" s="51"/>
    </row>
    <row r="2535" spans="1:4" x14ac:dyDescent="0.45">
      <c r="A2535" s="7">
        <v>43665</v>
      </c>
      <c r="B2535" s="8">
        <f>VLOOKUP(Table1[[#This Row],[Date]],'BUD data'!A:F,6,)</f>
        <v>94.279999000000004</v>
      </c>
      <c r="C2535" s="51"/>
      <c r="D2535" s="51"/>
    </row>
    <row r="2536" spans="1:4" x14ac:dyDescent="0.45">
      <c r="A2536" s="7">
        <v>43668</v>
      </c>
      <c r="B2536" s="8">
        <f>VLOOKUP(Table1[[#This Row],[Date]],'BUD data'!A:F,6,)</f>
        <v>94.970000999999996</v>
      </c>
      <c r="C2536" s="51"/>
      <c r="D2536" s="51"/>
    </row>
    <row r="2537" spans="1:4" x14ac:dyDescent="0.45">
      <c r="A2537" s="7">
        <v>43669</v>
      </c>
      <c r="B2537" s="8">
        <f>VLOOKUP(Table1[[#This Row],[Date]],'BUD data'!A:F,6,)</f>
        <v>95.830001999999993</v>
      </c>
      <c r="C2537" s="51"/>
      <c r="D2537" s="51"/>
    </row>
    <row r="2538" spans="1:4" x14ac:dyDescent="0.45">
      <c r="A2538" s="7">
        <v>43670</v>
      </c>
      <c r="B2538" s="8">
        <f>VLOOKUP(Table1[[#This Row],[Date]],'BUD data'!A:F,6,)</f>
        <v>95.559997999999993</v>
      </c>
      <c r="C2538" s="51"/>
      <c r="D2538" s="51"/>
    </row>
    <row r="2539" spans="1:4" x14ac:dyDescent="0.45">
      <c r="A2539" s="7">
        <v>43671</v>
      </c>
      <c r="B2539" s="8">
        <f>VLOOKUP(Table1[[#This Row],[Date]],'BUD data'!A:F,6,)</f>
        <v>99.489998</v>
      </c>
      <c r="C2539" s="51"/>
      <c r="D2539" s="51"/>
    </row>
    <row r="2540" spans="1:4" x14ac:dyDescent="0.45">
      <c r="A2540" s="7">
        <v>43672</v>
      </c>
      <c r="B2540" s="8">
        <f>VLOOKUP(Table1[[#This Row],[Date]],'BUD data'!A:F,6,)</f>
        <v>100.489998</v>
      </c>
      <c r="C2540" s="51"/>
      <c r="D2540" s="51"/>
    </row>
    <row r="2541" spans="1:4" x14ac:dyDescent="0.45">
      <c r="A2541" s="7">
        <v>43675</v>
      </c>
      <c r="B2541" s="8">
        <f>VLOOKUP(Table1[[#This Row],[Date]],'BUD data'!A:F,6,)</f>
        <v>101.66999800000001</v>
      </c>
      <c r="C2541" s="51"/>
      <c r="D2541" s="51"/>
    </row>
    <row r="2542" spans="1:4" x14ac:dyDescent="0.45">
      <c r="A2542" s="7">
        <v>43676</v>
      </c>
      <c r="B2542" s="8">
        <f>VLOOKUP(Table1[[#This Row],[Date]],'BUD data'!A:F,6,)</f>
        <v>101.58000199999999</v>
      </c>
      <c r="C2542" s="51"/>
      <c r="D2542" s="51"/>
    </row>
    <row r="2543" spans="1:4" x14ac:dyDescent="0.45">
      <c r="A2543" s="7">
        <v>43677</v>
      </c>
      <c r="B2543" s="8">
        <f>VLOOKUP(Table1[[#This Row],[Date]],'BUD data'!A:F,6,)</f>
        <v>100.980003</v>
      </c>
      <c r="C2543" s="51"/>
      <c r="D2543" s="51"/>
    </row>
    <row r="2544" spans="1:4" x14ac:dyDescent="0.45">
      <c r="A2544" s="7">
        <v>43678</v>
      </c>
      <c r="B2544" s="8">
        <f>VLOOKUP(Table1[[#This Row],[Date]],'BUD data'!A:F,6,)</f>
        <v>100.459999</v>
      </c>
      <c r="C2544" s="51"/>
      <c r="D2544" s="51"/>
    </row>
    <row r="2545" spans="1:4" x14ac:dyDescent="0.45">
      <c r="A2545" s="7">
        <v>43679</v>
      </c>
      <c r="B2545" s="8">
        <f>VLOOKUP(Table1[[#This Row],[Date]],'BUD data'!A:F,6,)</f>
        <v>100.19000200000001</v>
      </c>
      <c r="C2545" s="51"/>
      <c r="D2545" s="51"/>
    </row>
    <row r="2546" spans="1:4" x14ac:dyDescent="0.45">
      <c r="A2546" s="7">
        <v>43682</v>
      </c>
      <c r="B2546" s="8">
        <f>VLOOKUP(Table1[[#This Row],[Date]],'BUD data'!A:F,6,)</f>
        <v>98.190002000000007</v>
      </c>
      <c r="C2546" s="51"/>
      <c r="D2546" s="51"/>
    </row>
    <row r="2547" spans="1:4" x14ac:dyDescent="0.45">
      <c r="A2547" s="7">
        <v>43683</v>
      </c>
      <c r="B2547" s="8">
        <f>VLOOKUP(Table1[[#This Row],[Date]],'BUD data'!A:F,6,)</f>
        <v>97.699996999999996</v>
      </c>
      <c r="C2547" s="51"/>
      <c r="D2547" s="51"/>
    </row>
    <row r="2548" spans="1:4" x14ac:dyDescent="0.45">
      <c r="A2548" s="7">
        <v>43684</v>
      </c>
      <c r="B2548" s="8">
        <f>VLOOKUP(Table1[[#This Row],[Date]],'BUD data'!A:F,6,)</f>
        <v>98.169998000000007</v>
      </c>
      <c r="C2548" s="51"/>
      <c r="D2548" s="51"/>
    </row>
    <row r="2549" spans="1:4" x14ac:dyDescent="0.45">
      <c r="A2549" s="7">
        <v>43685</v>
      </c>
      <c r="B2549" s="8">
        <f>VLOOKUP(Table1[[#This Row],[Date]],'BUD data'!A:F,6,)</f>
        <v>98.510002</v>
      </c>
      <c r="C2549" s="51"/>
      <c r="D2549" s="51"/>
    </row>
    <row r="2550" spans="1:4" x14ac:dyDescent="0.45">
      <c r="A2550" s="7">
        <v>43686</v>
      </c>
      <c r="B2550" s="8">
        <f>VLOOKUP(Table1[[#This Row],[Date]],'BUD data'!A:F,6,)</f>
        <v>98.220000999999996</v>
      </c>
      <c r="C2550" s="51"/>
      <c r="D2550" s="51"/>
    </row>
    <row r="2551" spans="1:4" x14ac:dyDescent="0.45">
      <c r="A2551" s="7">
        <v>43689</v>
      </c>
      <c r="B2551" s="8">
        <f>VLOOKUP(Table1[[#This Row],[Date]],'BUD data'!A:F,6,)</f>
        <v>96.269997000000004</v>
      </c>
      <c r="C2551" s="51"/>
      <c r="D2551" s="51"/>
    </row>
    <row r="2552" spans="1:4" x14ac:dyDescent="0.45">
      <c r="A2552" s="7">
        <v>43690</v>
      </c>
      <c r="B2552" s="8">
        <f>VLOOKUP(Table1[[#This Row],[Date]],'BUD data'!A:F,6,)</f>
        <v>95.669998000000007</v>
      </c>
      <c r="C2552" s="51"/>
      <c r="D2552" s="51"/>
    </row>
    <row r="2553" spans="1:4" x14ac:dyDescent="0.45">
      <c r="A2553" s="7">
        <v>43691</v>
      </c>
      <c r="B2553" s="8">
        <f>VLOOKUP(Table1[[#This Row],[Date]],'BUD data'!A:F,6,)</f>
        <v>93.360000999999997</v>
      </c>
      <c r="C2553" s="51"/>
      <c r="D2553" s="51"/>
    </row>
    <row r="2554" spans="1:4" x14ac:dyDescent="0.45">
      <c r="A2554" s="7">
        <v>43692</v>
      </c>
      <c r="B2554" s="8">
        <f>VLOOKUP(Table1[[#This Row],[Date]],'BUD data'!A:F,6,)</f>
        <v>93.629997000000003</v>
      </c>
      <c r="C2554" s="51"/>
      <c r="D2554" s="51"/>
    </row>
    <row r="2555" spans="1:4" x14ac:dyDescent="0.45">
      <c r="A2555" s="7">
        <v>43693</v>
      </c>
      <c r="B2555" s="8">
        <f>VLOOKUP(Table1[[#This Row],[Date]],'BUD data'!A:F,6,)</f>
        <v>95.290001000000004</v>
      </c>
      <c r="C2555" s="51"/>
      <c r="D2555" s="51"/>
    </row>
    <row r="2556" spans="1:4" x14ac:dyDescent="0.45">
      <c r="A2556" s="7">
        <v>43696</v>
      </c>
      <c r="B2556" s="8">
        <f>VLOOKUP(Table1[[#This Row],[Date]],'BUD data'!A:F,6,)</f>
        <v>95.919998000000007</v>
      </c>
      <c r="C2556" s="51"/>
      <c r="D2556" s="51"/>
    </row>
    <row r="2557" spans="1:4" x14ac:dyDescent="0.45">
      <c r="A2557" s="7">
        <v>43697</v>
      </c>
      <c r="B2557" s="8">
        <f>VLOOKUP(Table1[[#This Row],[Date]],'BUD data'!A:F,6,)</f>
        <v>94.949996999999996</v>
      </c>
      <c r="C2557" s="51"/>
      <c r="D2557" s="51"/>
    </row>
    <row r="2558" spans="1:4" x14ac:dyDescent="0.45">
      <c r="A2558" s="7">
        <v>43698</v>
      </c>
      <c r="B2558" s="8">
        <f>VLOOKUP(Table1[[#This Row],[Date]],'BUD data'!A:F,6,)</f>
        <v>95.870002999999997</v>
      </c>
      <c r="C2558" s="51"/>
      <c r="D2558" s="51"/>
    </row>
    <row r="2559" spans="1:4" x14ac:dyDescent="0.45">
      <c r="A2559" s="7">
        <v>43699</v>
      </c>
      <c r="B2559" s="8">
        <f>VLOOKUP(Table1[[#This Row],[Date]],'BUD data'!A:F,6,)</f>
        <v>95.580001999999993</v>
      </c>
      <c r="C2559" s="51"/>
      <c r="D2559" s="51"/>
    </row>
    <row r="2560" spans="1:4" x14ac:dyDescent="0.45">
      <c r="A2560" s="7">
        <v>43700</v>
      </c>
      <c r="B2560" s="8">
        <f>VLOOKUP(Table1[[#This Row],[Date]],'BUD data'!A:F,6,)</f>
        <v>94.190002000000007</v>
      </c>
      <c r="C2560" s="51"/>
      <c r="D2560" s="51"/>
    </row>
    <row r="2561" spans="1:4" x14ac:dyDescent="0.45">
      <c r="A2561" s="7">
        <v>43703</v>
      </c>
      <c r="B2561" s="8">
        <f>VLOOKUP(Table1[[#This Row],[Date]],'BUD data'!A:F,6,)</f>
        <v>94.800003000000004</v>
      </c>
      <c r="C2561" s="51"/>
      <c r="D2561" s="51"/>
    </row>
    <row r="2562" spans="1:4" x14ac:dyDescent="0.45">
      <c r="A2562" s="7">
        <v>43704</v>
      </c>
      <c r="B2562" s="8">
        <f>VLOOKUP(Table1[[#This Row],[Date]],'BUD data'!A:F,6,)</f>
        <v>92.989998</v>
      </c>
      <c r="C2562" s="51"/>
      <c r="D2562" s="51"/>
    </row>
    <row r="2563" spans="1:4" x14ac:dyDescent="0.45">
      <c r="A2563" s="7">
        <v>43705</v>
      </c>
      <c r="B2563" s="8">
        <f>VLOOKUP(Table1[[#This Row],[Date]],'BUD data'!A:F,6,)</f>
        <v>93.639999000000003</v>
      </c>
      <c r="C2563" s="51"/>
      <c r="D2563" s="51"/>
    </row>
    <row r="2564" spans="1:4" x14ac:dyDescent="0.45">
      <c r="A2564" s="7">
        <v>43706</v>
      </c>
      <c r="B2564" s="8">
        <f>VLOOKUP(Table1[[#This Row],[Date]],'BUD data'!A:F,6,)</f>
        <v>95.260002</v>
      </c>
      <c r="C2564" s="51"/>
      <c r="D2564" s="51"/>
    </row>
    <row r="2565" spans="1:4" x14ac:dyDescent="0.45">
      <c r="A2565" s="7">
        <v>43707</v>
      </c>
      <c r="B2565" s="8">
        <f>VLOOKUP(Table1[[#This Row],[Date]],'BUD data'!A:F,6,)</f>
        <v>94.5</v>
      </c>
      <c r="C2565" s="51"/>
      <c r="D2565" s="51"/>
    </row>
    <row r="2566" spans="1:4" x14ac:dyDescent="0.45">
      <c r="A2566" s="7">
        <v>43711</v>
      </c>
      <c r="B2566" s="8">
        <f>VLOOKUP(Table1[[#This Row],[Date]],'BUD data'!A:F,6,)</f>
        <v>93.959998999999996</v>
      </c>
      <c r="C2566" s="51"/>
      <c r="D2566" s="51"/>
    </row>
    <row r="2567" spans="1:4" x14ac:dyDescent="0.45">
      <c r="A2567" s="7">
        <v>43712</v>
      </c>
      <c r="B2567" s="8">
        <f>VLOOKUP(Table1[[#This Row],[Date]],'BUD data'!A:F,6,)</f>
        <v>94.730002999999996</v>
      </c>
      <c r="C2567" s="51"/>
      <c r="D2567" s="51"/>
    </row>
    <row r="2568" spans="1:4" x14ac:dyDescent="0.45">
      <c r="A2568" s="7">
        <v>43713</v>
      </c>
      <c r="B2568" s="8">
        <f>VLOOKUP(Table1[[#This Row],[Date]],'BUD data'!A:F,6,)</f>
        <v>93.25</v>
      </c>
      <c r="C2568" s="51"/>
      <c r="D2568" s="51"/>
    </row>
    <row r="2569" spans="1:4" x14ac:dyDescent="0.45">
      <c r="A2569" s="7">
        <v>43714</v>
      </c>
      <c r="B2569" s="8">
        <f>VLOOKUP(Table1[[#This Row],[Date]],'BUD data'!A:F,6,)</f>
        <v>93.57</v>
      </c>
      <c r="C2569" s="51"/>
      <c r="D2569" s="51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0EE58-32C0-4BB9-B8B9-096A581DC768}">
  <dimension ref="A1:W302"/>
  <sheetViews>
    <sheetView workbookViewId="0">
      <selection activeCell="Q8" sqref="Q8"/>
    </sheetView>
  </sheetViews>
  <sheetFormatPr defaultColWidth="9.1328125" defaultRowHeight="14.25" x14ac:dyDescent="0.45"/>
  <cols>
    <col min="1" max="7" width="9.06640625" customWidth="1"/>
    <col min="8" max="8" width="12" style="3" bestFit="1" customWidth="1"/>
    <col min="9" max="13" width="11.1328125" style="3" customWidth="1"/>
    <col min="14" max="14" width="11.1328125" style="40" customWidth="1"/>
    <col min="15" max="16384" width="9.1328125" style="3"/>
  </cols>
  <sheetData>
    <row r="1" spans="1:23" s="36" customFormat="1" ht="5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37" t="s">
        <v>20</v>
      </c>
      <c r="J1" s="37" t="s">
        <v>21</v>
      </c>
      <c r="K1" s="37" t="s">
        <v>22</v>
      </c>
      <c r="L1" s="37" t="s">
        <v>23</v>
      </c>
      <c r="M1" s="38" t="s">
        <v>24</v>
      </c>
      <c r="N1" s="39" t="s">
        <v>25</v>
      </c>
      <c r="O1" s="39" t="s">
        <v>26</v>
      </c>
      <c r="Q1" s="2"/>
    </row>
    <row r="2" spans="1:23" x14ac:dyDescent="0.45">
      <c r="A2" s="1">
        <v>43709</v>
      </c>
      <c r="B2">
        <v>93.68</v>
      </c>
      <c r="C2">
        <v>95.040001000000004</v>
      </c>
      <c r="D2">
        <v>92.790001000000004</v>
      </c>
      <c r="E2">
        <v>93.57</v>
      </c>
      <c r="F2">
        <v>93.57</v>
      </c>
      <c r="G2">
        <v>3773800</v>
      </c>
      <c r="I2" s="3">
        <f>IF(B2&gt;0,C2-D2,"")</f>
        <v>2.25</v>
      </c>
      <c r="J2" s="3">
        <f>IF(B2&gt;0,ABS(C2-E3),)</f>
        <v>0.54000100000000373</v>
      </c>
      <c r="K2" s="3">
        <f>IF(B2&gt;0,ABS(D2-E3),)</f>
        <v>1.7099989999999963</v>
      </c>
      <c r="L2" s="3">
        <f>MAX(I2:K2)</f>
        <v>2.25</v>
      </c>
      <c r="M2" s="3">
        <f t="shared" ref="M2:M65" si="0">AVERAGE(L2:L15)</f>
        <v>9.3199995714285695</v>
      </c>
      <c r="N2" s="40">
        <f>M2/B2</f>
        <v>9.9487612846163198E-2</v>
      </c>
      <c r="O2" s="41">
        <f>L2/E2</f>
        <v>2.4046168643796089E-2</v>
      </c>
    </row>
    <row r="3" spans="1:23" x14ac:dyDescent="0.45">
      <c r="A3" s="1">
        <v>43678</v>
      </c>
      <c r="B3">
        <v>101.489998</v>
      </c>
      <c r="C3">
        <v>102.589996</v>
      </c>
      <c r="D3">
        <v>92.139999000000003</v>
      </c>
      <c r="E3">
        <v>94.5</v>
      </c>
      <c r="F3">
        <v>94.5</v>
      </c>
      <c r="G3">
        <v>25327400</v>
      </c>
      <c r="I3" s="3">
        <f t="shared" ref="I3:I66" si="1">IF(B3&gt;0,C3-D3,"")</f>
        <v>10.449996999999996</v>
      </c>
      <c r="J3" s="3">
        <f t="shared" ref="J3:J66" si="2">IF(B3&gt;0,ABS(C3-E4),)</f>
        <v>1.6099930000000029</v>
      </c>
      <c r="K3" s="3">
        <f t="shared" ref="K3:K66" si="3">IF(B3&gt;0,ABS(D3-E4),)</f>
        <v>8.8400039999999933</v>
      </c>
      <c r="L3" s="3">
        <f t="shared" ref="L3:L66" si="4">MAX(I3:K3)</f>
        <v>10.449996999999996</v>
      </c>
      <c r="M3" s="3">
        <f t="shared" si="0"/>
        <v>9.6578569999999981</v>
      </c>
      <c r="N3" s="40">
        <f t="shared" ref="N3:N66" si="5">M3/B3</f>
        <v>9.5160677803934904E-2</v>
      </c>
      <c r="O3" s="41">
        <f t="shared" ref="O3:O66" si="6">L3/E3</f>
        <v>0.1105819788359788</v>
      </c>
      <c r="Q3" s="42">
        <v>1</v>
      </c>
      <c r="R3" s="42">
        <v>3</v>
      </c>
      <c r="S3" s="42">
        <v>6</v>
      </c>
      <c r="T3" s="42">
        <v>12</v>
      </c>
      <c r="U3" s="42">
        <v>24</v>
      </c>
      <c r="V3" s="42">
        <v>60</v>
      </c>
      <c r="W3" s="42">
        <v>120</v>
      </c>
    </row>
    <row r="4" spans="1:23" x14ac:dyDescent="0.45">
      <c r="A4" s="1">
        <v>43647</v>
      </c>
      <c r="B4">
        <v>88.559997999999993</v>
      </c>
      <c r="C4">
        <v>102.699997</v>
      </c>
      <c r="D4">
        <v>85.25</v>
      </c>
      <c r="E4">
        <v>100.980003</v>
      </c>
      <c r="F4">
        <v>100.980003</v>
      </c>
      <c r="G4">
        <v>50813700</v>
      </c>
      <c r="I4" s="3">
        <f t="shared" si="1"/>
        <v>17.449996999999996</v>
      </c>
      <c r="J4" s="3">
        <f t="shared" si="2"/>
        <v>14.189994999999996</v>
      </c>
      <c r="K4" s="3">
        <f t="shared" si="3"/>
        <v>3.2600020000000001</v>
      </c>
      <c r="L4" s="3">
        <f t="shared" si="4"/>
        <v>17.449996999999996</v>
      </c>
      <c r="M4" s="3">
        <f t="shared" si="0"/>
        <v>9.5157142857142833</v>
      </c>
      <c r="N4" s="40">
        <f t="shared" si="5"/>
        <v>0.10744935072959559</v>
      </c>
      <c r="O4" s="41">
        <f t="shared" si="6"/>
        <v>0.17280646149317302</v>
      </c>
      <c r="P4" s="43" t="s">
        <v>27</v>
      </c>
      <c r="Q4" s="8">
        <f>M2</f>
        <v>9.3199995714285695</v>
      </c>
      <c r="R4" s="8">
        <f>AVERAGE(M2:M4)</f>
        <v>9.4978569523809497</v>
      </c>
      <c r="S4" s="8">
        <f>AVERAGE(M2:M7)</f>
        <v>9.2933335952380922</v>
      </c>
      <c r="T4" s="8">
        <f>AVERAGE(M2:M13)</f>
        <v>9.4324411785714251</v>
      </c>
      <c r="U4" s="8">
        <f>AVERAGE(M2:M25)</f>
        <v>9.1673221755952365</v>
      </c>
      <c r="V4" s="8">
        <f>AVERAGE(M2,M61)</f>
        <v>8.6392851785714271</v>
      </c>
      <c r="W4" s="8">
        <f>AVERAGE(M2,M121)</f>
        <v>6.8485713214285706</v>
      </c>
    </row>
    <row r="5" spans="1:23" x14ac:dyDescent="0.45">
      <c r="A5" s="1">
        <v>43617</v>
      </c>
      <c r="B5">
        <v>81.389999000000003</v>
      </c>
      <c r="C5">
        <v>90.589995999999999</v>
      </c>
      <c r="D5">
        <v>81.010002</v>
      </c>
      <c r="E5">
        <v>88.510002</v>
      </c>
      <c r="F5">
        <v>88.510002</v>
      </c>
      <c r="G5">
        <v>22049200</v>
      </c>
      <c r="I5" s="3">
        <f t="shared" si="1"/>
        <v>9.5799939999999992</v>
      </c>
      <c r="J5" s="3">
        <f t="shared" si="2"/>
        <v>9.1899939999999987</v>
      </c>
      <c r="K5" s="3">
        <f t="shared" si="3"/>
        <v>0.39000000000000057</v>
      </c>
      <c r="L5" s="3">
        <f t="shared" si="4"/>
        <v>9.5799939999999992</v>
      </c>
      <c r="M5" s="3">
        <f t="shared" si="0"/>
        <v>8.9842860714285688</v>
      </c>
      <c r="N5" s="40">
        <f t="shared" si="5"/>
        <v>0.11038562700349178</v>
      </c>
      <c r="O5" s="41">
        <f t="shared" si="6"/>
        <v>0.10823628723903994</v>
      </c>
      <c r="P5" s="42" t="s">
        <v>28</v>
      </c>
      <c r="Q5" s="44">
        <f>N2</f>
        <v>9.9487612846163198E-2</v>
      </c>
      <c r="R5" s="45">
        <f>AVERAGE(N2:N4)</f>
        <v>0.10069921379323123</v>
      </c>
      <c r="S5" s="45">
        <f>AVERAGE(N2:N7)</f>
        <v>0.1041893213387181</v>
      </c>
      <c r="T5" s="45">
        <f>AVERAGE(N2:N13)</f>
        <v>0.11466737002262171</v>
      </c>
      <c r="U5" s="45">
        <f>AVERAGE(N2:N25)</f>
        <v>9.9150211012969613E-2</v>
      </c>
      <c r="V5" s="45">
        <f>AVERAGE(N2:N61)</f>
        <v>9.4118747638683276E-2</v>
      </c>
      <c r="W5" s="45">
        <f>AVERAGE(N2:N121)</f>
        <v>9.54462114309092E-2</v>
      </c>
    </row>
    <row r="6" spans="1:23" x14ac:dyDescent="0.45">
      <c r="A6" s="1">
        <v>43586</v>
      </c>
      <c r="B6">
        <v>88.559997999999993</v>
      </c>
      <c r="C6">
        <v>89.370002999999997</v>
      </c>
      <c r="D6">
        <v>80.080001999999993</v>
      </c>
      <c r="E6">
        <v>81.400002000000001</v>
      </c>
      <c r="F6">
        <v>80.365921</v>
      </c>
      <c r="G6">
        <v>27857000</v>
      </c>
      <c r="I6" s="3">
        <f t="shared" si="1"/>
        <v>9.2900010000000037</v>
      </c>
      <c r="J6" s="3">
        <f t="shared" si="2"/>
        <v>0.43000099999999009</v>
      </c>
      <c r="K6" s="3">
        <f t="shared" si="3"/>
        <v>8.8600000000000136</v>
      </c>
      <c r="L6" s="3">
        <f t="shared" si="4"/>
        <v>9.2900010000000037</v>
      </c>
      <c r="M6" s="3">
        <f t="shared" si="0"/>
        <v>9.084286714285712</v>
      </c>
      <c r="N6" s="40">
        <f t="shared" si="5"/>
        <v>0.10257776557634647</v>
      </c>
      <c r="O6" s="41">
        <f t="shared" si="6"/>
        <v>0.11412777360865425</v>
      </c>
    </row>
    <row r="7" spans="1:23" x14ac:dyDescent="0.45">
      <c r="A7" s="1">
        <v>43556</v>
      </c>
      <c r="B7">
        <v>83.559997999999993</v>
      </c>
      <c r="C7">
        <v>90.470000999999996</v>
      </c>
      <c r="D7">
        <v>83.370002999999997</v>
      </c>
      <c r="E7">
        <v>88.940002000000007</v>
      </c>
      <c r="F7">
        <v>87.810142999999997</v>
      </c>
      <c r="G7">
        <v>20004800</v>
      </c>
      <c r="I7" s="3">
        <f t="shared" si="1"/>
        <v>7.0999979999999994</v>
      </c>
      <c r="J7" s="3">
        <f t="shared" si="2"/>
        <v>6.5</v>
      </c>
      <c r="K7" s="3">
        <f t="shared" si="3"/>
        <v>0.59999799999999937</v>
      </c>
      <c r="L7" s="3">
        <f t="shared" si="4"/>
        <v>7.0999979999999994</v>
      </c>
      <c r="M7" s="3">
        <f t="shared" si="0"/>
        <v>9.197857928571425</v>
      </c>
      <c r="N7" s="40">
        <f t="shared" si="5"/>
        <v>0.11007489407277661</v>
      </c>
      <c r="O7" s="41">
        <f t="shared" si="6"/>
        <v>7.9829073986303692E-2</v>
      </c>
      <c r="Q7" s="3" t="s">
        <v>29</v>
      </c>
      <c r="T7" s="3" t="str">
        <f>Q7&amp;Q8</f>
        <v>ATR monthly 14 BUD</v>
      </c>
    </row>
    <row r="8" spans="1:23" x14ac:dyDescent="0.45">
      <c r="A8" s="1">
        <v>43525</v>
      </c>
      <c r="B8">
        <v>82.019997000000004</v>
      </c>
      <c r="C8">
        <v>84.959998999999996</v>
      </c>
      <c r="D8">
        <v>79.629997000000003</v>
      </c>
      <c r="E8">
        <v>83.970000999999996</v>
      </c>
      <c r="F8">
        <v>82.903274999999994</v>
      </c>
      <c r="G8">
        <v>29805500</v>
      </c>
      <c r="I8" s="3">
        <f t="shared" si="1"/>
        <v>5.3300019999999932</v>
      </c>
      <c r="J8" s="3">
        <f t="shared" si="2"/>
        <v>6.7999949999999956</v>
      </c>
      <c r="K8" s="3">
        <f t="shared" si="3"/>
        <v>1.4699930000000023</v>
      </c>
      <c r="L8" s="3">
        <f t="shared" si="4"/>
        <v>6.7999949999999956</v>
      </c>
      <c r="M8" s="3">
        <f t="shared" si="0"/>
        <v>9.6342865714285697</v>
      </c>
      <c r="N8" s="40">
        <f t="shared" si="5"/>
        <v>0.11746265452105015</v>
      </c>
      <c r="O8" s="41">
        <f t="shared" si="6"/>
        <v>8.0981242336772105E-2</v>
      </c>
      <c r="P8" s="46" t="s">
        <v>30</v>
      </c>
      <c r="Q8" s="47" t="s">
        <v>33</v>
      </c>
    </row>
    <row r="9" spans="1:23" x14ac:dyDescent="0.45">
      <c r="A9" s="1">
        <v>43497</v>
      </c>
      <c r="B9">
        <v>76.5</v>
      </c>
      <c r="C9">
        <v>79.209998999999996</v>
      </c>
      <c r="D9">
        <v>73.569999999999993</v>
      </c>
      <c r="E9">
        <v>78.160004000000001</v>
      </c>
      <c r="F9">
        <v>77.167084000000003</v>
      </c>
      <c r="G9">
        <v>28811100</v>
      </c>
      <c r="I9" s="3">
        <f t="shared" si="1"/>
        <v>5.6399990000000031</v>
      </c>
      <c r="J9" s="3">
        <f t="shared" si="2"/>
        <v>2.7699969999999894</v>
      </c>
      <c r="K9" s="3">
        <f t="shared" si="3"/>
        <v>2.8700020000000137</v>
      </c>
      <c r="L9" s="3">
        <f t="shared" si="4"/>
        <v>5.6399990000000031</v>
      </c>
      <c r="M9" s="3">
        <f t="shared" si="0"/>
        <v>9.4950011428571397</v>
      </c>
      <c r="N9" s="40">
        <f t="shared" si="5"/>
        <v>0.12411766199813254</v>
      </c>
      <c r="O9" s="41">
        <f t="shared" si="6"/>
        <v>7.2159655979546822E-2</v>
      </c>
    </row>
    <row r="10" spans="1:23" x14ac:dyDescent="0.45">
      <c r="A10" s="1">
        <v>43466</v>
      </c>
      <c r="B10">
        <v>65.150002000000001</v>
      </c>
      <c r="C10">
        <v>76.830001999999993</v>
      </c>
      <c r="D10">
        <v>64.989998</v>
      </c>
      <c r="E10">
        <v>76.440002000000007</v>
      </c>
      <c r="F10">
        <v>75.468933000000007</v>
      </c>
      <c r="G10">
        <v>35948700</v>
      </c>
      <c r="I10" s="3">
        <f t="shared" si="1"/>
        <v>11.840003999999993</v>
      </c>
      <c r="J10" s="3">
        <f t="shared" si="2"/>
        <v>11.020004</v>
      </c>
      <c r="K10" s="3">
        <f t="shared" si="3"/>
        <v>0.81999999999999318</v>
      </c>
      <c r="L10" s="3">
        <f t="shared" si="4"/>
        <v>11.840003999999993</v>
      </c>
      <c r="M10" s="3">
        <f t="shared" si="0"/>
        <v>9.8428584999999966</v>
      </c>
      <c r="N10" s="40">
        <f t="shared" si="5"/>
        <v>0.15107994163990965</v>
      </c>
      <c r="O10" s="41">
        <f t="shared" si="6"/>
        <v>0.15489277459725853</v>
      </c>
    </row>
    <row r="11" spans="1:23" x14ac:dyDescent="0.45">
      <c r="A11" s="1">
        <v>43435</v>
      </c>
      <c r="B11">
        <v>76.930000000000007</v>
      </c>
      <c r="C11">
        <v>76.980002999999996</v>
      </c>
      <c r="D11">
        <v>64.550003000000004</v>
      </c>
      <c r="E11">
        <v>65.809997999999993</v>
      </c>
      <c r="F11">
        <v>64.973968999999997</v>
      </c>
      <c r="G11">
        <v>41762600</v>
      </c>
      <c r="I11" s="3">
        <f t="shared" si="1"/>
        <v>12.429999999999993</v>
      </c>
      <c r="J11" s="3">
        <f t="shared" si="2"/>
        <v>0.10999999999999943</v>
      </c>
      <c r="K11" s="3">
        <f t="shared" si="3"/>
        <v>12.319999999999993</v>
      </c>
      <c r="L11" s="3">
        <f t="shared" si="4"/>
        <v>12.429999999999993</v>
      </c>
      <c r="M11" s="3">
        <f t="shared" si="0"/>
        <v>9.6964297142857117</v>
      </c>
      <c r="N11" s="40">
        <f t="shared" si="5"/>
        <v>0.12604224248389068</v>
      </c>
      <c r="O11" s="41">
        <f t="shared" si="6"/>
        <v>0.18887707609412166</v>
      </c>
    </row>
    <row r="12" spans="1:23" x14ac:dyDescent="0.45">
      <c r="A12" s="1">
        <v>43405</v>
      </c>
      <c r="B12">
        <v>75.599997999999999</v>
      </c>
      <c r="C12">
        <v>79.400002000000001</v>
      </c>
      <c r="D12">
        <v>72.919998000000007</v>
      </c>
      <c r="E12">
        <v>76.870002999999997</v>
      </c>
      <c r="F12">
        <v>74.994881000000007</v>
      </c>
      <c r="G12">
        <v>38062100</v>
      </c>
      <c r="I12" s="3">
        <f t="shared" si="1"/>
        <v>6.4800039999999939</v>
      </c>
      <c r="J12" s="3">
        <f t="shared" si="2"/>
        <v>5.4199990000000042</v>
      </c>
      <c r="K12" s="3">
        <f t="shared" si="3"/>
        <v>1.0600049999999896</v>
      </c>
      <c r="L12" s="3">
        <f t="shared" si="4"/>
        <v>6.4800039999999939</v>
      </c>
      <c r="M12" s="3">
        <f t="shared" si="0"/>
        <v>9.3935727142857139</v>
      </c>
      <c r="N12" s="40">
        <f t="shared" si="5"/>
        <v>0.12425361061895417</v>
      </c>
      <c r="O12" s="41">
        <f t="shared" si="6"/>
        <v>8.4298214480361011E-2</v>
      </c>
    </row>
    <row r="13" spans="1:23" x14ac:dyDescent="0.45">
      <c r="A13" s="1">
        <v>43374</v>
      </c>
      <c r="B13">
        <v>86.800003000000004</v>
      </c>
      <c r="C13">
        <v>88.900002000000001</v>
      </c>
      <c r="D13">
        <v>72.879997000000003</v>
      </c>
      <c r="E13">
        <v>73.980002999999996</v>
      </c>
      <c r="F13">
        <v>72.175376999999997</v>
      </c>
      <c r="G13">
        <v>53258400</v>
      </c>
      <c r="I13" s="3">
        <f t="shared" si="1"/>
        <v>16.020004999999998</v>
      </c>
      <c r="J13" s="3">
        <f t="shared" si="2"/>
        <v>1.3300020000000075</v>
      </c>
      <c r="K13" s="3">
        <f t="shared" si="3"/>
        <v>14.69000299999999</v>
      </c>
      <c r="L13" s="3">
        <f t="shared" si="4"/>
        <v>16.020004999999998</v>
      </c>
      <c r="M13" s="3">
        <f t="shared" si="0"/>
        <v>9.3671439285714282</v>
      </c>
      <c r="N13" s="40">
        <f t="shared" si="5"/>
        <v>0.10791640097721457</v>
      </c>
      <c r="O13" s="41">
        <f t="shared" si="6"/>
        <v>0.21654507097005657</v>
      </c>
    </row>
    <row r="14" spans="1:23" x14ac:dyDescent="0.45">
      <c r="A14" s="1">
        <v>43344</v>
      </c>
      <c r="B14">
        <v>92.07</v>
      </c>
      <c r="C14">
        <v>92.720000999999996</v>
      </c>
      <c r="D14">
        <v>87.150002000000001</v>
      </c>
      <c r="E14">
        <v>87.57</v>
      </c>
      <c r="F14">
        <v>85.433860999999993</v>
      </c>
      <c r="G14">
        <v>38102100</v>
      </c>
      <c r="I14" s="3">
        <f t="shared" si="1"/>
        <v>5.5699989999999957</v>
      </c>
      <c r="J14" s="3">
        <f t="shared" si="2"/>
        <v>0.51000200000000007</v>
      </c>
      <c r="K14" s="3">
        <f t="shared" si="3"/>
        <v>6.0800009999999958</v>
      </c>
      <c r="L14" s="3">
        <f t="shared" si="4"/>
        <v>6.0800009999999958</v>
      </c>
      <c r="M14" s="3">
        <f t="shared" si="0"/>
        <v>8.5992867857142858</v>
      </c>
      <c r="N14" s="40">
        <f t="shared" si="5"/>
        <v>9.3399443746217947E-2</v>
      </c>
      <c r="O14" s="41">
        <f t="shared" si="6"/>
        <v>6.9430181569030441E-2</v>
      </c>
    </row>
    <row r="15" spans="1:23" x14ac:dyDescent="0.45">
      <c r="A15" s="1">
        <v>43313</v>
      </c>
      <c r="B15">
        <v>100.790001</v>
      </c>
      <c r="C15">
        <v>101.449997</v>
      </c>
      <c r="D15">
        <v>92.650002000000001</v>
      </c>
      <c r="E15">
        <v>93.230002999999996</v>
      </c>
      <c r="F15">
        <v>90.955794999999995</v>
      </c>
      <c r="G15">
        <v>27908700</v>
      </c>
      <c r="I15" s="3">
        <f t="shared" si="1"/>
        <v>8.7999949999999956</v>
      </c>
      <c r="J15" s="3">
        <f t="shared" si="2"/>
        <v>0.27000400000000013</v>
      </c>
      <c r="K15" s="3">
        <f t="shared" si="3"/>
        <v>9.0699989999999957</v>
      </c>
      <c r="L15" s="3">
        <f t="shared" si="4"/>
        <v>9.0699989999999957</v>
      </c>
      <c r="M15" s="3">
        <f t="shared" si="0"/>
        <v>9.2392867857142846</v>
      </c>
      <c r="N15" s="40">
        <f t="shared" si="5"/>
        <v>9.1668684334215697E-2</v>
      </c>
      <c r="O15" s="41">
        <f t="shared" si="6"/>
        <v>9.7286267383258546E-2</v>
      </c>
    </row>
    <row r="16" spans="1:23" x14ac:dyDescent="0.45">
      <c r="A16" s="1">
        <v>43282</v>
      </c>
      <c r="B16">
        <v>100.349998</v>
      </c>
      <c r="C16">
        <v>106.860001</v>
      </c>
      <c r="D16">
        <v>99.879997000000003</v>
      </c>
      <c r="E16">
        <v>101.720001</v>
      </c>
      <c r="F16">
        <v>99.238701000000006</v>
      </c>
      <c r="G16">
        <v>26031600</v>
      </c>
      <c r="I16" s="3">
        <f t="shared" si="1"/>
        <v>6.9800039999999939</v>
      </c>
      <c r="J16" s="3">
        <f t="shared" si="2"/>
        <v>6.0999989999999968</v>
      </c>
      <c r="K16" s="3">
        <f t="shared" si="3"/>
        <v>0.88000499999999704</v>
      </c>
      <c r="L16" s="3">
        <f t="shared" si="4"/>
        <v>6.9800039999999939</v>
      </c>
      <c r="M16" s="3">
        <f t="shared" si="0"/>
        <v>9.2292869285714279</v>
      </c>
      <c r="N16" s="40">
        <f t="shared" si="5"/>
        <v>9.1970972720611596E-2</v>
      </c>
      <c r="O16" s="41">
        <f t="shared" si="6"/>
        <v>6.8619779113057555E-2</v>
      </c>
    </row>
    <row r="17" spans="1:15" x14ac:dyDescent="0.45">
      <c r="A17" s="1">
        <v>43252</v>
      </c>
      <c r="B17">
        <v>94.440002000000007</v>
      </c>
      <c r="C17">
        <v>101.290001</v>
      </c>
      <c r="D17">
        <v>92.830001999999993</v>
      </c>
      <c r="E17">
        <v>100.760002</v>
      </c>
      <c r="F17">
        <v>98.302115999999998</v>
      </c>
      <c r="G17">
        <v>36485400</v>
      </c>
      <c r="I17" s="3">
        <f t="shared" si="1"/>
        <v>8.4599990000000105</v>
      </c>
      <c r="J17" s="3">
        <f t="shared" si="2"/>
        <v>7.7000050000000044</v>
      </c>
      <c r="K17" s="3">
        <f t="shared" si="3"/>
        <v>0.75999400000000605</v>
      </c>
      <c r="L17" s="3">
        <f t="shared" si="4"/>
        <v>8.4599990000000105</v>
      </c>
      <c r="M17" s="3">
        <f t="shared" si="0"/>
        <v>9.4478581428571431</v>
      </c>
      <c r="N17" s="40">
        <f t="shared" si="5"/>
        <v>0.10004085072824483</v>
      </c>
      <c r="O17" s="41">
        <f t="shared" si="6"/>
        <v>8.3961878047600774E-2</v>
      </c>
    </row>
    <row r="18" spans="1:15" x14ac:dyDescent="0.45">
      <c r="A18" s="1">
        <v>43221</v>
      </c>
      <c r="B18">
        <v>98.099997999999999</v>
      </c>
      <c r="C18">
        <v>101.709999</v>
      </c>
      <c r="D18">
        <v>91.699996999999996</v>
      </c>
      <c r="E18">
        <v>93.589995999999999</v>
      </c>
      <c r="F18">
        <v>89.046233999999998</v>
      </c>
      <c r="G18">
        <v>71137800</v>
      </c>
      <c r="I18" s="3">
        <f t="shared" si="1"/>
        <v>10.010002</v>
      </c>
      <c r="J18" s="3">
        <f t="shared" si="2"/>
        <v>1.629997000000003</v>
      </c>
      <c r="K18" s="3">
        <f t="shared" si="3"/>
        <v>8.380004999999997</v>
      </c>
      <c r="L18" s="3">
        <f t="shared" si="4"/>
        <v>10.010002</v>
      </c>
      <c r="M18" s="3">
        <f t="shared" si="0"/>
        <v>9.2992871428571426</v>
      </c>
      <c r="N18" s="40">
        <f t="shared" si="5"/>
        <v>9.4793958536646891E-2</v>
      </c>
      <c r="O18" s="41">
        <f t="shared" si="6"/>
        <v>0.1069558972948348</v>
      </c>
    </row>
    <row r="19" spans="1:15" x14ac:dyDescent="0.45">
      <c r="A19" s="1">
        <v>43191</v>
      </c>
      <c r="B19">
        <v>109.660004</v>
      </c>
      <c r="C19">
        <v>110.720001</v>
      </c>
      <c r="D19">
        <v>99.739998</v>
      </c>
      <c r="E19">
        <v>100.08000199999999</v>
      </c>
      <c r="F19">
        <v>95.221153000000001</v>
      </c>
      <c r="G19">
        <v>44233200</v>
      </c>
      <c r="I19" s="3">
        <f t="shared" si="1"/>
        <v>10.980002999999996</v>
      </c>
      <c r="J19" s="3">
        <f t="shared" si="2"/>
        <v>0.77999899999998945</v>
      </c>
      <c r="K19" s="3">
        <f t="shared" si="3"/>
        <v>10.200004000000007</v>
      </c>
      <c r="L19" s="3">
        <f t="shared" si="4"/>
        <v>10.980002999999996</v>
      </c>
      <c r="M19" s="3">
        <f t="shared" si="0"/>
        <v>9.1135724285714286</v>
      </c>
      <c r="N19" s="40">
        <f t="shared" si="5"/>
        <v>8.3107533249510257E-2</v>
      </c>
      <c r="O19" s="41">
        <f t="shared" si="6"/>
        <v>0.10971225799935533</v>
      </c>
    </row>
    <row r="20" spans="1:15" x14ac:dyDescent="0.45">
      <c r="A20" s="1">
        <v>43160</v>
      </c>
      <c r="B20">
        <v>111.68</v>
      </c>
      <c r="C20">
        <v>117.05999799999999</v>
      </c>
      <c r="D20">
        <v>106.43</v>
      </c>
      <c r="E20">
        <v>109.94000200000001</v>
      </c>
      <c r="F20">
        <v>104.60245500000001</v>
      </c>
      <c r="G20">
        <v>54163300</v>
      </c>
      <c r="I20" s="3">
        <f t="shared" si="1"/>
        <v>10.629997999999986</v>
      </c>
      <c r="J20" s="3">
        <f t="shared" si="2"/>
        <v>10.879997999999986</v>
      </c>
      <c r="K20" s="3">
        <f t="shared" si="3"/>
        <v>0.25</v>
      </c>
      <c r="L20" s="3">
        <f t="shared" si="4"/>
        <v>10.879997999999986</v>
      </c>
      <c r="M20" s="3">
        <f t="shared" si="0"/>
        <v>8.7635717857142854</v>
      </c>
      <c r="N20" s="40">
        <f t="shared" si="5"/>
        <v>7.8470377737413013E-2</v>
      </c>
      <c r="O20" s="41">
        <f t="shared" si="6"/>
        <v>9.8963050773821032E-2</v>
      </c>
    </row>
    <row r="21" spans="1:15" x14ac:dyDescent="0.45">
      <c r="A21" s="1">
        <v>43132</v>
      </c>
      <c r="B21">
        <v>113.860001</v>
      </c>
      <c r="C21">
        <v>114.41999800000001</v>
      </c>
      <c r="D21">
        <v>101.209999</v>
      </c>
      <c r="E21">
        <v>106.18</v>
      </c>
      <c r="F21">
        <v>101.02499400000001</v>
      </c>
      <c r="G21">
        <v>41088800</v>
      </c>
      <c r="I21" s="3">
        <f t="shared" si="1"/>
        <v>13.20999900000001</v>
      </c>
      <c r="J21" s="3">
        <f t="shared" si="2"/>
        <v>0.93999500000001035</v>
      </c>
      <c r="K21" s="3">
        <f t="shared" si="3"/>
        <v>12.270004</v>
      </c>
      <c r="L21" s="3">
        <f t="shared" si="4"/>
        <v>13.20999900000001</v>
      </c>
      <c r="M21" s="3">
        <f t="shared" si="0"/>
        <v>8.2314290714285736</v>
      </c>
      <c r="N21" s="40">
        <f t="shared" si="5"/>
        <v>7.2294300009962009E-2</v>
      </c>
      <c r="O21" s="41">
        <f t="shared" si="6"/>
        <v>0.12441136748916942</v>
      </c>
    </row>
    <row r="22" spans="1:15" x14ac:dyDescent="0.45">
      <c r="A22" s="1">
        <v>43101</v>
      </c>
      <c r="B22">
        <v>111.970001</v>
      </c>
      <c r="C22">
        <v>116.400002</v>
      </c>
      <c r="D22">
        <v>111.550003</v>
      </c>
      <c r="E22">
        <v>113.480003</v>
      </c>
      <c r="F22">
        <v>107.970589</v>
      </c>
      <c r="G22">
        <v>39069700</v>
      </c>
      <c r="I22" s="3">
        <f t="shared" si="1"/>
        <v>4.8499989999999968</v>
      </c>
      <c r="J22" s="3">
        <f t="shared" si="2"/>
        <v>4.8400040000000075</v>
      </c>
      <c r="K22" s="3">
        <f t="shared" si="3"/>
        <v>9.994999999989318E-3</v>
      </c>
      <c r="L22" s="3">
        <f t="shared" si="4"/>
        <v>4.8499989999999968</v>
      </c>
      <c r="M22" s="3">
        <f t="shared" si="0"/>
        <v>7.8535718571428577</v>
      </c>
      <c r="N22" s="40">
        <f t="shared" si="5"/>
        <v>7.0139964160068707E-2</v>
      </c>
      <c r="O22" s="41">
        <f t="shared" si="6"/>
        <v>4.273879865864999E-2</v>
      </c>
    </row>
    <row r="23" spans="1:15" x14ac:dyDescent="0.45">
      <c r="A23" s="1">
        <v>43070</v>
      </c>
      <c r="B23">
        <v>115.07</v>
      </c>
      <c r="C23">
        <v>115.980003</v>
      </c>
      <c r="D23">
        <v>110.07</v>
      </c>
      <c r="E23">
        <v>111.55999799999999</v>
      </c>
      <c r="F23">
        <v>106.143799</v>
      </c>
      <c r="G23">
        <v>27654700</v>
      </c>
      <c r="I23" s="3">
        <f t="shared" si="1"/>
        <v>5.9100030000000032</v>
      </c>
      <c r="J23" s="3">
        <f t="shared" si="2"/>
        <v>4.5999989999999968</v>
      </c>
      <c r="K23" s="3">
        <f t="shared" si="3"/>
        <v>10.510002</v>
      </c>
      <c r="L23" s="3">
        <f t="shared" si="4"/>
        <v>10.510002</v>
      </c>
      <c r="M23" s="3">
        <f t="shared" si="0"/>
        <v>8.6028573571428577</v>
      </c>
      <c r="N23" s="40">
        <f t="shared" si="5"/>
        <v>7.4761948006803317E-2</v>
      </c>
      <c r="O23" s="41">
        <f t="shared" si="6"/>
        <v>9.4209413664564617E-2</v>
      </c>
    </row>
    <row r="24" spans="1:15" x14ac:dyDescent="0.45">
      <c r="A24" s="1">
        <v>43040</v>
      </c>
      <c r="B24">
        <v>122.44000200000001</v>
      </c>
      <c r="C24">
        <v>123.239998</v>
      </c>
      <c r="D24">
        <v>113.449997</v>
      </c>
      <c r="E24">
        <v>120.58000199999999</v>
      </c>
      <c r="F24">
        <v>112.920776</v>
      </c>
      <c r="G24">
        <v>37627900</v>
      </c>
      <c r="I24" s="3">
        <f t="shared" si="1"/>
        <v>9.7900010000000037</v>
      </c>
      <c r="J24" s="3">
        <f t="shared" si="2"/>
        <v>0.45999899999999627</v>
      </c>
      <c r="K24" s="3">
        <f t="shared" si="3"/>
        <v>9.3300020000000075</v>
      </c>
      <c r="L24" s="3">
        <f t="shared" si="4"/>
        <v>9.7900010000000037</v>
      </c>
      <c r="M24" s="3">
        <f t="shared" si="0"/>
        <v>9.0764291428571422</v>
      </c>
      <c r="N24" s="40">
        <f t="shared" si="5"/>
        <v>7.4129606293677958E-2</v>
      </c>
      <c r="O24" s="41">
        <f t="shared" si="6"/>
        <v>8.1190917545348892E-2</v>
      </c>
    </row>
    <row r="25" spans="1:15" x14ac:dyDescent="0.45">
      <c r="A25" s="1">
        <v>43009</v>
      </c>
      <c r="B25">
        <v>118.879997</v>
      </c>
      <c r="C25">
        <v>126.5</v>
      </c>
      <c r="D25">
        <v>118.30999799999999</v>
      </c>
      <c r="E25">
        <v>122.779999</v>
      </c>
      <c r="F25">
        <v>114.981026</v>
      </c>
      <c r="G25">
        <v>38020400</v>
      </c>
      <c r="I25" s="3">
        <f t="shared" si="1"/>
        <v>8.1900020000000069</v>
      </c>
      <c r="J25" s="3">
        <f t="shared" si="2"/>
        <v>7.1999969999999962</v>
      </c>
      <c r="K25" s="3">
        <f t="shared" si="3"/>
        <v>0.99000500000001068</v>
      </c>
      <c r="L25" s="3">
        <f t="shared" si="4"/>
        <v>8.1900020000000069</v>
      </c>
      <c r="M25" s="3">
        <f t="shared" si="0"/>
        <v>9.370000642857141</v>
      </c>
      <c r="N25" s="40">
        <f t="shared" si="5"/>
        <v>7.881898451643754E-2</v>
      </c>
      <c r="O25" s="41">
        <f t="shared" si="6"/>
        <v>6.6704691861090556E-2</v>
      </c>
    </row>
    <row r="26" spans="1:15" x14ac:dyDescent="0.45">
      <c r="A26" s="1">
        <v>42979</v>
      </c>
      <c r="B26">
        <v>119.230003</v>
      </c>
      <c r="C26">
        <v>122.33000199999999</v>
      </c>
      <c r="D26">
        <v>116.220001</v>
      </c>
      <c r="E26">
        <v>119.300003</v>
      </c>
      <c r="F26">
        <v>111.722092</v>
      </c>
      <c r="G26">
        <v>31672600</v>
      </c>
      <c r="I26" s="3">
        <f t="shared" si="1"/>
        <v>6.1100009999999969</v>
      </c>
      <c r="J26" s="3">
        <f t="shared" si="2"/>
        <v>3.9599989999999963</v>
      </c>
      <c r="K26" s="3">
        <f t="shared" si="3"/>
        <v>2.1500020000000006</v>
      </c>
      <c r="L26" s="3">
        <f t="shared" si="4"/>
        <v>6.1100009999999969</v>
      </c>
      <c r="M26" s="3">
        <f t="shared" si="0"/>
        <v>9.2678577857142841</v>
      </c>
      <c r="N26" s="40">
        <f t="shared" si="5"/>
        <v>7.7730919672242937E-2</v>
      </c>
      <c r="O26" s="41">
        <f t="shared" si="6"/>
        <v>5.1215430396929634E-2</v>
      </c>
    </row>
    <row r="27" spans="1:15" x14ac:dyDescent="0.45">
      <c r="A27" s="1">
        <v>42948</v>
      </c>
      <c r="B27">
        <v>120.010002</v>
      </c>
      <c r="C27">
        <v>120.470001</v>
      </c>
      <c r="D27">
        <v>115.389999</v>
      </c>
      <c r="E27">
        <v>118.370003</v>
      </c>
      <c r="F27">
        <v>110.851151</v>
      </c>
      <c r="G27">
        <v>27034800</v>
      </c>
      <c r="I27" s="3">
        <f t="shared" si="1"/>
        <v>5.0800019999999932</v>
      </c>
      <c r="J27" s="3">
        <f t="shared" si="2"/>
        <v>0.19000300000000436</v>
      </c>
      <c r="K27" s="3">
        <f t="shared" si="3"/>
        <v>5.2700049999999976</v>
      </c>
      <c r="L27" s="3">
        <f t="shared" si="4"/>
        <v>5.2700049999999976</v>
      </c>
      <c r="M27" s="3">
        <f t="shared" si="0"/>
        <v>9.6542860714285688</v>
      </c>
      <c r="N27" s="40">
        <f t="shared" si="5"/>
        <v>8.0445678781244992E-2</v>
      </c>
      <c r="O27" s="41">
        <f t="shared" si="6"/>
        <v>4.4521457011367969E-2</v>
      </c>
    </row>
    <row r="28" spans="1:15" x14ac:dyDescent="0.45">
      <c r="A28" s="1">
        <v>42917</v>
      </c>
      <c r="B28">
        <v>110</v>
      </c>
      <c r="C28">
        <v>124.010002</v>
      </c>
      <c r="D28">
        <v>108.970001</v>
      </c>
      <c r="E28">
        <v>120.660004</v>
      </c>
      <c r="F28">
        <v>112.995705</v>
      </c>
      <c r="G28">
        <v>34586100</v>
      </c>
      <c r="I28" s="3">
        <f t="shared" si="1"/>
        <v>15.040001000000004</v>
      </c>
      <c r="J28" s="3">
        <f t="shared" si="2"/>
        <v>13.650001000000003</v>
      </c>
      <c r="K28" s="3">
        <f t="shared" si="3"/>
        <v>1.3900000000000006</v>
      </c>
      <c r="L28" s="3">
        <f t="shared" si="4"/>
        <v>15.040001000000004</v>
      </c>
      <c r="M28" s="3">
        <f t="shared" si="0"/>
        <v>10.143571071428568</v>
      </c>
      <c r="N28" s="40">
        <f t="shared" si="5"/>
        <v>9.2214282467532438E-2</v>
      </c>
      <c r="O28" s="41">
        <f t="shared" si="6"/>
        <v>0.12464777475061251</v>
      </c>
    </row>
    <row r="29" spans="1:15" x14ac:dyDescent="0.45">
      <c r="A29" s="1">
        <v>42887</v>
      </c>
      <c r="B29">
        <v>116.790001</v>
      </c>
      <c r="C29">
        <v>118.80999799999999</v>
      </c>
      <c r="D29">
        <v>109.879997</v>
      </c>
      <c r="E29">
        <v>110.360001</v>
      </c>
      <c r="F29">
        <v>103.349953</v>
      </c>
      <c r="G29">
        <v>28503300</v>
      </c>
      <c r="I29" s="3">
        <f t="shared" si="1"/>
        <v>8.9300009999999901</v>
      </c>
      <c r="J29" s="3">
        <f t="shared" si="2"/>
        <v>1.8600009999999969</v>
      </c>
      <c r="K29" s="3">
        <f t="shared" si="3"/>
        <v>7.0699999999999932</v>
      </c>
      <c r="L29" s="3">
        <f t="shared" si="4"/>
        <v>8.9300009999999901</v>
      </c>
      <c r="M29" s="3">
        <f t="shared" si="0"/>
        <v>9.5928573571428526</v>
      </c>
      <c r="N29" s="40">
        <f t="shared" si="5"/>
        <v>8.2137659688373943E-2</v>
      </c>
      <c r="O29" s="41">
        <f t="shared" si="6"/>
        <v>8.0917007240693936E-2</v>
      </c>
    </row>
    <row r="30" spans="1:15" x14ac:dyDescent="0.45">
      <c r="A30" s="1">
        <v>42856</v>
      </c>
      <c r="B30">
        <v>111.199997</v>
      </c>
      <c r="C30">
        <v>121.040001</v>
      </c>
      <c r="D30">
        <v>111</v>
      </c>
      <c r="E30">
        <v>116.949997</v>
      </c>
      <c r="F30">
        <v>107.47096999999999</v>
      </c>
      <c r="G30">
        <v>37467500</v>
      </c>
      <c r="I30" s="3">
        <f t="shared" si="1"/>
        <v>10.040001000000004</v>
      </c>
      <c r="J30" s="3">
        <f t="shared" si="2"/>
        <v>7.8000030000000038</v>
      </c>
      <c r="K30" s="3">
        <f t="shared" si="3"/>
        <v>2.2399979999999999</v>
      </c>
      <c r="L30" s="3">
        <f t="shared" si="4"/>
        <v>10.040001000000004</v>
      </c>
      <c r="M30" s="3">
        <f t="shared" si="0"/>
        <v>9.8564289285714235</v>
      </c>
      <c r="N30" s="40">
        <f t="shared" si="5"/>
        <v>8.8636953187790316E-2</v>
      </c>
      <c r="O30" s="41">
        <f t="shared" si="6"/>
        <v>8.5848664023480084E-2</v>
      </c>
    </row>
    <row r="31" spans="1:15" x14ac:dyDescent="0.45">
      <c r="A31" s="1">
        <v>42826</v>
      </c>
      <c r="B31">
        <v>109.69000200000001</v>
      </c>
      <c r="C31">
        <v>114.33000199999999</v>
      </c>
      <c r="D31">
        <v>107.949997</v>
      </c>
      <c r="E31">
        <v>113.239998</v>
      </c>
      <c r="F31">
        <v>104.06167600000001</v>
      </c>
      <c r="G31">
        <v>28698000</v>
      </c>
      <c r="I31" s="3">
        <f t="shared" si="1"/>
        <v>6.380004999999997</v>
      </c>
      <c r="J31" s="3">
        <f t="shared" si="2"/>
        <v>4.5699999999999932</v>
      </c>
      <c r="K31" s="3">
        <f t="shared" si="3"/>
        <v>1.8100050000000039</v>
      </c>
      <c r="L31" s="3">
        <f t="shared" si="4"/>
        <v>6.380004999999997</v>
      </c>
      <c r="M31" s="3">
        <f t="shared" si="0"/>
        <v>10.243571642857138</v>
      </c>
      <c r="N31" s="40">
        <f t="shared" si="5"/>
        <v>9.3386557170972953E-2</v>
      </c>
      <c r="O31" s="41">
        <f t="shared" si="6"/>
        <v>5.6340560867901082E-2</v>
      </c>
    </row>
    <row r="32" spans="1:15" x14ac:dyDescent="0.45">
      <c r="A32" s="1">
        <v>42795</v>
      </c>
      <c r="B32">
        <v>109.709999</v>
      </c>
      <c r="C32">
        <v>113.019997</v>
      </c>
      <c r="D32">
        <v>105.610001</v>
      </c>
      <c r="E32">
        <v>109.760002</v>
      </c>
      <c r="F32">
        <v>100.863731</v>
      </c>
      <c r="G32">
        <v>46466000</v>
      </c>
      <c r="I32" s="3">
        <f t="shared" si="1"/>
        <v>7.4099960000000067</v>
      </c>
      <c r="J32" s="3">
        <f t="shared" si="2"/>
        <v>3.5299990000000037</v>
      </c>
      <c r="K32" s="3">
        <f t="shared" si="3"/>
        <v>3.879997000000003</v>
      </c>
      <c r="L32" s="3">
        <f t="shared" si="4"/>
        <v>7.4099960000000067</v>
      </c>
      <c r="M32" s="3">
        <f t="shared" si="0"/>
        <v>10.967857357142851</v>
      </c>
      <c r="N32" s="40">
        <f t="shared" si="5"/>
        <v>9.9971355912079188E-2</v>
      </c>
      <c r="O32" s="41">
        <f t="shared" si="6"/>
        <v>6.7510895271302995E-2</v>
      </c>
    </row>
    <row r="33" spans="1:15" x14ac:dyDescent="0.45">
      <c r="A33" s="1">
        <v>42767</v>
      </c>
      <c r="B33">
        <v>103.709999</v>
      </c>
      <c r="C33">
        <v>109.629997</v>
      </c>
      <c r="D33">
        <v>103.550003</v>
      </c>
      <c r="E33">
        <v>109.489998</v>
      </c>
      <c r="F33">
        <v>100.615623</v>
      </c>
      <c r="G33">
        <v>26429000</v>
      </c>
      <c r="I33" s="3">
        <f t="shared" si="1"/>
        <v>6.0799939999999992</v>
      </c>
      <c r="J33" s="3">
        <f t="shared" si="2"/>
        <v>5.369995000000003</v>
      </c>
      <c r="K33" s="3">
        <f t="shared" si="3"/>
        <v>0.70999899999999627</v>
      </c>
      <c r="L33" s="3">
        <f t="shared" si="4"/>
        <v>6.0799939999999992</v>
      </c>
      <c r="M33" s="3">
        <f t="shared" si="0"/>
        <v>11.357143357142851</v>
      </c>
      <c r="N33" s="40">
        <f t="shared" si="5"/>
        <v>0.10950866325958455</v>
      </c>
      <c r="O33" s="41">
        <f t="shared" si="6"/>
        <v>5.5530131619876355E-2</v>
      </c>
    </row>
    <row r="34" spans="1:15" x14ac:dyDescent="0.45">
      <c r="A34" s="1">
        <v>42736</v>
      </c>
      <c r="B34">
        <v>104.779999</v>
      </c>
      <c r="C34">
        <v>107.25</v>
      </c>
      <c r="D34">
        <v>103.82</v>
      </c>
      <c r="E34">
        <v>104.260002</v>
      </c>
      <c r="F34">
        <v>95.809524999999994</v>
      </c>
      <c r="G34">
        <v>26182900</v>
      </c>
      <c r="I34" s="3">
        <f t="shared" si="1"/>
        <v>3.4300000000000068</v>
      </c>
      <c r="J34" s="3">
        <f t="shared" si="2"/>
        <v>1.8099979999999931</v>
      </c>
      <c r="K34" s="3">
        <f t="shared" si="3"/>
        <v>1.6200020000000137</v>
      </c>
      <c r="L34" s="3">
        <f t="shared" si="4"/>
        <v>3.4300000000000068</v>
      </c>
      <c r="M34" s="3">
        <f t="shared" si="0"/>
        <v>11.519286499999994</v>
      </c>
      <c r="N34" s="40">
        <f t="shared" si="5"/>
        <v>0.10993783746838931</v>
      </c>
      <c r="O34" s="41">
        <f t="shared" si="6"/>
        <v>3.2898522292374471E-2</v>
      </c>
    </row>
    <row r="35" spans="1:15" x14ac:dyDescent="0.45">
      <c r="A35" s="1">
        <v>42705</v>
      </c>
      <c r="B35">
        <v>101.029999</v>
      </c>
      <c r="C35">
        <v>106.199997</v>
      </c>
      <c r="D35">
        <v>98.279999000000004</v>
      </c>
      <c r="E35">
        <v>105.44000200000001</v>
      </c>
      <c r="F35">
        <v>96.893883000000002</v>
      </c>
      <c r="G35">
        <v>46449900</v>
      </c>
      <c r="I35" s="3">
        <f t="shared" si="1"/>
        <v>7.9199979999999925</v>
      </c>
      <c r="J35" s="3">
        <f t="shared" si="2"/>
        <v>2.9299999999999926</v>
      </c>
      <c r="K35" s="3">
        <f t="shared" si="3"/>
        <v>4.9899979999999999</v>
      </c>
      <c r="L35" s="3">
        <f t="shared" si="4"/>
        <v>7.9199979999999925</v>
      </c>
      <c r="M35" s="3">
        <f t="shared" si="0"/>
        <v>12.247143857142854</v>
      </c>
      <c r="N35" s="40">
        <f t="shared" si="5"/>
        <v>0.12122284448545677</v>
      </c>
      <c r="O35" s="41">
        <f t="shared" si="6"/>
        <v>7.5113788408311982E-2</v>
      </c>
    </row>
    <row r="36" spans="1:15" x14ac:dyDescent="0.45">
      <c r="A36" s="1">
        <v>42675</v>
      </c>
      <c r="B36">
        <v>116.220001</v>
      </c>
      <c r="C36">
        <v>116.339996</v>
      </c>
      <c r="D36">
        <v>101</v>
      </c>
      <c r="E36">
        <v>103.269997</v>
      </c>
      <c r="F36">
        <v>93.360061999999999</v>
      </c>
      <c r="G36">
        <v>69037200</v>
      </c>
      <c r="I36" s="3">
        <f t="shared" si="1"/>
        <v>15.339995999999999</v>
      </c>
      <c r="J36" s="3">
        <f t="shared" si="2"/>
        <v>0.84999799999999937</v>
      </c>
      <c r="K36" s="3">
        <f t="shared" si="3"/>
        <v>14.489998</v>
      </c>
      <c r="L36" s="3">
        <f t="shared" si="4"/>
        <v>15.339995999999999</v>
      </c>
      <c r="M36" s="3">
        <f t="shared" si="0"/>
        <v>12.775715999999999</v>
      </c>
      <c r="N36" s="40">
        <f t="shared" si="5"/>
        <v>0.10992699957040956</v>
      </c>
      <c r="O36" s="41">
        <f t="shared" si="6"/>
        <v>0.1485426207575081</v>
      </c>
    </row>
    <row r="37" spans="1:15" x14ac:dyDescent="0.45">
      <c r="A37" s="1">
        <v>42644</v>
      </c>
      <c r="B37">
        <v>130.21000699999999</v>
      </c>
      <c r="C37">
        <v>130.470001</v>
      </c>
      <c r="D37">
        <v>114.269997</v>
      </c>
      <c r="E37">
        <v>115.489998</v>
      </c>
      <c r="F37">
        <v>104.40741</v>
      </c>
      <c r="G37">
        <v>35440900</v>
      </c>
      <c r="I37" s="3">
        <f t="shared" si="1"/>
        <v>16.200003999999993</v>
      </c>
      <c r="J37" s="3">
        <f t="shared" si="2"/>
        <v>0.94000299999999015</v>
      </c>
      <c r="K37" s="3">
        <f t="shared" si="3"/>
        <v>17.140006999999983</v>
      </c>
      <c r="L37" s="3">
        <f t="shared" si="4"/>
        <v>17.140006999999983</v>
      </c>
      <c r="M37" s="3">
        <f t="shared" si="0"/>
        <v>12.65785878571428</v>
      </c>
      <c r="N37" s="40">
        <f t="shared" si="5"/>
        <v>9.7211105946060514E-2</v>
      </c>
      <c r="O37" s="41">
        <f t="shared" si="6"/>
        <v>0.14841118102712222</v>
      </c>
    </row>
    <row r="38" spans="1:15" x14ac:dyDescent="0.45">
      <c r="A38" s="1">
        <v>42614</v>
      </c>
      <c r="B38">
        <v>123.68</v>
      </c>
      <c r="C38">
        <v>136.08000200000001</v>
      </c>
      <c r="D38">
        <v>122.18</v>
      </c>
      <c r="E38">
        <v>131.41000399999999</v>
      </c>
      <c r="F38">
        <v>118.799706</v>
      </c>
      <c r="G38">
        <v>26070100</v>
      </c>
      <c r="I38" s="3">
        <f t="shared" si="1"/>
        <v>13.900002000000001</v>
      </c>
      <c r="J38" s="3">
        <f t="shared" si="2"/>
        <v>12.050003000000004</v>
      </c>
      <c r="K38" s="3">
        <f t="shared" si="3"/>
        <v>1.8499989999999968</v>
      </c>
      <c r="L38" s="3">
        <f t="shared" si="4"/>
        <v>13.900002000000001</v>
      </c>
      <c r="M38" s="3">
        <f t="shared" si="0"/>
        <v>12.887858285714284</v>
      </c>
      <c r="N38" s="40">
        <f t="shared" si="5"/>
        <v>0.10420325263352428</v>
      </c>
      <c r="O38" s="41">
        <f t="shared" si="6"/>
        <v>0.10577582814775656</v>
      </c>
    </row>
    <row r="39" spans="1:15" x14ac:dyDescent="0.45">
      <c r="A39" s="1">
        <v>42583</v>
      </c>
      <c r="B39">
        <v>126.900002</v>
      </c>
      <c r="C39">
        <v>128.05999800000001</v>
      </c>
      <c r="D39">
        <v>122.68</v>
      </c>
      <c r="E39">
        <v>124.029999</v>
      </c>
      <c r="F39">
        <v>112.127899</v>
      </c>
      <c r="G39">
        <v>23273200</v>
      </c>
      <c r="I39" s="3">
        <f t="shared" si="1"/>
        <v>5.3799980000000005</v>
      </c>
      <c r="J39" s="3">
        <f t="shared" si="2"/>
        <v>1.3800039999999854</v>
      </c>
      <c r="K39" s="3">
        <f t="shared" si="3"/>
        <v>6.7600019999999859</v>
      </c>
      <c r="L39" s="3">
        <f t="shared" si="4"/>
        <v>6.7600019999999859</v>
      </c>
      <c r="M39" s="3">
        <f t="shared" si="0"/>
        <v>12.844287285714286</v>
      </c>
      <c r="N39" s="40">
        <f t="shared" si="5"/>
        <v>0.10121581625912256</v>
      </c>
      <c r="O39" s="41">
        <f t="shared" si="6"/>
        <v>5.4502959400975125E-2</v>
      </c>
    </row>
    <row r="40" spans="1:15" x14ac:dyDescent="0.45">
      <c r="A40" s="1">
        <v>42552</v>
      </c>
      <c r="B40">
        <v>131.679993</v>
      </c>
      <c r="C40">
        <v>132.89999399999999</v>
      </c>
      <c r="D40">
        <v>121.379997</v>
      </c>
      <c r="E40">
        <v>129.44000199999999</v>
      </c>
      <c r="F40">
        <v>117.018761</v>
      </c>
      <c r="G40">
        <v>35979600</v>
      </c>
      <c r="I40" s="3">
        <f t="shared" si="1"/>
        <v>11.519996999999989</v>
      </c>
      <c r="J40" s="3">
        <f t="shared" si="2"/>
        <v>1.2200009999999963</v>
      </c>
      <c r="K40" s="3">
        <f t="shared" si="3"/>
        <v>10.299995999999993</v>
      </c>
      <c r="L40" s="3">
        <f t="shared" si="4"/>
        <v>11.519996999999989</v>
      </c>
      <c r="M40" s="3">
        <f t="shared" si="0"/>
        <v>12.983572785714285</v>
      </c>
      <c r="N40" s="40">
        <f t="shared" si="5"/>
        <v>9.8599434051566862E-2</v>
      </c>
      <c r="O40" s="41">
        <f t="shared" si="6"/>
        <v>8.8998739354160319E-2</v>
      </c>
    </row>
    <row r="41" spans="1:15" x14ac:dyDescent="0.45">
      <c r="A41" s="1">
        <v>42522</v>
      </c>
      <c r="B41">
        <v>126.739998</v>
      </c>
      <c r="C41">
        <v>131.89999399999999</v>
      </c>
      <c r="D41">
        <v>119.779999</v>
      </c>
      <c r="E41">
        <v>131.679993</v>
      </c>
      <c r="F41">
        <v>119.04377700000001</v>
      </c>
      <c r="G41">
        <v>36980000</v>
      </c>
      <c r="I41" s="3">
        <f t="shared" si="1"/>
        <v>12.119994999999989</v>
      </c>
      <c r="J41" s="3">
        <f t="shared" si="2"/>
        <v>5.6799929999999961</v>
      </c>
      <c r="K41" s="3">
        <f t="shared" si="3"/>
        <v>6.4400019999999927</v>
      </c>
      <c r="L41" s="3">
        <f t="shared" si="4"/>
        <v>12.119994999999989</v>
      </c>
      <c r="M41" s="3">
        <f t="shared" si="0"/>
        <v>12.683572999999999</v>
      </c>
      <c r="N41" s="40">
        <f t="shared" si="5"/>
        <v>0.10007553416562306</v>
      </c>
      <c r="O41" s="41">
        <f t="shared" si="6"/>
        <v>9.2041279194174846E-2</v>
      </c>
    </row>
    <row r="42" spans="1:15" x14ac:dyDescent="0.45">
      <c r="A42" s="1">
        <v>42491</v>
      </c>
      <c r="B42">
        <v>125.30999799999999</v>
      </c>
      <c r="C42">
        <v>128.10000600000001</v>
      </c>
      <c r="D42">
        <v>120.769997</v>
      </c>
      <c r="E42">
        <v>126.220001</v>
      </c>
      <c r="F42">
        <v>114.107742</v>
      </c>
      <c r="G42">
        <v>26325200</v>
      </c>
      <c r="I42" s="3">
        <f t="shared" si="1"/>
        <v>7.330009000000004</v>
      </c>
      <c r="J42" s="3">
        <f t="shared" si="2"/>
        <v>3.9200060000000008</v>
      </c>
      <c r="K42" s="3">
        <f t="shared" si="3"/>
        <v>3.4100030000000032</v>
      </c>
      <c r="L42" s="3">
        <f t="shared" si="4"/>
        <v>7.330009000000004</v>
      </c>
      <c r="M42" s="3">
        <f t="shared" si="0"/>
        <v>12.433572999999999</v>
      </c>
      <c r="N42" s="40">
        <f t="shared" si="5"/>
        <v>9.922251375345166E-2</v>
      </c>
      <c r="O42" s="41">
        <f t="shared" si="6"/>
        <v>5.8073276358158198E-2</v>
      </c>
    </row>
    <row r="43" spans="1:15" x14ac:dyDescent="0.45">
      <c r="A43" s="1">
        <v>42461</v>
      </c>
      <c r="B43">
        <v>122.480003</v>
      </c>
      <c r="C43">
        <v>132.91000399999999</v>
      </c>
      <c r="D43">
        <v>120.290001</v>
      </c>
      <c r="E43">
        <v>124.18</v>
      </c>
      <c r="F43">
        <v>110.284752</v>
      </c>
      <c r="G43">
        <v>35730700</v>
      </c>
      <c r="I43" s="3">
        <f t="shared" si="1"/>
        <v>12.620002999999983</v>
      </c>
      <c r="J43" s="3">
        <f t="shared" si="2"/>
        <v>8.2499999999999858</v>
      </c>
      <c r="K43" s="3">
        <f t="shared" si="3"/>
        <v>4.370002999999997</v>
      </c>
      <c r="L43" s="3">
        <f t="shared" si="4"/>
        <v>12.620002999999983</v>
      </c>
      <c r="M43" s="3">
        <f t="shared" si="0"/>
        <v>12.515000999999998</v>
      </c>
      <c r="N43" s="40">
        <f t="shared" si="5"/>
        <v>0.10217995340839434</v>
      </c>
      <c r="O43" s="41">
        <f t="shared" si="6"/>
        <v>0.10162669511998697</v>
      </c>
    </row>
    <row r="44" spans="1:15" x14ac:dyDescent="0.45">
      <c r="A44" s="1">
        <v>42430</v>
      </c>
      <c r="B44">
        <v>112.110001</v>
      </c>
      <c r="C44">
        <v>126.959999</v>
      </c>
      <c r="D44">
        <v>111.58000199999999</v>
      </c>
      <c r="E44">
        <v>124.660004</v>
      </c>
      <c r="F44">
        <v>110.711052</v>
      </c>
      <c r="G44">
        <v>34421500</v>
      </c>
      <c r="I44" s="3">
        <f t="shared" si="1"/>
        <v>15.379997000000003</v>
      </c>
      <c r="J44" s="3">
        <f t="shared" si="2"/>
        <v>15.459998999999996</v>
      </c>
      <c r="K44" s="3">
        <f t="shared" si="3"/>
        <v>8.0001999999993245E-2</v>
      </c>
      <c r="L44" s="3">
        <f t="shared" si="4"/>
        <v>15.459998999999996</v>
      </c>
      <c r="M44" s="3">
        <f t="shared" si="0"/>
        <v>12.314286857142861</v>
      </c>
      <c r="N44" s="40">
        <f t="shared" si="5"/>
        <v>0.10984110915441755</v>
      </c>
      <c r="O44" s="41">
        <f t="shared" si="6"/>
        <v>0.12401731512859566</v>
      </c>
    </row>
    <row r="45" spans="1:15" x14ac:dyDescent="0.45">
      <c r="A45" s="1">
        <v>42401</v>
      </c>
      <c r="B45">
        <v>125.470001</v>
      </c>
      <c r="C45">
        <v>127.110001</v>
      </c>
      <c r="D45">
        <v>110.589996</v>
      </c>
      <c r="E45">
        <v>111.5</v>
      </c>
      <c r="F45">
        <v>99.023598000000007</v>
      </c>
      <c r="G45">
        <v>36285300</v>
      </c>
      <c r="I45" s="3">
        <f t="shared" si="1"/>
        <v>16.520004999999998</v>
      </c>
      <c r="J45" s="3">
        <f t="shared" si="2"/>
        <v>1.2700049999999976</v>
      </c>
      <c r="K45" s="3">
        <f t="shared" si="3"/>
        <v>15.25</v>
      </c>
      <c r="L45" s="3">
        <f t="shared" si="4"/>
        <v>16.520004999999998</v>
      </c>
      <c r="M45" s="3">
        <f t="shared" si="0"/>
        <v>12.417144142857143</v>
      </c>
      <c r="N45" s="40">
        <f t="shared" si="5"/>
        <v>9.8965043786499562E-2</v>
      </c>
      <c r="O45" s="41">
        <f t="shared" si="6"/>
        <v>0.14816147982062777</v>
      </c>
    </row>
    <row r="46" spans="1:15" x14ac:dyDescent="0.45">
      <c r="A46" s="1">
        <v>42370</v>
      </c>
      <c r="B46">
        <v>122.58000199999999</v>
      </c>
      <c r="C46">
        <v>126.220001</v>
      </c>
      <c r="D46">
        <v>113.360001</v>
      </c>
      <c r="E46">
        <v>125.839996</v>
      </c>
      <c r="F46">
        <v>111.758995</v>
      </c>
      <c r="G46">
        <v>39390200</v>
      </c>
      <c r="I46" s="3">
        <f t="shared" si="1"/>
        <v>12.86</v>
      </c>
      <c r="J46" s="3">
        <f t="shared" si="2"/>
        <v>1.2200009999999963</v>
      </c>
      <c r="K46" s="3">
        <f t="shared" si="3"/>
        <v>11.639999000000003</v>
      </c>
      <c r="L46" s="3">
        <f t="shared" si="4"/>
        <v>12.86</v>
      </c>
      <c r="M46" s="3">
        <f t="shared" si="0"/>
        <v>11.905715285714283</v>
      </c>
      <c r="N46" s="40">
        <f t="shared" si="5"/>
        <v>9.7126081672884002E-2</v>
      </c>
      <c r="O46" s="41">
        <f t="shared" si="6"/>
        <v>0.10219326453252589</v>
      </c>
    </row>
    <row r="47" spans="1:15" x14ac:dyDescent="0.45">
      <c r="A47" s="1">
        <v>42339</v>
      </c>
      <c r="B47">
        <v>128.60000600000001</v>
      </c>
      <c r="C47">
        <v>130</v>
      </c>
      <c r="D47">
        <v>121.650002</v>
      </c>
      <c r="E47">
        <v>125</v>
      </c>
      <c r="F47">
        <v>111.01300000000001</v>
      </c>
      <c r="G47">
        <v>34939500</v>
      </c>
      <c r="I47" s="3">
        <f t="shared" si="1"/>
        <v>8.3499979999999994</v>
      </c>
      <c r="J47" s="3">
        <f t="shared" si="2"/>
        <v>1.5399930000000097</v>
      </c>
      <c r="K47" s="3">
        <f t="shared" si="3"/>
        <v>6.8100049999999896</v>
      </c>
      <c r="L47" s="3">
        <f t="shared" si="4"/>
        <v>8.3499979999999994</v>
      </c>
      <c r="M47" s="3">
        <f t="shared" si="0"/>
        <v>11.6928585</v>
      </c>
      <c r="N47" s="40">
        <f t="shared" si="5"/>
        <v>9.0924245369008769E-2</v>
      </c>
      <c r="O47" s="41">
        <f t="shared" si="6"/>
        <v>6.6799983999999993E-2</v>
      </c>
    </row>
    <row r="48" spans="1:15" x14ac:dyDescent="0.45">
      <c r="A48" s="1">
        <v>42309</v>
      </c>
      <c r="B48">
        <v>120</v>
      </c>
      <c r="C48">
        <v>130.08000200000001</v>
      </c>
      <c r="D48">
        <v>116.459999</v>
      </c>
      <c r="E48">
        <v>128.46000699999999</v>
      </c>
      <c r="F48">
        <v>112.41185</v>
      </c>
      <c r="G48">
        <v>28905400</v>
      </c>
      <c r="I48" s="3">
        <f t="shared" si="1"/>
        <v>13.620003000000011</v>
      </c>
      <c r="J48" s="3">
        <f t="shared" si="2"/>
        <v>10.750000000000014</v>
      </c>
      <c r="K48" s="3">
        <f t="shared" si="3"/>
        <v>2.870002999999997</v>
      </c>
      <c r="L48" s="3">
        <f t="shared" si="4"/>
        <v>13.620003000000011</v>
      </c>
      <c r="M48" s="3">
        <f t="shared" si="0"/>
        <v>11.751429928571431</v>
      </c>
      <c r="N48" s="40">
        <f t="shared" si="5"/>
        <v>9.7928582738095266E-2</v>
      </c>
      <c r="O48" s="41">
        <f t="shared" si="6"/>
        <v>0.10602523943502519</v>
      </c>
    </row>
    <row r="49" spans="1:15" x14ac:dyDescent="0.45">
      <c r="A49" s="1">
        <v>42278</v>
      </c>
      <c r="B49">
        <v>106.099998</v>
      </c>
      <c r="C49">
        <v>120.660004</v>
      </c>
      <c r="D49">
        <v>105.339996</v>
      </c>
      <c r="E49">
        <v>119.33000199999999</v>
      </c>
      <c r="F49">
        <v>104.42243999999999</v>
      </c>
      <c r="G49">
        <v>39606000</v>
      </c>
      <c r="I49" s="3">
        <f t="shared" si="1"/>
        <v>15.320008000000001</v>
      </c>
      <c r="J49" s="3">
        <f t="shared" si="2"/>
        <v>14.340004000000008</v>
      </c>
      <c r="K49" s="3">
        <f t="shared" si="3"/>
        <v>0.98000399999999388</v>
      </c>
      <c r="L49" s="3">
        <f t="shared" si="4"/>
        <v>15.320008000000001</v>
      </c>
      <c r="M49" s="3">
        <f t="shared" si="0"/>
        <v>11.142143714285712</v>
      </c>
      <c r="N49" s="40">
        <f t="shared" si="5"/>
        <v>0.10501549410289067</v>
      </c>
      <c r="O49" s="41">
        <f t="shared" si="6"/>
        <v>0.1283835392879655</v>
      </c>
    </row>
    <row r="50" spans="1:15" x14ac:dyDescent="0.45">
      <c r="A50" s="1">
        <v>42248</v>
      </c>
      <c r="B50">
        <v>106.540001</v>
      </c>
      <c r="C50">
        <v>116.879997</v>
      </c>
      <c r="D50">
        <v>103.19000200000001</v>
      </c>
      <c r="E50">
        <v>106.32</v>
      </c>
      <c r="F50">
        <v>93.037757999999997</v>
      </c>
      <c r="G50">
        <v>61379800</v>
      </c>
      <c r="I50" s="3">
        <f t="shared" si="1"/>
        <v>13.689994999999996</v>
      </c>
      <c r="J50" s="3">
        <f t="shared" si="2"/>
        <v>7.9699930000000023</v>
      </c>
      <c r="K50" s="3">
        <f t="shared" si="3"/>
        <v>5.7200019999999938</v>
      </c>
      <c r="L50" s="3">
        <f t="shared" si="4"/>
        <v>13.689994999999996</v>
      </c>
      <c r="M50" s="3">
        <f t="shared" si="0"/>
        <v>10.535714714285715</v>
      </c>
      <c r="N50" s="40">
        <f t="shared" si="5"/>
        <v>9.8889756104711457E-2</v>
      </c>
      <c r="O50" s="41">
        <f t="shared" si="6"/>
        <v>0.1287621802106847</v>
      </c>
    </row>
    <row r="51" spans="1:15" x14ac:dyDescent="0.45">
      <c r="A51" s="1">
        <v>42217</v>
      </c>
      <c r="B51">
        <v>121.779999</v>
      </c>
      <c r="C51">
        <v>122.94000200000001</v>
      </c>
      <c r="D51">
        <v>102.58000199999999</v>
      </c>
      <c r="E51">
        <v>108.910004</v>
      </c>
      <c r="F51">
        <v>95.304175999999998</v>
      </c>
      <c r="G51">
        <v>36906100</v>
      </c>
      <c r="I51" s="3">
        <f t="shared" si="1"/>
        <v>20.360000000000014</v>
      </c>
      <c r="J51" s="3">
        <f t="shared" si="2"/>
        <v>3.3899990000000031</v>
      </c>
      <c r="K51" s="3">
        <f t="shared" si="3"/>
        <v>16.970001000000011</v>
      </c>
      <c r="L51" s="3">
        <f t="shared" si="4"/>
        <v>20.360000000000014</v>
      </c>
      <c r="M51" s="3">
        <f t="shared" si="0"/>
        <v>10.13000035714286</v>
      </c>
      <c r="N51" s="40">
        <f t="shared" si="5"/>
        <v>8.3182792250990734E-2</v>
      </c>
      <c r="O51" s="41">
        <f t="shared" si="6"/>
        <v>0.18694334085232439</v>
      </c>
    </row>
    <row r="52" spans="1:15" x14ac:dyDescent="0.45">
      <c r="A52" s="1">
        <v>42186</v>
      </c>
      <c r="B52">
        <v>122.970001</v>
      </c>
      <c r="C52">
        <v>129.240005</v>
      </c>
      <c r="D52">
        <v>115.949997</v>
      </c>
      <c r="E52">
        <v>119.550003</v>
      </c>
      <c r="F52">
        <v>104.61496</v>
      </c>
      <c r="G52">
        <v>35144900</v>
      </c>
      <c r="I52" s="3">
        <f t="shared" si="1"/>
        <v>13.290008</v>
      </c>
      <c r="J52" s="3">
        <f t="shared" si="2"/>
        <v>8.5700069999999897</v>
      </c>
      <c r="K52" s="3">
        <f t="shared" si="3"/>
        <v>4.7200010000000105</v>
      </c>
      <c r="L52" s="3">
        <f t="shared" si="4"/>
        <v>13.290008</v>
      </c>
      <c r="M52" s="3">
        <f t="shared" si="0"/>
        <v>9.2071434285714293</v>
      </c>
      <c r="N52" s="40">
        <f t="shared" si="5"/>
        <v>7.4873085742037437E-2</v>
      </c>
      <c r="O52" s="41">
        <f t="shared" si="6"/>
        <v>0.11116693991216378</v>
      </c>
    </row>
    <row r="53" spans="1:15" x14ac:dyDescent="0.45">
      <c r="A53" s="1">
        <v>42156</v>
      </c>
      <c r="B53">
        <v>120.239998</v>
      </c>
      <c r="C53">
        <v>127.349998</v>
      </c>
      <c r="D53">
        <v>118.639999</v>
      </c>
      <c r="E53">
        <v>120.66999800000001</v>
      </c>
      <c r="F53">
        <v>105.595039</v>
      </c>
      <c r="G53">
        <v>32271800</v>
      </c>
      <c r="I53" s="3">
        <f t="shared" si="1"/>
        <v>8.7099989999999963</v>
      </c>
      <c r="J53" s="3">
        <f t="shared" si="2"/>
        <v>6.7900000000000063</v>
      </c>
      <c r="K53" s="3">
        <f t="shared" si="3"/>
        <v>1.91999899999999</v>
      </c>
      <c r="L53" s="3">
        <f t="shared" si="4"/>
        <v>8.7099989999999963</v>
      </c>
      <c r="M53" s="3">
        <f t="shared" si="0"/>
        <v>8.6499998571428574</v>
      </c>
      <c r="N53" s="40">
        <f t="shared" si="5"/>
        <v>7.1939454432982095E-2</v>
      </c>
      <c r="O53" s="41">
        <f t="shared" si="6"/>
        <v>7.2180319419579309E-2</v>
      </c>
    </row>
    <row r="54" spans="1:15" x14ac:dyDescent="0.45">
      <c r="A54" s="1">
        <v>42125</v>
      </c>
      <c r="B54">
        <v>120</v>
      </c>
      <c r="C54">
        <v>124.33000199999999</v>
      </c>
      <c r="D54">
        <v>117.010002</v>
      </c>
      <c r="E54">
        <v>120.55999799999999</v>
      </c>
      <c r="F54">
        <v>105.49878699999999</v>
      </c>
      <c r="G54">
        <v>22665200</v>
      </c>
      <c r="I54" s="3">
        <f t="shared" si="1"/>
        <v>7.3199999999999932</v>
      </c>
      <c r="J54" s="3">
        <f t="shared" si="2"/>
        <v>4.2900009999999895</v>
      </c>
      <c r="K54" s="3">
        <f t="shared" si="3"/>
        <v>3.0299990000000037</v>
      </c>
      <c r="L54" s="3">
        <f t="shared" si="4"/>
        <v>7.3199999999999932</v>
      </c>
      <c r="M54" s="3">
        <f t="shared" si="0"/>
        <v>8.4628567857142869</v>
      </c>
      <c r="N54" s="40">
        <f t="shared" si="5"/>
        <v>7.0523806547619056E-2</v>
      </c>
      <c r="O54" s="41">
        <f t="shared" si="6"/>
        <v>6.0716656614410308E-2</v>
      </c>
    </row>
    <row r="55" spans="1:15" x14ac:dyDescent="0.45">
      <c r="A55" s="1">
        <v>42095</v>
      </c>
      <c r="B55">
        <v>123.629997</v>
      </c>
      <c r="C55">
        <v>127.629997</v>
      </c>
      <c r="D55">
        <v>119.010002</v>
      </c>
      <c r="E55">
        <v>120.040001</v>
      </c>
      <c r="F55">
        <v>103.20816000000001</v>
      </c>
      <c r="G55">
        <v>18525400</v>
      </c>
      <c r="I55" s="3">
        <f t="shared" si="1"/>
        <v>8.619995000000003</v>
      </c>
      <c r="J55" s="3">
        <f t="shared" si="2"/>
        <v>5.7199930000000023</v>
      </c>
      <c r="K55" s="3">
        <f t="shared" si="3"/>
        <v>2.9000020000000006</v>
      </c>
      <c r="L55" s="3">
        <f t="shared" si="4"/>
        <v>8.619995000000003</v>
      </c>
      <c r="M55" s="3">
        <f t="shared" si="0"/>
        <v>8.4371424285714305</v>
      </c>
      <c r="N55" s="40">
        <f t="shared" si="5"/>
        <v>6.8245107444040706E-2</v>
      </c>
      <c r="O55" s="41">
        <f t="shared" si="6"/>
        <v>7.1809354616716489E-2</v>
      </c>
    </row>
    <row r="56" spans="1:15" x14ac:dyDescent="0.45">
      <c r="A56" s="1">
        <v>42064</v>
      </c>
      <c r="B56">
        <v>127.550003</v>
      </c>
      <c r="C56">
        <v>127.889999</v>
      </c>
      <c r="D56">
        <v>119.41999800000001</v>
      </c>
      <c r="E56">
        <v>121.910004</v>
      </c>
      <c r="F56">
        <v>104.81594800000001</v>
      </c>
      <c r="G56">
        <v>31123800</v>
      </c>
      <c r="I56" s="3">
        <f t="shared" si="1"/>
        <v>8.4700009999999963</v>
      </c>
      <c r="J56" s="3">
        <f t="shared" si="2"/>
        <v>1.2299950000000024</v>
      </c>
      <c r="K56" s="3">
        <f t="shared" si="3"/>
        <v>7.2400059999999939</v>
      </c>
      <c r="L56" s="3">
        <f t="shared" si="4"/>
        <v>8.4700009999999963</v>
      </c>
      <c r="M56" s="3">
        <f t="shared" si="0"/>
        <v>8.6642853571428589</v>
      </c>
      <c r="N56" s="40">
        <f t="shared" si="5"/>
        <v>6.792853903063302E-2</v>
      </c>
      <c r="O56" s="41">
        <f t="shared" si="6"/>
        <v>6.9477489312525953E-2</v>
      </c>
    </row>
    <row r="57" spans="1:15" x14ac:dyDescent="0.45">
      <c r="A57" s="1">
        <v>42036</v>
      </c>
      <c r="B57">
        <v>121.529999</v>
      </c>
      <c r="C57">
        <v>128.35000600000001</v>
      </c>
      <c r="D57">
        <v>118.540001</v>
      </c>
      <c r="E57">
        <v>126.660004</v>
      </c>
      <c r="F57">
        <v>108.899918</v>
      </c>
      <c r="G57">
        <v>30742600</v>
      </c>
      <c r="I57" s="3">
        <f t="shared" si="1"/>
        <v>9.8100050000000039</v>
      </c>
      <c r="J57" s="3">
        <f t="shared" si="2"/>
        <v>6.2800060000000144</v>
      </c>
      <c r="K57" s="3">
        <f t="shared" si="3"/>
        <v>3.5299989999999895</v>
      </c>
      <c r="L57" s="3">
        <f t="shared" si="4"/>
        <v>9.8100050000000039</v>
      </c>
      <c r="M57" s="3">
        <f t="shared" si="0"/>
        <v>8.937142500000002</v>
      </c>
      <c r="N57" s="40">
        <f t="shared" si="5"/>
        <v>7.3538571328384539E-2</v>
      </c>
      <c r="O57" s="41">
        <f t="shared" si="6"/>
        <v>7.7451481842681802E-2</v>
      </c>
    </row>
    <row r="58" spans="1:15" x14ac:dyDescent="0.45">
      <c r="A58" s="1">
        <v>42005</v>
      </c>
      <c r="B58">
        <v>112.300003</v>
      </c>
      <c r="C58">
        <v>123.470001</v>
      </c>
      <c r="D58">
        <v>106.57</v>
      </c>
      <c r="E58">
        <v>122.07</v>
      </c>
      <c r="F58">
        <v>104.95352200000001</v>
      </c>
      <c r="G58">
        <v>39593000</v>
      </c>
      <c r="I58" s="3">
        <f t="shared" si="1"/>
        <v>16.900001000000003</v>
      </c>
      <c r="J58" s="3">
        <f t="shared" si="2"/>
        <v>11.150001000000003</v>
      </c>
      <c r="K58" s="3">
        <f t="shared" si="3"/>
        <v>5.75</v>
      </c>
      <c r="L58" s="3">
        <f t="shared" si="4"/>
        <v>16.900001000000003</v>
      </c>
      <c r="M58" s="3">
        <f t="shared" si="0"/>
        <v>8.7628566428571428</v>
      </c>
      <c r="N58" s="40">
        <f t="shared" si="5"/>
        <v>7.803077835053257E-2</v>
      </c>
      <c r="O58" s="41">
        <f t="shared" si="6"/>
        <v>0.13844516261161632</v>
      </c>
    </row>
    <row r="59" spans="1:15" x14ac:dyDescent="0.45">
      <c r="A59" s="1">
        <v>41974</v>
      </c>
      <c r="B59">
        <v>116.94000200000001</v>
      </c>
      <c r="C59">
        <v>116.989998</v>
      </c>
      <c r="D59">
        <v>107.629997</v>
      </c>
      <c r="E59">
        <v>112.32</v>
      </c>
      <c r="F59">
        <v>96.570656</v>
      </c>
      <c r="G59">
        <v>30797700</v>
      </c>
      <c r="I59" s="3">
        <f t="shared" si="1"/>
        <v>9.3600009999999969</v>
      </c>
      <c r="J59" s="3">
        <f t="shared" si="2"/>
        <v>0</v>
      </c>
      <c r="K59" s="3">
        <f t="shared" si="3"/>
        <v>9.3600009999999969</v>
      </c>
      <c r="L59" s="3">
        <f t="shared" si="4"/>
        <v>9.3600009999999969</v>
      </c>
      <c r="M59" s="3">
        <f t="shared" si="0"/>
        <v>7.9292853571428576</v>
      </c>
      <c r="N59" s="40">
        <f t="shared" si="5"/>
        <v>6.7806441093979611E-2</v>
      </c>
      <c r="O59" s="41">
        <f t="shared" si="6"/>
        <v>8.3333342236467212E-2</v>
      </c>
    </row>
    <row r="60" spans="1:15" x14ac:dyDescent="0.45">
      <c r="A60" s="1">
        <v>41944</v>
      </c>
      <c r="B60">
        <v>109.839996</v>
      </c>
      <c r="C60">
        <v>117.470001</v>
      </c>
      <c r="D60">
        <v>107.589996</v>
      </c>
      <c r="E60">
        <v>116.989998</v>
      </c>
      <c r="F60">
        <v>99.439018000000004</v>
      </c>
      <c r="G60">
        <v>20099300</v>
      </c>
      <c r="I60" s="3">
        <f t="shared" si="1"/>
        <v>9.880004999999997</v>
      </c>
      <c r="J60" s="3">
        <f t="shared" si="2"/>
        <v>6.4899979999999999</v>
      </c>
      <c r="K60" s="3">
        <f t="shared" si="3"/>
        <v>3.3900069999999971</v>
      </c>
      <c r="L60" s="3">
        <f t="shared" si="4"/>
        <v>9.880004999999997</v>
      </c>
      <c r="M60" s="3">
        <f t="shared" si="0"/>
        <v>7.9142854285714295</v>
      </c>
      <c r="N60" s="40">
        <f t="shared" si="5"/>
        <v>7.2052856125117026E-2</v>
      </c>
      <c r="O60" s="41">
        <f t="shared" si="6"/>
        <v>8.4451706717697334E-2</v>
      </c>
    </row>
    <row r="61" spans="1:15" x14ac:dyDescent="0.45">
      <c r="A61" s="1">
        <v>41913</v>
      </c>
      <c r="B61">
        <v>109.199997</v>
      </c>
      <c r="C61">
        <v>111.379997</v>
      </c>
      <c r="D61">
        <v>102.209999</v>
      </c>
      <c r="E61">
        <v>110.980003</v>
      </c>
      <c r="F61">
        <v>94.330658</v>
      </c>
      <c r="G61">
        <v>40385200</v>
      </c>
      <c r="I61" s="3">
        <f t="shared" si="1"/>
        <v>9.1699980000000068</v>
      </c>
      <c r="J61" s="3">
        <f t="shared" si="2"/>
        <v>0.52999900000000366</v>
      </c>
      <c r="K61" s="3">
        <f t="shared" si="3"/>
        <v>8.6399990000000031</v>
      </c>
      <c r="L61" s="3">
        <f t="shared" si="4"/>
        <v>9.1699980000000068</v>
      </c>
      <c r="M61" s="3">
        <f t="shared" si="0"/>
        <v>7.9585707857142864</v>
      </c>
      <c r="N61" s="40">
        <f t="shared" si="5"/>
        <v>7.2880686853080107E-2</v>
      </c>
      <c r="O61" s="41">
        <f t="shared" si="6"/>
        <v>8.262748019568901E-2</v>
      </c>
    </row>
    <row r="62" spans="1:15" x14ac:dyDescent="0.45">
      <c r="A62" s="1">
        <v>41883</v>
      </c>
      <c r="B62">
        <v>111.349998</v>
      </c>
      <c r="C62">
        <v>115.099998</v>
      </c>
      <c r="D62">
        <v>110.010002</v>
      </c>
      <c r="E62">
        <v>110.849998</v>
      </c>
      <c r="F62">
        <v>94.220146</v>
      </c>
      <c r="G62">
        <v>24977900</v>
      </c>
      <c r="I62" s="3">
        <f t="shared" si="1"/>
        <v>5.0899959999999993</v>
      </c>
      <c r="J62" s="3">
        <f t="shared" si="2"/>
        <v>3.3199989999999957</v>
      </c>
      <c r="K62" s="3">
        <f t="shared" si="3"/>
        <v>1.7699970000000036</v>
      </c>
      <c r="L62" s="3">
        <f t="shared" si="4"/>
        <v>5.0899959999999993</v>
      </c>
      <c r="M62" s="3">
        <f t="shared" si="0"/>
        <v>7.8957138571428578</v>
      </c>
      <c r="N62" s="40">
        <f t="shared" si="5"/>
        <v>7.0908971701489007E-2</v>
      </c>
      <c r="O62" s="41">
        <f t="shared" si="6"/>
        <v>4.5917871825311166E-2</v>
      </c>
    </row>
    <row r="63" spans="1:15" x14ac:dyDescent="0.45">
      <c r="A63" s="1">
        <v>41852</v>
      </c>
      <c r="B63">
        <v>106.58000199999999</v>
      </c>
      <c r="C63">
        <v>112.66999800000001</v>
      </c>
      <c r="D63">
        <v>105.839996</v>
      </c>
      <c r="E63">
        <v>111.779999</v>
      </c>
      <c r="F63">
        <v>95.010627999999997</v>
      </c>
      <c r="G63">
        <v>19127200</v>
      </c>
      <c r="I63" s="3">
        <f t="shared" si="1"/>
        <v>6.8300020000000075</v>
      </c>
      <c r="J63" s="3">
        <f t="shared" si="2"/>
        <v>4.6899950000000104</v>
      </c>
      <c r="K63" s="3">
        <f t="shared" si="3"/>
        <v>2.1400069999999971</v>
      </c>
      <c r="L63" s="3">
        <f t="shared" si="4"/>
        <v>6.8300020000000075</v>
      </c>
      <c r="M63" s="3">
        <f t="shared" si="0"/>
        <v>8.3021425714285719</v>
      </c>
      <c r="N63" s="40">
        <f t="shared" si="5"/>
        <v>7.7895875545475904E-2</v>
      </c>
      <c r="O63" s="41">
        <f t="shared" si="6"/>
        <v>6.1102183405816697E-2</v>
      </c>
    </row>
    <row r="64" spans="1:15" x14ac:dyDescent="0.45">
      <c r="A64" s="1">
        <v>41821</v>
      </c>
      <c r="B64">
        <v>114.68</v>
      </c>
      <c r="C64">
        <v>115.839996</v>
      </c>
      <c r="D64">
        <v>107.83000199999999</v>
      </c>
      <c r="E64">
        <v>107.980003</v>
      </c>
      <c r="F64">
        <v>91.780700999999993</v>
      </c>
      <c r="G64">
        <v>19453300</v>
      </c>
      <c r="I64" s="3">
        <f t="shared" si="1"/>
        <v>8.0099940000000061</v>
      </c>
      <c r="J64" s="3">
        <f t="shared" si="2"/>
        <v>0.89999399999999241</v>
      </c>
      <c r="K64" s="3">
        <f t="shared" si="3"/>
        <v>7.1100000000000136</v>
      </c>
      <c r="L64" s="3">
        <f t="shared" si="4"/>
        <v>8.0099940000000061</v>
      </c>
      <c r="M64" s="3">
        <f t="shared" si="0"/>
        <v>8.6292849999999994</v>
      </c>
      <c r="N64" s="40">
        <f t="shared" si="5"/>
        <v>7.5246642832228802E-2</v>
      </c>
      <c r="O64" s="41">
        <f t="shared" si="6"/>
        <v>7.41803461516852E-2</v>
      </c>
    </row>
    <row r="65" spans="1:15" x14ac:dyDescent="0.45">
      <c r="A65" s="1">
        <v>41791</v>
      </c>
      <c r="B65">
        <v>109.540001</v>
      </c>
      <c r="C65">
        <v>116.650002</v>
      </c>
      <c r="D65">
        <v>109.209999</v>
      </c>
      <c r="E65">
        <v>114.94000200000001</v>
      </c>
      <c r="F65">
        <v>97.696556000000001</v>
      </c>
      <c r="G65">
        <v>28055300</v>
      </c>
      <c r="I65" s="3">
        <f t="shared" si="1"/>
        <v>7.4400030000000044</v>
      </c>
      <c r="J65" s="3">
        <f t="shared" si="2"/>
        <v>6.7300039999999939</v>
      </c>
      <c r="K65" s="3">
        <f t="shared" si="3"/>
        <v>0.70999900000001048</v>
      </c>
      <c r="L65" s="3">
        <f t="shared" si="4"/>
        <v>7.4400030000000044</v>
      </c>
      <c r="M65" s="3">
        <f t="shared" si="0"/>
        <v>8.5421421428571431</v>
      </c>
      <c r="N65" s="40">
        <f t="shared" si="5"/>
        <v>7.7981943261595757E-2</v>
      </c>
      <c r="O65" s="41">
        <f t="shared" si="6"/>
        <v>6.4729449021586102E-2</v>
      </c>
    </row>
    <row r="66" spans="1:15" x14ac:dyDescent="0.45">
      <c r="A66" s="1">
        <v>41760</v>
      </c>
      <c r="B66">
        <v>106.68</v>
      </c>
      <c r="C66">
        <v>111.30999799999999</v>
      </c>
      <c r="D66">
        <v>105.860001</v>
      </c>
      <c r="E66">
        <v>109.91999800000001</v>
      </c>
      <c r="F66">
        <v>93.429657000000006</v>
      </c>
      <c r="G66">
        <v>20152000</v>
      </c>
      <c r="I66" s="3">
        <f t="shared" si="1"/>
        <v>5.4499969999999962</v>
      </c>
      <c r="J66" s="3">
        <f t="shared" si="2"/>
        <v>5.4899979999999999</v>
      </c>
      <c r="K66" s="3">
        <f t="shared" si="3"/>
        <v>4.0001000000003728E-2</v>
      </c>
      <c r="L66" s="3">
        <f t="shared" si="4"/>
        <v>5.4899979999999999</v>
      </c>
      <c r="M66" s="3">
        <f t="shared" ref="M66:M129" si="7">AVERAGE(L66:L79)</f>
        <v>8.6192851428571426</v>
      </c>
      <c r="N66" s="40">
        <f t="shared" si="5"/>
        <v>8.0795698751941716E-2</v>
      </c>
      <c r="O66" s="41">
        <f t="shared" si="6"/>
        <v>4.9945397560869673E-2</v>
      </c>
    </row>
    <row r="67" spans="1:15" x14ac:dyDescent="0.45">
      <c r="A67" s="1">
        <v>41730</v>
      </c>
      <c r="B67">
        <v>105.900002</v>
      </c>
      <c r="C67">
        <v>111.379997</v>
      </c>
      <c r="D67">
        <v>105.290001</v>
      </c>
      <c r="E67">
        <v>105.82</v>
      </c>
      <c r="F67">
        <v>88.325584000000006</v>
      </c>
      <c r="G67">
        <v>27519700</v>
      </c>
      <c r="I67" s="3">
        <f t="shared" ref="I67:I130" si="8">IF(B67&gt;0,C67-D67,"")</f>
        <v>6.0899959999999993</v>
      </c>
      <c r="J67" s="3">
        <f t="shared" ref="J67:J130" si="9">IF(B67&gt;0,ABS(C67-E68),)</f>
        <v>6.0799939999999992</v>
      </c>
      <c r="K67" s="3">
        <f t="shared" ref="K67:K130" si="10">IF(B67&gt;0,ABS(D67-E68),)</f>
        <v>1.0002000000000066E-2</v>
      </c>
      <c r="L67" s="3">
        <f t="shared" ref="L67:L130" si="11">MAX(I67:K67)</f>
        <v>6.0899959999999993</v>
      </c>
      <c r="M67" s="3">
        <f t="shared" si="7"/>
        <v>8.7014281428571429</v>
      </c>
      <c r="N67" s="40">
        <f t="shared" ref="N67:N130" si="12">M67/B67</f>
        <v>8.2166458720719787E-2</v>
      </c>
      <c r="O67" s="41">
        <f t="shared" ref="O67:O130" si="13">L67/E67</f>
        <v>5.7550519750519745E-2</v>
      </c>
    </row>
    <row r="68" spans="1:15" x14ac:dyDescent="0.45">
      <c r="A68" s="1">
        <v>41699</v>
      </c>
      <c r="B68">
        <v>102.290001</v>
      </c>
      <c r="C68">
        <v>106.360001</v>
      </c>
      <c r="D68">
        <v>99.400002000000001</v>
      </c>
      <c r="E68">
        <v>105.300003</v>
      </c>
      <c r="F68">
        <v>87.891548</v>
      </c>
      <c r="G68">
        <v>25012300</v>
      </c>
      <c r="I68" s="3">
        <f t="shared" si="8"/>
        <v>6.9599989999999963</v>
      </c>
      <c r="J68" s="3">
        <f t="shared" si="9"/>
        <v>1.75</v>
      </c>
      <c r="K68" s="3">
        <f t="shared" si="10"/>
        <v>5.2099989999999963</v>
      </c>
      <c r="L68" s="3">
        <f t="shared" si="11"/>
        <v>6.9599989999999963</v>
      </c>
      <c r="M68" s="3">
        <f t="shared" si="7"/>
        <v>8.918571142857143</v>
      </c>
      <c r="N68" s="40">
        <f t="shared" si="12"/>
        <v>8.7189080610695691E-2</v>
      </c>
      <c r="O68" s="41">
        <f t="shared" si="13"/>
        <v>6.6096854717088621E-2</v>
      </c>
    </row>
    <row r="69" spans="1:15" x14ac:dyDescent="0.45">
      <c r="A69" s="1">
        <v>41671</v>
      </c>
      <c r="B69">
        <v>95.510002</v>
      </c>
      <c r="C69">
        <v>105.519997</v>
      </c>
      <c r="D69">
        <v>93.720000999999996</v>
      </c>
      <c r="E69">
        <v>104.610001</v>
      </c>
      <c r="F69">
        <v>87.315635999999998</v>
      </c>
      <c r="G69">
        <v>29473400</v>
      </c>
      <c r="I69" s="3">
        <f t="shared" si="8"/>
        <v>11.799996000000007</v>
      </c>
      <c r="J69" s="3">
        <f t="shared" si="9"/>
        <v>9.6299980000000005</v>
      </c>
      <c r="K69" s="3">
        <f t="shared" si="10"/>
        <v>2.1699980000000068</v>
      </c>
      <c r="L69" s="3">
        <f t="shared" si="11"/>
        <v>11.799996000000007</v>
      </c>
      <c r="M69" s="3">
        <f t="shared" si="7"/>
        <v>9.1671422857142861</v>
      </c>
      <c r="N69" s="40">
        <f t="shared" si="12"/>
        <v>9.598096632554029E-2</v>
      </c>
      <c r="O69" s="41">
        <f t="shared" si="13"/>
        <v>0.11279988420992375</v>
      </c>
    </row>
    <row r="70" spans="1:15" x14ac:dyDescent="0.45">
      <c r="A70" s="1">
        <v>41640</v>
      </c>
      <c r="B70">
        <v>103.66999800000001</v>
      </c>
      <c r="C70">
        <v>105.870003</v>
      </c>
      <c r="D70">
        <v>94.169998000000007</v>
      </c>
      <c r="E70">
        <v>95.889999000000003</v>
      </c>
      <c r="F70">
        <v>80.037231000000006</v>
      </c>
      <c r="G70">
        <v>33106600</v>
      </c>
      <c r="I70" s="3">
        <f t="shared" si="8"/>
        <v>11.70000499999999</v>
      </c>
      <c r="J70" s="3">
        <f t="shared" si="9"/>
        <v>0.5899959999999993</v>
      </c>
      <c r="K70" s="3">
        <f t="shared" si="10"/>
        <v>12.29000099999999</v>
      </c>
      <c r="L70" s="3">
        <f t="shared" si="11"/>
        <v>12.29000099999999</v>
      </c>
      <c r="M70" s="3">
        <f t="shared" si="7"/>
        <v>8.6157141428571418</v>
      </c>
      <c r="N70" s="40">
        <f t="shared" si="12"/>
        <v>8.3107112077470485E-2</v>
      </c>
      <c r="O70" s="41">
        <f t="shared" si="13"/>
        <v>0.12816770391247986</v>
      </c>
    </row>
    <row r="71" spans="1:15" x14ac:dyDescent="0.45">
      <c r="A71" s="1">
        <v>41609</v>
      </c>
      <c r="B71">
        <v>101.370003</v>
      </c>
      <c r="C71">
        <v>106.83000199999999</v>
      </c>
      <c r="D71">
        <v>99.459998999999996</v>
      </c>
      <c r="E71">
        <v>106.459999</v>
      </c>
      <c r="F71">
        <v>88.859779000000003</v>
      </c>
      <c r="G71">
        <v>19768600</v>
      </c>
      <c r="I71" s="3">
        <f t="shared" si="8"/>
        <v>7.370002999999997</v>
      </c>
      <c r="J71" s="3">
        <f t="shared" si="9"/>
        <v>4.7200009999999963</v>
      </c>
      <c r="K71" s="3">
        <f t="shared" si="10"/>
        <v>2.6500020000000006</v>
      </c>
      <c r="L71" s="3">
        <f t="shared" si="11"/>
        <v>7.370002999999997</v>
      </c>
      <c r="M71" s="3">
        <f t="shared" si="7"/>
        <v>8.2049998571428571</v>
      </c>
      <c r="N71" s="40">
        <f t="shared" si="12"/>
        <v>8.0941103031661715E-2</v>
      </c>
      <c r="O71" s="41">
        <f t="shared" si="13"/>
        <v>6.9227907845462192E-2</v>
      </c>
    </row>
    <row r="72" spans="1:15" x14ac:dyDescent="0.45">
      <c r="A72" s="1">
        <v>41579</v>
      </c>
      <c r="B72">
        <v>102.459999</v>
      </c>
      <c r="C72">
        <v>105.480003</v>
      </c>
      <c r="D72">
        <v>100.25</v>
      </c>
      <c r="E72">
        <v>102.110001</v>
      </c>
      <c r="F72">
        <v>84.558929000000006</v>
      </c>
      <c r="G72">
        <v>22568900</v>
      </c>
      <c r="I72" s="3">
        <f t="shared" si="8"/>
        <v>5.2300029999999964</v>
      </c>
      <c r="J72" s="3">
        <f t="shared" si="9"/>
        <v>1.75</v>
      </c>
      <c r="K72" s="3">
        <f t="shared" si="10"/>
        <v>3.4800029999999964</v>
      </c>
      <c r="L72" s="3">
        <f t="shared" si="11"/>
        <v>5.2300029999999964</v>
      </c>
      <c r="M72" s="3">
        <f t="shared" si="7"/>
        <v>8.2235708571428567</v>
      </c>
      <c r="N72" s="40">
        <f t="shared" si="12"/>
        <v>8.026128184075873E-2</v>
      </c>
      <c r="O72" s="41">
        <f t="shared" si="13"/>
        <v>5.1219302211151646E-2</v>
      </c>
    </row>
    <row r="73" spans="1:15" x14ac:dyDescent="0.45">
      <c r="A73" s="1">
        <v>41548</v>
      </c>
      <c r="B73">
        <v>97.709998999999996</v>
      </c>
      <c r="C73">
        <v>104.790001</v>
      </c>
      <c r="D73">
        <v>95.639999000000003</v>
      </c>
      <c r="E73">
        <v>103.730003</v>
      </c>
      <c r="F73">
        <v>85.900481999999997</v>
      </c>
      <c r="G73">
        <v>26884100</v>
      </c>
      <c r="I73" s="3">
        <f t="shared" si="8"/>
        <v>9.1500020000000006</v>
      </c>
      <c r="J73" s="3">
        <f t="shared" si="9"/>
        <v>5.5900040000000075</v>
      </c>
      <c r="K73" s="3">
        <f t="shared" si="10"/>
        <v>3.5599979999999931</v>
      </c>
      <c r="L73" s="3">
        <f t="shared" si="11"/>
        <v>9.1500020000000006</v>
      </c>
      <c r="M73" s="3">
        <f t="shared" si="7"/>
        <v>8.2099992857142858</v>
      </c>
      <c r="N73" s="40">
        <f t="shared" si="12"/>
        <v>8.4024146655802198E-2</v>
      </c>
      <c r="O73" s="41">
        <f t="shared" si="13"/>
        <v>8.8209792108075044E-2</v>
      </c>
    </row>
    <row r="74" spans="1:15" x14ac:dyDescent="0.45">
      <c r="A74" s="1">
        <v>41518</v>
      </c>
      <c r="B74">
        <v>94.800003000000004</v>
      </c>
      <c r="C74">
        <v>103.849998</v>
      </c>
      <c r="D74">
        <v>93.57</v>
      </c>
      <c r="E74">
        <v>99.199996999999996</v>
      </c>
      <c r="F74">
        <v>82.149101000000002</v>
      </c>
      <c r="G74">
        <v>29615500</v>
      </c>
      <c r="I74" s="3">
        <f t="shared" si="8"/>
        <v>10.279998000000006</v>
      </c>
      <c r="J74" s="3">
        <f t="shared" si="9"/>
        <v>10.5</v>
      </c>
      <c r="K74" s="3">
        <f t="shared" si="10"/>
        <v>0.22000199999999381</v>
      </c>
      <c r="L74" s="3">
        <f t="shared" si="11"/>
        <v>10.5</v>
      </c>
      <c r="M74" s="3">
        <f t="shared" si="7"/>
        <v>7.9671420000000008</v>
      </c>
      <c r="N74" s="40">
        <f t="shared" si="12"/>
        <v>8.4041579618937365E-2</v>
      </c>
      <c r="O74" s="41">
        <f t="shared" si="13"/>
        <v>0.1058467773945598</v>
      </c>
    </row>
    <row r="75" spans="1:15" x14ac:dyDescent="0.45">
      <c r="A75" s="1">
        <v>41487</v>
      </c>
      <c r="B75">
        <v>97.389999000000003</v>
      </c>
      <c r="C75">
        <v>101.050003</v>
      </c>
      <c r="D75">
        <v>92.760002</v>
      </c>
      <c r="E75">
        <v>93.349997999999999</v>
      </c>
      <c r="F75">
        <v>77.304642000000001</v>
      </c>
      <c r="G75">
        <v>26499200</v>
      </c>
      <c r="I75" s="3">
        <f t="shared" si="8"/>
        <v>8.2900010000000037</v>
      </c>
      <c r="J75" s="3">
        <f t="shared" si="9"/>
        <v>5.3400040000000075</v>
      </c>
      <c r="K75" s="3">
        <f t="shared" si="10"/>
        <v>2.9499969999999962</v>
      </c>
      <c r="L75" s="3">
        <f t="shared" si="11"/>
        <v>8.2900010000000037</v>
      </c>
      <c r="M75" s="3">
        <f t="shared" si="7"/>
        <v>7.611428000000001</v>
      </c>
      <c r="N75" s="40">
        <f t="shared" si="12"/>
        <v>7.815410286635284E-2</v>
      </c>
      <c r="O75" s="41">
        <f t="shared" si="13"/>
        <v>8.880558304886095E-2</v>
      </c>
    </row>
    <row r="76" spans="1:15" x14ac:dyDescent="0.45">
      <c r="A76" s="1">
        <v>41456</v>
      </c>
      <c r="B76">
        <v>90.449996999999996</v>
      </c>
      <c r="C76">
        <v>96.839995999999999</v>
      </c>
      <c r="D76">
        <v>86.059997999999993</v>
      </c>
      <c r="E76">
        <v>95.709998999999996</v>
      </c>
      <c r="F76">
        <v>79.258979999999994</v>
      </c>
      <c r="G76">
        <v>40328000</v>
      </c>
      <c r="I76" s="3">
        <f t="shared" si="8"/>
        <v>10.779998000000006</v>
      </c>
      <c r="J76" s="3">
        <f t="shared" si="9"/>
        <v>6.5799939999999992</v>
      </c>
      <c r="K76" s="3">
        <f t="shared" si="10"/>
        <v>4.200004000000007</v>
      </c>
      <c r="L76" s="3">
        <f t="shared" si="11"/>
        <v>10.779998000000006</v>
      </c>
      <c r="M76" s="3">
        <f t="shared" si="7"/>
        <v>8.0664282142857147</v>
      </c>
      <c r="N76" s="40">
        <f t="shared" si="12"/>
        <v>8.9181077742719161E-2</v>
      </c>
      <c r="O76" s="41">
        <f t="shared" si="13"/>
        <v>0.11263188917178869</v>
      </c>
    </row>
    <row r="77" spans="1:15" x14ac:dyDescent="0.45">
      <c r="A77" s="1">
        <v>41426</v>
      </c>
      <c r="B77">
        <v>91.43</v>
      </c>
      <c r="C77">
        <v>95.349997999999999</v>
      </c>
      <c r="D77">
        <v>83.940002000000007</v>
      </c>
      <c r="E77">
        <v>90.260002</v>
      </c>
      <c r="F77">
        <v>74.745750000000001</v>
      </c>
      <c r="G77">
        <v>34916200</v>
      </c>
      <c r="I77" s="3">
        <f t="shared" si="8"/>
        <v>11.409995999999992</v>
      </c>
      <c r="J77" s="3">
        <f t="shared" si="9"/>
        <v>3.4299999999999926</v>
      </c>
      <c r="K77" s="3">
        <f t="shared" si="10"/>
        <v>7.9799959999999999</v>
      </c>
      <c r="L77" s="3">
        <f t="shared" si="11"/>
        <v>11.409995999999992</v>
      </c>
      <c r="M77" s="3">
        <f t="shared" si="7"/>
        <v>7.8957140714285705</v>
      </c>
      <c r="N77" s="40">
        <f t="shared" si="12"/>
        <v>8.6358023312135726E-2</v>
      </c>
      <c r="O77" s="41">
        <f t="shared" si="13"/>
        <v>0.1264125387455674</v>
      </c>
    </row>
    <row r="78" spans="1:15" x14ac:dyDescent="0.45">
      <c r="A78" s="1">
        <v>41395</v>
      </c>
      <c r="B78">
        <v>95.660004000000001</v>
      </c>
      <c r="C78">
        <v>98.519997000000004</v>
      </c>
      <c r="D78">
        <v>91.730002999999996</v>
      </c>
      <c r="E78">
        <v>91.919998000000007</v>
      </c>
      <c r="F78">
        <v>76.120414999999994</v>
      </c>
      <c r="G78">
        <v>22378600</v>
      </c>
      <c r="I78" s="3">
        <f t="shared" si="8"/>
        <v>6.7899940000000072</v>
      </c>
      <c r="J78" s="3">
        <f t="shared" si="9"/>
        <v>2.8999940000000066</v>
      </c>
      <c r="K78" s="3">
        <f t="shared" si="10"/>
        <v>3.8900000000000006</v>
      </c>
      <c r="L78" s="3">
        <f t="shared" si="11"/>
        <v>6.7899940000000072</v>
      </c>
      <c r="M78" s="3">
        <f t="shared" si="7"/>
        <v>7.384285785714285</v>
      </c>
      <c r="N78" s="40">
        <f t="shared" si="12"/>
        <v>7.7193032374473711E-2</v>
      </c>
      <c r="O78" s="41">
        <f t="shared" si="13"/>
        <v>7.3868517708192361E-2</v>
      </c>
    </row>
    <row r="79" spans="1:15" x14ac:dyDescent="0.45">
      <c r="A79" s="1">
        <v>41365</v>
      </c>
      <c r="B79">
        <v>99.529999000000004</v>
      </c>
      <c r="C79">
        <v>101.860001</v>
      </c>
      <c r="D79">
        <v>93.339995999999999</v>
      </c>
      <c r="E79">
        <v>95.620002999999997</v>
      </c>
      <c r="F79">
        <v>77.414771999999999</v>
      </c>
      <c r="G79">
        <v>39179700</v>
      </c>
      <c r="I79" s="3">
        <f t="shared" si="8"/>
        <v>8.5200049999999976</v>
      </c>
      <c r="J79" s="3">
        <f t="shared" si="9"/>
        <v>2.3099979999999931</v>
      </c>
      <c r="K79" s="3">
        <f t="shared" si="10"/>
        <v>6.2100070000000045</v>
      </c>
      <c r="L79" s="3">
        <f t="shared" si="11"/>
        <v>8.5200049999999976</v>
      </c>
      <c r="M79" s="3">
        <f t="shared" si="7"/>
        <v>7.4507148571428559</v>
      </c>
      <c r="N79" s="40">
        <f t="shared" si="12"/>
        <v>7.4858986556835552E-2</v>
      </c>
      <c r="O79" s="41">
        <f t="shared" si="13"/>
        <v>8.910274767508633E-2</v>
      </c>
    </row>
    <row r="80" spans="1:15" x14ac:dyDescent="0.45">
      <c r="A80" s="1">
        <v>41334</v>
      </c>
      <c r="B80">
        <v>93.720000999999996</v>
      </c>
      <c r="C80">
        <v>99.779999000000004</v>
      </c>
      <c r="D80">
        <v>93.139999000000003</v>
      </c>
      <c r="E80">
        <v>99.550003000000004</v>
      </c>
      <c r="F80">
        <v>80.596526999999995</v>
      </c>
      <c r="G80">
        <v>28423700</v>
      </c>
      <c r="I80" s="3">
        <f t="shared" si="8"/>
        <v>6.6400000000000006</v>
      </c>
      <c r="J80" s="3">
        <f t="shared" si="9"/>
        <v>5.7900010000000037</v>
      </c>
      <c r="K80" s="3">
        <f t="shared" si="10"/>
        <v>0.84999899999999684</v>
      </c>
      <c r="L80" s="3">
        <f t="shared" si="11"/>
        <v>6.6400000000000006</v>
      </c>
      <c r="M80" s="3">
        <f t="shared" si="7"/>
        <v>7.3671432857142847</v>
      </c>
      <c r="N80" s="40">
        <f t="shared" si="12"/>
        <v>7.8608015440741238E-2</v>
      </c>
      <c r="O80" s="41">
        <f t="shared" si="13"/>
        <v>6.6700148668001544E-2</v>
      </c>
    </row>
    <row r="81" spans="1:15" x14ac:dyDescent="0.45">
      <c r="A81" s="1">
        <v>41306</v>
      </c>
      <c r="B81">
        <v>90.580001999999993</v>
      </c>
      <c r="C81">
        <v>94.269997000000004</v>
      </c>
      <c r="D81">
        <v>85.139999000000003</v>
      </c>
      <c r="E81">
        <v>93.989998</v>
      </c>
      <c r="F81">
        <v>76.095093000000006</v>
      </c>
      <c r="G81">
        <v>47743800</v>
      </c>
      <c r="I81" s="3">
        <f t="shared" si="8"/>
        <v>9.1299980000000005</v>
      </c>
      <c r="J81" s="3">
        <f t="shared" si="9"/>
        <v>5.6699990000000042</v>
      </c>
      <c r="K81" s="3">
        <f t="shared" si="10"/>
        <v>3.4599989999999963</v>
      </c>
      <c r="L81" s="3">
        <f t="shared" si="11"/>
        <v>9.1299980000000005</v>
      </c>
      <c r="M81" s="3">
        <f t="shared" si="7"/>
        <v>7.1642863571428563</v>
      </c>
      <c r="N81" s="40">
        <f t="shared" si="12"/>
        <v>7.9093466537380475E-2</v>
      </c>
      <c r="O81" s="41">
        <f t="shared" si="13"/>
        <v>9.7137974191679424E-2</v>
      </c>
    </row>
    <row r="82" spans="1:15" x14ac:dyDescent="0.45">
      <c r="A82" s="1">
        <v>41275</v>
      </c>
      <c r="B82">
        <v>88.279999000000004</v>
      </c>
      <c r="C82">
        <v>94.489998</v>
      </c>
      <c r="D82">
        <v>84.050003000000004</v>
      </c>
      <c r="E82">
        <v>88.599997999999999</v>
      </c>
      <c r="F82">
        <v>71.731316000000007</v>
      </c>
      <c r="G82">
        <v>34882600</v>
      </c>
      <c r="I82" s="3">
        <f t="shared" si="8"/>
        <v>10.439994999999996</v>
      </c>
      <c r="J82" s="3">
        <f t="shared" si="9"/>
        <v>7.0799939999999992</v>
      </c>
      <c r="K82" s="3">
        <f t="shared" si="10"/>
        <v>3.3600009999999969</v>
      </c>
      <c r="L82" s="3">
        <f t="shared" si="11"/>
        <v>10.439994999999996</v>
      </c>
      <c r="M82" s="3">
        <f t="shared" si="7"/>
        <v>6.8292863571428564</v>
      </c>
      <c r="N82" s="40">
        <f t="shared" si="12"/>
        <v>7.7359384169712733E-2</v>
      </c>
      <c r="O82" s="41">
        <f t="shared" si="13"/>
        <v>0.11783290333708581</v>
      </c>
    </row>
    <row r="83" spans="1:15" x14ac:dyDescent="0.45">
      <c r="A83" s="1">
        <v>41244</v>
      </c>
      <c r="B83">
        <v>88.790001000000004</v>
      </c>
      <c r="C83">
        <v>89.330001999999993</v>
      </c>
      <c r="D83">
        <v>85.25</v>
      </c>
      <c r="E83">
        <v>87.410004000000001</v>
      </c>
      <c r="F83">
        <v>70.767876000000001</v>
      </c>
      <c r="G83">
        <v>15319200</v>
      </c>
      <c r="I83" s="3">
        <f t="shared" si="8"/>
        <v>4.0800019999999932</v>
      </c>
      <c r="J83" s="3">
        <f t="shared" si="9"/>
        <v>1.3600009999999969</v>
      </c>
      <c r="K83" s="3">
        <f t="shared" si="10"/>
        <v>2.7200009999999963</v>
      </c>
      <c r="L83" s="3">
        <f t="shared" si="11"/>
        <v>4.0800019999999932</v>
      </c>
      <c r="M83" s="3">
        <f t="shared" si="7"/>
        <v>6.5242865714285712</v>
      </c>
      <c r="N83" s="40">
        <f t="shared" si="12"/>
        <v>7.3479969568066239E-2</v>
      </c>
      <c r="O83" s="41">
        <f t="shared" si="13"/>
        <v>4.6676602371508794E-2</v>
      </c>
    </row>
    <row r="84" spans="1:15" x14ac:dyDescent="0.45">
      <c r="A84" s="1">
        <v>41214</v>
      </c>
      <c r="B84">
        <v>83.970000999999996</v>
      </c>
      <c r="C84">
        <v>88.139999000000003</v>
      </c>
      <c r="D84">
        <v>81.599997999999999</v>
      </c>
      <c r="E84">
        <v>87.970000999999996</v>
      </c>
      <c r="F84">
        <v>71.221252000000007</v>
      </c>
      <c r="G84">
        <v>16564800</v>
      </c>
      <c r="I84" s="3">
        <f t="shared" si="8"/>
        <v>6.5400010000000037</v>
      </c>
      <c r="J84" s="3">
        <f t="shared" si="9"/>
        <v>4.3399959999999993</v>
      </c>
      <c r="K84" s="3">
        <f t="shared" si="10"/>
        <v>2.2000050000000044</v>
      </c>
      <c r="L84" s="3">
        <f t="shared" si="11"/>
        <v>6.5400010000000037</v>
      </c>
      <c r="M84" s="3">
        <f t="shared" si="7"/>
        <v>6.6528579285714278</v>
      </c>
      <c r="N84" s="40">
        <f t="shared" si="12"/>
        <v>7.9228984748629785E-2</v>
      </c>
      <c r="O84" s="41">
        <f t="shared" si="13"/>
        <v>7.4343536724525039E-2</v>
      </c>
    </row>
    <row r="85" spans="1:15" x14ac:dyDescent="0.45">
      <c r="A85" s="1">
        <v>41183</v>
      </c>
      <c r="B85">
        <v>86.290001000000004</v>
      </c>
      <c r="C85">
        <v>91.209998999999996</v>
      </c>
      <c r="D85">
        <v>83.580001999999993</v>
      </c>
      <c r="E85">
        <v>83.800003000000004</v>
      </c>
      <c r="F85">
        <v>67.845191999999997</v>
      </c>
      <c r="G85">
        <v>26055900</v>
      </c>
      <c r="I85" s="3">
        <f t="shared" si="8"/>
        <v>7.629997000000003</v>
      </c>
      <c r="J85" s="3">
        <f t="shared" si="9"/>
        <v>5.2999949999999956</v>
      </c>
      <c r="K85" s="3">
        <f t="shared" si="10"/>
        <v>2.3300020000000075</v>
      </c>
      <c r="L85" s="3">
        <f t="shared" si="11"/>
        <v>7.629997000000003</v>
      </c>
      <c r="M85" s="3">
        <f t="shared" si="7"/>
        <v>6.6271432857142853</v>
      </c>
      <c r="N85" s="40">
        <f t="shared" si="12"/>
        <v>7.6800825227876457E-2</v>
      </c>
      <c r="O85" s="41">
        <f t="shared" si="13"/>
        <v>9.1050080272670184E-2</v>
      </c>
    </row>
    <row r="86" spans="1:15" x14ac:dyDescent="0.45">
      <c r="A86" s="1">
        <v>41153</v>
      </c>
      <c r="B86">
        <v>86.269997000000004</v>
      </c>
      <c r="C86">
        <v>88.790001000000004</v>
      </c>
      <c r="D86">
        <v>83.75</v>
      </c>
      <c r="E86">
        <v>85.910004000000001</v>
      </c>
      <c r="F86">
        <v>69.553459000000004</v>
      </c>
      <c r="G86">
        <v>24505400</v>
      </c>
      <c r="I86" s="3">
        <f t="shared" si="8"/>
        <v>5.0400010000000037</v>
      </c>
      <c r="J86" s="3">
        <f t="shared" si="9"/>
        <v>4.6100009999999969</v>
      </c>
      <c r="K86" s="3">
        <f t="shared" si="10"/>
        <v>0.43000000000000682</v>
      </c>
      <c r="L86" s="3">
        <f t="shared" si="11"/>
        <v>5.0400010000000037</v>
      </c>
      <c r="M86" s="3">
        <f t="shared" si="7"/>
        <v>6.7785720714285711</v>
      </c>
      <c r="N86" s="40">
        <f t="shared" si="12"/>
        <v>7.8573922651562988E-2</v>
      </c>
      <c r="O86" s="41">
        <f t="shared" si="13"/>
        <v>5.8666054770524792E-2</v>
      </c>
    </row>
    <row r="87" spans="1:15" x14ac:dyDescent="0.45">
      <c r="A87" s="1">
        <v>41122</v>
      </c>
      <c r="B87">
        <v>81.239998</v>
      </c>
      <c r="C87">
        <v>84.650002000000001</v>
      </c>
      <c r="D87">
        <v>78.900002000000001</v>
      </c>
      <c r="E87">
        <v>84.18</v>
      </c>
      <c r="F87">
        <v>68.152839999999998</v>
      </c>
      <c r="G87">
        <v>29716700</v>
      </c>
      <c r="I87" s="3">
        <f t="shared" si="8"/>
        <v>5.75</v>
      </c>
      <c r="J87" s="3">
        <f t="shared" si="9"/>
        <v>5.4300010000000043</v>
      </c>
      <c r="K87" s="3">
        <f t="shared" si="10"/>
        <v>0.3199989999999957</v>
      </c>
      <c r="L87" s="3">
        <f t="shared" si="11"/>
        <v>5.75</v>
      </c>
      <c r="M87" s="3">
        <f t="shared" si="7"/>
        <v>6.8271432142857131</v>
      </c>
      <c r="N87" s="40">
        <f t="shared" si="12"/>
        <v>8.4036723071875416E-2</v>
      </c>
      <c r="O87" s="41">
        <f t="shared" si="13"/>
        <v>6.8306010928961741E-2</v>
      </c>
    </row>
    <row r="88" spans="1:15" x14ac:dyDescent="0.45">
      <c r="A88" s="1">
        <v>41091</v>
      </c>
      <c r="B88">
        <v>78.800003000000004</v>
      </c>
      <c r="C88">
        <v>81.690002000000007</v>
      </c>
      <c r="D88">
        <v>76.169998000000007</v>
      </c>
      <c r="E88">
        <v>79.220000999999996</v>
      </c>
      <c r="F88">
        <v>64.137191999999999</v>
      </c>
      <c r="G88">
        <v>28325100</v>
      </c>
      <c r="I88" s="3">
        <f t="shared" si="8"/>
        <v>5.5200040000000001</v>
      </c>
      <c r="J88" s="3">
        <f t="shared" si="9"/>
        <v>2.0400000000000063</v>
      </c>
      <c r="K88" s="3">
        <f t="shared" si="10"/>
        <v>3.4800039999999939</v>
      </c>
      <c r="L88" s="3">
        <f t="shared" si="11"/>
        <v>5.5200040000000001</v>
      </c>
      <c r="M88" s="3">
        <f t="shared" si="7"/>
        <v>6.8178574285714291</v>
      </c>
      <c r="N88" s="40">
        <f t="shared" si="12"/>
        <v>8.6521030063557602E-2</v>
      </c>
      <c r="O88" s="41">
        <f t="shared" si="13"/>
        <v>6.9679423508212282E-2</v>
      </c>
    </row>
    <row r="89" spans="1:15" x14ac:dyDescent="0.45">
      <c r="A89" s="1">
        <v>41061</v>
      </c>
      <c r="B89">
        <v>65.760002</v>
      </c>
      <c r="C89">
        <v>79.650002000000001</v>
      </c>
      <c r="D89">
        <v>64.989998</v>
      </c>
      <c r="E89">
        <v>79.650002000000001</v>
      </c>
      <c r="F89">
        <v>64.485313000000005</v>
      </c>
      <c r="G89">
        <v>38189900</v>
      </c>
      <c r="I89" s="3">
        <f t="shared" si="8"/>
        <v>14.660004000000001</v>
      </c>
      <c r="J89" s="3">
        <f t="shared" si="9"/>
        <v>11.950005000000004</v>
      </c>
      <c r="K89" s="3">
        <f t="shared" si="10"/>
        <v>2.7099989999999963</v>
      </c>
      <c r="L89" s="3">
        <f t="shared" si="11"/>
        <v>14.660004000000001</v>
      </c>
      <c r="M89" s="3">
        <f t="shared" si="7"/>
        <v>6.9149997857142864</v>
      </c>
      <c r="N89" s="40">
        <f t="shared" si="12"/>
        <v>0.1051551030323005</v>
      </c>
      <c r="O89" s="41">
        <f t="shared" si="13"/>
        <v>0.18405528728046988</v>
      </c>
    </row>
    <row r="90" spans="1:15" x14ac:dyDescent="0.45">
      <c r="A90" s="1">
        <v>41030</v>
      </c>
      <c r="B90">
        <v>72.930000000000007</v>
      </c>
      <c r="C90">
        <v>75.080001999999993</v>
      </c>
      <c r="D90">
        <v>66.690002000000007</v>
      </c>
      <c r="E90">
        <v>67.699996999999996</v>
      </c>
      <c r="F90">
        <v>54.810493000000001</v>
      </c>
      <c r="G90">
        <v>42034200</v>
      </c>
      <c r="I90" s="3">
        <f t="shared" si="8"/>
        <v>8.3899999999999864</v>
      </c>
      <c r="J90" s="3">
        <f t="shared" si="9"/>
        <v>2.4599989999999963</v>
      </c>
      <c r="K90" s="3">
        <f t="shared" si="10"/>
        <v>5.9300009999999901</v>
      </c>
      <c r="L90" s="3">
        <f t="shared" si="11"/>
        <v>8.3899999999999864</v>
      </c>
      <c r="M90" s="3">
        <f t="shared" si="7"/>
        <v>6.3592855714285719</v>
      </c>
      <c r="N90" s="40">
        <f t="shared" si="12"/>
        <v>8.7197114650055821E-2</v>
      </c>
      <c r="O90" s="41">
        <f t="shared" si="13"/>
        <v>0.12392910445771492</v>
      </c>
    </row>
    <row r="91" spans="1:15" x14ac:dyDescent="0.45">
      <c r="A91" s="1">
        <v>41000</v>
      </c>
      <c r="B91">
        <v>72.580001999999993</v>
      </c>
      <c r="C91">
        <v>74.309997999999993</v>
      </c>
      <c r="D91">
        <v>70.059997999999993</v>
      </c>
      <c r="E91">
        <v>72.620002999999997</v>
      </c>
      <c r="F91">
        <v>57.507404000000001</v>
      </c>
      <c r="G91">
        <v>26454300</v>
      </c>
      <c r="I91" s="3">
        <f t="shared" si="8"/>
        <v>4.25</v>
      </c>
      <c r="J91" s="3">
        <f t="shared" si="9"/>
        <v>1.5899969999999968</v>
      </c>
      <c r="K91" s="3">
        <f t="shared" si="10"/>
        <v>2.6600030000000032</v>
      </c>
      <c r="L91" s="3">
        <f t="shared" si="11"/>
        <v>4.25</v>
      </c>
      <c r="M91" s="3">
        <f t="shared" si="7"/>
        <v>6.1214285714285728</v>
      </c>
      <c r="N91" s="40">
        <f t="shared" si="12"/>
        <v>8.4340429908345463E-2</v>
      </c>
      <c r="O91" s="41">
        <f t="shared" si="13"/>
        <v>5.8523820220717976E-2</v>
      </c>
    </row>
    <row r="92" spans="1:15" x14ac:dyDescent="0.45">
      <c r="A92" s="1">
        <v>40969</v>
      </c>
      <c r="B92">
        <v>68.040001000000004</v>
      </c>
      <c r="C92">
        <v>73.489998</v>
      </c>
      <c r="D92">
        <v>65.769997000000004</v>
      </c>
      <c r="E92">
        <v>72.720000999999996</v>
      </c>
      <c r="F92">
        <v>57.586582</v>
      </c>
      <c r="G92">
        <v>29148300</v>
      </c>
      <c r="I92" s="3">
        <f t="shared" si="8"/>
        <v>7.7200009999999963</v>
      </c>
      <c r="J92" s="3">
        <f t="shared" si="9"/>
        <v>6.2399979999999999</v>
      </c>
      <c r="K92" s="3">
        <f t="shared" si="10"/>
        <v>1.4800029999999964</v>
      </c>
      <c r="L92" s="3">
        <f t="shared" si="11"/>
        <v>7.7200009999999963</v>
      </c>
      <c r="M92" s="3">
        <f t="shared" si="7"/>
        <v>5.9899999285714296</v>
      </c>
      <c r="N92" s="40">
        <f t="shared" si="12"/>
        <v>8.8036446803865118E-2</v>
      </c>
      <c r="O92" s="41">
        <f t="shared" si="13"/>
        <v>0.10616062835312663</v>
      </c>
    </row>
    <row r="93" spans="1:15" x14ac:dyDescent="0.45">
      <c r="A93" s="1">
        <v>40940</v>
      </c>
      <c r="B93">
        <v>61.77</v>
      </c>
      <c r="C93">
        <v>68.150002000000001</v>
      </c>
      <c r="D93">
        <v>61.619999</v>
      </c>
      <c r="E93">
        <v>67.25</v>
      </c>
      <c r="F93">
        <v>53.254921000000003</v>
      </c>
      <c r="G93">
        <v>23554900</v>
      </c>
      <c r="I93" s="3">
        <f t="shared" si="8"/>
        <v>6.5300030000000007</v>
      </c>
      <c r="J93" s="3">
        <f t="shared" si="9"/>
        <v>7.350003000000001</v>
      </c>
      <c r="K93" s="3">
        <f t="shared" si="10"/>
        <v>0.82000000000000028</v>
      </c>
      <c r="L93" s="3">
        <f t="shared" si="11"/>
        <v>7.350003000000001</v>
      </c>
      <c r="M93" s="3">
        <f t="shared" si="7"/>
        <v>5.7221427857142872</v>
      </c>
      <c r="N93" s="40">
        <f t="shared" si="12"/>
        <v>9.2636276278359839E-2</v>
      </c>
      <c r="O93" s="41">
        <f t="shared" si="13"/>
        <v>0.10929372490706321</v>
      </c>
    </row>
    <row r="94" spans="1:15" x14ac:dyDescent="0.45">
      <c r="A94" s="1">
        <v>40909</v>
      </c>
      <c r="B94">
        <v>61.48</v>
      </c>
      <c r="C94">
        <v>62.580002</v>
      </c>
      <c r="D94">
        <v>58.779998999999997</v>
      </c>
      <c r="E94">
        <v>60.799999</v>
      </c>
      <c r="F94">
        <v>48.147193999999999</v>
      </c>
      <c r="G94">
        <v>20742700</v>
      </c>
      <c r="I94" s="3">
        <f t="shared" si="8"/>
        <v>3.8000030000000038</v>
      </c>
      <c r="J94" s="3">
        <f t="shared" si="9"/>
        <v>1.5900000000000034</v>
      </c>
      <c r="K94" s="3">
        <f t="shared" si="10"/>
        <v>2.2100030000000004</v>
      </c>
      <c r="L94" s="3">
        <f t="shared" si="11"/>
        <v>3.8000030000000038</v>
      </c>
      <c r="M94" s="3">
        <f t="shared" si="7"/>
        <v>5.4514283571428592</v>
      </c>
      <c r="N94" s="40">
        <f t="shared" si="12"/>
        <v>8.866994725346225E-2</v>
      </c>
      <c r="O94" s="41">
        <f t="shared" si="13"/>
        <v>6.2500050370066687E-2</v>
      </c>
    </row>
    <row r="95" spans="1:15" x14ac:dyDescent="0.45">
      <c r="A95" s="1">
        <v>40878</v>
      </c>
      <c r="B95">
        <v>60.740001999999997</v>
      </c>
      <c r="C95">
        <v>61.509998000000003</v>
      </c>
      <c r="D95">
        <v>57.07</v>
      </c>
      <c r="E95">
        <v>60.990001999999997</v>
      </c>
      <c r="F95">
        <v>48.297660999999998</v>
      </c>
      <c r="G95">
        <v>22477500</v>
      </c>
      <c r="I95" s="3">
        <f t="shared" si="8"/>
        <v>4.4399980000000028</v>
      </c>
      <c r="J95" s="3">
        <f t="shared" si="9"/>
        <v>1.5099980000000031</v>
      </c>
      <c r="K95" s="3">
        <f t="shared" si="10"/>
        <v>2.9299999999999997</v>
      </c>
      <c r="L95" s="3">
        <f t="shared" si="11"/>
        <v>4.4399980000000028</v>
      </c>
      <c r="M95" s="3">
        <f t="shared" si="7"/>
        <v>5.8478566428571446</v>
      </c>
      <c r="N95" s="40">
        <f t="shared" si="12"/>
        <v>9.6276859570356033E-2</v>
      </c>
      <c r="O95" s="41">
        <f t="shared" si="13"/>
        <v>7.2798784299105329E-2</v>
      </c>
    </row>
    <row r="96" spans="1:15" x14ac:dyDescent="0.45">
      <c r="A96" s="1">
        <v>40848</v>
      </c>
      <c r="B96">
        <v>54.419998</v>
      </c>
      <c r="C96">
        <v>60</v>
      </c>
      <c r="D96">
        <v>53.830002</v>
      </c>
      <c r="E96">
        <v>60</v>
      </c>
      <c r="F96">
        <v>47.513691000000001</v>
      </c>
      <c r="G96">
        <v>26279500</v>
      </c>
      <c r="I96" s="3">
        <f t="shared" si="8"/>
        <v>6.1699979999999996</v>
      </c>
      <c r="J96" s="3">
        <f t="shared" si="9"/>
        <v>4.5299989999999966</v>
      </c>
      <c r="K96" s="3">
        <f t="shared" si="10"/>
        <v>1.6399990000000031</v>
      </c>
      <c r="L96" s="3">
        <f t="shared" si="11"/>
        <v>6.1699979999999996</v>
      </c>
      <c r="M96" s="3">
        <f t="shared" si="7"/>
        <v>6.0635707857142878</v>
      </c>
      <c r="N96" s="40">
        <f t="shared" si="12"/>
        <v>0.11142173848874981</v>
      </c>
      <c r="O96" s="41">
        <f t="shared" si="13"/>
        <v>0.10283329999999999</v>
      </c>
    </row>
    <row r="97" spans="1:15" x14ac:dyDescent="0.45">
      <c r="A97" s="1">
        <v>40817</v>
      </c>
      <c r="B97">
        <v>53.150002000000001</v>
      </c>
      <c r="C97">
        <v>57.389999000000003</v>
      </c>
      <c r="D97">
        <v>51.509998000000003</v>
      </c>
      <c r="E97">
        <v>55.470001000000003</v>
      </c>
      <c r="F97">
        <v>43.926399000000004</v>
      </c>
      <c r="G97">
        <v>31940500</v>
      </c>
      <c r="I97" s="3">
        <f t="shared" si="8"/>
        <v>5.880001</v>
      </c>
      <c r="J97" s="3">
        <f t="shared" si="9"/>
        <v>4.4099990000000062</v>
      </c>
      <c r="K97" s="3">
        <f t="shared" si="10"/>
        <v>1.4700019999999938</v>
      </c>
      <c r="L97" s="3">
        <f t="shared" si="11"/>
        <v>5.880001</v>
      </c>
      <c r="M97" s="3">
        <f t="shared" si="7"/>
        <v>6.1821422142857143</v>
      </c>
      <c r="N97" s="40">
        <f t="shared" si="12"/>
        <v>0.11631499495118955</v>
      </c>
      <c r="O97" s="41">
        <f t="shared" si="13"/>
        <v>0.10600326111405695</v>
      </c>
    </row>
    <row r="98" spans="1:15" x14ac:dyDescent="0.45">
      <c r="A98" s="1">
        <v>40787</v>
      </c>
      <c r="B98">
        <v>54.84</v>
      </c>
      <c r="C98">
        <v>55.25</v>
      </c>
      <c r="D98">
        <v>49.080002</v>
      </c>
      <c r="E98">
        <v>52.98</v>
      </c>
      <c r="F98">
        <v>41.954585999999999</v>
      </c>
      <c r="G98">
        <v>36161300</v>
      </c>
      <c r="I98" s="3">
        <f t="shared" si="8"/>
        <v>6.1699979999999996</v>
      </c>
      <c r="J98" s="3">
        <f t="shared" si="9"/>
        <v>9.99800000000306E-3</v>
      </c>
      <c r="K98" s="3">
        <f t="shared" si="10"/>
        <v>6.1799960000000027</v>
      </c>
      <c r="L98" s="3">
        <f t="shared" si="11"/>
        <v>6.1799960000000027</v>
      </c>
      <c r="M98" s="3">
        <f t="shared" si="7"/>
        <v>6.1321421428571439</v>
      </c>
      <c r="N98" s="40">
        <f t="shared" si="12"/>
        <v>0.1118187845159946</v>
      </c>
      <c r="O98" s="41">
        <f t="shared" si="13"/>
        <v>0.11664771611929035</v>
      </c>
    </row>
    <row r="99" spans="1:15" x14ac:dyDescent="0.45">
      <c r="A99" s="1">
        <v>40756</v>
      </c>
      <c r="B99">
        <v>58.77</v>
      </c>
      <c r="C99">
        <v>58.799999</v>
      </c>
      <c r="D99">
        <v>49.049999</v>
      </c>
      <c r="E99">
        <v>55.259998000000003</v>
      </c>
      <c r="F99">
        <v>43.760105000000003</v>
      </c>
      <c r="G99">
        <v>61917800</v>
      </c>
      <c r="I99" s="3">
        <f t="shared" si="8"/>
        <v>9.75</v>
      </c>
      <c r="J99" s="3">
        <f t="shared" si="9"/>
        <v>1.2199969999999993</v>
      </c>
      <c r="K99" s="3">
        <f t="shared" si="10"/>
        <v>8.5300030000000007</v>
      </c>
      <c r="L99" s="3">
        <f t="shared" si="11"/>
        <v>9.75</v>
      </c>
      <c r="M99" s="3">
        <f t="shared" si="7"/>
        <v>6.2085710000000001</v>
      </c>
      <c r="N99" s="40">
        <f t="shared" si="12"/>
        <v>0.10564184107537859</v>
      </c>
      <c r="O99" s="41">
        <f t="shared" si="13"/>
        <v>0.17643866002311473</v>
      </c>
    </row>
    <row r="100" spans="1:15" x14ac:dyDescent="0.45">
      <c r="A100" s="1">
        <v>40725</v>
      </c>
      <c r="B100">
        <v>57.650002000000001</v>
      </c>
      <c r="C100">
        <v>59.759998000000003</v>
      </c>
      <c r="D100">
        <v>54.040000999999997</v>
      </c>
      <c r="E100">
        <v>57.580002</v>
      </c>
      <c r="F100">
        <v>45.597304999999999</v>
      </c>
      <c r="G100">
        <v>36308000</v>
      </c>
      <c r="I100" s="3">
        <f t="shared" si="8"/>
        <v>5.7199970000000064</v>
      </c>
      <c r="J100" s="3">
        <f t="shared" si="9"/>
        <v>1.75</v>
      </c>
      <c r="K100" s="3">
        <f t="shared" si="10"/>
        <v>3.9699970000000064</v>
      </c>
      <c r="L100" s="3">
        <f t="shared" si="11"/>
        <v>5.7199970000000064</v>
      </c>
      <c r="M100" s="3">
        <f t="shared" si="7"/>
        <v>5.9271425000000004</v>
      </c>
      <c r="N100" s="40">
        <f t="shared" si="12"/>
        <v>0.10281252895706752</v>
      </c>
      <c r="O100" s="41">
        <f t="shared" si="13"/>
        <v>9.9339993076068431E-2</v>
      </c>
    </row>
    <row r="101" spans="1:15" x14ac:dyDescent="0.45">
      <c r="A101" s="1">
        <v>40695</v>
      </c>
      <c r="B101">
        <v>60.91</v>
      </c>
      <c r="C101">
        <v>60.959999000000003</v>
      </c>
      <c r="D101">
        <v>55.34</v>
      </c>
      <c r="E101">
        <v>58.009998000000003</v>
      </c>
      <c r="F101">
        <v>45.937812999999998</v>
      </c>
      <c r="G101">
        <v>21559800</v>
      </c>
      <c r="I101" s="3">
        <f t="shared" si="8"/>
        <v>5.619999</v>
      </c>
      <c r="J101" s="3">
        <f t="shared" si="9"/>
        <v>0.4799990000000065</v>
      </c>
      <c r="K101" s="3">
        <f t="shared" si="10"/>
        <v>5.1399999999999935</v>
      </c>
      <c r="L101" s="3">
        <f t="shared" si="11"/>
        <v>5.619999</v>
      </c>
      <c r="M101" s="3">
        <f t="shared" si="7"/>
        <v>6.036428428571428</v>
      </c>
      <c r="N101" s="40">
        <f t="shared" si="12"/>
        <v>9.9104062199498091E-2</v>
      </c>
      <c r="O101" s="41">
        <f t="shared" si="13"/>
        <v>9.6879834403717779E-2</v>
      </c>
    </row>
    <row r="102" spans="1:15" x14ac:dyDescent="0.45">
      <c r="A102" s="1">
        <v>40664</v>
      </c>
      <c r="B102">
        <v>64.099997999999999</v>
      </c>
      <c r="C102">
        <v>64.529999000000004</v>
      </c>
      <c r="D102">
        <v>57.650002000000001</v>
      </c>
      <c r="E102">
        <v>60.48</v>
      </c>
      <c r="F102">
        <v>47.893791</v>
      </c>
      <c r="G102">
        <v>24636000</v>
      </c>
      <c r="I102" s="3">
        <f t="shared" si="8"/>
        <v>6.879997000000003</v>
      </c>
      <c r="J102" s="3">
        <f t="shared" si="9"/>
        <v>0.55999800000000022</v>
      </c>
      <c r="K102" s="3">
        <f t="shared" si="10"/>
        <v>6.3199990000000028</v>
      </c>
      <c r="L102" s="3">
        <f t="shared" si="11"/>
        <v>6.879997000000003</v>
      </c>
      <c r="M102" s="3">
        <f t="shared" si="7"/>
        <v>6.0671427142857146</v>
      </c>
      <c r="N102" s="40">
        <f t="shared" si="12"/>
        <v>9.4651215344588854E-2</v>
      </c>
      <c r="O102" s="41">
        <f t="shared" si="13"/>
        <v>0.11375656415343921</v>
      </c>
    </row>
    <row r="103" spans="1:15" x14ac:dyDescent="0.45">
      <c r="A103" s="1">
        <v>40634</v>
      </c>
      <c r="B103">
        <v>58.060001</v>
      </c>
      <c r="C103">
        <v>64.050003000000004</v>
      </c>
      <c r="D103">
        <v>57.939999</v>
      </c>
      <c r="E103">
        <v>63.970001000000003</v>
      </c>
      <c r="F103">
        <v>49.707988999999998</v>
      </c>
      <c r="G103">
        <v>22708900</v>
      </c>
      <c r="I103" s="3">
        <f t="shared" si="8"/>
        <v>6.1100040000000035</v>
      </c>
      <c r="J103" s="3">
        <f t="shared" si="9"/>
        <v>6.8800050000000041</v>
      </c>
      <c r="K103" s="3">
        <f t="shared" si="10"/>
        <v>0.7700010000000006</v>
      </c>
      <c r="L103" s="3">
        <f t="shared" si="11"/>
        <v>6.8800050000000041</v>
      </c>
      <c r="M103" s="3">
        <f t="shared" si="7"/>
        <v>5.8192857857142855</v>
      </c>
      <c r="N103" s="40">
        <f t="shared" si="12"/>
        <v>0.10022882682544711</v>
      </c>
      <c r="O103" s="41">
        <f t="shared" si="13"/>
        <v>0.10755049073705664</v>
      </c>
    </row>
    <row r="104" spans="1:15" x14ac:dyDescent="0.45">
      <c r="A104" s="1">
        <v>40603</v>
      </c>
      <c r="B104">
        <v>56.810001</v>
      </c>
      <c r="C104">
        <v>58.650002000000001</v>
      </c>
      <c r="D104">
        <v>53.59</v>
      </c>
      <c r="E104">
        <v>57.169998</v>
      </c>
      <c r="F104">
        <v>44.424038000000003</v>
      </c>
      <c r="G104">
        <v>30569700</v>
      </c>
      <c r="I104" s="3">
        <f t="shared" si="8"/>
        <v>5.0600019999999972</v>
      </c>
      <c r="J104" s="3">
        <f t="shared" si="9"/>
        <v>2.6200030000000041</v>
      </c>
      <c r="K104" s="3">
        <f t="shared" si="10"/>
        <v>2.4399989999999931</v>
      </c>
      <c r="L104" s="3">
        <f t="shared" si="11"/>
        <v>5.0600019999999972</v>
      </c>
      <c r="M104" s="3">
        <f t="shared" si="7"/>
        <v>5.7464283571428583</v>
      </c>
      <c r="N104" s="40">
        <f t="shared" si="12"/>
        <v>0.10115170315069803</v>
      </c>
      <c r="O104" s="41">
        <f t="shared" si="13"/>
        <v>8.8507996799300173E-2</v>
      </c>
    </row>
    <row r="105" spans="1:15" x14ac:dyDescent="0.45">
      <c r="A105" s="1">
        <v>40575</v>
      </c>
      <c r="B105">
        <v>55.540000999999997</v>
      </c>
      <c r="C105">
        <v>56.810001</v>
      </c>
      <c r="D105">
        <v>54.400002000000001</v>
      </c>
      <c r="E105">
        <v>56.029998999999997</v>
      </c>
      <c r="F105">
        <v>43.538200000000003</v>
      </c>
      <c r="G105">
        <v>30938900</v>
      </c>
      <c r="I105" s="3">
        <f t="shared" si="8"/>
        <v>2.4099989999999991</v>
      </c>
      <c r="J105" s="3">
        <f t="shared" si="9"/>
        <v>1.5</v>
      </c>
      <c r="K105" s="3">
        <f t="shared" si="10"/>
        <v>0.90999899999999911</v>
      </c>
      <c r="L105" s="3">
        <f t="shared" si="11"/>
        <v>2.4099989999999991</v>
      </c>
      <c r="M105" s="3">
        <f t="shared" si="7"/>
        <v>5.8321426428571419</v>
      </c>
      <c r="N105" s="40">
        <f t="shared" si="12"/>
        <v>0.10500796791230058</v>
      </c>
      <c r="O105" s="41">
        <f t="shared" si="13"/>
        <v>4.3012654703063605E-2</v>
      </c>
    </row>
    <row r="106" spans="1:15" x14ac:dyDescent="0.45">
      <c r="A106" s="1">
        <v>40544</v>
      </c>
      <c r="B106">
        <v>57.630001</v>
      </c>
      <c r="C106">
        <v>58.880001</v>
      </c>
      <c r="D106">
        <v>54.91</v>
      </c>
      <c r="E106">
        <v>55.310001</v>
      </c>
      <c r="F106">
        <v>42.978718000000001</v>
      </c>
      <c r="G106">
        <v>19419700</v>
      </c>
      <c r="I106" s="3">
        <f t="shared" si="8"/>
        <v>3.9700010000000034</v>
      </c>
      <c r="J106" s="3">
        <f t="shared" si="9"/>
        <v>1.7900009999999966</v>
      </c>
      <c r="K106" s="3">
        <f t="shared" si="10"/>
        <v>2.1800000000000068</v>
      </c>
      <c r="L106" s="3">
        <f t="shared" si="11"/>
        <v>3.9700010000000034</v>
      </c>
      <c r="M106" s="3">
        <f t="shared" si="7"/>
        <v>5.9057140714285712</v>
      </c>
      <c r="N106" s="40">
        <f t="shared" si="12"/>
        <v>0.10247638328912351</v>
      </c>
      <c r="O106" s="41">
        <f t="shared" si="13"/>
        <v>7.1777272251360172E-2</v>
      </c>
    </row>
    <row r="107" spans="1:15" x14ac:dyDescent="0.45">
      <c r="A107" s="1">
        <v>40513</v>
      </c>
      <c r="B107">
        <v>55.82</v>
      </c>
      <c r="C107">
        <v>58.5</v>
      </c>
      <c r="D107">
        <v>55.68</v>
      </c>
      <c r="E107">
        <v>57.09</v>
      </c>
      <c r="F107">
        <v>44.361877</v>
      </c>
      <c r="G107">
        <v>20067700</v>
      </c>
      <c r="I107" s="3">
        <f t="shared" si="8"/>
        <v>2.8200000000000003</v>
      </c>
      <c r="J107" s="3">
        <f t="shared" si="9"/>
        <v>3.5600009999999997</v>
      </c>
      <c r="K107" s="3">
        <f t="shared" si="10"/>
        <v>0.74000099999999946</v>
      </c>
      <c r="L107" s="3">
        <f t="shared" si="11"/>
        <v>3.5600009999999997</v>
      </c>
      <c r="M107" s="3">
        <f t="shared" si="7"/>
        <v>6.0699997142857143</v>
      </c>
      <c r="N107" s="40">
        <f t="shared" si="12"/>
        <v>0.10874238112299739</v>
      </c>
      <c r="O107" s="41">
        <f t="shared" si="13"/>
        <v>6.2357698370993163E-2</v>
      </c>
    </row>
    <row r="108" spans="1:15" x14ac:dyDescent="0.45">
      <c r="A108" s="1">
        <v>40483</v>
      </c>
      <c r="B108">
        <v>63.290000999999997</v>
      </c>
      <c r="C108">
        <v>63.82</v>
      </c>
      <c r="D108">
        <v>54.470001000000003</v>
      </c>
      <c r="E108">
        <v>54.939999</v>
      </c>
      <c r="F108">
        <v>42.691212</v>
      </c>
      <c r="G108">
        <v>24626900</v>
      </c>
      <c r="I108" s="3">
        <f t="shared" si="8"/>
        <v>9.3499989999999968</v>
      </c>
      <c r="J108" s="3">
        <f t="shared" si="9"/>
        <v>0.91999799999999965</v>
      </c>
      <c r="K108" s="3">
        <f t="shared" si="10"/>
        <v>8.4300009999999972</v>
      </c>
      <c r="L108" s="3">
        <f t="shared" si="11"/>
        <v>9.3499989999999968</v>
      </c>
      <c r="M108" s="3">
        <f t="shared" si="7"/>
        <v>6.4671427142857141</v>
      </c>
      <c r="N108" s="40">
        <f t="shared" si="12"/>
        <v>0.10218269255969382</v>
      </c>
      <c r="O108" s="41">
        <f t="shared" si="13"/>
        <v>0.17018564197644045</v>
      </c>
    </row>
    <row r="109" spans="1:15" x14ac:dyDescent="0.45">
      <c r="A109" s="1">
        <v>40452</v>
      </c>
      <c r="B109">
        <v>59.09</v>
      </c>
      <c r="C109">
        <v>64.769997000000004</v>
      </c>
      <c r="D109">
        <v>57.310001</v>
      </c>
      <c r="E109">
        <v>62.900002000000001</v>
      </c>
      <c r="F109">
        <v>48.876548999999997</v>
      </c>
      <c r="G109">
        <v>25527800</v>
      </c>
      <c r="I109" s="3">
        <f t="shared" si="8"/>
        <v>7.4599960000000038</v>
      </c>
      <c r="J109" s="3">
        <f t="shared" si="9"/>
        <v>6.0199970000000036</v>
      </c>
      <c r="K109" s="3">
        <f t="shared" si="10"/>
        <v>1.4399990000000003</v>
      </c>
      <c r="L109" s="3">
        <f t="shared" si="11"/>
        <v>7.4599960000000038</v>
      </c>
      <c r="M109" s="3">
        <f t="shared" si="7"/>
        <v>6.2642854999999997</v>
      </c>
      <c r="N109" s="40">
        <f t="shared" si="12"/>
        <v>0.1060126163479438</v>
      </c>
      <c r="O109" s="41">
        <f t="shared" si="13"/>
        <v>0.11860088653097346</v>
      </c>
    </row>
    <row r="110" spans="1:15" x14ac:dyDescent="0.45">
      <c r="A110" s="1">
        <v>40422</v>
      </c>
      <c r="B110">
        <v>53.490001999999997</v>
      </c>
      <c r="C110">
        <v>59.799999</v>
      </c>
      <c r="D110">
        <v>53.419998</v>
      </c>
      <c r="E110">
        <v>58.75</v>
      </c>
      <c r="F110">
        <v>45.651783000000002</v>
      </c>
      <c r="G110">
        <v>12078000</v>
      </c>
      <c r="I110" s="3">
        <f t="shared" si="8"/>
        <v>6.380001</v>
      </c>
      <c r="J110" s="3">
        <f t="shared" si="9"/>
        <v>7.8299979999999962</v>
      </c>
      <c r="K110" s="3">
        <f t="shared" si="10"/>
        <v>1.4499969999999962</v>
      </c>
      <c r="L110" s="3">
        <f t="shared" si="11"/>
        <v>7.8299979999999962</v>
      </c>
      <c r="M110" s="3">
        <f t="shared" si="7"/>
        <v>6.1207144285714277</v>
      </c>
      <c r="N110" s="40">
        <f t="shared" si="12"/>
        <v>0.11442726116501974</v>
      </c>
      <c r="O110" s="41">
        <f t="shared" si="13"/>
        <v>0.13327656170212759</v>
      </c>
    </row>
    <row r="111" spans="1:15" x14ac:dyDescent="0.45">
      <c r="A111" s="1">
        <v>40391</v>
      </c>
      <c r="B111">
        <v>53.939999</v>
      </c>
      <c r="C111">
        <v>55.5</v>
      </c>
      <c r="D111">
        <v>50.32</v>
      </c>
      <c r="E111">
        <v>51.970001000000003</v>
      </c>
      <c r="F111">
        <v>40.383369000000002</v>
      </c>
      <c r="G111">
        <v>10626200</v>
      </c>
      <c r="I111" s="3">
        <f t="shared" si="8"/>
        <v>5.18</v>
      </c>
      <c r="J111" s="3">
        <f t="shared" si="9"/>
        <v>2.4399990000000003</v>
      </c>
      <c r="K111" s="3">
        <f t="shared" si="10"/>
        <v>2.7400009999999995</v>
      </c>
      <c r="L111" s="3">
        <f t="shared" si="11"/>
        <v>5.18</v>
      </c>
      <c r="M111" s="3">
        <f t="shared" si="7"/>
        <v>8.432857499999999</v>
      </c>
      <c r="N111" s="40">
        <f t="shared" si="12"/>
        <v>0.15633773927211231</v>
      </c>
      <c r="O111" s="41">
        <f t="shared" si="13"/>
        <v>9.9672886286840734E-2</v>
      </c>
    </row>
    <row r="112" spans="1:15" x14ac:dyDescent="0.45">
      <c r="A112" s="1">
        <v>40360</v>
      </c>
      <c r="B112">
        <v>48.740001999999997</v>
      </c>
      <c r="C112">
        <v>55.259998000000003</v>
      </c>
      <c r="D112">
        <v>48.43</v>
      </c>
      <c r="E112">
        <v>53.060001</v>
      </c>
      <c r="F112">
        <v>41.230358000000003</v>
      </c>
      <c r="G112">
        <v>10449600</v>
      </c>
      <c r="I112" s="3">
        <f t="shared" si="8"/>
        <v>6.8299980000000033</v>
      </c>
      <c r="J112" s="3">
        <f t="shared" si="9"/>
        <v>7.25</v>
      </c>
      <c r="K112" s="3">
        <f t="shared" si="10"/>
        <v>0.42000199999999666</v>
      </c>
      <c r="L112" s="3">
        <f t="shared" si="11"/>
        <v>7.25</v>
      </c>
      <c r="M112" s="3">
        <f t="shared" si="7"/>
        <v>8.0628574999999998</v>
      </c>
      <c r="N112" s="40">
        <f t="shared" si="12"/>
        <v>0.16542587544415777</v>
      </c>
      <c r="O112" s="41">
        <f t="shared" si="13"/>
        <v>0.13663776598873414</v>
      </c>
    </row>
    <row r="113" spans="1:15" x14ac:dyDescent="0.45">
      <c r="A113" s="1">
        <v>40330</v>
      </c>
      <c r="B113">
        <v>47.529998999999997</v>
      </c>
      <c r="C113">
        <v>52</v>
      </c>
      <c r="D113">
        <v>46.189999</v>
      </c>
      <c r="E113">
        <v>48.009998000000003</v>
      </c>
      <c r="F113">
        <v>37.306247999999997</v>
      </c>
      <c r="G113">
        <v>12998100</v>
      </c>
      <c r="I113" s="3">
        <f t="shared" si="8"/>
        <v>5.8100009999999997</v>
      </c>
      <c r="J113" s="3">
        <f t="shared" si="9"/>
        <v>4.0900000000000034</v>
      </c>
      <c r="K113" s="3">
        <f t="shared" si="10"/>
        <v>1.7200009999999963</v>
      </c>
      <c r="L113" s="3">
        <f t="shared" si="11"/>
        <v>5.8100009999999997</v>
      </c>
      <c r="M113" s="3">
        <f t="shared" si="7"/>
        <v>7.5450003571428566</v>
      </c>
      <c r="N113" s="40">
        <f t="shared" si="12"/>
        <v>0.15874185810824143</v>
      </c>
      <c r="O113" s="41">
        <f t="shared" si="13"/>
        <v>0.12101648077552511</v>
      </c>
    </row>
    <row r="114" spans="1:15" x14ac:dyDescent="0.45">
      <c r="A114" s="1">
        <v>40299</v>
      </c>
      <c r="B114">
        <v>48</v>
      </c>
      <c r="C114">
        <v>50.439999</v>
      </c>
      <c r="D114">
        <v>43.189999</v>
      </c>
      <c r="E114">
        <v>47.91</v>
      </c>
      <c r="F114">
        <v>37.228546000000001</v>
      </c>
      <c r="G114">
        <v>15939000</v>
      </c>
      <c r="I114" s="3">
        <f t="shared" si="8"/>
        <v>7.25</v>
      </c>
      <c r="J114" s="3">
        <f t="shared" si="9"/>
        <v>1.9899979999999999</v>
      </c>
      <c r="K114" s="3">
        <f t="shared" si="10"/>
        <v>5.2600020000000001</v>
      </c>
      <c r="L114" s="3">
        <f t="shared" si="11"/>
        <v>7.25</v>
      </c>
      <c r="M114" s="3">
        <f t="shared" si="7"/>
        <v>7.1300002857142859</v>
      </c>
      <c r="N114" s="40">
        <f t="shared" si="12"/>
        <v>0.14854167261904763</v>
      </c>
      <c r="O114" s="41">
        <f t="shared" si="13"/>
        <v>0.15132540179503237</v>
      </c>
    </row>
    <row r="115" spans="1:15" x14ac:dyDescent="0.45">
      <c r="A115" s="1">
        <v>40269</v>
      </c>
      <c r="B115">
        <v>50.68</v>
      </c>
      <c r="C115">
        <v>52.630001</v>
      </c>
      <c r="D115">
        <v>46.580002</v>
      </c>
      <c r="E115">
        <v>48.450001</v>
      </c>
      <c r="F115">
        <v>37.249209999999998</v>
      </c>
      <c r="G115">
        <v>8917200</v>
      </c>
      <c r="I115" s="3">
        <f t="shared" si="8"/>
        <v>6.0499989999999997</v>
      </c>
      <c r="J115" s="3">
        <f t="shared" si="9"/>
        <v>2.1799999999999997</v>
      </c>
      <c r="K115" s="3">
        <f t="shared" si="10"/>
        <v>3.869999</v>
      </c>
      <c r="L115" s="3">
        <f t="shared" si="11"/>
        <v>6.0499989999999997</v>
      </c>
      <c r="M115" s="3">
        <f t="shared" si="7"/>
        <v>6.6121431428571427</v>
      </c>
      <c r="N115" s="40">
        <f t="shared" si="12"/>
        <v>0.13046849137445032</v>
      </c>
      <c r="O115" s="41">
        <f t="shared" si="13"/>
        <v>0.12487097781484049</v>
      </c>
    </row>
    <row r="116" spans="1:15" x14ac:dyDescent="0.45">
      <c r="A116" s="1">
        <v>40238</v>
      </c>
      <c r="B116">
        <v>50.049999</v>
      </c>
      <c r="C116">
        <v>52.07</v>
      </c>
      <c r="D116">
        <v>48.66</v>
      </c>
      <c r="E116">
        <v>50.450001</v>
      </c>
      <c r="F116">
        <v>38.786845999999997</v>
      </c>
      <c r="G116">
        <v>10557000</v>
      </c>
      <c r="I116" s="3">
        <f t="shared" si="8"/>
        <v>3.4100000000000037</v>
      </c>
      <c r="J116" s="3">
        <f t="shared" si="9"/>
        <v>2.119999</v>
      </c>
      <c r="K116" s="3">
        <f t="shared" si="10"/>
        <v>1.2900010000000037</v>
      </c>
      <c r="L116" s="3">
        <f t="shared" si="11"/>
        <v>3.4100000000000037</v>
      </c>
      <c r="M116" s="3">
        <f t="shared" si="7"/>
        <v>6.1800003571428572</v>
      </c>
      <c r="N116" s="40">
        <f t="shared" si="12"/>
        <v>0.1234765330793085</v>
      </c>
      <c r="O116" s="41">
        <f t="shared" si="13"/>
        <v>6.7591673585893561E-2</v>
      </c>
    </row>
    <row r="117" spans="1:15" x14ac:dyDescent="0.45">
      <c r="A117" s="1">
        <v>40210</v>
      </c>
      <c r="B117">
        <v>50.27</v>
      </c>
      <c r="C117">
        <v>51.41</v>
      </c>
      <c r="D117">
        <v>45.549999</v>
      </c>
      <c r="E117">
        <v>49.950001</v>
      </c>
      <c r="F117">
        <v>38.402431</v>
      </c>
      <c r="G117">
        <v>5811400</v>
      </c>
      <c r="I117" s="3">
        <f t="shared" si="8"/>
        <v>5.8600009999999969</v>
      </c>
      <c r="J117" s="3">
        <f t="shared" si="9"/>
        <v>1.619999</v>
      </c>
      <c r="K117" s="3">
        <f t="shared" si="10"/>
        <v>4.2400019999999969</v>
      </c>
      <c r="L117" s="3">
        <f t="shared" si="11"/>
        <v>5.8600009999999969</v>
      </c>
      <c r="M117" s="3">
        <f t="shared" si="7"/>
        <v>5.9364289285714289</v>
      </c>
      <c r="N117" s="40">
        <f t="shared" si="12"/>
        <v>0.11809088777743044</v>
      </c>
      <c r="O117" s="41">
        <f t="shared" si="13"/>
        <v>0.11731733498864189</v>
      </c>
    </row>
    <row r="118" spans="1:15" x14ac:dyDescent="0.45">
      <c r="A118" s="1">
        <v>40179</v>
      </c>
      <c r="B118">
        <v>53.32</v>
      </c>
      <c r="C118">
        <v>53.700001</v>
      </c>
      <c r="D118">
        <v>47.439999</v>
      </c>
      <c r="E118">
        <v>49.790000999999997</v>
      </c>
      <c r="F118">
        <v>38.279423000000001</v>
      </c>
      <c r="G118">
        <v>6414800</v>
      </c>
      <c r="I118" s="3">
        <f t="shared" si="8"/>
        <v>6.2600020000000001</v>
      </c>
      <c r="J118" s="3">
        <f t="shared" si="9"/>
        <v>1.6700020000000038</v>
      </c>
      <c r="K118" s="3">
        <f t="shared" si="10"/>
        <v>4.5899999999999963</v>
      </c>
      <c r="L118" s="3">
        <f t="shared" si="11"/>
        <v>6.2600020000000001</v>
      </c>
      <c r="M118" s="3">
        <f t="shared" si="7"/>
        <v>5.5178574285714275</v>
      </c>
      <c r="N118" s="40">
        <f t="shared" si="12"/>
        <v>0.10348569821026683</v>
      </c>
      <c r="O118" s="41">
        <f t="shared" si="13"/>
        <v>0.12572809548648131</v>
      </c>
    </row>
    <row r="119" spans="1:15" x14ac:dyDescent="0.45">
      <c r="A119" s="1">
        <v>40148</v>
      </c>
      <c r="B119">
        <v>51</v>
      </c>
      <c r="C119">
        <v>53.689999</v>
      </c>
      <c r="D119">
        <v>50.25</v>
      </c>
      <c r="E119">
        <v>52.029998999999997</v>
      </c>
      <c r="F119">
        <v>40.001575000000003</v>
      </c>
      <c r="G119">
        <v>4094100</v>
      </c>
      <c r="I119" s="3">
        <f t="shared" si="8"/>
        <v>3.4399990000000003</v>
      </c>
      <c r="J119" s="3">
        <f t="shared" si="9"/>
        <v>3.3999980000000036</v>
      </c>
      <c r="K119" s="3">
        <f t="shared" si="10"/>
        <v>4.0000999999996623E-2</v>
      </c>
      <c r="L119" s="3">
        <f t="shared" si="11"/>
        <v>3.4399990000000003</v>
      </c>
      <c r="M119" s="3">
        <f t="shared" si="7"/>
        <v>5.0707144285714287</v>
      </c>
      <c r="N119" s="40">
        <f t="shared" si="12"/>
        <v>9.9425773109243706E-2</v>
      </c>
      <c r="O119" s="41">
        <f t="shared" si="13"/>
        <v>6.6115684530380261E-2</v>
      </c>
    </row>
    <row r="120" spans="1:15" x14ac:dyDescent="0.45">
      <c r="A120" s="1">
        <v>40118</v>
      </c>
      <c r="B120">
        <v>47.900002000000001</v>
      </c>
      <c r="C120">
        <v>52.549999</v>
      </c>
      <c r="D120">
        <v>46.279998999999997</v>
      </c>
      <c r="E120">
        <v>50.290000999999997</v>
      </c>
      <c r="F120">
        <v>38.663834000000001</v>
      </c>
      <c r="G120">
        <v>9535400</v>
      </c>
      <c r="I120" s="3">
        <f t="shared" si="8"/>
        <v>6.2700000000000031</v>
      </c>
      <c r="J120" s="3">
        <f t="shared" si="9"/>
        <v>5.369999</v>
      </c>
      <c r="K120" s="3">
        <f t="shared" si="10"/>
        <v>0.90000100000000316</v>
      </c>
      <c r="L120" s="3">
        <f t="shared" si="11"/>
        <v>6.2700000000000031</v>
      </c>
      <c r="M120" s="3">
        <f t="shared" si="7"/>
        <v>4.8250002142857147</v>
      </c>
      <c r="N120" s="40">
        <f t="shared" si="12"/>
        <v>0.10073068920301328</v>
      </c>
      <c r="O120" s="41">
        <f t="shared" si="13"/>
        <v>0.12467687165088749</v>
      </c>
    </row>
    <row r="121" spans="1:15" x14ac:dyDescent="0.45">
      <c r="A121" s="1">
        <v>40087</v>
      </c>
      <c r="B121">
        <v>44.939999</v>
      </c>
      <c r="C121">
        <v>52.540000999999997</v>
      </c>
      <c r="D121">
        <v>43.419998</v>
      </c>
      <c r="E121">
        <v>47.18</v>
      </c>
      <c r="F121">
        <v>36.272807999999998</v>
      </c>
      <c r="G121">
        <v>6638200</v>
      </c>
      <c r="I121" s="3">
        <f t="shared" si="8"/>
        <v>9.120002999999997</v>
      </c>
      <c r="J121" s="3">
        <f t="shared" si="9"/>
        <v>6.6000019999999964</v>
      </c>
      <c r="K121" s="3">
        <f t="shared" si="10"/>
        <v>2.5200010000000006</v>
      </c>
      <c r="L121" s="3">
        <f t="shared" si="11"/>
        <v>9.120002999999997</v>
      </c>
      <c r="M121" s="3">
        <f t="shared" si="7"/>
        <v>4.3771430714285708</v>
      </c>
      <c r="N121" s="40">
        <f t="shared" si="12"/>
        <v>9.7399714482160338E-2</v>
      </c>
      <c r="O121" s="41">
        <f t="shared" si="13"/>
        <v>0.19330231030097492</v>
      </c>
    </row>
    <row r="122" spans="1:15" x14ac:dyDescent="0.45">
      <c r="A122" s="1">
        <v>40057</v>
      </c>
      <c r="B122">
        <v>42.5</v>
      </c>
      <c r="C122">
        <v>47.91</v>
      </c>
      <c r="D122">
        <v>41.400002000000001</v>
      </c>
      <c r="E122">
        <v>45.939999</v>
      </c>
      <c r="F122">
        <v>35.319473000000002</v>
      </c>
      <c r="G122">
        <v>5235600</v>
      </c>
      <c r="I122" s="3">
        <f t="shared" si="8"/>
        <v>6.509997999999996</v>
      </c>
      <c r="J122" s="3">
        <f t="shared" si="9"/>
        <v>4.509997999999996</v>
      </c>
      <c r="K122" s="3">
        <f t="shared" si="10"/>
        <v>2</v>
      </c>
      <c r="L122" s="3">
        <f t="shared" si="11"/>
        <v>6.509997999999996</v>
      </c>
      <c r="M122" s="3">
        <f t="shared" si="7"/>
        <v>3.7257142857142855</v>
      </c>
      <c r="N122" s="40">
        <f t="shared" si="12"/>
        <v>8.7663865546218481E-2</v>
      </c>
      <c r="O122" s="41">
        <f t="shared" si="13"/>
        <v>0.14170653334145689</v>
      </c>
    </row>
    <row r="123" spans="1:15" x14ac:dyDescent="0.45">
      <c r="A123" s="1">
        <v>40026</v>
      </c>
      <c r="B123">
        <v>39.5</v>
      </c>
      <c r="C123">
        <v>43.5</v>
      </c>
      <c r="D123">
        <v>38.049999</v>
      </c>
      <c r="E123">
        <v>43.400002000000001</v>
      </c>
      <c r="F123">
        <v>33.366683999999999</v>
      </c>
      <c r="G123">
        <v>552600</v>
      </c>
      <c r="I123" s="3">
        <f t="shared" si="8"/>
        <v>5.4500010000000003</v>
      </c>
      <c r="J123" s="3">
        <f t="shared" si="9"/>
        <v>3.3499979999999994</v>
      </c>
      <c r="K123" s="3">
        <f t="shared" si="10"/>
        <v>2.100003000000001</v>
      </c>
      <c r="L123" s="3">
        <f t="shared" si="11"/>
        <v>5.4500010000000003</v>
      </c>
      <c r="M123" s="3">
        <f t="shared" si="7"/>
        <v>3.2607144285714287</v>
      </c>
      <c r="N123" s="40">
        <f t="shared" si="12"/>
        <v>8.2549732368896928E-2</v>
      </c>
      <c r="O123" s="41">
        <f t="shared" si="13"/>
        <v>0.12557605412091918</v>
      </c>
    </row>
    <row r="124" spans="1:15" x14ac:dyDescent="0.45">
      <c r="A124" s="1">
        <v>39995</v>
      </c>
      <c r="B124">
        <v>38.299999</v>
      </c>
      <c r="C124">
        <v>40.200001</v>
      </c>
      <c r="D124">
        <v>36.950001</v>
      </c>
      <c r="E124">
        <v>40.150002000000001</v>
      </c>
      <c r="F124">
        <v>30.868016999999998</v>
      </c>
      <c r="G124">
        <v>1771200</v>
      </c>
      <c r="I124" s="3">
        <f t="shared" si="8"/>
        <v>3.25</v>
      </c>
      <c r="J124" s="3">
        <f t="shared" si="9"/>
        <v>40.200001</v>
      </c>
      <c r="K124" s="3">
        <f t="shared" si="10"/>
        <v>36.950001</v>
      </c>
      <c r="L124" s="3">
        <f t="shared" si="11"/>
        <v>40.200001</v>
      </c>
      <c r="M124" s="3">
        <f t="shared" si="7"/>
        <v>2.8714286428571429</v>
      </c>
      <c r="N124" s="40">
        <f t="shared" si="12"/>
        <v>7.4972029186140265E-2</v>
      </c>
      <c r="O124" s="41">
        <f t="shared" si="13"/>
        <v>1.0012453050438204</v>
      </c>
    </row>
    <row r="125" spans="1:15" x14ac:dyDescent="0.45">
      <c r="I125" s="3" t="str">
        <f t="shared" si="8"/>
        <v/>
      </c>
      <c r="J125" s="3">
        <f t="shared" si="9"/>
        <v>0</v>
      </c>
      <c r="K125" s="3">
        <f t="shared" si="10"/>
        <v>0</v>
      </c>
      <c r="L125" s="3">
        <f t="shared" si="11"/>
        <v>0</v>
      </c>
      <c r="M125" s="3">
        <f t="shared" si="7"/>
        <v>0</v>
      </c>
      <c r="N125" s="40" t="e">
        <f t="shared" si="12"/>
        <v>#DIV/0!</v>
      </c>
      <c r="O125" s="41" t="e">
        <f t="shared" si="13"/>
        <v>#DIV/0!</v>
      </c>
    </row>
    <row r="126" spans="1:15" x14ac:dyDescent="0.45">
      <c r="I126" s="3" t="str">
        <f t="shared" si="8"/>
        <v/>
      </c>
      <c r="J126" s="3">
        <f t="shared" si="9"/>
        <v>0</v>
      </c>
      <c r="K126" s="3">
        <f t="shared" si="10"/>
        <v>0</v>
      </c>
      <c r="L126" s="3">
        <f t="shared" si="11"/>
        <v>0</v>
      </c>
      <c r="M126" s="3">
        <f t="shared" si="7"/>
        <v>0</v>
      </c>
      <c r="N126" s="40" t="e">
        <f t="shared" si="12"/>
        <v>#DIV/0!</v>
      </c>
      <c r="O126" s="41" t="e">
        <f t="shared" si="13"/>
        <v>#DIV/0!</v>
      </c>
    </row>
    <row r="127" spans="1:15" x14ac:dyDescent="0.45">
      <c r="I127" s="3" t="str">
        <f t="shared" si="8"/>
        <v/>
      </c>
      <c r="J127" s="3">
        <f t="shared" si="9"/>
        <v>0</v>
      </c>
      <c r="K127" s="3">
        <f t="shared" si="10"/>
        <v>0</v>
      </c>
      <c r="L127" s="3">
        <f t="shared" si="11"/>
        <v>0</v>
      </c>
      <c r="M127" s="3">
        <f t="shared" si="7"/>
        <v>0</v>
      </c>
      <c r="N127" s="40" t="e">
        <f t="shared" si="12"/>
        <v>#DIV/0!</v>
      </c>
      <c r="O127" s="41" t="e">
        <f t="shared" si="13"/>
        <v>#DIV/0!</v>
      </c>
    </row>
    <row r="128" spans="1:15" x14ac:dyDescent="0.45">
      <c r="I128" s="3" t="str">
        <f t="shared" si="8"/>
        <v/>
      </c>
      <c r="J128" s="3">
        <f t="shared" si="9"/>
        <v>0</v>
      </c>
      <c r="K128" s="3">
        <f t="shared" si="10"/>
        <v>0</v>
      </c>
      <c r="L128" s="3">
        <f t="shared" si="11"/>
        <v>0</v>
      </c>
      <c r="M128" s="3">
        <f t="shared" si="7"/>
        <v>0</v>
      </c>
      <c r="N128" s="40" t="e">
        <f t="shared" si="12"/>
        <v>#DIV/0!</v>
      </c>
      <c r="O128" s="41" t="e">
        <f t="shared" si="13"/>
        <v>#DIV/0!</v>
      </c>
    </row>
    <row r="129" spans="9:15" x14ac:dyDescent="0.45">
      <c r="I129" s="3" t="str">
        <f t="shared" si="8"/>
        <v/>
      </c>
      <c r="J129" s="3">
        <f t="shared" si="9"/>
        <v>0</v>
      </c>
      <c r="K129" s="3">
        <f t="shared" si="10"/>
        <v>0</v>
      </c>
      <c r="L129" s="3">
        <f t="shared" si="11"/>
        <v>0</v>
      </c>
      <c r="M129" s="3">
        <f t="shared" si="7"/>
        <v>0</v>
      </c>
      <c r="N129" s="40" t="e">
        <f t="shared" si="12"/>
        <v>#DIV/0!</v>
      </c>
      <c r="O129" s="41" t="e">
        <f t="shared" si="13"/>
        <v>#DIV/0!</v>
      </c>
    </row>
    <row r="130" spans="9:15" x14ac:dyDescent="0.45">
      <c r="I130" s="3" t="str">
        <f t="shared" si="8"/>
        <v/>
      </c>
      <c r="J130" s="3">
        <f t="shared" si="9"/>
        <v>0</v>
      </c>
      <c r="K130" s="3">
        <f t="shared" si="10"/>
        <v>0</v>
      </c>
      <c r="L130" s="3">
        <f t="shared" si="11"/>
        <v>0</v>
      </c>
      <c r="M130" s="3">
        <f t="shared" ref="M130:M193" si="14">AVERAGE(L130:L143)</f>
        <v>0</v>
      </c>
      <c r="N130" s="40" t="e">
        <f t="shared" si="12"/>
        <v>#DIV/0!</v>
      </c>
      <c r="O130" s="41" t="e">
        <f t="shared" si="13"/>
        <v>#DIV/0!</v>
      </c>
    </row>
    <row r="131" spans="9:15" x14ac:dyDescent="0.45">
      <c r="I131" s="3" t="str">
        <f t="shared" ref="I131:I194" si="15">IF(B131&gt;0,C131-D131,"")</f>
        <v/>
      </c>
      <c r="J131" s="3">
        <f t="shared" ref="J131:J194" si="16">IF(B131&gt;0,ABS(C131-E132),)</f>
        <v>0</v>
      </c>
      <c r="K131" s="3">
        <f t="shared" ref="K131:K194" si="17">IF(B131&gt;0,ABS(D131-E132),)</f>
        <v>0</v>
      </c>
      <c r="L131" s="3">
        <f t="shared" ref="L131:L194" si="18">MAX(I131:K131)</f>
        <v>0</v>
      </c>
      <c r="M131" s="3">
        <f t="shared" si="14"/>
        <v>0</v>
      </c>
      <c r="N131" s="40" t="e">
        <f t="shared" ref="N131:N194" si="19">M131/B131</f>
        <v>#DIV/0!</v>
      </c>
      <c r="O131" s="41" t="e">
        <f t="shared" ref="O131:O194" si="20">L131/E131</f>
        <v>#DIV/0!</v>
      </c>
    </row>
    <row r="132" spans="9:15" x14ac:dyDescent="0.45">
      <c r="I132" s="3" t="str">
        <f t="shared" si="15"/>
        <v/>
      </c>
      <c r="J132" s="3">
        <f t="shared" si="16"/>
        <v>0</v>
      </c>
      <c r="K132" s="3">
        <f t="shared" si="17"/>
        <v>0</v>
      </c>
      <c r="L132" s="3">
        <f t="shared" si="18"/>
        <v>0</v>
      </c>
      <c r="M132" s="3">
        <f t="shared" si="14"/>
        <v>0</v>
      </c>
      <c r="N132" s="40" t="e">
        <f t="shared" si="19"/>
        <v>#DIV/0!</v>
      </c>
      <c r="O132" s="41" t="e">
        <f t="shared" si="20"/>
        <v>#DIV/0!</v>
      </c>
    </row>
    <row r="133" spans="9:15" x14ac:dyDescent="0.45">
      <c r="I133" s="3" t="str">
        <f t="shared" si="15"/>
        <v/>
      </c>
      <c r="J133" s="3">
        <f t="shared" si="16"/>
        <v>0</v>
      </c>
      <c r="K133" s="3">
        <f t="shared" si="17"/>
        <v>0</v>
      </c>
      <c r="L133" s="3">
        <f t="shared" si="18"/>
        <v>0</v>
      </c>
      <c r="M133" s="3">
        <f t="shared" si="14"/>
        <v>0</v>
      </c>
      <c r="N133" s="40" t="e">
        <f t="shared" si="19"/>
        <v>#DIV/0!</v>
      </c>
      <c r="O133" s="41" t="e">
        <f t="shared" si="20"/>
        <v>#DIV/0!</v>
      </c>
    </row>
    <row r="134" spans="9:15" x14ac:dyDescent="0.45">
      <c r="I134" s="3" t="str">
        <f t="shared" si="15"/>
        <v/>
      </c>
      <c r="J134" s="3">
        <f t="shared" si="16"/>
        <v>0</v>
      </c>
      <c r="K134" s="3">
        <f t="shared" si="17"/>
        <v>0</v>
      </c>
      <c r="L134" s="3">
        <f t="shared" si="18"/>
        <v>0</v>
      </c>
      <c r="M134" s="3">
        <f t="shared" si="14"/>
        <v>0</v>
      </c>
      <c r="N134" s="40" t="e">
        <f t="shared" si="19"/>
        <v>#DIV/0!</v>
      </c>
      <c r="O134" s="41" t="e">
        <f t="shared" si="20"/>
        <v>#DIV/0!</v>
      </c>
    </row>
    <row r="135" spans="9:15" x14ac:dyDescent="0.45">
      <c r="I135" s="3" t="str">
        <f t="shared" si="15"/>
        <v/>
      </c>
      <c r="J135" s="3">
        <f t="shared" si="16"/>
        <v>0</v>
      </c>
      <c r="K135" s="3">
        <f t="shared" si="17"/>
        <v>0</v>
      </c>
      <c r="L135" s="3">
        <f t="shared" si="18"/>
        <v>0</v>
      </c>
      <c r="M135" s="3">
        <f t="shared" si="14"/>
        <v>0</v>
      </c>
      <c r="N135" s="40" t="e">
        <f t="shared" si="19"/>
        <v>#DIV/0!</v>
      </c>
      <c r="O135" s="41" t="e">
        <f t="shared" si="20"/>
        <v>#DIV/0!</v>
      </c>
    </row>
    <row r="136" spans="9:15" x14ac:dyDescent="0.45">
      <c r="I136" s="3" t="str">
        <f t="shared" si="15"/>
        <v/>
      </c>
      <c r="J136" s="3">
        <f t="shared" si="16"/>
        <v>0</v>
      </c>
      <c r="K136" s="3">
        <f t="shared" si="17"/>
        <v>0</v>
      </c>
      <c r="L136" s="3">
        <f t="shared" si="18"/>
        <v>0</v>
      </c>
      <c r="M136" s="3">
        <f t="shared" si="14"/>
        <v>0</v>
      </c>
      <c r="N136" s="40" t="e">
        <f t="shared" si="19"/>
        <v>#DIV/0!</v>
      </c>
      <c r="O136" s="41" t="e">
        <f t="shared" si="20"/>
        <v>#DIV/0!</v>
      </c>
    </row>
    <row r="137" spans="9:15" x14ac:dyDescent="0.45">
      <c r="I137" s="3" t="str">
        <f t="shared" si="15"/>
        <v/>
      </c>
      <c r="J137" s="3">
        <f t="shared" si="16"/>
        <v>0</v>
      </c>
      <c r="K137" s="3">
        <f t="shared" si="17"/>
        <v>0</v>
      </c>
      <c r="L137" s="3">
        <f t="shared" si="18"/>
        <v>0</v>
      </c>
      <c r="M137" s="3">
        <f t="shared" si="14"/>
        <v>0</v>
      </c>
      <c r="N137" s="40" t="e">
        <f t="shared" si="19"/>
        <v>#DIV/0!</v>
      </c>
      <c r="O137" s="41" t="e">
        <f t="shared" si="20"/>
        <v>#DIV/0!</v>
      </c>
    </row>
    <row r="138" spans="9:15" x14ac:dyDescent="0.45">
      <c r="I138" s="3" t="str">
        <f t="shared" si="15"/>
        <v/>
      </c>
      <c r="J138" s="3">
        <f t="shared" si="16"/>
        <v>0</v>
      </c>
      <c r="K138" s="3">
        <f t="shared" si="17"/>
        <v>0</v>
      </c>
      <c r="L138" s="3">
        <f t="shared" si="18"/>
        <v>0</v>
      </c>
      <c r="M138" s="3">
        <f t="shared" si="14"/>
        <v>0</v>
      </c>
      <c r="N138" s="40" t="e">
        <f t="shared" si="19"/>
        <v>#DIV/0!</v>
      </c>
      <c r="O138" s="41" t="e">
        <f t="shared" si="20"/>
        <v>#DIV/0!</v>
      </c>
    </row>
    <row r="139" spans="9:15" x14ac:dyDescent="0.45">
      <c r="I139" s="3" t="str">
        <f t="shared" si="15"/>
        <v/>
      </c>
      <c r="J139" s="3">
        <f t="shared" si="16"/>
        <v>0</v>
      </c>
      <c r="K139" s="3">
        <f t="shared" si="17"/>
        <v>0</v>
      </c>
      <c r="L139" s="3">
        <f t="shared" si="18"/>
        <v>0</v>
      </c>
      <c r="M139" s="3">
        <f t="shared" si="14"/>
        <v>0</v>
      </c>
      <c r="N139" s="40" t="e">
        <f t="shared" si="19"/>
        <v>#DIV/0!</v>
      </c>
      <c r="O139" s="41" t="e">
        <f t="shared" si="20"/>
        <v>#DIV/0!</v>
      </c>
    </row>
    <row r="140" spans="9:15" x14ac:dyDescent="0.45">
      <c r="I140" s="3" t="str">
        <f t="shared" si="15"/>
        <v/>
      </c>
      <c r="J140" s="3">
        <f t="shared" si="16"/>
        <v>0</v>
      </c>
      <c r="K140" s="3">
        <f t="shared" si="17"/>
        <v>0</v>
      </c>
      <c r="L140" s="3">
        <f t="shared" si="18"/>
        <v>0</v>
      </c>
      <c r="M140" s="3">
        <f t="shared" si="14"/>
        <v>0</v>
      </c>
      <c r="N140" s="40" t="e">
        <f t="shared" si="19"/>
        <v>#DIV/0!</v>
      </c>
      <c r="O140" s="41" t="e">
        <f t="shared" si="20"/>
        <v>#DIV/0!</v>
      </c>
    </row>
    <row r="141" spans="9:15" x14ac:dyDescent="0.45">
      <c r="I141" s="3" t="str">
        <f t="shared" si="15"/>
        <v/>
      </c>
      <c r="J141" s="3">
        <f t="shared" si="16"/>
        <v>0</v>
      </c>
      <c r="K141" s="3">
        <f t="shared" si="17"/>
        <v>0</v>
      </c>
      <c r="L141" s="3">
        <f t="shared" si="18"/>
        <v>0</v>
      </c>
      <c r="M141" s="3">
        <f t="shared" si="14"/>
        <v>0</v>
      </c>
      <c r="N141" s="40" t="e">
        <f t="shared" si="19"/>
        <v>#DIV/0!</v>
      </c>
      <c r="O141" s="41" t="e">
        <f t="shared" si="20"/>
        <v>#DIV/0!</v>
      </c>
    </row>
    <row r="142" spans="9:15" x14ac:dyDescent="0.45">
      <c r="I142" s="3" t="str">
        <f t="shared" si="15"/>
        <v/>
      </c>
      <c r="J142" s="3">
        <f t="shared" si="16"/>
        <v>0</v>
      </c>
      <c r="K142" s="3">
        <f t="shared" si="17"/>
        <v>0</v>
      </c>
      <c r="L142" s="3">
        <f t="shared" si="18"/>
        <v>0</v>
      </c>
      <c r="M142" s="3">
        <f t="shared" si="14"/>
        <v>0</v>
      </c>
      <c r="N142" s="40" t="e">
        <f t="shared" si="19"/>
        <v>#DIV/0!</v>
      </c>
      <c r="O142" s="41" t="e">
        <f t="shared" si="20"/>
        <v>#DIV/0!</v>
      </c>
    </row>
    <row r="143" spans="9:15" x14ac:dyDescent="0.45">
      <c r="I143" s="3" t="str">
        <f t="shared" si="15"/>
        <v/>
      </c>
      <c r="J143" s="3">
        <f t="shared" si="16"/>
        <v>0</v>
      </c>
      <c r="K143" s="3">
        <f t="shared" si="17"/>
        <v>0</v>
      </c>
      <c r="L143" s="3">
        <f t="shared" si="18"/>
        <v>0</v>
      </c>
      <c r="M143" s="3">
        <f t="shared" si="14"/>
        <v>0</v>
      </c>
      <c r="N143" s="40" t="e">
        <f t="shared" si="19"/>
        <v>#DIV/0!</v>
      </c>
      <c r="O143" s="41" t="e">
        <f t="shared" si="20"/>
        <v>#DIV/0!</v>
      </c>
    </row>
    <row r="144" spans="9:15" x14ac:dyDescent="0.45">
      <c r="I144" s="3" t="str">
        <f t="shared" si="15"/>
        <v/>
      </c>
      <c r="J144" s="3">
        <f t="shared" si="16"/>
        <v>0</v>
      </c>
      <c r="K144" s="3">
        <f t="shared" si="17"/>
        <v>0</v>
      </c>
      <c r="L144" s="3">
        <f t="shared" si="18"/>
        <v>0</v>
      </c>
      <c r="M144" s="3">
        <f t="shared" si="14"/>
        <v>0</v>
      </c>
      <c r="N144" s="40" t="e">
        <f t="shared" si="19"/>
        <v>#DIV/0!</v>
      </c>
      <c r="O144" s="41" t="e">
        <f t="shared" si="20"/>
        <v>#DIV/0!</v>
      </c>
    </row>
    <row r="145" spans="9:15" x14ac:dyDescent="0.45">
      <c r="I145" s="3" t="str">
        <f t="shared" si="15"/>
        <v/>
      </c>
      <c r="J145" s="3">
        <f t="shared" si="16"/>
        <v>0</v>
      </c>
      <c r="K145" s="3">
        <f t="shared" si="17"/>
        <v>0</v>
      </c>
      <c r="L145" s="3">
        <f t="shared" si="18"/>
        <v>0</v>
      </c>
      <c r="M145" s="3">
        <f t="shared" si="14"/>
        <v>0</v>
      </c>
      <c r="N145" s="40" t="e">
        <f t="shared" si="19"/>
        <v>#DIV/0!</v>
      </c>
      <c r="O145" s="41" t="e">
        <f t="shared" si="20"/>
        <v>#DIV/0!</v>
      </c>
    </row>
    <row r="146" spans="9:15" x14ac:dyDescent="0.45">
      <c r="I146" s="3" t="str">
        <f t="shared" si="15"/>
        <v/>
      </c>
      <c r="J146" s="3">
        <f t="shared" si="16"/>
        <v>0</v>
      </c>
      <c r="K146" s="3">
        <f t="shared" si="17"/>
        <v>0</v>
      </c>
      <c r="L146" s="3">
        <f t="shared" si="18"/>
        <v>0</v>
      </c>
      <c r="M146" s="3">
        <f t="shared" si="14"/>
        <v>0</v>
      </c>
      <c r="N146" s="40" t="e">
        <f t="shared" si="19"/>
        <v>#DIV/0!</v>
      </c>
      <c r="O146" s="41" t="e">
        <f t="shared" si="20"/>
        <v>#DIV/0!</v>
      </c>
    </row>
    <row r="147" spans="9:15" x14ac:dyDescent="0.45">
      <c r="I147" s="3" t="str">
        <f t="shared" si="15"/>
        <v/>
      </c>
      <c r="J147" s="3">
        <f t="shared" si="16"/>
        <v>0</v>
      </c>
      <c r="K147" s="3">
        <f t="shared" si="17"/>
        <v>0</v>
      </c>
      <c r="L147" s="3">
        <f t="shared" si="18"/>
        <v>0</v>
      </c>
      <c r="M147" s="3">
        <f t="shared" si="14"/>
        <v>0</v>
      </c>
      <c r="N147" s="40" t="e">
        <f t="shared" si="19"/>
        <v>#DIV/0!</v>
      </c>
      <c r="O147" s="41" t="e">
        <f t="shared" si="20"/>
        <v>#DIV/0!</v>
      </c>
    </row>
    <row r="148" spans="9:15" x14ac:dyDescent="0.45">
      <c r="I148" s="3" t="str">
        <f t="shared" si="15"/>
        <v/>
      </c>
      <c r="J148" s="3">
        <f t="shared" si="16"/>
        <v>0</v>
      </c>
      <c r="K148" s="3">
        <f t="shared" si="17"/>
        <v>0</v>
      </c>
      <c r="L148" s="3">
        <f t="shared" si="18"/>
        <v>0</v>
      </c>
      <c r="M148" s="3">
        <f t="shared" si="14"/>
        <v>0</v>
      </c>
      <c r="N148" s="40" t="e">
        <f t="shared" si="19"/>
        <v>#DIV/0!</v>
      </c>
      <c r="O148" s="41" t="e">
        <f t="shared" si="20"/>
        <v>#DIV/0!</v>
      </c>
    </row>
    <row r="149" spans="9:15" x14ac:dyDescent="0.45">
      <c r="I149" s="3" t="str">
        <f t="shared" si="15"/>
        <v/>
      </c>
      <c r="J149" s="3">
        <f t="shared" si="16"/>
        <v>0</v>
      </c>
      <c r="K149" s="3">
        <f t="shared" si="17"/>
        <v>0</v>
      </c>
      <c r="L149" s="3">
        <f t="shared" si="18"/>
        <v>0</v>
      </c>
      <c r="M149" s="3">
        <f t="shared" si="14"/>
        <v>0</v>
      </c>
      <c r="N149" s="40" t="e">
        <f t="shared" si="19"/>
        <v>#DIV/0!</v>
      </c>
      <c r="O149" s="41" t="e">
        <f t="shared" si="20"/>
        <v>#DIV/0!</v>
      </c>
    </row>
    <row r="150" spans="9:15" x14ac:dyDescent="0.45">
      <c r="I150" s="3" t="str">
        <f t="shared" si="15"/>
        <v/>
      </c>
      <c r="J150" s="3">
        <f t="shared" si="16"/>
        <v>0</v>
      </c>
      <c r="K150" s="3">
        <f t="shared" si="17"/>
        <v>0</v>
      </c>
      <c r="L150" s="3">
        <f t="shared" si="18"/>
        <v>0</v>
      </c>
      <c r="M150" s="3">
        <f t="shared" si="14"/>
        <v>0</v>
      </c>
      <c r="N150" s="40" t="e">
        <f t="shared" si="19"/>
        <v>#DIV/0!</v>
      </c>
      <c r="O150" s="41" t="e">
        <f t="shared" si="20"/>
        <v>#DIV/0!</v>
      </c>
    </row>
    <row r="151" spans="9:15" x14ac:dyDescent="0.45">
      <c r="I151" s="3" t="str">
        <f t="shared" si="15"/>
        <v/>
      </c>
      <c r="J151" s="3">
        <f t="shared" si="16"/>
        <v>0</v>
      </c>
      <c r="K151" s="3">
        <f t="shared" si="17"/>
        <v>0</v>
      </c>
      <c r="L151" s="3">
        <f t="shared" si="18"/>
        <v>0</v>
      </c>
      <c r="M151" s="3">
        <f t="shared" si="14"/>
        <v>0</v>
      </c>
      <c r="N151" s="40" t="e">
        <f t="shared" si="19"/>
        <v>#DIV/0!</v>
      </c>
      <c r="O151" s="41" t="e">
        <f t="shared" si="20"/>
        <v>#DIV/0!</v>
      </c>
    </row>
    <row r="152" spans="9:15" x14ac:dyDescent="0.45">
      <c r="I152" s="3" t="str">
        <f t="shared" si="15"/>
        <v/>
      </c>
      <c r="J152" s="3">
        <f t="shared" si="16"/>
        <v>0</v>
      </c>
      <c r="K152" s="3">
        <f t="shared" si="17"/>
        <v>0</v>
      </c>
      <c r="L152" s="3">
        <f t="shared" si="18"/>
        <v>0</v>
      </c>
      <c r="M152" s="3">
        <f t="shared" si="14"/>
        <v>0</v>
      </c>
      <c r="N152" s="40" t="e">
        <f t="shared" si="19"/>
        <v>#DIV/0!</v>
      </c>
      <c r="O152" s="41" t="e">
        <f t="shared" si="20"/>
        <v>#DIV/0!</v>
      </c>
    </row>
    <row r="153" spans="9:15" x14ac:dyDescent="0.45">
      <c r="I153" s="3" t="str">
        <f t="shared" si="15"/>
        <v/>
      </c>
      <c r="J153" s="3">
        <f t="shared" si="16"/>
        <v>0</v>
      </c>
      <c r="K153" s="3">
        <f t="shared" si="17"/>
        <v>0</v>
      </c>
      <c r="L153" s="3">
        <f t="shared" si="18"/>
        <v>0</v>
      </c>
      <c r="M153" s="3">
        <f t="shared" si="14"/>
        <v>0</v>
      </c>
      <c r="N153" s="40" t="e">
        <f t="shared" si="19"/>
        <v>#DIV/0!</v>
      </c>
      <c r="O153" s="41" t="e">
        <f t="shared" si="20"/>
        <v>#DIV/0!</v>
      </c>
    </row>
    <row r="154" spans="9:15" x14ac:dyDescent="0.45">
      <c r="I154" s="3" t="str">
        <f t="shared" si="15"/>
        <v/>
      </c>
      <c r="J154" s="3">
        <f t="shared" si="16"/>
        <v>0</v>
      </c>
      <c r="K154" s="3">
        <f t="shared" si="17"/>
        <v>0</v>
      </c>
      <c r="L154" s="3">
        <f t="shared" si="18"/>
        <v>0</v>
      </c>
      <c r="M154" s="3">
        <f t="shared" si="14"/>
        <v>0</v>
      </c>
      <c r="N154" s="40" t="e">
        <f t="shared" si="19"/>
        <v>#DIV/0!</v>
      </c>
      <c r="O154" s="41" t="e">
        <f t="shared" si="20"/>
        <v>#DIV/0!</v>
      </c>
    </row>
    <row r="155" spans="9:15" x14ac:dyDescent="0.45">
      <c r="I155" s="3" t="str">
        <f t="shared" si="15"/>
        <v/>
      </c>
      <c r="J155" s="3">
        <f t="shared" si="16"/>
        <v>0</v>
      </c>
      <c r="K155" s="3">
        <f t="shared" si="17"/>
        <v>0</v>
      </c>
      <c r="L155" s="3">
        <f t="shared" si="18"/>
        <v>0</v>
      </c>
      <c r="M155" s="3">
        <f t="shared" si="14"/>
        <v>0</v>
      </c>
      <c r="N155" s="40" t="e">
        <f t="shared" si="19"/>
        <v>#DIV/0!</v>
      </c>
      <c r="O155" s="41" t="e">
        <f t="shared" si="20"/>
        <v>#DIV/0!</v>
      </c>
    </row>
    <row r="156" spans="9:15" x14ac:dyDescent="0.45">
      <c r="I156" s="3" t="str">
        <f t="shared" si="15"/>
        <v/>
      </c>
      <c r="J156" s="3">
        <f t="shared" si="16"/>
        <v>0</v>
      </c>
      <c r="K156" s="3">
        <f t="shared" si="17"/>
        <v>0</v>
      </c>
      <c r="L156" s="3">
        <f t="shared" si="18"/>
        <v>0</v>
      </c>
      <c r="M156" s="3">
        <f t="shared" si="14"/>
        <v>0</v>
      </c>
      <c r="N156" s="40" t="e">
        <f t="shared" si="19"/>
        <v>#DIV/0!</v>
      </c>
      <c r="O156" s="41" t="e">
        <f t="shared" si="20"/>
        <v>#DIV/0!</v>
      </c>
    </row>
    <row r="157" spans="9:15" x14ac:dyDescent="0.45">
      <c r="I157" s="3" t="str">
        <f t="shared" si="15"/>
        <v/>
      </c>
      <c r="J157" s="3">
        <f t="shared" si="16"/>
        <v>0</v>
      </c>
      <c r="K157" s="3">
        <f t="shared" si="17"/>
        <v>0</v>
      </c>
      <c r="L157" s="3">
        <f t="shared" si="18"/>
        <v>0</v>
      </c>
      <c r="M157" s="3">
        <f t="shared" si="14"/>
        <v>0</v>
      </c>
      <c r="N157" s="40" t="e">
        <f t="shared" si="19"/>
        <v>#DIV/0!</v>
      </c>
      <c r="O157" s="41" t="e">
        <f t="shared" si="20"/>
        <v>#DIV/0!</v>
      </c>
    </row>
    <row r="158" spans="9:15" x14ac:dyDescent="0.45">
      <c r="I158" s="3" t="str">
        <f t="shared" si="15"/>
        <v/>
      </c>
      <c r="J158" s="3">
        <f t="shared" si="16"/>
        <v>0</v>
      </c>
      <c r="K158" s="3">
        <f t="shared" si="17"/>
        <v>0</v>
      </c>
      <c r="L158" s="3">
        <f t="shared" si="18"/>
        <v>0</v>
      </c>
      <c r="M158" s="3">
        <f t="shared" si="14"/>
        <v>0</v>
      </c>
      <c r="N158" s="40" t="e">
        <f t="shared" si="19"/>
        <v>#DIV/0!</v>
      </c>
      <c r="O158" s="41" t="e">
        <f t="shared" si="20"/>
        <v>#DIV/0!</v>
      </c>
    </row>
    <row r="159" spans="9:15" x14ac:dyDescent="0.45">
      <c r="I159" s="3" t="str">
        <f t="shared" si="15"/>
        <v/>
      </c>
      <c r="J159" s="3">
        <f t="shared" si="16"/>
        <v>0</v>
      </c>
      <c r="K159" s="3">
        <f t="shared" si="17"/>
        <v>0</v>
      </c>
      <c r="L159" s="3">
        <f t="shared" si="18"/>
        <v>0</v>
      </c>
      <c r="M159" s="3">
        <f t="shared" si="14"/>
        <v>0</v>
      </c>
      <c r="N159" s="40" t="e">
        <f t="shared" si="19"/>
        <v>#DIV/0!</v>
      </c>
      <c r="O159" s="41" t="e">
        <f t="shared" si="20"/>
        <v>#DIV/0!</v>
      </c>
    </row>
    <row r="160" spans="9:15" x14ac:dyDescent="0.45">
      <c r="I160" s="3" t="str">
        <f t="shared" si="15"/>
        <v/>
      </c>
      <c r="J160" s="3">
        <f t="shared" si="16"/>
        <v>0</v>
      </c>
      <c r="K160" s="3">
        <f t="shared" si="17"/>
        <v>0</v>
      </c>
      <c r="L160" s="3">
        <f t="shared" si="18"/>
        <v>0</v>
      </c>
      <c r="M160" s="3">
        <f t="shared" si="14"/>
        <v>0</v>
      </c>
      <c r="N160" s="40" t="e">
        <f t="shared" si="19"/>
        <v>#DIV/0!</v>
      </c>
      <c r="O160" s="41" t="e">
        <f t="shared" si="20"/>
        <v>#DIV/0!</v>
      </c>
    </row>
    <row r="161" spans="9:15" x14ac:dyDescent="0.45">
      <c r="I161" s="3" t="str">
        <f t="shared" si="15"/>
        <v/>
      </c>
      <c r="J161" s="3">
        <f t="shared" si="16"/>
        <v>0</v>
      </c>
      <c r="K161" s="3">
        <f t="shared" si="17"/>
        <v>0</v>
      </c>
      <c r="L161" s="3">
        <f t="shared" si="18"/>
        <v>0</v>
      </c>
      <c r="M161" s="3">
        <f t="shared" si="14"/>
        <v>0</v>
      </c>
      <c r="N161" s="40" t="e">
        <f t="shared" si="19"/>
        <v>#DIV/0!</v>
      </c>
      <c r="O161" s="41" t="e">
        <f t="shared" si="20"/>
        <v>#DIV/0!</v>
      </c>
    </row>
    <row r="162" spans="9:15" x14ac:dyDescent="0.45">
      <c r="I162" s="3" t="str">
        <f t="shared" si="15"/>
        <v/>
      </c>
      <c r="J162" s="3">
        <f t="shared" si="16"/>
        <v>0</v>
      </c>
      <c r="K162" s="3">
        <f t="shared" si="17"/>
        <v>0</v>
      </c>
      <c r="L162" s="3">
        <f t="shared" si="18"/>
        <v>0</v>
      </c>
      <c r="M162" s="3">
        <f t="shared" si="14"/>
        <v>0</v>
      </c>
      <c r="N162" s="40" t="e">
        <f t="shared" si="19"/>
        <v>#DIV/0!</v>
      </c>
      <c r="O162" s="41" t="e">
        <f t="shared" si="20"/>
        <v>#DIV/0!</v>
      </c>
    </row>
    <row r="163" spans="9:15" x14ac:dyDescent="0.45">
      <c r="I163" s="3" t="str">
        <f t="shared" si="15"/>
        <v/>
      </c>
      <c r="J163" s="3">
        <f t="shared" si="16"/>
        <v>0</v>
      </c>
      <c r="K163" s="3">
        <f t="shared" si="17"/>
        <v>0</v>
      </c>
      <c r="L163" s="3">
        <f t="shared" si="18"/>
        <v>0</v>
      </c>
      <c r="M163" s="3">
        <f t="shared" si="14"/>
        <v>0</v>
      </c>
      <c r="N163" s="40" t="e">
        <f t="shared" si="19"/>
        <v>#DIV/0!</v>
      </c>
      <c r="O163" s="41" t="e">
        <f t="shared" si="20"/>
        <v>#DIV/0!</v>
      </c>
    </row>
    <row r="164" spans="9:15" x14ac:dyDescent="0.45">
      <c r="I164" s="3" t="str">
        <f t="shared" si="15"/>
        <v/>
      </c>
      <c r="J164" s="3">
        <f t="shared" si="16"/>
        <v>0</v>
      </c>
      <c r="K164" s="3">
        <f t="shared" si="17"/>
        <v>0</v>
      </c>
      <c r="L164" s="3">
        <f t="shared" si="18"/>
        <v>0</v>
      </c>
      <c r="M164" s="3">
        <f t="shared" si="14"/>
        <v>0</v>
      </c>
      <c r="N164" s="40" t="e">
        <f t="shared" si="19"/>
        <v>#DIV/0!</v>
      </c>
      <c r="O164" s="41" t="e">
        <f t="shared" si="20"/>
        <v>#DIV/0!</v>
      </c>
    </row>
    <row r="165" spans="9:15" x14ac:dyDescent="0.45">
      <c r="I165" s="3" t="str">
        <f t="shared" si="15"/>
        <v/>
      </c>
      <c r="J165" s="3">
        <f t="shared" si="16"/>
        <v>0</v>
      </c>
      <c r="K165" s="3">
        <f t="shared" si="17"/>
        <v>0</v>
      </c>
      <c r="L165" s="3">
        <f t="shared" si="18"/>
        <v>0</v>
      </c>
      <c r="M165" s="3">
        <f t="shared" si="14"/>
        <v>0</v>
      </c>
      <c r="N165" s="40" t="e">
        <f t="shared" si="19"/>
        <v>#DIV/0!</v>
      </c>
      <c r="O165" s="41" t="e">
        <f t="shared" si="20"/>
        <v>#DIV/0!</v>
      </c>
    </row>
    <row r="166" spans="9:15" x14ac:dyDescent="0.45">
      <c r="I166" s="3" t="str">
        <f t="shared" si="15"/>
        <v/>
      </c>
      <c r="J166" s="3">
        <f t="shared" si="16"/>
        <v>0</v>
      </c>
      <c r="K166" s="3">
        <f t="shared" si="17"/>
        <v>0</v>
      </c>
      <c r="L166" s="3">
        <f t="shared" si="18"/>
        <v>0</v>
      </c>
      <c r="M166" s="3">
        <f t="shared" si="14"/>
        <v>0</v>
      </c>
      <c r="N166" s="40" t="e">
        <f t="shared" si="19"/>
        <v>#DIV/0!</v>
      </c>
      <c r="O166" s="41" t="e">
        <f t="shared" si="20"/>
        <v>#DIV/0!</v>
      </c>
    </row>
    <row r="167" spans="9:15" x14ac:dyDescent="0.45">
      <c r="I167" s="3" t="str">
        <f t="shared" si="15"/>
        <v/>
      </c>
      <c r="J167" s="3">
        <f t="shared" si="16"/>
        <v>0</v>
      </c>
      <c r="K167" s="3">
        <f t="shared" si="17"/>
        <v>0</v>
      </c>
      <c r="L167" s="3">
        <f t="shared" si="18"/>
        <v>0</v>
      </c>
      <c r="M167" s="3">
        <f t="shared" si="14"/>
        <v>0</v>
      </c>
      <c r="N167" s="40" t="e">
        <f t="shared" si="19"/>
        <v>#DIV/0!</v>
      </c>
      <c r="O167" s="41" t="e">
        <f t="shared" si="20"/>
        <v>#DIV/0!</v>
      </c>
    </row>
    <row r="168" spans="9:15" x14ac:dyDescent="0.45">
      <c r="I168" s="3" t="str">
        <f t="shared" si="15"/>
        <v/>
      </c>
      <c r="J168" s="3">
        <f t="shared" si="16"/>
        <v>0</v>
      </c>
      <c r="K168" s="3">
        <f t="shared" si="17"/>
        <v>0</v>
      </c>
      <c r="L168" s="3">
        <f t="shared" si="18"/>
        <v>0</v>
      </c>
      <c r="M168" s="3">
        <f t="shared" si="14"/>
        <v>0</v>
      </c>
      <c r="N168" s="40" t="e">
        <f t="shared" si="19"/>
        <v>#DIV/0!</v>
      </c>
      <c r="O168" s="41" t="e">
        <f t="shared" si="20"/>
        <v>#DIV/0!</v>
      </c>
    </row>
    <row r="169" spans="9:15" x14ac:dyDescent="0.45">
      <c r="I169" s="3" t="str">
        <f t="shared" si="15"/>
        <v/>
      </c>
      <c r="J169" s="3">
        <f t="shared" si="16"/>
        <v>0</v>
      </c>
      <c r="K169" s="3">
        <f t="shared" si="17"/>
        <v>0</v>
      </c>
      <c r="L169" s="3">
        <f t="shared" si="18"/>
        <v>0</v>
      </c>
      <c r="M169" s="3">
        <f t="shared" si="14"/>
        <v>0</v>
      </c>
      <c r="N169" s="40" t="e">
        <f t="shared" si="19"/>
        <v>#DIV/0!</v>
      </c>
      <c r="O169" s="41" t="e">
        <f t="shared" si="20"/>
        <v>#DIV/0!</v>
      </c>
    </row>
    <row r="170" spans="9:15" x14ac:dyDescent="0.45">
      <c r="I170" s="3" t="str">
        <f t="shared" si="15"/>
        <v/>
      </c>
      <c r="J170" s="3">
        <f t="shared" si="16"/>
        <v>0</v>
      </c>
      <c r="K170" s="3">
        <f t="shared" si="17"/>
        <v>0</v>
      </c>
      <c r="L170" s="3">
        <f t="shared" si="18"/>
        <v>0</v>
      </c>
      <c r="M170" s="3">
        <f t="shared" si="14"/>
        <v>0</v>
      </c>
      <c r="N170" s="40" t="e">
        <f t="shared" si="19"/>
        <v>#DIV/0!</v>
      </c>
      <c r="O170" s="41" t="e">
        <f t="shared" si="20"/>
        <v>#DIV/0!</v>
      </c>
    </row>
    <row r="171" spans="9:15" x14ac:dyDescent="0.45">
      <c r="I171" s="3" t="str">
        <f t="shared" si="15"/>
        <v/>
      </c>
      <c r="J171" s="3">
        <f t="shared" si="16"/>
        <v>0</v>
      </c>
      <c r="K171" s="3">
        <f t="shared" si="17"/>
        <v>0</v>
      </c>
      <c r="L171" s="3">
        <f t="shared" si="18"/>
        <v>0</v>
      </c>
      <c r="M171" s="3">
        <f t="shared" si="14"/>
        <v>0</v>
      </c>
      <c r="N171" s="40" t="e">
        <f t="shared" si="19"/>
        <v>#DIV/0!</v>
      </c>
      <c r="O171" s="41" t="e">
        <f t="shared" si="20"/>
        <v>#DIV/0!</v>
      </c>
    </row>
    <row r="172" spans="9:15" x14ac:dyDescent="0.45">
      <c r="I172" s="3" t="str">
        <f t="shared" si="15"/>
        <v/>
      </c>
      <c r="J172" s="3">
        <f t="shared" si="16"/>
        <v>0</v>
      </c>
      <c r="K172" s="3">
        <f t="shared" si="17"/>
        <v>0</v>
      </c>
      <c r="L172" s="3">
        <f t="shared" si="18"/>
        <v>0</v>
      </c>
      <c r="M172" s="3">
        <f t="shared" si="14"/>
        <v>0</v>
      </c>
      <c r="N172" s="40" t="e">
        <f t="shared" si="19"/>
        <v>#DIV/0!</v>
      </c>
      <c r="O172" s="41" t="e">
        <f t="shared" si="20"/>
        <v>#DIV/0!</v>
      </c>
    </row>
    <row r="173" spans="9:15" x14ac:dyDescent="0.45">
      <c r="I173" s="3" t="str">
        <f t="shared" si="15"/>
        <v/>
      </c>
      <c r="J173" s="3">
        <f t="shared" si="16"/>
        <v>0</v>
      </c>
      <c r="K173" s="3">
        <f t="shared" si="17"/>
        <v>0</v>
      </c>
      <c r="L173" s="3">
        <f t="shared" si="18"/>
        <v>0</v>
      </c>
      <c r="M173" s="3">
        <f t="shared" si="14"/>
        <v>0</v>
      </c>
      <c r="N173" s="40" t="e">
        <f t="shared" si="19"/>
        <v>#DIV/0!</v>
      </c>
      <c r="O173" s="41" t="e">
        <f t="shared" si="20"/>
        <v>#DIV/0!</v>
      </c>
    </row>
    <row r="174" spans="9:15" x14ac:dyDescent="0.45">
      <c r="I174" s="3" t="str">
        <f t="shared" si="15"/>
        <v/>
      </c>
      <c r="J174" s="3">
        <f t="shared" si="16"/>
        <v>0</v>
      </c>
      <c r="K174" s="3">
        <f t="shared" si="17"/>
        <v>0</v>
      </c>
      <c r="L174" s="3">
        <f t="shared" si="18"/>
        <v>0</v>
      </c>
      <c r="M174" s="3">
        <f t="shared" si="14"/>
        <v>0</v>
      </c>
      <c r="N174" s="40" t="e">
        <f t="shared" si="19"/>
        <v>#DIV/0!</v>
      </c>
      <c r="O174" s="41" t="e">
        <f t="shared" si="20"/>
        <v>#DIV/0!</v>
      </c>
    </row>
    <row r="175" spans="9:15" x14ac:dyDescent="0.45">
      <c r="I175" s="3" t="str">
        <f t="shared" si="15"/>
        <v/>
      </c>
      <c r="J175" s="3">
        <f t="shared" si="16"/>
        <v>0</v>
      </c>
      <c r="K175" s="3">
        <f t="shared" si="17"/>
        <v>0</v>
      </c>
      <c r="L175" s="3">
        <f t="shared" si="18"/>
        <v>0</v>
      </c>
      <c r="M175" s="3">
        <f t="shared" si="14"/>
        <v>0</v>
      </c>
      <c r="N175" s="40" t="e">
        <f t="shared" si="19"/>
        <v>#DIV/0!</v>
      </c>
      <c r="O175" s="41" t="e">
        <f t="shared" si="20"/>
        <v>#DIV/0!</v>
      </c>
    </row>
    <row r="176" spans="9:15" x14ac:dyDescent="0.45">
      <c r="I176" s="3" t="str">
        <f t="shared" si="15"/>
        <v/>
      </c>
      <c r="J176" s="3">
        <f t="shared" si="16"/>
        <v>0</v>
      </c>
      <c r="K176" s="3">
        <f t="shared" si="17"/>
        <v>0</v>
      </c>
      <c r="L176" s="3">
        <f t="shared" si="18"/>
        <v>0</v>
      </c>
      <c r="M176" s="3">
        <f t="shared" si="14"/>
        <v>0</v>
      </c>
      <c r="N176" s="40" t="e">
        <f t="shared" si="19"/>
        <v>#DIV/0!</v>
      </c>
      <c r="O176" s="41" t="e">
        <f t="shared" si="20"/>
        <v>#DIV/0!</v>
      </c>
    </row>
    <row r="177" spans="9:15" x14ac:dyDescent="0.45">
      <c r="I177" s="3" t="str">
        <f t="shared" si="15"/>
        <v/>
      </c>
      <c r="J177" s="3">
        <f t="shared" si="16"/>
        <v>0</v>
      </c>
      <c r="K177" s="3">
        <f t="shared" si="17"/>
        <v>0</v>
      </c>
      <c r="L177" s="3">
        <f t="shared" si="18"/>
        <v>0</v>
      </c>
      <c r="M177" s="3">
        <f t="shared" si="14"/>
        <v>0</v>
      </c>
      <c r="N177" s="40" t="e">
        <f t="shared" si="19"/>
        <v>#DIV/0!</v>
      </c>
      <c r="O177" s="41" t="e">
        <f t="shared" si="20"/>
        <v>#DIV/0!</v>
      </c>
    </row>
    <row r="178" spans="9:15" x14ac:dyDescent="0.45">
      <c r="I178" s="3" t="str">
        <f t="shared" si="15"/>
        <v/>
      </c>
      <c r="J178" s="3">
        <f t="shared" si="16"/>
        <v>0</v>
      </c>
      <c r="K178" s="3">
        <f t="shared" si="17"/>
        <v>0</v>
      </c>
      <c r="L178" s="3">
        <f t="shared" si="18"/>
        <v>0</v>
      </c>
      <c r="M178" s="3">
        <f t="shared" si="14"/>
        <v>0</v>
      </c>
      <c r="N178" s="40" t="e">
        <f t="shared" si="19"/>
        <v>#DIV/0!</v>
      </c>
      <c r="O178" s="41" t="e">
        <f t="shared" si="20"/>
        <v>#DIV/0!</v>
      </c>
    </row>
    <row r="179" spans="9:15" x14ac:dyDescent="0.45">
      <c r="I179" s="3" t="str">
        <f t="shared" si="15"/>
        <v/>
      </c>
      <c r="J179" s="3">
        <f t="shared" si="16"/>
        <v>0</v>
      </c>
      <c r="K179" s="3">
        <f t="shared" si="17"/>
        <v>0</v>
      </c>
      <c r="L179" s="3">
        <f t="shared" si="18"/>
        <v>0</v>
      </c>
      <c r="M179" s="3">
        <f t="shared" si="14"/>
        <v>0</v>
      </c>
      <c r="N179" s="40" t="e">
        <f t="shared" si="19"/>
        <v>#DIV/0!</v>
      </c>
      <c r="O179" s="41" t="e">
        <f t="shared" si="20"/>
        <v>#DIV/0!</v>
      </c>
    </row>
    <row r="180" spans="9:15" x14ac:dyDescent="0.45">
      <c r="I180" s="3" t="str">
        <f t="shared" si="15"/>
        <v/>
      </c>
      <c r="J180" s="3">
        <f t="shared" si="16"/>
        <v>0</v>
      </c>
      <c r="K180" s="3">
        <f t="shared" si="17"/>
        <v>0</v>
      </c>
      <c r="L180" s="3">
        <f t="shared" si="18"/>
        <v>0</v>
      </c>
      <c r="M180" s="3">
        <f t="shared" si="14"/>
        <v>0</v>
      </c>
      <c r="N180" s="40" t="e">
        <f t="shared" si="19"/>
        <v>#DIV/0!</v>
      </c>
      <c r="O180" s="41" t="e">
        <f t="shared" si="20"/>
        <v>#DIV/0!</v>
      </c>
    </row>
    <row r="181" spans="9:15" x14ac:dyDescent="0.45">
      <c r="I181" s="3" t="str">
        <f t="shared" si="15"/>
        <v/>
      </c>
      <c r="J181" s="3">
        <f t="shared" si="16"/>
        <v>0</v>
      </c>
      <c r="K181" s="3">
        <f t="shared" si="17"/>
        <v>0</v>
      </c>
      <c r="L181" s="3">
        <f t="shared" si="18"/>
        <v>0</v>
      </c>
      <c r="M181" s="3">
        <f t="shared" si="14"/>
        <v>0</v>
      </c>
      <c r="N181" s="40" t="e">
        <f t="shared" si="19"/>
        <v>#DIV/0!</v>
      </c>
      <c r="O181" s="41" t="e">
        <f t="shared" si="20"/>
        <v>#DIV/0!</v>
      </c>
    </row>
    <row r="182" spans="9:15" x14ac:dyDescent="0.45">
      <c r="I182" s="3" t="str">
        <f t="shared" si="15"/>
        <v/>
      </c>
      <c r="J182" s="3">
        <f t="shared" si="16"/>
        <v>0</v>
      </c>
      <c r="K182" s="3">
        <f t="shared" si="17"/>
        <v>0</v>
      </c>
      <c r="L182" s="3">
        <f t="shared" si="18"/>
        <v>0</v>
      </c>
      <c r="M182" s="3">
        <f t="shared" si="14"/>
        <v>0</v>
      </c>
      <c r="N182" s="40" t="e">
        <f t="shared" si="19"/>
        <v>#DIV/0!</v>
      </c>
      <c r="O182" s="41" t="e">
        <f t="shared" si="20"/>
        <v>#DIV/0!</v>
      </c>
    </row>
    <row r="183" spans="9:15" x14ac:dyDescent="0.45">
      <c r="I183" s="3" t="str">
        <f t="shared" si="15"/>
        <v/>
      </c>
      <c r="J183" s="3">
        <f t="shared" si="16"/>
        <v>0</v>
      </c>
      <c r="K183" s="3">
        <f t="shared" si="17"/>
        <v>0</v>
      </c>
      <c r="L183" s="3">
        <f t="shared" si="18"/>
        <v>0</v>
      </c>
      <c r="M183" s="3">
        <f t="shared" si="14"/>
        <v>0</v>
      </c>
      <c r="N183" s="40" t="e">
        <f t="shared" si="19"/>
        <v>#DIV/0!</v>
      </c>
      <c r="O183" s="41" t="e">
        <f t="shared" si="20"/>
        <v>#DIV/0!</v>
      </c>
    </row>
    <row r="184" spans="9:15" x14ac:dyDescent="0.45">
      <c r="I184" s="3" t="str">
        <f t="shared" si="15"/>
        <v/>
      </c>
      <c r="J184" s="3">
        <f t="shared" si="16"/>
        <v>0</v>
      </c>
      <c r="K184" s="3">
        <f t="shared" si="17"/>
        <v>0</v>
      </c>
      <c r="L184" s="3">
        <f t="shared" si="18"/>
        <v>0</v>
      </c>
      <c r="M184" s="3">
        <f t="shared" si="14"/>
        <v>0</v>
      </c>
      <c r="N184" s="40" t="e">
        <f t="shared" si="19"/>
        <v>#DIV/0!</v>
      </c>
      <c r="O184" s="41" t="e">
        <f t="shared" si="20"/>
        <v>#DIV/0!</v>
      </c>
    </row>
    <row r="185" spans="9:15" x14ac:dyDescent="0.45">
      <c r="I185" s="3" t="str">
        <f t="shared" si="15"/>
        <v/>
      </c>
      <c r="J185" s="3">
        <f t="shared" si="16"/>
        <v>0</v>
      </c>
      <c r="K185" s="3">
        <f t="shared" si="17"/>
        <v>0</v>
      </c>
      <c r="L185" s="3">
        <f t="shared" si="18"/>
        <v>0</v>
      </c>
      <c r="M185" s="3">
        <f t="shared" si="14"/>
        <v>0</v>
      </c>
      <c r="N185" s="40" t="e">
        <f t="shared" si="19"/>
        <v>#DIV/0!</v>
      </c>
      <c r="O185" s="41" t="e">
        <f t="shared" si="20"/>
        <v>#DIV/0!</v>
      </c>
    </row>
    <row r="186" spans="9:15" x14ac:dyDescent="0.45">
      <c r="I186" s="3" t="str">
        <f t="shared" si="15"/>
        <v/>
      </c>
      <c r="J186" s="3">
        <f t="shared" si="16"/>
        <v>0</v>
      </c>
      <c r="K186" s="3">
        <f t="shared" si="17"/>
        <v>0</v>
      </c>
      <c r="L186" s="3">
        <f t="shared" si="18"/>
        <v>0</v>
      </c>
      <c r="M186" s="3">
        <f t="shared" si="14"/>
        <v>0</v>
      </c>
      <c r="N186" s="40" t="e">
        <f t="shared" si="19"/>
        <v>#DIV/0!</v>
      </c>
      <c r="O186" s="41" t="e">
        <f t="shared" si="20"/>
        <v>#DIV/0!</v>
      </c>
    </row>
    <row r="187" spans="9:15" x14ac:dyDescent="0.45">
      <c r="I187" s="3" t="str">
        <f t="shared" si="15"/>
        <v/>
      </c>
      <c r="J187" s="3">
        <f t="shared" si="16"/>
        <v>0</v>
      </c>
      <c r="K187" s="3">
        <f t="shared" si="17"/>
        <v>0</v>
      </c>
      <c r="L187" s="3">
        <f t="shared" si="18"/>
        <v>0</v>
      </c>
      <c r="M187" s="3">
        <f t="shared" si="14"/>
        <v>0</v>
      </c>
      <c r="N187" s="40" t="e">
        <f t="shared" si="19"/>
        <v>#DIV/0!</v>
      </c>
      <c r="O187" s="41" t="e">
        <f t="shared" si="20"/>
        <v>#DIV/0!</v>
      </c>
    </row>
    <row r="188" spans="9:15" x14ac:dyDescent="0.45">
      <c r="I188" s="3" t="str">
        <f t="shared" si="15"/>
        <v/>
      </c>
      <c r="J188" s="3">
        <f t="shared" si="16"/>
        <v>0</v>
      </c>
      <c r="K188" s="3">
        <f t="shared" si="17"/>
        <v>0</v>
      </c>
      <c r="L188" s="3">
        <f t="shared" si="18"/>
        <v>0</v>
      </c>
      <c r="M188" s="3">
        <f t="shared" si="14"/>
        <v>0</v>
      </c>
      <c r="N188" s="40" t="e">
        <f t="shared" si="19"/>
        <v>#DIV/0!</v>
      </c>
      <c r="O188" s="41" t="e">
        <f t="shared" si="20"/>
        <v>#DIV/0!</v>
      </c>
    </row>
    <row r="189" spans="9:15" x14ac:dyDescent="0.45">
      <c r="I189" s="3" t="str">
        <f t="shared" si="15"/>
        <v/>
      </c>
      <c r="J189" s="3">
        <f t="shared" si="16"/>
        <v>0</v>
      </c>
      <c r="K189" s="3">
        <f t="shared" si="17"/>
        <v>0</v>
      </c>
      <c r="L189" s="3">
        <f t="shared" si="18"/>
        <v>0</v>
      </c>
      <c r="M189" s="3">
        <f t="shared" si="14"/>
        <v>0</v>
      </c>
      <c r="N189" s="40" t="e">
        <f t="shared" si="19"/>
        <v>#DIV/0!</v>
      </c>
      <c r="O189" s="41" t="e">
        <f t="shared" si="20"/>
        <v>#DIV/0!</v>
      </c>
    </row>
    <row r="190" spans="9:15" x14ac:dyDescent="0.45">
      <c r="I190" s="3" t="str">
        <f t="shared" si="15"/>
        <v/>
      </c>
      <c r="J190" s="3">
        <f t="shared" si="16"/>
        <v>0</v>
      </c>
      <c r="K190" s="3">
        <f t="shared" si="17"/>
        <v>0</v>
      </c>
      <c r="L190" s="3">
        <f t="shared" si="18"/>
        <v>0</v>
      </c>
      <c r="M190" s="3">
        <f t="shared" si="14"/>
        <v>0</v>
      </c>
      <c r="N190" s="40" t="e">
        <f t="shared" si="19"/>
        <v>#DIV/0!</v>
      </c>
      <c r="O190" s="41" t="e">
        <f t="shared" si="20"/>
        <v>#DIV/0!</v>
      </c>
    </row>
    <row r="191" spans="9:15" x14ac:dyDescent="0.45">
      <c r="I191" s="3" t="str">
        <f t="shared" si="15"/>
        <v/>
      </c>
      <c r="J191" s="3">
        <f t="shared" si="16"/>
        <v>0</v>
      </c>
      <c r="K191" s="3">
        <f t="shared" si="17"/>
        <v>0</v>
      </c>
      <c r="L191" s="3">
        <f t="shared" si="18"/>
        <v>0</v>
      </c>
      <c r="M191" s="3">
        <f t="shared" si="14"/>
        <v>0</v>
      </c>
      <c r="N191" s="40" t="e">
        <f t="shared" si="19"/>
        <v>#DIV/0!</v>
      </c>
      <c r="O191" s="41" t="e">
        <f t="shared" si="20"/>
        <v>#DIV/0!</v>
      </c>
    </row>
    <row r="192" spans="9:15" x14ac:dyDescent="0.45">
      <c r="I192" s="3" t="str">
        <f t="shared" si="15"/>
        <v/>
      </c>
      <c r="J192" s="3">
        <f t="shared" si="16"/>
        <v>0</v>
      </c>
      <c r="K192" s="3">
        <f t="shared" si="17"/>
        <v>0</v>
      </c>
      <c r="L192" s="3">
        <f t="shared" si="18"/>
        <v>0</v>
      </c>
      <c r="M192" s="3">
        <f t="shared" si="14"/>
        <v>0</v>
      </c>
      <c r="N192" s="40" t="e">
        <f t="shared" si="19"/>
        <v>#DIV/0!</v>
      </c>
      <c r="O192" s="41" t="e">
        <f t="shared" si="20"/>
        <v>#DIV/0!</v>
      </c>
    </row>
    <row r="193" spans="9:15" x14ac:dyDescent="0.45">
      <c r="I193" s="3" t="str">
        <f t="shared" si="15"/>
        <v/>
      </c>
      <c r="J193" s="3">
        <f t="shared" si="16"/>
        <v>0</v>
      </c>
      <c r="K193" s="3">
        <f t="shared" si="17"/>
        <v>0</v>
      </c>
      <c r="L193" s="3">
        <f t="shared" si="18"/>
        <v>0</v>
      </c>
      <c r="M193" s="3">
        <f t="shared" si="14"/>
        <v>0</v>
      </c>
      <c r="N193" s="40" t="e">
        <f t="shared" si="19"/>
        <v>#DIV/0!</v>
      </c>
      <c r="O193" s="41" t="e">
        <f t="shared" si="20"/>
        <v>#DIV/0!</v>
      </c>
    </row>
    <row r="194" spans="9:15" x14ac:dyDescent="0.45">
      <c r="I194" s="3" t="str">
        <f t="shared" si="15"/>
        <v/>
      </c>
      <c r="J194" s="3">
        <f t="shared" si="16"/>
        <v>0</v>
      </c>
      <c r="K194" s="3">
        <f t="shared" si="17"/>
        <v>0</v>
      </c>
      <c r="L194" s="3">
        <f t="shared" si="18"/>
        <v>0</v>
      </c>
      <c r="M194" s="3">
        <f t="shared" ref="M194:M257" si="21">AVERAGE(L194:L207)</f>
        <v>0</v>
      </c>
      <c r="N194" s="40" t="e">
        <f t="shared" si="19"/>
        <v>#DIV/0!</v>
      </c>
      <c r="O194" s="41" t="e">
        <f t="shared" si="20"/>
        <v>#DIV/0!</v>
      </c>
    </row>
    <row r="195" spans="9:15" x14ac:dyDescent="0.45">
      <c r="I195" s="3" t="str">
        <f t="shared" ref="I195:I258" si="22">IF(B195&gt;0,C195-D195,"")</f>
        <v/>
      </c>
      <c r="J195" s="3">
        <f t="shared" ref="J195:J258" si="23">IF(B195&gt;0,ABS(C195-E196),)</f>
        <v>0</v>
      </c>
      <c r="K195" s="3">
        <f t="shared" ref="K195:K258" si="24">IF(B195&gt;0,ABS(D195-E196),)</f>
        <v>0</v>
      </c>
      <c r="L195" s="3">
        <f t="shared" ref="L195:L258" si="25">MAX(I195:K195)</f>
        <v>0</v>
      </c>
      <c r="M195" s="3">
        <f t="shared" si="21"/>
        <v>0</v>
      </c>
      <c r="N195" s="40" t="e">
        <f t="shared" ref="N195:N258" si="26">M195/B195</f>
        <v>#DIV/0!</v>
      </c>
      <c r="O195" s="41" t="e">
        <f t="shared" ref="O195:O258" si="27">L195/E195</f>
        <v>#DIV/0!</v>
      </c>
    </row>
    <row r="196" spans="9:15" x14ac:dyDescent="0.45">
      <c r="I196" s="3" t="str">
        <f t="shared" si="22"/>
        <v/>
      </c>
      <c r="J196" s="3">
        <f t="shared" si="23"/>
        <v>0</v>
      </c>
      <c r="K196" s="3">
        <f t="shared" si="24"/>
        <v>0</v>
      </c>
      <c r="L196" s="3">
        <f t="shared" si="25"/>
        <v>0</v>
      </c>
      <c r="M196" s="3">
        <f t="shared" si="21"/>
        <v>0</v>
      </c>
      <c r="N196" s="40" t="e">
        <f t="shared" si="26"/>
        <v>#DIV/0!</v>
      </c>
      <c r="O196" s="41" t="e">
        <f t="shared" si="27"/>
        <v>#DIV/0!</v>
      </c>
    </row>
    <row r="197" spans="9:15" x14ac:dyDescent="0.45">
      <c r="I197" s="3" t="str">
        <f t="shared" si="22"/>
        <v/>
      </c>
      <c r="J197" s="3">
        <f t="shared" si="23"/>
        <v>0</v>
      </c>
      <c r="K197" s="3">
        <f t="shared" si="24"/>
        <v>0</v>
      </c>
      <c r="L197" s="3">
        <f t="shared" si="25"/>
        <v>0</v>
      </c>
      <c r="M197" s="3">
        <f t="shared" si="21"/>
        <v>0</v>
      </c>
      <c r="N197" s="40" t="e">
        <f t="shared" si="26"/>
        <v>#DIV/0!</v>
      </c>
      <c r="O197" s="41" t="e">
        <f t="shared" si="27"/>
        <v>#DIV/0!</v>
      </c>
    </row>
    <row r="198" spans="9:15" x14ac:dyDescent="0.45">
      <c r="I198" s="3" t="str">
        <f t="shared" si="22"/>
        <v/>
      </c>
      <c r="J198" s="3">
        <f t="shared" si="23"/>
        <v>0</v>
      </c>
      <c r="K198" s="3">
        <f t="shared" si="24"/>
        <v>0</v>
      </c>
      <c r="L198" s="3">
        <f t="shared" si="25"/>
        <v>0</v>
      </c>
      <c r="M198" s="3">
        <f t="shared" si="21"/>
        <v>0</v>
      </c>
      <c r="N198" s="40" t="e">
        <f t="shared" si="26"/>
        <v>#DIV/0!</v>
      </c>
      <c r="O198" s="41" t="e">
        <f t="shared" si="27"/>
        <v>#DIV/0!</v>
      </c>
    </row>
    <row r="199" spans="9:15" x14ac:dyDescent="0.45">
      <c r="I199" s="3" t="str">
        <f t="shared" si="22"/>
        <v/>
      </c>
      <c r="J199" s="3">
        <f t="shared" si="23"/>
        <v>0</v>
      </c>
      <c r="K199" s="3">
        <f t="shared" si="24"/>
        <v>0</v>
      </c>
      <c r="L199" s="3">
        <f t="shared" si="25"/>
        <v>0</v>
      </c>
      <c r="M199" s="3">
        <f t="shared" si="21"/>
        <v>0</v>
      </c>
      <c r="N199" s="40" t="e">
        <f t="shared" si="26"/>
        <v>#DIV/0!</v>
      </c>
      <c r="O199" s="41" t="e">
        <f t="shared" si="27"/>
        <v>#DIV/0!</v>
      </c>
    </row>
    <row r="200" spans="9:15" x14ac:dyDescent="0.45">
      <c r="I200" s="3" t="str">
        <f t="shared" si="22"/>
        <v/>
      </c>
      <c r="J200" s="3">
        <f t="shared" si="23"/>
        <v>0</v>
      </c>
      <c r="K200" s="3">
        <f t="shared" si="24"/>
        <v>0</v>
      </c>
      <c r="L200" s="3">
        <f t="shared" si="25"/>
        <v>0</v>
      </c>
      <c r="M200" s="3">
        <f t="shared" si="21"/>
        <v>0</v>
      </c>
      <c r="N200" s="40" t="e">
        <f t="shared" si="26"/>
        <v>#DIV/0!</v>
      </c>
      <c r="O200" s="41" t="e">
        <f t="shared" si="27"/>
        <v>#DIV/0!</v>
      </c>
    </row>
    <row r="201" spans="9:15" x14ac:dyDescent="0.45">
      <c r="I201" s="3" t="str">
        <f t="shared" si="22"/>
        <v/>
      </c>
      <c r="J201" s="3">
        <f t="shared" si="23"/>
        <v>0</v>
      </c>
      <c r="K201" s="3">
        <f t="shared" si="24"/>
        <v>0</v>
      </c>
      <c r="L201" s="3">
        <f t="shared" si="25"/>
        <v>0</v>
      </c>
      <c r="M201" s="3">
        <f t="shared" si="21"/>
        <v>0</v>
      </c>
      <c r="N201" s="40" t="e">
        <f t="shared" si="26"/>
        <v>#DIV/0!</v>
      </c>
      <c r="O201" s="41" t="e">
        <f t="shared" si="27"/>
        <v>#DIV/0!</v>
      </c>
    </row>
    <row r="202" spans="9:15" x14ac:dyDescent="0.45">
      <c r="I202" s="3" t="str">
        <f t="shared" si="22"/>
        <v/>
      </c>
      <c r="J202" s="3">
        <f t="shared" si="23"/>
        <v>0</v>
      </c>
      <c r="K202" s="3">
        <f t="shared" si="24"/>
        <v>0</v>
      </c>
      <c r="L202" s="3">
        <f t="shared" si="25"/>
        <v>0</v>
      </c>
      <c r="M202" s="3">
        <f t="shared" si="21"/>
        <v>0</v>
      </c>
      <c r="N202" s="40" t="e">
        <f t="shared" si="26"/>
        <v>#DIV/0!</v>
      </c>
      <c r="O202" s="41" t="e">
        <f t="shared" si="27"/>
        <v>#DIV/0!</v>
      </c>
    </row>
    <row r="203" spans="9:15" x14ac:dyDescent="0.45">
      <c r="I203" s="3" t="str">
        <f t="shared" si="22"/>
        <v/>
      </c>
      <c r="J203" s="3">
        <f t="shared" si="23"/>
        <v>0</v>
      </c>
      <c r="K203" s="3">
        <f t="shared" si="24"/>
        <v>0</v>
      </c>
      <c r="L203" s="3">
        <f t="shared" si="25"/>
        <v>0</v>
      </c>
      <c r="M203" s="3">
        <f t="shared" si="21"/>
        <v>0</v>
      </c>
      <c r="N203" s="40" t="e">
        <f t="shared" si="26"/>
        <v>#DIV/0!</v>
      </c>
      <c r="O203" s="41" t="e">
        <f t="shared" si="27"/>
        <v>#DIV/0!</v>
      </c>
    </row>
    <row r="204" spans="9:15" x14ac:dyDescent="0.45">
      <c r="I204" s="3" t="str">
        <f t="shared" si="22"/>
        <v/>
      </c>
      <c r="J204" s="3">
        <f t="shared" si="23"/>
        <v>0</v>
      </c>
      <c r="K204" s="3">
        <f t="shared" si="24"/>
        <v>0</v>
      </c>
      <c r="L204" s="3">
        <f t="shared" si="25"/>
        <v>0</v>
      </c>
      <c r="M204" s="3">
        <f t="shared" si="21"/>
        <v>0</v>
      </c>
      <c r="N204" s="40" t="e">
        <f t="shared" si="26"/>
        <v>#DIV/0!</v>
      </c>
      <c r="O204" s="41" t="e">
        <f t="shared" si="27"/>
        <v>#DIV/0!</v>
      </c>
    </row>
    <row r="205" spans="9:15" x14ac:dyDescent="0.45">
      <c r="I205" s="3" t="str">
        <f t="shared" si="22"/>
        <v/>
      </c>
      <c r="J205" s="3">
        <f t="shared" si="23"/>
        <v>0</v>
      </c>
      <c r="K205" s="3">
        <f t="shared" si="24"/>
        <v>0</v>
      </c>
      <c r="L205" s="3">
        <f t="shared" si="25"/>
        <v>0</v>
      </c>
      <c r="M205" s="3">
        <f t="shared" si="21"/>
        <v>0</v>
      </c>
      <c r="N205" s="40" t="e">
        <f t="shared" si="26"/>
        <v>#DIV/0!</v>
      </c>
      <c r="O205" s="41" t="e">
        <f t="shared" si="27"/>
        <v>#DIV/0!</v>
      </c>
    </row>
    <row r="206" spans="9:15" x14ac:dyDescent="0.45">
      <c r="I206" s="3" t="str">
        <f t="shared" si="22"/>
        <v/>
      </c>
      <c r="J206" s="3">
        <f t="shared" si="23"/>
        <v>0</v>
      </c>
      <c r="K206" s="3">
        <f t="shared" si="24"/>
        <v>0</v>
      </c>
      <c r="L206" s="3">
        <f t="shared" si="25"/>
        <v>0</v>
      </c>
      <c r="M206" s="3">
        <f t="shared" si="21"/>
        <v>0</v>
      </c>
      <c r="N206" s="40" t="e">
        <f t="shared" si="26"/>
        <v>#DIV/0!</v>
      </c>
      <c r="O206" s="41" t="e">
        <f t="shared" si="27"/>
        <v>#DIV/0!</v>
      </c>
    </row>
    <row r="207" spans="9:15" x14ac:dyDescent="0.45">
      <c r="I207" s="3" t="str">
        <f t="shared" si="22"/>
        <v/>
      </c>
      <c r="J207" s="3">
        <f t="shared" si="23"/>
        <v>0</v>
      </c>
      <c r="K207" s="3">
        <f t="shared" si="24"/>
        <v>0</v>
      </c>
      <c r="L207" s="3">
        <f t="shared" si="25"/>
        <v>0</v>
      </c>
      <c r="M207" s="3">
        <f t="shared" si="21"/>
        <v>0</v>
      </c>
      <c r="N207" s="40" t="e">
        <f t="shared" si="26"/>
        <v>#DIV/0!</v>
      </c>
      <c r="O207" s="41" t="e">
        <f t="shared" si="27"/>
        <v>#DIV/0!</v>
      </c>
    </row>
    <row r="208" spans="9:15" x14ac:dyDescent="0.45">
      <c r="I208" s="3" t="str">
        <f t="shared" si="22"/>
        <v/>
      </c>
      <c r="J208" s="3">
        <f t="shared" si="23"/>
        <v>0</v>
      </c>
      <c r="K208" s="3">
        <f t="shared" si="24"/>
        <v>0</v>
      </c>
      <c r="L208" s="3">
        <f t="shared" si="25"/>
        <v>0</v>
      </c>
      <c r="M208" s="3">
        <f t="shared" si="21"/>
        <v>0</v>
      </c>
      <c r="N208" s="40" t="e">
        <f t="shared" si="26"/>
        <v>#DIV/0!</v>
      </c>
      <c r="O208" s="41" t="e">
        <f t="shared" si="27"/>
        <v>#DIV/0!</v>
      </c>
    </row>
    <row r="209" spans="9:15" x14ac:dyDescent="0.45">
      <c r="I209" s="3" t="str">
        <f t="shared" si="22"/>
        <v/>
      </c>
      <c r="J209" s="3">
        <f t="shared" si="23"/>
        <v>0</v>
      </c>
      <c r="K209" s="3">
        <f t="shared" si="24"/>
        <v>0</v>
      </c>
      <c r="L209" s="3">
        <f t="shared" si="25"/>
        <v>0</v>
      </c>
      <c r="M209" s="3">
        <f t="shared" si="21"/>
        <v>0</v>
      </c>
      <c r="N209" s="40" t="e">
        <f t="shared" si="26"/>
        <v>#DIV/0!</v>
      </c>
      <c r="O209" s="41" t="e">
        <f t="shared" si="27"/>
        <v>#DIV/0!</v>
      </c>
    </row>
    <row r="210" spans="9:15" x14ac:dyDescent="0.45">
      <c r="I210" s="3" t="str">
        <f t="shared" si="22"/>
        <v/>
      </c>
      <c r="J210" s="3">
        <f t="shared" si="23"/>
        <v>0</v>
      </c>
      <c r="K210" s="3">
        <f t="shared" si="24"/>
        <v>0</v>
      </c>
      <c r="L210" s="3">
        <f t="shared" si="25"/>
        <v>0</v>
      </c>
      <c r="M210" s="3">
        <f t="shared" si="21"/>
        <v>0</v>
      </c>
      <c r="N210" s="40" t="e">
        <f t="shared" si="26"/>
        <v>#DIV/0!</v>
      </c>
      <c r="O210" s="41" t="e">
        <f t="shared" si="27"/>
        <v>#DIV/0!</v>
      </c>
    </row>
    <row r="211" spans="9:15" x14ac:dyDescent="0.45">
      <c r="I211" s="3" t="str">
        <f t="shared" si="22"/>
        <v/>
      </c>
      <c r="J211" s="3">
        <f t="shared" si="23"/>
        <v>0</v>
      </c>
      <c r="K211" s="3">
        <f t="shared" si="24"/>
        <v>0</v>
      </c>
      <c r="L211" s="3">
        <f t="shared" si="25"/>
        <v>0</v>
      </c>
      <c r="M211" s="3">
        <f t="shared" si="21"/>
        <v>0</v>
      </c>
      <c r="N211" s="40" t="e">
        <f t="shared" si="26"/>
        <v>#DIV/0!</v>
      </c>
      <c r="O211" s="41" t="e">
        <f t="shared" si="27"/>
        <v>#DIV/0!</v>
      </c>
    </row>
    <row r="212" spans="9:15" x14ac:dyDescent="0.45">
      <c r="I212" s="3" t="str">
        <f t="shared" si="22"/>
        <v/>
      </c>
      <c r="J212" s="3">
        <f t="shared" si="23"/>
        <v>0</v>
      </c>
      <c r="K212" s="3">
        <f t="shared" si="24"/>
        <v>0</v>
      </c>
      <c r="L212" s="3">
        <f t="shared" si="25"/>
        <v>0</v>
      </c>
      <c r="M212" s="3">
        <f t="shared" si="21"/>
        <v>0</v>
      </c>
      <c r="N212" s="40" t="e">
        <f t="shared" si="26"/>
        <v>#DIV/0!</v>
      </c>
      <c r="O212" s="41" t="e">
        <f t="shared" si="27"/>
        <v>#DIV/0!</v>
      </c>
    </row>
    <row r="213" spans="9:15" x14ac:dyDescent="0.45">
      <c r="I213" s="3" t="str">
        <f t="shared" si="22"/>
        <v/>
      </c>
      <c r="J213" s="3">
        <f t="shared" si="23"/>
        <v>0</v>
      </c>
      <c r="K213" s="3">
        <f t="shared" si="24"/>
        <v>0</v>
      </c>
      <c r="L213" s="3">
        <f t="shared" si="25"/>
        <v>0</v>
      </c>
      <c r="M213" s="3">
        <f t="shared" si="21"/>
        <v>0</v>
      </c>
      <c r="N213" s="40" t="e">
        <f t="shared" si="26"/>
        <v>#DIV/0!</v>
      </c>
      <c r="O213" s="41" t="e">
        <f t="shared" si="27"/>
        <v>#DIV/0!</v>
      </c>
    </row>
    <row r="214" spans="9:15" x14ac:dyDescent="0.45">
      <c r="I214" s="3" t="str">
        <f t="shared" si="22"/>
        <v/>
      </c>
      <c r="J214" s="3">
        <f t="shared" si="23"/>
        <v>0</v>
      </c>
      <c r="K214" s="3">
        <f t="shared" si="24"/>
        <v>0</v>
      </c>
      <c r="L214" s="3">
        <f t="shared" si="25"/>
        <v>0</v>
      </c>
      <c r="M214" s="3">
        <f t="shared" si="21"/>
        <v>0</v>
      </c>
      <c r="N214" s="40" t="e">
        <f t="shared" si="26"/>
        <v>#DIV/0!</v>
      </c>
      <c r="O214" s="41" t="e">
        <f t="shared" si="27"/>
        <v>#DIV/0!</v>
      </c>
    </row>
    <row r="215" spans="9:15" x14ac:dyDescent="0.45">
      <c r="I215" s="3" t="str">
        <f t="shared" si="22"/>
        <v/>
      </c>
      <c r="J215" s="3">
        <f t="shared" si="23"/>
        <v>0</v>
      </c>
      <c r="K215" s="3">
        <f t="shared" si="24"/>
        <v>0</v>
      </c>
      <c r="L215" s="3">
        <f t="shared" si="25"/>
        <v>0</v>
      </c>
      <c r="M215" s="3">
        <f t="shared" si="21"/>
        <v>0</v>
      </c>
      <c r="N215" s="40" t="e">
        <f t="shared" si="26"/>
        <v>#DIV/0!</v>
      </c>
      <c r="O215" s="41" t="e">
        <f t="shared" si="27"/>
        <v>#DIV/0!</v>
      </c>
    </row>
    <row r="216" spans="9:15" x14ac:dyDescent="0.45">
      <c r="I216" s="3" t="str">
        <f t="shared" si="22"/>
        <v/>
      </c>
      <c r="J216" s="3">
        <f t="shared" si="23"/>
        <v>0</v>
      </c>
      <c r="K216" s="3">
        <f t="shared" si="24"/>
        <v>0</v>
      </c>
      <c r="L216" s="3">
        <f t="shared" si="25"/>
        <v>0</v>
      </c>
      <c r="M216" s="3">
        <f t="shared" si="21"/>
        <v>0</v>
      </c>
      <c r="N216" s="40" t="e">
        <f t="shared" si="26"/>
        <v>#DIV/0!</v>
      </c>
      <c r="O216" s="41" t="e">
        <f t="shared" si="27"/>
        <v>#DIV/0!</v>
      </c>
    </row>
    <row r="217" spans="9:15" x14ac:dyDescent="0.45">
      <c r="I217" s="3" t="str">
        <f t="shared" si="22"/>
        <v/>
      </c>
      <c r="J217" s="3">
        <f t="shared" si="23"/>
        <v>0</v>
      </c>
      <c r="K217" s="3">
        <f t="shared" si="24"/>
        <v>0</v>
      </c>
      <c r="L217" s="3">
        <f t="shared" si="25"/>
        <v>0</v>
      </c>
      <c r="M217" s="3">
        <f t="shared" si="21"/>
        <v>0</v>
      </c>
      <c r="N217" s="40" t="e">
        <f t="shared" si="26"/>
        <v>#DIV/0!</v>
      </c>
      <c r="O217" s="41" t="e">
        <f t="shared" si="27"/>
        <v>#DIV/0!</v>
      </c>
    </row>
    <row r="218" spans="9:15" x14ac:dyDescent="0.45">
      <c r="I218" s="3" t="str">
        <f t="shared" si="22"/>
        <v/>
      </c>
      <c r="J218" s="3">
        <f t="shared" si="23"/>
        <v>0</v>
      </c>
      <c r="K218" s="3">
        <f t="shared" si="24"/>
        <v>0</v>
      </c>
      <c r="L218" s="3">
        <f t="shared" si="25"/>
        <v>0</v>
      </c>
      <c r="M218" s="3">
        <f t="shared" si="21"/>
        <v>0</v>
      </c>
      <c r="N218" s="40" t="e">
        <f t="shared" si="26"/>
        <v>#DIV/0!</v>
      </c>
      <c r="O218" s="41" t="e">
        <f t="shared" si="27"/>
        <v>#DIV/0!</v>
      </c>
    </row>
    <row r="219" spans="9:15" x14ac:dyDescent="0.45">
      <c r="I219" s="3" t="str">
        <f t="shared" si="22"/>
        <v/>
      </c>
      <c r="J219" s="3">
        <f t="shared" si="23"/>
        <v>0</v>
      </c>
      <c r="K219" s="3">
        <f t="shared" si="24"/>
        <v>0</v>
      </c>
      <c r="L219" s="3">
        <f t="shared" si="25"/>
        <v>0</v>
      </c>
      <c r="M219" s="3">
        <f t="shared" si="21"/>
        <v>0</v>
      </c>
      <c r="N219" s="40" t="e">
        <f t="shared" si="26"/>
        <v>#DIV/0!</v>
      </c>
      <c r="O219" s="41" t="e">
        <f t="shared" si="27"/>
        <v>#DIV/0!</v>
      </c>
    </row>
    <row r="220" spans="9:15" x14ac:dyDescent="0.45">
      <c r="I220" s="3" t="str">
        <f t="shared" si="22"/>
        <v/>
      </c>
      <c r="J220" s="3">
        <f t="shared" si="23"/>
        <v>0</v>
      </c>
      <c r="K220" s="3">
        <f t="shared" si="24"/>
        <v>0</v>
      </c>
      <c r="L220" s="3">
        <f t="shared" si="25"/>
        <v>0</v>
      </c>
      <c r="M220" s="3">
        <f t="shared" si="21"/>
        <v>0</v>
      </c>
      <c r="N220" s="40" t="e">
        <f t="shared" si="26"/>
        <v>#DIV/0!</v>
      </c>
      <c r="O220" s="41" t="e">
        <f t="shared" si="27"/>
        <v>#DIV/0!</v>
      </c>
    </row>
    <row r="221" spans="9:15" x14ac:dyDescent="0.45">
      <c r="I221" s="3" t="str">
        <f t="shared" si="22"/>
        <v/>
      </c>
      <c r="J221" s="3">
        <f t="shared" si="23"/>
        <v>0</v>
      </c>
      <c r="K221" s="3">
        <f t="shared" si="24"/>
        <v>0</v>
      </c>
      <c r="L221" s="3">
        <f t="shared" si="25"/>
        <v>0</v>
      </c>
      <c r="M221" s="3">
        <f t="shared" si="21"/>
        <v>0</v>
      </c>
      <c r="N221" s="40" t="e">
        <f t="shared" si="26"/>
        <v>#DIV/0!</v>
      </c>
      <c r="O221" s="41" t="e">
        <f t="shared" si="27"/>
        <v>#DIV/0!</v>
      </c>
    </row>
    <row r="222" spans="9:15" x14ac:dyDescent="0.45">
      <c r="I222" s="3" t="str">
        <f t="shared" si="22"/>
        <v/>
      </c>
      <c r="J222" s="3">
        <f t="shared" si="23"/>
        <v>0</v>
      </c>
      <c r="K222" s="3">
        <f t="shared" si="24"/>
        <v>0</v>
      </c>
      <c r="L222" s="3">
        <f t="shared" si="25"/>
        <v>0</v>
      </c>
      <c r="M222" s="3">
        <f t="shared" si="21"/>
        <v>0</v>
      </c>
      <c r="N222" s="40" t="e">
        <f t="shared" si="26"/>
        <v>#DIV/0!</v>
      </c>
      <c r="O222" s="41" t="e">
        <f t="shared" si="27"/>
        <v>#DIV/0!</v>
      </c>
    </row>
    <row r="223" spans="9:15" x14ac:dyDescent="0.45">
      <c r="I223" s="3" t="str">
        <f t="shared" si="22"/>
        <v/>
      </c>
      <c r="J223" s="3">
        <f t="shared" si="23"/>
        <v>0</v>
      </c>
      <c r="K223" s="3">
        <f t="shared" si="24"/>
        <v>0</v>
      </c>
      <c r="L223" s="3">
        <f t="shared" si="25"/>
        <v>0</v>
      </c>
      <c r="M223" s="3">
        <f t="shared" si="21"/>
        <v>0</v>
      </c>
      <c r="N223" s="40" t="e">
        <f t="shared" si="26"/>
        <v>#DIV/0!</v>
      </c>
      <c r="O223" s="41" t="e">
        <f t="shared" si="27"/>
        <v>#DIV/0!</v>
      </c>
    </row>
    <row r="224" spans="9:15" x14ac:dyDescent="0.45">
      <c r="I224" s="3" t="str">
        <f t="shared" si="22"/>
        <v/>
      </c>
      <c r="J224" s="3">
        <f t="shared" si="23"/>
        <v>0</v>
      </c>
      <c r="K224" s="3">
        <f t="shared" si="24"/>
        <v>0</v>
      </c>
      <c r="L224" s="3">
        <f t="shared" si="25"/>
        <v>0</v>
      </c>
      <c r="M224" s="3">
        <f t="shared" si="21"/>
        <v>0</v>
      </c>
      <c r="N224" s="40" t="e">
        <f t="shared" si="26"/>
        <v>#DIV/0!</v>
      </c>
      <c r="O224" s="41" t="e">
        <f t="shared" si="27"/>
        <v>#DIV/0!</v>
      </c>
    </row>
    <row r="225" spans="9:15" x14ac:dyDescent="0.45">
      <c r="I225" s="3" t="str">
        <f t="shared" si="22"/>
        <v/>
      </c>
      <c r="J225" s="3">
        <f t="shared" si="23"/>
        <v>0</v>
      </c>
      <c r="K225" s="3">
        <f t="shared" si="24"/>
        <v>0</v>
      </c>
      <c r="L225" s="3">
        <f t="shared" si="25"/>
        <v>0</v>
      </c>
      <c r="M225" s="3">
        <f t="shared" si="21"/>
        <v>0</v>
      </c>
      <c r="N225" s="40" t="e">
        <f t="shared" si="26"/>
        <v>#DIV/0!</v>
      </c>
      <c r="O225" s="41" t="e">
        <f t="shared" si="27"/>
        <v>#DIV/0!</v>
      </c>
    </row>
    <row r="226" spans="9:15" x14ac:dyDescent="0.45">
      <c r="I226" s="3" t="str">
        <f t="shared" si="22"/>
        <v/>
      </c>
      <c r="J226" s="3">
        <f t="shared" si="23"/>
        <v>0</v>
      </c>
      <c r="K226" s="3">
        <f t="shared" si="24"/>
        <v>0</v>
      </c>
      <c r="L226" s="3">
        <f t="shared" si="25"/>
        <v>0</v>
      </c>
      <c r="M226" s="3">
        <f t="shared" si="21"/>
        <v>0</v>
      </c>
      <c r="N226" s="40" t="e">
        <f t="shared" si="26"/>
        <v>#DIV/0!</v>
      </c>
      <c r="O226" s="41" t="e">
        <f t="shared" si="27"/>
        <v>#DIV/0!</v>
      </c>
    </row>
    <row r="227" spans="9:15" x14ac:dyDescent="0.45">
      <c r="I227" s="3" t="str">
        <f t="shared" si="22"/>
        <v/>
      </c>
      <c r="J227" s="3">
        <f t="shared" si="23"/>
        <v>0</v>
      </c>
      <c r="K227" s="3">
        <f t="shared" si="24"/>
        <v>0</v>
      </c>
      <c r="L227" s="3">
        <f t="shared" si="25"/>
        <v>0</v>
      </c>
      <c r="M227" s="3">
        <f t="shared" si="21"/>
        <v>0</v>
      </c>
      <c r="N227" s="40" t="e">
        <f t="shared" si="26"/>
        <v>#DIV/0!</v>
      </c>
      <c r="O227" s="41" t="e">
        <f t="shared" si="27"/>
        <v>#DIV/0!</v>
      </c>
    </row>
    <row r="228" spans="9:15" x14ac:dyDescent="0.45">
      <c r="I228" s="3" t="str">
        <f t="shared" si="22"/>
        <v/>
      </c>
      <c r="J228" s="3">
        <f t="shared" si="23"/>
        <v>0</v>
      </c>
      <c r="K228" s="3">
        <f t="shared" si="24"/>
        <v>0</v>
      </c>
      <c r="L228" s="3">
        <f t="shared" si="25"/>
        <v>0</v>
      </c>
      <c r="M228" s="3">
        <f t="shared" si="21"/>
        <v>0</v>
      </c>
      <c r="N228" s="40" t="e">
        <f t="shared" si="26"/>
        <v>#DIV/0!</v>
      </c>
      <c r="O228" s="41" t="e">
        <f t="shared" si="27"/>
        <v>#DIV/0!</v>
      </c>
    </row>
    <row r="229" spans="9:15" x14ac:dyDescent="0.45">
      <c r="I229" s="3" t="str">
        <f t="shared" si="22"/>
        <v/>
      </c>
      <c r="J229" s="3">
        <f t="shared" si="23"/>
        <v>0</v>
      </c>
      <c r="K229" s="3">
        <f t="shared" si="24"/>
        <v>0</v>
      </c>
      <c r="L229" s="3">
        <f t="shared" si="25"/>
        <v>0</v>
      </c>
      <c r="M229" s="3">
        <f t="shared" si="21"/>
        <v>0</v>
      </c>
      <c r="N229" s="40" t="e">
        <f t="shared" si="26"/>
        <v>#DIV/0!</v>
      </c>
      <c r="O229" s="41" t="e">
        <f t="shared" si="27"/>
        <v>#DIV/0!</v>
      </c>
    </row>
    <row r="230" spans="9:15" x14ac:dyDescent="0.45">
      <c r="I230" s="3" t="str">
        <f t="shared" si="22"/>
        <v/>
      </c>
      <c r="J230" s="3">
        <f t="shared" si="23"/>
        <v>0</v>
      </c>
      <c r="K230" s="3">
        <f t="shared" si="24"/>
        <v>0</v>
      </c>
      <c r="L230" s="3">
        <f t="shared" si="25"/>
        <v>0</v>
      </c>
      <c r="M230" s="3">
        <f t="shared" si="21"/>
        <v>0</v>
      </c>
      <c r="N230" s="40" t="e">
        <f t="shared" si="26"/>
        <v>#DIV/0!</v>
      </c>
      <c r="O230" s="41" t="e">
        <f t="shared" si="27"/>
        <v>#DIV/0!</v>
      </c>
    </row>
    <row r="231" spans="9:15" x14ac:dyDescent="0.45">
      <c r="I231" s="3" t="str">
        <f t="shared" si="22"/>
        <v/>
      </c>
      <c r="J231" s="3">
        <f t="shared" si="23"/>
        <v>0</v>
      </c>
      <c r="K231" s="3">
        <f t="shared" si="24"/>
        <v>0</v>
      </c>
      <c r="L231" s="3">
        <f t="shared" si="25"/>
        <v>0</v>
      </c>
      <c r="M231" s="3">
        <f t="shared" si="21"/>
        <v>0</v>
      </c>
      <c r="N231" s="40" t="e">
        <f t="shared" si="26"/>
        <v>#DIV/0!</v>
      </c>
      <c r="O231" s="41" t="e">
        <f t="shared" si="27"/>
        <v>#DIV/0!</v>
      </c>
    </row>
    <row r="232" spans="9:15" x14ac:dyDescent="0.45">
      <c r="I232" s="3" t="str">
        <f t="shared" si="22"/>
        <v/>
      </c>
      <c r="J232" s="3">
        <f t="shared" si="23"/>
        <v>0</v>
      </c>
      <c r="K232" s="3">
        <f t="shared" si="24"/>
        <v>0</v>
      </c>
      <c r="L232" s="3">
        <f t="shared" si="25"/>
        <v>0</v>
      </c>
      <c r="M232" s="3">
        <f t="shared" si="21"/>
        <v>0</v>
      </c>
      <c r="N232" s="40" t="e">
        <f t="shared" si="26"/>
        <v>#DIV/0!</v>
      </c>
      <c r="O232" s="41" t="e">
        <f t="shared" si="27"/>
        <v>#DIV/0!</v>
      </c>
    </row>
    <row r="233" spans="9:15" x14ac:dyDescent="0.45">
      <c r="I233" s="3" t="str">
        <f t="shared" si="22"/>
        <v/>
      </c>
      <c r="J233" s="3">
        <f t="shared" si="23"/>
        <v>0</v>
      </c>
      <c r="K233" s="3">
        <f t="shared" si="24"/>
        <v>0</v>
      </c>
      <c r="L233" s="3">
        <f t="shared" si="25"/>
        <v>0</v>
      </c>
      <c r="M233" s="3">
        <f t="shared" si="21"/>
        <v>0</v>
      </c>
      <c r="N233" s="40" t="e">
        <f t="shared" si="26"/>
        <v>#DIV/0!</v>
      </c>
      <c r="O233" s="41" t="e">
        <f t="shared" si="27"/>
        <v>#DIV/0!</v>
      </c>
    </row>
    <row r="234" spans="9:15" x14ac:dyDescent="0.45">
      <c r="I234" s="3" t="str">
        <f t="shared" si="22"/>
        <v/>
      </c>
      <c r="J234" s="3">
        <f t="shared" si="23"/>
        <v>0</v>
      </c>
      <c r="K234" s="3">
        <f t="shared" si="24"/>
        <v>0</v>
      </c>
      <c r="L234" s="3">
        <f t="shared" si="25"/>
        <v>0</v>
      </c>
      <c r="M234" s="3">
        <f t="shared" si="21"/>
        <v>0</v>
      </c>
      <c r="N234" s="40" t="e">
        <f t="shared" si="26"/>
        <v>#DIV/0!</v>
      </c>
      <c r="O234" s="41" t="e">
        <f t="shared" si="27"/>
        <v>#DIV/0!</v>
      </c>
    </row>
    <row r="235" spans="9:15" x14ac:dyDescent="0.45">
      <c r="I235" s="3" t="str">
        <f t="shared" si="22"/>
        <v/>
      </c>
      <c r="J235" s="3">
        <f t="shared" si="23"/>
        <v>0</v>
      </c>
      <c r="K235" s="3">
        <f t="shared" si="24"/>
        <v>0</v>
      </c>
      <c r="L235" s="3">
        <f t="shared" si="25"/>
        <v>0</v>
      </c>
      <c r="M235" s="3">
        <f t="shared" si="21"/>
        <v>0</v>
      </c>
      <c r="N235" s="40" t="e">
        <f t="shared" si="26"/>
        <v>#DIV/0!</v>
      </c>
      <c r="O235" s="41" t="e">
        <f t="shared" si="27"/>
        <v>#DIV/0!</v>
      </c>
    </row>
    <row r="236" spans="9:15" x14ac:dyDescent="0.45">
      <c r="I236" s="3" t="str">
        <f t="shared" si="22"/>
        <v/>
      </c>
      <c r="J236" s="3">
        <f t="shared" si="23"/>
        <v>0</v>
      </c>
      <c r="K236" s="3">
        <f t="shared" si="24"/>
        <v>0</v>
      </c>
      <c r="L236" s="3">
        <f t="shared" si="25"/>
        <v>0</v>
      </c>
      <c r="M236" s="3">
        <f t="shared" si="21"/>
        <v>0</v>
      </c>
      <c r="N236" s="40" t="e">
        <f t="shared" si="26"/>
        <v>#DIV/0!</v>
      </c>
      <c r="O236" s="41" t="e">
        <f t="shared" si="27"/>
        <v>#DIV/0!</v>
      </c>
    </row>
    <row r="237" spans="9:15" x14ac:dyDescent="0.45">
      <c r="I237" s="3" t="str">
        <f t="shared" si="22"/>
        <v/>
      </c>
      <c r="J237" s="3">
        <f t="shared" si="23"/>
        <v>0</v>
      </c>
      <c r="K237" s="3">
        <f t="shared" si="24"/>
        <v>0</v>
      </c>
      <c r="L237" s="3">
        <f t="shared" si="25"/>
        <v>0</v>
      </c>
      <c r="M237" s="3">
        <f t="shared" si="21"/>
        <v>0</v>
      </c>
      <c r="N237" s="40" t="e">
        <f t="shared" si="26"/>
        <v>#DIV/0!</v>
      </c>
      <c r="O237" s="41" t="e">
        <f t="shared" si="27"/>
        <v>#DIV/0!</v>
      </c>
    </row>
    <row r="238" spans="9:15" x14ac:dyDescent="0.45">
      <c r="I238" s="3" t="str">
        <f t="shared" si="22"/>
        <v/>
      </c>
      <c r="J238" s="3">
        <f t="shared" si="23"/>
        <v>0</v>
      </c>
      <c r="K238" s="3">
        <f t="shared" si="24"/>
        <v>0</v>
      </c>
      <c r="L238" s="3">
        <f t="shared" si="25"/>
        <v>0</v>
      </c>
      <c r="M238" s="3">
        <f t="shared" si="21"/>
        <v>0</v>
      </c>
      <c r="N238" s="40" t="e">
        <f t="shared" si="26"/>
        <v>#DIV/0!</v>
      </c>
      <c r="O238" s="41" t="e">
        <f t="shared" si="27"/>
        <v>#DIV/0!</v>
      </c>
    </row>
    <row r="239" spans="9:15" x14ac:dyDescent="0.45">
      <c r="I239" s="3" t="str">
        <f t="shared" si="22"/>
        <v/>
      </c>
      <c r="J239" s="3">
        <f t="shared" si="23"/>
        <v>0</v>
      </c>
      <c r="K239" s="3">
        <f t="shared" si="24"/>
        <v>0</v>
      </c>
      <c r="L239" s="3">
        <f t="shared" si="25"/>
        <v>0</v>
      </c>
      <c r="M239" s="3">
        <f t="shared" si="21"/>
        <v>0</v>
      </c>
      <c r="N239" s="40" t="e">
        <f t="shared" si="26"/>
        <v>#DIV/0!</v>
      </c>
      <c r="O239" s="41" t="e">
        <f t="shared" si="27"/>
        <v>#DIV/0!</v>
      </c>
    </row>
    <row r="240" spans="9:15" x14ac:dyDescent="0.45">
      <c r="I240" s="3" t="str">
        <f t="shared" si="22"/>
        <v/>
      </c>
      <c r="J240" s="3">
        <f t="shared" si="23"/>
        <v>0</v>
      </c>
      <c r="K240" s="3">
        <f t="shared" si="24"/>
        <v>0</v>
      </c>
      <c r="L240" s="3">
        <f t="shared" si="25"/>
        <v>0</v>
      </c>
      <c r="M240" s="3">
        <f t="shared" si="21"/>
        <v>0</v>
      </c>
      <c r="N240" s="40" t="e">
        <f t="shared" si="26"/>
        <v>#DIV/0!</v>
      </c>
      <c r="O240" s="41" t="e">
        <f t="shared" si="27"/>
        <v>#DIV/0!</v>
      </c>
    </row>
    <row r="241" spans="9:15" x14ac:dyDescent="0.45">
      <c r="I241" s="3" t="str">
        <f t="shared" si="22"/>
        <v/>
      </c>
      <c r="J241" s="3">
        <f t="shared" si="23"/>
        <v>0</v>
      </c>
      <c r="K241" s="3">
        <f t="shared" si="24"/>
        <v>0</v>
      </c>
      <c r="L241" s="3">
        <f t="shared" si="25"/>
        <v>0</v>
      </c>
      <c r="M241" s="3">
        <f t="shared" si="21"/>
        <v>0</v>
      </c>
      <c r="N241" s="40" t="e">
        <f t="shared" si="26"/>
        <v>#DIV/0!</v>
      </c>
      <c r="O241" s="41" t="e">
        <f t="shared" si="27"/>
        <v>#DIV/0!</v>
      </c>
    </row>
    <row r="242" spans="9:15" x14ac:dyDescent="0.45">
      <c r="I242" s="3" t="str">
        <f t="shared" si="22"/>
        <v/>
      </c>
      <c r="J242" s="3">
        <f t="shared" si="23"/>
        <v>0</v>
      </c>
      <c r="K242" s="3">
        <f t="shared" si="24"/>
        <v>0</v>
      </c>
      <c r="L242" s="3">
        <f t="shared" si="25"/>
        <v>0</v>
      </c>
      <c r="M242" s="3">
        <f t="shared" si="21"/>
        <v>0</v>
      </c>
      <c r="N242" s="40" t="e">
        <f t="shared" si="26"/>
        <v>#DIV/0!</v>
      </c>
      <c r="O242" s="41" t="e">
        <f t="shared" si="27"/>
        <v>#DIV/0!</v>
      </c>
    </row>
    <row r="243" spans="9:15" x14ac:dyDescent="0.45">
      <c r="I243" s="3" t="str">
        <f t="shared" si="22"/>
        <v/>
      </c>
      <c r="J243" s="3">
        <f t="shared" si="23"/>
        <v>0</v>
      </c>
      <c r="K243" s="3">
        <f t="shared" si="24"/>
        <v>0</v>
      </c>
      <c r="L243" s="3">
        <f t="shared" si="25"/>
        <v>0</v>
      </c>
      <c r="M243" s="3">
        <f t="shared" si="21"/>
        <v>0</v>
      </c>
      <c r="N243" s="40" t="e">
        <f t="shared" si="26"/>
        <v>#DIV/0!</v>
      </c>
      <c r="O243" s="41" t="e">
        <f t="shared" si="27"/>
        <v>#DIV/0!</v>
      </c>
    </row>
    <row r="244" spans="9:15" x14ac:dyDescent="0.45">
      <c r="I244" s="3" t="str">
        <f t="shared" si="22"/>
        <v/>
      </c>
      <c r="J244" s="3">
        <f t="shared" si="23"/>
        <v>0</v>
      </c>
      <c r="K244" s="3">
        <f t="shared" si="24"/>
        <v>0</v>
      </c>
      <c r="L244" s="3">
        <f t="shared" si="25"/>
        <v>0</v>
      </c>
      <c r="M244" s="3">
        <f t="shared" si="21"/>
        <v>0</v>
      </c>
      <c r="N244" s="40" t="e">
        <f t="shared" si="26"/>
        <v>#DIV/0!</v>
      </c>
      <c r="O244" s="41" t="e">
        <f t="shared" si="27"/>
        <v>#DIV/0!</v>
      </c>
    </row>
    <row r="245" spans="9:15" x14ac:dyDescent="0.45">
      <c r="I245" s="3" t="str">
        <f t="shared" si="22"/>
        <v/>
      </c>
      <c r="J245" s="3">
        <f t="shared" si="23"/>
        <v>0</v>
      </c>
      <c r="K245" s="3">
        <f t="shared" si="24"/>
        <v>0</v>
      </c>
      <c r="L245" s="3">
        <f t="shared" si="25"/>
        <v>0</v>
      </c>
      <c r="M245" s="3">
        <f t="shared" si="21"/>
        <v>0</v>
      </c>
      <c r="N245" s="40" t="e">
        <f t="shared" si="26"/>
        <v>#DIV/0!</v>
      </c>
      <c r="O245" s="41" t="e">
        <f t="shared" si="27"/>
        <v>#DIV/0!</v>
      </c>
    </row>
    <row r="246" spans="9:15" x14ac:dyDescent="0.45">
      <c r="I246" s="3" t="str">
        <f t="shared" si="22"/>
        <v/>
      </c>
      <c r="J246" s="3">
        <f t="shared" si="23"/>
        <v>0</v>
      </c>
      <c r="K246" s="3">
        <f t="shared" si="24"/>
        <v>0</v>
      </c>
      <c r="L246" s="3">
        <f t="shared" si="25"/>
        <v>0</v>
      </c>
      <c r="M246" s="3">
        <f t="shared" si="21"/>
        <v>0</v>
      </c>
      <c r="N246" s="40" t="e">
        <f t="shared" si="26"/>
        <v>#DIV/0!</v>
      </c>
      <c r="O246" s="41" t="e">
        <f t="shared" si="27"/>
        <v>#DIV/0!</v>
      </c>
    </row>
    <row r="247" spans="9:15" x14ac:dyDescent="0.45">
      <c r="I247" s="3" t="str">
        <f t="shared" si="22"/>
        <v/>
      </c>
      <c r="J247" s="3">
        <f t="shared" si="23"/>
        <v>0</v>
      </c>
      <c r="K247" s="3">
        <f t="shared" si="24"/>
        <v>0</v>
      </c>
      <c r="L247" s="3">
        <f t="shared" si="25"/>
        <v>0</v>
      </c>
      <c r="M247" s="3">
        <f t="shared" si="21"/>
        <v>0</v>
      </c>
      <c r="N247" s="40" t="e">
        <f t="shared" si="26"/>
        <v>#DIV/0!</v>
      </c>
      <c r="O247" s="41" t="e">
        <f t="shared" si="27"/>
        <v>#DIV/0!</v>
      </c>
    </row>
    <row r="248" spans="9:15" x14ac:dyDescent="0.45">
      <c r="I248" s="3" t="str">
        <f t="shared" si="22"/>
        <v/>
      </c>
      <c r="J248" s="3">
        <f t="shared" si="23"/>
        <v>0</v>
      </c>
      <c r="K248" s="3">
        <f t="shared" si="24"/>
        <v>0</v>
      </c>
      <c r="L248" s="3">
        <f t="shared" si="25"/>
        <v>0</v>
      </c>
      <c r="M248" s="3">
        <f t="shared" si="21"/>
        <v>0</v>
      </c>
      <c r="N248" s="40" t="e">
        <f t="shared" si="26"/>
        <v>#DIV/0!</v>
      </c>
      <c r="O248" s="41" t="e">
        <f t="shared" si="27"/>
        <v>#DIV/0!</v>
      </c>
    </row>
    <row r="249" spans="9:15" x14ac:dyDescent="0.45">
      <c r="I249" s="3" t="str">
        <f t="shared" si="22"/>
        <v/>
      </c>
      <c r="J249" s="3">
        <f t="shared" si="23"/>
        <v>0</v>
      </c>
      <c r="K249" s="3">
        <f t="shared" si="24"/>
        <v>0</v>
      </c>
      <c r="L249" s="3">
        <f t="shared" si="25"/>
        <v>0</v>
      </c>
      <c r="M249" s="3">
        <f t="shared" si="21"/>
        <v>0</v>
      </c>
      <c r="N249" s="40" t="e">
        <f t="shared" si="26"/>
        <v>#DIV/0!</v>
      </c>
      <c r="O249" s="41" t="e">
        <f t="shared" si="27"/>
        <v>#DIV/0!</v>
      </c>
    </row>
    <row r="250" spans="9:15" x14ac:dyDescent="0.45">
      <c r="I250" s="3" t="str">
        <f t="shared" si="22"/>
        <v/>
      </c>
      <c r="J250" s="3">
        <f t="shared" si="23"/>
        <v>0</v>
      </c>
      <c r="K250" s="3">
        <f t="shared" si="24"/>
        <v>0</v>
      </c>
      <c r="L250" s="3">
        <f t="shared" si="25"/>
        <v>0</v>
      </c>
      <c r="M250" s="3">
        <f t="shared" si="21"/>
        <v>0</v>
      </c>
      <c r="N250" s="40" t="e">
        <f t="shared" si="26"/>
        <v>#DIV/0!</v>
      </c>
      <c r="O250" s="41" t="e">
        <f t="shared" si="27"/>
        <v>#DIV/0!</v>
      </c>
    </row>
    <row r="251" spans="9:15" x14ac:dyDescent="0.45">
      <c r="I251" s="3" t="str">
        <f t="shared" si="22"/>
        <v/>
      </c>
      <c r="J251" s="3">
        <f t="shared" si="23"/>
        <v>0</v>
      </c>
      <c r="K251" s="3">
        <f t="shared" si="24"/>
        <v>0</v>
      </c>
      <c r="L251" s="3">
        <f t="shared" si="25"/>
        <v>0</v>
      </c>
      <c r="M251" s="3">
        <f t="shared" si="21"/>
        <v>0</v>
      </c>
      <c r="N251" s="40" t="e">
        <f t="shared" si="26"/>
        <v>#DIV/0!</v>
      </c>
      <c r="O251" s="41" t="e">
        <f t="shared" si="27"/>
        <v>#DIV/0!</v>
      </c>
    </row>
    <row r="252" spans="9:15" x14ac:dyDescent="0.45">
      <c r="I252" s="3" t="str">
        <f t="shared" si="22"/>
        <v/>
      </c>
      <c r="J252" s="3">
        <f t="shared" si="23"/>
        <v>0</v>
      </c>
      <c r="K252" s="3">
        <f t="shared" si="24"/>
        <v>0</v>
      </c>
      <c r="L252" s="3">
        <f t="shared" si="25"/>
        <v>0</v>
      </c>
      <c r="M252" s="3">
        <f t="shared" si="21"/>
        <v>0</v>
      </c>
      <c r="N252" s="40" t="e">
        <f t="shared" si="26"/>
        <v>#DIV/0!</v>
      </c>
      <c r="O252" s="41" t="e">
        <f t="shared" si="27"/>
        <v>#DIV/0!</v>
      </c>
    </row>
    <row r="253" spans="9:15" x14ac:dyDescent="0.45">
      <c r="I253" s="3" t="str">
        <f t="shared" si="22"/>
        <v/>
      </c>
      <c r="J253" s="3">
        <f t="shared" si="23"/>
        <v>0</v>
      </c>
      <c r="K253" s="3">
        <f t="shared" si="24"/>
        <v>0</v>
      </c>
      <c r="L253" s="3">
        <f t="shared" si="25"/>
        <v>0</v>
      </c>
      <c r="M253" s="3">
        <f t="shared" si="21"/>
        <v>0</v>
      </c>
      <c r="N253" s="40" t="e">
        <f t="shared" si="26"/>
        <v>#DIV/0!</v>
      </c>
      <c r="O253" s="41" t="e">
        <f t="shared" si="27"/>
        <v>#DIV/0!</v>
      </c>
    </row>
    <row r="254" spans="9:15" x14ac:dyDescent="0.45">
      <c r="I254" s="3" t="str">
        <f t="shared" si="22"/>
        <v/>
      </c>
      <c r="J254" s="3">
        <f t="shared" si="23"/>
        <v>0</v>
      </c>
      <c r="K254" s="3">
        <f t="shared" si="24"/>
        <v>0</v>
      </c>
      <c r="L254" s="3">
        <f t="shared" si="25"/>
        <v>0</v>
      </c>
      <c r="M254" s="3">
        <f t="shared" si="21"/>
        <v>0</v>
      </c>
      <c r="N254" s="40" t="e">
        <f t="shared" si="26"/>
        <v>#DIV/0!</v>
      </c>
      <c r="O254" s="41" t="e">
        <f t="shared" si="27"/>
        <v>#DIV/0!</v>
      </c>
    </row>
    <row r="255" spans="9:15" x14ac:dyDescent="0.45">
      <c r="I255" s="3" t="str">
        <f t="shared" si="22"/>
        <v/>
      </c>
      <c r="J255" s="3">
        <f t="shared" si="23"/>
        <v>0</v>
      </c>
      <c r="K255" s="3">
        <f t="shared" si="24"/>
        <v>0</v>
      </c>
      <c r="L255" s="3">
        <f t="shared" si="25"/>
        <v>0</v>
      </c>
      <c r="M255" s="3">
        <f t="shared" si="21"/>
        <v>0</v>
      </c>
      <c r="N255" s="40" t="e">
        <f t="shared" si="26"/>
        <v>#DIV/0!</v>
      </c>
      <c r="O255" s="41" t="e">
        <f t="shared" si="27"/>
        <v>#DIV/0!</v>
      </c>
    </row>
    <row r="256" spans="9:15" x14ac:dyDescent="0.45">
      <c r="I256" s="3" t="str">
        <f t="shared" si="22"/>
        <v/>
      </c>
      <c r="J256" s="3">
        <f t="shared" si="23"/>
        <v>0</v>
      </c>
      <c r="K256" s="3">
        <f t="shared" si="24"/>
        <v>0</v>
      </c>
      <c r="L256" s="3">
        <f t="shared" si="25"/>
        <v>0</v>
      </c>
      <c r="M256" s="3">
        <f t="shared" si="21"/>
        <v>0</v>
      </c>
      <c r="N256" s="40" t="e">
        <f t="shared" si="26"/>
        <v>#DIV/0!</v>
      </c>
      <c r="O256" s="41" t="e">
        <f t="shared" si="27"/>
        <v>#DIV/0!</v>
      </c>
    </row>
    <row r="257" spans="9:15" x14ac:dyDescent="0.45">
      <c r="I257" s="3" t="str">
        <f t="shared" si="22"/>
        <v/>
      </c>
      <c r="J257" s="3">
        <f t="shared" si="23"/>
        <v>0</v>
      </c>
      <c r="K257" s="3">
        <f t="shared" si="24"/>
        <v>0</v>
      </c>
      <c r="L257" s="3">
        <f t="shared" si="25"/>
        <v>0</v>
      </c>
      <c r="M257" s="3">
        <f t="shared" si="21"/>
        <v>0</v>
      </c>
      <c r="N257" s="40" t="e">
        <f t="shared" si="26"/>
        <v>#DIV/0!</v>
      </c>
      <c r="O257" s="41" t="e">
        <f t="shared" si="27"/>
        <v>#DIV/0!</v>
      </c>
    </row>
    <row r="258" spans="9:15" x14ac:dyDescent="0.45">
      <c r="I258" s="3" t="str">
        <f t="shared" si="22"/>
        <v/>
      </c>
      <c r="J258" s="3">
        <f t="shared" si="23"/>
        <v>0</v>
      </c>
      <c r="K258" s="3">
        <f t="shared" si="24"/>
        <v>0</v>
      </c>
      <c r="L258" s="3">
        <f t="shared" si="25"/>
        <v>0</v>
      </c>
      <c r="M258" s="3">
        <f t="shared" ref="M258:M302" si="28">AVERAGE(L258:L271)</f>
        <v>0</v>
      </c>
      <c r="N258" s="40" t="e">
        <f t="shared" si="26"/>
        <v>#DIV/0!</v>
      </c>
      <c r="O258" s="41" t="e">
        <f t="shared" si="27"/>
        <v>#DIV/0!</v>
      </c>
    </row>
    <row r="259" spans="9:15" x14ac:dyDescent="0.45">
      <c r="I259" s="3" t="str">
        <f t="shared" ref="I259:I302" si="29">IF(B259&gt;0,C259-D259,"")</f>
        <v/>
      </c>
      <c r="J259" s="3">
        <f t="shared" ref="J259:J302" si="30">IF(B259&gt;0,ABS(C259-E260),)</f>
        <v>0</v>
      </c>
      <c r="K259" s="3">
        <f t="shared" ref="K259:K302" si="31">IF(B259&gt;0,ABS(D259-E260),)</f>
        <v>0</v>
      </c>
      <c r="L259" s="3">
        <f t="shared" ref="L259:L302" si="32">MAX(I259:K259)</f>
        <v>0</v>
      </c>
      <c r="M259" s="3">
        <f t="shared" si="28"/>
        <v>0</v>
      </c>
      <c r="N259" s="40" t="e">
        <f t="shared" ref="N259:N302" si="33">M259/B259</f>
        <v>#DIV/0!</v>
      </c>
      <c r="O259" s="41" t="e">
        <f t="shared" ref="O259:O301" si="34">L259/E259</f>
        <v>#DIV/0!</v>
      </c>
    </row>
    <row r="260" spans="9:15" x14ac:dyDescent="0.45">
      <c r="I260" s="3" t="str">
        <f t="shared" si="29"/>
        <v/>
      </c>
      <c r="J260" s="3">
        <f t="shared" si="30"/>
        <v>0</v>
      </c>
      <c r="K260" s="3">
        <f t="shared" si="31"/>
        <v>0</v>
      </c>
      <c r="L260" s="3">
        <f t="shared" si="32"/>
        <v>0</v>
      </c>
      <c r="M260" s="3">
        <f t="shared" si="28"/>
        <v>0</v>
      </c>
      <c r="N260" s="40" t="e">
        <f t="shared" si="33"/>
        <v>#DIV/0!</v>
      </c>
      <c r="O260" s="41" t="e">
        <f t="shared" si="34"/>
        <v>#DIV/0!</v>
      </c>
    </row>
    <row r="261" spans="9:15" x14ac:dyDescent="0.45">
      <c r="I261" s="3" t="str">
        <f t="shared" si="29"/>
        <v/>
      </c>
      <c r="J261" s="3">
        <f t="shared" si="30"/>
        <v>0</v>
      </c>
      <c r="K261" s="3">
        <f t="shared" si="31"/>
        <v>0</v>
      </c>
      <c r="L261" s="3">
        <f t="shared" si="32"/>
        <v>0</v>
      </c>
      <c r="M261" s="3">
        <f t="shared" si="28"/>
        <v>0</v>
      </c>
      <c r="N261" s="40" t="e">
        <f t="shared" si="33"/>
        <v>#DIV/0!</v>
      </c>
      <c r="O261" s="41" t="e">
        <f t="shared" si="34"/>
        <v>#DIV/0!</v>
      </c>
    </row>
    <row r="262" spans="9:15" x14ac:dyDescent="0.45">
      <c r="I262" s="3" t="str">
        <f t="shared" si="29"/>
        <v/>
      </c>
      <c r="J262" s="3">
        <f t="shared" si="30"/>
        <v>0</v>
      </c>
      <c r="K262" s="3">
        <f t="shared" si="31"/>
        <v>0</v>
      </c>
      <c r="L262" s="3">
        <f t="shared" si="32"/>
        <v>0</v>
      </c>
      <c r="M262" s="3">
        <f t="shared" si="28"/>
        <v>0</v>
      </c>
      <c r="N262" s="40" t="e">
        <f t="shared" si="33"/>
        <v>#DIV/0!</v>
      </c>
      <c r="O262" s="41" t="e">
        <f t="shared" si="34"/>
        <v>#DIV/0!</v>
      </c>
    </row>
    <row r="263" spans="9:15" x14ac:dyDescent="0.45">
      <c r="I263" s="3" t="str">
        <f t="shared" si="29"/>
        <v/>
      </c>
      <c r="J263" s="3">
        <f t="shared" si="30"/>
        <v>0</v>
      </c>
      <c r="K263" s="3">
        <f t="shared" si="31"/>
        <v>0</v>
      </c>
      <c r="L263" s="3">
        <f t="shared" si="32"/>
        <v>0</v>
      </c>
      <c r="M263" s="3">
        <f t="shared" si="28"/>
        <v>0</v>
      </c>
      <c r="N263" s="40" t="e">
        <f t="shared" si="33"/>
        <v>#DIV/0!</v>
      </c>
      <c r="O263" s="41" t="e">
        <f t="shared" si="34"/>
        <v>#DIV/0!</v>
      </c>
    </row>
    <row r="264" spans="9:15" x14ac:dyDescent="0.45">
      <c r="I264" s="3" t="str">
        <f t="shared" si="29"/>
        <v/>
      </c>
      <c r="J264" s="3">
        <f t="shared" si="30"/>
        <v>0</v>
      </c>
      <c r="K264" s="3">
        <f t="shared" si="31"/>
        <v>0</v>
      </c>
      <c r="L264" s="3">
        <f t="shared" si="32"/>
        <v>0</v>
      </c>
      <c r="M264" s="3">
        <f t="shared" si="28"/>
        <v>0</v>
      </c>
      <c r="N264" s="40" t="e">
        <f t="shared" si="33"/>
        <v>#DIV/0!</v>
      </c>
      <c r="O264" s="41" t="e">
        <f t="shared" si="34"/>
        <v>#DIV/0!</v>
      </c>
    </row>
    <row r="265" spans="9:15" x14ac:dyDescent="0.45">
      <c r="I265" s="3" t="str">
        <f t="shared" si="29"/>
        <v/>
      </c>
      <c r="J265" s="3">
        <f t="shared" si="30"/>
        <v>0</v>
      </c>
      <c r="K265" s="3">
        <f t="shared" si="31"/>
        <v>0</v>
      </c>
      <c r="L265" s="3">
        <f t="shared" si="32"/>
        <v>0</v>
      </c>
      <c r="M265" s="3">
        <f t="shared" si="28"/>
        <v>0</v>
      </c>
      <c r="N265" s="40" t="e">
        <f t="shared" si="33"/>
        <v>#DIV/0!</v>
      </c>
      <c r="O265" s="41" t="e">
        <f t="shared" si="34"/>
        <v>#DIV/0!</v>
      </c>
    </row>
    <row r="266" spans="9:15" x14ac:dyDescent="0.45">
      <c r="I266" s="3" t="str">
        <f t="shared" si="29"/>
        <v/>
      </c>
      <c r="J266" s="3">
        <f t="shared" si="30"/>
        <v>0</v>
      </c>
      <c r="K266" s="3">
        <f t="shared" si="31"/>
        <v>0</v>
      </c>
      <c r="L266" s="3">
        <f t="shared" si="32"/>
        <v>0</v>
      </c>
      <c r="M266" s="3">
        <f t="shared" si="28"/>
        <v>0</v>
      </c>
      <c r="N266" s="40" t="e">
        <f t="shared" si="33"/>
        <v>#DIV/0!</v>
      </c>
      <c r="O266" s="41" t="e">
        <f t="shared" si="34"/>
        <v>#DIV/0!</v>
      </c>
    </row>
    <row r="267" spans="9:15" x14ac:dyDescent="0.45">
      <c r="I267" s="3" t="str">
        <f t="shared" si="29"/>
        <v/>
      </c>
      <c r="J267" s="3">
        <f t="shared" si="30"/>
        <v>0</v>
      </c>
      <c r="K267" s="3">
        <f t="shared" si="31"/>
        <v>0</v>
      </c>
      <c r="L267" s="3">
        <f t="shared" si="32"/>
        <v>0</v>
      </c>
      <c r="M267" s="3">
        <f t="shared" si="28"/>
        <v>0</v>
      </c>
      <c r="N267" s="40" t="e">
        <f t="shared" si="33"/>
        <v>#DIV/0!</v>
      </c>
      <c r="O267" s="41" t="e">
        <f t="shared" si="34"/>
        <v>#DIV/0!</v>
      </c>
    </row>
    <row r="268" spans="9:15" x14ac:dyDescent="0.45">
      <c r="I268" s="3" t="str">
        <f t="shared" si="29"/>
        <v/>
      </c>
      <c r="J268" s="3">
        <f t="shared" si="30"/>
        <v>0</v>
      </c>
      <c r="K268" s="3">
        <f t="shared" si="31"/>
        <v>0</v>
      </c>
      <c r="L268" s="3">
        <f t="shared" si="32"/>
        <v>0</v>
      </c>
      <c r="M268" s="3">
        <f t="shared" si="28"/>
        <v>0</v>
      </c>
      <c r="N268" s="40" t="e">
        <f t="shared" si="33"/>
        <v>#DIV/0!</v>
      </c>
      <c r="O268" s="41" t="e">
        <f t="shared" si="34"/>
        <v>#DIV/0!</v>
      </c>
    </row>
    <row r="269" spans="9:15" x14ac:dyDescent="0.45">
      <c r="I269" s="3" t="str">
        <f t="shared" si="29"/>
        <v/>
      </c>
      <c r="J269" s="3">
        <f t="shared" si="30"/>
        <v>0</v>
      </c>
      <c r="K269" s="3">
        <f t="shared" si="31"/>
        <v>0</v>
      </c>
      <c r="L269" s="3">
        <f t="shared" si="32"/>
        <v>0</v>
      </c>
      <c r="M269" s="3">
        <f t="shared" si="28"/>
        <v>0</v>
      </c>
      <c r="N269" s="40" t="e">
        <f t="shared" si="33"/>
        <v>#DIV/0!</v>
      </c>
      <c r="O269" s="41" t="e">
        <f t="shared" si="34"/>
        <v>#DIV/0!</v>
      </c>
    </row>
    <row r="270" spans="9:15" x14ac:dyDescent="0.45">
      <c r="I270" s="3" t="str">
        <f t="shared" si="29"/>
        <v/>
      </c>
      <c r="J270" s="3">
        <f t="shared" si="30"/>
        <v>0</v>
      </c>
      <c r="K270" s="3">
        <f t="shared" si="31"/>
        <v>0</v>
      </c>
      <c r="L270" s="3">
        <f t="shared" si="32"/>
        <v>0</v>
      </c>
      <c r="M270" s="3">
        <f t="shared" si="28"/>
        <v>0</v>
      </c>
      <c r="N270" s="40" t="e">
        <f t="shared" si="33"/>
        <v>#DIV/0!</v>
      </c>
      <c r="O270" s="41" t="e">
        <f t="shared" si="34"/>
        <v>#DIV/0!</v>
      </c>
    </row>
    <row r="271" spans="9:15" x14ac:dyDescent="0.45">
      <c r="I271" s="3" t="str">
        <f t="shared" si="29"/>
        <v/>
      </c>
      <c r="J271" s="3">
        <f t="shared" si="30"/>
        <v>0</v>
      </c>
      <c r="K271" s="3">
        <f t="shared" si="31"/>
        <v>0</v>
      </c>
      <c r="L271" s="3">
        <f t="shared" si="32"/>
        <v>0</v>
      </c>
      <c r="M271" s="3">
        <f t="shared" si="28"/>
        <v>0</v>
      </c>
      <c r="N271" s="40" t="e">
        <f t="shared" si="33"/>
        <v>#DIV/0!</v>
      </c>
      <c r="O271" s="41" t="e">
        <f t="shared" si="34"/>
        <v>#DIV/0!</v>
      </c>
    </row>
    <row r="272" spans="9:15" x14ac:dyDescent="0.45">
      <c r="I272" s="3" t="str">
        <f t="shared" si="29"/>
        <v/>
      </c>
      <c r="J272" s="3">
        <f t="shared" si="30"/>
        <v>0</v>
      </c>
      <c r="K272" s="3">
        <f t="shared" si="31"/>
        <v>0</v>
      </c>
      <c r="L272" s="3">
        <f t="shared" si="32"/>
        <v>0</v>
      </c>
      <c r="M272" s="3">
        <f t="shared" si="28"/>
        <v>0</v>
      </c>
      <c r="N272" s="40" t="e">
        <f t="shared" si="33"/>
        <v>#DIV/0!</v>
      </c>
      <c r="O272" s="41" t="e">
        <f t="shared" si="34"/>
        <v>#DIV/0!</v>
      </c>
    </row>
    <row r="273" spans="9:15" x14ac:dyDescent="0.45">
      <c r="I273" s="3" t="str">
        <f t="shared" si="29"/>
        <v/>
      </c>
      <c r="J273" s="3">
        <f t="shared" si="30"/>
        <v>0</v>
      </c>
      <c r="K273" s="3">
        <f t="shared" si="31"/>
        <v>0</v>
      </c>
      <c r="L273" s="3">
        <f t="shared" si="32"/>
        <v>0</v>
      </c>
      <c r="M273" s="3">
        <f t="shared" si="28"/>
        <v>0</v>
      </c>
      <c r="N273" s="40" t="e">
        <f t="shared" si="33"/>
        <v>#DIV/0!</v>
      </c>
      <c r="O273" s="41" t="e">
        <f t="shared" si="34"/>
        <v>#DIV/0!</v>
      </c>
    </row>
    <row r="274" spans="9:15" x14ac:dyDescent="0.45">
      <c r="I274" s="3" t="str">
        <f t="shared" si="29"/>
        <v/>
      </c>
      <c r="J274" s="3">
        <f t="shared" si="30"/>
        <v>0</v>
      </c>
      <c r="K274" s="3">
        <f t="shared" si="31"/>
        <v>0</v>
      </c>
      <c r="L274" s="3">
        <f t="shared" si="32"/>
        <v>0</v>
      </c>
      <c r="M274" s="3">
        <f t="shared" si="28"/>
        <v>0</v>
      </c>
      <c r="N274" s="40" t="e">
        <f t="shared" si="33"/>
        <v>#DIV/0!</v>
      </c>
      <c r="O274" s="41" t="e">
        <f t="shared" si="34"/>
        <v>#DIV/0!</v>
      </c>
    </row>
    <row r="275" spans="9:15" x14ac:dyDescent="0.45">
      <c r="I275" s="3" t="str">
        <f t="shared" si="29"/>
        <v/>
      </c>
      <c r="J275" s="3">
        <f t="shared" si="30"/>
        <v>0</v>
      </c>
      <c r="K275" s="3">
        <f t="shared" si="31"/>
        <v>0</v>
      </c>
      <c r="L275" s="3">
        <f t="shared" si="32"/>
        <v>0</v>
      </c>
      <c r="M275" s="3">
        <f t="shared" si="28"/>
        <v>0</v>
      </c>
      <c r="N275" s="40" t="e">
        <f t="shared" si="33"/>
        <v>#DIV/0!</v>
      </c>
      <c r="O275" s="41" t="e">
        <f t="shared" si="34"/>
        <v>#DIV/0!</v>
      </c>
    </row>
    <row r="276" spans="9:15" x14ac:dyDescent="0.45">
      <c r="I276" s="3" t="str">
        <f t="shared" si="29"/>
        <v/>
      </c>
      <c r="J276" s="3">
        <f t="shared" si="30"/>
        <v>0</v>
      </c>
      <c r="K276" s="3">
        <f t="shared" si="31"/>
        <v>0</v>
      </c>
      <c r="L276" s="3">
        <f t="shared" si="32"/>
        <v>0</v>
      </c>
      <c r="M276" s="3">
        <f t="shared" si="28"/>
        <v>0</v>
      </c>
      <c r="N276" s="40" t="e">
        <f t="shared" si="33"/>
        <v>#DIV/0!</v>
      </c>
      <c r="O276" s="41" t="e">
        <f t="shared" si="34"/>
        <v>#DIV/0!</v>
      </c>
    </row>
    <row r="277" spans="9:15" x14ac:dyDescent="0.45">
      <c r="I277" s="3" t="str">
        <f t="shared" si="29"/>
        <v/>
      </c>
      <c r="J277" s="3">
        <f t="shared" si="30"/>
        <v>0</v>
      </c>
      <c r="K277" s="3">
        <f t="shared" si="31"/>
        <v>0</v>
      </c>
      <c r="L277" s="3">
        <f t="shared" si="32"/>
        <v>0</v>
      </c>
      <c r="M277" s="3">
        <f t="shared" si="28"/>
        <v>0</v>
      </c>
      <c r="N277" s="40" t="e">
        <f t="shared" si="33"/>
        <v>#DIV/0!</v>
      </c>
      <c r="O277" s="41" t="e">
        <f t="shared" si="34"/>
        <v>#DIV/0!</v>
      </c>
    </row>
    <row r="278" spans="9:15" x14ac:dyDescent="0.45">
      <c r="I278" s="3" t="str">
        <f t="shared" si="29"/>
        <v/>
      </c>
      <c r="J278" s="3">
        <f t="shared" si="30"/>
        <v>0</v>
      </c>
      <c r="K278" s="3">
        <f t="shared" si="31"/>
        <v>0</v>
      </c>
      <c r="L278" s="3">
        <f t="shared" si="32"/>
        <v>0</v>
      </c>
      <c r="M278" s="3">
        <f t="shared" si="28"/>
        <v>0</v>
      </c>
      <c r="N278" s="40" t="e">
        <f t="shared" si="33"/>
        <v>#DIV/0!</v>
      </c>
      <c r="O278" s="41" t="e">
        <f t="shared" si="34"/>
        <v>#DIV/0!</v>
      </c>
    </row>
    <row r="279" spans="9:15" x14ac:dyDescent="0.45">
      <c r="I279" s="3" t="str">
        <f t="shared" si="29"/>
        <v/>
      </c>
      <c r="J279" s="3">
        <f t="shared" si="30"/>
        <v>0</v>
      </c>
      <c r="K279" s="3">
        <f t="shared" si="31"/>
        <v>0</v>
      </c>
      <c r="L279" s="3">
        <f t="shared" si="32"/>
        <v>0</v>
      </c>
      <c r="M279" s="3">
        <f t="shared" si="28"/>
        <v>0</v>
      </c>
      <c r="N279" s="40" t="e">
        <f t="shared" si="33"/>
        <v>#DIV/0!</v>
      </c>
      <c r="O279" s="41" t="e">
        <f t="shared" si="34"/>
        <v>#DIV/0!</v>
      </c>
    </row>
    <row r="280" spans="9:15" x14ac:dyDescent="0.45">
      <c r="I280" s="3" t="str">
        <f t="shared" si="29"/>
        <v/>
      </c>
      <c r="J280" s="3">
        <f t="shared" si="30"/>
        <v>0</v>
      </c>
      <c r="K280" s="3">
        <f t="shared" si="31"/>
        <v>0</v>
      </c>
      <c r="L280" s="3">
        <f t="shared" si="32"/>
        <v>0</v>
      </c>
      <c r="M280" s="3">
        <f t="shared" si="28"/>
        <v>0</v>
      </c>
      <c r="N280" s="40" t="e">
        <f t="shared" si="33"/>
        <v>#DIV/0!</v>
      </c>
      <c r="O280" s="41" t="e">
        <f t="shared" si="34"/>
        <v>#DIV/0!</v>
      </c>
    </row>
    <row r="281" spans="9:15" x14ac:dyDescent="0.45">
      <c r="I281" s="3" t="str">
        <f t="shared" si="29"/>
        <v/>
      </c>
      <c r="J281" s="3">
        <f t="shared" si="30"/>
        <v>0</v>
      </c>
      <c r="K281" s="3">
        <f t="shared" si="31"/>
        <v>0</v>
      </c>
      <c r="L281" s="3">
        <f t="shared" si="32"/>
        <v>0</v>
      </c>
      <c r="M281" s="3">
        <f t="shared" si="28"/>
        <v>0</v>
      </c>
      <c r="N281" s="40" t="e">
        <f t="shared" si="33"/>
        <v>#DIV/0!</v>
      </c>
      <c r="O281" s="41" t="e">
        <f t="shared" si="34"/>
        <v>#DIV/0!</v>
      </c>
    </row>
    <row r="282" spans="9:15" x14ac:dyDescent="0.45">
      <c r="I282" s="3" t="str">
        <f t="shared" si="29"/>
        <v/>
      </c>
      <c r="J282" s="3">
        <f t="shared" si="30"/>
        <v>0</v>
      </c>
      <c r="K282" s="3">
        <f t="shared" si="31"/>
        <v>0</v>
      </c>
      <c r="L282" s="3">
        <f t="shared" si="32"/>
        <v>0</v>
      </c>
      <c r="M282" s="3">
        <f t="shared" si="28"/>
        <v>0</v>
      </c>
      <c r="N282" s="40" t="e">
        <f t="shared" si="33"/>
        <v>#DIV/0!</v>
      </c>
      <c r="O282" s="41" t="e">
        <f t="shared" si="34"/>
        <v>#DIV/0!</v>
      </c>
    </row>
    <row r="283" spans="9:15" x14ac:dyDescent="0.45">
      <c r="I283" s="3" t="str">
        <f t="shared" si="29"/>
        <v/>
      </c>
      <c r="J283" s="3">
        <f t="shared" si="30"/>
        <v>0</v>
      </c>
      <c r="K283" s="3">
        <f t="shared" si="31"/>
        <v>0</v>
      </c>
      <c r="L283" s="3">
        <f t="shared" si="32"/>
        <v>0</v>
      </c>
      <c r="M283" s="3">
        <f t="shared" si="28"/>
        <v>0</v>
      </c>
      <c r="N283" s="40" t="e">
        <f t="shared" si="33"/>
        <v>#DIV/0!</v>
      </c>
      <c r="O283" s="41" t="e">
        <f t="shared" si="34"/>
        <v>#DIV/0!</v>
      </c>
    </row>
    <row r="284" spans="9:15" x14ac:dyDescent="0.45">
      <c r="I284" s="3" t="str">
        <f t="shared" si="29"/>
        <v/>
      </c>
      <c r="J284" s="3">
        <f t="shared" si="30"/>
        <v>0</v>
      </c>
      <c r="K284" s="3">
        <f t="shared" si="31"/>
        <v>0</v>
      </c>
      <c r="L284" s="3">
        <f t="shared" si="32"/>
        <v>0</v>
      </c>
      <c r="M284" s="3">
        <f t="shared" si="28"/>
        <v>0</v>
      </c>
      <c r="N284" s="40" t="e">
        <f t="shared" si="33"/>
        <v>#DIV/0!</v>
      </c>
      <c r="O284" s="41" t="e">
        <f t="shared" si="34"/>
        <v>#DIV/0!</v>
      </c>
    </row>
    <row r="285" spans="9:15" x14ac:dyDescent="0.45">
      <c r="I285" s="3" t="str">
        <f t="shared" si="29"/>
        <v/>
      </c>
      <c r="J285" s="3">
        <f t="shared" si="30"/>
        <v>0</v>
      </c>
      <c r="K285" s="3">
        <f t="shared" si="31"/>
        <v>0</v>
      </c>
      <c r="L285" s="3">
        <f t="shared" si="32"/>
        <v>0</v>
      </c>
      <c r="M285" s="3">
        <f t="shared" si="28"/>
        <v>0</v>
      </c>
      <c r="N285" s="40" t="e">
        <f t="shared" si="33"/>
        <v>#DIV/0!</v>
      </c>
      <c r="O285" s="41" t="e">
        <f t="shared" si="34"/>
        <v>#DIV/0!</v>
      </c>
    </row>
    <row r="286" spans="9:15" x14ac:dyDescent="0.45">
      <c r="I286" s="3" t="str">
        <f t="shared" si="29"/>
        <v/>
      </c>
      <c r="J286" s="3">
        <f t="shared" si="30"/>
        <v>0</v>
      </c>
      <c r="K286" s="3">
        <f t="shared" si="31"/>
        <v>0</v>
      </c>
      <c r="L286" s="3">
        <f t="shared" si="32"/>
        <v>0</v>
      </c>
      <c r="M286" s="3">
        <f t="shared" si="28"/>
        <v>0</v>
      </c>
      <c r="N286" s="40" t="e">
        <f t="shared" si="33"/>
        <v>#DIV/0!</v>
      </c>
      <c r="O286" s="41" t="e">
        <f t="shared" si="34"/>
        <v>#DIV/0!</v>
      </c>
    </row>
    <row r="287" spans="9:15" x14ac:dyDescent="0.45">
      <c r="I287" s="3" t="str">
        <f t="shared" si="29"/>
        <v/>
      </c>
      <c r="J287" s="3">
        <f t="shared" si="30"/>
        <v>0</v>
      </c>
      <c r="K287" s="3">
        <f t="shared" si="31"/>
        <v>0</v>
      </c>
      <c r="L287" s="3">
        <f t="shared" si="32"/>
        <v>0</v>
      </c>
      <c r="M287" s="3">
        <f t="shared" si="28"/>
        <v>0</v>
      </c>
      <c r="N287" s="40" t="e">
        <f t="shared" si="33"/>
        <v>#DIV/0!</v>
      </c>
      <c r="O287" s="41" t="e">
        <f t="shared" si="34"/>
        <v>#DIV/0!</v>
      </c>
    </row>
    <row r="288" spans="9:15" x14ac:dyDescent="0.45">
      <c r="I288" s="3" t="str">
        <f t="shared" si="29"/>
        <v/>
      </c>
      <c r="J288" s="3">
        <f t="shared" si="30"/>
        <v>0</v>
      </c>
      <c r="K288" s="3">
        <f t="shared" si="31"/>
        <v>0</v>
      </c>
      <c r="L288" s="3">
        <f t="shared" si="32"/>
        <v>0</v>
      </c>
      <c r="M288" s="3">
        <f t="shared" si="28"/>
        <v>0</v>
      </c>
      <c r="N288" s="40" t="e">
        <f t="shared" si="33"/>
        <v>#DIV/0!</v>
      </c>
      <c r="O288" s="41" t="e">
        <f t="shared" si="34"/>
        <v>#DIV/0!</v>
      </c>
    </row>
    <row r="289" spans="9:15" x14ac:dyDescent="0.45">
      <c r="I289" s="3" t="str">
        <f t="shared" si="29"/>
        <v/>
      </c>
      <c r="J289" s="3">
        <f t="shared" si="30"/>
        <v>0</v>
      </c>
      <c r="K289" s="3">
        <f t="shared" si="31"/>
        <v>0</v>
      </c>
      <c r="L289" s="3">
        <f t="shared" si="32"/>
        <v>0</v>
      </c>
      <c r="M289" s="3">
        <f t="shared" si="28"/>
        <v>0</v>
      </c>
      <c r="N289" s="40" t="e">
        <f t="shared" si="33"/>
        <v>#DIV/0!</v>
      </c>
      <c r="O289" s="41" t="e">
        <f t="shared" si="34"/>
        <v>#DIV/0!</v>
      </c>
    </row>
    <row r="290" spans="9:15" x14ac:dyDescent="0.45">
      <c r="I290" s="3" t="str">
        <f t="shared" si="29"/>
        <v/>
      </c>
      <c r="J290" s="3">
        <f t="shared" si="30"/>
        <v>0</v>
      </c>
      <c r="K290" s="3">
        <f t="shared" si="31"/>
        <v>0</v>
      </c>
      <c r="L290" s="3">
        <f t="shared" si="32"/>
        <v>0</v>
      </c>
      <c r="M290" s="3">
        <f t="shared" si="28"/>
        <v>0</v>
      </c>
      <c r="N290" s="40" t="e">
        <f t="shared" si="33"/>
        <v>#DIV/0!</v>
      </c>
      <c r="O290" s="41" t="e">
        <f t="shared" si="34"/>
        <v>#DIV/0!</v>
      </c>
    </row>
    <row r="291" spans="9:15" x14ac:dyDescent="0.45">
      <c r="I291" s="3" t="str">
        <f t="shared" si="29"/>
        <v/>
      </c>
      <c r="J291" s="3">
        <f t="shared" si="30"/>
        <v>0</v>
      </c>
      <c r="K291" s="3">
        <f t="shared" si="31"/>
        <v>0</v>
      </c>
      <c r="L291" s="3">
        <f t="shared" si="32"/>
        <v>0</v>
      </c>
      <c r="M291" s="3">
        <f t="shared" si="28"/>
        <v>0</v>
      </c>
      <c r="N291" s="40" t="e">
        <f t="shared" si="33"/>
        <v>#DIV/0!</v>
      </c>
      <c r="O291" s="41" t="e">
        <f t="shared" si="34"/>
        <v>#DIV/0!</v>
      </c>
    </row>
    <row r="292" spans="9:15" x14ac:dyDescent="0.45">
      <c r="I292" s="3" t="str">
        <f t="shared" si="29"/>
        <v/>
      </c>
      <c r="J292" s="3">
        <f t="shared" si="30"/>
        <v>0</v>
      </c>
      <c r="K292" s="3">
        <f t="shared" si="31"/>
        <v>0</v>
      </c>
      <c r="L292" s="3">
        <f t="shared" si="32"/>
        <v>0</v>
      </c>
      <c r="M292" s="3">
        <f t="shared" si="28"/>
        <v>0</v>
      </c>
      <c r="N292" s="40" t="e">
        <f t="shared" si="33"/>
        <v>#DIV/0!</v>
      </c>
      <c r="O292" s="41" t="e">
        <f t="shared" si="34"/>
        <v>#DIV/0!</v>
      </c>
    </row>
    <row r="293" spans="9:15" x14ac:dyDescent="0.45">
      <c r="I293" s="3" t="str">
        <f t="shared" si="29"/>
        <v/>
      </c>
      <c r="J293" s="3">
        <f t="shared" si="30"/>
        <v>0</v>
      </c>
      <c r="K293" s="3">
        <f t="shared" si="31"/>
        <v>0</v>
      </c>
      <c r="L293" s="3">
        <f t="shared" si="32"/>
        <v>0</v>
      </c>
      <c r="M293" s="3">
        <f t="shared" si="28"/>
        <v>0</v>
      </c>
      <c r="N293" s="40" t="e">
        <f t="shared" si="33"/>
        <v>#DIV/0!</v>
      </c>
      <c r="O293" s="41" t="e">
        <f t="shared" si="34"/>
        <v>#DIV/0!</v>
      </c>
    </row>
    <row r="294" spans="9:15" x14ac:dyDescent="0.45">
      <c r="I294" s="3" t="str">
        <f t="shared" si="29"/>
        <v/>
      </c>
      <c r="J294" s="3">
        <f t="shared" si="30"/>
        <v>0</v>
      </c>
      <c r="K294" s="3">
        <f t="shared" si="31"/>
        <v>0</v>
      </c>
      <c r="L294" s="3">
        <f t="shared" si="32"/>
        <v>0</v>
      </c>
      <c r="M294" s="3">
        <f t="shared" si="28"/>
        <v>0</v>
      </c>
      <c r="N294" s="40" t="e">
        <f t="shared" si="33"/>
        <v>#DIV/0!</v>
      </c>
      <c r="O294" s="41" t="e">
        <f t="shared" si="34"/>
        <v>#DIV/0!</v>
      </c>
    </row>
    <row r="295" spans="9:15" x14ac:dyDescent="0.45">
      <c r="I295" s="3" t="str">
        <f t="shared" si="29"/>
        <v/>
      </c>
      <c r="J295" s="3">
        <f t="shared" si="30"/>
        <v>0</v>
      </c>
      <c r="K295" s="3">
        <f t="shared" si="31"/>
        <v>0</v>
      </c>
      <c r="L295" s="3">
        <f t="shared" si="32"/>
        <v>0</v>
      </c>
      <c r="M295" s="3">
        <f t="shared" si="28"/>
        <v>0</v>
      </c>
      <c r="N295" s="40" t="e">
        <f t="shared" si="33"/>
        <v>#DIV/0!</v>
      </c>
      <c r="O295" s="41" t="e">
        <f t="shared" si="34"/>
        <v>#DIV/0!</v>
      </c>
    </row>
    <row r="296" spans="9:15" x14ac:dyDescent="0.45">
      <c r="I296" s="3" t="str">
        <f t="shared" si="29"/>
        <v/>
      </c>
      <c r="J296" s="3">
        <f t="shared" si="30"/>
        <v>0</v>
      </c>
      <c r="K296" s="3">
        <f t="shared" si="31"/>
        <v>0</v>
      </c>
      <c r="L296" s="3">
        <f t="shared" si="32"/>
        <v>0</v>
      </c>
      <c r="M296" s="3">
        <f t="shared" si="28"/>
        <v>0</v>
      </c>
      <c r="N296" s="40" t="e">
        <f t="shared" si="33"/>
        <v>#DIV/0!</v>
      </c>
      <c r="O296" s="41" t="e">
        <f t="shared" si="34"/>
        <v>#DIV/0!</v>
      </c>
    </row>
    <row r="297" spans="9:15" x14ac:dyDescent="0.45">
      <c r="I297" s="3" t="str">
        <f t="shared" si="29"/>
        <v/>
      </c>
      <c r="J297" s="3">
        <f t="shared" si="30"/>
        <v>0</v>
      </c>
      <c r="K297" s="3">
        <f t="shared" si="31"/>
        <v>0</v>
      </c>
      <c r="L297" s="3">
        <f t="shared" si="32"/>
        <v>0</v>
      </c>
      <c r="M297" s="3">
        <f t="shared" si="28"/>
        <v>0</v>
      </c>
      <c r="N297" s="40" t="e">
        <f t="shared" si="33"/>
        <v>#DIV/0!</v>
      </c>
      <c r="O297" s="41" t="e">
        <f t="shared" si="34"/>
        <v>#DIV/0!</v>
      </c>
    </row>
    <row r="298" spans="9:15" x14ac:dyDescent="0.45">
      <c r="I298" s="3" t="str">
        <f t="shared" si="29"/>
        <v/>
      </c>
      <c r="J298" s="3">
        <f t="shared" si="30"/>
        <v>0</v>
      </c>
      <c r="K298" s="3">
        <f t="shared" si="31"/>
        <v>0</v>
      </c>
      <c r="L298" s="3">
        <f t="shared" si="32"/>
        <v>0</v>
      </c>
      <c r="M298" s="3">
        <f t="shared" si="28"/>
        <v>0</v>
      </c>
      <c r="N298" s="40" t="e">
        <f t="shared" si="33"/>
        <v>#DIV/0!</v>
      </c>
      <c r="O298" s="41" t="e">
        <f t="shared" si="34"/>
        <v>#DIV/0!</v>
      </c>
    </row>
    <row r="299" spans="9:15" x14ac:dyDescent="0.45">
      <c r="I299" s="3" t="str">
        <f t="shared" si="29"/>
        <v/>
      </c>
      <c r="J299" s="3">
        <f t="shared" si="30"/>
        <v>0</v>
      </c>
      <c r="K299" s="3">
        <f t="shared" si="31"/>
        <v>0</v>
      </c>
      <c r="L299" s="3">
        <f t="shared" si="32"/>
        <v>0</v>
      </c>
      <c r="M299" s="3">
        <f t="shared" si="28"/>
        <v>0</v>
      </c>
      <c r="N299" s="40" t="e">
        <f t="shared" si="33"/>
        <v>#DIV/0!</v>
      </c>
      <c r="O299" s="41" t="e">
        <f t="shared" si="34"/>
        <v>#DIV/0!</v>
      </c>
    </row>
    <row r="300" spans="9:15" x14ac:dyDescent="0.45">
      <c r="I300" s="3" t="str">
        <f t="shared" si="29"/>
        <v/>
      </c>
      <c r="J300" s="3">
        <f t="shared" si="30"/>
        <v>0</v>
      </c>
      <c r="K300" s="3">
        <f t="shared" si="31"/>
        <v>0</v>
      </c>
      <c r="L300" s="3">
        <f t="shared" si="32"/>
        <v>0</v>
      </c>
      <c r="M300" s="3">
        <f t="shared" si="28"/>
        <v>0</v>
      </c>
      <c r="N300" s="40" t="e">
        <f t="shared" si="33"/>
        <v>#DIV/0!</v>
      </c>
      <c r="O300" s="41" t="e">
        <f t="shared" si="34"/>
        <v>#DIV/0!</v>
      </c>
    </row>
    <row r="301" spans="9:15" x14ac:dyDescent="0.45">
      <c r="I301" s="3" t="str">
        <f t="shared" si="29"/>
        <v/>
      </c>
      <c r="J301" s="3">
        <f t="shared" si="30"/>
        <v>0</v>
      </c>
      <c r="K301" s="3">
        <f t="shared" si="31"/>
        <v>0</v>
      </c>
      <c r="L301" s="3">
        <f t="shared" si="32"/>
        <v>0</v>
      </c>
      <c r="M301" s="3">
        <f t="shared" si="28"/>
        <v>0</v>
      </c>
      <c r="N301" s="40" t="e">
        <f t="shared" si="33"/>
        <v>#DIV/0!</v>
      </c>
      <c r="O301" s="41" t="e">
        <f t="shared" si="34"/>
        <v>#DIV/0!</v>
      </c>
    </row>
    <row r="302" spans="9:15" x14ac:dyDescent="0.45">
      <c r="I302" s="3" t="str">
        <f t="shared" si="29"/>
        <v/>
      </c>
      <c r="J302" s="3">
        <f t="shared" si="30"/>
        <v>0</v>
      </c>
      <c r="K302" s="3">
        <f t="shared" si="31"/>
        <v>0</v>
      </c>
      <c r="L302" s="3">
        <f t="shared" si="32"/>
        <v>0</v>
      </c>
      <c r="M302" s="3">
        <f t="shared" si="28"/>
        <v>0</v>
      </c>
      <c r="N302" s="40" t="e">
        <f t="shared" si="33"/>
        <v>#DIV/0!</v>
      </c>
      <c r="O302" s="41"/>
    </row>
  </sheetData>
  <sortState xmlns:xlrd2="http://schemas.microsoft.com/office/spreadsheetml/2017/richdata2" ref="A2:G567">
    <sortCondition descending="1" ref="A2:A56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4F1D5-BB9F-44C3-A2D5-C1F870641175}">
  <dimension ref="A1:AC396"/>
  <sheetViews>
    <sheetView tabSelected="1" topLeftCell="A60" workbookViewId="0">
      <selection activeCell="W63" sqref="W63"/>
    </sheetView>
  </sheetViews>
  <sheetFormatPr defaultRowHeight="14.25" x14ac:dyDescent="0.45"/>
  <cols>
    <col min="8" max="8" width="5" customWidth="1"/>
    <col min="11" max="13" width="2.265625" customWidth="1"/>
  </cols>
  <sheetData>
    <row r="1" spans="1:29" ht="42.7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6"/>
      <c r="I1" s="36" t="s">
        <v>2</v>
      </c>
      <c r="J1" s="36" t="s">
        <v>3</v>
      </c>
      <c r="K1" s="36"/>
      <c r="L1" s="36"/>
      <c r="M1" s="36"/>
      <c r="N1" s="48" t="s">
        <v>20</v>
      </c>
      <c r="O1" s="48" t="s">
        <v>21</v>
      </c>
      <c r="P1" s="48" t="s">
        <v>22</v>
      </c>
      <c r="Q1" s="48" t="s">
        <v>23</v>
      </c>
      <c r="R1" s="48" t="s">
        <v>24</v>
      </c>
      <c r="S1" s="49" t="s">
        <v>31</v>
      </c>
      <c r="T1" s="36"/>
      <c r="U1" s="2"/>
      <c r="V1" s="36"/>
      <c r="W1" s="36"/>
      <c r="X1" s="36"/>
      <c r="Y1" s="36"/>
      <c r="Z1" s="36"/>
      <c r="AA1" s="36"/>
      <c r="AB1" s="36"/>
      <c r="AC1" s="36"/>
    </row>
    <row r="2" spans="1:29" x14ac:dyDescent="0.45">
      <c r="A2" s="1">
        <v>43709</v>
      </c>
      <c r="B2">
        <v>93.68</v>
      </c>
      <c r="C2">
        <v>95.040001000000004</v>
      </c>
      <c r="D2">
        <v>92.790001000000004</v>
      </c>
      <c r="E2">
        <v>93.57</v>
      </c>
      <c r="F2">
        <v>93.57</v>
      </c>
      <c r="G2">
        <v>3773800</v>
      </c>
      <c r="H2" s="3"/>
      <c r="I2" s="3">
        <f>MAX(C2:C4)</f>
        <v>102.699997</v>
      </c>
      <c r="J2" s="3">
        <f>MIN(D2:D4)</f>
        <v>85.25</v>
      </c>
      <c r="K2" s="3"/>
      <c r="L2" s="3"/>
      <c r="M2" s="3"/>
      <c r="N2" s="35">
        <f>I2-J2</f>
        <v>17.449996999999996</v>
      </c>
      <c r="O2" s="35">
        <f>ABS(I2-E5)</f>
        <v>14.189994999999996</v>
      </c>
      <c r="P2" s="35">
        <f>ABS(J2-E5)</f>
        <v>3.2600020000000001</v>
      </c>
      <c r="Q2" s="35">
        <f>MAX(N2:P2)</f>
        <v>17.449996999999996</v>
      </c>
      <c r="R2" s="35">
        <f t="shared" ref="R2:R65" si="0">AVERAGE(Q2:Q15)</f>
        <v>18.458570142857138</v>
      </c>
      <c r="S2" s="40">
        <f>R2/B2</f>
        <v>0.19703853696474313</v>
      </c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x14ac:dyDescent="0.45">
      <c r="A3" s="1">
        <v>43678</v>
      </c>
      <c r="B3">
        <v>101.489998</v>
      </c>
      <c r="C3">
        <v>102.589996</v>
      </c>
      <c r="D3">
        <v>92.139999000000003</v>
      </c>
      <c r="E3">
        <v>94.5</v>
      </c>
      <c r="F3">
        <v>94.5</v>
      </c>
      <c r="G3">
        <v>25327400</v>
      </c>
      <c r="H3" s="3"/>
      <c r="I3" s="3">
        <f t="shared" ref="I3:I66" si="1">MAX(C3:C5)</f>
        <v>102.699997</v>
      </c>
      <c r="J3" s="3">
        <f t="shared" ref="J3:J66" si="2">MIN(D3:D5)</f>
        <v>81.010002</v>
      </c>
      <c r="K3" s="3"/>
      <c r="L3" s="3"/>
      <c r="M3" s="3"/>
      <c r="N3" s="35">
        <f t="shared" ref="N3:N66" si="3">I3-J3</f>
        <v>21.689994999999996</v>
      </c>
      <c r="O3" s="35">
        <f t="shared" ref="O3:O66" si="4">ABS(I3-E6)</f>
        <v>21.299994999999996</v>
      </c>
      <c r="P3" s="35">
        <f t="shared" ref="P3:P66" si="5">ABS(J3-E6)</f>
        <v>0.39000000000000057</v>
      </c>
      <c r="Q3" s="35">
        <f t="shared" ref="Q3:Q66" si="6">MAX(N3:P3)</f>
        <v>21.689994999999996</v>
      </c>
      <c r="R3" s="35">
        <f>AVERAGE(Q3:Q16)</f>
        <v>18.294999214285713</v>
      </c>
      <c r="S3" s="40">
        <f t="shared" ref="S3:S66" si="7">R3/B3</f>
        <v>0.18026406123572605</v>
      </c>
      <c r="T3" s="3"/>
      <c r="U3" s="3"/>
      <c r="V3" s="42">
        <v>1</v>
      </c>
      <c r="W3" s="42">
        <v>3</v>
      </c>
      <c r="X3" s="42">
        <v>6</v>
      </c>
      <c r="Y3" s="42">
        <v>12</v>
      </c>
      <c r="Z3" s="42">
        <v>24</v>
      </c>
      <c r="AA3" s="42">
        <v>60</v>
      </c>
      <c r="AB3" s="42">
        <v>120</v>
      </c>
      <c r="AC3" s="3"/>
    </row>
    <row r="4" spans="1:29" x14ac:dyDescent="0.45">
      <c r="A4" s="1">
        <v>43647</v>
      </c>
      <c r="B4">
        <v>88.559997999999993</v>
      </c>
      <c r="C4">
        <v>102.699997</v>
      </c>
      <c r="D4">
        <v>85.25</v>
      </c>
      <c r="E4">
        <v>100.980003</v>
      </c>
      <c r="F4">
        <v>100.980003</v>
      </c>
      <c r="G4">
        <v>50813700</v>
      </c>
      <c r="H4" s="3"/>
      <c r="I4" s="3">
        <f t="shared" si="1"/>
        <v>102.699997</v>
      </c>
      <c r="J4" s="3">
        <f t="shared" si="2"/>
        <v>80.080001999999993</v>
      </c>
      <c r="K4" s="3"/>
      <c r="L4" s="3"/>
      <c r="M4" s="3"/>
      <c r="N4" s="35">
        <f t="shared" si="3"/>
        <v>22.619995000000003</v>
      </c>
      <c r="O4" s="35">
        <f t="shared" si="4"/>
        <v>13.759994999999989</v>
      </c>
      <c r="P4" s="35">
        <f t="shared" si="5"/>
        <v>8.8600000000000136</v>
      </c>
      <c r="Q4" s="35">
        <f t="shared" si="6"/>
        <v>22.619995000000003</v>
      </c>
      <c r="R4" s="35">
        <f t="shared" si="0"/>
        <v>18.104285571428573</v>
      </c>
      <c r="S4" s="40">
        <f t="shared" si="7"/>
        <v>0.20442960682348452</v>
      </c>
      <c r="T4" s="3"/>
      <c r="U4" s="43" t="s">
        <v>27</v>
      </c>
      <c r="V4" s="8">
        <f>R2</f>
        <v>18.458570142857138</v>
      </c>
      <c r="W4" s="8">
        <f>AVERAGE(R2:R4)</f>
        <v>18.285951642857142</v>
      </c>
      <c r="X4" s="8">
        <f>AVERAGE(R2:R7)</f>
        <v>18.497261845238093</v>
      </c>
      <c r="Y4" s="8">
        <f>AVERAGE(R2:R13)</f>
        <v>18.474881494047619</v>
      </c>
      <c r="Z4" s="8">
        <f>AVERAGE(R2:R25)</f>
        <v>17.062441083333333</v>
      </c>
      <c r="AA4" s="8">
        <f>AVERAGE(R2,R61)</f>
        <v>15.557142535714283</v>
      </c>
      <c r="AB4" s="8">
        <f>AVERAGE(R2,R121)</f>
        <v>14.447142321428569</v>
      </c>
      <c r="AC4" s="3"/>
    </row>
    <row r="5" spans="1:29" x14ac:dyDescent="0.45">
      <c r="A5" s="1">
        <v>43617</v>
      </c>
      <c r="B5">
        <v>81.389999000000003</v>
      </c>
      <c r="C5">
        <v>90.589995999999999</v>
      </c>
      <c r="D5">
        <v>81.010002</v>
      </c>
      <c r="E5">
        <v>88.510002</v>
      </c>
      <c r="F5">
        <v>88.510002</v>
      </c>
      <c r="G5">
        <v>22049200</v>
      </c>
      <c r="H5" s="3"/>
      <c r="I5" s="3">
        <f t="shared" si="1"/>
        <v>90.589995999999999</v>
      </c>
      <c r="J5" s="3">
        <f t="shared" si="2"/>
        <v>80.080001999999993</v>
      </c>
      <c r="K5" s="3"/>
      <c r="L5" s="3"/>
      <c r="M5" s="3"/>
      <c r="N5" s="35">
        <f t="shared" si="3"/>
        <v>10.509994000000006</v>
      </c>
      <c r="O5" s="35">
        <f t="shared" si="4"/>
        <v>6.619995000000003</v>
      </c>
      <c r="P5" s="35">
        <f t="shared" si="5"/>
        <v>3.8899990000000031</v>
      </c>
      <c r="Q5" s="35">
        <f t="shared" si="6"/>
        <v>10.509994000000006</v>
      </c>
      <c r="R5" s="35">
        <f t="shared" si="0"/>
        <v>18.300000285714283</v>
      </c>
      <c r="S5" s="40">
        <f t="shared" si="7"/>
        <v>0.22484335312148465</v>
      </c>
      <c r="T5" s="3"/>
      <c r="U5" s="42" t="s">
        <v>28</v>
      </c>
      <c r="V5" s="44">
        <f>S2</f>
        <v>0.19703853696474313</v>
      </c>
      <c r="W5" s="45">
        <f>AVERAGE(S2:S4)</f>
        <v>0.19391073500798459</v>
      </c>
      <c r="X5" s="45">
        <f>AVERAGE(S2:S7)</f>
        <v>0.20775991155741011</v>
      </c>
      <c r="Y5" s="45">
        <f>AVERAGE(S2:S13)</f>
        <v>0.22452129075296692</v>
      </c>
      <c r="Z5" s="45">
        <f>AVERAGE(S2:S25)</f>
        <v>0.18570156637158053</v>
      </c>
      <c r="AA5" s="45">
        <f>AVERAGE(S2:S61)</f>
        <v>0.1617282788745473</v>
      </c>
      <c r="AB5" s="45">
        <f>AVERAGE(S2:S121)</f>
        <v>0.16911431746197353</v>
      </c>
      <c r="AC5" s="3"/>
    </row>
    <row r="6" spans="1:29" x14ac:dyDescent="0.45">
      <c r="A6" s="1">
        <v>43586</v>
      </c>
      <c r="B6">
        <v>88.559997999999993</v>
      </c>
      <c r="C6">
        <v>89.370002999999997</v>
      </c>
      <c r="D6">
        <v>80.080001999999993</v>
      </c>
      <c r="E6">
        <v>81.400002000000001</v>
      </c>
      <c r="F6">
        <v>80.365921</v>
      </c>
      <c r="G6">
        <v>27857000</v>
      </c>
      <c r="H6" s="3"/>
      <c r="I6" s="3">
        <f t="shared" si="1"/>
        <v>90.470000999999996</v>
      </c>
      <c r="J6" s="3">
        <f t="shared" si="2"/>
        <v>79.629997000000003</v>
      </c>
      <c r="K6" s="3"/>
      <c r="L6" s="3"/>
      <c r="M6" s="3"/>
      <c r="N6" s="35">
        <f t="shared" si="3"/>
        <v>10.840003999999993</v>
      </c>
      <c r="O6" s="35">
        <f t="shared" si="4"/>
        <v>12.309996999999996</v>
      </c>
      <c r="P6" s="35">
        <f t="shared" si="5"/>
        <v>1.4699930000000023</v>
      </c>
      <c r="Q6" s="35">
        <f t="shared" si="6"/>
        <v>12.309996999999996</v>
      </c>
      <c r="R6" s="35">
        <f t="shared" si="0"/>
        <v>18.786429285714281</v>
      </c>
      <c r="S6" s="40">
        <f t="shared" si="7"/>
        <v>0.21213222346407778</v>
      </c>
      <c r="T6" s="3"/>
      <c r="U6" s="3"/>
      <c r="V6" s="3"/>
      <c r="W6" s="3"/>
      <c r="X6" s="3"/>
      <c r="Y6" s="3"/>
      <c r="Z6" s="3"/>
      <c r="AA6" s="3"/>
      <c r="AB6" s="3"/>
      <c r="AC6" s="3"/>
    </row>
    <row r="7" spans="1:29" x14ac:dyDescent="0.45">
      <c r="A7" s="1">
        <v>43556</v>
      </c>
      <c r="B7">
        <v>83.559997999999993</v>
      </c>
      <c r="C7">
        <v>90.470000999999996</v>
      </c>
      <c r="D7">
        <v>83.370002999999997</v>
      </c>
      <c r="E7">
        <v>88.940002000000007</v>
      </c>
      <c r="F7">
        <v>87.810142999999997</v>
      </c>
      <c r="G7">
        <v>20004800</v>
      </c>
      <c r="H7" s="3"/>
      <c r="I7" s="3">
        <f t="shared" si="1"/>
        <v>90.470000999999996</v>
      </c>
      <c r="J7" s="3">
        <f t="shared" si="2"/>
        <v>73.569999999999993</v>
      </c>
      <c r="K7" s="3"/>
      <c r="L7" s="3"/>
      <c r="M7" s="3"/>
      <c r="N7" s="35">
        <f t="shared" si="3"/>
        <v>16.900001000000003</v>
      </c>
      <c r="O7" s="35">
        <f t="shared" si="4"/>
        <v>14.029998999999989</v>
      </c>
      <c r="P7" s="35">
        <f t="shared" si="5"/>
        <v>2.8700020000000137</v>
      </c>
      <c r="Q7" s="35">
        <f t="shared" si="6"/>
        <v>16.900001000000003</v>
      </c>
      <c r="R7" s="35">
        <f t="shared" si="0"/>
        <v>19.039286571428566</v>
      </c>
      <c r="S7" s="40">
        <f t="shared" si="7"/>
        <v>0.22785168773494427</v>
      </c>
      <c r="T7" s="3"/>
      <c r="U7" s="3"/>
      <c r="V7" s="3"/>
      <c r="W7" s="3"/>
      <c r="X7" s="3"/>
      <c r="Y7" s="3"/>
      <c r="Z7" s="3"/>
      <c r="AA7" s="3"/>
      <c r="AB7" s="3"/>
      <c r="AC7" s="3"/>
    </row>
    <row r="8" spans="1:29" x14ac:dyDescent="0.45">
      <c r="A8" s="1">
        <v>43525</v>
      </c>
      <c r="B8">
        <v>82.019997000000004</v>
      </c>
      <c r="C8">
        <v>84.959998999999996</v>
      </c>
      <c r="D8">
        <v>79.629997000000003</v>
      </c>
      <c r="E8">
        <v>83.970000999999996</v>
      </c>
      <c r="F8">
        <v>82.903274999999994</v>
      </c>
      <c r="G8">
        <v>29805500</v>
      </c>
      <c r="H8" s="3"/>
      <c r="I8" s="3">
        <f t="shared" si="1"/>
        <v>84.959998999999996</v>
      </c>
      <c r="J8" s="3">
        <f t="shared" si="2"/>
        <v>64.989998</v>
      </c>
      <c r="K8" s="3"/>
      <c r="L8" s="3"/>
      <c r="M8" s="3"/>
      <c r="N8" s="35">
        <f t="shared" si="3"/>
        <v>19.970000999999996</v>
      </c>
      <c r="O8" s="35">
        <f t="shared" si="4"/>
        <v>19.150001000000003</v>
      </c>
      <c r="P8" s="35">
        <f t="shared" si="5"/>
        <v>0.81999999999999318</v>
      </c>
      <c r="Q8" s="35">
        <f t="shared" si="6"/>
        <v>19.970000999999996</v>
      </c>
      <c r="R8" s="35">
        <f t="shared" si="0"/>
        <v>19.215715285714282</v>
      </c>
      <c r="S8" s="40">
        <f t="shared" si="7"/>
        <v>0.23428085818772074</v>
      </c>
      <c r="T8" s="3"/>
      <c r="U8" s="46" t="s">
        <v>30</v>
      </c>
      <c r="V8" s="47" t="s">
        <v>33</v>
      </c>
      <c r="W8" s="3"/>
      <c r="X8" s="3"/>
      <c r="Y8" s="3"/>
      <c r="Z8" s="3"/>
      <c r="AA8" s="3"/>
      <c r="AB8" s="3"/>
      <c r="AC8" s="3"/>
    </row>
    <row r="9" spans="1:29" x14ac:dyDescent="0.45">
      <c r="A9" s="1">
        <v>43497</v>
      </c>
      <c r="B9">
        <v>76.5</v>
      </c>
      <c r="C9">
        <v>79.209998999999996</v>
      </c>
      <c r="D9">
        <v>73.569999999999993</v>
      </c>
      <c r="E9">
        <v>78.160004000000001</v>
      </c>
      <c r="F9">
        <v>77.167084000000003</v>
      </c>
      <c r="G9">
        <v>28811100</v>
      </c>
      <c r="H9" s="3"/>
      <c r="I9" s="3">
        <f t="shared" si="1"/>
        <v>79.209998999999996</v>
      </c>
      <c r="J9" s="3">
        <f t="shared" si="2"/>
        <v>64.550003000000004</v>
      </c>
      <c r="K9" s="3"/>
      <c r="L9" s="3"/>
      <c r="M9" s="3"/>
      <c r="N9" s="35">
        <f t="shared" si="3"/>
        <v>14.659995999999992</v>
      </c>
      <c r="O9" s="35">
        <f t="shared" si="4"/>
        <v>2.3399959999999993</v>
      </c>
      <c r="P9" s="35">
        <f t="shared" si="5"/>
        <v>12.319999999999993</v>
      </c>
      <c r="Q9" s="35">
        <f t="shared" si="6"/>
        <v>14.659995999999992</v>
      </c>
      <c r="R9" s="35">
        <f t="shared" si="0"/>
        <v>18.730000785714282</v>
      </c>
      <c r="S9" s="40">
        <f t="shared" si="7"/>
        <v>0.24483661157796446</v>
      </c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29" x14ac:dyDescent="0.45">
      <c r="A10" s="1">
        <v>43466</v>
      </c>
      <c r="B10">
        <v>65.150002000000001</v>
      </c>
      <c r="C10">
        <v>76.830001999999993</v>
      </c>
      <c r="D10">
        <v>64.989998</v>
      </c>
      <c r="E10">
        <v>76.440002000000007</v>
      </c>
      <c r="F10">
        <v>75.468933000000007</v>
      </c>
      <c r="G10">
        <v>35948700</v>
      </c>
      <c r="H10" s="3"/>
      <c r="I10" s="3">
        <f t="shared" si="1"/>
        <v>79.400002000000001</v>
      </c>
      <c r="J10" s="3">
        <f t="shared" si="2"/>
        <v>64.550003000000004</v>
      </c>
      <c r="K10" s="3"/>
      <c r="L10" s="3"/>
      <c r="M10" s="3"/>
      <c r="N10" s="35">
        <f t="shared" si="3"/>
        <v>14.849998999999997</v>
      </c>
      <c r="O10" s="35">
        <f t="shared" si="4"/>
        <v>5.4199990000000042</v>
      </c>
      <c r="P10" s="35">
        <f t="shared" si="5"/>
        <v>9.4299999999999926</v>
      </c>
      <c r="Q10" s="35">
        <f t="shared" si="6"/>
        <v>14.849998999999997</v>
      </c>
      <c r="R10" s="35">
        <f t="shared" si="0"/>
        <v>18.85642964285714</v>
      </c>
      <c r="S10" s="40">
        <f t="shared" si="7"/>
        <v>0.2894309910052979</v>
      </c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29" x14ac:dyDescent="0.45">
      <c r="A11" s="1">
        <v>43435</v>
      </c>
      <c r="B11">
        <v>76.930000000000007</v>
      </c>
      <c r="C11">
        <v>76.980002999999996</v>
      </c>
      <c r="D11">
        <v>64.550003000000004</v>
      </c>
      <c r="E11">
        <v>65.809997999999993</v>
      </c>
      <c r="F11">
        <v>64.973968999999997</v>
      </c>
      <c r="G11">
        <v>41762600</v>
      </c>
      <c r="H11" s="3"/>
      <c r="I11" s="3">
        <f t="shared" si="1"/>
        <v>88.900002000000001</v>
      </c>
      <c r="J11" s="3">
        <f t="shared" si="2"/>
        <v>64.550003000000004</v>
      </c>
      <c r="K11" s="3"/>
      <c r="L11" s="3"/>
      <c r="M11" s="3"/>
      <c r="N11" s="35">
        <f t="shared" si="3"/>
        <v>24.349998999999997</v>
      </c>
      <c r="O11" s="35">
        <f t="shared" si="4"/>
        <v>1.3300020000000075</v>
      </c>
      <c r="P11" s="35">
        <f t="shared" si="5"/>
        <v>23.019996999999989</v>
      </c>
      <c r="Q11" s="35">
        <f t="shared" si="6"/>
        <v>24.349998999999997</v>
      </c>
      <c r="R11" s="35">
        <f t="shared" si="0"/>
        <v>18.727858499999996</v>
      </c>
      <c r="S11" s="40">
        <f t="shared" si="7"/>
        <v>0.24344025087742097</v>
      </c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29" x14ac:dyDescent="0.45">
      <c r="A12" s="1">
        <v>43405</v>
      </c>
      <c r="B12">
        <v>75.599997999999999</v>
      </c>
      <c r="C12">
        <v>79.400002000000001</v>
      </c>
      <c r="D12">
        <v>72.919998000000007</v>
      </c>
      <c r="E12">
        <v>76.870002999999997</v>
      </c>
      <c r="F12">
        <v>74.994881000000007</v>
      </c>
      <c r="G12">
        <v>38062100</v>
      </c>
      <c r="H12" s="3"/>
      <c r="I12" s="3">
        <f t="shared" si="1"/>
        <v>92.720000999999996</v>
      </c>
      <c r="J12" s="3">
        <f t="shared" si="2"/>
        <v>72.879997000000003</v>
      </c>
      <c r="K12" s="3"/>
      <c r="L12" s="3"/>
      <c r="M12" s="3"/>
      <c r="N12" s="35">
        <f t="shared" si="3"/>
        <v>19.840003999999993</v>
      </c>
      <c r="O12" s="35">
        <f t="shared" si="4"/>
        <v>0.51000200000000007</v>
      </c>
      <c r="P12" s="35">
        <f t="shared" si="5"/>
        <v>20.350005999999993</v>
      </c>
      <c r="Q12" s="35">
        <f t="shared" si="6"/>
        <v>20.350005999999993</v>
      </c>
      <c r="R12" s="35">
        <f t="shared" si="0"/>
        <v>17.782144357142858</v>
      </c>
      <c r="S12" s="40">
        <f t="shared" si="7"/>
        <v>0.23521355592023771</v>
      </c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29" x14ac:dyDescent="0.45">
      <c r="A13" s="1">
        <v>43374</v>
      </c>
      <c r="B13">
        <v>86.800003000000004</v>
      </c>
      <c r="C13">
        <v>88.900002000000001</v>
      </c>
      <c r="D13">
        <v>72.879997000000003</v>
      </c>
      <c r="E13">
        <v>73.980002999999996</v>
      </c>
      <c r="F13">
        <v>72.175376999999997</v>
      </c>
      <c r="G13">
        <v>53258400</v>
      </c>
      <c r="H13" s="3"/>
      <c r="I13" s="3">
        <f t="shared" si="1"/>
        <v>101.449997</v>
      </c>
      <c r="J13" s="3">
        <f t="shared" si="2"/>
        <v>72.879997000000003</v>
      </c>
      <c r="K13" s="3"/>
      <c r="L13" s="3"/>
      <c r="M13" s="3"/>
      <c r="N13" s="35">
        <f t="shared" si="3"/>
        <v>28.569999999999993</v>
      </c>
      <c r="O13" s="35">
        <f t="shared" si="4"/>
        <v>0.27000400000000013</v>
      </c>
      <c r="P13" s="35">
        <f t="shared" si="5"/>
        <v>28.840003999999993</v>
      </c>
      <c r="Q13" s="35">
        <f t="shared" si="6"/>
        <v>28.840003999999993</v>
      </c>
      <c r="R13" s="35">
        <f t="shared" si="0"/>
        <v>17.402858285714284</v>
      </c>
      <c r="S13" s="40">
        <f t="shared" si="7"/>
        <v>0.20049375212250031</v>
      </c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1:29" x14ac:dyDescent="0.45">
      <c r="A14" s="1">
        <v>43344</v>
      </c>
      <c r="B14">
        <v>92.07</v>
      </c>
      <c r="C14">
        <v>92.720000999999996</v>
      </c>
      <c r="D14">
        <v>87.150002000000001</v>
      </c>
      <c r="E14">
        <v>87.57</v>
      </c>
      <c r="F14">
        <v>85.433860999999993</v>
      </c>
      <c r="G14">
        <v>38102100</v>
      </c>
      <c r="H14" s="3"/>
      <c r="I14" s="3">
        <f t="shared" si="1"/>
        <v>106.860001</v>
      </c>
      <c r="J14" s="3">
        <f t="shared" si="2"/>
        <v>87.150002000000001</v>
      </c>
      <c r="K14" s="3"/>
      <c r="L14" s="3"/>
      <c r="M14" s="3"/>
      <c r="N14" s="35">
        <f t="shared" si="3"/>
        <v>19.709998999999996</v>
      </c>
      <c r="O14" s="35">
        <f t="shared" si="4"/>
        <v>6.0999989999999968</v>
      </c>
      <c r="P14" s="35">
        <f t="shared" si="5"/>
        <v>13.61</v>
      </c>
      <c r="Q14" s="35">
        <f t="shared" si="6"/>
        <v>19.709998999999996</v>
      </c>
      <c r="R14" s="35">
        <f t="shared" si="0"/>
        <v>16.417143785714291</v>
      </c>
      <c r="S14" s="40">
        <f t="shared" si="7"/>
        <v>0.17831154323573686</v>
      </c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spans="1:29" x14ac:dyDescent="0.45">
      <c r="A15" s="1">
        <v>43313</v>
      </c>
      <c r="B15">
        <v>100.790001</v>
      </c>
      <c r="C15">
        <v>101.449997</v>
      </c>
      <c r="D15">
        <v>92.650002000000001</v>
      </c>
      <c r="E15">
        <v>93.230002999999996</v>
      </c>
      <c r="F15">
        <v>90.955794999999995</v>
      </c>
      <c r="G15">
        <v>27908700</v>
      </c>
      <c r="H15" s="3"/>
      <c r="I15" s="3">
        <f t="shared" si="1"/>
        <v>106.860001</v>
      </c>
      <c r="J15" s="3">
        <f t="shared" si="2"/>
        <v>92.650002000000001</v>
      </c>
      <c r="K15" s="3"/>
      <c r="L15" s="3"/>
      <c r="M15" s="3"/>
      <c r="N15" s="35">
        <f t="shared" si="3"/>
        <v>14.209998999999996</v>
      </c>
      <c r="O15" s="35">
        <f t="shared" si="4"/>
        <v>13.270004999999998</v>
      </c>
      <c r="P15" s="35">
        <f t="shared" si="5"/>
        <v>0.93999399999999866</v>
      </c>
      <c r="Q15" s="35">
        <f t="shared" si="6"/>
        <v>14.209998999999996</v>
      </c>
      <c r="R15" s="35">
        <f t="shared" si="0"/>
        <v>16.083572500000002</v>
      </c>
      <c r="S15" s="40">
        <f t="shared" si="7"/>
        <v>0.1595750802701153</v>
      </c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1:29" x14ac:dyDescent="0.45">
      <c r="A16" s="1">
        <v>43282</v>
      </c>
      <c r="B16">
        <v>100.349998</v>
      </c>
      <c r="C16">
        <v>106.860001</v>
      </c>
      <c r="D16">
        <v>99.879997000000003</v>
      </c>
      <c r="E16">
        <v>101.720001</v>
      </c>
      <c r="F16">
        <v>99.238701000000006</v>
      </c>
      <c r="G16">
        <v>26031600</v>
      </c>
      <c r="H16" s="3"/>
      <c r="I16" s="3">
        <f t="shared" si="1"/>
        <v>106.860001</v>
      </c>
      <c r="J16" s="3">
        <f t="shared" si="2"/>
        <v>91.699996999999996</v>
      </c>
      <c r="K16" s="3"/>
      <c r="L16" s="3"/>
      <c r="M16" s="3"/>
      <c r="N16" s="35">
        <f t="shared" si="3"/>
        <v>15.160004000000001</v>
      </c>
      <c r="O16" s="35">
        <f t="shared" si="4"/>
        <v>6.7799990000000037</v>
      </c>
      <c r="P16" s="35">
        <f t="shared" si="5"/>
        <v>8.380004999999997</v>
      </c>
      <c r="Q16" s="35">
        <f t="shared" si="6"/>
        <v>15.160004000000001</v>
      </c>
      <c r="R16" s="35">
        <f t="shared" si="0"/>
        <v>16.003572857142863</v>
      </c>
      <c r="S16" s="40">
        <f t="shared" si="7"/>
        <v>0.1594775602999301</v>
      </c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spans="1:29" x14ac:dyDescent="0.45">
      <c r="A17" s="1">
        <v>43252</v>
      </c>
      <c r="B17">
        <v>94.440002000000007</v>
      </c>
      <c r="C17">
        <v>101.290001</v>
      </c>
      <c r="D17">
        <v>92.830001999999993</v>
      </c>
      <c r="E17">
        <v>100.760002</v>
      </c>
      <c r="F17">
        <v>98.302115999999998</v>
      </c>
      <c r="G17">
        <v>36485400</v>
      </c>
      <c r="H17" s="3"/>
      <c r="I17" s="3">
        <f t="shared" si="1"/>
        <v>110.720001</v>
      </c>
      <c r="J17" s="3">
        <f t="shared" si="2"/>
        <v>91.699996999999996</v>
      </c>
      <c r="K17" s="3"/>
      <c r="L17" s="3"/>
      <c r="M17" s="3"/>
      <c r="N17" s="35">
        <f t="shared" si="3"/>
        <v>19.020004</v>
      </c>
      <c r="O17" s="35">
        <f t="shared" si="4"/>
        <v>0.77999899999998945</v>
      </c>
      <c r="P17" s="35">
        <f t="shared" si="5"/>
        <v>18.240005000000011</v>
      </c>
      <c r="Q17" s="35">
        <f t="shared" si="6"/>
        <v>19.020004</v>
      </c>
      <c r="R17" s="35">
        <f t="shared" si="0"/>
        <v>16.022858285714289</v>
      </c>
      <c r="S17" s="40">
        <f t="shared" si="7"/>
        <v>0.16966177410409508</v>
      </c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1:29" x14ac:dyDescent="0.45">
      <c r="A18" s="1">
        <v>43221</v>
      </c>
      <c r="B18">
        <v>98.099997999999999</v>
      </c>
      <c r="C18">
        <v>101.709999</v>
      </c>
      <c r="D18">
        <v>91.699996999999996</v>
      </c>
      <c r="E18">
        <v>93.589995999999999</v>
      </c>
      <c r="F18">
        <v>89.046233999999998</v>
      </c>
      <c r="G18">
        <v>71137800</v>
      </c>
      <c r="H18" s="3"/>
      <c r="I18" s="3">
        <f t="shared" si="1"/>
        <v>117.05999799999999</v>
      </c>
      <c r="J18" s="3">
        <f t="shared" si="2"/>
        <v>91.699996999999996</v>
      </c>
      <c r="K18" s="3"/>
      <c r="L18" s="3"/>
      <c r="M18" s="3"/>
      <c r="N18" s="35">
        <f t="shared" si="3"/>
        <v>25.360000999999997</v>
      </c>
      <c r="O18" s="35">
        <f t="shared" si="4"/>
        <v>10.879997999999986</v>
      </c>
      <c r="P18" s="35">
        <f t="shared" si="5"/>
        <v>14.480003000000011</v>
      </c>
      <c r="Q18" s="35">
        <f t="shared" si="6"/>
        <v>25.360000999999997</v>
      </c>
      <c r="R18" s="35">
        <f t="shared" si="0"/>
        <v>15.434286500000004</v>
      </c>
      <c r="S18" s="40">
        <f t="shared" si="7"/>
        <v>0.15733217955825038</v>
      </c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1:29" x14ac:dyDescent="0.45">
      <c r="A19" s="1">
        <v>43191</v>
      </c>
      <c r="B19">
        <v>109.660004</v>
      </c>
      <c r="C19">
        <v>110.720001</v>
      </c>
      <c r="D19">
        <v>99.739998</v>
      </c>
      <c r="E19">
        <v>100.08000199999999</v>
      </c>
      <c r="F19">
        <v>95.221153000000001</v>
      </c>
      <c r="G19">
        <v>44233200</v>
      </c>
      <c r="H19" s="3"/>
      <c r="I19" s="3">
        <f t="shared" si="1"/>
        <v>117.05999799999999</v>
      </c>
      <c r="J19" s="3">
        <f t="shared" si="2"/>
        <v>99.739998</v>
      </c>
      <c r="K19" s="3"/>
      <c r="L19" s="3"/>
      <c r="M19" s="3"/>
      <c r="N19" s="35">
        <f t="shared" si="3"/>
        <v>17.319999999999993</v>
      </c>
      <c r="O19" s="35">
        <f t="shared" si="4"/>
        <v>3.5799949999999967</v>
      </c>
      <c r="P19" s="35">
        <f t="shared" si="5"/>
        <v>13.740004999999996</v>
      </c>
      <c r="Q19" s="35">
        <f t="shared" si="6"/>
        <v>17.319999999999993</v>
      </c>
      <c r="R19" s="35">
        <f t="shared" si="0"/>
        <v>14.299285999999999</v>
      </c>
      <c r="S19" s="40">
        <f t="shared" si="7"/>
        <v>0.13039654822554994</v>
      </c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1:29" x14ac:dyDescent="0.45">
      <c r="A20" s="1">
        <v>43160</v>
      </c>
      <c r="B20">
        <v>111.68</v>
      </c>
      <c r="C20">
        <v>117.05999799999999</v>
      </c>
      <c r="D20">
        <v>106.43</v>
      </c>
      <c r="E20">
        <v>109.94000200000001</v>
      </c>
      <c r="F20">
        <v>104.60245500000001</v>
      </c>
      <c r="G20">
        <v>54163300</v>
      </c>
      <c r="H20" s="3"/>
      <c r="I20" s="3">
        <f t="shared" si="1"/>
        <v>117.05999799999999</v>
      </c>
      <c r="J20" s="3">
        <f t="shared" si="2"/>
        <v>101.209999</v>
      </c>
      <c r="K20" s="3"/>
      <c r="L20" s="3"/>
      <c r="M20" s="3"/>
      <c r="N20" s="35">
        <f t="shared" si="3"/>
        <v>15.849998999999997</v>
      </c>
      <c r="O20" s="35">
        <f t="shared" si="4"/>
        <v>5.5</v>
      </c>
      <c r="P20" s="35">
        <f t="shared" si="5"/>
        <v>10.349998999999997</v>
      </c>
      <c r="Q20" s="35">
        <f t="shared" si="6"/>
        <v>15.849998999999997</v>
      </c>
      <c r="R20" s="35">
        <f t="shared" si="0"/>
        <v>13.872857285714286</v>
      </c>
      <c r="S20" s="40">
        <f t="shared" si="7"/>
        <v>0.12421971065288578</v>
      </c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29" x14ac:dyDescent="0.45">
      <c r="A21" s="1">
        <v>43132</v>
      </c>
      <c r="B21">
        <v>113.860001</v>
      </c>
      <c r="C21">
        <v>114.41999800000001</v>
      </c>
      <c r="D21">
        <v>101.209999</v>
      </c>
      <c r="E21">
        <v>106.18</v>
      </c>
      <c r="F21">
        <v>101.02499400000001</v>
      </c>
      <c r="G21">
        <v>41088800</v>
      </c>
      <c r="H21" s="3"/>
      <c r="I21" s="3">
        <f t="shared" si="1"/>
        <v>116.400002</v>
      </c>
      <c r="J21" s="3">
        <f t="shared" si="2"/>
        <v>101.209999</v>
      </c>
      <c r="K21" s="3"/>
      <c r="L21" s="3"/>
      <c r="M21" s="3"/>
      <c r="N21" s="35">
        <f t="shared" si="3"/>
        <v>15.190003000000004</v>
      </c>
      <c r="O21" s="35">
        <f t="shared" si="4"/>
        <v>4.1799999999999926</v>
      </c>
      <c r="P21" s="35">
        <f t="shared" si="5"/>
        <v>19.370002999999997</v>
      </c>
      <c r="Q21" s="35">
        <f t="shared" si="6"/>
        <v>19.370002999999997</v>
      </c>
      <c r="R21" s="35">
        <f t="shared" si="0"/>
        <v>14.030714285714286</v>
      </c>
      <c r="S21" s="40">
        <f t="shared" si="7"/>
        <v>0.12322777237384959</v>
      </c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29" x14ac:dyDescent="0.45">
      <c r="A22" s="1">
        <v>43101</v>
      </c>
      <c r="B22">
        <v>111.970001</v>
      </c>
      <c r="C22">
        <v>116.400002</v>
      </c>
      <c r="D22">
        <v>111.550003</v>
      </c>
      <c r="E22">
        <v>113.480003</v>
      </c>
      <c r="F22">
        <v>107.970589</v>
      </c>
      <c r="G22">
        <v>39069700</v>
      </c>
      <c r="H22" s="3"/>
      <c r="I22" s="3">
        <f t="shared" si="1"/>
        <v>123.239998</v>
      </c>
      <c r="J22" s="3">
        <f t="shared" si="2"/>
        <v>110.07</v>
      </c>
      <c r="K22" s="3"/>
      <c r="L22" s="3"/>
      <c r="M22" s="3"/>
      <c r="N22" s="35">
        <f t="shared" si="3"/>
        <v>13.169998000000007</v>
      </c>
      <c r="O22" s="35">
        <f t="shared" si="4"/>
        <v>0.45999899999999627</v>
      </c>
      <c r="P22" s="35">
        <f t="shared" si="5"/>
        <v>12.70999900000001</v>
      </c>
      <c r="Q22" s="35">
        <f t="shared" si="6"/>
        <v>13.169998000000007</v>
      </c>
      <c r="R22" s="35">
        <f t="shared" si="0"/>
        <v>15.013571571428571</v>
      </c>
      <c r="S22" s="40">
        <f t="shared" si="7"/>
        <v>0.13408566077827017</v>
      </c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29" x14ac:dyDescent="0.45">
      <c r="A23" s="1">
        <v>43070</v>
      </c>
      <c r="B23">
        <v>115.07</v>
      </c>
      <c r="C23">
        <v>115.980003</v>
      </c>
      <c r="D23">
        <v>110.07</v>
      </c>
      <c r="E23">
        <v>111.55999799999999</v>
      </c>
      <c r="F23">
        <v>106.143799</v>
      </c>
      <c r="G23">
        <v>27654700</v>
      </c>
      <c r="H23" s="3"/>
      <c r="I23" s="3">
        <f t="shared" si="1"/>
        <v>126.5</v>
      </c>
      <c r="J23" s="3">
        <f t="shared" si="2"/>
        <v>110.07</v>
      </c>
      <c r="K23" s="3"/>
      <c r="L23" s="3"/>
      <c r="M23" s="3"/>
      <c r="N23" s="35">
        <f t="shared" si="3"/>
        <v>16.430000000000007</v>
      </c>
      <c r="O23" s="35">
        <f t="shared" si="4"/>
        <v>7.1999969999999962</v>
      </c>
      <c r="P23" s="35">
        <f t="shared" si="5"/>
        <v>9.2300030000000106</v>
      </c>
      <c r="Q23" s="35">
        <f t="shared" si="6"/>
        <v>16.430000000000007</v>
      </c>
      <c r="R23" s="35">
        <f t="shared" si="0"/>
        <v>16.578571857142855</v>
      </c>
      <c r="S23" s="40">
        <f t="shared" si="7"/>
        <v>0.14407379731591949</v>
      </c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1:29" x14ac:dyDescent="0.45">
      <c r="A24" s="1">
        <v>43040</v>
      </c>
      <c r="B24">
        <v>122.44000200000001</v>
      </c>
      <c r="C24">
        <v>123.239998</v>
      </c>
      <c r="D24">
        <v>113.449997</v>
      </c>
      <c r="E24">
        <v>120.58000199999999</v>
      </c>
      <c r="F24">
        <v>112.920776</v>
      </c>
      <c r="G24">
        <v>37627900</v>
      </c>
      <c r="H24" s="3"/>
      <c r="I24" s="3">
        <f t="shared" si="1"/>
        <v>126.5</v>
      </c>
      <c r="J24" s="3">
        <f t="shared" si="2"/>
        <v>113.449997</v>
      </c>
      <c r="K24" s="3"/>
      <c r="L24" s="3"/>
      <c r="M24" s="3"/>
      <c r="N24" s="35">
        <f t="shared" si="3"/>
        <v>13.050003000000004</v>
      </c>
      <c r="O24" s="35">
        <f t="shared" si="4"/>
        <v>8.129997000000003</v>
      </c>
      <c r="P24" s="35">
        <f t="shared" si="5"/>
        <v>4.9200060000000008</v>
      </c>
      <c r="Q24" s="35">
        <f t="shared" si="6"/>
        <v>13.050003000000004</v>
      </c>
      <c r="R24" s="35">
        <f t="shared" si="0"/>
        <v>16.962857928571431</v>
      </c>
      <c r="S24" s="40">
        <f t="shared" si="7"/>
        <v>0.13854016376585349</v>
      </c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1:29" x14ac:dyDescent="0.45">
      <c r="A25" s="1">
        <v>43009</v>
      </c>
      <c r="B25">
        <v>118.879997</v>
      </c>
      <c r="C25">
        <v>126.5</v>
      </c>
      <c r="D25">
        <v>118.30999799999999</v>
      </c>
      <c r="E25">
        <v>122.779999</v>
      </c>
      <c r="F25">
        <v>114.981026</v>
      </c>
      <c r="G25">
        <v>38020400</v>
      </c>
      <c r="H25" s="3"/>
      <c r="I25" s="3">
        <f t="shared" si="1"/>
        <v>126.5</v>
      </c>
      <c r="J25" s="3">
        <f t="shared" si="2"/>
        <v>115.389999</v>
      </c>
      <c r="K25" s="3"/>
      <c r="L25" s="3"/>
      <c r="M25" s="3"/>
      <c r="N25" s="35">
        <f t="shared" si="3"/>
        <v>11.110000999999997</v>
      </c>
      <c r="O25" s="35">
        <f t="shared" si="4"/>
        <v>5.8399959999999993</v>
      </c>
      <c r="P25" s="35">
        <f t="shared" si="5"/>
        <v>5.2700049999999976</v>
      </c>
      <c r="Q25" s="35">
        <f t="shared" si="6"/>
        <v>11.110000999999997</v>
      </c>
      <c r="R25" s="35">
        <f t="shared" si="0"/>
        <v>17.080715214285714</v>
      </c>
      <c r="S25" s="40">
        <f t="shared" si="7"/>
        <v>0.14368031330187292</v>
      </c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1:29" x14ac:dyDescent="0.45">
      <c r="A26" s="1">
        <v>42979</v>
      </c>
      <c r="B26">
        <v>119.230003</v>
      </c>
      <c r="C26">
        <v>122.33000199999999</v>
      </c>
      <c r="D26">
        <v>116.220001</v>
      </c>
      <c r="E26">
        <v>119.300003</v>
      </c>
      <c r="F26">
        <v>111.722092</v>
      </c>
      <c r="G26">
        <v>31672600</v>
      </c>
      <c r="H26" s="3"/>
      <c r="I26" s="3">
        <f t="shared" si="1"/>
        <v>124.010002</v>
      </c>
      <c r="J26" s="3">
        <f t="shared" si="2"/>
        <v>108.970001</v>
      </c>
      <c r="K26" s="3"/>
      <c r="L26" s="3"/>
      <c r="M26" s="3"/>
      <c r="N26" s="35">
        <f t="shared" si="3"/>
        <v>15.040001000000004</v>
      </c>
      <c r="O26" s="35">
        <f t="shared" si="4"/>
        <v>13.650001000000003</v>
      </c>
      <c r="P26" s="35">
        <f t="shared" si="5"/>
        <v>1.3900000000000006</v>
      </c>
      <c r="Q26" s="35">
        <f t="shared" si="6"/>
        <v>15.040001000000004</v>
      </c>
      <c r="R26" s="35">
        <f t="shared" si="0"/>
        <v>17.224286214285716</v>
      </c>
      <c r="S26" s="40">
        <f t="shared" si="7"/>
        <v>0.14446268372806897</v>
      </c>
      <c r="T26" s="3"/>
      <c r="U26" s="3"/>
      <c r="V26" s="3"/>
      <c r="W26" s="3"/>
      <c r="X26" s="3"/>
      <c r="Y26" s="3"/>
      <c r="Z26" s="3"/>
      <c r="AA26" s="3"/>
      <c r="AB26" s="3"/>
      <c r="AC26" s="3"/>
    </row>
    <row r="27" spans="1:29" x14ac:dyDescent="0.45">
      <c r="A27" s="1">
        <v>42948</v>
      </c>
      <c r="B27">
        <v>120.010002</v>
      </c>
      <c r="C27">
        <v>120.470001</v>
      </c>
      <c r="D27">
        <v>115.389999</v>
      </c>
      <c r="E27">
        <v>118.370003</v>
      </c>
      <c r="F27">
        <v>110.851151</v>
      </c>
      <c r="G27">
        <v>27034800</v>
      </c>
      <c r="H27" s="3"/>
      <c r="I27" s="3">
        <f t="shared" si="1"/>
        <v>124.010002</v>
      </c>
      <c r="J27" s="3">
        <f t="shared" si="2"/>
        <v>108.970001</v>
      </c>
      <c r="K27" s="3"/>
      <c r="L27" s="3"/>
      <c r="M27" s="3"/>
      <c r="N27" s="35">
        <f t="shared" si="3"/>
        <v>15.040001000000004</v>
      </c>
      <c r="O27" s="35">
        <f t="shared" si="4"/>
        <v>7.0600050000000039</v>
      </c>
      <c r="P27" s="35">
        <f t="shared" si="5"/>
        <v>7.9799959999999999</v>
      </c>
      <c r="Q27" s="35">
        <f t="shared" si="6"/>
        <v>15.040001000000004</v>
      </c>
      <c r="R27" s="35">
        <f t="shared" si="0"/>
        <v>17.087142928571428</v>
      </c>
      <c r="S27" s="40">
        <f t="shared" si="7"/>
        <v>0.14238099028255519</v>
      </c>
      <c r="T27" s="3"/>
      <c r="U27" s="3"/>
      <c r="V27" s="3"/>
      <c r="W27" s="3"/>
      <c r="X27" s="3"/>
      <c r="Y27" s="3"/>
      <c r="Z27" s="3"/>
      <c r="AA27" s="3"/>
      <c r="AB27" s="3"/>
      <c r="AC27" s="3"/>
    </row>
    <row r="28" spans="1:29" x14ac:dyDescent="0.45">
      <c r="A28" s="1">
        <v>42917</v>
      </c>
      <c r="B28">
        <v>110</v>
      </c>
      <c r="C28">
        <v>124.010002</v>
      </c>
      <c r="D28">
        <v>108.970001</v>
      </c>
      <c r="E28">
        <v>120.660004</v>
      </c>
      <c r="F28">
        <v>112.995705</v>
      </c>
      <c r="G28">
        <v>34586100</v>
      </c>
      <c r="H28" s="3"/>
      <c r="I28" s="3">
        <f t="shared" si="1"/>
        <v>124.010002</v>
      </c>
      <c r="J28" s="3">
        <f t="shared" si="2"/>
        <v>108.970001</v>
      </c>
      <c r="K28" s="3"/>
      <c r="L28" s="3"/>
      <c r="M28" s="3"/>
      <c r="N28" s="35">
        <f t="shared" si="3"/>
        <v>15.040001000000004</v>
      </c>
      <c r="O28" s="35">
        <f t="shared" si="4"/>
        <v>10.770004</v>
      </c>
      <c r="P28" s="35">
        <f t="shared" si="5"/>
        <v>4.2699970000000036</v>
      </c>
      <c r="Q28" s="35">
        <f t="shared" si="6"/>
        <v>15.040001000000004</v>
      </c>
      <c r="R28" s="35">
        <f t="shared" si="0"/>
        <v>16.95071464285714</v>
      </c>
      <c r="S28" s="40">
        <f t="shared" si="7"/>
        <v>0.15409740584415582</v>
      </c>
      <c r="T28" s="3"/>
      <c r="U28" s="3"/>
      <c r="V28" s="3"/>
      <c r="W28" s="3"/>
      <c r="X28" s="3"/>
      <c r="Y28" s="3"/>
      <c r="Z28" s="3"/>
      <c r="AA28" s="3"/>
      <c r="AB28" s="3"/>
      <c r="AC28" s="3"/>
    </row>
    <row r="29" spans="1:29" x14ac:dyDescent="0.45">
      <c r="A29" s="1">
        <v>42887</v>
      </c>
      <c r="B29">
        <v>116.790001</v>
      </c>
      <c r="C29">
        <v>118.80999799999999</v>
      </c>
      <c r="D29">
        <v>109.879997</v>
      </c>
      <c r="E29">
        <v>110.360001</v>
      </c>
      <c r="F29">
        <v>103.349953</v>
      </c>
      <c r="G29">
        <v>28503300</v>
      </c>
      <c r="H29" s="3"/>
      <c r="I29" s="3">
        <f t="shared" si="1"/>
        <v>121.040001</v>
      </c>
      <c r="J29" s="3">
        <f t="shared" si="2"/>
        <v>107.949997</v>
      </c>
      <c r="K29" s="3"/>
      <c r="L29" s="3"/>
      <c r="M29" s="3"/>
      <c r="N29" s="35">
        <f t="shared" si="3"/>
        <v>13.090004000000008</v>
      </c>
      <c r="O29" s="35">
        <f t="shared" si="4"/>
        <v>11.279999000000004</v>
      </c>
      <c r="P29" s="35">
        <f t="shared" si="5"/>
        <v>1.8100050000000039</v>
      </c>
      <c r="Q29" s="35">
        <f t="shared" si="6"/>
        <v>13.090004000000008</v>
      </c>
      <c r="R29" s="35">
        <f t="shared" si="0"/>
        <v>17.405714857142851</v>
      </c>
      <c r="S29" s="40">
        <f t="shared" si="7"/>
        <v>0.14903428982026337</v>
      </c>
      <c r="T29" s="3"/>
      <c r="U29" s="3"/>
      <c r="V29" s="3"/>
      <c r="W29" s="3"/>
      <c r="X29" s="3"/>
      <c r="Y29" s="3"/>
      <c r="Z29" s="3"/>
      <c r="AA29" s="3"/>
      <c r="AB29" s="3"/>
      <c r="AC29" s="3"/>
    </row>
    <row r="30" spans="1:29" x14ac:dyDescent="0.45">
      <c r="A30" s="1">
        <v>42856</v>
      </c>
      <c r="B30">
        <v>111.199997</v>
      </c>
      <c r="C30">
        <v>121.040001</v>
      </c>
      <c r="D30">
        <v>111</v>
      </c>
      <c r="E30">
        <v>116.949997</v>
      </c>
      <c r="F30">
        <v>107.47096999999999</v>
      </c>
      <c r="G30">
        <v>37467500</v>
      </c>
      <c r="H30" s="3"/>
      <c r="I30" s="3">
        <f t="shared" si="1"/>
        <v>121.040001</v>
      </c>
      <c r="J30" s="3">
        <f t="shared" si="2"/>
        <v>105.610001</v>
      </c>
      <c r="K30" s="3"/>
      <c r="L30" s="3"/>
      <c r="M30" s="3"/>
      <c r="N30" s="35">
        <f t="shared" si="3"/>
        <v>15.430000000000007</v>
      </c>
      <c r="O30" s="35">
        <f t="shared" si="4"/>
        <v>11.550003000000004</v>
      </c>
      <c r="P30" s="35">
        <f t="shared" si="5"/>
        <v>3.879997000000003</v>
      </c>
      <c r="Q30" s="35">
        <f t="shared" si="6"/>
        <v>15.430000000000007</v>
      </c>
      <c r="R30" s="35">
        <f t="shared" si="0"/>
        <v>18.065000857142849</v>
      </c>
      <c r="S30" s="40">
        <f t="shared" si="7"/>
        <v>0.16245504806212224</v>
      </c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1:29" x14ac:dyDescent="0.45">
      <c r="A31" s="1">
        <v>42826</v>
      </c>
      <c r="B31">
        <v>109.69000200000001</v>
      </c>
      <c r="C31">
        <v>114.33000199999999</v>
      </c>
      <c r="D31">
        <v>107.949997</v>
      </c>
      <c r="E31">
        <v>113.239998</v>
      </c>
      <c r="F31">
        <v>104.06167600000001</v>
      </c>
      <c r="G31">
        <v>28698000</v>
      </c>
      <c r="H31" s="3"/>
      <c r="I31" s="3">
        <f t="shared" si="1"/>
        <v>114.33000199999999</v>
      </c>
      <c r="J31" s="3">
        <f t="shared" si="2"/>
        <v>103.550003</v>
      </c>
      <c r="K31" s="3"/>
      <c r="L31" s="3"/>
      <c r="M31" s="3"/>
      <c r="N31" s="35">
        <f t="shared" si="3"/>
        <v>10.779998999999989</v>
      </c>
      <c r="O31" s="35">
        <f t="shared" si="4"/>
        <v>10.069999999999993</v>
      </c>
      <c r="P31" s="35">
        <f t="shared" si="5"/>
        <v>0.70999899999999627</v>
      </c>
      <c r="Q31" s="35">
        <f t="shared" si="6"/>
        <v>10.779998999999989</v>
      </c>
      <c r="R31" s="35">
        <f t="shared" si="0"/>
        <v>18.142858357142853</v>
      </c>
      <c r="S31" s="40">
        <f t="shared" si="7"/>
        <v>0.16540120363151103</v>
      </c>
      <c r="T31" s="3"/>
      <c r="U31" s="3"/>
      <c r="V31" s="3"/>
      <c r="W31" s="3"/>
      <c r="X31" s="3"/>
      <c r="Y31" s="3"/>
      <c r="Z31" s="3"/>
      <c r="AA31" s="3"/>
      <c r="AB31" s="3"/>
      <c r="AC31" s="3"/>
    </row>
    <row r="32" spans="1:29" x14ac:dyDescent="0.45">
      <c r="A32" s="1">
        <v>42795</v>
      </c>
      <c r="B32">
        <v>109.709999</v>
      </c>
      <c r="C32">
        <v>113.019997</v>
      </c>
      <c r="D32">
        <v>105.610001</v>
      </c>
      <c r="E32">
        <v>109.760002</v>
      </c>
      <c r="F32">
        <v>100.863731</v>
      </c>
      <c r="G32">
        <v>46466000</v>
      </c>
      <c r="H32" s="3"/>
      <c r="I32" s="3">
        <f t="shared" si="1"/>
        <v>113.019997</v>
      </c>
      <c r="J32" s="3">
        <f t="shared" si="2"/>
        <v>103.550003</v>
      </c>
      <c r="K32" s="3"/>
      <c r="L32" s="3"/>
      <c r="M32" s="3"/>
      <c r="N32" s="35">
        <f t="shared" si="3"/>
        <v>9.4699939999999998</v>
      </c>
      <c r="O32" s="35">
        <f t="shared" si="4"/>
        <v>7.5799949999999967</v>
      </c>
      <c r="P32" s="35">
        <f t="shared" si="5"/>
        <v>1.8899990000000031</v>
      </c>
      <c r="Q32" s="35">
        <f t="shared" si="6"/>
        <v>9.4699939999999998</v>
      </c>
      <c r="R32" s="35">
        <f t="shared" si="0"/>
        <v>18.759287285714276</v>
      </c>
      <c r="S32" s="40">
        <f t="shared" si="7"/>
        <v>0.17098976808589961</v>
      </c>
      <c r="T32" s="3"/>
      <c r="U32" s="3"/>
      <c r="V32" s="3"/>
      <c r="W32" s="3"/>
      <c r="X32" s="3"/>
      <c r="Y32" s="3"/>
      <c r="Z32" s="3"/>
      <c r="AA32" s="3"/>
      <c r="AB32" s="3"/>
      <c r="AC32" s="3"/>
    </row>
    <row r="33" spans="1:29" x14ac:dyDescent="0.45">
      <c r="A33" s="1">
        <v>42767</v>
      </c>
      <c r="B33">
        <v>103.709999</v>
      </c>
      <c r="C33">
        <v>109.629997</v>
      </c>
      <c r="D33">
        <v>103.550003</v>
      </c>
      <c r="E33">
        <v>109.489998</v>
      </c>
      <c r="F33">
        <v>100.615623</v>
      </c>
      <c r="G33">
        <v>26429000</v>
      </c>
      <c r="H33" s="3"/>
      <c r="I33" s="3">
        <f t="shared" si="1"/>
        <v>109.629997</v>
      </c>
      <c r="J33" s="3">
        <f t="shared" si="2"/>
        <v>98.279999000000004</v>
      </c>
      <c r="K33" s="3"/>
      <c r="L33" s="3"/>
      <c r="M33" s="3"/>
      <c r="N33" s="35">
        <f t="shared" si="3"/>
        <v>11.349997999999999</v>
      </c>
      <c r="O33" s="35">
        <f t="shared" si="4"/>
        <v>6.3599999999999994</v>
      </c>
      <c r="P33" s="35">
        <f t="shared" si="5"/>
        <v>4.9899979999999999</v>
      </c>
      <c r="Q33" s="35">
        <f t="shared" si="6"/>
        <v>11.349997999999999</v>
      </c>
      <c r="R33" s="35">
        <f t="shared" si="0"/>
        <v>19.277144928571424</v>
      </c>
      <c r="S33" s="40">
        <f t="shared" si="7"/>
        <v>0.18587547116427439</v>
      </c>
      <c r="T33" s="3"/>
      <c r="U33" s="3"/>
      <c r="V33" s="3"/>
      <c r="W33" s="3"/>
      <c r="X33" s="3"/>
      <c r="Y33" s="3"/>
      <c r="Z33" s="3"/>
      <c r="AA33" s="3"/>
      <c r="AB33" s="3"/>
      <c r="AC33" s="3"/>
    </row>
    <row r="34" spans="1:29" x14ac:dyDescent="0.45">
      <c r="A34" s="1">
        <v>42736</v>
      </c>
      <c r="B34">
        <v>104.779999</v>
      </c>
      <c r="C34">
        <v>107.25</v>
      </c>
      <c r="D34">
        <v>103.82</v>
      </c>
      <c r="E34">
        <v>104.260002</v>
      </c>
      <c r="F34">
        <v>95.809524999999994</v>
      </c>
      <c r="G34">
        <v>26182900</v>
      </c>
      <c r="H34" s="3"/>
      <c r="I34" s="3">
        <f t="shared" si="1"/>
        <v>116.339996</v>
      </c>
      <c r="J34" s="3">
        <f t="shared" si="2"/>
        <v>98.279999000000004</v>
      </c>
      <c r="K34" s="3"/>
      <c r="L34" s="3"/>
      <c r="M34" s="3"/>
      <c r="N34" s="35">
        <f t="shared" si="3"/>
        <v>18.059996999999996</v>
      </c>
      <c r="O34" s="35">
        <f t="shared" si="4"/>
        <v>0.84999799999999937</v>
      </c>
      <c r="P34" s="35">
        <f t="shared" si="5"/>
        <v>17.209998999999996</v>
      </c>
      <c r="Q34" s="35">
        <f t="shared" si="6"/>
        <v>18.059996999999996</v>
      </c>
      <c r="R34" s="35">
        <f t="shared" si="0"/>
        <v>20.233574071428567</v>
      </c>
      <c r="S34" s="40">
        <f t="shared" si="7"/>
        <v>0.19310530888083485</v>
      </c>
      <c r="T34" s="3"/>
      <c r="U34" s="3"/>
      <c r="V34" s="3"/>
      <c r="W34" s="3"/>
      <c r="X34" s="3"/>
      <c r="Y34" s="3"/>
      <c r="Z34" s="3"/>
      <c r="AA34" s="3"/>
      <c r="AB34" s="3"/>
      <c r="AC34" s="3"/>
    </row>
    <row r="35" spans="1:29" x14ac:dyDescent="0.45">
      <c r="A35" s="1">
        <v>42705</v>
      </c>
      <c r="B35">
        <v>101.029999</v>
      </c>
      <c r="C35">
        <v>106.199997</v>
      </c>
      <c r="D35">
        <v>98.279999000000004</v>
      </c>
      <c r="E35">
        <v>105.44000200000001</v>
      </c>
      <c r="F35">
        <v>96.893883000000002</v>
      </c>
      <c r="G35">
        <v>46449900</v>
      </c>
      <c r="H35" s="3"/>
      <c r="I35" s="3">
        <f t="shared" si="1"/>
        <v>130.470001</v>
      </c>
      <c r="J35" s="3">
        <f t="shared" si="2"/>
        <v>98.279999000000004</v>
      </c>
      <c r="K35" s="3"/>
      <c r="L35" s="3"/>
      <c r="M35" s="3"/>
      <c r="N35" s="35">
        <f t="shared" si="3"/>
        <v>32.190001999999993</v>
      </c>
      <c r="O35" s="35">
        <f t="shared" si="4"/>
        <v>0.94000299999999015</v>
      </c>
      <c r="P35" s="35">
        <f t="shared" si="5"/>
        <v>33.130004999999983</v>
      </c>
      <c r="Q35" s="35">
        <f t="shared" si="6"/>
        <v>33.130004999999983</v>
      </c>
      <c r="R35" s="35">
        <f t="shared" si="0"/>
        <v>20.864288571428567</v>
      </c>
      <c r="S35" s="40">
        <f t="shared" si="7"/>
        <v>0.20651577529391607</v>
      </c>
      <c r="T35" s="3"/>
      <c r="U35" s="3"/>
      <c r="V35" s="3"/>
      <c r="W35" s="3"/>
      <c r="X35" s="3"/>
      <c r="Y35" s="3"/>
      <c r="Z35" s="3"/>
      <c r="AA35" s="3"/>
      <c r="AB35" s="3"/>
      <c r="AC35" s="3"/>
    </row>
    <row r="36" spans="1:29" x14ac:dyDescent="0.45">
      <c r="A36" s="1">
        <v>42675</v>
      </c>
      <c r="B36">
        <v>116.220001</v>
      </c>
      <c r="C36">
        <v>116.339996</v>
      </c>
      <c r="D36">
        <v>101</v>
      </c>
      <c r="E36">
        <v>103.269997</v>
      </c>
      <c r="F36">
        <v>93.360061999999999</v>
      </c>
      <c r="G36">
        <v>69037200</v>
      </c>
      <c r="H36" s="3"/>
      <c r="I36" s="3">
        <f t="shared" si="1"/>
        <v>136.08000200000001</v>
      </c>
      <c r="J36" s="3">
        <f t="shared" si="2"/>
        <v>101</v>
      </c>
      <c r="K36" s="3"/>
      <c r="L36" s="3"/>
      <c r="M36" s="3"/>
      <c r="N36" s="35">
        <f t="shared" si="3"/>
        <v>35.080002000000007</v>
      </c>
      <c r="O36" s="35">
        <f t="shared" si="4"/>
        <v>12.050003000000004</v>
      </c>
      <c r="P36" s="35">
        <f t="shared" si="5"/>
        <v>23.029999000000004</v>
      </c>
      <c r="Q36" s="35">
        <f t="shared" si="6"/>
        <v>35.080002000000007</v>
      </c>
      <c r="R36" s="35">
        <f t="shared" si="0"/>
        <v>19.952145357142854</v>
      </c>
      <c r="S36" s="40">
        <f t="shared" si="7"/>
        <v>0.17167565983021163</v>
      </c>
      <c r="T36" s="3"/>
      <c r="U36" s="3"/>
      <c r="V36" s="3"/>
      <c r="W36" s="3"/>
      <c r="X36" s="3"/>
      <c r="Y36" s="3"/>
      <c r="Z36" s="3"/>
      <c r="AA36" s="3"/>
      <c r="AB36" s="3"/>
      <c r="AC36" s="3"/>
    </row>
    <row r="37" spans="1:29" x14ac:dyDescent="0.45">
      <c r="A37" s="1">
        <v>42644</v>
      </c>
      <c r="B37">
        <v>130.21000699999999</v>
      </c>
      <c r="C37">
        <v>130.470001</v>
      </c>
      <c r="D37">
        <v>114.269997</v>
      </c>
      <c r="E37">
        <v>115.489998</v>
      </c>
      <c r="F37">
        <v>104.40741</v>
      </c>
      <c r="G37">
        <v>35440900</v>
      </c>
      <c r="H37" s="3"/>
      <c r="I37" s="3">
        <f t="shared" si="1"/>
        <v>136.08000200000001</v>
      </c>
      <c r="J37" s="3">
        <f t="shared" si="2"/>
        <v>114.269997</v>
      </c>
      <c r="K37" s="3"/>
      <c r="L37" s="3"/>
      <c r="M37" s="3"/>
      <c r="N37" s="35">
        <f t="shared" si="3"/>
        <v>21.810005000000004</v>
      </c>
      <c r="O37" s="35">
        <f t="shared" si="4"/>
        <v>6.6400000000000148</v>
      </c>
      <c r="P37" s="35">
        <f t="shared" si="5"/>
        <v>15.170004999999989</v>
      </c>
      <c r="Q37" s="35">
        <f t="shared" si="6"/>
        <v>21.810005000000004</v>
      </c>
      <c r="R37" s="35">
        <f t="shared" si="0"/>
        <v>19.350716857142856</v>
      </c>
      <c r="S37" s="40">
        <f t="shared" si="7"/>
        <v>0.14861159524507866</v>
      </c>
      <c r="T37" s="3"/>
      <c r="U37" s="3"/>
      <c r="V37" s="3"/>
      <c r="W37" s="3"/>
      <c r="X37" s="3"/>
      <c r="Y37" s="3"/>
      <c r="Z37" s="3"/>
      <c r="AA37" s="3"/>
      <c r="AB37" s="3"/>
      <c r="AC37" s="3"/>
    </row>
    <row r="38" spans="1:29" x14ac:dyDescent="0.45">
      <c r="A38" s="1">
        <v>42614</v>
      </c>
      <c r="B38">
        <v>123.68</v>
      </c>
      <c r="C38">
        <v>136.08000200000001</v>
      </c>
      <c r="D38">
        <v>122.18</v>
      </c>
      <c r="E38">
        <v>131.41000399999999</v>
      </c>
      <c r="F38">
        <v>118.799706</v>
      </c>
      <c r="G38">
        <v>26070100</v>
      </c>
      <c r="H38" s="3"/>
      <c r="I38" s="3">
        <f t="shared" si="1"/>
        <v>136.08000200000001</v>
      </c>
      <c r="J38" s="3">
        <f t="shared" si="2"/>
        <v>121.379997</v>
      </c>
      <c r="K38" s="3"/>
      <c r="L38" s="3"/>
      <c r="M38" s="3"/>
      <c r="N38" s="35">
        <f t="shared" si="3"/>
        <v>14.700005000000004</v>
      </c>
      <c r="O38" s="35">
        <f t="shared" si="4"/>
        <v>4.4000090000000114</v>
      </c>
      <c r="P38" s="35">
        <f t="shared" si="5"/>
        <v>10.299995999999993</v>
      </c>
      <c r="Q38" s="35">
        <f t="shared" si="6"/>
        <v>14.700005000000004</v>
      </c>
      <c r="R38" s="35">
        <f t="shared" si="0"/>
        <v>19.697145285714281</v>
      </c>
      <c r="S38" s="40">
        <f t="shared" si="7"/>
        <v>0.15925893665681015</v>
      </c>
      <c r="T38" s="3"/>
      <c r="U38" s="3"/>
      <c r="V38" s="3"/>
      <c r="W38" s="3"/>
      <c r="X38" s="3"/>
      <c r="Y38" s="3"/>
      <c r="Z38" s="3"/>
      <c r="AA38" s="3"/>
      <c r="AB38" s="3"/>
      <c r="AC38" s="3"/>
    </row>
    <row r="39" spans="1:29" x14ac:dyDescent="0.45">
      <c r="A39" s="1">
        <v>42583</v>
      </c>
      <c r="B39">
        <v>126.900002</v>
      </c>
      <c r="C39">
        <v>128.05999800000001</v>
      </c>
      <c r="D39">
        <v>122.68</v>
      </c>
      <c r="E39">
        <v>124.029999</v>
      </c>
      <c r="F39">
        <v>112.127899</v>
      </c>
      <c r="G39">
        <v>23273200</v>
      </c>
      <c r="H39" s="3"/>
      <c r="I39" s="3">
        <f t="shared" si="1"/>
        <v>132.89999399999999</v>
      </c>
      <c r="J39" s="3">
        <f t="shared" si="2"/>
        <v>119.779999</v>
      </c>
      <c r="K39" s="3"/>
      <c r="L39" s="3"/>
      <c r="M39" s="3"/>
      <c r="N39" s="35">
        <f t="shared" si="3"/>
        <v>13.119994999999989</v>
      </c>
      <c r="O39" s="35">
        <f t="shared" si="4"/>
        <v>6.6799929999999961</v>
      </c>
      <c r="P39" s="35">
        <f t="shared" si="5"/>
        <v>6.4400019999999927</v>
      </c>
      <c r="Q39" s="35">
        <f t="shared" si="6"/>
        <v>13.119994999999989</v>
      </c>
      <c r="R39" s="35">
        <f t="shared" si="0"/>
        <v>19.596431214285712</v>
      </c>
      <c r="S39" s="40">
        <f t="shared" si="7"/>
        <v>0.15442419941242957</v>
      </c>
      <c r="T39" s="3"/>
      <c r="U39" s="3"/>
      <c r="V39" s="3"/>
      <c r="W39" s="3"/>
      <c r="X39" s="3"/>
      <c r="Y39" s="3"/>
      <c r="Z39" s="3"/>
      <c r="AA39" s="3"/>
      <c r="AB39" s="3"/>
      <c r="AC39" s="3"/>
    </row>
    <row r="40" spans="1:29" x14ac:dyDescent="0.45">
      <c r="A40" s="1">
        <v>42552</v>
      </c>
      <c r="B40">
        <v>131.679993</v>
      </c>
      <c r="C40">
        <v>132.89999399999999</v>
      </c>
      <c r="D40">
        <v>121.379997</v>
      </c>
      <c r="E40">
        <v>129.44000199999999</v>
      </c>
      <c r="F40">
        <v>117.018761</v>
      </c>
      <c r="G40">
        <v>35979600</v>
      </c>
      <c r="H40" s="3"/>
      <c r="I40" s="3">
        <f t="shared" si="1"/>
        <v>132.89999399999999</v>
      </c>
      <c r="J40" s="3">
        <f t="shared" si="2"/>
        <v>119.779999</v>
      </c>
      <c r="K40" s="3"/>
      <c r="L40" s="3"/>
      <c r="M40" s="3"/>
      <c r="N40" s="35">
        <f t="shared" si="3"/>
        <v>13.119994999999989</v>
      </c>
      <c r="O40" s="35">
        <f t="shared" si="4"/>
        <v>8.7199939999999856</v>
      </c>
      <c r="P40" s="35">
        <f t="shared" si="5"/>
        <v>4.4000010000000032</v>
      </c>
      <c r="Q40" s="35">
        <f t="shared" si="6"/>
        <v>13.119994999999989</v>
      </c>
      <c r="R40" s="35">
        <f t="shared" si="0"/>
        <v>19.417859785714288</v>
      </c>
      <c r="S40" s="40">
        <f t="shared" si="7"/>
        <v>0.1474624910233272</v>
      </c>
      <c r="T40" s="3"/>
      <c r="U40" s="3"/>
      <c r="V40" s="3"/>
      <c r="W40" s="3"/>
      <c r="X40" s="3"/>
      <c r="Y40" s="3"/>
      <c r="Z40" s="3"/>
      <c r="AA40" s="3"/>
      <c r="AB40" s="3"/>
      <c r="AC40" s="3"/>
    </row>
    <row r="41" spans="1:29" x14ac:dyDescent="0.45">
      <c r="A41" s="1">
        <v>42522</v>
      </c>
      <c r="B41">
        <v>126.739998</v>
      </c>
      <c r="C41">
        <v>131.89999399999999</v>
      </c>
      <c r="D41">
        <v>119.779999</v>
      </c>
      <c r="E41">
        <v>131.679993</v>
      </c>
      <c r="F41">
        <v>119.04377700000001</v>
      </c>
      <c r="G41">
        <v>36980000</v>
      </c>
      <c r="H41" s="3"/>
      <c r="I41" s="3">
        <f t="shared" si="1"/>
        <v>132.91000399999999</v>
      </c>
      <c r="J41" s="3">
        <f t="shared" si="2"/>
        <v>119.779999</v>
      </c>
      <c r="K41" s="3"/>
      <c r="L41" s="3"/>
      <c r="M41" s="3"/>
      <c r="N41" s="35">
        <f t="shared" si="3"/>
        <v>13.130004999999983</v>
      </c>
      <c r="O41" s="35">
        <f t="shared" si="4"/>
        <v>8.2499999999999858</v>
      </c>
      <c r="P41" s="35">
        <f t="shared" si="5"/>
        <v>4.880004999999997</v>
      </c>
      <c r="Q41" s="35">
        <f t="shared" si="6"/>
        <v>13.130004999999983</v>
      </c>
      <c r="R41" s="35">
        <f t="shared" si="0"/>
        <v>19.257859928571431</v>
      </c>
      <c r="S41" s="40">
        <f t="shared" si="7"/>
        <v>0.1519477689164192</v>
      </c>
      <c r="T41" s="3"/>
      <c r="U41" s="3"/>
      <c r="V41" s="3"/>
      <c r="W41" s="3"/>
      <c r="X41" s="3"/>
      <c r="Y41" s="3"/>
      <c r="Z41" s="3"/>
      <c r="AA41" s="3"/>
      <c r="AB41" s="3"/>
      <c r="AC41" s="3"/>
    </row>
    <row r="42" spans="1:29" x14ac:dyDescent="0.45">
      <c r="A42" s="1">
        <v>42491</v>
      </c>
      <c r="B42">
        <v>125.30999799999999</v>
      </c>
      <c r="C42">
        <v>128.10000600000001</v>
      </c>
      <c r="D42">
        <v>120.769997</v>
      </c>
      <c r="E42">
        <v>126.220001</v>
      </c>
      <c r="F42">
        <v>114.107742</v>
      </c>
      <c r="G42">
        <v>26325200</v>
      </c>
      <c r="H42" s="3"/>
      <c r="I42" s="3">
        <f t="shared" si="1"/>
        <v>132.91000399999999</v>
      </c>
      <c r="J42" s="3">
        <f t="shared" si="2"/>
        <v>111.58000199999999</v>
      </c>
      <c r="K42" s="3"/>
      <c r="L42" s="3"/>
      <c r="M42" s="3"/>
      <c r="N42" s="35">
        <f t="shared" si="3"/>
        <v>21.330001999999993</v>
      </c>
      <c r="O42" s="35">
        <f t="shared" si="4"/>
        <v>21.410003999999986</v>
      </c>
      <c r="P42" s="35">
        <f t="shared" si="5"/>
        <v>8.0001999999993245E-2</v>
      </c>
      <c r="Q42" s="35">
        <f t="shared" si="6"/>
        <v>21.410003999999986</v>
      </c>
      <c r="R42" s="35">
        <f t="shared" si="0"/>
        <v>19.020717071428574</v>
      </c>
      <c r="S42" s="40">
        <f t="shared" si="7"/>
        <v>0.15178930153225742</v>
      </c>
      <c r="T42" s="3"/>
      <c r="U42" s="3"/>
      <c r="V42" s="3"/>
      <c r="W42" s="3"/>
      <c r="X42" s="3"/>
      <c r="Y42" s="3"/>
      <c r="Z42" s="3"/>
      <c r="AA42" s="3"/>
      <c r="AB42" s="3"/>
      <c r="AC42" s="3"/>
    </row>
    <row r="43" spans="1:29" x14ac:dyDescent="0.45">
      <c r="A43" s="1">
        <v>42461</v>
      </c>
      <c r="B43">
        <v>122.480003</v>
      </c>
      <c r="C43">
        <v>132.91000399999999</v>
      </c>
      <c r="D43">
        <v>120.290001</v>
      </c>
      <c r="E43">
        <v>124.18</v>
      </c>
      <c r="F43">
        <v>110.284752</v>
      </c>
      <c r="G43">
        <v>35730700</v>
      </c>
      <c r="H43" s="3"/>
      <c r="I43" s="3">
        <f t="shared" si="1"/>
        <v>132.91000399999999</v>
      </c>
      <c r="J43" s="3">
        <f t="shared" si="2"/>
        <v>110.589996</v>
      </c>
      <c r="K43" s="3"/>
      <c r="L43" s="3"/>
      <c r="M43" s="3"/>
      <c r="N43" s="35">
        <f t="shared" si="3"/>
        <v>22.320007999999987</v>
      </c>
      <c r="O43" s="35">
        <f t="shared" si="4"/>
        <v>7.0700079999999872</v>
      </c>
      <c r="P43" s="35">
        <f t="shared" si="5"/>
        <v>15.25</v>
      </c>
      <c r="Q43" s="35">
        <f t="shared" si="6"/>
        <v>22.320007999999987</v>
      </c>
      <c r="R43" s="35">
        <f t="shared" si="0"/>
        <v>19.047145785714292</v>
      </c>
      <c r="S43" s="40">
        <f t="shared" si="7"/>
        <v>0.1555122903263996</v>
      </c>
      <c r="T43" s="3"/>
      <c r="U43" s="3"/>
      <c r="V43" s="3"/>
      <c r="W43" s="3"/>
      <c r="X43" s="3"/>
      <c r="Y43" s="3"/>
      <c r="Z43" s="3"/>
      <c r="AA43" s="3"/>
      <c r="AB43" s="3"/>
      <c r="AC43" s="3"/>
    </row>
    <row r="44" spans="1:29" x14ac:dyDescent="0.45">
      <c r="A44" s="1">
        <v>42430</v>
      </c>
      <c r="B44">
        <v>112.110001</v>
      </c>
      <c r="C44">
        <v>126.959999</v>
      </c>
      <c r="D44">
        <v>111.58000199999999</v>
      </c>
      <c r="E44">
        <v>124.660004</v>
      </c>
      <c r="F44">
        <v>110.711052</v>
      </c>
      <c r="G44">
        <v>34421500</v>
      </c>
      <c r="H44" s="3"/>
      <c r="I44" s="3">
        <f t="shared" si="1"/>
        <v>127.110001</v>
      </c>
      <c r="J44" s="3">
        <f t="shared" si="2"/>
        <v>110.589996</v>
      </c>
      <c r="K44" s="3"/>
      <c r="L44" s="3"/>
      <c r="M44" s="3"/>
      <c r="N44" s="35">
        <f t="shared" si="3"/>
        <v>16.520004999999998</v>
      </c>
      <c r="O44" s="35">
        <f t="shared" si="4"/>
        <v>2.1100009999999969</v>
      </c>
      <c r="P44" s="35">
        <f t="shared" si="5"/>
        <v>14.410004000000001</v>
      </c>
      <c r="Q44" s="35">
        <f t="shared" si="6"/>
        <v>16.520004999999998</v>
      </c>
      <c r="R44" s="35">
        <f t="shared" si="0"/>
        <v>19.008574214285719</v>
      </c>
      <c r="S44" s="40">
        <f t="shared" si="7"/>
        <v>0.16955288595783458</v>
      </c>
      <c r="T44" s="3"/>
      <c r="U44" s="3"/>
      <c r="V44" s="3"/>
      <c r="W44" s="3"/>
      <c r="X44" s="3"/>
      <c r="Y44" s="3"/>
      <c r="Z44" s="3"/>
      <c r="AA44" s="3"/>
      <c r="AB44" s="3"/>
      <c r="AC44" s="3"/>
    </row>
    <row r="45" spans="1:29" x14ac:dyDescent="0.45">
      <c r="A45" s="1">
        <v>42401</v>
      </c>
      <c r="B45">
        <v>125.470001</v>
      </c>
      <c r="C45">
        <v>127.110001</v>
      </c>
      <c r="D45">
        <v>110.589996</v>
      </c>
      <c r="E45">
        <v>111.5</v>
      </c>
      <c r="F45">
        <v>99.023598000000007</v>
      </c>
      <c r="G45">
        <v>36285300</v>
      </c>
      <c r="H45" s="3"/>
      <c r="I45" s="3">
        <f t="shared" si="1"/>
        <v>130</v>
      </c>
      <c r="J45" s="3">
        <f t="shared" si="2"/>
        <v>110.589996</v>
      </c>
      <c r="K45" s="3"/>
      <c r="L45" s="3"/>
      <c r="M45" s="3"/>
      <c r="N45" s="35">
        <f t="shared" si="3"/>
        <v>19.410004000000001</v>
      </c>
      <c r="O45" s="35">
        <f t="shared" si="4"/>
        <v>1.5399930000000097</v>
      </c>
      <c r="P45" s="35">
        <f t="shared" si="5"/>
        <v>17.870010999999991</v>
      </c>
      <c r="Q45" s="35">
        <f t="shared" si="6"/>
        <v>19.410004000000001</v>
      </c>
      <c r="R45" s="35">
        <f t="shared" si="0"/>
        <v>19.035716785714296</v>
      </c>
      <c r="S45" s="40">
        <f t="shared" si="7"/>
        <v>0.15171528360563491</v>
      </c>
      <c r="T45" s="3"/>
      <c r="U45" s="3"/>
      <c r="V45" s="3"/>
      <c r="W45" s="3"/>
      <c r="X45" s="3"/>
      <c r="Y45" s="3"/>
      <c r="Z45" s="3"/>
      <c r="AA45" s="3"/>
      <c r="AB45" s="3"/>
      <c r="AC45" s="3"/>
    </row>
    <row r="46" spans="1:29" x14ac:dyDescent="0.45">
      <c r="A46" s="1">
        <v>42370</v>
      </c>
      <c r="B46">
        <v>122.58000199999999</v>
      </c>
      <c r="C46">
        <v>126.220001</v>
      </c>
      <c r="D46">
        <v>113.360001</v>
      </c>
      <c r="E46">
        <v>125.839996</v>
      </c>
      <c r="F46">
        <v>111.758995</v>
      </c>
      <c r="G46">
        <v>39390200</v>
      </c>
      <c r="H46" s="3"/>
      <c r="I46" s="3">
        <f t="shared" si="1"/>
        <v>130.08000200000001</v>
      </c>
      <c r="J46" s="3">
        <f t="shared" si="2"/>
        <v>113.360001</v>
      </c>
      <c r="K46" s="3"/>
      <c r="L46" s="3"/>
      <c r="M46" s="3"/>
      <c r="N46" s="35">
        <f t="shared" si="3"/>
        <v>16.720001000000011</v>
      </c>
      <c r="O46" s="35">
        <f t="shared" si="4"/>
        <v>10.750000000000014</v>
      </c>
      <c r="P46" s="35">
        <f t="shared" si="5"/>
        <v>5.9700009999999963</v>
      </c>
      <c r="Q46" s="35">
        <f t="shared" si="6"/>
        <v>16.720001000000011</v>
      </c>
      <c r="R46" s="35">
        <f t="shared" si="0"/>
        <v>18.739288071428579</v>
      </c>
      <c r="S46" s="40">
        <f t="shared" si="7"/>
        <v>0.15287394163550902</v>
      </c>
      <c r="T46" s="3"/>
      <c r="U46" s="3"/>
      <c r="V46" s="3"/>
      <c r="W46" s="3"/>
      <c r="X46" s="3"/>
      <c r="Y46" s="3"/>
      <c r="Z46" s="3"/>
      <c r="AA46" s="3"/>
      <c r="AB46" s="3"/>
      <c r="AC46" s="3"/>
    </row>
    <row r="47" spans="1:29" x14ac:dyDescent="0.45">
      <c r="A47" s="1">
        <v>42339</v>
      </c>
      <c r="B47">
        <v>128.60000600000001</v>
      </c>
      <c r="C47">
        <v>130</v>
      </c>
      <c r="D47">
        <v>121.650002</v>
      </c>
      <c r="E47">
        <v>125</v>
      </c>
      <c r="F47">
        <v>111.01300000000001</v>
      </c>
      <c r="G47">
        <v>34939500</v>
      </c>
      <c r="H47" s="3"/>
      <c r="I47" s="3">
        <f t="shared" si="1"/>
        <v>130.08000200000001</v>
      </c>
      <c r="J47" s="3">
        <f t="shared" si="2"/>
        <v>105.339996</v>
      </c>
      <c r="K47" s="3"/>
      <c r="L47" s="3"/>
      <c r="M47" s="3"/>
      <c r="N47" s="35">
        <f t="shared" si="3"/>
        <v>24.740006000000008</v>
      </c>
      <c r="O47" s="35">
        <f t="shared" si="4"/>
        <v>23.760002000000014</v>
      </c>
      <c r="P47" s="35">
        <f t="shared" si="5"/>
        <v>0.98000399999999388</v>
      </c>
      <c r="Q47" s="35">
        <f t="shared" si="6"/>
        <v>24.740006000000008</v>
      </c>
      <c r="R47" s="35">
        <f t="shared" si="0"/>
        <v>18.635002428571433</v>
      </c>
      <c r="S47" s="40">
        <f t="shared" si="7"/>
        <v>0.14490669952668145</v>
      </c>
      <c r="T47" s="3"/>
      <c r="U47" s="3"/>
      <c r="V47" s="3"/>
      <c r="W47" s="3"/>
      <c r="X47" s="3"/>
      <c r="Y47" s="3"/>
      <c r="Z47" s="3"/>
      <c r="AA47" s="3"/>
      <c r="AB47" s="3"/>
      <c r="AC47" s="3"/>
    </row>
    <row r="48" spans="1:29" x14ac:dyDescent="0.45">
      <c r="A48" s="1">
        <v>42309</v>
      </c>
      <c r="B48">
        <v>120</v>
      </c>
      <c r="C48">
        <v>130.08000200000001</v>
      </c>
      <c r="D48">
        <v>116.459999</v>
      </c>
      <c r="E48">
        <v>128.46000699999999</v>
      </c>
      <c r="F48">
        <v>112.41185</v>
      </c>
      <c r="G48">
        <v>28905400</v>
      </c>
      <c r="H48" s="3"/>
      <c r="I48" s="3">
        <f t="shared" si="1"/>
        <v>130.08000200000001</v>
      </c>
      <c r="J48" s="3">
        <f t="shared" si="2"/>
        <v>103.19000200000001</v>
      </c>
      <c r="K48" s="3"/>
      <c r="L48" s="3"/>
      <c r="M48" s="3"/>
      <c r="N48" s="35">
        <f t="shared" si="3"/>
        <v>26.89</v>
      </c>
      <c r="O48" s="35">
        <f t="shared" si="4"/>
        <v>21.169998000000007</v>
      </c>
      <c r="P48" s="35">
        <f t="shared" si="5"/>
        <v>5.7200019999999938</v>
      </c>
      <c r="Q48" s="35">
        <f t="shared" si="6"/>
        <v>26.89</v>
      </c>
      <c r="R48" s="35">
        <f t="shared" si="0"/>
        <v>17.788573357142862</v>
      </c>
      <c r="S48" s="40">
        <f t="shared" si="7"/>
        <v>0.14823811130952386</v>
      </c>
      <c r="T48" s="3"/>
      <c r="U48" s="3"/>
      <c r="V48" s="3"/>
      <c r="W48" s="3"/>
      <c r="X48" s="3"/>
      <c r="Y48" s="3"/>
      <c r="Z48" s="3"/>
      <c r="AA48" s="3"/>
      <c r="AB48" s="3"/>
      <c r="AC48" s="3"/>
    </row>
    <row r="49" spans="1:29" x14ac:dyDescent="0.45">
      <c r="A49" s="1">
        <v>42278</v>
      </c>
      <c r="B49">
        <v>106.099998</v>
      </c>
      <c r="C49">
        <v>120.660004</v>
      </c>
      <c r="D49">
        <v>105.339996</v>
      </c>
      <c r="E49">
        <v>119.33000199999999</v>
      </c>
      <c r="F49">
        <v>104.42243999999999</v>
      </c>
      <c r="G49">
        <v>39606000</v>
      </c>
      <c r="H49" s="3"/>
      <c r="I49" s="3">
        <f t="shared" si="1"/>
        <v>122.94000200000001</v>
      </c>
      <c r="J49" s="3">
        <f t="shared" si="2"/>
        <v>102.58000199999999</v>
      </c>
      <c r="K49" s="3"/>
      <c r="L49" s="3"/>
      <c r="M49" s="3"/>
      <c r="N49" s="35">
        <f t="shared" si="3"/>
        <v>20.360000000000014</v>
      </c>
      <c r="O49" s="35">
        <f t="shared" si="4"/>
        <v>3.3899990000000031</v>
      </c>
      <c r="P49" s="35">
        <f t="shared" si="5"/>
        <v>16.970001000000011</v>
      </c>
      <c r="Q49" s="35">
        <f t="shared" si="6"/>
        <v>20.360000000000014</v>
      </c>
      <c r="R49" s="35">
        <f t="shared" si="0"/>
        <v>16.582144785714288</v>
      </c>
      <c r="S49" s="40">
        <f t="shared" si="7"/>
        <v>0.15628788971055671</v>
      </c>
      <c r="T49" s="3"/>
      <c r="U49" s="3"/>
      <c r="V49" s="3"/>
      <c r="W49" s="3"/>
      <c r="X49" s="3"/>
      <c r="Y49" s="3"/>
      <c r="Z49" s="3"/>
      <c r="AA49" s="3"/>
      <c r="AB49" s="3"/>
      <c r="AC49" s="3"/>
    </row>
    <row r="50" spans="1:29" x14ac:dyDescent="0.45">
      <c r="A50" s="1">
        <v>42248</v>
      </c>
      <c r="B50">
        <v>106.540001</v>
      </c>
      <c r="C50">
        <v>116.879997</v>
      </c>
      <c r="D50">
        <v>103.19000200000001</v>
      </c>
      <c r="E50">
        <v>106.32</v>
      </c>
      <c r="F50">
        <v>93.037757999999997</v>
      </c>
      <c r="G50">
        <v>61379800</v>
      </c>
      <c r="H50" s="3"/>
      <c r="I50" s="3">
        <f t="shared" si="1"/>
        <v>129.240005</v>
      </c>
      <c r="J50" s="3">
        <f t="shared" si="2"/>
        <v>102.58000199999999</v>
      </c>
      <c r="K50" s="3"/>
      <c r="L50" s="3"/>
      <c r="M50" s="3"/>
      <c r="N50" s="35">
        <f t="shared" si="3"/>
        <v>26.660003000000003</v>
      </c>
      <c r="O50" s="35">
        <f t="shared" si="4"/>
        <v>8.5700069999999897</v>
      </c>
      <c r="P50" s="35">
        <f t="shared" si="5"/>
        <v>18.089996000000014</v>
      </c>
      <c r="Q50" s="35">
        <f t="shared" si="6"/>
        <v>26.660003000000003</v>
      </c>
      <c r="R50" s="35">
        <f t="shared" si="0"/>
        <v>15.900002357142856</v>
      </c>
      <c r="S50" s="40">
        <f t="shared" si="7"/>
        <v>0.14923974289377803</v>
      </c>
      <c r="T50" s="3"/>
      <c r="U50" s="3"/>
      <c r="V50" s="3"/>
      <c r="W50" s="3"/>
      <c r="X50" s="3"/>
      <c r="Y50" s="3"/>
      <c r="Z50" s="3"/>
      <c r="AA50" s="3"/>
      <c r="AB50" s="3"/>
      <c r="AC50" s="3"/>
    </row>
    <row r="51" spans="1:29" x14ac:dyDescent="0.45">
      <c r="A51" s="1">
        <v>42217</v>
      </c>
      <c r="B51">
        <v>121.779999</v>
      </c>
      <c r="C51">
        <v>122.94000200000001</v>
      </c>
      <c r="D51">
        <v>102.58000199999999</v>
      </c>
      <c r="E51">
        <v>108.910004</v>
      </c>
      <c r="F51">
        <v>95.304175999999998</v>
      </c>
      <c r="G51">
        <v>36906100</v>
      </c>
      <c r="H51" s="3"/>
      <c r="I51" s="3">
        <f t="shared" si="1"/>
        <v>129.240005</v>
      </c>
      <c r="J51" s="3">
        <f t="shared" si="2"/>
        <v>102.58000199999999</v>
      </c>
      <c r="K51" s="3"/>
      <c r="L51" s="3"/>
      <c r="M51" s="3"/>
      <c r="N51" s="35">
        <f t="shared" si="3"/>
        <v>26.660003000000003</v>
      </c>
      <c r="O51" s="35">
        <f t="shared" si="4"/>
        <v>8.6800070000000034</v>
      </c>
      <c r="P51" s="35">
        <f t="shared" si="5"/>
        <v>17.979996</v>
      </c>
      <c r="Q51" s="35">
        <f t="shared" si="6"/>
        <v>26.660003000000003</v>
      </c>
      <c r="R51" s="35">
        <f t="shared" si="0"/>
        <v>14.769288</v>
      </c>
      <c r="S51" s="40">
        <f t="shared" si="7"/>
        <v>0.12127843752076232</v>
      </c>
      <c r="T51" s="3"/>
      <c r="U51" s="3"/>
      <c r="V51" s="3"/>
      <c r="W51" s="3"/>
      <c r="X51" s="3"/>
      <c r="Y51" s="3"/>
      <c r="Z51" s="3"/>
      <c r="AA51" s="3"/>
      <c r="AB51" s="3"/>
      <c r="AC51" s="3"/>
    </row>
    <row r="52" spans="1:29" x14ac:dyDescent="0.45">
      <c r="A52" s="1">
        <v>42186</v>
      </c>
      <c r="B52">
        <v>122.970001</v>
      </c>
      <c r="C52">
        <v>129.240005</v>
      </c>
      <c r="D52">
        <v>115.949997</v>
      </c>
      <c r="E52">
        <v>119.550003</v>
      </c>
      <c r="F52">
        <v>104.61496</v>
      </c>
      <c r="G52">
        <v>35144900</v>
      </c>
      <c r="H52" s="3"/>
      <c r="I52" s="3">
        <f t="shared" si="1"/>
        <v>129.240005</v>
      </c>
      <c r="J52" s="3">
        <f t="shared" si="2"/>
        <v>115.949997</v>
      </c>
      <c r="K52" s="3"/>
      <c r="L52" s="3"/>
      <c r="M52" s="3"/>
      <c r="N52" s="35">
        <f t="shared" si="3"/>
        <v>13.290008</v>
      </c>
      <c r="O52" s="35">
        <f t="shared" si="4"/>
        <v>9.2000039999999927</v>
      </c>
      <c r="P52" s="35">
        <f t="shared" si="5"/>
        <v>4.0900040000000075</v>
      </c>
      <c r="Q52" s="35">
        <f t="shared" si="6"/>
        <v>13.290008</v>
      </c>
      <c r="R52" s="35">
        <f t="shared" si="0"/>
        <v>13.676430714285715</v>
      </c>
      <c r="S52" s="40">
        <f t="shared" si="7"/>
        <v>0.11121761895639665</v>
      </c>
      <c r="T52" s="3"/>
      <c r="U52" s="3"/>
      <c r="V52" s="3"/>
      <c r="W52" s="3"/>
      <c r="X52" s="3"/>
      <c r="Y52" s="3"/>
      <c r="Z52" s="3"/>
      <c r="AA52" s="3"/>
      <c r="AB52" s="3"/>
      <c r="AC52" s="3"/>
    </row>
    <row r="53" spans="1:29" x14ac:dyDescent="0.45">
      <c r="A53" s="1">
        <v>42156</v>
      </c>
      <c r="B53">
        <v>120.239998</v>
      </c>
      <c r="C53">
        <v>127.349998</v>
      </c>
      <c r="D53">
        <v>118.639999</v>
      </c>
      <c r="E53">
        <v>120.66999800000001</v>
      </c>
      <c r="F53">
        <v>105.595039</v>
      </c>
      <c r="G53">
        <v>32271800</v>
      </c>
      <c r="H53" s="3"/>
      <c r="I53" s="3">
        <f t="shared" si="1"/>
        <v>127.629997</v>
      </c>
      <c r="J53" s="3">
        <f t="shared" si="2"/>
        <v>117.010002</v>
      </c>
      <c r="K53" s="3"/>
      <c r="L53" s="3"/>
      <c r="M53" s="3"/>
      <c r="N53" s="35">
        <f t="shared" si="3"/>
        <v>10.619995000000003</v>
      </c>
      <c r="O53" s="35">
        <f t="shared" si="4"/>
        <v>5.7199930000000023</v>
      </c>
      <c r="P53" s="35">
        <f t="shared" si="5"/>
        <v>4.9000020000000006</v>
      </c>
      <c r="Q53" s="35">
        <f t="shared" si="6"/>
        <v>10.619995000000003</v>
      </c>
      <c r="R53" s="35">
        <f t="shared" si="0"/>
        <v>13.582858357142857</v>
      </c>
      <c r="S53" s="40">
        <f t="shared" si="7"/>
        <v>0.11296455907411823</v>
      </c>
      <c r="T53" s="3"/>
      <c r="U53" s="3"/>
      <c r="V53" s="3"/>
      <c r="W53" s="3"/>
      <c r="X53" s="3"/>
      <c r="Y53" s="3"/>
      <c r="Z53" s="3"/>
      <c r="AA53" s="3"/>
      <c r="AB53" s="3"/>
      <c r="AC53" s="3"/>
    </row>
    <row r="54" spans="1:29" x14ac:dyDescent="0.45">
      <c r="A54" s="1">
        <v>42125</v>
      </c>
      <c r="B54">
        <v>120</v>
      </c>
      <c r="C54">
        <v>124.33000199999999</v>
      </c>
      <c r="D54">
        <v>117.010002</v>
      </c>
      <c r="E54">
        <v>120.55999799999999</v>
      </c>
      <c r="F54">
        <v>105.49878699999999</v>
      </c>
      <c r="G54">
        <v>22665200</v>
      </c>
      <c r="H54" s="3"/>
      <c r="I54" s="3">
        <f t="shared" si="1"/>
        <v>127.889999</v>
      </c>
      <c r="J54" s="3">
        <f t="shared" si="2"/>
        <v>117.010002</v>
      </c>
      <c r="K54" s="3"/>
      <c r="L54" s="3"/>
      <c r="M54" s="3"/>
      <c r="N54" s="35">
        <f t="shared" si="3"/>
        <v>10.879997000000003</v>
      </c>
      <c r="O54" s="35">
        <f t="shared" si="4"/>
        <v>1.2299950000000024</v>
      </c>
      <c r="P54" s="35">
        <f t="shared" si="5"/>
        <v>9.6500020000000006</v>
      </c>
      <c r="Q54" s="35">
        <f t="shared" si="6"/>
        <v>10.879997000000003</v>
      </c>
      <c r="R54" s="35">
        <f t="shared" si="0"/>
        <v>14.085715571428576</v>
      </c>
      <c r="S54" s="40">
        <f t="shared" si="7"/>
        <v>0.11738096309523813</v>
      </c>
      <c r="T54" s="3"/>
      <c r="U54" s="3"/>
      <c r="V54" s="3"/>
      <c r="W54" s="3"/>
      <c r="X54" s="3"/>
      <c r="Y54" s="3"/>
      <c r="Z54" s="3"/>
      <c r="AA54" s="3"/>
      <c r="AB54" s="3"/>
      <c r="AC54" s="3"/>
    </row>
    <row r="55" spans="1:29" x14ac:dyDescent="0.45">
      <c r="A55" s="1">
        <v>42095</v>
      </c>
      <c r="B55">
        <v>123.629997</v>
      </c>
      <c r="C55">
        <v>127.629997</v>
      </c>
      <c r="D55">
        <v>119.010002</v>
      </c>
      <c r="E55">
        <v>120.040001</v>
      </c>
      <c r="F55">
        <v>103.20816000000001</v>
      </c>
      <c r="G55">
        <v>18525400</v>
      </c>
      <c r="H55" s="3"/>
      <c r="I55" s="3">
        <f t="shared" si="1"/>
        <v>128.35000600000001</v>
      </c>
      <c r="J55" s="3">
        <f t="shared" si="2"/>
        <v>118.540001</v>
      </c>
      <c r="K55" s="3"/>
      <c r="L55" s="3"/>
      <c r="M55" s="3"/>
      <c r="N55" s="35">
        <f t="shared" si="3"/>
        <v>9.8100050000000039</v>
      </c>
      <c r="O55" s="35">
        <f t="shared" si="4"/>
        <v>6.2800060000000144</v>
      </c>
      <c r="P55" s="35">
        <f t="shared" si="5"/>
        <v>3.5299989999999895</v>
      </c>
      <c r="Q55" s="35">
        <f t="shared" si="6"/>
        <v>9.8100050000000039</v>
      </c>
      <c r="R55" s="35">
        <f t="shared" si="0"/>
        <v>14.21857278571429</v>
      </c>
      <c r="S55" s="40">
        <f t="shared" si="7"/>
        <v>0.11500908461329405</v>
      </c>
      <c r="T55" s="3"/>
      <c r="U55" s="3"/>
      <c r="V55" s="3"/>
      <c r="W55" s="3"/>
      <c r="X55" s="3"/>
      <c r="Y55" s="3"/>
      <c r="Z55" s="3"/>
      <c r="AA55" s="3"/>
      <c r="AB55" s="3"/>
      <c r="AC55" s="3"/>
    </row>
    <row r="56" spans="1:29" x14ac:dyDescent="0.45">
      <c r="A56" s="1">
        <v>42064</v>
      </c>
      <c r="B56">
        <v>127.550003</v>
      </c>
      <c r="C56">
        <v>127.889999</v>
      </c>
      <c r="D56">
        <v>119.41999800000001</v>
      </c>
      <c r="E56">
        <v>121.910004</v>
      </c>
      <c r="F56">
        <v>104.81594800000001</v>
      </c>
      <c r="G56">
        <v>31123800</v>
      </c>
      <c r="H56" s="3"/>
      <c r="I56" s="3">
        <f t="shared" si="1"/>
        <v>128.35000600000001</v>
      </c>
      <c r="J56" s="3">
        <f t="shared" si="2"/>
        <v>106.57</v>
      </c>
      <c r="K56" s="3"/>
      <c r="L56" s="3"/>
      <c r="M56" s="3"/>
      <c r="N56" s="35">
        <f t="shared" si="3"/>
        <v>21.780006000000014</v>
      </c>
      <c r="O56" s="35">
        <f t="shared" si="4"/>
        <v>16.030006000000014</v>
      </c>
      <c r="P56" s="35">
        <f t="shared" si="5"/>
        <v>5.75</v>
      </c>
      <c r="Q56" s="35">
        <f t="shared" si="6"/>
        <v>21.780006000000014</v>
      </c>
      <c r="R56" s="35">
        <f t="shared" si="0"/>
        <v>14.454286785714292</v>
      </c>
      <c r="S56" s="40">
        <f t="shared" si="7"/>
        <v>0.11332251231475307</v>
      </c>
      <c r="T56" s="3"/>
      <c r="U56" s="3"/>
      <c r="V56" s="3"/>
      <c r="W56" s="3"/>
      <c r="X56" s="3"/>
      <c r="Y56" s="3"/>
      <c r="Z56" s="3"/>
      <c r="AA56" s="3"/>
      <c r="AB56" s="3"/>
      <c r="AC56" s="3"/>
    </row>
    <row r="57" spans="1:29" x14ac:dyDescent="0.45">
      <c r="A57" s="1">
        <v>42036</v>
      </c>
      <c r="B57">
        <v>121.529999</v>
      </c>
      <c r="C57">
        <v>128.35000600000001</v>
      </c>
      <c r="D57">
        <v>118.540001</v>
      </c>
      <c r="E57">
        <v>126.660004</v>
      </c>
      <c r="F57">
        <v>108.899918</v>
      </c>
      <c r="G57">
        <v>30742600</v>
      </c>
      <c r="H57" s="3"/>
      <c r="I57" s="3">
        <f t="shared" si="1"/>
        <v>128.35000600000001</v>
      </c>
      <c r="J57" s="3">
        <f t="shared" si="2"/>
        <v>106.57</v>
      </c>
      <c r="K57" s="3"/>
      <c r="L57" s="3"/>
      <c r="M57" s="3"/>
      <c r="N57" s="35">
        <f t="shared" si="3"/>
        <v>21.780006000000014</v>
      </c>
      <c r="O57" s="35">
        <f t="shared" si="4"/>
        <v>11.360008000000008</v>
      </c>
      <c r="P57" s="35">
        <f t="shared" si="5"/>
        <v>10.419998000000007</v>
      </c>
      <c r="Q57" s="35">
        <f t="shared" si="6"/>
        <v>21.780006000000014</v>
      </c>
      <c r="R57" s="35">
        <f t="shared" si="0"/>
        <v>13.802858071428572</v>
      </c>
      <c r="S57" s="40">
        <f t="shared" si="7"/>
        <v>0.11357572768044351</v>
      </c>
      <c r="T57" s="3"/>
      <c r="U57" s="3"/>
      <c r="V57" s="3"/>
      <c r="W57" s="3"/>
      <c r="X57" s="3"/>
      <c r="Y57" s="3"/>
      <c r="Z57" s="3"/>
      <c r="AA57" s="3"/>
      <c r="AB57" s="3"/>
      <c r="AC57" s="3"/>
    </row>
    <row r="58" spans="1:29" x14ac:dyDescent="0.45">
      <c r="A58" s="1">
        <v>42005</v>
      </c>
      <c r="B58">
        <v>112.300003</v>
      </c>
      <c r="C58">
        <v>123.470001</v>
      </c>
      <c r="D58">
        <v>106.57</v>
      </c>
      <c r="E58">
        <v>122.07</v>
      </c>
      <c r="F58">
        <v>104.95352200000001</v>
      </c>
      <c r="G58">
        <v>39593000</v>
      </c>
      <c r="H58" s="3"/>
      <c r="I58" s="3">
        <f t="shared" si="1"/>
        <v>123.470001</v>
      </c>
      <c r="J58" s="3">
        <f t="shared" si="2"/>
        <v>106.57</v>
      </c>
      <c r="K58" s="3"/>
      <c r="L58" s="3"/>
      <c r="M58" s="3"/>
      <c r="N58" s="35">
        <f t="shared" si="3"/>
        <v>16.900001000000003</v>
      </c>
      <c r="O58" s="35">
        <f t="shared" si="4"/>
        <v>12.489998</v>
      </c>
      <c r="P58" s="35">
        <f t="shared" si="5"/>
        <v>4.4100030000000032</v>
      </c>
      <c r="Q58" s="35">
        <f t="shared" si="6"/>
        <v>16.900001000000003</v>
      </c>
      <c r="R58" s="35">
        <f t="shared" si="0"/>
        <v>13.046429285714288</v>
      </c>
      <c r="S58" s="40">
        <f t="shared" si="7"/>
        <v>0.11617479017978555</v>
      </c>
      <c r="T58" s="3"/>
      <c r="U58" s="3"/>
      <c r="V58" s="3"/>
      <c r="W58" s="3"/>
      <c r="X58" s="3"/>
      <c r="Y58" s="3"/>
      <c r="Z58" s="3"/>
      <c r="AA58" s="3"/>
      <c r="AB58" s="3"/>
      <c r="AC58" s="3"/>
    </row>
    <row r="59" spans="1:29" x14ac:dyDescent="0.45">
      <c r="A59" s="1">
        <v>41974</v>
      </c>
      <c r="B59">
        <v>116.94000200000001</v>
      </c>
      <c r="C59">
        <v>116.989998</v>
      </c>
      <c r="D59">
        <v>107.629997</v>
      </c>
      <c r="E59">
        <v>112.32</v>
      </c>
      <c r="F59">
        <v>96.570656</v>
      </c>
      <c r="G59">
        <v>30797700</v>
      </c>
      <c r="H59" s="3"/>
      <c r="I59" s="3">
        <f t="shared" si="1"/>
        <v>117.470001</v>
      </c>
      <c r="J59" s="3">
        <f t="shared" si="2"/>
        <v>102.209999</v>
      </c>
      <c r="K59" s="3"/>
      <c r="L59" s="3"/>
      <c r="M59" s="3"/>
      <c r="N59" s="35">
        <f t="shared" si="3"/>
        <v>15.260002</v>
      </c>
      <c r="O59" s="35">
        <f t="shared" si="4"/>
        <v>6.620002999999997</v>
      </c>
      <c r="P59" s="35">
        <f t="shared" si="5"/>
        <v>8.6399990000000031</v>
      </c>
      <c r="Q59" s="35">
        <f t="shared" si="6"/>
        <v>15.260002</v>
      </c>
      <c r="R59" s="35">
        <f t="shared" si="0"/>
        <v>12.705715285714287</v>
      </c>
      <c r="S59" s="40">
        <f t="shared" si="7"/>
        <v>0.108651574041484</v>
      </c>
      <c r="T59" s="3"/>
      <c r="U59" s="3"/>
      <c r="V59" s="3"/>
      <c r="W59" s="3"/>
      <c r="X59" s="3"/>
      <c r="Y59" s="3"/>
      <c r="Z59" s="3"/>
      <c r="AA59" s="3"/>
      <c r="AB59" s="3"/>
      <c r="AC59" s="3"/>
    </row>
    <row r="60" spans="1:29" x14ac:dyDescent="0.45">
      <c r="A60" s="1">
        <v>41944</v>
      </c>
      <c r="B60">
        <v>109.839996</v>
      </c>
      <c r="C60">
        <v>117.470001</v>
      </c>
      <c r="D60">
        <v>107.589996</v>
      </c>
      <c r="E60">
        <v>116.989998</v>
      </c>
      <c r="F60">
        <v>99.439018000000004</v>
      </c>
      <c r="G60">
        <v>20099300</v>
      </c>
      <c r="H60" s="3"/>
      <c r="I60" s="3">
        <f t="shared" si="1"/>
        <v>117.470001</v>
      </c>
      <c r="J60" s="3">
        <f t="shared" si="2"/>
        <v>102.209999</v>
      </c>
      <c r="K60" s="3"/>
      <c r="L60" s="3"/>
      <c r="M60" s="3"/>
      <c r="N60" s="35">
        <f t="shared" si="3"/>
        <v>15.260002</v>
      </c>
      <c r="O60" s="35">
        <f t="shared" si="4"/>
        <v>5.6900019999999927</v>
      </c>
      <c r="P60" s="35">
        <f t="shared" si="5"/>
        <v>9.5700000000000074</v>
      </c>
      <c r="Q60" s="35">
        <f t="shared" si="6"/>
        <v>15.260002</v>
      </c>
      <c r="R60" s="35">
        <f t="shared" si="0"/>
        <v>12.475000785714284</v>
      </c>
      <c r="S60" s="40">
        <f t="shared" si="7"/>
        <v>0.11357430116543599</v>
      </c>
      <c r="T60" s="3"/>
      <c r="U60" s="3"/>
      <c r="V60" s="3"/>
      <c r="W60" s="3"/>
      <c r="X60" s="3"/>
      <c r="Y60" s="3"/>
      <c r="Z60" s="3"/>
      <c r="AA60" s="3"/>
      <c r="AB60" s="3"/>
      <c r="AC60" s="3"/>
    </row>
    <row r="61" spans="1:29" x14ac:dyDescent="0.45">
      <c r="A61" s="1">
        <v>41913</v>
      </c>
      <c r="B61">
        <v>109.199997</v>
      </c>
      <c r="C61">
        <v>111.379997</v>
      </c>
      <c r="D61">
        <v>102.209999</v>
      </c>
      <c r="E61">
        <v>110.980003</v>
      </c>
      <c r="F61">
        <v>94.330658</v>
      </c>
      <c r="G61">
        <v>40385200</v>
      </c>
      <c r="H61" s="3"/>
      <c r="I61" s="3">
        <f t="shared" si="1"/>
        <v>115.099998</v>
      </c>
      <c r="J61" s="3">
        <f t="shared" si="2"/>
        <v>102.209999</v>
      </c>
      <c r="K61" s="3"/>
      <c r="L61" s="3"/>
      <c r="M61" s="3"/>
      <c r="N61" s="35">
        <f t="shared" si="3"/>
        <v>12.889999000000003</v>
      </c>
      <c r="O61" s="35">
        <f t="shared" si="4"/>
        <v>7.119995000000003</v>
      </c>
      <c r="P61" s="35">
        <f t="shared" si="5"/>
        <v>5.7700040000000001</v>
      </c>
      <c r="Q61" s="35">
        <f t="shared" si="6"/>
        <v>12.889999000000003</v>
      </c>
      <c r="R61" s="35">
        <f t="shared" si="0"/>
        <v>12.655714928571427</v>
      </c>
      <c r="S61" s="40">
        <f t="shared" si="7"/>
        <v>0.11589482853714206</v>
      </c>
      <c r="T61" s="3"/>
      <c r="U61" s="3"/>
      <c r="V61" s="3"/>
      <c r="W61" s="3"/>
      <c r="X61" s="3"/>
      <c r="Y61" s="3"/>
      <c r="Z61" s="3"/>
      <c r="AA61" s="3"/>
      <c r="AB61" s="3"/>
      <c r="AC61" s="3"/>
    </row>
    <row r="62" spans="1:29" x14ac:dyDescent="0.45">
      <c r="A62" s="1">
        <v>41883</v>
      </c>
      <c r="B62">
        <v>111.349998</v>
      </c>
      <c r="C62">
        <v>115.099998</v>
      </c>
      <c r="D62">
        <v>110.010002</v>
      </c>
      <c r="E62">
        <v>110.849998</v>
      </c>
      <c r="F62">
        <v>94.220146</v>
      </c>
      <c r="G62">
        <v>24977900</v>
      </c>
      <c r="H62" s="3"/>
      <c r="I62" s="3">
        <f t="shared" si="1"/>
        <v>115.839996</v>
      </c>
      <c r="J62" s="3">
        <f t="shared" si="2"/>
        <v>105.839996</v>
      </c>
      <c r="K62" s="3"/>
      <c r="L62" s="3"/>
      <c r="M62" s="3"/>
      <c r="N62" s="35">
        <f t="shared" si="3"/>
        <v>10</v>
      </c>
      <c r="O62" s="35">
        <f t="shared" si="4"/>
        <v>0.89999399999999241</v>
      </c>
      <c r="P62" s="35">
        <f t="shared" si="5"/>
        <v>9.1000060000000076</v>
      </c>
      <c r="Q62" s="35">
        <f t="shared" si="6"/>
        <v>10</v>
      </c>
      <c r="R62" s="35">
        <f t="shared" si="0"/>
        <v>12.957143642857144</v>
      </c>
      <c r="S62" s="40">
        <f t="shared" si="7"/>
        <v>0.11636411203938364</v>
      </c>
      <c r="T62" s="3"/>
      <c r="U62" s="3"/>
      <c r="V62" s="3"/>
      <c r="W62" s="3"/>
      <c r="X62" s="3"/>
      <c r="Y62" s="3"/>
      <c r="Z62" s="3"/>
      <c r="AA62" s="3"/>
      <c r="AB62" s="3"/>
      <c r="AC62" s="3"/>
    </row>
    <row r="63" spans="1:29" x14ac:dyDescent="0.45">
      <c r="A63" s="1">
        <v>41852</v>
      </c>
      <c r="B63">
        <v>106.58000199999999</v>
      </c>
      <c r="C63">
        <v>112.66999800000001</v>
      </c>
      <c r="D63">
        <v>105.839996</v>
      </c>
      <c r="E63">
        <v>111.779999</v>
      </c>
      <c r="F63">
        <v>95.010627999999997</v>
      </c>
      <c r="G63">
        <v>19127200</v>
      </c>
      <c r="H63" s="3"/>
      <c r="I63" s="3">
        <f t="shared" si="1"/>
        <v>116.650002</v>
      </c>
      <c r="J63" s="3">
        <f t="shared" si="2"/>
        <v>105.839996</v>
      </c>
      <c r="K63" s="3"/>
      <c r="L63" s="3"/>
      <c r="M63" s="3"/>
      <c r="N63" s="35">
        <f t="shared" si="3"/>
        <v>10.810006000000001</v>
      </c>
      <c r="O63" s="35">
        <f t="shared" si="4"/>
        <v>6.7300039999999939</v>
      </c>
      <c r="P63" s="35">
        <f t="shared" si="5"/>
        <v>4.0800020000000075</v>
      </c>
      <c r="Q63" s="35">
        <f t="shared" si="6"/>
        <v>10.810006000000001</v>
      </c>
      <c r="R63" s="35">
        <f t="shared" si="0"/>
        <v>13.284286142857143</v>
      </c>
      <c r="S63" s="40">
        <f t="shared" si="7"/>
        <v>0.12464145143154665</v>
      </c>
      <c r="T63" s="3"/>
      <c r="U63" s="3"/>
      <c r="V63" s="3"/>
      <c r="W63" s="3"/>
      <c r="X63" s="3"/>
      <c r="Y63" s="3"/>
      <c r="Z63" s="3"/>
      <c r="AA63" s="3"/>
      <c r="AB63" s="3"/>
      <c r="AC63" s="3"/>
    </row>
    <row r="64" spans="1:29" x14ac:dyDescent="0.45">
      <c r="A64" s="1">
        <v>41821</v>
      </c>
      <c r="B64">
        <v>114.68</v>
      </c>
      <c r="C64">
        <v>115.839996</v>
      </c>
      <c r="D64">
        <v>107.83000199999999</v>
      </c>
      <c r="E64">
        <v>107.980003</v>
      </c>
      <c r="F64">
        <v>91.780700999999993</v>
      </c>
      <c r="G64">
        <v>19453300</v>
      </c>
      <c r="H64" s="3"/>
      <c r="I64" s="3">
        <f t="shared" si="1"/>
        <v>116.650002</v>
      </c>
      <c r="J64" s="3">
        <f t="shared" si="2"/>
        <v>105.860001</v>
      </c>
      <c r="K64" s="3"/>
      <c r="L64" s="3"/>
      <c r="M64" s="3"/>
      <c r="N64" s="35">
        <f t="shared" si="3"/>
        <v>10.790001000000004</v>
      </c>
      <c r="O64" s="35">
        <f t="shared" si="4"/>
        <v>10.830002000000007</v>
      </c>
      <c r="P64" s="35">
        <f t="shared" si="5"/>
        <v>4.0001000000003728E-2</v>
      </c>
      <c r="Q64" s="35">
        <f t="shared" si="6"/>
        <v>10.830002000000007</v>
      </c>
      <c r="R64" s="35">
        <f t="shared" si="0"/>
        <v>13.792142785714287</v>
      </c>
      <c r="S64" s="40">
        <f t="shared" si="7"/>
        <v>0.12026633053465544</v>
      </c>
      <c r="T64" s="3"/>
      <c r="U64" s="3"/>
      <c r="V64" s="3"/>
      <c r="W64" s="3"/>
      <c r="X64" s="3"/>
      <c r="Y64" s="3"/>
      <c r="Z64" s="3"/>
      <c r="AA64" s="3"/>
      <c r="AB64" s="3"/>
      <c r="AC64" s="3"/>
    </row>
    <row r="65" spans="1:29" x14ac:dyDescent="0.45">
      <c r="A65" s="1">
        <v>41791</v>
      </c>
      <c r="B65">
        <v>109.540001</v>
      </c>
      <c r="C65">
        <v>116.650002</v>
      </c>
      <c r="D65">
        <v>109.209999</v>
      </c>
      <c r="E65">
        <v>114.94000200000001</v>
      </c>
      <c r="F65">
        <v>97.696556000000001</v>
      </c>
      <c r="G65">
        <v>28055300</v>
      </c>
      <c r="H65" s="3"/>
      <c r="I65" s="3">
        <f t="shared" si="1"/>
        <v>116.650002</v>
      </c>
      <c r="J65" s="3">
        <f t="shared" si="2"/>
        <v>105.290001</v>
      </c>
      <c r="K65" s="3"/>
      <c r="L65" s="3"/>
      <c r="M65" s="3"/>
      <c r="N65" s="35">
        <f t="shared" si="3"/>
        <v>11.360000999999997</v>
      </c>
      <c r="O65" s="35">
        <f t="shared" si="4"/>
        <v>11.349998999999997</v>
      </c>
      <c r="P65" s="35">
        <f t="shared" si="5"/>
        <v>1.0002000000000066E-2</v>
      </c>
      <c r="Q65" s="35">
        <f t="shared" si="6"/>
        <v>11.360000999999997</v>
      </c>
      <c r="R65" s="35">
        <f t="shared" si="0"/>
        <v>13.742142499999998</v>
      </c>
      <c r="S65" s="40">
        <f t="shared" si="7"/>
        <v>0.12545318947002745</v>
      </c>
      <c r="T65" s="3"/>
      <c r="U65" s="3"/>
      <c r="V65" s="3"/>
      <c r="W65" s="3"/>
      <c r="X65" s="3"/>
      <c r="Y65" s="3"/>
      <c r="Z65" s="3"/>
      <c r="AA65" s="3"/>
      <c r="AB65" s="3"/>
      <c r="AC65" s="3"/>
    </row>
    <row r="66" spans="1:29" x14ac:dyDescent="0.45">
      <c r="A66" s="1">
        <v>41760</v>
      </c>
      <c r="B66">
        <v>106.68</v>
      </c>
      <c r="C66">
        <v>111.30999799999999</v>
      </c>
      <c r="D66">
        <v>105.860001</v>
      </c>
      <c r="E66">
        <v>109.91999800000001</v>
      </c>
      <c r="F66">
        <v>93.429657000000006</v>
      </c>
      <c r="G66">
        <v>20152000</v>
      </c>
      <c r="H66" s="3"/>
      <c r="I66" s="3">
        <f t="shared" si="1"/>
        <v>111.379997</v>
      </c>
      <c r="J66" s="3">
        <f t="shared" si="2"/>
        <v>99.400002000000001</v>
      </c>
      <c r="K66" s="3"/>
      <c r="L66" s="3"/>
      <c r="M66" s="3"/>
      <c r="N66" s="35">
        <f t="shared" si="3"/>
        <v>11.979995000000002</v>
      </c>
      <c r="O66" s="35">
        <f t="shared" si="4"/>
        <v>6.7699960000000061</v>
      </c>
      <c r="P66" s="35">
        <f t="shared" si="5"/>
        <v>5.2099989999999963</v>
      </c>
      <c r="Q66" s="35">
        <f t="shared" si="6"/>
        <v>11.979995000000002</v>
      </c>
      <c r="R66" s="35">
        <f t="shared" ref="R66:R129" si="8">AVERAGE(Q66:Q79)</f>
        <v>14.12499971428571</v>
      </c>
      <c r="S66" s="40">
        <f t="shared" si="7"/>
        <v>0.13240532165622149</v>
      </c>
      <c r="T66" s="3"/>
      <c r="U66" s="3"/>
      <c r="V66" s="3"/>
      <c r="W66" s="3"/>
      <c r="X66" s="3"/>
      <c r="Y66" s="3"/>
      <c r="Z66" s="3"/>
      <c r="AA66" s="3"/>
      <c r="AB66" s="3"/>
      <c r="AC66" s="3"/>
    </row>
    <row r="67" spans="1:29" x14ac:dyDescent="0.45">
      <c r="A67" s="1">
        <v>41730</v>
      </c>
      <c r="B67">
        <v>105.900002</v>
      </c>
      <c r="C67">
        <v>111.379997</v>
      </c>
      <c r="D67">
        <v>105.290001</v>
      </c>
      <c r="E67">
        <v>105.82</v>
      </c>
      <c r="F67">
        <v>88.325584000000006</v>
      </c>
      <c r="G67">
        <v>27519700</v>
      </c>
      <c r="H67" s="3"/>
      <c r="I67" s="3">
        <f t="shared" ref="I67:I130" si="9">MAX(C67:C69)</f>
        <v>111.379997</v>
      </c>
      <c r="J67" s="3">
        <f t="shared" ref="J67:J130" si="10">MIN(D67:D69)</f>
        <v>93.720000999999996</v>
      </c>
      <c r="K67" s="3"/>
      <c r="L67" s="3"/>
      <c r="M67" s="3"/>
      <c r="N67" s="35">
        <f t="shared" ref="N67:N130" si="11">I67-J67</f>
        <v>17.659996000000007</v>
      </c>
      <c r="O67" s="35">
        <f t="shared" ref="O67:O130" si="12">ABS(I67-E70)</f>
        <v>15.489998</v>
      </c>
      <c r="P67" s="35">
        <f t="shared" ref="P67:P130" si="13">ABS(J67-E70)</f>
        <v>2.1699980000000068</v>
      </c>
      <c r="Q67" s="35">
        <f t="shared" ref="Q67:Q130" si="14">MAX(N67:P67)</f>
        <v>17.659996000000007</v>
      </c>
      <c r="R67" s="35">
        <f t="shared" si="8"/>
        <v>14.392856928571428</v>
      </c>
      <c r="S67" s="40">
        <f t="shared" ref="S67:S130" si="15">R67/B67</f>
        <v>0.13590988344430274</v>
      </c>
      <c r="T67" s="3"/>
      <c r="U67" s="3"/>
      <c r="V67" s="3"/>
      <c r="W67" s="3"/>
      <c r="X67" s="3"/>
      <c r="Y67" s="3"/>
      <c r="Z67" s="3"/>
      <c r="AA67" s="3"/>
      <c r="AB67" s="3"/>
      <c r="AC67" s="3"/>
    </row>
    <row r="68" spans="1:29" x14ac:dyDescent="0.45">
      <c r="A68" s="1">
        <v>41699</v>
      </c>
      <c r="B68">
        <v>102.290001</v>
      </c>
      <c r="C68">
        <v>106.360001</v>
      </c>
      <c r="D68">
        <v>99.400002000000001</v>
      </c>
      <c r="E68">
        <v>105.300003</v>
      </c>
      <c r="F68">
        <v>87.891548</v>
      </c>
      <c r="G68">
        <v>25012300</v>
      </c>
      <c r="H68" s="3"/>
      <c r="I68" s="3">
        <f t="shared" si="9"/>
        <v>106.360001</v>
      </c>
      <c r="J68" s="3">
        <f t="shared" si="10"/>
        <v>93.720000999999996</v>
      </c>
      <c r="K68" s="3"/>
      <c r="L68" s="3"/>
      <c r="M68" s="3"/>
      <c r="N68" s="35">
        <f t="shared" si="11"/>
        <v>12.64</v>
      </c>
      <c r="O68" s="35">
        <f t="shared" si="12"/>
        <v>9.9997999999999365E-2</v>
      </c>
      <c r="P68" s="35">
        <f t="shared" si="13"/>
        <v>12.739998</v>
      </c>
      <c r="Q68" s="35">
        <f t="shared" si="14"/>
        <v>12.739998</v>
      </c>
      <c r="R68" s="35">
        <f t="shared" si="8"/>
        <v>13.877142571428569</v>
      </c>
      <c r="S68" s="40">
        <f t="shared" si="15"/>
        <v>0.13566470266657413</v>
      </c>
      <c r="T68" s="3"/>
      <c r="U68" s="3"/>
      <c r="V68" s="3"/>
      <c r="W68" s="3"/>
      <c r="X68" s="3"/>
      <c r="Y68" s="3"/>
      <c r="Z68" s="3"/>
      <c r="AA68" s="3"/>
      <c r="AB68" s="3"/>
      <c r="AC68" s="3"/>
    </row>
    <row r="69" spans="1:29" x14ac:dyDescent="0.45">
      <c r="A69" s="1">
        <v>41671</v>
      </c>
      <c r="B69">
        <v>95.510002</v>
      </c>
      <c r="C69">
        <v>105.519997</v>
      </c>
      <c r="D69">
        <v>93.720000999999996</v>
      </c>
      <c r="E69">
        <v>104.610001</v>
      </c>
      <c r="F69">
        <v>87.315635999999998</v>
      </c>
      <c r="G69">
        <v>29473400</v>
      </c>
      <c r="H69" s="3"/>
      <c r="I69" s="3">
        <f t="shared" si="9"/>
        <v>106.83000199999999</v>
      </c>
      <c r="J69" s="3">
        <f t="shared" si="10"/>
        <v>93.720000999999996</v>
      </c>
      <c r="K69" s="3"/>
      <c r="L69" s="3"/>
      <c r="M69" s="3"/>
      <c r="N69" s="35">
        <f t="shared" si="11"/>
        <v>13.110000999999997</v>
      </c>
      <c r="O69" s="35">
        <f t="shared" si="12"/>
        <v>4.7200009999999963</v>
      </c>
      <c r="P69" s="35">
        <f t="shared" si="13"/>
        <v>8.39</v>
      </c>
      <c r="Q69" s="35">
        <f t="shared" si="14"/>
        <v>13.110000999999997</v>
      </c>
      <c r="R69" s="35">
        <f t="shared" si="8"/>
        <v>13.887856999999997</v>
      </c>
      <c r="S69" s="40">
        <f t="shared" si="15"/>
        <v>0.14540735744095154</v>
      </c>
      <c r="T69" s="3"/>
      <c r="U69" s="3"/>
      <c r="V69" s="3"/>
      <c r="W69" s="3"/>
      <c r="X69" s="3"/>
      <c r="Y69" s="3"/>
      <c r="Z69" s="3"/>
      <c r="AA69" s="3"/>
      <c r="AB69" s="3"/>
      <c r="AC69" s="3"/>
    </row>
    <row r="70" spans="1:29" x14ac:dyDescent="0.45">
      <c r="A70" s="1">
        <v>41640</v>
      </c>
      <c r="B70">
        <v>103.66999800000001</v>
      </c>
      <c r="C70">
        <v>105.870003</v>
      </c>
      <c r="D70">
        <v>94.169998000000007</v>
      </c>
      <c r="E70">
        <v>95.889999000000003</v>
      </c>
      <c r="F70">
        <v>80.037231000000006</v>
      </c>
      <c r="G70">
        <v>33106600</v>
      </c>
      <c r="H70" s="3"/>
      <c r="I70" s="3">
        <f t="shared" si="9"/>
        <v>106.83000199999999</v>
      </c>
      <c r="J70" s="3">
        <f t="shared" si="10"/>
        <v>94.169998000000007</v>
      </c>
      <c r="K70" s="3"/>
      <c r="L70" s="3"/>
      <c r="M70" s="3"/>
      <c r="N70" s="35">
        <f t="shared" si="11"/>
        <v>12.660003999999986</v>
      </c>
      <c r="O70" s="35">
        <f t="shared" si="12"/>
        <v>3.0999989999999968</v>
      </c>
      <c r="P70" s="35">
        <f t="shared" si="13"/>
        <v>9.5600049999999896</v>
      </c>
      <c r="Q70" s="35">
        <f t="shared" si="14"/>
        <v>12.660003999999986</v>
      </c>
      <c r="R70" s="35">
        <f t="shared" si="8"/>
        <v>13.637856999999997</v>
      </c>
      <c r="S70" s="40">
        <f t="shared" si="15"/>
        <v>0.13155066328833145</v>
      </c>
      <c r="T70" s="3"/>
      <c r="U70" s="3"/>
      <c r="V70" s="3"/>
      <c r="W70" s="3"/>
      <c r="X70" s="3"/>
      <c r="Y70" s="3"/>
      <c r="Z70" s="3"/>
      <c r="AA70" s="3"/>
      <c r="AB70" s="3"/>
      <c r="AC70" s="3"/>
    </row>
    <row r="71" spans="1:29" x14ac:dyDescent="0.45">
      <c r="A71" s="1">
        <v>41609</v>
      </c>
      <c r="B71">
        <v>101.370003</v>
      </c>
      <c r="C71">
        <v>106.83000199999999</v>
      </c>
      <c r="D71">
        <v>99.459998999999996</v>
      </c>
      <c r="E71">
        <v>106.459999</v>
      </c>
      <c r="F71">
        <v>88.859779000000003</v>
      </c>
      <c r="G71">
        <v>19768600</v>
      </c>
      <c r="H71" s="3"/>
      <c r="I71" s="3">
        <f t="shared" si="9"/>
        <v>106.83000199999999</v>
      </c>
      <c r="J71" s="3">
        <f t="shared" si="10"/>
        <v>95.639999000000003</v>
      </c>
      <c r="K71" s="3"/>
      <c r="L71" s="3"/>
      <c r="M71" s="3"/>
      <c r="N71" s="35">
        <f t="shared" si="11"/>
        <v>11.19000299999999</v>
      </c>
      <c r="O71" s="35">
        <f t="shared" si="12"/>
        <v>7.630004999999997</v>
      </c>
      <c r="P71" s="35">
        <f t="shared" si="13"/>
        <v>3.5599979999999931</v>
      </c>
      <c r="Q71" s="35">
        <f t="shared" si="14"/>
        <v>11.19000299999999</v>
      </c>
      <c r="R71" s="35">
        <f t="shared" si="8"/>
        <v>13.419999642857139</v>
      </c>
      <c r="S71" s="40">
        <f t="shared" si="15"/>
        <v>0.13238630014499594</v>
      </c>
      <c r="T71" s="3"/>
      <c r="U71" s="3"/>
      <c r="V71" s="3"/>
      <c r="W71" s="3"/>
      <c r="X71" s="3"/>
      <c r="Y71" s="3"/>
      <c r="Z71" s="3"/>
      <c r="AA71" s="3"/>
      <c r="AB71" s="3"/>
      <c r="AC71" s="3"/>
    </row>
    <row r="72" spans="1:29" x14ac:dyDescent="0.45">
      <c r="A72" s="1">
        <v>41579</v>
      </c>
      <c r="B72">
        <v>102.459999</v>
      </c>
      <c r="C72">
        <v>105.480003</v>
      </c>
      <c r="D72">
        <v>100.25</v>
      </c>
      <c r="E72">
        <v>102.110001</v>
      </c>
      <c r="F72">
        <v>84.558929000000006</v>
      </c>
      <c r="G72">
        <v>22568900</v>
      </c>
      <c r="H72" s="3"/>
      <c r="I72" s="3">
        <f t="shared" si="9"/>
        <v>105.480003</v>
      </c>
      <c r="J72" s="3">
        <f t="shared" si="10"/>
        <v>93.57</v>
      </c>
      <c r="K72" s="3"/>
      <c r="L72" s="3"/>
      <c r="M72" s="3"/>
      <c r="N72" s="35">
        <f t="shared" si="11"/>
        <v>11.910003000000003</v>
      </c>
      <c r="O72" s="35">
        <f t="shared" si="12"/>
        <v>12.130004999999997</v>
      </c>
      <c r="P72" s="35">
        <f t="shared" si="13"/>
        <v>0.22000199999999381</v>
      </c>
      <c r="Q72" s="35">
        <f t="shared" si="14"/>
        <v>12.130004999999997</v>
      </c>
      <c r="R72" s="35">
        <f t="shared" si="8"/>
        <v>13.499999214285717</v>
      </c>
      <c r="S72" s="40">
        <f t="shared" si="15"/>
        <v>0.13175872873359795</v>
      </c>
      <c r="T72" s="3"/>
      <c r="U72" s="3"/>
      <c r="V72" s="3"/>
      <c r="W72" s="3"/>
      <c r="X72" s="3"/>
      <c r="Y72" s="3"/>
      <c r="Z72" s="3"/>
      <c r="AA72" s="3"/>
      <c r="AB72" s="3"/>
      <c r="AC72" s="3"/>
    </row>
    <row r="73" spans="1:29" x14ac:dyDescent="0.45">
      <c r="A73" s="1">
        <v>41548</v>
      </c>
      <c r="B73">
        <v>97.709998999999996</v>
      </c>
      <c r="C73">
        <v>104.790001</v>
      </c>
      <c r="D73">
        <v>95.639999000000003</v>
      </c>
      <c r="E73">
        <v>103.730003</v>
      </c>
      <c r="F73">
        <v>85.900481999999997</v>
      </c>
      <c r="G73">
        <v>26884100</v>
      </c>
      <c r="H73" s="3"/>
      <c r="I73" s="3">
        <f t="shared" si="9"/>
        <v>104.790001</v>
      </c>
      <c r="J73" s="3">
        <f t="shared" si="10"/>
        <v>92.760002</v>
      </c>
      <c r="K73" s="3"/>
      <c r="L73" s="3"/>
      <c r="M73" s="3"/>
      <c r="N73" s="35">
        <f t="shared" si="11"/>
        <v>12.029999000000004</v>
      </c>
      <c r="O73" s="35">
        <f t="shared" si="12"/>
        <v>9.0800020000000075</v>
      </c>
      <c r="P73" s="35">
        <f t="shared" si="13"/>
        <v>2.9499969999999962</v>
      </c>
      <c r="Q73" s="35">
        <f t="shared" si="14"/>
        <v>12.029999000000004</v>
      </c>
      <c r="R73" s="35">
        <f t="shared" si="8"/>
        <v>13.534999071428571</v>
      </c>
      <c r="S73" s="40">
        <f t="shared" si="15"/>
        <v>0.13852214931891024</v>
      </c>
      <c r="T73" s="3"/>
      <c r="U73" s="3"/>
      <c r="V73" s="3"/>
      <c r="W73" s="3"/>
      <c r="X73" s="3"/>
      <c r="Y73" s="3"/>
      <c r="Z73" s="3"/>
      <c r="AA73" s="3"/>
      <c r="AB73" s="3"/>
      <c r="AC73" s="3"/>
    </row>
    <row r="74" spans="1:29" x14ac:dyDescent="0.45">
      <c r="A74" s="1">
        <v>41518</v>
      </c>
      <c r="B74">
        <v>94.800003000000004</v>
      </c>
      <c r="C74">
        <v>103.849998</v>
      </c>
      <c r="D74">
        <v>93.57</v>
      </c>
      <c r="E74">
        <v>99.199996999999996</v>
      </c>
      <c r="F74">
        <v>82.149101000000002</v>
      </c>
      <c r="G74">
        <v>29615500</v>
      </c>
      <c r="H74" s="3"/>
      <c r="I74" s="3">
        <f t="shared" si="9"/>
        <v>103.849998</v>
      </c>
      <c r="J74" s="3">
        <f t="shared" si="10"/>
        <v>86.059997999999993</v>
      </c>
      <c r="K74" s="3"/>
      <c r="L74" s="3"/>
      <c r="M74" s="3"/>
      <c r="N74" s="35">
        <f t="shared" si="11"/>
        <v>17.790000000000006</v>
      </c>
      <c r="O74" s="35">
        <f t="shared" si="12"/>
        <v>13.589995999999999</v>
      </c>
      <c r="P74" s="35">
        <f t="shared" si="13"/>
        <v>4.200004000000007</v>
      </c>
      <c r="Q74" s="35">
        <f t="shared" si="14"/>
        <v>17.790000000000006</v>
      </c>
      <c r="R74" s="35">
        <f t="shared" si="8"/>
        <v>14.07999942857143</v>
      </c>
      <c r="S74" s="40">
        <f t="shared" si="15"/>
        <v>0.14852319602322617</v>
      </c>
      <c r="T74" s="3"/>
      <c r="U74" s="3"/>
      <c r="V74" s="3"/>
      <c r="W74" s="3"/>
      <c r="X74" s="3"/>
      <c r="Y74" s="3"/>
      <c r="Z74" s="3"/>
      <c r="AA74" s="3"/>
      <c r="AB74" s="3"/>
      <c r="AC74" s="3"/>
    </row>
    <row r="75" spans="1:29" x14ac:dyDescent="0.45">
      <c r="A75" s="1">
        <v>41487</v>
      </c>
      <c r="B75">
        <v>97.389999000000003</v>
      </c>
      <c r="C75">
        <v>101.050003</v>
      </c>
      <c r="D75">
        <v>92.760002</v>
      </c>
      <c r="E75">
        <v>93.349997999999999</v>
      </c>
      <c r="F75">
        <v>77.304642000000001</v>
      </c>
      <c r="G75">
        <v>26499200</v>
      </c>
      <c r="H75" s="3"/>
      <c r="I75" s="3">
        <f t="shared" si="9"/>
        <v>101.050003</v>
      </c>
      <c r="J75" s="3">
        <f t="shared" si="10"/>
        <v>83.940002000000007</v>
      </c>
      <c r="K75" s="3"/>
      <c r="L75" s="3"/>
      <c r="M75" s="3"/>
      <c r="N75" s="35">
        <f t="shared" si="11"/>
        <v>17.110000999999997</v>
      </c>
      <c r="O75" s="35">
        <f t="shared" si="12"/>
        <v>9.130004999999997</v>
      </c>
      <c r="P75" s="35">
        <f t="shared" si="13"/>
        <v>7.9799959999999999</v>
      </c>
      <c r="Q75" s="35">
        <f t="shared" si="14"/>
        <v>17.110000999999997</v>
      </c>
      <c r="R75" s="35">
        <f t="shared" si="8"/>
        <v>14.002142571428573</v>
      </c>
      <c r="S75" s="40">
        <f t="shared" si="15"/>
        <v>0.14377392663725741</v>
      </c>
      <c r="T75" s="3"/>
      <c r="U75" s="3"/>
      <c r="V75" s="3"/>
      <c r="W75" s="3"/>
      <c r="X75" s="3"/>
      <c r="Y75" s="3"/>
      <c r="Z75" s="3"/>
      <c r="AA75" s="3"/>
      <c r="AB75" s="3"/>
      <c r="AC75" s="3"/>
    </row>
    <row r="76" spans="1:29" x14ac:dyDescent="0.45">
      <c r="A76" s="1">
        <v>41456</v>
      </c>
      <c r="B76">
        <v>90.449996999999996</v>
      </c>
      <c r="C76">
        <v>96.839995999999999</v>
      </c>
      <c r="D76">
        <v>86.059997999999993</v>
      </c>
      <c r="E76">
        <v>95.709998999999996</v>
      </c>
      <c r="F76">
        <v>79.258979999999994</v>
      </c>
      <c r="G76">
        <v>40328000</v>
      </c>
      <c r="H76" s="3"/>
      <c r="I76" s="3">
        <f t="shared" si="9"/>
        <v>98.519997000000004</v>
      </c>
      <c r="J76" s="3">
        <f t="shared" si="10"/>
        <v>83.940002000000007</v>
      </c>
      <c r="K76" s="3"/>
      <c r="L76" s="3"/>
      <c r="M76" s="3"/>
      <c r="N76" s="35">
        <f t="shared" si="11"/>
        <v>14.579994999999997</v>
      </c>
      <c r="O76" s="35">
        <f t="shared" si="12"/>
        <v>2.8999940000000066</v>
      </c>
      <c r="P76" s="35">
        <f t="shared" si="13"/>
        <v>11.68000099999999</v>
      </c>
      <c r="Q76" s="35">
        <f t="shared" si="14"/>
        <v>14.579994999999997</v>
      </c>
      <c r="R76" s="35">
        <f t="shared" si="8"/>
        <v>13.827142785714285</v>
      </c>
      <c r="S76" s="40">
        <f t="shared" si="15"/>
        <v>0.1528705720765727</v>
      </c>
      <c r="T76" s="3"/>
      <c r="U76" s="3"/>
      <c r="V76" s="3"/>
      <c r="W76" s="3"/>
      <c r="X76" s="3"/>
      <c r="Y76" s="3"/>
      <c r="Z76" s="3"/>
      <c r="AA76" s="3"/>
      <c r="AB76" s="3"/>
      <c r="AC76" s="3"/>
    </row>
    <row r="77" spans="1:29" x14ac:dyDescent="0.45">
      <c r="A77" s="1">
        <v>41426</v>
      </c>
      <c r="B77">
        <v>91.43</v>
      </c>
      <c r="C77">
        <v>95.349997999999999</v>
      </c>
      <c r="D77">
        <v>83.940002000000007</v>
      </c>
      <c r="E77">
        <v>90.260002</v>
      </c>
      <c r="F77">
        <v>74.745750000000001</v>
      </c>
      <c r="G77">
        <v>34916200</v>
      </c>
      <c r="H77" s="3"/>
      <c r="I77" s="3">
        <f t="shared" si="9"/>
        <v>101.860001</v>
      </c>
      <c r="J77" s="3">
        <f t="shared" si="10"/>
        <v>83.940002000000007</v>
      </c>
      <c r="K77" s="3"/>
      <c r="L77" s="3"/>
      <c r="M77" s="3"/>
      <c r="N77" s="35">
        <f t="shared" si="11"/>
        <v>17.91999899999999</v>
      </c>
      <c r="O77" s="35">
        <f t="shared" si="12"/>
        <v>2.3099979999999931</v>
      </c>
      <c r="P77" s="35">
        <f t="shared" si="13"/>
        <v>15.610000999999997</v>
      </c>
      <c r="Q77" s="35">
        <f t="shared" si="14"/>
        <v>17.91999899999999</v>
      </c>
      <c r="R77" s="35">
        <f t="shared" si="8"/>
        <v>13.450714928571427</v>
      </c>
      <c r="S77" s="40">
        <f t="shared" si="15"/>
        <v>0.14711489586100215</v>
      </c>
      <c r="T77" s="3"/>
      <c r="U77" s="3"/>
      <c r="V77" s="3"/>
      <c r="W77" s="3"/>
      <c r="X77" s="3"/>
      <c r="Y77" s="3"/>
      <c r="Z77" s="3"/>
      <c r="AA77" s="3"/>
      <c r="AB77" s="3"/>
      <c r="AC77" s="3"/>
    </row>
    <row r="78" spans="1:29" x14ac:dyDescent="0.45">
      <c r="A78" s="1">
        <v>41395</v>
      </c>
      <c r="B78">
        <v>95.660004000000001</v>
      </c>
      <c r="C78">
        <v>98.519997000000004</v>
      </c>
      <c r="D78">
        <v>91.730002999999996</v>
      </c>
      <c r="E78">
        <v>91.919998000000007</v>
      </c>
      <c r="F78">
        <v>76.120414999999994</v>
      </c>
      <c r="G78">
        <v>22378600</v>
      </c>
      <c r="H78" s="3"/>
      <c r="I78" s="3">
        <f t="shared" si="9"/>
        <v>101.860001</v>
      </c>
      <c r="J78" s="3">
        <f t="shared" si="10"/>
        <v>91.730002999999996</v>
      </c>
      <c r="K78" s="3"/>
      <c r="L78" s="3"/>
      <c r="M78" s="3"/>
      <c r="N78" s="35">
        <f t="shared" si="11"/>
        <v>10.129998000000001</v>
      </c>
      <c r="O78" s="35">
        <f t="shared" si="12"/>
        <v>7.870002999999997</v>
      </c>
      <c r="P78" s="35">
        <f t="shared" si="13"/>
        <v>2.2599950000000035</v>
      </c>
      <c r="Q78" s="35">
        <f t="shared" si="14"/>
        <v>10.129998000000001</v>
      </c>
      <c r="R78" s="35">
        <f t="shared" si="8"/>
        <v>13.135714928571426</v>
      </c>
      <c r="S78" s="40">
        <f t="shared" si="15"/>
        <v>0.13731668805461711</v>
      </c>
      <c r="T78" s="3"/>
      <c r="U78" s="3"/>
      <c r="V78" s="3"/>
      <c r="W78" s="3"/>
      <c r="X78" s="3"/>
      <c r="Y78" s="3"/>
      <c r="Z78" s="3"/>
      <c r="AA78" s="3"/>
      <c r="AB78" s="3"/>
      <c r="AC78" s="3"/>
    </row>
    <row r="79" spans="1:29" x14ac:dyDescent="0.45">
      <c r="A79" s="1">
        <v>41365</v>
      </c>
      <c r="B79">
        <v>99.529999000000004</v>
      </c>
      <c r="C79">
        <v>101.860001</v>
      </c>
      <c r="D79">
        <v>93.339995999999999</v>
      </c>
      <c r="E79">
        <v>95.620002999999997</v>
      </c>
      <c r="F79">
        <v>77.414771999999999</v>
      </c>
      <c r="G79">
        <v>39179700</v>
      </c>
      <c r="H79" s="3"/>
      <c r="I79" s="3">
        <f t="shared" si="9"/>
        <v>101.860001</v>
      </c>
      <c r="J79" s="3">
        <f t="shared" si="10"/>
        <v>85.139999000000003</v>
      </c>
      <c r="K79" s="3"/>
      <c r="L79" s="3"/>
      <c r="M79" s="3"/>
      <c r="N79" s="35">
        <f t="shared" si="11"/>
        <v>16.720001999999994</v>
      </c>
      <c r="O79" s="35">
        <f t="shared" si="12"/>
        <v>13.260002999999998</v>
      </c>
      <c r="P79" s="35">
        <f t="shared" si="13"/>
        <v>3.4599989999999963</v>
      </c>
      <c r="Q79" s="35">
        <f t="shared" si="14"/>
        <v>16.720001999999994</v>
      </c>
      <c r="R79" s="35">
        <f t="shared" si="8"/>
        <v>13.462857857142854</v>
      </c>
      <c r="S79" s="40">
        <f t="shared" si="15"/>
        <v>0.13526432223859314</v>
      </c>
      <c r="T79" s="3"/>
      <c r="U79" s="3"/>
      <c r="V79" s="3"/>
      <c r="W79" s="3"/>
      <c r="X79" s="3"/>
      <c r="Y79" s="3"/>
      <c r="Z79" s="3"/>
      <c r="AA79" s="3"/>
      <c r="AB79" s="3"/>
      <c r="AC79" s="3"/>
    </row>
    <row r="80" spans="1:29" x14ac:dyDescent="0.45">
      <c r="A80" s="1">
        <v>41334</v>
      </c>
      <c r="B80">
        <v>93.720000999999996</v>
      </c>
      <c r="C80">
        <v>99.779999000000004</v>
      </c>
      <c r="D80">
        <v>93.139999000000003</v>
      </c>
      <c r="E80">
        <v>99.550003000000004</v>
      </c>
      <c r="F80">
        <v>80.596526999999995</v>
      </c>
      <c r="G80">
        <v>28423700</v>
      </c>
      <c r="H80" s="3"/>
      <c r="I80" s="3">
        <f t="shared" si="9"/>
        <v>99.779999000000004</v>
      </c>
      <c r="J80" s="3">
        <f t="shared" si="10"/>
        <v>84.050003000000004</v>
      </c>
      <c r="K80" s="3"/>
      <c r="L80" s="3"/>
      <c r="M80" s="3"/>
      <c r="N80" s="35">
        <f t="shared" si="11"/>
        <v>15.729996</v>
      </c>
      <c r="O80" s="35">
        <f t="shared" si="12"/>
        <v>12.369995000000003</v>
      </c>
      <c r="P80" s="35">
        <f t="shared" si="13"/>
        <v>3.3600009999999969</v>
      </c>
      <c r="Q80" s="35">
        <f t="shared" si="14"/>
        <v>15.729996</v>
      </c>
      <c r="R80" s="35">
        <f t="shared" si="8"/>
        <v>13.060000714285716</v>
      </c>
      <c r="S80" s="40">
        <f t="shared" si="15"/>
        <v>0.13935126520416613</v>
      </c>
      <c r="T80" s="3"/>
      <c r="U80" s="3"/>
      <c r="V80" s="3"/>
      <c r="W80" s="3"/>
      <c r="X80" s="3"/>
      <c r="Y80" s="3"/>
      <c r="Z80" s="3"/>
      <c r="AA80" s="3"/>
      <c r="AB80" s="3"/>
      <c r="AC80" s="3"/>
    </row>
    <row r="81" spans="1:29" x14ac:dyDescent="0.45">
      <c r="A81" s="1">
        <v>41306</v>
      </c>
      <c r="B81">
        <v>90.580001999999993</v>
      </c>
      <c r="C81">
        <v>94.269997000000004</v>
      </c>
      <c r="D81">
        <v>85.139999000000003</v>
      </c>
      <c r="E81">
        <v>93.989998</v>
      </c>
      <c r="F81">
        <v>76.095093000000006</v>
      </c>
      <c r="G81">
        <v>47743800</v>
      </c>
      <c r="H81" s="3"/>
      <c r="I81" s="3">
        <f t="shared" si="9"/>
        <v>94.489998</v>
      </c>
      <c r="J81" s="3">
        <f t="shared" si="10"/>
        <v>84.050003000000004</v>
      </c>
      <c r="K81" s="3"/>
      <c r="L81" s="3"/>
      <c r="M81" s="3"/>
      <c r="N81" s="35">
        <f t="shared" si="11"/>
        <v>10.439994999999996</v>
      </c>
      <c r="O81" s="35">
        <f t="shared" si="12"/>
        <v>6.5199970000000036</v>
      </c>
      <c r="P81" s="35">
        <f t="shared" si="13"/>
        <v>3.9199979999999925</v>
      </c>
      <c r="Q81" s="35">
        <f t="shared" si="14"/>
        <v>10.439994999999996</v>
      </c>
      <c r="R81" s="35">
        <f t="shared" si="8"/>
        <v>12.561429571428571</v>
      </c>
      <c r="S81" s="40">
        <f t="shared" si="15"/>
        <v>0.13867773563781299</v>
      </c>
      <c r="T81" s="3"/>
      <c r="U81" s="3"/>
      <c r="V81" s="3"/>
      <c r="W81" s="3"/>
      <c r="X81" s="3"/>
      <c r="Y81" s="3"/>
      <c r="Z81" s="3"/>
      <c r="AA81" s="3"/>
      <c r="AB81" s="3"/>
      <c r="AC81" s="3"/>
    </row>
    <row r="82" spans="1:29" x14ac:dyDescent="0.45">
      <c r="A82" s="1">
        <v>41275</v>
      </c>
      <c r="B82">
        <v>88.279999000000004</v>
      </c>
      <c r="C82">
        <v>94.489998</v>
      </c>
      <c r="D82">
        <v>84.050003000000004</v>
      </c>
      <c r="E82">
        <v>88.599997999999999</v>
      </c>
      <c r="F82">
        <v>71.731316000000007</v>
      </c>
      <c r="G82">
        <v>34882600</v>
      </c>
      <c r="H82" s="3"/>
      <c r="I82" s="3">
        <f t="shared" si="9"/>
        <v>94.489998</v>
      </c>
      <c r="J82" s="3">
        <f t="shared" si="10"/>
        <v>81.599997999999999</v>
      </c>
      <c r="K82" s="3"/>
      <c r="L82" s="3"/>
      <c r="M82" s="3"/>
      <c r="N82" s="35">
        <f t="shared" si="11"/>
        <v>12.89</v>
      </c>
      <c r="O82" s="35">
        <f t="shared" si="12"/>
        <v>10.689994999999996</v>
      </c>
      <c r="P82" s="35">
        <f t="shared" si="13"/>
        <v>2.2000050000000044</v>
      </c>
      <c r="Q82" s="35">
        <f t="shared" si="14"/>
        <v>12.89</v>
      </c>
      <c r="R82" s="35">
        <f t="shared" si="8"/>
        <v>12.530001357142856</v>
      </c>
      <c r="S82" s="40">
        <f t="shared" si="15"/>
        <v>0.14193477003939314</v>
      </c>
      <c r="T82" s="3"/>
      <c r="U82" s="3"/>
      <c r="V82" s="3"/>
      <c r="W82" s="3"/>
      <c r="X82" s="3"/>
      <c r="Y82" s="3"/>
      <c r="Z82" s="3"/>
      <c r="AA82" s="3"/>
      <c r="AB82" s="3"/>
      <c r="AC82" s="3"/>
    </row>
    <row r="83" spans="1:29" x14ac:dyDescent="0.45">
      <c r="A83" s="1">
        <v>41244</v>
      </c>
      <c r="B83">
        <v>88.790001000000004</v>
      </c>
      <c r="C83">
        <v>89.330001999999993</v>
      </c>
      <c r="D83">
        <v>85.25</v>
      </c>
      <c r="E83">
        <v>87.410004000000001</v>
      </c>
      <c r="F83">
        <v>70.767876000000001</v>
      </c>
      <c r="G83">
        <v>15319200</v>
      </c>
      <c r="H83" s="3"/>
      <c r="I83" s="3">
        <f t="shared" si="9"/>
        <v>91.209998999999996</v>
      </c>
      <c r="J83" s="3">
        <f t="shared" si="10"/>
        <v>81.599997999999999</v>
      </c>
      <c r="K83" s="3"/>
      <c r="L83" s="3"/>
      <c r="M83" s="3"/>
      <c r="N83" s="35">
        <f t="shared" si="11"/>
        <v>9.6100009999999969</v>
      </c>
      <c r="O83" s="35">
        <f t="shared" si="12"/>
        <v>5.2999949999999956</v>
      </c>
      <c r="P83" s="35">
        <f t="shared" si="13"/>
        <v>4.3100060000000013</v>
      </c>
      <c r="Q83" s="35">
        <f t="shared" si="14"/>
        <v>9.6100009999999969</v>
      </c>
      <c r="R83" s="35">
        <f t="shared" si="8"/>
        <v>12.389286928571426</v>
      </c>
      <c r="S83" s="40">
        <f t="shared" si="15"/>
        <v>0.13953470874013646</v>
      </c>
      <c r="T83" s="3"/>
      <c r="U83" s="3"/>
      <c r="V83" s="3"/>
      <c r="W83" s="3"/>
      <c r="X83" s="3"/>
      <c r="Y83" s="3"/>
      <c r="Z83" s="3"/>
      <c r="AA83" s="3"/>
      <c r="AB83" s="3"/>
      <c r="AC83" s="3"/>
    </row>
    <row r="84" spans="1:29" x14ac:dyDescent="0.45">
      <c r="A84" s="1">
        <v>41214</v>
      </c>
      <c r="B84">
        <v>83.970000999999996</v>
      </c>
      <c r="C84">
        <v>88.139999000000003</v>
      </c>
      <c r="D84">
        <v>81.599997999999999</v>
      </c>
      <c r="E84">
        <v>87.970000999999996</v>
      </c>
      <c r="F84">
        <v>71.221252000000007</v>
      </c>
      <c r="G84">
        <v>16564800</v>
      </c>
      <c r="H84" s="3"/>
      <c r="I84" s="3">
        <f t="shared" si="9"/>
        <v>91.209998999999996</v>
      </c>
      <c r="J84" s="3">
        <f t="shared" si="10"/>
        <v>81.599997999999999</v>
      </c>
      <c r="K84" s="3"/>
      <c r="L84" s="3"/>
      <c r="M84" s="3"/>
      <c r="N84" s="35">
        <f t="shared" si="11"/>
        <v>9.6100009999999969</v>
      </c>
      <c r="O84" s="35">
        <f t="shared" si="12"/>
        <v>7.0299989999999895</v>
      </c>
      <c r="P84" s="35">
        <f t="shared" si="13"/>
        <v>2.5800020000000075</v>
      </c>
      <c r="Q84" s="35">
        <f t="shared" si="14"/>
        <v>9.6100009999999969</v>
      </c>
      <c r="R84" s="35">
        <f t="shared" si="8"/>
        <v>12.399286857142856</v>
      </c>
      <c r="S84" s="40">
        <f t="shared" si="15"/>
        <v>0.14766329295557418</v>
      </c>
      <c r="T84" s="3"/>
      <c r="U84" s="3"/>
      <c r="V84" s="3"/>
      <c r="W84" s="3"/>
      <c r="X84" s="3"/>
      <c r="Y84" s="3"/>
      <c r="Z84" s="3"/>
      <c r="AA84" s="3"/>
      <c r="AB84" s="3"/>
      <c r="AC84" s="3"/>
    </row>
    <row r="85" spans="1:29" x14ac:dyDescent="0.45">
      <c r="A85" s="1">
        <v>41183</v>
      </c>
      <c r="B85">
        <v>86.290001000000004</v>
      </c>
      <c r="C85">
        <v>91.209998999999996</v>
      </c>
      <c r="D85">
        <v>83.580001999999993</v>
      </c>
      <c r="E85">
        <v>83.800003000000004</v>
      </c>
      <c r="F85">
        <v>67.845191999999997</v>
      </c>
      <c r="G85">
        <v>26055900</v>
      </c>
      <c r="H85" s="3"/>
      <c r="I85" s="3">
        <f t="shared" si="9"/>
        <v>91.209998999999996</v>
      </c>
      <c r="J85" s="3">
        <f t="shared" si="10"/>
        <v>78.900002000000001</v>
      </c>
      <c r="K85" s="3"/>
      <c r="L85" s="3"/>
      <c r="M85" s="3"/>
      <c r="N85" s="35">
        <f t="shared" si="11"/>
        <v>12.309996999999996</v>
      </c>
      <c r="O85" s="35">
        <f t="shared" si="12"/>
        <v>11.989998</v>
      </c>
      <c r="P85" s="35">
        <f t="shared" si="13"/>
        <v>0.3199989999999957</v>
      </c>
      <c r="Q85" s="35">
        <f t="shared" si="14"/>
        <v>12.309996999999996</v>
      </c>
      <c r="R85" s="35">
        <f t="shared" si="8"/>
        <v>12.477858142857142</v>
      </c>
      <c r="S85" s="40">
        <f t="shared" si="15"/>
        <v>0.1446037547601505</v>
      </c>
      <c r="T85" s="3"/>
      <c r="U85" s="3"/>
      <c r="V85" s="3"/>
      <c r="W85" s="3"/>
      <c r="X85" s="3"/>
      <c r="Y85" s="3"/>
      <c r="Z85" s="3"/>
      <c r="AA85" s="3"/>
      <c r="AB85" s="3"/>
      <c r="AC85" s="3"/>
    </row>
    <row r="86" spans="1:29" x14ac:dyDescent="0.45">
      <c r="A86" s="1">
        <v>41153</v>
      </c>
      <c r="B86">
        <v>86.269997000000004</v>
      </c>
      <c r="C86">
        <v>88.790001000000004</v>
      </c>
      <c r="D86">
        <v>83.75</v>
      </c>
      <c r="E86">
        <v>85.910004000000001</v>
      </c>
      <c r="F86">
        <v>69.553459000000004</v>
      </c>
      <c r="G86">
        <v>24505400</v>
      </c>
      <c r="H86" s="3"/>
      <c r="I86" s="3">
        <f t="shared" si="9"/>
        <v>88.790001000000004</v>
      </c>
      <c r="J86" s="3">
        <f t="shared" si="10"/>
        <v>76.169998000000007</v>
      </c>
      <c r="K86" s="3"/>
      <c r="L86" s="3"/>
      <c r="M86" s="3"/>
      <c r="N86" s="35">
        <f t="shared" si="11"/>
        <v>12.620002999999997</v>
      </c>
      <c r="O86" s="35">
        <f t="shared" si="12"/>
        <v>9.1399990000000031</v>
      </c>
      <c r="P86" s="35">
        <f t="shared" si="13"/>
        <v>3.4800039999999939</v>
      </c>
      <c r="Q86" s="35">
        <f t="shared" si="14"/>
        <v>12.620002999999997</v>
      </c>
      <c r="R86" s="35">
        <f t="shared" si="8"/>
        <v>12.449286928571428</v>
      </c>
      <c r="S86" s="40">
        <f t="shared" si="15"/>
        <v>0.14430610132710944</v>
      </c>
      <c r="T86" s="3"/>
      <c r="U86" s="3"/>
      <c r="V86" s="3"/>
      <c r="W86" s="3"/>
      <c r="X86" s="3"/>
      <c r="Y86" s="3"/>
      <c r="Z86" s="3"/>
      <c r="AA86" s="3"/>
      <c r="AB86" s="3"/>
      <c r="AC86" s="3"/>
    </row>
    <row r="87" spans="1:29" x14ac:dyDescent="0.45">
      <c r="A87" s="1">
        <v>41122</v>
      </c>
      <c r="B87">
        <v>81.239998</v>
      </c>
      <c r="C87">
        <v>84.650002000000001</v>
      </c>
      <c r="D87">
        <v>78.900002000000001</v>
      </c>
      <c r="E87">
        <v>84.18</v>
      </c>
      <c r="F87">
        <v>68.152839999999998</v>
      </c>
      <c r="G87">
        <v>29716700</v>
      </c>
      <c r="H87" s="3"/>
      <c r="I87" s="3">
        <f t="shared" si="9"/>
        <v>84.650002000000001</v>
      </c>
      <c r="J87" s="3">
        <f t="shared" si="10"/>
        <v>64.989998</v>
      </c>
      <c r="K87" s="3"/>
      <c r="L87" s="3"/>
      <c r="M87" s="3"/>
      <c r="N87" s="35">
        <f t="shared" si="11"/>
        <v>19.660004000000001</v>
      </c>
      <c r="O87" s="35">
        <f t="shared" si="12"/>
        <v>16.950005000000004</v>
      </c>
      <c r="P87" s="35">
        <f t="shared" si="13"/>
        <v>2.7099989999999963</v>
      </c>
      <c r="Q87" s="35">
        <f t="shared" si="14"/>
        <v>19.660004000000001</v>
      </c>
      <c r="R87" s="35">
        <f t="shared" si="8"/>
        <v>12.297143714285715</v>
      </c>
      <c r="S87" s="40">
        <f t="shared" si="15"/>
        <v>0.15136809474423812</v>
      </c>
      <c r="T87" s="3"/>
      <c r="U87" s="3"/>
      <c r="V87" s="3"/>
      <c r="W87" s="3"/>
      <c r="X87" s="3"/>
      <c r="Y87" s="3"/>
      <c r="Z87" s="3"/>
      <c r="AA87" s="3"/>
      <c r="AB87" s="3"/>
      <c r="AC87" s="3"/>
    </row>
    <row r="88" spans="1:29" x14ac:dyDescent="0.45">
      <c r="A88" s="1">
        <v>41091</v>
      </c>
      <c r="B88">
        <v>78.800003000000004</v>
      </c>
      <c r="C88">
        <v>81.690002000000007</v>
      </c>
      <c r="D88">
        <v>76.169998000000007</v>
      </c>
      <c r="E88">
        <v>79.220000999999996</v>
      </c>
      <c r="F88">
        <v>64.137191999999999</v>
      </c>
      <c r="G88">
        <v>28325100</v>
      </c>
      <c r="H88" s="3"/>
      <c r="I88" s="3">
        <f t="shared" si="9"/>
        <v>81.690002000000007</v>
      </c>
      <c r="J88" s="3">
        <f t="shared" si="10"/>
        <v>64.989998</v>
      </c>
      <c r="K88" s="3"/>
      <c r="L88" s="3"/>
      <c r="M88" s="3"/>
      <c r="N88" s="35">
        <f t="shared" si="11"/>
        <v>16.700004000000007</v>
      </c>
      <c r="O88" s="35">
        <f t="shared" si="12"/>
        <v>9.0699990000000099</v>
      </c>
      <c r="P88" s="35">
        <f t="shared" si="13"/>
        <v>7.630004999999997</v>
      </c>
      <c r="Q88" s="35">
        <f t="shared" si="14"/>
        <v>16.700004000000007</v>
      </c>
      <c r="R88" s="35">
        <f t="shared" si="8"/>
        <v>11.549286214285715</v>
      </c>
      <c r="S88" s="40">
        <f t="shared" si="15"/>
        <v>0.14656454028670168</v>
      </c>
      <c r="T88" s="3"/>
      <c r="U88" s="3"/>
      <c r="V88" s="3"/>
      <c r="W88" s="3"/>
      <c r="X88" s="3"/>
      <c r="Y88" s="3"/>
      <c r="Z88" s="3"/>
      <c r="AA88" s="3"/>
      <c r="AB88" s="3"/>
      <c r="AC88" s="3"/>
    </row>
    <row r="89" spans="1:29" x14ac:dyDescent="0.45">
      <c r="A89" s="1">
        <v>41061</v>
      </c>
      <c r="B89">
        <v>65.760002</v>
      </c>
      <c r="C89">
        <v>79.650002000000001</v>
      </c>
      <c r="D89">
        <v>64.989998</v>
      </c>
      <c r="E89">
        <v>79.650002000000001</v>
      </c>
      <c r="F89">
        <v>64.485313000000005</v>
      </c>
      <c r="G89">
        <v>38189900</v>
      </c>
      <c r="H89" s="3"/>
      <c r="I89" s="3">
        <f t="shared" si="9"/>
        <v>79.650002000000001</v>
      </c>
      <c r="J89" s="3">
        <f t="shared" si="10"/>
        <v>64.989998</v>
      </c>
      <c r="K89" s="3"/>
      <c r="L89" s="3"/>
      <c r="M89" s="3"/>
      <c r="N89" s="35">
        <f t="shared" si="11"/>
        <v>14.660004000000001</v>
      </c>
      <c r="O89" s="35">
        <f t="shared" si="12"/>
        <v>6.9300010000000043</v>
      </c>
      <c r="P89" s="35">
        <f t="shared" si="13"/>
        <v>7.7300029999999964</v>
      </c>
      <c r="Q89" s="35">
        <f t="shared" si="14"/>
        <v>14.660004000000001</v>
      </c>
      <c r="R89" s="35">
        <f t="shared" si="8"/>
        <v>11.137857285714286</v>
      </c>
      <c r="S89" s="40">
        <f t="shared" si="15"/>
        <v>0.16937130393813379</v>
      </c>
      <c r="T89" s="3"/>
      <c r="U89" s="3"/>
      <c r="V89" s="3"/>
      <c r="W89" s="3"/>
      <c r="X89" s="3"/>
      <c r="Y89" s="3"/>
      <c r="Z89" s="3"/>
      <c r="AA89" s="3"/>
      <c r="AB89" s="3"/>
      <c r="AC89" s="3"/>
    </row>
    <row r="90" spans="1:29" x14ac:dyDescent="0.45">
      <c r="A90" s="1">
        <v>41030</v>
      </c>
      <c r="B90">
        <v>72.930000000000007</v>
      </c>
      <c r="C90">
        <v>75.080001999999993</v>
      </c>
      <c r="D90">
        <v>66.690002000000007</v>
      </c>
      <c r="E90">
        <v>67.699996999999996</v>
      </c>
      <c r="F90">
        <v>54.810493000000001</v>
      </c>
      <c r="G90">
        <v>42034200</v>
      </c>
      <c r="H90" s="3"/>
      <c r="I90" s="3">
        <f t="shared" si="9"/>
        <v>75.080001999999993</v>
      </c>
      <c r="J90" s="3">
        <f t="shared" si="10"/>
        <v>65.769997000000004</v>
      </c>
      <c r="K90" s="3"/>
      <c r="L90" s="3"/>
      <c r="M90" s="3"/>
      <c r="N90" s="35">
        <f t="shared" si="11"/>
        <v>9.3100049999999896</v>
      </c>
      <c r="O90" s="35">
        <f t="shared" si="12"/>
        <v>7.8300019999999932</v>
      </c>
      <c r="P90" s="35">
        <f t="shared" si="13"/>
        <v>1.4800029999999964</v>
      </c>
      <c r="Q90" s="35">
        <f t="shared" si="14"/>
        <v>9.3100049999999896</v>
      </c>
      <c r="R90" s="35">
        <f t="shared" si="8"/>
        <v>10.837857214285716</v>
      </c>
      <c r="S90" s="40">
        <f t="shared" si="15"/>
        <v>0.14860629664453195</v>
      </c>
      <c r="T90" s="3"/>
      <c r="U90" s="3"/>
      <c r="V90" s="3"/>
      <c r="W90" s="3"/>
      <c r="X90" s="3"/>
      <c r="Y90" s="3"/>
      <c r="Z90" s="3"/>
      <c r="AA90" s="3"/>
      <c r="AB90" s="3"/>
      <c r="AC90" s="3"/>
    </row>
    <row r="91" spans="1:29" x14ac:dyDescent="0.45">
      <c r="A91" s="1">
        <v>41000</v>
      </c>
      <c r="B91">
        <v>72.580001999999993</v>
      </c>
      <c r="C91">
        <v>74.309997999999993</v>
      </c>
      <c r="D91">
        <v>70.059997999999993</v>
      </c>
      <c r="E91">
        <v>72.620002999999997</v>
      </c>
      <c r="F91">
        <v>57.507404000000001</v>
      </c>
      <c r="G91">
        <v>26454300</v>
      </c>
      <c r="H91" s="3"/>
      <c r="I91" s="3">
        <f t="shared" si="9"/>
        <v>74.309997999999993</v>
      </c>
      <c r="J91" s="3">
        <f t="shared" si="10"/>
        <v>61.619999</v>
      </c>
      <c r="K91" s="3"/>
      <c r="L91" s="3"/>
      <c r="M91" s="3"/>
      <c r="N91" s="35">
        <f t="shared" si="11"/>
        <v>12.689998999999993</v>
      </c>
      <c r="O91" s="35">
        <f t="shared" si="12"/>
        <v>13.509998999999993</v>
      </c>
      <c r="P91" s="35">
        <f t="shared" si="13"/>
        <v>0.82000000000000028</v>
      </c>
      <c r="Q91" s="35">
        <f t="shared" si="14"/>
        <v>13.509998999999993</v>
      </c>
      <c r="R91" s="35">
        <f t="shared" si="8"/>
        <v>10.550714071428573</v>
      </c>
      <c r="S91" s="40">
        <f t="shared" si="15"/>
        <v>0.14536668201564079</v>
      </c>
      <c r="T91" s="3"/>
      <c r="U91" s="3"/>
      <c r="V91" s="3"/>
      <c r="W91" s="3"/>
      <c r="X91" s="3"/>
      <c r="Y91" s="3"/>
      <c r="Z91" s="3"/>
      <c r="AA91" s="3"/>
      <c r="AB91" s="3"/>
      <c r="AC91" s="3"/>
    </row>
    <row r="92" spans="1:29" x14ac:dyDescent="0.45">
      <c r="A92" s="1">
        <v>40969</v>
      </c>
      <c r="B92">
        <v>68.040001000000004</v>
      </c>
      <c r="C92">
        <v>73.489998</v>
      </c>
      <c r="D92">
        <v>65.769997000000004</v>
      </c>
      <c r="E92">
        <v>72.720000999999996</v>
      </c>
      <c r="F92">
        <v>57.586582</v>
      </c>
      <c r="G92">
        <v>29148300</v>
      </c>
      <c r="H92" s="3"/>
      <c r="I92" s="3">
        <f t="shared" si="9"/>
        <v>73.489998</v>
      </c>
      <c r="J92" s="3">
        <f t="shared" si="10"/>
        <v>58.779998999999997</v>
      </c>
      <c r="K92" s="3"/>
      <c r="L92" s="3"/>
      <c r="M92" s="3"/>
      <c r="N92" s="35">
        <f t="shared" si="11"/>
        <v>14.709999000000003</v>
      </c>
      <c r="O92" s="35">
        <f t="shared" si="12"/>
        <v>12.499996000000003</v>
      </c>
      <c r="P92" s="35">
        <f t="shared" si="13"/>
        <v>2.2100030000000004</v>
      </c>
      <c r="Q92" s="35">
        <f t="shared" si="14"/>
        <v>14.709999000000003</v>
      </c>
      <c r="R92" s="35">
        <f t="shared" si="8"/>
        <v>9.905714071428573</v>
      </c>
      <c r="S92" s="40">
        <f t="shared" si="15"/>
        <v>0.14558662442448483</v>
      </c>
      <c r="T92" s="3"/>
      <c r="U92" s="3"/>
      <c r="V92" s="3"/>
      <c r="W92" s="3"/>
      <c r="X92" s="3"/>
      <c r="Y92" s="3"/>
      <c r="Z92" s="3"/>
      <c r="AA92" s="3"/>
      <c r="AB92" s="3"/>
      <c r="AC92" s="3"/>
    </row>
    <row r="93" spans="1:29" x14ac:dyDescent="0.45">
      <c r="A93" s="1">
        <v>40940</v>
      </c>
      <c r="B93">
        <v>61.77</v>
      </c>
      <c r="C93">
        <v>68.150002000000001</v>
      </c>
      <c r="D93">
        <v>61.619999</v>
      </c>
      <c r="E93">
        <v>67.25</v>
      </c>
      <c r="F93">
        <v>53.254921000000003</v>
      </c>
      <c r="G93">
        <v>23554900</v>
      </c>
      <c r="H93" s="3"/>
      <c r="I93" s="3">
        <f t="shared" si="9"/>
        <v>68.150002000000001</v>
      </c>
      <c r="J93" s="3">
        <f t="shared" si="10"/>
        <v>57.07</v>
      </c>
      <c r="K93" s="3"/>
      <c r="L93" s="3"/>
      <c r="M93" s="3"/>
      <c r="N93" s="35">
        <f t="shared" si="11"/>
        <v>11.080002</v>
      </c>
      <c r="O93" s="35">
        <f t="shared" si="12"/>
        <v>8.1500020000000006</v>
      </c>
      <c r="P93" s="35">
        <f t="shared" si="13"/>
        <v>2.9299999999999997</v>
      </c>
      <c r="Q93" s="35">
        <f t="shared" si="14"/>
        <v>11.080002</v>
      </c>
      <c r="R93" s="35">
        <f t="shared" si="8"/>
        <v>9.5228569285714286</v>
      </c>
      <c r="S93" s="40">
        <f t="shared" si="15"/>
        <v>0.15416637410670922</v>
      </c>
      <c r="T93" s="3"/>
      <c r="U93" s="3"/>
      <c r="V93" s="3"/>
      <c r="W93" s="3"/>
      <c r="X93" s="3"/>
      <c r="Y93" s="3"/>
      <c r="Z93" s="3"/>
      <c r="AA93" s="3"/>
      <c r="AB93" s="3"/>
      <c r="AC93" s="3"/>
    </row>
    <row r="94" spans="1:29" x14ac:dyDescent="0.45">
      <c r="A94" s="1">
        <v>40909</v>
      </c>
      <c r="B94">
        <v>61.48</v>
      </c>
      <c r="C94">
        <v>62.580002</v>
      </c>
      <c r="D94">
        <v>58.779998999999997</v>
      </c>
      <c r="E94">
        <v>60.799999</v>
      </c>
      <c r="F94">
        <v>48.147193999999999</v>
      </c>
      <c r="G94">
        <v>20742700</v>
      </c>
      <c r="H94" s="3"/>
      <c r="I94" s="3">
        <f t="shared" si="9"/>
        <v>62.580002</v>
      </c>
      <c r="J94" s="3">
        <f t="shared" si="10"/>
        <v>53.830002</v>
      </c>
      <c r="K94" s="3"/>
      <c r="L94" s="3"/>
      <c r="M94" s="3"/>
      <c r="N94" s="35">
        <f t="shared" si="11"/>
        <v>8.75</v>
      </c>
      <c r="O94" s="35">
        <f t="shared" si="12"/>
        <v>7.1100009999999969</v>
      </c>
      <c r="P94" s="35">
        <f t="shared" si="13"/>
        <v>1.6399990000000031</v>
      </c>
      <c r="Q94" s="35">
        <f t="shared" si="14"/>
        <v>8.75</v>
      </c>
      <c r="R94" s="35">
        <f t="shared" si="8"/>
        <v>9.4671422142857136</v>
      </c>
      <c r="S94" s="40">
        <f t="shared" si="15"/>
        <v>0.15398734896365832</v>
      </c>
      <c r="T94" s="3"/>
      <c r="U94" s="3"/>
      <c r="V94" s="3"/>
      <c r="W94" s="3"/>
      <c r="X94" s="3"/>
      <c r="Y94" s="3"/>
      <c r="Z94" s="3"/>
      <c r="AA94" s="3"/>
      <c r="AB94" s="3"/>
      <c r="AC94" s="3"/>
    </row>
    <row r="95" spans="1:29" x14ac:dyDescent="0.45">
      <c r="A95" s="1">
        <v>40878</v>
      </c>
      <c r="B95">
        <v>60.740001999999997</v>
      </c>
      <c r="C95">
        <v>61.509998000000003</v>
      </c>
      <c r="D95">
        <v>57.07</v>
      </c>
      <c r="E95">
        <v>60.990001999999997</v>
      </c>
      <c r="F95">
        <v>48.297660999999998</v>
      </c>
      <c r="G95">
        <v>22477500</v>
      </c>
      <c r="H95" s="3"/>
      <c r="I95" s="3">
        <f t="shared" si="9"/>
        <v>61.509998000000003</v>
      </c>
      <c r="J95" s="3">
        <f t="shared" si="10"/>
        <v>51.509998000000003</v>
      </c>
      <c r="K95" s="3"/>
      <c r="L95" s="3"/>
      <c r="M95" s="3"/>
      <c r="N95" s="35">
        <f t="shared" si="11"/>
        <v>10</v>
      </c>
      <c r="O95" s="35">
        <f t="shared" si="12"/>
        <v>8.5299980000000062</v>
      </c>
      <c r="P95" s="35">
        <f t="shared" si="13"/>
        <v>1.4700019999999938</v>
      </c>
      <c r="Q95" s="35">
        <f t="shared" si="14"/>
        <v>10</v>
      </c>
      <c r="R95" s="35">
        <f t="shared" si="8"/>
        <v>9.7564276428571421</v>
      </c>
      <c r="S95" s="40">
        <f t="shared" si="15"/>
        <v>0.16062606719797512</v>
      </c>
      <c r="T95" s="3"/>
      <c r="U95" s="3"/>
      <c r="V95" s="3"/>
      <c r="W95" s="3"/>
      <c r="X95" s="3"/>
      <c r="Y95" s="3"/>
      <c r="Z95" s="3"/>
      <c r="AA95" s="3"/>
      <c r="AB95" s="3"/>
      <c r="AC95" s="3"/>
    </row>
    <row r="96" spans="1:29" x14ac:dyDescent="0.45">
      <c r="A96" s="1">
        <v>40848</v>
      </c>
      <c r="B96">
        <v>54.419998</v>
      </c>
      <c r="C96">
        <v>60</v>
      </c>
      <c r="D96">
        <v>53.830002</v>
      </c>
      <c r="E96">
        <v>60</v>
      </c>
      <c r="F96">
        <v>47.513691000000001</v>
      </c>
      <c r="G96">
        <v>26279500</v>
      </c>
      <c r="H96" s="3"/>
      <c r="I96" s="3">
        <f t="shared" si="9"/>
        <v>60</v>
      </c>
      <c r="J96" s="3">
        <f t="shared" si="10"/>
        <v>49.080002</v>
      </c>
      <c r="K96" s="3"/>
      <c r="L96" s="3"/>
      <c r="M96" s="3"/>
      <c r="N96" s="35">
        <f t="shared" si="11"/>
        <v>10.919998</v>
      </c>
      <c r="O96" s="35">
        <f t="shared" si="12"/>
        <v>4.7400019999999969</v>
      </c>
      <c r="P96" s="35">
        <f t="shared" si="13"/>
        <v>6.1799960000000027</v>
      </c>
      <c r="Q96" s="35">
        <f t="shared" si="14"/>
        <v>10.919998</v>
      </c>
      <c r="R96" s="35">
        <f t="shared" si="8"/>
        <v>10.074284571428569</v>
      </c>
      <c r="S96" s="40">
        <f t="shared" si="15"/>
        <v>0.18512100223576944</v>
      </c>
      <c r="T96" s="3"/>
      <c r="U96" s="3"/>
      <c r="V96" s="3"/>
      <c r="W96" s="3"/>
      <c r="X96" s="3"/>
      <c r="Y96" s="3"/>
      <c r="Z96" s="3"/>
      <c r="AA96" s="3"/>
      <c r="AB96" s="3"/>
      <c r="AC96" s="3"/>
    </row>
    <row r="97" spans="1:29" x14ac:dyDescent="0.45">
      <c r="A97" s="1">
        <v>40817</v>
      </c>
      <c r="B97">
        <v>53.150002000000001</v>
      </c>
      <c r="C97">
        <v>57.389999000000003</v>
      </c>
      <c r="D97">
        <v>51.509998000000003</v>
      </c>
      <c r="E97">
        <v>55.470001000000003</v>
      </c>
      <c r="F97">
        <v>43.926399000000004</v>
      </c>
      <c r="G97">
        <v>31940500</v>
      </c>
      <c r="H97" s="3"/>
      <c r="I97" s="3">
        <f t="shared" si="9"/>
        <v>58.799999</v>
      </c>
      <c r="J97" s="3">
        <f t="shared" si="10"/>
        <v>49.049999</v>
      </c>
      <c r="K97" s="3"/>
      <c r="L97" s="3"/>
      <c r="M97" s="3"/>
      <c r="N97" s="35">
        <f t="shared" si="11"/>
        <v>9.75</v>
      </c>
      <c r="O97" s="35">
        <f t="shared" si="12"/>
        <v>1.2199969999999993</v>
      </c>
      <c r="P97" s="35">
        <f t="shared" si="13"/>
        <v>8.5300030000000007</v>
      </c>
      <c r="Q97" s="35">
        <f t="shared" si="14"/>
        <v>9.75</v>
      </c>
      <c r="R97" s="35">
        <f t="shared" si="8"/>
        <v>10.136427642857141</v>
      </c>
      <c r="S97" s="40">
        <f t="shared" si="15"/>
        <v>0.19071358911439254</v>
      </c>
      <c r="T97" s="3"/>
      <c r="U97" s="3"/>
      <c r="V97" s="3"/>
      <c r="W97" s="3"/>
      <c r="X97" s="3"/>
      <c r="Y97" s="3"/>
      <c r="Z97" s="3"/>
      <c r="AA97" s="3"/>
      <c r="AB97" s="3"/>
      <c r="AC97" s="3"/>
    </row>
    <row r="98" spans="1:29" x14ac:dyDescent="0.45">
      <c r="A98" s="1">
        <v>40787</v>
      </c>
      <c r="B98">
        <v>54.84</v>
      </c>
      <c r="C98">
        <v>55.25</v>
      </c>
      <c r="D98">
        <v>49.080002</v>
      </c>
      <c r="E98">
        <v>52.98</v>
      </c>
      <c r="F98">
        <v>41.954585999999999</v>
      </c>
      <c r="G98">
        <v>36161300</v>
      </c>
      <c r="H98" s="3"/>
      <c r="I98" s="3">
        <f t="shared" si="9"/>
        <v>59.759998000000003</v>
      </c>
      <c r="J98" s="3">
        <f t="shared" si="10"/>
        <v>49.049999</v>
      </c>
      <c r="K98" s="3"/>
      <c r="L98" s="3"/>
      <c r="M98" s="3"/>
      <c r="N98" s="35">
        <f t="shared" si="11"/>
        <v>10.709999000000003</v>
      </c>
      <c r="O98" s="35">
        <f t="shared" si="12"/>
        <v>1.75</v>
      </c>
      <c r="P98" s="35">
        <f t="shared" si="13"/>
        <v>8.9599990000000034</v>
      </c>
      <c r="Q98" s="35">
        <f t="shared" si="14"/>
        <v>10.709999000000003</v>
      </c>
      <c r="R98" s="35">
        <f t="shared" si="8"/>
        <v>10.104999142857141</v>
      </c>
      <c r="S98" s="40">
        <f t="shared" si="15"/>
        <v>0.18426329582161086</v>
      </c>
      <c r="T98" s="3"/>
      <c r="U98" s="3"/>
      <c r="V98" s="3"/>
      <c r="W98" s="3"/>
      <c r="X98" s="3"/>
      <c r="Y98" s="3"/>
      <c r="Z98" s="3"/>
      <c r="AA98" s="3"/>
      <c r="AB98" s="3"/>
      <c r="AC98" s="3"/>
    </row>
    <row r="99" spans="1:29" x14ac:dyDescent="0.45">
      <c r="A99" s="1">
        <v>40756</v>
      </c>
      <c r="B99">
        <v>58.77</v>
      </c>
      <c r="C99">
        <v>58.799999</v>
      </c>
      <c r="D99">
        <v>49.049999</v>
      </c>
      <c r="E99">
        <v>55.259998000000003</v>
      </c>
      <c r="F99">
        <v>43.760105000000003</v>
      </c>
      <c r="G99">
        <v>61917800</v>
      </c>
      <c r="H99" s="3"/>
      <c r="I99" s="3">
        <f t="shared" si="9"/>
        <v>60.959999000000003</v>
      </c>
      <c r="J99" s="3">
        <f t="shared" si="10"/>
        <v>49.049999</v>
      </c>
      <c r="K99" s="3"/>
      <c r="L99" s="3"/>
      <c r="M99" s="3"/>
      <c r="N99" s="35">
        <f t="shared" si="11"/>
        <v>11.910000000000004</v>
      </c>
      <c r="O99" s="35">
        <f t="shared" si="12"/>
        <v>0.4799990000000065</v>
      </c>
      <c r="P99" s="35">
        <f t="shared" si="13"/>
        <v>11.430000999999997</v>
      </c>
      <c r="Q99" s="35">
        <f t="shared" si="14"/>
        <v>11.910000000000004</v>
      </c>
      <c r="R99" s="35">
        <f t="shared" si="8"/>
        <v>10.202141999999998</v>
      </c>
      <c r="S99" s="40">
        <f t="shared" si="15"/>
        <v>0.17359438489025009</v>
      </c>
      <c r="T99" s="3"/>
      <c r="U99" s="3"/>
      <c r="V99" s="3"/>
      <c r="W99" s="3"/>
      <c r="X99" s="3"/>
      <c r="Y99" s="3"/>
      <c r="Z99" s="3"/>
      <c r="AA99" s="3"/>
      <c r="AB99" s="3"/>
      <c r="AC99" s="3"/>
    </row>
    <row r="100" spans="1:29" x14ac:dyDescent="0.45">
      <c r="A100" s="1">
        <v>40725</v>
      </c>
      <c r="B100">
        <v>57.650002000000001</v>
      </c>
      <c r="C100">
        <v>59.759998000000003</v>
      </c>
      <c r="D100">
        <v>54.040000999999997</v>
      </c>
      <c r="E100">
        <v>57.580002</v>
      </c>
      <c r="F100">
        <v>45.597304999999999</v>
      </c>
      <c r="G100">
        <v>36308000</v>
      </c>
      <c r="H100" s="3"/>
      <c r="I100" s="3">
        <f t="shared" si="9"/>
        <v>64.529999000000004</v>
      </c>
      <c r="J100" s="3">
        <f t="shared" si="10"/>
        <v>54.040000999999997</v>
      </c>
      <c r="K100" s="3"/>
      <c r="L100" s="3"/>
      <c r="M100" s="3"/>
      <c r="N100" s="35">
        <f t="shared" si="11"/>
        <v>10.489998000000007</v>
      </c>
      <c r="O100" s="35">
        <f t="shared" si="12"/>
        <v>0.55999800000000022</v>
      </c>
      <c r="P100" s="35">
        <f t="shared" si="13"/>
        <v>9.9300000000000068</v>
      </c>
      <c r="Q100" s="35">
        <f t="shared" si="14"/>
        <v>10.489998000000007</v>
      </c>
      <c r="R100" s="35">
        <f t="shared" si="8"/>
        <v>10.02571357142857</v>
      </c>
      <c r="S100" s="40">
        <f t="shared" si="15"/>
        <v>0.1739065606871717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</row>
    <row r="101" spans="1:29" x14ac:dyDescent="0.45">
      <c r="A101" s="1">
        <v>40695</v>
      </c>
      <c r="B101">
        <v>60.91</v>
      </c>
      <c r="C101">
        <v>60.959999000000003</v>
      </c>
      <c r="D101">
        <v>55.34</v>
      </c>
      <c r="E101">
        <v>58.009998000000003</v>
      </c>
      <c r="F101">
        <v>45.937812999999998</v>
      </c>
      <c r="G101">
        <v>21559800</v>
      </c>
      <c r="H101" s="3"/>
      <c r="I101" s="3">
        <f t="shared" si="9"/>
        <v>64.529999000000004</v>
      </c>
      <c r="J101" s="3">
        <f t="shared" si="10"/>
        <v>55.34</v>
      </c>
      <c r="K101" s="3"/>
      <c r="L101" s="3"/>
      <c r="M101" s="3"/>
      <c r="N101" s="35">
        <f t="shared" si="11"/>
        <v>9.1899990000000003</v>
      </c>
      <c r="O101" s="35">
        <f t="shared" si="12"/>
        <v>7.360001000000004</v>
      </c>
      <c r="P101" s="35">
        <f t="shared" si="13"/>
        <v>1.8299979999999962</v>
      </c>
      <c r="Q101" s="35">
        <f t="shared" si="14"/>
        <v>9.1899990000000003</v>
      </c>
      <c r="R101" s="35">
        <f t="shared" si="8"/>
        <v>9.9507138571428548</v>
      </c>
      <c r="S101" s="40">
        <f t="shared" si="15"/>
        <v>0.1633674906771114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</row>
    <row r="102" spans="1:29" x14ac:dyDescent="0.45">
      <c r="A102" s="1">
        <v>40664</v>
      </c>
      <c r="B102">
        <v>64.099997999999999</v>
      </c>
      <c r="C102">
        <v>64.529999000000004</v>
      </c>
      <c r="D102">
        <v>57.650002000000001</v>
      </c>
      <c r="E102">
        <v>60.48</v>
      </c>
      <c r="F102">
        <v>47.893791</v>
      </c>
      <c r="G102">
        <v>24636000</v>
      </c>
      <c r="H102" s="3"/>
      <c r="I102" s="3">
        <f t="shared" si="9"/>
        <v>64.529999000000004</v>
      </c>
      <c r="J102" s="3">
        <f t="shared" si="10"/>
        <v>53.59</v>
      </c>
      <c r="K102" s="3"/>
      <c r="L102" s="3"/>
      <c r="M102" s="3"/>
      <c r="N102" s="35">
        <f t="shared" si="11"/>
        <v>10.939999</v>
      </c>
      <c r="O102" s="35">
        <f t="shared" si="12"/>
        <v>8.5000000000000071</v>
      </c>
      <c r="P102" s="35">
        <f t="shared" si="13"/>
        <v>2.4399989999999931</v>
      </c>
      <c r="Q102" s="35">
        <f t="shared" si="14"/>
        <v>10.939999</v>
      </c>
      <c r="R102" s="35">
        <f t="shared" si="8"/>
        <v>9.7999997857142827</v>
      </c>
      <c r="S102" s="40">
        <f t="shared" si="15"/>
        <v>0.15288611687186454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</row>
    <row r="103" spans="1:29" x14ac:dyDescent="0.45">
      <c r="A103" s="1">
        <v>40634</v>
      </c>
      <c r="B103">
        <v>58.060001</v>
      </c>
      <c r="C103">
        <v>64.050003000000004</v>
      </c>
      <c r="D103">
        <v>57.939999</v>
      </c>
      <c r="E103">
        <v>63.970001000000003</v>
      </c>
      <c r="F103">
        <v>49.707988999999998</v>
      </c>
      <c r="G103">
        <v>22708900</v>
      </c>
      <c r="H103" s="3"/>
      <c r="I103" s="3">
        <f t="shared" si="9"/>
        <v>64.050003000000004</v>
      </c>
      <c r="J103" s="3">
        <f t="shared" si="10"/>
        <v>53.59</v>
      </c>
      <c r="K103" s="3"/>
      <c r="L103" s="3"/>
      <c r="M103" s="3"/>
      <c r="N103" s="35">
        <f t="shared" si="11"/>
        <v>10.460003</v>
      </c>
      <c r="O103" s="35">
        <f t="shared" si="12"/>
        <v>8.740002000000004</v>
      </c>
      <c r="P103" s="35">
        <f t="shared" si="13"/>
        <v>1.7200009999999963</v>
      </c>
      <c r="Q103" s="35">
        <f t="shared" si="14"/>
        <v>10.460003</v>
      </c>
      <c r="R103" s="35">
        <f t="shared" si="8"/>
        <v>9.6007142857142842</v>
      </c>
      <c r="S103" s="40">
        <f t="shared" si="15"/>
        <v>0.16535849328893887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</row>
    <row r="104" spans="1:29" x14ac:dyDescent="0.45">
      <c r="A104" s="1">
        <v>40603</v>
      </c>
      <c r="B104">
        <v>56.810001</v>
      </c>
      <c r="C104">
        <v>58.650002000000001</v>
      </c>
      <c r="D104">
        <v>53.59</v>
      </c>
      <c r="E104">
        <v>57.169998</v>
      </c>
      <c r="F104">
        <v>44.424038000000003</v>
      </c>
      <c r="G104">
        <v>30569700</v>
      </c>
      <c r="H104" s="3"/>
      <c r="I104" s="3">
        <f t="shared" si="9"/>
        <v>58.880001</v>
      </c>
      <c r="J104" s="3">
        <f t="shared" si="10"/>
        <v>53.59</v>
      </c>
      <c r="K104" s="3"/>
      <c r="L104" s="3"/>
      <c r="M104" s="3"/>
      <c r="N104" s="35">
        <f t="shared" si="11"/>
        <v>5.2900009999999966</v>
      </c>
      <c r="O104" s="35">
        <f t="shared" si="12"/>
        <v>1.7900009999999966</v>
      </c>
      <c r="P104" s="35">
        <f t="shared" si="13"/>
        <v>3.5</v>
      </c>
      <c r="Q104" s="35">
        <f t="shared" si="14"/>
        <v>5.2900009999999966</v>
      </c>
      <c r="R104" s="35">
        <f t="shared" si="8"/>
        <v>9.4357142142857136</v>
      </c>
      <c r="S104" s="40">
        <f t="shared" si="15"/>
        <v>0.16609248456597833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</row>
    <row r="105" spans="1:29" x14ac:dyDescent="0.45">
      <c r="A105" s="1">
        <v>40575</v>
      </c>
      <c r="B105">
        <v>55.540000999999997</v>
      </c>
      <c r="C105">
        <v>56.810001</v>
      </c>
      <c r="D105">
        <v>54.400002000000001</v>
      </c>
      <c r="E105">
        <v>56.029998999999997</v>
      </c>
      <c r="F105">
        <v>43.538200000000003</v>
      </c>
      <c r="G105">
        <v>30938900</v>
      </c>
      <c r="H105" s="3"/>
      <c r="I105" s="3">
        <f t="shared" si="9"/>
        <v>58.880001</v>
      </c>
      <c r="J105" s="3">
        <f t="shared" si="10"/>
        <v>54.400002000000001</v>
      </c>
      <c r="K105" s="3"/>
      <c r="L105" s="3"/>
      <c r="M105" s="3"/>
      <c r="N105" s="35">
        <f t="shared" si="11"/>
        <v>4.4799989999999994</v>
      </c>
      <c r="O105" s="35">
        <f t="shared" si="12"/>
        <v>3.9400019999999998</v>
      </c>
      <c r="P105" s="35">
        <f t="shared" si="13"/>
        <v>0.53999699999999962</v>
      </c>
      <c r="Q105" s="35">
        <f t="shared" si="14"/>
        <v>4.4799989999999994</v>
      </c>
      <c r="R105" s="35">
        <f t="shared" si="8"/>
        <v>9.5878571428571426</v>
      </c>
      <c r="S105" s="40">
        <f t="shared" si="15"/>
        <v>0.17262976179739614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</row>
    <row r="106" spans="1:29" x14ac:dyDescent="0.45">
      <c r="A106" s="1">
        <v>40544</v>
      </c>
      <c r="B106">
        <v>57.630001</v>
      </c>
      <c r="C106">
        <v>58.880001</v>
      </c>
      <c r="D106">
        <v>54.91</v>
      </c>
      <c r="E106">
        <v>55.310001</v>
      </c>
      <c r="F106">
        <v>42.978718000000001</v>
      </c>
      <c r="G106">
        <v>19419700</v>
      </c>
      <c r="H106" s="3"/>
      <c r="I106" s="3">
        <f t="shared" si="9"/>
        <v>63.82</v>
      </c>
      <c r="J106" s="3">
        <f t="shared" si="10"/>
        <v>54.470001000000003</v>
      </c>
      <c r="K106" s="3"/>
      <c r="L106" s="3"/>
      <c r="M106" s="3"/>
      <c r="N106" s="35">
        <f t="shared" si="11"/>
        <v>9.3499989999999968</v>
      </c>
      <c r="O106" s="35">
        <f t="shared" si="12"/>
        <v>0.91999799999999965</v>
      </c>
      <c r="P106" s="35">
        <f t="shared" si="13"/>
        <v>8.4300009999999972</v>
      </c>
      <c r="Q106" s="35">
        <f t="shared" si="14"/>
        <v>9.3499989999999968</v>
      </c>
      <c r="R106" s="35">
        <f t="shared" si="8"/>
        <v>10.001428714285714</v>
      </c>
      <c r="S106" s="40">
        <f t="shared" si="15"/>
        <v>0.173545523871945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</row>
    <row r="107" spans="1:29" x14ac:dyDescent="0.45">
      <c r="A107" s="1">
        <v>40513</v>
      </c>
      <c r="B107">
        <v>55.82</v>
      </c>
      <c r="C107">
        <v>58.5</v>
      </c>
      <c r="D107">
        <v>55.68</v>
      </c>
      <c r="E107">
        <v>57.09</v>
      </c>
      <c r="F107">
        <v>44.361877</v>
      </c>
      <c r="G107">
        <v>20067700</v>
      </c>
      <c r="H107" s="3"/>
      <c r="I107" s="3">
        <f t="shared" si="9"/>
        <v>64.769997000000004</v>
      </c>
      <c r="J107" s="3">
        <f t="shared" si="10"/>
        <v>54.470001000000003</v>
      </c>
      <c r="K107" s="3"/>
      <c r="L107" s="3"/>
      <c r="M107" s="3"/>
      <c r="N107" s="35">
        <f t="shared" si="11"/>
        <v>10.299996</v>
      </c>
      <c r="O107" s="35">
        <f t="shared" si="12"/>
        <v>6.0199970000000036</v>
      </c>
      <c r="P107" s="35">
        <f t="shared" si="13"/>
        <v>4.2799989999999966</v>
      </c>
      <c r="Q107" s="35">
        <f t="shared" si="14"/>
        <v>10.299996</v>
      </c>
      <c r="R107" s="35">
        <f t="shared" si="8"/>
        <v>10.129999999999999</v>
      </c>
      <c r="S107" s="40">
        <f t="shared" si="15"/>
        <v>0.18147617341454675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</row>
    <row r="108" spans="1:29" x14ac:dyDescent="0.45">
      <c r="A108" s="1">
        <v>40483</v>
      </c>
      <c r="B108">
        <v>63.290000999999997</v>
      </c>
      <c r="C108">
        <v>63.82</v>
      </c>
      <c r="D108">
        <v>54.470001000000003</v>
      </c>
      <c r="E108">
        <v>54.939999</v>
      </c>
      <c r="F108">
        <v>42.691212</v>
      </c>
      <c r="G108">
        <v>24626900</v>
      </c>
      <c r="H108" s="3"/>
      <c r="I108" s="3">
        <f t="shared" si="9"/>
        <v>64.769997000000004</v>
      </c>
      <c r="J108" s="3">
        <f t="shared" si="10"/>
        <v>53.419998</v>
      </c>
      <c r="K108" s="3"/>
      <c r="L108" s="3"/>
      <c r="M108" s="3"/>
      <c r="N108" s="35">
        <f t="shared" si="11"/>
        <v>11.349999000000004</v>
      </c>
      <c r="O108" s="35">
        <f t="shared" si="12"/>
        <v>12.799996</v>
      </c>
      <c r="P108" s="35">
        <f t="shared" si="13"/>
        <v>1.4499969999999962</v>
      </c>
      <c r="Q108" s="35">
        <f t="shared" si="14"/>
        <v>12.799996</v>
      </c>
      <c r="R108" s="35">
        <f t="shared" si="8"/>
        <v>10.429286142857146</v>
      </c>
      <c r="S108" s="40">
        <f t="shared" si="15"/>
        <v>0.16478568459585183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</row>
    <row r="109" spans="1:29" x14ac:dyDescent="0.45">
      <c r="A109" s="1">
        <v>40452</v>
      </c>
      <c r="B109">
        <v>59.09</v>
      </c>
      <c r="C109">
        <v>64.769997000000004</v>
      </c>
      <c r="D109">
        <v>57.310001</v>
      </c>
      <c r="E109">
        <v>62.900002000000001</v>
      </c>
      <c r="F109">
        <v>48.876548999999997</v>
      </c>
      <c r="G109">
        <v>25527800</v>
      </c>
      <c r="H109" s="3"/>
      <c r="I109" s="3">
        <f t="shared" si="9"/>
        <v>64.769997000000004</v>
      </c>
      <c r="J109" s="3">
        <f t="shared" si="10"/>
        <v>50.32</v>
      </c>
      <c r="K109" s="3"/>
      <c r="L109" s="3"/>
      <c r="M109" s="3"/>
      <c r="N109" s="35">
        <f t="shared" si="11"/>
        <v>14.449997000000003</v>
      </c>
      <c r="O109" s="35">
        <f t="shared" si="12"/>
        <v>11.709996000000004</v>
      </c>
      <c r="P109" s="35">
        <f t="shared" si="13"/>
        <v>2.7400009999999995</v>
      </c>
      <c r="Q109" s="35">
        <f t="shared" si="14"/>
        <v>14.449997000000003</v>
      </c>
      <c r="R109" s="35">
        <f t="shared" si="8"/>
        <v>12.937143571428573</v>
      </c>
      <c r="S109" s="40">
        <f t="shared" si="15"/>
        <v>0.21893964412639316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</row>
    <row r="110" spans="1:29" x14ac:dyDescent="0.45">
      <c r="A110" s="1">
        <v>40422</v>
      </c>
      <c r="B110">
        <v>53.490001999999997</v>
      </c>
      <c r="C110">
        <v>59.799999</v>
      </c>
      <c r="D110">
        <v>53.419998</v>
      </c>
      <c r="E110">
        <v>58.75</v>
      </c>
      <c r="F110">
        <v>45.651783000000002</v>
      </c>
      <c r="G110">
        <v>12078000</v>
      </c>
      <c r="H110" s="3"/>
      <c r="I110" s="3">
        <f t="shared" si="9"/>
        <v>59.799999</v>
      </c>
      <c r="J110" s="3">
        <f t="shared" si="10"/>
        <v>48.43</v>
      </c>
      <c r="K110" s="3"/>
      <c r="L110" s="3"/>
      <c r="M110" s="3"/>
      <c r="N110" s="35">
        <f t="shared" si="11"/>
        <v>11.369999</v>
      </c>
      <c r="O110" s="35">
        <f t="shared" si="12"/>
        <v>11.790000999999997</v>
      </c>
      <c r="P110" s="35">
        <f t="shared" si="13"/>
        <v>0.42000199999999666</v>
      </c>
      <c r="Q110" s="35">
        <f t="shared" si="14"/>
        <v>11.790000999999997</v>
      </c>
      <c r="R110" s="35">
        <f t="shared" si="8"/>
        <v>15.012143785714287</v>
      </c>
      <c r="S110" s="40">
        <f t="shared" si="15"/>
        <v>0.28065326648733885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</row>
    <row r="111" spans="1:29" x14ac:dyDescent="0.45">
      <c r="A111" s="1">
        <v>40391</v>
      </c>
      <c r="B111">
        <v>53.939999</v>
      </c>
      <c r="C111">
        <v>55.5</v>
      </c>
      <c r="D111">
        <v>50.32</v>
      </c>
      <c r="E111">
        <v>51.970001000000003</v>
      </c>
      <c r="F111">
        <v>40.383369000000002</v>
      </c>
      <c r="G111">
        <v>10626200</v>
      </c>
      <c r="H111" s="3"/>
      <c r="I111" s="3">
        <f t="shared" si="9"/>
        <v>55.5</v>
      </c>
      <c r="J111" s="3">
        <f t="shared" si="10"/>
        <v>46.189999</v>
      </c>
      <c r="K111" s="3"/>
      <c r="L111" s="3"/>
      <c r="M111" s="3"/>
      <c r="N111" s="35">
        <f t="shared" si="11"/>
        <v>9.3100009999999997</v>
      </c>
      <c r="O111" s="35">
        <f t="shared" si="12"/>
        <v>7.5900000000000034</v>
      </c>
      <c r="P111" s="35">
        <f t="shared" si="13"/>
        <v>1.7200009999999963</v>
      </c>
      <c r="Q111" s="35">
        <f t="shared" si="14"/>
        <v>9.3100009999999997</v>
      </c>
      <c r="R111" s="35">
        <f t="shared" si="8"/>
        <v>17.0414295</v>
      </c>
      <c r="S111" s="40">
        <f t="shared" si="15"/>
        <v>0.31593307037324936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</row>
    <row r="112" spans="1:29" x14ac:dyDescent="0.45">
      <c r="A112" s="1">
        <v>40360</v>
      </c>
      <c r="B112">
        <v>48.740001999999997</v>
      </c>
      <c r="C112">
        <v>55.259998000000003</v>
      </c>
      <c r="D112">
        <v>48.43</v>
      </c>
      <c r="E112">
        <v>53.060001</v>
      </c>
      <c r="F112">
        <v>41.230358000000003</v>
      </c>
      <c r="G112">
        <v>10449600</v>
      </c>
      <c r="H112" s="3"/>
      <c r="I112" s="3">
        <f t="shared" si="9"/>
        <v>55.259998000000003</v>
      </c>
      <c r="J112" s="3">
        <f t="shared" si="10"/>
        <v>43.189999</v>
      </c>
      <c r="K112" s="3"/>
      <c r="L112" s="3"/>
      <c r="M112" s="3"/>
      <c r="N112" s="35">
        <f t="shared" si="11"/>
        <v>12.069999000000003</v>
      </c>
      <c r="O112" s="35">
        <f t="shared" si="12"/>
        <v>6.8099970000000027</v>
      </c>
      <c r="P112" s="35">
        <f t="shared" si="13"/>
        <v>5.2600020000000001</v>
      </c>
      <c r="Q112" s="35">
        <f t="shared" si="14"/>
        <v>12.069999000000003</v>
      </c>
      <c r="R112" s="35">
        <f t="shared" si="8"/>
        <v>16.376429428571431</v>
      </c>
      <c r="S112" s="40">
        <f t="shared" si="15"/>
        <v>0.33599566591259949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</row>
    <row r="113" spans="1:29" x14ac:dyDescent="0.45">
      <c r="A113" s="1">
        <v>40330</v>
      </c>
      <c r="B113">
        <v>47.529998999999997</v>
      </c>
      <c r="C113">
        <v>52</v>
      </c>
      <c r="D113">
        <v>46.189999</v>
      </c>
      <c r="E113">
        <v>48.009998000000003</v>
      </c>
      <c r="F113">
        <v>37.306247999999997</v>
      </c>
      <c r="G113">
        <v>12998100</v>
      </c>
      <c r="H113" s="3"/>
      <c r="I113" s="3">
        <f t="shared" si="9"/>
        <v>52.630001</v>
      </c>
      <c r="J113" s="3">
        <f t="shared" si="10"/>
        <v>43.189999</v>
      </c>
      <c r="K113" s="3"/>
      <c r="L113" s="3"/>
      <c r="M113" s="3"/>
      <c r="N113" s="35">
        <f t="shared" si="11"/>
        <v>9.4400019999999998</v>
      </c>
      <c r="O113" s="35">
        <f t="shared" si="12"/>
        <v>2.1799999999999997</v>
      </c>
      <c r="P113" s="35">
        <f t="shared" si="13"/>
        <v>7.2600020000000001</v>
      </c>
      <c r="Q113" s="35">
        <f t="shared" si="14"/>
        <v>9.4400019999999998</v>
      </c>
      <c r="R113" s="35">
        <f t="shared" si="8"/>
        <v>15.514286642857144</v>
      </c>
      <c r="S113" s="40">
        <f t="shared" si="15"/>
        <v>0.32641041382847796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</row>
    <row r="114" spans="1:29" x14ac:dyDescent="0.45">
      <c r="A114" s="1">
        <v>40299</v>
      </c>
      <c r="B114">
        <v>48</v>
      </c>
      <c r="C114">
        <v>50.439999</v>
      </c>
      <c r="D114">
        <v>43.189999</v>
      </c>
      <c r="E114">
        <v>47.91</v>
      </c>
      <c r="F114">
        <v>37.228546000000001</v>
      </c>
      <c r="G114">
        <v>15939000</v>
      </c>
      <c r="H114" s="3"/>
      <c r="I114" s="3">
        <f t="shared" si="9"/>
        <v>52.630001</v>
      </c>
      <c r="J114" s="3">
        <f t="shared" si="10"/>
        <v>43.189999</v>
      </c>
      <c r="K114" s="3"/>
      <c r="L114" s="3"/>
      <c r="M114" s="3"/>
      <c r="N114" s="35">
        <f t="shared" si="11"/>
        <v>9.4400019999999998</v>
      </c>
      <c r="O114" s="35">
        <f t="shared" si="12"/>
        <v>2.6799999999999997</v>
      </c>
      <c r="P114" s="35">
        <f t="shared" si="13"/>
        <v>6.7600020000000001</v>
      </c>
      <c r="Q114" s="35">
        <f t="shared" si="14"/>
        <v>9.4400019999999998</v>
      </c>
      <c r="R114" s="35">
        <f t="shared" si="8"/>
        <v>14.840000785714286</v>
      </c>
      <c r="S114" s="40">
        <f t="shared" si="15"/>
        <v>0.30916668303571432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</row>
    <row r="115" spans="1:29" x14ac:dyDescent="0.45">
      <c r="A115" s="1">
        <v>40269</v>
      </c>
      <c r="B115">
        <v>50.68</v>
      </c>
      <c r="C115">
        <v>52.630001</v>
      </c>
      <c r="D115">
        <v>46.580002</v>
      </c>
      <c r="E115">
        <v>48.450001</v>
      </c>
      <c r="F115">
        <v>37.249209999999998</v>
      </c>
      <c r="G115">
        <v>8917200</v>
      </c>
      <c r="H115" s="3"/>
      <c r="I115" s="3">
        <f t="shared" si="9"/>
        <v>52.630001</v>
      </c>
      <c r="J115" s="3">
        <f t="shared" si="10"/>
        <v>45.549999</v>
      </c>
      <c r="K115" s="3"/>
      <c r="L115" s="3"/>
      <c r="M115" s="3"/>
      <c r="N115" s="35">
        <f t="shared" si="11"/>
        <v>7.0800020000000004</v>
      </c>
      <c r="O115" s="35">
        <f t="shared" si="12"/>
        <v>2.8400000000000034</v>
      </c>
      <c r="P115" s="35">
        <f t="shared" si="13"/>
        <v>4.2400019999999969</v>
      </c>
      <c r="Q115" s="35">
        <f t="shared" si="14"/>
        <v>7.0800020000000004</v>
      </c>
      <c r="R115" s="35">
        <f t="shared" si="8"/>
        <v>14.165714928571427</v>
      </c>
      <c r="S115" s="40">
        <f t="shared" si="15"/>
        <v>0.2795129228210621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</row>
    <row r="116" spans="1:29" x14ac:dyDescent="0.45">
      <c r="A116" s="1">
        <v>40238</v>
      </c>
      <c r="B116">
        <v>50.049999</v>
      </c>
      <c r="C116">
        <v>52.07</v>
      </c>
      <c r="D116">
        <v>48.66</v>
      </c>
      <c r="E116">
        <v>50.450001</v>
      </c>
      <c r="F116">
        <v>38.786845999999997</v>
      </c>
      <c r="G116">
        <v>10557000</v>
      </c>
      <c r="H116" s="3"/>
      <c r="I116" s="3">
        <f t="shared" si="9"/>
        <v>53.700001</v>
      </c>
      <c r="J116" s="3">
        <f t="shared" si="10"/>
        <v>45.549999</v>
      </c>
      <c r="K116" s="3"/>
      <c r="L116" s="3"/>
      <c r="M116" s="3"/>
      <c r="N116" s="35">
        <f t="shared" si="11"/>
        <v>8.1500020000000006</v>
      </c>
      <c r="O116" s="35">
        <f t="shared" si="12"/>
        <v>1.6700020000000038</v>
      </c>
      <c r="P116" s="35">
        <f t="shared" si="13"/>
        <v>6.4799999999999969</v>
      </c>
      <c r="Q116" s="35">
        <f t="shared" si="14"/>
        <v>8.1500020000000006</v>
      </c>
      <c r="R116" s="35">
        <f t="shared" si="8"/>
        <v>13.660000499999999</v>
      </c>
      <c r="S116" s="40">
        <f t="shared" si="15"/>
        <v>0.2729270883701716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</row>
    <row r="117" spans="1:29" x14ac:dyDescent="0.45">
      <c r="A117" s="1">
        <v>40210</v>
      </c>
      <c r="B117">
        <v>50.27</v>
      </c>
      <c r="C117">
        <v>51.41</v>
      </c>
      <c r="D117">
        <v>45.549999</v>
      </c>
      <c r="E117">
        <v>49.950001</v>
      </c>
      <c r="F117">
        <v>38.402431</v>
      </c>
      <c r="G117">
        <v>5811400</v>
      </c>
      <c r="H117" s="3"/>
      <c r="I117" s="3">
        <f t="shared" si="9"/>
        <v>53.700001</v>
      </c>
      <c r="J117" s="3">
        <f t="shared" si="10"/>
        <v>45.549999</v>
      </c>
      <c r="K117" s="3"/>
      <c r="L117" s="3"/>
      <c r="M117" s="3"/>
      <c r="N117" s="35">
        <f t="shared" si="11"/>
        <v>8.1500020000000006</v>
      </c>
      <c r="O117" s="35">
        <f t="shared" si="12"/>
        <v>3.4100000000000037</v>
      </c>
      <c r="P117" s="35">
        <f t="shared" si="13"/>
        <v>4.7400019999999969</v>
      </c>
      <c r="Q117" s="35">
        <f t="shared" si="14"/>
        <v>8.1500020000000006</v>
      </c>
      <c r="R117" s="35">
        <f t="shared" si="8"/>
        <v>13.077857500000002</v>
      </c>
      <c r="S117" s="40">
        <f t="shared" si="15"/>
        <v>0.26015232743186795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</row>
    <row r="118" spans="1:29" x14ac:dyDescent="0.45">
      <c r="A118" s="1">
        <v>40179</v>
      </c>
      <c r="B118">
        <v>53.32</v>
      </c>
      <c r="C118">
        <v>53.700001</v>
      </c>
      <c r="D118">
        <v>47.439999</v>
      </c>
      <c r="E118">
        <v>49.790000999999997</v>
      </c>
      <c r="F118">
        <v>38.279423000000001</v>
      </c>
      <c r="G118">
        <v>6414800</v>
      </c>
      <c r="H118" s="3"/>
      <c r="I118" s="3">
        <f t="shared" si="9"/>
        <v>53.700001</v>
      </c>
      <c r="J118" s="3">
        <f t="shared" si="10"/>
        <v>46.279998999999997</v>
      </c>
      <c r="K118" s="3"/>
      <c r="L118" s="3"/>
      <c r="M118" s="3"/>
      <c r="N118" s="35">
        <f t="shared" si="11"/>
        <v>7.4200020000000038</v>
      </c>
      <c r="O118" s="35">
        <f t="shared" si="12"/>
        <v>6.5200010000000006</v>
      </c>
      <c r="P118" s="35">
        <f t="shared" si="13"/>
        <v>0.90000100000000316</v>
      </c>
      <c r="Q118" s="35">
        <f t="shared" si="14"/>
        <v>7.4200020000000038</v>
      </c>
      <c r="R118" s="35">
        <f t="shared" si="8"/>
        <v>12.4957145</v>
      </c>
      <c r="S118" s="40">
        <f t="shared" si="15"/>
        <v>0.23435323518379594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</row>
    <row r="119" spans="1:29" x14ac:dyDescent="0.45">
      <c r="A119" s="1">
        <v>40148</v>
      </c>
      <c r="B119">
        <v>51</v>
      </c>
      <c r="C119">
        <v>53.689999</v>
      </c>
      <c r="D119">
        <v>50.25</v>
      </c>
      <c r="E119">
        <v>52.029998999999997</v>
      </c>
      <c r="F119">
        <v>40.001575000000003</v>
      </c>
      <c r="G119">
        <v>4094100</v>
      </c>
      <c r="H119" s="3"/>
      <c r="I119" s="3">
        <f t="shared" si="9"/>
        <v>53.689999</v>
      </c>
      <c r="J119" s="3">
        <f t="shared" si="10"/>
        <v>43.419998</v>
      </c>
      <c r="K119" s="3"/>
      <c r="L119" s="3"/>
      <c r="M119" s="3"/>
      <c r="N119" s="35">
        <f t="shared" si="11"/>
        <v>10.270001000000001</v>
      </c>
      <c r="O119" s="35">
        <f t="shared" si="12"/>
        <v>7.75</v>
      </c>
      <c r="P119" s="35">
        <f t="shared" si="13"/>
        <v>2.5200010000000006</v>
      </c>
      <c r="Q119" s="35">
        <f t="shared" si="14"/>
        <v>10.270001000000001</v>
      </c>
      <c r="R119" s="35">
        <f t="shared" si="8"/>
        <v>11.965714357142856</v>
      </c>
      <c r="S119" s="40">
        <f t="shared" si="15"/>
        <v>0.23462185014005599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</row>
    <row r="120" spans="1:29" x14ac:dyDescent="0.45">
      <c r="A120" s="1">
        <v>40118</v>
      </c>
      <c r="B120">
        <v>47.900002000000001</v>
      </c>
      <c r="C120">
        <v>52.549999</v>
      </c>
      <c r="D120">
        <v>46.279998999999997</v>
      </c>
      <c r="E120">
        <v>50.290000999999997</v>
      </c>
      <c r="F120">
        <v>38.663834000000001</v>
      </c>
      <c r="G120">
        <v>9535400</v>
      </c>
      <c r="H120" s="3"/>
      <c r="I120" s="3">
        <f t="shared" si="9"/>
        <v>52.549999</v>
      </c>
      <c r="J120" s="3">
        <f t="shared" si="10"/>
        <v>41.400002000000001</v>
      </c>
      <c r="K120" s="3"/>
      <c r="L120" s="3"/>
      <c r="M120" s="3"/>
      <c r="N120" s="35">
        <f t="shared" si="11"/>
        <v>11.149996999999999</v>
      </c>
      <c r="O120" s="35">
        <f t="shared" si="12"/>
        <v>9.149996999999999</v>
      </c>
      <c r="P120" s="35">
        <f t="shared" si="13"/>
        <v>2</v>
      </c>
      <c r="Q120" s="35">
        <f t="shared" si="14"/>
        <v>11.149996999999999</v>
      </c>
      <c r="R120" s="35">
        <f t="shared" si="8"/>
        <v>11.232142857142858</v>
      </c>
      <c r="S120" s="40">
        <f t="shared" si="15"/>
        <v>0.23449149035824376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</row>
    <row r="121" spans="1:29" x14ac:dyDescent="0.45">
      <c r="A121" s="1">
        <v>40087</v>
      </c>
      <c r="B121">
        <v>44.939999</v>
      </c>
      <c r="C121">
        <v>52.540000999999997</v>
      </c>
      <c r="D121">
        <v>43.419998</v>
      </c>
      <c r="E121">
        <v>47.18</v>
      </c>
      <c r="F121">
        <v>36.272807999999998</v>
      </c>
      <c r="G121">
        <v>6638200</v>
      </c>
      <c r="H121" s="3"/>
      <c r="I121" s="3">
        <f t="shared" si="9"/>
        <v>52.540000999999997</v>
      </c>
      <c r="J121" s="3">
        <f t="shared" si="10"/>
        <v>38.049999</v>
      </c>
      <c r="K121" s="3"/>
      <c r="L121" s="3"/>
      <c r="M121" s="3"/>
      <c r="N121" s="35">
        <f t="shared" si="11"/>
        <v>14.490001999999997</v>
      </c>
      <c r="O121" s="35">
        <f t="shared" si="12"/>
        <v>12.389998999999996</v>
      </c>
      <c r="P121" s="35">
        <f t="shared" si="13"/>
        <v>2.100003000000001</v>
      </c>
      <c r="Q121" s="35">
        <f t="shared" si="14"/>
        <v>14.490001999999997</v>
      </c>
      <c r="R121" s="35">
        <f t="shared" si="8"/>
        <v>10.435714500000001</v>
      </c>
      <c r="S121" s="40">
        <f t="shared" si="15"/>
        <v>0.23221439101500652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</row>
    <row r="122" spans="1:29" x14ac:dyDescent="0.45">
      <c r="A122" s="1">
        <v>40057</v>
      </c>
      <c r="B122">
        <v>42.5</v>
      </c>
      <c r="C122">
        <v>47.91</v>
      </c>
      <c r="D122">
        <v>41.400002000000001</v>
      </c>
      <c r="E122">
        <v>45.939999</v>
      </c>
      <c r="F122">
        <v>35.319473000000002</v>
      </c>
      <c r="G122">
        <v>5235600</v>
      </c>
      <c r="H122" s="3"/>
      <c r="I122" s="3">
        <f t="shared" si="9"/>
        <v>47.91</v>
      </c>
      <c r="J122" s="3">
        <f t="shared" si="10"/>
        <v>36.950001</v>
      </c>
      <c r="K122" s="3"/>
      <c r="L122" s="3"/>
      <c r="M122" s="3"/>
      <c r="N122" s="35">
        <f t="shared" si="11"/>
        <v>10.959998999999996</v>
      </c>
      <c r="O122" s="35">
        <f t="shared" si="12"/>
        <v>47.91</v>
      </c>
      <c r="P122" s="35">
        <f t="shared" si="13"/>
        <v>36.950001</v>
      </c>
      <c r="Q122" s="35">
        <f t="shared" si="14"/>
        <v>47.91</v>
      </c>
      <c r="R122" s="35">
        <f t="shared" si="8"/>
        <v>9.4007143571428582</v>
      </c>
      <c r="S122" s="40">
        <f t="shared" si="15"/>
        <v>0.22119327899159666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</row>
    <row r="123" spans="1:29" x14ac:dyDescent="0.45">
      <c r="A123" s="1">
        <v>40026</v>
      </c>
      <c r="B123">
        <v>39.5</v>
      </c>
      <c r="C123">
        <v>43.5</v>
      </c>
      <c r="D123">
        <v>38.049999</v>
      </c>
      <c r="E123">
        <v>43.400002000000001</v>
      </c>
      <c r="F123">
        <v>33.366683999999999</v>
      </c>
      <c r="G123">
        <v>552600</v>
      </c>
      <c r="H123" s="3"/>
      <c r="I123" s="3">
        <f t="shared" si="9"/>
        <v>43.5</v>
      </c>
      <c r="J123" s="3">
        <f t="shared" si="10"/>
        <v>36.950001</v>
      </c>
      <c r="K123" s="3"/>
      <c r="L123" s="3"/>
      <c r="M123" s="3"/>
      <c r="N123" s="35">
        <f t="shared" si="11"/>
        <v>6.5499989999999997</v>
      </c>
      <c r="O123" s="35">
        <f t="shared" si="12"/>
        <v>43.5</v>
      </c>
      <c r="P123" s="35">
        <f t="shared" si="13"/>
        <v>36.950001</v>
      </c>
      <c r="Q123" s="35">
        <f t="shared" si="14"/>
        <v>43.5</v>
      </c>
      <c r="R123" s="35">
        <f t="shared" si="8"/>
        <v>5.9785715000000001</v>
      </c>
      <c r="S123" s="40">
        <f t="shared" si="15"/>
        <v>0.15135624050632912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</row>
    <row r="124" spans="1:29" x14ac:dyDescent="0.45">
      <c r="A124" s="1">
        <v>39995</v>
      </c>
      <c r="B124">
        <v>38.299999</v>
      </c>
      <c r="C124">
        <v>40.200001</v>
      </c>
      <c r="D124">
        <v>36.950001</v>
      </c>
      <c r="E124">
        <v>40.150002000000001</v>
      </c>
      <c r="F124">
        <v>30.868016999999998</v>
      </c>
      <c r="G124">
        <v>1771200</v>
      </c>
      <c r="H124" s="3"/>
      <c r="I124" s="3">
        <f t="shared" si="9"/>
        <v>40.200001</v>
      </c>
      <c r="J124" s="3">
        <f t="shared" si="10"/>
        <v>36.950001</v>
      </c>
      <c r="K124" s="3"/>
      <c r="L124" s="3"/>
      <c r="M124" s="3"/>
      <c r="N124" s="35">
        <f t="shared" si="11"/>
        <v>3.25</v>
      </c>
      <c r="O124" s="35">
        <f t="shared" si="12"/>
        <v>40.200001</v>
      </c>
      <c r="P124" s="35">
        <f t="shared" si="13"/>
        <v>36.950001</v>
      </c>
      <c r="Q124" s="35">
        <f t="shared" si="14"/>
        <v>40.200001</v>
      </c>
      <c r="R124" s="35">
        <f t="shared" si="8"/>
        <v>2.8714286428571429</v>
      </c>
      <c r="S124" s="40">
        <f t="shared" si="15"/>
        <v>7.4972029186140265E-2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</row>
    <row r="125" spans="1:29" x14ac:dyDescent="0.45">
      <c r="H125" s="3"/>
      <c r="I125" s="3">
        <f t="shared" si="9"/>
        <v>0</v>
      </c>
      <c r="J125" s="3">
        <f t="shared" si="10"/>
        <v>0</v>
      </c>
      <c r="K125" s="3"/>
      <c r="L125" s="3"/>
      <c r="M125" s="3"/>
      <c r="N125" s="35">
        <f t="shared" si="11"/>
        <v>0</v>
      </c>
      <c r="O125" s="35">
        <f t="shared" si="12"/>
        <v>0</v>
      </c>
      <c r="P125" s="35">
        <f t="shared" si="13"/>
        <v>0</v>
      </c>
      <c r="Q125" s="35">
        <f t="shared" si="14"/>
        <v>0</v>
      </c>
      <c r="R125" s="35">
        <f t="shared" si="8"/>
        <v>0</v>
      </c>
      <c r="S125" s="40" t="e">
        <f t="shared" si="15"/>
        <v>#DIV/0!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</row>
    <row r="126" spans="1:29" x14ac:dyDescent="0.45">
      <c r="H126" s="3"/>
      <c r="I126" s="3">
        <f t="shared" si="9"/>
        <v>0</v>
      </c>
      <c r="J126" s="3">
        <f t="shared" si="10"/>
        <v>0</v>
      </c>
      <c r="K126" s="3"/>
      <c r="L126" s="3"/>
      <c r="M126" s="3"/>
      <c r="N126" s="35">
        <f t="shared" si="11"/>
        <v>0</v>
      </c>
      <c r="O126" s="35">
        <f t="shared" si="12"/>
        <v>0</v>
      </c>
      <c r="P126" s="35">
        <f t="shared" si="13"/>
        <v>0</v>
      </c>
      <c r="Q126" s="35">
        <f t="shared" si="14"/>
        <v>0</v>
      </c>
      <c r="R126" s="35">
        <f t="shared" si="8"/>
        <v>0</v>
      </c>
      <c r="S126" s="40" t="e">
        <f t="shared" si="15"/>
        <v>#DIV/0!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</row>
    <row r="127" spans="1:29" x14ac:dyDescent="0.45">
      <c r="H127" s="3"/>
      <c r="I127" s="3">
        <f t="shared" si="9"/>
        <v>0</v>
      </c>
      <c r="J127" s="3">
        <f t="shared" si="10"/>
        <v>0</v>
      </c>
      <c r="K127" s="3"/>
      <c r="L127" s="3"/>
      <c r="M127" s="3"/>
      <c r="N127" s="35">
        <f t="shared" si="11"/>
        <v>0</v>
      </c>
      <c r="O127" s="35">
        <f t="shared" si="12"/>
        <v>0</v>
      </c>
      <c r="P127" s="35">
        <f t="shared" si="13"/>
        <v>0</v>
      </c>
      <c r="Q127" s="35">
        <f t="shared" si="14"/>
        <v>0</v>
      </c>
      <c r="R127" s="35">
        <f t="shared" si="8"/>
        <v>0</v>
      </c>
      <c r="S127" s="40" t="e">
        <f t="shared" si="15"/>
        <v>#DIV/0!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</row>
    <row r="128" spans="1:29" x14ac:dyDescent="0.45">
      <c r="H128" s="3"/>
      <c r="I128" s="3">
        <f t="shared" si="9"/>
        <v>0</v>
      </c>
      <c r="J128" s="3">
        <f t="shared" si="10"/>
        <v>0</v>
      </c>
      <c r="K128" s="3"/>
      <c r="L128" s="3"/>
      <c r="M128" s="3"/>
      <c r="N128" s="35">
        <f t="shared" si="11"/>
        <v>0</v>
      </c>
      <c r="O128" s="35">
        <f t="shared" si="12"/>
        <v>0</v>
      </c>
      <c r="P128" s="35">
        <f t="shared" si="13"/>
        <v>0</v>
      </c>
      <c r="Q128" s="35">
        <f t="shared" si="14"/>
        <v>0</v>
      </c>
      <c r="R128" s="35">
        <f t="shared" si="8"/>
        <v>0</v>
      </c>
      <c r="S128" s="40" t="e">
        <f t="shared" si="15"/>
        <v>#DIV/0!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</row>
    <row r="129" spans="8:29" x14ac:dyDescent="0.45">
      <c r="H129" s="3"/>
      <c r="I129" s="3">
        <f t="shared" si="9"/>
        <v>0</v>
      </c>
      <c r="J129" s="3">
        <f t="shared" si="10"/>
        <v>0</v>
      </c>
      <c r="K129" s="3"/>
      <c r="L129" s="3"/>
      <c r="M129" s="3"/>
      <c r="N129" s="35">
        <f t="shared" si="11"/>
        <v>0</v>
      </c>
      <c r="O129" s="35">
        <f t="shared" si="12"/>
        <v>0</v>
      </c>
      <c r="P129" s="35">
        <f t="shared" si="13"/>
        <v>0</v>
      </c>
      <c r="Q129" s="35">
        <f t="shared" si="14"/>
        <v>0</v>
      </c>
      <c r="R129" s="35">
        <f t="shared" si="8"/>
        <v>0</v>
      </c>
      <c r="S129" s="40" t="e">
        <f t="shared" si="15"/>
        <v>#DIV/0!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</row>
    <row r="130" spans="8:29" x14ac:dyDescent="0.45">
      <c r="H130" s="3"/>
      <c r="I130" s="3">
        <f t="shared" si="9"/>
        <v>0</v>
      </c>
      <c r="J130" s="3">
        <f t="shared" si="10"/>
        <v>0</v>
      </c>
      <c r="K130" s="3"/>
      <c r="L130" s="3"/>
      <c r="M130" s="3"/>
      <c r="N130" s="35">
        <f t="shared" si="11"/>
        <v>0</v>
      </c>
      <c r="O130" s="35">
        <f t="shared" si="12"/>
        <v>0</v>
      </c>
      <c r="P130" s="35">
        <f t="shared" si="13"/>
        <v>0</v>
      </c>
      <c r="Q130" s="35">
        <f t="shared" si="14"/>
        <v>0</v>
      </c>
      <c r="R130" s="35">
        <f t="shared" ref="R130:R193" si="16">AVERAGE(Q130:Q143)</f>
        <v>0</v>
      </c>
      <c r="S130" s="40" t="e">
        <f t="shared" si="15"/>
        <v>#DIV/0!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</row>
    <row r="131" spans="8:29" x14ac:dyDescent="0.45">
      <c r="H131" s="3"/>
      <c r="I131" s="3">
        <f t="shared" ref="I131:I194" si="17">MAX(C131:C133)</f>
        <v>0</v>
      </c>
      <c r="J131" s="3">
        <f t="shared" ref="J131:J194" si="18">MIN(D131:D133)</f>
        <v>0</v>
      </c>
      <c r="K131" s="3"/>
      <c r="L131" s="3"/>
      <c r="M131" s="3"/>
      <c r="N131" s="35">
        <f t="shared" ref="N131:N194" si="19">I131-J131</f>
        <v>0</v>
      </c>
      <c r="O131" s="35">
        <f t="shared" ref="O131:O194" si="20">ABS(I131-E134)</f>
        <v>0</v>
      </c>
      <c r="P131" s="35">
        <f t="shared" ref="P131:P194" si="21">ABS(J131-E134)</f>
        <v>0</v>
      </c>
      <c r="Q131" s="35">
        <f t="shared" ref="Q131:Q194" si="22">MAX(N131:P131)</f>
        <v>0</v>
      </c>
      <c r="R131" s="35">
        <f t="shared" si="16"/>
        <v>0</v>
      </c>
      <c r="S131" s="40" t="e">
        <f t="shared" ref="S131:S194" si="23">R131/B131</f>
        <v>#DIV/0!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</row>
    <row r="132" spans="8:29" x14ac:dyDescent="0.45">
      <c r="H132" s="3"/>
      <c r="I132" s="3">
        <f t="shared" si="17"/>
        <v>0</v>
      </c>
      <c r="J132" s="3">
        <f t="shared" si="18"/>
        <v>0</v>
      </c>
      <c r="K132" s="3"/>
      <c r="L132" s="3"/>
      <c r="M132" s="3"/>
      <c r="N132" s="35">
        <f t="shared" si="19"/>
        <v>0</v>
      </c>
      <c r="O132" s="35">
        <f t="shared" si="20"/>
        <v>0</v>
      </c>
      <c r="P132" s="35">
        <f t="shared" si="21"/>
        <v>0</v>
      </c>
      <c r="Q132" s="35">
        <f t="shared" si="22"/>
        <v>0</v>
      </c>
      <c r="R132" s="35">
        <f t="shared" si="16"/>
        <v>0</v>
      </c>
      <c r="S132" s="40" t="e">
        <f t="shared" si="23"/>
        <v>#DIV/0!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</row>
    <row r="133" spans="8:29" x14ac:dyDescent="0.45">
      <c r="H133" s="3"/>
      <c r="I133" s="3">
        <f t="shared" si="17"/>
        <v>0</v>
      </c>
      <c r="J133" s="3">
        <f t="shared" si="18"/>
        <v>0</v>
      </c>
      <c r="K133" s="3"/>
      <c r="L133" s="3"/>
      <c r="M133" s="3"/>
      <c r="N133" s="35">
        <f t="shared" si="19"/>
        <v>0</v>
      </c>
      <c r="O133" s="35">
        <f t="shared" si="20"/>
        <v>0</v>
      </c>
      <c r="P133" s="35">
        <f t="shared" si="21"/>
        <v>0</v>
      </c>
      <c r="Q133" s="35">
        <f t="shared" si="22"/>
        <v>0</v>
      </c>
      <c r="R133" s="35">
        <f t="shared" si="16"/>
        <v>0</v>
      </c>
      <c r="S133" s="40" t="e">
        <f t="shared" si="23"/>
        <v>#DIV/0!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</row>
    <row r="134" spans="8:29" x14ac:dyDescent="0.45">
      <c r="H134" s="3"/>
      <c r="I134" s="3">
        <f t="shared" si="17"/>
        <v>0</v>
      </c>
      <c r="J134" s="3">
        <f t="shared" si="18"/>
        <v>0</v>
      </c>
      <c r="K134" s="3"/>
      <c r="L134" s="3"/>
      <c r="M134" s="3"/>
      <c r="N134" s="35">
        <f t="shared" si="19"/>
        <v>0</v>
      </c>
      <c r="O134" s="35">
        <f t="shared" si="20"/>
        <v>0</v>
      </c>
      <c r="P134" s="35">
        <f t="shared" si="21"/>
        <v>0</v>
      </c>
      <c r="Q134" s="35">
        <f t="shared" si="22"/>
        <v>0</v>
      </c>
      <c r="R134" s="35">
        <f t="shared" si="16"/>
        <v>0</v>
      </c>
      <c r="S134" s="40" t="e">
        <f t="shared" si="23"/>
        <v>#DIV/0!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</row>
    <row r="135" spans="8:29" x14ac:dyDescent="0.45">
      <c r="H135" s="3"/>
      <c r="I135" s="3">
        <f t="shared" si="17"/>
        <v>0</v>
      </c>
      <c r="J135" s="3">
        <f t="shared" si="18"/>
        <v>0</v>
      </c>
      <c r="K135" s="3"/>
      <c r="L135" s="3"/>
      <c r="M135" s="3"/>
      <c r="N135" s="35">
        <f t="shared" si="19"/>
        <v>0</v>
      </c>
      <c r="O135" s="35">
        <f t="shared" si="20"/>
        <v>0</v>
      </c>
      <c r="P135" s="35">
        <f t="shared" si="21"/>
        <v>0</v>
      </c>
      <c r="Q135" s="35">
        <f t="shared" si="22"/>
        <v>0</v>
      </c>
      <c r="R135" s="35">
        <f t="shared" si="16"/>
        <v>0</v>
      </c>
      <c r="S135" s="40" t="e">
        <f t="shared" si="23"/>
        <v>#DIV/0!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</row>
    <row r="136" spans="8:29" x14ac:dyDescent="0.45">
      <c r="H136" s="3"/>
      <c r="I136" s="3">
        <f t="shared" si="17"/>
        <v>0</v>
      </c>
      <c r="J136" s="3">
        <f t="shared" si="18"/>
        <v>0</v>
      </c>
      <c r="K136" s="3"/>
      <c r="L136" s="3"/>
      <c r="M136" s="3"/>
      <c r="N136" s="35">
        <f t="shared" si="19"/>
        <v>0</v>
      </c>
      <c r="O136" s="35">
        <f t="shared" si="20"/>
        <v>0</v>
      </c>
      <c r="P136" s="35">
        <f t="shared" si="21"/>
        <v>0</v>
      </c>
      <c r="Q136" s="35">
        <f t="shared" si="22"/>
        <v>0</v>
      </c>
      <c r="R136" s="35">
        <f t="shared" si="16"/>
        <v>0</v>
      </c>
      <c r="S136" s="40" t="e">
        <f t="shared" si="23"/>
        <v>#DIV/0!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</row>
    <row r="137" spans="8:29" x14ac:dyDescent="0.45">
      <c r="H137" s="3"/>
      <c r="I137" s="3">
        <f t="shared" si="17"/>
        <v>0</v>
      </c>
      <c r="J137" s="3">
        <f t="shared" si="18"/>
        <v>0</v>
      </c>
      <c r="K137" s="3"/>
      <c r="L137" s="3"/>
      <c r="M137" s="3"/>
      <c r="N137" s="35">
        <f t="shared" si="19"/>
        <v>0</v>
      </c>
      <c r="O137" s="35">
        <f t="shared" si="20"/>
        <v>0</v>
      </c>
      <c r="P137" s="35">
        <f t="shared" si="21"/>
        <v>0</v>
      </c>
      <c r="Q137" s="35">
        <f t="shared" si="22"/>
        <v>0</v>
      </c>
      <c r="R137" s="35">
        <f t="shared" si="16"/>
        <v>0</v>
      </c>
      <c r="S137" s="40" t="e">
        <f t="shared" si="23"/>
        <v>#DIV/0!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</row>
    <row r="138" spans="8:29" x14ac:dyDescent="0.45">
      <c r="H138" s="3"/>
      <c r="I138" s="3">
        <f t="shared" si="17"/>
        <v>0</v>
      </c>
      <c r="J138" s="3">
        <f t="shared" si="18"/>
        <v>0</v>
      </c>
      <c r="K138" s="3"/>
      <c r="L138" s="3"/>
      <c r="M138" s="3"/>
      <c r="N138" s="35">
        <f t="shared" si="19"/>
        <v>0</v>
      </c>
      <c r="O138" s="35">
        <f t="shared" si="20"/>
        <v>0</v>
      </c>
      <c r="P138" s="35">
        <f t="shared" si="21"/>
        <v>0</v>
      </c>
      <c r="Q138" s="35">
        <f t="shared" si="22"/>
        <v>0</v>
      </c>
      <c r="R138" s="35">
        <f t="shared" si="16"/>
        <v>0</v>
      </c>
      <c r="S138" s="40" t="e">
        <f t="shared" si="23"/>
        <v>#DIV/0!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</row>
    <row r="139" spans="8:29" x14ac:dyDescent="0.45">
      <c r="H139" s="3"/>
      <c r="I139" s="3">
        <f t="shared" si="17"/>
        <v>0</v>
      </c>
      <c r="J139" s="3">
        <f t="shared" si="18"/>
        <v>0</v>
      </c>
      <c r="K139" s="3"/>
      <c r="L139" s="3"/>
      <c r="M139" s="3"/>
      <c r="N139" s="35">
        <f t="shared" si="19"/>
        <v>0</v>
      </c>
      <c r="O139" s="35">
        <f t="shared" si="20"/>
        <v>0</v>
      </c>
      <c r="P139" s="35">
        <f t="shared" si="21"/>
        <v>0</v>
      </c>
      <c r="Q139" s="35">
        <f t="shared" si="22"/>
        <v>0</v>
      </c>
      <c r="R139" s="35">
        <f t="shared" si="16"/>
        <v>0</v>
      </c>
      <c r="S139" s="40" t="e">
        <f t="shared" si="23"/>
        <v>#DIV/0!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</row>
    <row r="140" spans="8:29" x14ac:dyDescent="0.45">
      <c r="H140" s="3"/>
      <c r="I140" s="3">
        <f t="shared" si="17"/>
        <v>0</v>
      </c>
      <c r="J140" s="3">
        <f t="shared" si="18"/>
        <v>0</v>
      </c>
      <c r="K140" s="3"/>
      <c r="L140" s="3"/>
      <c r="M140" s="3"/>
      <c r="N140" s="35">
        <f t="shared" si="19"/>
        <v>0</v>
      </c>
      <c r="O140" s="35">
        <f t="shared" si="20"/>
        <v>0</v>
      </c>
      <c r="P140" s="35">
        <f t="shared" si="21"/>
        <v>0</v>
      </c>
      <c r="Q140" s="35">
        <f t="shared" si="22"/>
        <v>0</v>
      </c>
      <c r="R140" s="35">
        <f t="shared" si="16"/>
        <v>0</v>
      </c>
      <c r="S140" s="40" t="e">
        <f t="shared" si="23"/>
        <v>#DIV/0!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</row>
    <row r="141" spans="8:29" x14ac:dyDescent="0.45">
      <c r="H141" s="3"/>
      <c r="I141" s="3">
        <f t="shared" si="17"/>
        <v>0</v>
      </c>
      <c r="J141" s="3">
        <f t="shared" si="18"/>
        <v>0</v>
      </c>
      <c r="K141" s="3"/>
      <c r="L141" s="3"/>
      <c r="M141" s="3"/>
      <c r="N141" s="35">
        <f t="shared" si="19"/>
        <v>0</v>
      </c>
      <c r="O141" s="35">
        <f t="shared" si="20"/>
        <v>0</v>
      </c>
      <c r="P141" s="35">
        <f t="shared" si="21"/>
        <v>0</v>
      </c>
      <c r="Q141" s="35">
        <f t="shared" si="22"/>
        <v>0</v>
      </c>
      <c r="R141" s="35">
        <f t="shared" si="16"/>
        <v>0</v>
      </c>
      <c r="S141" s="40" t="e">
        <f t="shared" si="23"/>
        <v>#DIV/0!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</row>
    <row r="142" spans="8:29" x14ac:dyDescent="0.45">
      <c r="H142" s="3"/>
      <c r="I142" s="3">
        <f t="shared" si="17"/>
        <v>0</v>
      </c>
      <c r="J142" s="3">
        <f t="shared" si="18"/>
        <v>0</v>
      </c>
      <c r="K142" s="3"/>
      <c r="L142" s="3"/>
      <c r="M142" s="3"/>
      <c r="N142" s="35">
        <f t="shared" si="19"/>
        <v>0</v>
      </c>
      <c r="O142" s="35">
        <f t="shared" si="20"/>
        <v>0</v>
      </c>
      <c r="P142" s="35">
        <f t="shared" si="21"/>
        <v>0</v>
      </c>
      <c r="Q142" s="35">
        <f t="shared" si="22"/>
        <v>0</v>
      </c>
      <c r="R142" s="35">
        <f t="shared" si="16"/>
        <v>0</v>
      </c>
      <c r="S142" s="40" t="e">
        <f t="shared" si="23"/>
        <v>#DIV/0!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</row>
    <row r="143" spans="8:29" x14ac:dyDescent="0.45">
      <c r="H143" s="3"/>
      <c r="I143" s="3">
        <f t="shared" si="17"/>
        <v>0</v>
      </c>
      <c r="J143" s="3">
        <f t="shared" si="18"/>
        <v>0</v>
      </c>
      <c r="K143" s="3"/>
      <c r="L143" s="3"/>
      <c r="M143" s="3"/>
      <c r="N143" s="35">
        <f t="shared" si="19"/>
        <v>0</v>
      </c>
      <c r="O143" s="35">
        <f t="shared" si="20"/>
        <v>0</v>
      </c>
      <c r="P143" s="35">
        <f t="shared" si="21"/>
        <v>0</v>
      </c>
      <c r="Q143" s="35">
        <f t="shared" si="22"/>
        <v>0</v>
      </c>
      <c r="R143" s="35">
        <f t="shared" si="16"/>
        <v>0</v>
      </c>
      <c r="S143" s="40" t="e">
        <f t="shared" si="23"/>
        <v>#DIV/0!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</row>
    <row r="144" spans="8:29" x14ac:dyDescent="0.45">
      <c r="H144" s="3"/>
      <c r="I144" s="3">
        <f t="shared" si="17"/>
        <v>0</v>
      </c>
      <c r="J144" s="3">
        <f t="shared" si="18"/>
        <v>0</v>
      </c>
      <c r="K144" s="3"/>
      <c r="L144" s="3"/>
      <c r="M144" s="3"/>
      <c r="N144" s="35">
        <f t="shared" si="19"/>
        <v>0</v>
      </c>
      <c r="O144" s="35">
        <f t="shared" si="20"/>
        <v>0</v>
      </c>
      <c r="P144" s="35">
        <f t="shared" si="21"/>
        <v>0</v>
      </c>
      <c r="Q144" s="35">
        <f t="shared" si="22"/>
        <v>0</v>
      </c>
      <c r="R144" s="35">
        <f t="shared" si="16"/>
        <v>0</v>
      </c>
      <c r="S144" s="40" t="e">
        <f t="shared" si="23"/>
        <v>#DIV/0!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</row>
    <row r="145" spans="8:29" x14ac:dyDescent="0.45">
      <c r="H145" s="3"/>
      <c r="I145" s="3">
        <f t="shared" si="17"/>
        <v>0</v>
      </c>
      <c r="J145" s="3">
        <f t="shared" si="18"/>
        <v>0</v>
      </c>
      <c r="K145" s="3"/>
      <c r="L145" s="3"/>
      <c r="M145" s="3"/>
      <c r="N145" s="35">
        <f t="shared" si="19"/>
        <v>0</v>
      </c>
      <c r="O145" s="35">
        <f t="shared" si="20"/>
        <v>0</v>
      </c>
      <c r="P145" s="35">
        <f t="shared" si="21"/>
        <v>0</v>
      </c>
      <c r="Q145" s="35">
        <f t="shared" si="22"/>
        <v>0</v>
      </c>
      <c r="R145" s="35">
        <f t="shared" si="16"/>
        <v>0</v>
      </c>
      <c r="S145" s="40" t="e">
        <f t="shared" si="23"/>
        <v>#DIV/0!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</row>
    <row r="146" spans="8:29" x14ac:dyDescent="0.45">
      <c r="H146" s="3"/>
      <c r="I146" s="3">
        <f t="shared" si="17"/>
        <v>0</v>
      </c>
      <c r="J146" s="3">
        <f t="shared" si="18"/>
        <v>0</v>
      </c>
      <c r="K146" s="3"/>
      <c r="L146" s="3"/>
      <c r="M146" s="3"/>
      <c r="N146" s="35">
        <f t="shared" si="19"/>
        <v>0</v>
      </c>
      <c r="O146" s="35">
        <f t="shared" si="20"/>
        <v>0</v>
      </c>
      <c r="P146" s="35">
        <f t="shared" si="21"/>
        <v>0</v>
      </c>
      <c r="Q146" s="35">
        <f t="shared" si="22"/>
        <v>0</v>
      </c>
      <c r="R146" s="35">
        <f t="shared" si="16"/>
        <v>0</v>
      </c>
      <c r="S146" s="40" t="e">
        <f t="shared" si="23"/>
        <v>#DIV/0!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</row>
    <row r="147" spans="8:29" x14ac:dyDescent="0.45">
      <c r="H147" s="3"/>
      <c r="I147" s="3">
        <f t="shared" si="17"/>
        <v>0</v>
      </c>
      <c r="J147" s="3">
        <f t="shared" si="18"/>
        <v>0</v>
      </c>
      <c r="K147" s="3"/>
      <c r="L147" s="3"/>
      <c r="M147" s="3"/>
      <c r="N147" s="35">
        <f t="shared" si="19"/>
        <v>0</v>
      </c>
      <c r="O147" s="35">
        <f t="shared" si="20"/>
        <v>0</v>
      </c>
      <c r="P147" s="35">
        <f t="shared" si="21"/>
        <v>0</v>
      </c>
      <c r="Q147" s="35">
        <f t="shared" si="22"/>
        <v>0</v>
      </c>
      <c r="R147" s="35">
        <f t="shared" si="16"/>
        <v>0</v>
      </c>
      <c r="S147" s="40" t="e">
        <f t="shared" si="23"/>
        <v>#DIV/0!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</row>
    <row r="148" spans="8:29" x14ac:dyDescent="0.45">
      <c r="H148" s="3"/>
      <c r="I148" s="3">
        <f t="shared" si="17"/>
        <v>0</v>
      </c>
      <c r="J148" s="3">
        <f t="shared" si="18"/>
        <v>0</v>
      </c>
      <c r="K148" s="3"/>
      <c r="L148" s="3"/>
      <c r="M148" s="3"/>
      <c r="N148" s="35">
        <f t="shared" si="19"/>
        <v>0</v>
      </c>
      <c r="O148" s="35">
        <f t="shared" si="20"/>
        <v>0</v>
      </c>
      <c r="P148" s="35">
        <f t="shared" si="21"/>
        <v>0</v>
      </c>
      <c r="Q148" s="35">
        <f t="shared" si="22"/>
        <v>0</v>
      </c>
      <c r="R148" s="35">
        <f t="shared" si="16"/>
        <v>0</v>
      </c>
      <c r="S148" s="40" t="e">
        <f t="shared" si="23"/>
        <v>#DIV/0!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</row>
    <row r="149" spans="8:29" x14ac:dyDescent="0.45">
      <c r="H149" s="3"/>
      <c r="I149" s="3">
        <f t="shared" si="17"/>
        <v>0</v>
      </c>
      <c r="J149" s="3">
        <f t="shared" si="18"/>
        <v>0</v>
      </c>
      <c r="K149" s="3"/>
      <c r="L149" s="3"/>
      <c r="M149" s="3"/>
      <c r="N149" s="35">
        <f t="shared" si="19"/>
        <v>0</v>
      </c>
      <c r="O149" s="35">
        <f t="shared" si="20"/>
        <v>0</v>
      </c>
      <c r="P149" s="35">
        <f t="shared" si="21"/>
        <v>0</v>
      </c>
      <c r="Q149" s="35">
        <f t="shared" si="22"/>
        <v>0</v>
      </c>
      <c r="R149" s="35">
        <f t="shared" si="16"/>
        <v>0</v>
      </c>
      <c r="S149" s="40" t="e">
        <f t="shared" si="23"/>
        <v>#DIV/0!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</row>
    <row r="150" spans="8:29" x14ac:dyDescent="0.45">
      <c r="H150" s="3"/>
      <c r="I150" s="3">
        <f t="shared" si="17"/>
        <v>0</v>
      </c>
      <c r="J150" s="3">
        <f t="shared" si="18"/>
        <v>0</v>
      </c>
      <c r="K150" s="3"/>
      <c r="L150" s="3"/>
      <c r="M150" s="3"/>
      <c r="N150" s="35">
        <f t="shared" si="19"/>
        <v>0</v>
      </c>
      <c r="O150" s="35">
        <f t="shared" si="20"/>
        <v>0</v>
      </c>
      <c r="P150" s="35">
        <f t="shared" si="21"/>
        <v>0</v>
      </c>
      <c r="Q150" s="35">
        <f t="shared" si="22"/>
        <v>0</v>
      </c>
      <c r="R150" s="35">
        <f t="shared" si="16"/>
        <v>0</v>
      </c>
      <c r="S150" s="40" t="e">
        <f t="shared" si="23"/>
        <v>#DIV/0!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</row>
    <row r="151" spans="8:29" x14ac:dyDescent="0.45">
      <c r="H151" s="3"/>
      <c r="I151" s="3">
        <f t="shared" si="17"/>
        <v>0</v>
      </c>
      <c r="J151" s="3">
        <f t="shared" si="18"/>
        <v>0</v>
      </c>
      <c r="K151" s="3"/>
      <c r="L151" s="3"/>
      <c r="M151" s="3"/>
      <c r="N151" s="35">
        <f t="shared" si="19"/>
        <v>0</v>
      </c>
      <c r="O151" s="35">
        <f t="shared" si="20"/>
        <v>0</v>
      </c>
      <c r="P151" s="35">
        <f t="shared" si="21"/>
        <v>0</v>
      </c>
      <c r="Q151" s="35">
        <f t="shared" si="22"/>
        <v>0</v>
      </c>
      <c r="R151" s="35">
        <f t="shared" si="16"/>
        <v>0</v>
      </c>
      <c r="S151" s="40" t="e">
        <f t="shared" si="23"/>
        <v>#DIV/0!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</row>
    <row r="152" spans="8:29" x14ac:dyDescent="0.45">
      <c r="H152" s="3"/>
      <c r="I152" s="3">
        <f t="shared" si="17"/>
        <v>0</v>
      </c>
      <c r="J152" s="3">
        <f t="shared" si="18"/>
        <v>0</v>
      </c>
      <c r="K152" s="3"/>
      <c r="L152" s="3"/>
      <c r="M152" s="3"/>
      <c r="N152" s="35">
        <f t="shared" si="19"/>
        <v>0</v>
      </c>
      <c r="O152" s="35">
        <f t="shared" si="20"/>
        <v>0</v>
      </c>
      <c r="P152" s="35">
        <f t="shared" si="21"/>
        <v>0</v>
      </c>
      <c r="Q152" s="35">
        <f t="shared" si="22"/>
        <v>0</v>
      </c>
      <c r="R152" s="35">
        <f t="shared" si="16"/>
        <v>0</v>
      </c>
      <c r="S152" s="40" t="e">
        <f t="shared" si="23"/>
        <v>#DIV/0!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</row>
    <row r="153" spans="8:29" x14ac:dyDescent="0.45">
      <c r="H153" s="3"/>
      <c r="I153" s="3">
        <f t="shared" si="17"/>
        <v>0</v>
      </c>
      <c r="J153" s="3">
        <f t="shared" si="18"/>
        <v>0</v>
      </c>
      <c r="K153" s="3"/>
      <c r="L153" s="3"/>
      <c r="M153" s="3"/>
      <c r="N153" s="35">
        <f t="shared" si="19"/>
        <v>0</v>
      </c>
      <c r="O153" s="35">
        <f t="shared" si="20"/>
        <v>0</v>
      </c>
      <c r="P153" s="35">
        <f t="shared" si="21"/>
        <v>0</v>
      </c>
      <c r="Q153" s="35">
        <f t="shared" si="22"/>
        <v>0</v>
      </c>
      <c r="R153" s="35">
        <f t="shared" si="16"/>
        <v>0</v>
      </c>
      <c r="S153" s="40" t="e">
        <f t="shared" si="23"/>
        <v>#DIV/0!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</row>
    <row r="154" spans="8:29" x14ac:dyDescent="0.45">
      <c r="H154" s="3"/>
      <c r="I154" s="3">
        <f t="shared" si="17"/>
        <v>0</v>
      </c>
      <c r="J154" s="3">
        <f t="shared" si="18"/>
        <v>0</v>
      </c>
      <c r="K154" s="3"/>
      <c r="L154" s="3"/>
      <c r="M154" s="3"/>
      <c r="N154" s="35">
        <f t="shared" si="19"/>
        <v>0</v>
      </c>
      <c r="O154" s="35">
        <f t="shared" si="20"/>
        <v>0</v>
      </c>
      <c r="P154" s="35">
        <f t="shared" si="21"/>
        <v>0</v>
      </c>
      <c r="Q154" s="35">
        <f t="shared" si="22"/>
        <v>0</v>
      </c>
      <c r="R154" s="35">
        <f t="shared" si="16"/>
        <v>0</v>
      </c>
      <c r="S154" s="40" t="e">
        <f t="shared" si="23"/>
        <v>#DIV/0!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</row>
    <row r="155" spans="8:29" x14ac:dyDescent="0.45">
      <c r="H155" s="3"/>
      <c r="I155" s="3">
        <f t="shared" si="17"/>
        <v>0</v>
      </c>
      <c r="J155" s="3">
        <f t="shared" si="18"/>
        <v>0</v>
      </c>
      <c r="K155" s="3"/>
      <c r="L155" s="3"/>
      <c r="M155" s="3"/>
      <c r="N155" s="35">
        <f t="shared" si="19"/>
        <v>0</v>
      </c>
      <c r="O155" s="35">
        <f t="shared" si="20"/>
        <v>0</v>
      </c>
      <c r="P155" s="35">
        <f t="shared" si="21"/>
        <v>0</v>
      </c>
      <c r="Q155" s="35">
        <f t="shared" si="22"/>
        <v>0</v>
      </c>
      <c r="R155" s="35">
        <f t="shared" si="16"/>
        <v>0</v>
      </c>
      <c r="S155" s="40" t="e">
        <f t="shared" si="23"/>
        <v>#DIV/0!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</row>
    <row r="156" spans="8:29" x14ac:dyDescent="0.45">
      <c r="H156" s="3"/>
      <c r="I156" s="3">
        <f t="shared" si="17"/>
        <v>0</v>
      </c>
      <c r="J156" s="3">
        <f t="shared" si="18"/>
        <v>0</v>
      </c>
      <c r="K156" s="3"/>
      <c r="L156" s="3"/>
      <c r="M156" s="3"/>
      <c r="N156" s="35">
        <f t="shared" si="19"/>
        <v>0</v>
      </c>
      <c r="O156" s="35">
        <f t="shared" si="20"/>
        <v>0</v>
      </c>
      <c r="P156" s="35">
        <f t="shared" si="21"/>
        <v>0</v>
      </c>
      <c r="Q156" s="35">
        <f t="shared" si="22"/>
        <v>0</v>
      </c>
      <c r="R156" s="35">
        <f t="shared" si="16"/>
        <v>0</v>
      </c>
      <c r="S156" s="40" t="e">
        <f t="shared" si="23"/>
        <v>#DIV/0!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</row>
    <row r="157" spans="8:29" x14ac:dyDescent="0.45">
      <c r="H157" s="3"/>
      <c r="I157" s="3">
        <f t="shared" si="17"/>
        <v>0</v>
      </c>
      <c r="J157" s="3">
        <f t="shared" si="18"/>
        <v>0</v>
      </c>
      <c r="K157" s="3"/>
      <c r="L157" s="3"/>
      <c r="M157" s="3"/>
      <c r="N157" s="35">
        <f t="shared" si="19"/>
        <v>0</v>
      </c>
      <c r="O157" s="35">
        <f t="shared" si="20"/>
        <v>0</v>
      </c>
      <c r="P157" s="35">
        <f t="shared" si="21"/>
        <v>0</v>
      </c>
      <c r="Q157" s="35">
        <f t="shared" si="22"/>
        <v>0</v>
      </c>
      <c r="R157" s="35">
        <f t="shared" si="16"/>
        <v>0</v>
      </c>
      <c r="S157" s="40" t="e">
        <f t="shared" si="23"/>
        <v>#DIV/0!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</row>
    <row r="158" spans="8:29" x14ac:dyDescent="0.45">
      <c r="H158" s="3"/>
      <c r="I158" s="3">
        <f t="shared" si="17"/>
        <v>0</v>
      </c>
      <c r="J158" s="3">
        <f t="shared" si="18"/>
        <v>0</v>
      </c>
      <c r="K158" s="3"/>
      <c r="L158" s="3"/>
      <c r="M158" s="3"/>
      <c r="N158" s="35">
        <f t="shared" si="19"/>
        <v>0</v>
      </c>
      <c r="O158" s="35">
        <f t="shared" si="20"/>
        <v>0</v>
      </c>
      <c r="P158" s="35">
        <f t="shared" si="21"/>
        <v>0</v>
      </c>
      <c r="Q158" s="35">
        <f t="shared" si="22"/>
        <v>0</v>
      </c>
      <c r="R158" s="35">
        <f t="shared" si="16"/>
        <v>0</v>
      </c>
      <c r="S158" s="40" t="e">
        <f t="shared" si="23"/>
        <v>#DIV/0!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</row>
    <row r="159" spans="8:29" x14ac:dyDescent="0.45">
      <c r="H159" s="3"/>
      <c r="I159" s="3">
        <f t="shared" si="17"/>
        <v>0</v>
      </c>
      <c r="J159" s="3">
        <f t="shared" si="18"/>
        <v>0</v>
      </c>
      <c r="K159" s="3"/>
      <c r="L159" s="3"/>
      <c r="M159" s="3"/>
      <c r="N159" s="35">
        <f t="shared" si="19"/>
        <v>0</v>
      </c>
      <c r="O159" s="35">
        <f t="shared" si="20"/>
        <v>0</v>
      </c>
      <c r="P159" s="35">
        <f t="shared" si="21"/>
        <v>0</v>
      </c>
      <c r="Q159" s="35">
        <f t="shared" si="22"/>
        <v>0</v>
      </c>
      <c r="R159" s="35">
        <f t="shared" si="16"/>
        <v>0</v>
      </c>
      <c r="S159" s="40" t="e">
        <f t="shared" si="23"/>
        <v>#DIV/0!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</row>
    <row r="160" spans="8:29" x14ac:dyDescent="0.45">
      <c r="H160" s="3"/>
      <c r="I160" s="3">
        <f t="shared" si="17"/>
        <v>0</v>
      </c>
      <c r="J160" s="3">
        <f t="shared" si="18"/>
        <v>0</v>
      </c>
      <c r="K160" s="3"/>
      <c r="L160" s="3"/>
      <c r="M160" s="3"/>
      <c r="N160" s="35">
        <f t="shared" si="19"/>
        <v>0</v>
      </c>
      <c r="O160" s="35">
        <f t="shared" si="20"/>
        <v>0</v>
      </c>
      <c r="P160" s="35">
        <f t="shared" si="21"/>
        <v>0</v>
      </c>
      <c r="Q160" s="35">
        <f t="shared" si="22"/>
        <v>0</v>
      </c>
      <c r="R160" s="35">
        <f t="shared" si="16"/>
        <v>0</v>
      </c>
      <c r="S160" s="40" t="e">
        <f t="shared" si="23"/>
        <v>#DIV/0!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</row>
    <row r="161" spans="8:29" x14ac:dyDescent="0.45">
      <c r="H161" s="3"/>
      <c r="I161" s="3">
        <f t="shared" si="17"/>
        <v>0</v>
      </c>
      <c r="J161" s="3">
        <f t="shared" si="18"/>
        <v>0</v>
      </c>
      <c r="K161" s="3"/>
      <c r="L161" s="3"/>
      <c r="M161" s="3"/>
      <c r="N161" s="35">
        <f t="shared" si="19"/>
        <v>0</v>
      </c>
      <c r="O161" s="35">
        <f t="shared" si="20"/>
        <v>0</v>
      </c>
      <c r="P161" s="35">
        <f t="shared" si="21"/>
        <v>0</v>
      </c>
      <c r="Q161" s="35">
        <f t="shared" si="22"/>
        <v>0</v>
      </c>
      <c r="R161" s="35">
        <f t="shared" si="16"/>
        <v>0</v>
      </c>
      <c r="S161" s="40" t="e">
        <f t="shared" si="23"/>
        <v>#DIV/0!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</row>
    <row r="162" spans="8:29" x14ac:dyDescent="0.45">
      <c r="H162" s="3"/>
      <c r="I162" s="3">
        <f t="shared" si="17"/>
        <v>0</v>
      </c>
      <c r="J162" s="3">
        <f t="shared" si="18"/>
        <v>0</v>
      </c>
      <c r="K162" s="3"/>
      <c r="L162" s="3"/>
      <c r="M162" s="3"/>
      <c r="N162" s="35">
        <f t="shared" si="19"/>
        <v>0</v>
      </c>
      <c r="O162" s="35">
        <f t="shared" si="20"/>
        <v>0</v>
      </c>
      <c r="P162" s="35">
        <f t="shared" si="21"/>
        <v>0</v>
      </c>
      <c r="Q162" s="35">
        <f t="shared" si="22"/>
        <v>0</v>
      </c>
      <c r="R162" s="35">
        <f t="shared" si="16"/>
        <v>0</v>
      </c>
      <c r="S162" s="40" t="e">
        <f t="shared" si="23"/>
        <v>#DIV/0!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</row>
    <row r="163" spans="8:29" x14ac:dyDescent="0.45">
      <c r="H163" s="3"/>
      <c r="I163" s="3">
        <f t="shared" si="17"/>
        <v>0</v>
      </c>
      <c r="J163" s="3">
        <f t="shared" si="18"/>
        <v>0</v>
      </c>
      <c r="K163" s="3"/>
      <c r="L163" s="3"/>
      <c r="M163" s="3"/>
      <c r="N163" s="35">
        <f t="shared" si="19"/>
        <v>0</v>
      </c>
      <c r="O163" s="35">
        <f t="shared" si="20"/>
        <v>0</v>
      </c>
      <c r="P163" s="35">
        <f t="shared" si="21"/>
        <v>0</v>
      </c>
      <c r="Q163" s="35">
        <f t="shared" si="22"/>
        <v>0</v>
      </c>
      <c r="R163" s="35">
        <f t="shared" si="16"/>
        <v>0</v>
      </c>
      <c r="S163" s="40" t="e">
        <f t="shared" si="23"/>
        <v>#DIV/0!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</row>
    <row r="164" spans="8:29" x14ac:dyDescent="0.45">
      <c r="H164" s="3"/>
      <c r="I164" s="3">
        <f t="shared" si="17"/>
        <v>0</v>
      </c>
      <c r="J164" s="3">
        <f t="shared" si="18"/>
        <v>0</v>
      </c>
      <c r="K164" s="3"/>
      <c r="L164" s="3"/>
      <c r="M164" s="3"/>
      <c r="N164" s="35">
        <f t="shared" si="19"/>
        <v>0</v>
      </c>
      <c r="O164" s="35">
        <f t="shared" si="20"/>
        <v>0</v>
      </c>
      <c r="P164" s="35">
        <f t="shared" si="21"/>
        <v>0</v>
      </c>
      <c r="Q164" s="35">
        <f t="shared" si="22"/>
        <v>0</v>
      </c>
      <c r="R164" s="35">
        <f t="shared" si="16"/>
        <v>0</v>
      </c>
      <c r="S164" s="40" t="e">
        <f t="shared" si="23"/>
        <v>#DIV/0!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</row>
    <row r="165" spans="8:29" x14ac:dyDescent="0.45">
      <c r="H165" s="3"/>
      <c r="I165" s="3">
        <f t="shared" si="17"/>
        <v>0</v>
      </c>
      <c r="J165" s="3">
        <f t="shared" si="18"/>
        <v>0</v>
      </c>
      <c r="K165" s="3"/>
      <c r="L165" s="3"/>
      <c r="M165" s="3"/>
      <c r="N165" s="35">
        <f t="shared" si="19"/>
        <v>0</v>
      </c>
      <c r="O165" s="35">
        <f t="shared" si="20"/>
        <v>0</v>
      </c>
      <c r="P165" s="35">
        <f t="shared" si="21"/>
        <v>0</v>
      </c>
      <c r="Q165" s="35">
        <f t="shared" si="22"/>
        <v>0</v>
      </c>
      <c r="R165" s="35">
        <f t="shared" si="16"/>
        <v>0</v>
      </c>
      <c r="S165" s="40" t="e">
        <f t="shared" si="23"/>
        <v>#DIV/0!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</row>
    <row r="166" spans="8:29" x14ac:dyDescent="0.45">
      <c r="H166" s="3"/>
      <c r="I166" s="3">
        <f t="shared" si="17"/>
        <v>0</v>
      </c>
      <c r="J166" s="3">
        <f t="shared" si="18"/>
        <v>0</v>
      </c>
      <c r="K166" s="3"/>
      <c r="L166" s="3"/>
      <c r="M166" s="3"/>
      <c r="N166" s="35">
        <f t="shared" si="19"/>
        <v>0</v>
      </c>
      <c r="O166" s="35">
        <f t="shared" si="20"/>
        <v>0</v>
      </c>
      <c r="P166" s="35">
        <f t="shared" si="21"/>
        <v>0</v>
      </c>
      <c r="Q166" s="35">
        <f t="shared" si="22"/>
        <v>0</v>
      </c>
      <c r="R166" s="35">
        <f t="shared" si="16"/>
        <v>0</v>
      </c>
      <c r="S166" s="40" t="e">
        <f t="shared" si="23"/>
        <v>#DIV/0!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</row>
    <row r="167" spans="8:29" x14ac:dyDescent="0.45">
      <c r="H167" s="3"/>
      <c r="I167" s="3">
        <f t="shared" si="17"/>
        <v>0</v>
      </c>
      <c r="J167" s="3">
        <f t="shared" si="18"/>
        <v>0</v>
      </c>
      <c r="K167" s="3"/>
      <c r="L167" s="3"/>
      <c r="M167" s="3"/>
      <c r="N167" s="35">
        <f t="shared" si="19"/>
        <v>0</v>
      </c>
      <c r="O167" s="35">
        <f t="shared" si="20"/>
        <v>0</v>
      </c>
      <c r="P167" s="35">
        <f t="shared" si="21"/>
        <v>0</v>
      </c>
      <c r="Q167" s="35">
        <f t="shared" si="22"/>
        <v>0</v>
      </c>
      <c r="R167" s="35">
        <f t="shared" si="16"/>
        <v>0</v>
      </c>
      <c r="S167" s="40" t="e">
        <f t="shared" si="23"/>
        <v>#DIV/0!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</row>
    <row r="168" spans="8:29" x14ac:dyDescent="0.45">
      <c r="H168" s="3"/>
      <c r="I168" s="3">
        <f t="shared" si="17"/>
        <v>0</v>
      </c>
      <c r="J168" s="3">
        <f t="shared" si="18"/>
        <v>0</v>
      </c>
      <c r="K168" s="3"/>
      <c r="L168" s="3"/>
      <c r="M168" s="3"/>
      <c r="N168" s="35">
        <f t="shared" si="19"/>
        <v>0</v>
      </c>
      <c r="O168" s="35">
        <f t="shared" si="20"/>
        <v>0</v>
      </c>
      <c r="P168" s="35">
        <f t="shared" si="21"/>
        <v>0</v>
      </c>
      <c r="Q168" s="35">
        <f t="shared" si="22"/>
        <v>0</v>
      </c>
      <c r="R168" s="35">
        <f t="shared" si="16"/>
        <v>0</v>
      </c>
      <c r="S168" s="40" t="e">
        <f t="shared" si="23"/>
        <v>#DIV/0!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</row>
    <row r="169" spans="8:29" x14ac:dyDescent="0.45">
      <c r="H169" s="3"/>
      <c r="I169" s="3">
        <f t="shared" si="17"/>
        <v>0</v>
      </c>
      <c r="J169" s="3">
        <f t="shared" si="18"/>
        <v>0</v>
      </c>
      <c r="K169" s="3"/>
      <c r="L169" s="3"/>
      <c r="M169" s="3"/>
      <c r="N169" s="35">
        <f t="shared" si="19"/>
        <v>0</v>
      </c>
      <c r="O169" s="35">
        <f t="shared" si="20"/>
        <v>0</v>
      </c>
      <c r="P169" s="35">
        <f t="shared" si="21"/>
        <v>0</v>
      </c>
      <c r="Q169" s="35">
        <f t="shared" si="22"/>
        <v>0</v>
      </c>
      <c r="R169" s="35">
        <f t="shared" si="16"/>
        <v>0</v>
      </c>
      <c r="S169" s="40" t="e">
        <f t="shared" si="23"/>
        <v>#DIV/0!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</row>
    <row r="170" spans="8:29" x14ac:dyDescent="0.45">
      <c r="H170" s="3"/>
      <c r="I170" s="3">
        <f t="shared" si="17"/>
        <v>0</v>
      </c>
      <c r="J170" s="3">
        <f t="shared" si="18"/>
        <v>0</v>
      </c>
      <c r="K170" s="3"/>
      <c r="L170" s="3"/>
      <c r="M170" s="3"/>
      <c r="N170" s="35">
        <f t="shared" si="19"/>
        <v>0</v>
      </c>
      <c r="O170" s="35">
        <f t="shared" si="20"/>
        <v>0</v>
      </c>
      <c r="P170" s="35">
        <f t="shared" si="21"/>
        <v>0</v>
      </c>
      <c r="Q170" s="35">
        <f t="shared" si="22"/>
        <v>0</v>
      </c>
      <c r="R170" s="35">
        <f t="shared" si="16"/>
        <v>0</v>
      </c>
      <c r="S170" s="40" t="e">
        <f t="shared" si="23"/>
        <v>#DIV/0!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</row>
    <row r="171" spans="8:29" x14ac:dyDescent="0.45">
      <c r="H171" s="3"/>
      <c r="I171" s="3">
        <f t="shared" si="17"/>
        <v>0</v>
      </c>
      <c r="J171" s="3">
        <f t="shared" si="18"/>
        <v>0</v>
      </c>
      <c r="K171" s="3"/>
      <c r="L171" s="3"/>
      <c r="M171" s="3"/>
      <c r="N171" s="35">
        <f t="shared" si="19"/>
        <v>0</v>
      </c>
      <c r="O171" s="35">
        <f t="shared" si="20"/>
        <v>0</v>
      </c>
      <c r="P171" s="35">
        <f t="shared" si="21"/>
        <v>0</v>
      </c>
      <c r="Q171" s="35">
        <f t="shared" si="22"/>
        <v>0</v>
      </c>
      <c r="R171" s="35">
        <f t="shared" si="16"/>
        <v>0</v>
      </c>
      <c r="S171" s="40" t="e">
        <f t="shared" si="23"/>
        <v>#DIV/0!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</row>
    <row r="172" spans="8:29" x14ac:dyDescent="0.45">
      <c r="H172" s="3"/>
      <c r="I172" s="3">
        <f t="shared" si="17"/>
        <v>0</v>
      </c>
      <c r="J172" s="3">
        <f t="shared" si="18"/>
        <v>0</v>
      </c>
      <c r="K172" s="3"/>
      <c r="L172" s="3"/>
      <c r="M172" s="3"/>
      <c r="N172" s="35">
        <f t="shared" si="19"/>
        <v>0</v>
      </c>
      <c r="O172" s="35">
        <f t="shared" si="20"/>
        <v>0</v>
      </c>
      <c r="P172" s="35">
        <f t="shared" si="21"/>
        <v>0</v>
      </c>
      <c r="Q172" s="35">
        <f t="shared" si="22"/>
        <v>0</v>
      </c>
      <c r="R172" s="35">
        <f t="shared" si="16"/>
        <v>0</v>
      </c>
      <c r="S172" s="40" t="e">
        <f t="shared" si="23"/>
        <v>#DIV/0!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</row>
    <row r="173" spans="8:29" x14ac:dyDescent="0.45">
      <c r="H173" s="3"/>
      <c r="I173" s="3">
        <f t="shared" si="17"/>
        <v>0</v>
      </c>
      <c r="J173" s="3">
        <f t="shared" si="18"/>
        <v>0</v>
      </c>
      <c r="K173" s="3"/>
      <c r="L173" s="3"/>
      <c r="M173" s="3"/>
      <c r="N173" s="35">
        <f t="shared" si="19"/>
        <v>0</v>
      </c>
      <c r="O173" s="35">
        <f t="shared" si="20"/>
        <v>0</v>
      </c>
      <c r="P173" s="35">
        <f t="shared" si="21"/>
        <v>0</v>
      </c>
      <c r="Q173" s="35">
        <f t="shared" si="22"/>
        <v>0</v>
      </c>
      <c r="R173" s="35">
        <f t="shared" si="16"/>
        <v>0</v>
      </c>
      <c r="S173" s="40" t="e">
        <f t="shared" si="23"/>
        <v>#DIV/0!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</row>
    <row r="174" spans="8:29" x14ac:dyDescent="0.45">
      <c r="H174" s="3"/>
      <c r="I174" s="3">
        <f t="shared" si="17"/>
        <v>0</v>
      </c>
      <c r="J174" s="3">
        <f t="shared" si="18"/>
        <v>0</v>
      </c>
      <c r="K174" s="3"/>
      <c r="L174" s="3"/>
      <c r="M174" s="3"/>
      <c r="N174" s="35">
        <f t="shared" si="19"/>
        <v>0</v>
      </c>
      <c r="O174" s="35">
        <f t="shared" si="20"/>
        <v>0</v>
      </c>
      <c r="P174" s="35">
        <f t="shared" si="21"/>
        <v>0</v>
      </c>
      <c r="Q174" s="35">
        <f t="shared" si="22"/>
        <v>0</v>
      </c>
      <c r="R174" s="35">
        <f t="shared" si="16"/>
        <v>0</v>
      </c>
      <c r="S174" s="40" t="e">
        <f t="shared" si="23"/>
        <v>#DIV/0!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</row>
    <row r="175" spans="8:29" x14ac:dyDescent="0.45">
      <c r="H175" s="3"/>
      <c r="I175" s="3">
        <f t="shared" si="17"/>
        <v>0</v>
      </c>
      <c r="J175" s="3">
        <f t="shared" si="18"/>
        <v>0</v>
      </c>
      <c r="K175" s="3"/>
      <c r="L175" s="3"/>
      <c r="M175" s="3"/>
      <c r="N175" s="35">
        <f t="shared" si="19"/>
        <v>0</v>
      </c>
      <c r="O175" s="35">
        <f t="shared" si="20"/>
        <v>0</v>
      </c>
      <c r="P175" s="35">
        <f t="shared" si="21"/>
        <v>0</v>
      </c>
      <c r="Q175" s="35">
        <f t="shared" si="22"/>
        <v>0</v>
      </c>
      <c r="R175" s="35">
        <f t="shared" si="16"/>
        <v>0</v>
      </c>
      <c r="S175" s="40" t="e">
        <f t="shared" si="23"/>
        <v>#DIV/0!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</row>
    <row r="176" spans="8:29" x14ac:dyDescent="0.45">
      <c r="H176" s="3"/>
      <c r="I176" s="3">
        <f t="shared" si="17"/>
        <v>0</v>
      </c>
      <c r="J176" s="3">
        <f t="shared" si="18"/>
        <v>0</v>
      </c>
      <c r="K176" s="3"/>
      <c r="L176" s="3"/>
      <c r="M176" s="3"/>
      <c r="N176" s="35">
        <f t="shared" si="19"/>
        <v>0</v>
      </c>
      <c r="O176" s="35">
        <f t="shared" si="20"/>
        <v>0</v>
      </c>
      <c r="P176" s="35">
        <f t="shared" si="21"/>
        <v>0</v>
      </c>
      <c r="Q176" s="35">
        <f t="shared" si="22"/>
        <v>0</v>
      </c>
      <c r="R176" s="35">
        <f t="shared" si="16"/>
        <v>0</v>
      </c>
      <c r="S176" s="40" t="e">
        <f t="shared" si="23"/>
        <v>#DIV/0!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</row>
    <row r="177" spans="8:29" x14ac:dyDescent="0.45">
      <c r="H177" s="3"/>
      <c r="I177" s="3">
        <f t="shared" si="17"/>
        <v>0</v>
      </c>
      <c r="J177" s="3">
        <f t="shared" si="18"/>
        <v>0</v>
      </c>
      <c r="K177" s="3"/>
      <c r="L177" s="3"/>
      <c r="M177" s="3"/>
      <c r="N177" s="35">
        <f t="shared" si="19"/>
        <v>0</v>
      </c>
      <c r="O177" s="35">
        <f t="shared" si="20"/>
        <v>0</v>
      </c>
      <c r="P177" s="35">
        <f t="shared" si="21"/>
        <v>0</v>
      </c>
      <c r="Q177" s="35">
        <f t="shared" si="22"/>
        <v>0</v>
      </c>
      <c r="R177" s="35">
        <f t="shared" si="16"/>
        <v>0</v>
      </c>
      <c r="S177" s="40" t="e">
        <f t="shared" si="23"/>
        <v>#DIV/0!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</row>
    <row r="178" spans="8:29" x14ac:dyDescent="0.45">
      <c r="H178" s="3"/>
      <c r="I178" s="3">
        <f t="shared" si="17"/>
        <v>0</v>
      </c>
      <c r="J178" s="3">
        <f t="shared" si="18"/>
        <v>0</v>
      </c>
      <c r="K178" s="3"/>
      <c r="L178" s="3"/>
      <c r="M178" s="3"/>
      <c r="N178" s="35">
        <f t="shared" si="19"/>
        <v>0</v>
      </c>
      <c r="O178" s="35">
        <f t="shared" si="20"/>
        <v>0</v>
      </c>
      <c r="P178" s="35">
        <f t="shared" si="21"/>
        <v>0</v>
      </c>
      <c r="Q178" s="35">
        <f t="shared" si="22"/>
        <v>0</v>
      </c>
      <c r="R178" s="35">
        <f t="shared" si="16"/>
        <v>0</v>
      </c>
      <c r="S178" s="40" t="e">
        <f t="shared" si="23"/>
        <v>#DIV/0!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</row>
    <row r="179" spans="8:29" x14ac:dyDescent="0.45">
      <c r="H179" s="3"/>
      <c r="I179" s="3">
        <f t="shared" si="17"/>
        <v>0</v>
      </c>
      <c r="J179" s="3">
        <f t="shared" si="18"/>
        <v>0</v>
      </c>
      <c r="K179" s="3"/>
      <c r="L179" s="3"/>
      <c r="M179" s="3"/>
      <c r="N179" s="35">
        <f t="shared" si="19"/>
        <v>0</v>
      </c>
      <c r="O179" s="35">
        <f t="shared" si="20"/>
        <v>0</v>
      </c>
      <c r="P179" s="35">
        <f t="shared" si="21"/>
        <v>0</v>
      </c>
      <c r="Q179" s="35">
        <f t="shared" si="22"/>
        <v>0</v>
      </c>
      <c r="R179" s="35">
        <f t="shared" si="16"/>
        <v>0</v>
      </c>
      <c r="S179" s="40" t="e">
        <f t="shared" si="23"/>
        <v>#DIV/0!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</row>
    <row r="180" spans="8:29" x14ac:dyDescent="0.45">
      <c r="H180" s="3"/>
      <c r="I180" s="3">
        <f t="shared" si="17"/>
        <v>0</v>
      </c>
      <c r="J180" s="3">
        <f t="shared" si="18"/>
        <v>0</v>
      </c>
      <c r="K180" s="3"/>
      <c r="L180" s="3"/>
      <c r="M180" s="3"/>
      <c r="N180" s="35">
        <f t="shared" si="19"/>
        <v>0</v>
      </c>
      <c r="O180" s="35">
        <f t="shared" si="20"/>
        <v>0</v>
      </c>
      <c r="P180" s="35">
        <f t="shared" si="21"/>
        <v>0</v>
      </c>
      <c r="Q180" s="35">
        <f t="shared" si="22"/>
        <v>0</v>
      </c>
      <c r="R180" s="35">
        <f t="shared" si="16"/>
        <v>0</v>
      </c>
      <c r="S180" s="40" t="e">
        <f t="shared" si="23"/>
        <v>#DIV/0!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</row>
    <row r="181" spans="8:29" x14ac:dyDescent="0.45">
      <c r="H181" s="3"/>
      <c r="I181" s="3">
        <f t="shared" si="17"/>
        <v>0</v>
      </c>
      <c r="J181" s="3">
        <f t="shared" si="18"/>
        <v>0</v>
      </c>
      <c r="K181" s="3"/>
      <c r="L181" s="3"/>
      <c r="M181" s="3"/>
      <c r="N181" s="35">
        <f t="shared" si="19"/>
        <v>0</v>
      </c>
      <c r="O181" s="35">
        <f t="shared" si="20"/>
        <v>0</v>
      </c>
      <c r="P181" s="35">
        <f t="shared" si="21"/>
        <v>0</v>
      </c>
      <c r="Q181" s="35">
        <f t="shared" si="22"/>
        <v>0</v>
      </c>
      <c r="R181" s="35">
        <f t="shared" si="16"/>
        <v>0</v>
      </c>
      <c r="S181" s="40" t="e">
        <f t="shared" si="23"/>
        <v>#DIV/0!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</row>
    <row r="182" spans="8:29" x14ac:dyDescent="0.45">
      <c r="H182" s="3"/>
      <c r="I182" s="3">
        <f t="shared" si="17"/>
        <v>0</v>
      </c>
      <c r="J182" s="3">
        <f t="shared" si="18"/>
        <v>0</v>
      </c>
      <c r="K182" s="3"/>
      <c r="L182" s="3"/>
      <c r="M182" s="3"/>
      <c r="N182" s="35">
        <f t="shared" si="19"/>
        <v>0</v>
      </c>
      <c r="O182" s="35">
        <f t="shared" si="20"/>
        <v>0</v>
      </c>
      <c r="P182" s="35">
        <f t="shared" si="21"/>
        <v>0</v>
      </c>
      <c r="Q182" s="35">
        <f t="shared" si="22"/>
        <v>0</v>
      </c>
      <c r="R182" s="35">
        <f t="shared" si="16"/>
        <v>0</v>
      </c>
      <c r="S182" s="40" t="e">
        <f t="shared" si="23"/>
        <v>#DIV/0!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</row>
    <row r="183" spans="8:29" x14ac:dyDescent="0.45">
      <c r="H183" s="3"/>
      <c r="I183" s="3">
        <f t="shared" si="17"/>
        <v>0</v>
      </c>
      <c r="J183" s="3">
        <f t="shared" si="18"/>
        <v>0</v>
      </c>
      <c r="K183" s="3"/>
      <c r="L183" s="3"/>
      <c r="M183" s="3"/>
      <c r="N183" s="35">
        <f t="shared" si="19"/>
        <v>0</v>
      </c>
      <c r="O183" s="35">
        <f t="shared" si="20"/>
        <v>0</v>
      </c>
      <c r="P183" s="35">
        <f t="shared" si="21"/>
        <v>0</v>
      </c>
      <c r="Q183" s="35">
        <f t="shared" si="22"/>
        <v>0</v>
      </c>
      <c r="R183" s="35">
        <f t="shared" si="16"/>
        <v>0</v>
      </c>
      <c r="S183" s="40" t="e">
        <f t="shared" si="23"/>
        <v>#DIV/0!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</row>
    <row r="184" spans="8:29" x14ac:dyDescent="0.45">
      <c r="H184" s="3"/>
      <c r="I184" s="3">
        <f t="shared" si="17"/>
        <v>0</v>
      </c>
      <c r="J184" s="3">
        <f t="shared" si="18"/>
        <v>0</v>
      </c>
      <c r="K184" s="3"/>
      <c r="L184" s="3"/>
      <c r="M184" s="3"/>
      <c r="N184" s="35">
        <f t="shared" si="19"/>
        <v>0</v>
      </c>
      <c r="O184" s="35">
        <f t="shared" si="20"/>
        <v>0</v>
      </c>
      <c r="P184" s="35">
        <f t="shared" si="21"/>
        <v>0</v>
      </c>
      <c r="Q184" s="35">
        <f t="shared" si="22"/>
        <v>0</v>
      </c>
      <c r="R184" s="35">
        <f t="shared" si="16"/>
        <v>0</v>
      </c>
      <c r="S184" s="40" t="e">
        <f t="shared" si="23"/>
        <v>#DIV/0!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</row>
    <row r="185" spans="8:29" x14ac:dyDescent="0.45">
      <c r="H185" s="3"/>
      <c r="I185" s="3">
        <f t="shared" si="17"/>
        <v>0</v>
      </c>
      <c r="J185" s="3">
        <f t="shared" si="18"/>
        <v>0</v>
      </c>
      <c r="K185" s="3"/>
      <c r="L185" s="3"/>
      <c r="M185" s="3"/>
      <c r="N185" s="35">
        <f t="shared" si="19"/>
        <v>0</v>
      </c>
      <c r="O185" s="35">
        <f t="shared" si="20"/>
        <v>0</v>
      </c>
      <c r="P185" s="35">
        <f t="shared" si="21"/>
        <v>0</v>
      </c>
      <c r="Q185" s="35">
        <f t="shared" si="22"/>
        <v>0</v>
      </c>
      <c r="R185" s="35">
        <f t="shared" si="16"/>
        <v>0</v>
      </c>
      <c r="S185" s="40" t="e">
        <f t="shared" si="23"/>
        <v>#DIV/0!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</row>
    <row r="186" spans="8:29" x14ac:dyDescent="0.45">
      <c r="H186" s="3"/>
      <c r="I186" s="3">
        <f t="shared" si="17"/>
        <v>0</v>
      </c>
      <c r="J186" s="3">
        <f t="shared" si="18"/>
        <v>0</v>
      </c>
      <c r="K186" s="3"/>
      <c r="L186" s="3"/>
      <c r="M186" s="3"/>
      <c r="N186" s="35">
        <f t="shared" si="19"/>
        <v>0</v>
      </c>
      <c r="O186" s="35">
        <f t="shared" si="20"/>
        <v>0</v>
      </c>
      <c r="P186" s="35">
        <f t="shared" si="21"/>
        <v>0</v>
      </c>
      <c r="Q186" s="35">
        <f t="shared" si="22"/>
        <v>0</v>
      </c>
      <c r="R186" s="35">
        <f t="shared" si="16"/>
        <v>0</v>
      </c>
      <c r="S186" s="40" t="e">
        <f t="shared" si="23"/>
        <v>#DIV/0!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</row>
    <row r="187" spans="8:29" x14ac:dyDescent="0.45">
      <c r="H187" s="3"/>
      <c r="I187" s="3">
        <f t="shared" si="17"/>
        <v>0</v>
      </c>
      <c r="J187" s="3">
        <f t="shared" si="18"/>
        <v>0</v>
      </c>
      <c r="K187" s="3"/>
      <c r="L187" s="3"/>
      <c r="M187" s="3"/>
      <c r="N187" s="35">
        <f t="shared" si="19"/>
        <v>0</v>
      </c>
      <c r="O187" s="35">
        <f t="shared" si="20"/>
        <v>0</v>
      </c>
      <c r="P187" s="35">
        <f t="shared" si="21"/>
        <v>0</v>
      </c>
      <c r="Q187" s="35">
        <f t="shared" si="22"/>
        <v>0</v>
      </c>
      <c r="R187" s="35">
        <f t="shared" si="16"/>
        <v>0</v>
      </c>
      <c r="S187" s="40" t="e">
        <f t="shared" si="23"/>
        <v>#DIV/0!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</row>
    <row r="188" spans="8:29" x14ac:dyDescent="0.45">
      <c r="H188" s="3"/>
      <c r="I188" s="3">
        <f t="shared" si="17"/>
        <v>0</v>
      </c>
      <c r="J188" s="3">
        <f t="shared" si="18"/>
        <v>0</v>
      </c>
      <c r="K188" s="3"/>
      <c r="L188" s="3"/>
      <c r="M188" s="3"/>
      <c r="N188" s="35">
        <f t="shared" si="19"/>
        <v>0</v>
      </c>
      <c r="O188" s="35">
        <f t="shared" si="20"/>
        <v>0</v>
      </c>
      <c r="P188" s="35">
        <f t="shared" si="21"/>
        <v>0</v>
      </c>
      <c r="Q188" s="35">
        <f t="shared" si="22"/>
        <v>0</v>
      </c>
      <c r="R188" s="35">
        <f t="shared" si="16"/>
        <v>0</v>
      </c>
      <c r="S188" s="40" t="e">
        <f t="shared" si="23"/>
        <v>#DIV/0!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</row>
    <row r="189" spans="8:29" x14ac:dyDescent="0.45">
      <c r="H189" s="3"/>
      <c r="I189" s="3">
        <f t="shared" si="17"/>
        <v>0</v>
      </c>
      <c r="J189" s="3">
        <f t="shared" si="18"/>
        <v>0</v>
      </c>
      <c r="K189" s="3"/>
      <c r="L189" s="3"/>
      <c r="M189" s="3"/>
      <c r="N189" s="35">
        <f t="shared" si="19"/>
        <v>0</v>
      </c>
      <c r="O189" s="35">
        <f t="shared" si="20"/>
        <v>0</v>
      </c>
      <c r="P189" s="35">
        <f t="shared" si="21"/>
        <v>0</v>
      </c>
      <c r="Q189" s="35">
        <f t="shared" si="22"/>
        <v>0</v>
      </c>
      <c r="R189" s="35">
        <f t="shared" si="16"/>
        <v>0</v>
      </c>
      <c r="S189" s="40" t="e">
        <f t="shared" si="23"/>
        <v>#DIV/0!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</row>
    <row r="190" spans="8:29" x14ac:dyDescent="0.45">
      <c r="H190" s="3"/>
      <c r="I190" s="3">
        <f t="shared" si="17"/>
        <v>0</v>
      </c>
      <c r="J190" s="3">
        <f t="shared" si="18"/>
        <v>0</v>
      </c>
      <c r="K190" s="3"/>
      <c r="L190" s="3"/>
      <c r="M190" s="3"/>
      <c r="N190" s="35">
        <f t="shared" si="19"/>
        <v>0</v>
      </c>
      <c r="O190" s="35">
        <f t="shared" si="20"/>
        <v>0</v>
      </c>
      <c r="P190" s="35">
        <f t="shared" si="21"/>
        <v>0</v>
      </c>
      <c r="Q190" s="35">
        <f t="shared" si="22"/>
        <v>0</v>
      </c>
      <c r="R190" s="35">
        <f t="shared" si="16"/>
        <v>0</v>
      </c>
      <c r="S190" s="40" t="e">
        <f t="shared" si="23"/>
        <v>#DIV/0!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</row>
    <row r="191" spans="8:29" x14ac:dyDescent="0.45">
      <c r="H191" s="3"/>
      <c r="I191" s="3">
        <f t="shared" si="17"/>
        <v>0</v>
      </c>
      <c r="J191" s="3">
        <f t="shared" si="18"/>
        <v>0</v>
      </c>
      <c r="K191" s="3"/>
      <c r="L191" s="3"/>
      <c r="M191" s="3"/>
      <c r="N191" s="35">
        <f t="shared" si="19"/>
        <v>0</v>
      </c>
      <c r="O191" s="35">
        <f t="shared" si="20"/>
        <v>0</v>
      </c>
      <c r="P191" s="35">
        <f t="shared" si="21"/>
        <v>0</v>
      </c>
      <c r="Q191" s="35">
        <f t="shared" si="22"/>
        <v>0</v>
      </c>
      <c r="R191" s="35">
        <f t="shared" si="16"/>
        <v>0</v>
      </c>
      <c r="S191" s="40" t="e">
        <f t="shared" si="23"/>
        <v>#DIV/0!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</row>
    <row r="192" spans="8:29" x14ac:dyDescent="0.45">
      <c r="H192" s="3"/>
      <c r="I192" s="3">
        <f t="shared" si="17"/>
        <v>0</v>
      </c>
      <c r="J192" s="3">
        <f t="shared" si="18"/>
        <v>0</v>
      </c>
      <c r="K192" s="3"/>
      <c r="L192" s="3"/>
      <c r="M192" s="3"/>
      <c r="N192" s="35">
        <f t="shared" si="19"/>
        <v>0</v>
      </c>
      <c r="O192" s="35">
        <f t="shared" si="20"/>
        <v>0</v>
      </c>
      <c r="P192" s="35">
        <f t="shared" si="21"/>
        <v>0</v>
      </c>
      <c r="Q192" s="35">
        <f t="shared" si="22"/>
        <v>0</v>
      </c>
      <c r="R192" s="35">
        <f t="shared" si="16"/>
        <v>0</v>
      </c>
      <c r="S192" s="40" t="e">
        <f t="shared" si="23"/>
        <v>#DIV/0!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</row>
    <row r="193" spans="8:29" x14ac:dyDescent="0.45">
      <c r="H193" s="3"/>
      <c r="I193" s="3">
        <f t="shared" si="17"/>
        <v>0</v>
      </c>
      <c r="J193" s="3">
        <f t="shared" si="18"/>
        <v>0</v>
      </c>
      <c r="K193" s="3"/>
      <c r="L193" s="3"/>
      <c r="M193" s="3"/>
      <c r="N193" s="35">
        <f t="shared" si="19"/>
        <v>0</v>
      </c>
      <c r="O193" s="35">
        <f t="shared" si="20"/>
        <v>0</v>
      </c>
      <c r="P193" s="35">
        <f t="shared" si="21"/>
        <v>0</v>
      </c>
      <c r="Q193" s="35">
        <f t="shared" si="22"/>
        <v>0</v>
      </c>
      <c r="R193" s="35">
        <f t="shared" si="16"/>
        <v>0</v>
      </c>
      <c r="S193" s="40" t="e">
        <f t="shared" si="23"/>
        <v>#DIV/0!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</row>
    <row r="194" spans="8:29" x14ac:dyDescent="0.45">
      <c r="H194" s="3"/>
      <c r="I194" s="3">
        <f t="shared" si="17"/>
        <v>0</v>
      </c>
      <c r="J194" s="3">
        <f t="shared" si="18"/>
        <v>0</v>
      </c>
      <c r="K194" s="3"/>
      <c r="L194" s="3"/>
      <c r="M194" s="3"/>
      <c r="N194" s="35">
        <f t="shared" si="19"/>
        <v>0</v>
      </c>
      <c r="O194" s="35">
        <f t="shared" si="20"/>
        <v>0</v>
      </c>
      <c r="P194" s="35">
        <f t="shared" si="21"/>
        <v>0</v>
      </c>
      <c r="Q194" s="35">
        <f t="shared" si="22"/>
        <v>0</v>
      </c>
      <c r="R194" s="35">
        <f t="shared" ref="R194:R221" si="24">AVERAGE(Q194:Q207)</f>
        <v>0</v>
      </c>
      <c r="S194" s="40" t="e">
        <f t="shared" si="23"/>
        <v>#DIV/0!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</row>
    <row r="195" spans="8:29" x14ac:dyDescent="0.45">
      <c r="H195" s="3"/>
      <c r="I195" s="3">
        <f t="shared" ref="I195:I221" si="25">MAX(C195:C197)</f>
        <v>0</v>
      </c>
      <c r="J195" s="3">
        <f t="shared" ref="J195:J221" si="26">MIN(D195:D197)</f>
        <v>0</v>
      </c>
      <c r="K195" s="3"/>
      <c r="L195" s="3"/>
      <c r="M195" s="3"/>
      <c r="N195" s="35">
        <f t="shared" ref="N195:N221" si="27">I195-J195</f>
        <v>0</v>
      </c>
      <c r="O195" s="35">
        <f t="shared" ref="O195:O221" si="28">ABS(I195-E198)</f>
        <v>0</v>
      </c>
      <c r="P195" s="35">
        <f t="shared" ref="P195:P221" si="29">ABS(J195-E198)</f>
        <v>0</v>
      </c>
      <c r="Q195" s="35">
        <f t="shared" ref="Q195:Q221" si="30">MAX(N195:P195)</f>
        <v>0</v>
      </c>
      <c r="R195" s="35">
        <f t="shared" si="24"/>
        <v>0</v>
      </c>
      <c r="S195" s="40" t="e">
        <f t="shared" ref="S195:S221" si="31">R195/B195</f>
        <v>#DIV/0!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</row>
    <row r="196" spans="8:29" x14ac:dyDescent="0.45">
      <c r="H196" s="3"/>
      <c r="I196" s="3">
        <f t="shared" si="25"/>
        <v>0</v>
      </c>
      <c r="J196" s="3">
        <f t="shared" si="26"/>
        <v>0</v>
      </c>
      <c r="K196" s="3"/>
      <c r="L196" s="3"/>
      <c r="M196" s="3"/>
      <c r="N196" s="35">
        <f t="shared" si="27"/>
        <v>0</v>
      </c>
      <c r="O196" s="35">
        <f t="shared" si="28"/>
        <v>0</v>
      </c>
      <c r="P196" s="35">
        <f t="shared" si="29"/>
        <v>0</v>
      </c>
      <c r="Q196" s="35">
        <f t="shared" si="30"/>
        <v>0</v>
      </c>
      <c r="R196" s="35">
        <f t="shared" si="24"/>
        <v>0</v>
      </c>
      <c r="S196" s="40" t="e">
        <f t="shared" si="31"/>
        <v>#DIV/0!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</row>
    <row r="197" spans="8:29" x14ac:dyDescent="0.45">
      <c r="H197" s="3"/>
      <c r="I197" s="3">
        <f t="shared" si="25"/>
        <v>0</v>
      </c>
      <c r="J197" s="3">
        <f t="shared" si="26"/>
        <v>0</v>
      </c>
      <c r="K197" s="3"/>
      <c r="L197" s="3"/>
      <c r="M197" s="3"/>
      <c r="N197" s="35">
        <f t="shared" si="27"/>
        <v>0</v>
      </c>
      <c r="O197" s="35">
        <f t="shared" si="28"/>
        <v>0</v>
      </c>
      <c r="P197" s="35">
        <f t="shared" si="29"/>
        <v>0</v>
      </c>
      <c r="Q197" s="35">
        <f t="shared" si="30"/>
        <v>0</v>
      </c>
      <c r="R197" s="35">
        <f t="shared" si="24"/>
        <v>0</v>
      </c>
      <c r="S197" s="40" t="e">
        <f t="shared" si="31"/>
        <v>#DIV/0!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</row>
    <row r="198" spans="8:29" x14ac:dyDescent="0.45">
      <c r="H198" s="3"/>
      <c r="I198" s="3">
        <f t="shared" si="25"/>
        <v>0</v>
      </c>
      <c r="J198" s="3">
        <f t="shared" si="26"/>
        <v>0</v>
      </c>
      <c r="K198" s="3"/>
      <c r="L198" s="3"/>
      <c r="M198" s="3"/>
      <c r="N198" s="35">
        <f t="shared" si="27"/>
        <v>0</v>
      </c>
      <c r="O198" s="35">
        <f t="shared" si="28"/>
        <v>0</v>
      </c>
      <c r="P198" s="35">
        <f t="shared" si="29"/>
        <v>0</v>
      </c>
      <c r="Q198" s="35">
        <f t="shared" si="30"/>
        <v>0</v>
      </c>
      <c r="R198" s="35">
        <f t="shared" si="24"/>
        <v>0</v>
      </c>
      <c r="S198" s="40" t="e">
        <f t="shared" si="31"/>
        <v>#DIV/0!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</row>
    <row r="199" spans="8:29" x14ac:dyDescent="0.45">
      <c r="H199" s="3"/>
      <c r="I199" s="3">
        <f t="shared" si="25"/>
        <v>0</v>
      </c>
      <c r="J199" s="3">
        <f t="shared" si="26"/>
        <v>0</v>
      </c>
      <c r="K199" s="3"/>
      <c r="L199" s="3"/>
      <c r="M199" s="3"/>
      <c r="N199" s="35">
        <f t="shared" si="27"/>
        <v>0</v>
      </c>
      <c r="O199" s="35">
        <f t="shared" si="28"/>
        <v>0</v>
      </c>
      <c r="P199" s="35">
        <f t="shared" si="29"/>
        <v>0</v>
      </c>
      <c r="Q199" s="35">
        <f t="shared" si="30"/>
        <v>0</v>
      </c>
      <c r="R199" s="35">
        <f t="shared" si="24"/>
        <v>0</v>
      </c>
      <c r="S199" s="40" t="e">
        <f t="shared" si="31"/>
        <v>#DIV/0!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</row>
    <row r="200" spans="8:29" x14ac:dyDescent="0.45">
      <c r="H200" s="3"/>
      <c r="I200" s="3">
        <f t="shared" si="25"/>
        <v>0</v>
      </c>
      <c r="J200" s="3">
        <f t="shared" si="26"/>
        <v>0</v>
      </c>
      <c r="K200" s="3"/>
      <c r="L200" s="3"/>
      <c r="M200" s="3"/>
      <c r="N200" s="35">
        <f t="shared" si="27"/>
        <v>0</v>
      </c>
      <c r="O200" s="35">
        <f t="shared" si="28"/>
        <v>0</v>
      </c>
      <c r="P200" s="35">
        <f t="shared" si="29"/>
        <v>0</v>
      </c>
      <c r="Q200" s="35">
        <f t="shared" si="30"/>
        <v>0</v>
      </c>
      <c r="R200" s="35">
        <f t="shared" si="24"/>
        <v>0</v>
      </c>
      <c r="S200" s="40" t="e">
        <f t="shared" si="31"/>
        <v>#DIV/0!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</row>
    <row r="201" spans="8:29" x14ac:dyDescent="0.45">
      <c r="H201" s="3"/>
      <c r="I201" s="3">
        <f t="shared" si="25"/>
        <v>0</v>
      </c>
      <c r="J201" s="3">
        <f t="shared" si="26"/>
        <v>0</v>
      </c>
      <c r="K201" s="3"/>
      <c r="L201" s="3"/>
      <c r="M201" s="3"/>
      <c r="N201" s="35">
        <f t="shared" si="27"/>
        <v>0</v>
      </c>
      <c r="O201" s="35">
        <f t="shared" si="28"/>
        <v>0</v>
      </c>
      <c r="P201" s="35">
        <f t="shared" si="29"/>
        <v>0</v>
      </c>
      <c r="Q201" s="35">
        <f t="shared" si="30"/>
        <v>0</v>
      </c>
      <c r="R201" s="35">
        <f t="shared" si="24"/>
        <v>0</v>
      </c>
      <c r="S201" s="40" t="e">
        <f t="shared" si="31"/>
        <v>#DIV/0!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</row>
    <row r="202" spans="8:29" x14ac:dyDescent="0.45">
      <c r="H202" s="3"/>
      <c r="I202" s="3">
        <f t="shared" si="25"/>
        <v>0</v>
      </c>
      <c r="J202" s="3">
        <f t="shared" si="26"/>
        <v>0</v>
      </c>
      <c r="K202" s="3"/>
      <c r="L202" s="3"/>
      <c r="M202" s="3"/>
      <c r="N202" s="35">
        <f t="shared" si="27"/>
        <v>0</v>
      </c>
      <c r="O202" s="35">
        <f t="shared" si="28"/>
        <v>0</v>
      </c>
      <c r="P202" s="35">
        <f t="shared" si="29"/>
        <v>0</v>
      </c>
      <c r="Q202" s="35">
        <f t="shared" si="30"/>
        <v>0</v>
      </c>
      <c r="R202" s="35">
        <f t="shared" si="24"/>
        <v>0</v>
      </c>
      <c r="S202" s="40" t="e">
        <f t="shared" si="31"/>
        <v>#DIV/0!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</row>
    <row r="203" spans="8:29" x14ac:dyDescent="0.45">
      <c r="H203" s="3"/>
      <c r="I203" s="3">
        <f t="shared" si="25"/>
        <v>0</v>
      </c>
      <c r="J203" s="3">
        <f t="shared" si="26"/>
        <v>0</v>
      </c>
      <c r="K203" s="3"/>
      <c r="L203" s="3"/>
      <c r="M203" s="3"/>
      <c r="N203" s="35">
        <f t="shared" si="27"/>
        <v>0</v>
      </c>
      <c r="O203" s="35">
        <f t="shared" si="28"/>
        <v>0</v>
      </c>
      <c r="P203" s="35">
        <f t="shared" si="29"/>
        <v>0</v>
      </c>
      <c r="Q203" s="35">
        <f t="shared" si="30"/>
        <v>0</v>
      </c>
      <c r="R203" s="35">
        <f t="shared" si="24"/>
        <v>0</v>
      </c>
      <c r="S203" s="40" t="e">
        <f t="shared" si="31"/>
        <v>#DIV/0!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</row>
    <row r="204" spans="8:29" x14ac:dyDescent="0.45">
      <c r="H204" s="3"/>
      <c r="I204" s="3">
        <f t="shared" si="25"/>
        <v>0</v>
      </c>
      <c r="J204" s="3">
        <f t="shared" si="26"/>
        <v>0</v>
      </c>
      <c r="K204" s="3"/>
      <c r="L204" s="3"/>
      <c r="M204" s="3"/>
      <c r="N204" s="35">
        <f t="shared" si="27"/>
        <v>0</v>
      </c>
      <c r="O204" s="35">
        <f t="shared" si="28"/>
        <v>0</v>
      </c>
      <c r="P204" s="35">
        <f t="shared" si="29"/>
        <v>0</v>
      </c>
      <c r="Q204" s="35">
        <f t="shared" si="30"/>
        <v>0</v>
      </c>
      <c r="R204" s="35">
        <f t="shared" si="24"/>
        <v>0</v>
      </c>
      <c r="S204" s="40" t="e">
        <f t="shared" si="31"/>
        <v>#DIV/0!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</row>
    <row r="205" spans="8:29" x14ac:dyDescent="0.45">
      <c r="H205" s="3"/>
      <c r="I205" s="3">
        <f t="shared" si="25"/>
        <v>0</v>
      </c>
      <c r="J205" s="3">
        <f t="shared" si="26"/>
        <v>0</v>
      </c>
      <c r="K205" s="3"/>
      <c r="L205" s="3"/>
      <c r="M205" s="3"/>
      <c r="N205" s="35">
        <f t="shared" si="27"/>
        <v>0</v>
      </c>
      <c r="O205" s="35">
        <f t="shared" si="28"/>
        <v>0</v>
      </c>
      <c r="P205" s="35">
        <f t="shared" si="29"/>
        <v>0</v>
      </c>
      <c r="Q205" s="35">
        <f t="shared" si="30"/>
        <v>0</v>
      </c>
      <c r="R205" s="35">
        <f t="shared" si="24"/>
        <v>0</v>
      </c>
      <c r="S205" s="40" t="e">
        <f t="shared" si="31"/>
        <v>#DIV/0!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</row>
    <row r="206" spans="8:29" x14ac:dyDescent="0.45">
      <c r="H206" s="3"/>
      <c r="I206" s="3">
        <f t="shared" si="25"/>
        <v>0</v>
      </c>
      <c r="J206" s="3">
        <f t="shared" si="26"/>
        <v>0</v>
      </c>
      <c r="K206" s="3"/>
      <c r="L206" s="3"/>
      <c r="M206" s="3"/>
      <c r="N206" s="35">
        <f t="shared" si="27"/>
        <v>0</v>
      </c>
      <c r="O206" s="35">
        <f t="shared" si="28"/>
        <v>0</v>
      </c>
      <c r="P206" s="35">
        <f t="shared" si="29"/>
        <v>0</v>
      </c>
      <c r="Q206" s="35">
        <f t="shared" si="30"/>
        <v>0</v>
      </c>
      <c r="R206" s="35">
        <f t="shared" si="24"/>
        <v>0</v>
      </c>
      <c r="S206" s="40" t="e">
        <f t="shared" si="31"/>
        <v>#DIV/0!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</row>
    <row r="207" spans="8:29" x14ac:dyDescent="0.45">
      <c r="H207" s="3"/>
      <c r="I207" s="3">
        <f t="shared" si="25"/>
        <v>0</v>
      </c>
      <c r="J207" s="3">
        <f t="shared" si="26"/>
        <v>0</v>
      </c>
      <c r="K207" s="3"/>
      <c r="L207" s="3"/>
      <c r="M207" s="3"/>
      <c r="N207" s="35">
        <f t="shared" si="27"/>
        <v>0</v>
      </c>
      <c r="O207" s="35">
        <f t="shared" si="28"/>
        <v>0</v>
      </c>
      <c r="P207" s="35">
        <f t="shared" si="29"/>
        <v>0</v>
      </c>
      <c r="Q207" s="35">
        <f t="shared" si="30"/>
        <v>0</v>
      </c>
      <c r="R207" s="35">
        <f t="shared" si="24"/>
        <v>0</v>
      </c>
      <c r="S207" s="40" t="e">
        <f t="shared" si="31"/>
        <v>#DIV/0!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</row>
    <row r="208" spans="8:29" x14ac:dyDescent="0.45">
      <c r="H208" s="3"/>
      <c r="I208" s="3">
        <f t="shared" si="25"/>
        <v>0</v>
      </c>
      <c r="J208" s="3">
        <f t="shared" si="26"/>
        <v>0</v>
      </c>
      <c r="K208" s="3"/>
      <c r="L208" s="3"/>
      <c r="M208" s="3"/>
      <c r="N208" s="35">
        <f t="shared" si="27"/>
        <v>0</v>
      </c>
      <c r="O208" s="35">
        <f t="shared" si="28"/>
        <v>0</v>
      </c>
      <c r="P208" s="35">
        <f t="shared" si="29"/>
        <v>0</v>
      </c>
      <c r="Q208" s="35">
        <f t="shared" si="30"/>
        <v>0</v>
      </c>
      <c r="R208" s="35">
        <f t="shared" si="24"/>
        <v>0</v>
      </c>
      <c r="S208" s="40" t="e">
        <f t="shared" si="31"/>
        <v>#DIV/0!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</row>
    <row r="209" spans="8:29" x14ac:dyDescent="0.45">
      <c r="H209" s="3"/>
      <c r="I209" s="3">
        <f t="shared" si="25"/>
        <v>0</v>
      </c>
      <c r="J209" s="3">
        <f t="shared" si="26"/>
        <v>0</v>
      </c>
      <c r="K209" s="3"/>
      <c r="L209" s="3"/>
      <c r="M209" s="3"/>
      <c r="N209" s="35">
        <f t="shared" si="27"/>
        <v>0</v>
      </c>
      <c r="O209" s="35">
        <f t="shared" si="28"/>
        <v>0</v>
      </c>
      <c r="P209" s="35">
        <f t="shared" si="29"/>
        <v>0</v>
      </c>
      <c r="Q209" s="35">
        <f t="shared" si="30"/>
        <v>0</v>
      </c>
      <c r="R209" s="35">
        <f t="shared" si="24"/>
        <v>0</v>
      </c>
      <c r="S209" s="40" t="e">
        <f t="shared" si="31"/>
        <v>#DIV/0!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</row>
    <row r="210" spans="8:29" x14ac:dyDescent="0.45">
      <c r="H210" s="3"/>
      <c r="I210" s="3">
        <f t="shared" si="25"/>
        <v>0</v>
      </c>
      <c r="J210" s="3">
        <f t="shared" si="26"/>
        <v>0</v>
      </c>
      <c r="K210" s="3"/>
      <c r="L210" s="3"/>
      <c r="M210" s="3"/>
      <c r="N210" s="35">
        <f t="shared" si="27"/>
        <v>0</v>
      </c>
      <c r="O210" s="35">
        <f t="shared" si="28"/>
        <v>0</v>
      </c>
      <c r="P210" s="35">
        <f t="shared" si="29"/>
        <v>0</v>
      </c>
      <c r="Q210" s="35">
        <f t="shared" si="30"/>
        <v>0</v>
      </c>
      <c r="R210" s="35">
        <f t="shared" si="24"/>
        <v>0</v>
      </c>
      <c r="S210" s="40" t="e">
        <f t="shared" si="31"/>
        <v>#DIV/0!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</row>
    <row r="211" spans="8:29" x14ac:dyDescent="0.45">
      <c r="H211" s="3"/>
      <c r="I211" s="3">
        <f t="shared" si="25"/>
        <v>0</v>
      </c>
      <c r="J211" s="3">
        <f t="shared" si="26"/>
        <v>0</v>
      </c>
      <c r="K211" s="3"/>
      <c r="L211" s="3"/>
      <c r="M211" s="3"/>
      <c r="N211" s="35">
        <f t="shared" si="27"/>
        <v>0</v>
      </c>
      <c r="O211" s="35">
        <f t="shared" si="28"/>
        <v>0</v>
      </c>
      <c r="P211" s="35">
        <f t="shared" si="29"/>
        <v>0</v>
      </c>
      <c r="Q211" s="35">
        <f t="shared" si="30"/>
        <v>0</v>
      </c>
      <c r="R211" s="35">
        <f t="shared" si="24"/>
        <v>0</v>
      </c>
      <c r="S211" s="40" t="e">
        <f t="shared" si="31"/>
        <v>#DIV/0!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</row>
    <row r="212" spans="8:29" x14ac:dyDescent="0.45">
      <c r="H212" s="3"/>
      <c r="I212" s="3">
        <f t="shared" si="25"/>
        <v>0</v>
      </c>
      <c r="J212" s="3">
        <f t="shared" si="26"/>
        <v>0</v>
      </c>
      <c r="K212" s="3"/>
      <c r="L212" s="3"/>
      <c r="M212" s="3"/>
      <c r="N212" s="35">
        <f t="shared" si="27"/>
        <v>0</v>
      </c>
      <c r="O212" s="35">
        <f t="shared" si="28"/>
        <v>0</v>
      </c>
      <c r="P212" s="35">
        <f t="shared" si="29"/>
        <v>0</v>
      </c>
      <c r="Q212" s="35">
        <f t="shared" si="30"/>
        <v>0</v>
      </c>
      <c r="R212" s="35">
        <f t="shared" si="24"/>
        <v>0</v>
      </c>
      <c r="S212" s="40" t="e">
        <f t="shared" si="31"/>
        <v>#DIV/0!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</row>
    <row r="213" spans="8:29" x14ac:dyDescent="0.45">
      <c r="H213" s="3"/>
      <c r="I213" s="3">
        <f t="shared" si="25"/>
        <v>0</v>
      </c>
      <c r="J213" s="3">
        <f t="shared" si="26"/>
        <v>0</v>
      </c>
      <c r="K213" s="3"/>
      <c r="L213" s="3"/>
      <c r="M213" s="3"/>
      <c r="N213" s="35">
        <f t="shared" si="27"/>
        <v>0</v>
      </c>
      <c r="O213" s="35">
        <f t="shared" si="28"/>
        <v>0</v>
      </c>
      <c r="P213" s="35">
        <f t="shared" si="29"/>
        <v>0</v>
      </c>
      <c r="Q213" s="35">
        <f t="shared" si="30"/>
        <v>0</v>
      </c>
      <c r="R213" s="35">
        <f t="shared" si="24"/>
        <v>0</v>
      </c>
      <c r="S213" s="40" t="e">
        <f t="shared" si="31"/>
        <v>#DIV/0!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</row>
    <row r="214" spans="8:29" x14ac:dyDescent="0.45">
      <c r="H214" s="3"/>
      <c r="I214" s="3">
        <f t="shared" si="25"/>
        <v>0</v>
      </c>
      <c r="J214" s="3">
        <f t="shared" si="26"/>
        <v>0</v>
      </c>
      <c r="K214" s="3"/>
      <c r="L214" s="3"/>
      <c r="M214" s="3"/>
      <c r="N214" s="35">
        <f t="shared" si="27"/>
        <v>0</v>
      </c>
      <c r="O214" s="35">
        <f t="shared" si="28"/>
        <v>0</v>
      </c>
      <c r="P214" s="35">
        <f t="shared" si="29"/>
        <v>0</v>
      </c>
      <c r="Q214" s="35">
        <f t="shared" si="30"/>
        <v>0</v>
      </c>
      <c r="R214" s="35">
        <f t="shared" si="24"/>
        <v>0</v>
      </c>
      <c r="S214" s="40" t="e">
        <f t="shared" si="31"/>
        <v>#DIV/0!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</row>
    <row r="215" spans="8:29" x14ac:dyDescent="0.45">
      <c r="H215" s="3"/>
      <c r="I215" s="3">
        <f t="shared" si="25"/>
        <v>0</v>
      </c>
      <c r="J215" s="3">
        <f t="shared" si="26"/>
        <v>0</v>
      </c>
      <c r="K215" s="3"/>
      <c r="L215" s="3"/>
      <c r="M215" s="3"/>
      <c r="N215" s="35">
        <f t="shared" si="27"/>
        <v>0</v>
      </c>
      <c r="O215" s="35">
        <f t="shared" si="28"/>
        <v>0</v>
      </c>
      <c r="P215" s="35">
        <f t="shared" si="29"/>
        <v>0</v>
      </c>
      <c r="Q215" s="35">
        <f t="shared" si="30"/>
        <v>0</v>
      </c>
      <c r="R215" s="35">
        <f t="shared" si="24"/>
        <v>0</v>
      </c>
      <c r="S215" s="40" t="e">
        <f t="shared" si="31"/>
        <v>#DIV/0!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</row>
    <row r="216" spans="8:29" x14ac:dyDescent="0.45">
      <c r="H216" s="3"/>
      <c r="I216" s="3">
        <f t="shared" si="25"/>
        <v>0</v>
      </c>
      <c r="J216" s="3">
        <f t="shared" si="26"/>
        <v>0</v>
      </c>
      <c r="K216" s="3"/>
      <c r="L216" s="3"/>
      <c r="M216" s="3"/>
      <c r="N216" s="35">
        <f t="shared" si="27"/>
        <v>0</v>
      </c>
      <c r="O216" s="35">
        <f t="shared" si="28"/>
        <v>0</v>
      </c>
      <c r="P216" s="35">
        <f t="shared" si="29"/>
        <v>0</v>
      </c>
      <c r="Q216" s="35">
        <f t="shared" si="30"/>
        <v>0</v>
      </c>
      <c r="R216" s="35">
        <f t="shared" si="24"/>
        <v>0</v>
      </c>
      <c r="S216" s="40" t="e">
        <f t="shared" si="31"/>
        <v>#DIV/0!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</row>
    <row r="217" spans="8:29" x14ac:dyDescent="0.45">
      <c r="H217" s="3"/>
      <c r="I217" s="3">
        <f t="shared" si="25"/>
        <v>0</v>
      </c>
      <c r="J217" s="3">
        <f t="shared" si="26"/>
        <v>0</v>
      </c>
      <c r="K217" s="3"/>
      <c r="L217" s="3"/>
      <c r="M217" s="3"/>
      <c r="N217" s="35">
        <f t="shared" si="27"/>
        <v>0</v>
      </c>
      <c r="O217" s="35">
        <f t="shared" si="28"/>
        <v>0</v>
      </c>
      <c r="P217" s="35">
        <f t="shared" si="29"/>
        <v>0</v>
      </c>
      <c r="Q217" s="35">
        <f t="shared" si="30"/>
        <v>0</v>
      </c>
      <c r="R217" s="35">
        <f t="shared" si="24"/>
        <v>0</v>
      </c>
      <c r="S217" s="40" t="e">
        <f t="shared" si="31"/>
        <v>#DIV/0!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</row>
    <row r="218" spans="8:29" x14ac:dyDescent="0.45">
      <c r="H218" s="3"/>
      <c r="I218" s="3">
        <f t="shared" si="25"/>
        <v>0</v>
      </c>
      <c r="J218" s="3">
        <f t="shared" si="26"/>
        <v>0</v>
      </c>
      <c r="K218" s="3"/>
      <c r="L218" s="3"/>
      <c r="M218" s="3"/>
      <c r="N218" s="35">
        <f t="shared" si="27"/>
        <v>0</v>
      </c>
      <c r="O218" s="35">
        <f t="shared" si="28"/>
        <v>0</v>
      </c>
      <c r="P218" s="35">
        <f t="shared" si="29"/>
        <v>0</v>
      </c>
      <c r="Q218" s="35">
        <f t="shared" si="30"/>
        <v>0</v>
      </c>
      <c r="R218" s="35">
        <f t="shared" si="24"/>
        <v>0</v>
      </c>
      <c r="S218" s="40" t="e">
        <f t="shared" si="31"/>
        <v>#DIV/0!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</row>
    <row r="219" spans="8:29" x14ac:dyDescent="0.45">
      <c r="H219" s="3"/>
      <c r="I219" s="3">
        <f t="shared" si="25"/>
        <v>0</v>
      </c>
      <c r="J219" s="3">
        <f t="shared" si="26"/>
        <v>0</v>
      </c>
      <c r="K219" s="3"/>
      <c r="L219" s="3"/>
      <c r="M219" s="3"/>
      <c r="N219" s="35">
        <f t="shared" si="27"/>
        <v>0</v>
      </c>
      <c r="O219" s="35">
        <f t="shared" si="28"/>
        <v>0</v>
      </c>
      <c r="P219" s="35">
        <f t="shared" si="29"/>
        <v>0</v>
      </c>
      <c r="Q219" s="35">
        <f t="shared" si="30"/>
        <v>0</v>
      </c>
      <c r="R219" s="35">
        <f t="shared" si="24"/>
        <v>0</v>
      </c>
      <c r="S219" s="40" t="e">
        <f t="shared" si="31"/>
        <v>#DIV/0!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</row>
    <row r="220" spans="8:29" x14ac:dyDescent="0.45">
      <c r="H220" s="3"/>
      <c r="I220" s="3">
        <f t="shared" si="25"/>
        <v>0</v>
      </c>
      <c r="J220" s="3">
        <f t="shared" si="26"/>
        <v>0</v>
      </c>
      <c r="K220" s="3"/>
      <c r="L220" s="3"/>
      <c r="M220" s="3"/>
      <c r="N220" s="35">
        <f t="shared" si="27"/>
        <v>0</v>
      </c>
      <c r="O220" s="35">
        <f t="shared" si="28"/>
        <v>0</v>
      </c>
      <c r="P220" s="35">
        <f t="shared" si="29"/>
        <v>0</v>
      </c>
      <c r="Q220" s="35">
        <f t="shared" si="30"/>
        <v>0</v>
      </c>
      <c r="R220" s="35">
        <f t="shared" si="24"/>
        <v>0</v>
      </c>
      <c r="S220" s="40" t="e">
        <f t="shared" si="31"/>
        <v>#DIV/0!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</row>
    <row r="221" spans="8:29" x14ac:dyDescent="0.45">
      <c r="H221" s="3"/>
      <c r="I221" s="3">
        <f t="shared" si="25"/>
        <v>0</v>
      </c>
      <c r="J221" s="3">
        <f t="shared" si="26"/>
        <v>0</v>
      </c>
      <c r="K221" s="3"/>
      <c r="L221" s="3"/>
      <c r="M221" s="3"/>
      <c r="N221" s="35">
        <f t="shared" si="27"/>
        <v>0</v>
      </c>
      <c r="O221" s="35">
        <f t="shared" si="28"/>
        <v>0</v>
      </c>
      <c r="P221" s="35">
        <f t="shared" si="29"/>
        <v>0</v>
      </c>
      <c r="Q221" s="35">
        <f t="shared" si="30"/>
        <v>0</v>
      </c>
      <c r="R221" s="35">
        <f t="shared" si="24"/>
        <v>0</v>
      </c>
      <c r="S221" s="40" t="e">
        <f t="shared" si="31"/>
        <v>#DIV/0!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</row>
    <row r="222" spans="8:29" x14ac:dyDescent="0.45">
      <c r="H222" s="3"/>
      <c r="I222" s="3"/>
      <c r="J222" s="3"/>
      <c r="K222" s="3"/>
      <c r="L222" s="3"/>
      <c r="M222" s="3"/>
      <c r="N222" s="35"/>
      <c r="O222" s="35"/>
      <c r="P222" s="35"/>
      <c r="Q222" s="35"/>
      <c r="R222" s="35"/>
      <c r="S222" s="40"/>
      <c r="T222" s="3"/>
      <c r="U222" s="3"/>
      <c r="V222" s="3"/>
      <c r="W222" s="3"/>
      <c r="X222" s="3"/>
      <c r="Y222" s="3"/>
      <c r="Z222" s="3"/>
      <c r="AA222" s="3"/>
      <c r="AB222" s="3"/>
      <c r="AC222" s="3"/>
    </row>
    <row r="223" spans="8:29" x14ac:dyDescent="0.45">
      <c r="H223" s="3"/>
      <c r="I223" s="3"/>
      <c r="J223" s="3"/>
      <c r="K223" s="3"/>
      <c r="L223" s="3"/>
      <c r="M223" s="3"/>
      <c r="N223" s="35"/>
      <c r="O223" s="35"/>
      <c r="P223" s="35"/>
      <c r="Q223" s="35"/>
      <c r="R223" s="35"/>
      <c r="S223" s="40"/>
      <c r="T223" s="3"/>
      <c r="U223" s="3"/>
      <c r="V223" s="3"/>
      <c r="W223" s="3"/>
      <c r="X223" s="3"/>
      <c r="Y223" s="3"/>
      <c r="Z223" s="3"/>
      <c r="AA223" s="3"/>
      <c r="AB223" s="3"/>
      <c r="AC223" s="3"/>
    </row>
    <row r="224" spans="8:29" x14ac:dyDescent="0.45">
      <c r="H224" s="3"/>
      <c r="I224" s="3"/>
      <c r="J224" s="3"/>
      <c r="K224" s="3"/>
      <c r="L224" s="3"/>
      <c r="M224" s="3"/>
      <c r="N224" s="35"/>
      <c r="O224" s="35"/>
      <c r="P224" s="35"/>
      <c r="Q224" s="35"/>
      <c r="R224" s="35"/>
      <c r="S224" s="40"/>
      <c r="T224" s="3"/>
      <c r="U224" s="3"/>
      <c r="V224" s="3"/>
      <c r="W224" s="3"/>
      <c r="X224" s="3"/>
      <c r="Y224" s="3"/>
      <c r="Z224" s="3"/>
      <c r="AA224" s="3"/>
      <c r="AB224" s="3"/>
      <c r="AC224" s="3"/>
    </row>
    <row r="225" spans="8:29" x14ac:dyDescent="0.45">
      <c r="H225" s="3"/>
      <c r="I225" s="3"/>
      <c r="J225" s="3"/>
      <c r="K225" s="3"/>
      <c r="L225" s="3"/>
      <c r="M225" s="3"/>
      <c r="N225" s="35"/>
      <c r="O225" s="35"/>
      <c r="P225" s="35"/>
      <c r="Q225" s="35"/>
      <c r="R225" s="35"/>
      <c r="S225" s="40"/>
      <c r="T225" s="3"/>
      <c r="U225" s="3"/>
      <c r="V225" s="3"/>
      <c r="W225" s="3"/>
      <c r="X225" s="3"/>
      <c r="Y225" s="3"/>
      <c r="Z225" s="3"/>
      <c r="AA225" s="3"/>
      <c r="AB225" s="3"/>
      <c r="AC225" s="3"/>
    </row>
    <row r="226" spans="8:29" x14ac:dyDescent="0.45">
      <c r="H226" s="3"/>
      <c r="I226" s="3"/>
      <c r="J226" s="3"/>
      <c r="K226" s="3"/>
      <c r="L226" s="3"/>
      <c r="M226" s="3"/>
      <c r="N226" s="35"/>
      <c r="O226" s="35"/>
      <c r="P226" s="35"/>
      <c r="Q226" s="35"/>
      <c r="R226" s="35"/>
      <c r="S226" s="40"/>
      <c r="T226" s="3"/>
      <c r="U226" s="3"/>
      <c r="V226" s="3"/>
      <c r="W226" s="3"/>
      <c r="X226" s="3"/>
      <c r="Y226" s="3"/>
      <c r="Z226" s="3"/>
      <c r="AA226" s="3"/>
      <c r="AB226" s="3"/>
      <c r="AC226" s="3"/>
    </row>
    <row r="227" spans="8:29" x14ac:dyDescent="0.45">
      <c r="H227" s="3"/>
      <c r="I227" s="3"/>
      <c r="J227" s="3"/>
      <c r="K227" s="3"/>
      <c r="L227" s="3"/>
      <c r="M227" s="3"/>
      <c r="N227" s="35"/>
      <c r="O227" s="35"/>
      <c r="P227" s="35"/>
      <c r="Q227" s="35"/>
      <c r="R227" s="35"/>
      <c r="S227" s="40"/>
      <c r="T227" s="3"/>
      <c r="U227" s="3"/>
      <c r="V227" s="3"/>
      <c r="W227" s="3"/>
      <c r="X227" s="3"/>
      <c r="Y227" s="3"/>
      <c r="Z227" s="3"/>
      <c r="AA227" s="3"/>
      <c r="AB227" s="3"/>
      <c r="AC227" s="3"/>
    </row>
    <row r="228" spans="8:29" x14ac:dyDescent="0.45">
      <c r="H228" s="3"/>
      <c r="I228" s="3"/>
      <c r="J228" s="3"/>
      <c r="K228" s="3"/>
      <c r="L228" s="3"/>
      <c r="M228" s="3"/>
      <c r="N228" s="35"/>
      <c r="O228" s="35"/>
      <c r="P228" s="35"/>
      <c r="Q228" s="35"/>
      <c r="R228" s="35"/>
      <c r="S228" s="40"/>
      <c r="T228" s="3"/>
      <c r="U228" s="3"/>
      <c r="V228" s="3"/>
      <c r="W228" s="3"/>
      <c r="X228" s="3"/>
      <c r="Y228" s="3"/>
      <c r="Z228" s="3"/>
      <c r="AA228" s="3"/>
      <c r="AB228" s="3"/>
      <c r="AC228" s="3"/>
    </row>
    <row r="229" spans="8:29" x14ac:dyDescent="0.45">
      <c r="H229" s="3"/>
      <c r="I229" s="3"/>
      <c r="J229" s="3"/>
      <c r="K229" s="3"/>
      <c r="L229" s="3"/>
      <c r="M229" s="3"/>
      <c r="N229" s="35"/>
      <c r="O229" s="35"/>
      <c r="P229" s="35"/>
      <c r="Q229" s="35"/>
      <c r="R229" s="35"/>
      <c r="S229" s="40"/>
      <c r="T229" s="3"/>
      <c r="U229" s="3"/>
      <c r="V229" s="3"/>
      <c r="W229" s="3"/>
      <c r="X229" s="3"/>
      <c r="Y229" s="3"/>
      <c r="Z229" s="3"/>
      <c r="AA229" s="3"/>
      <c r="AB229" s="3"/>
      <c r="AC229" s="3"/>
    </row>
    <row r="230" spans="8:29" x14ac:dyDescent="0.45">
      <c r="H230" s="3"/>
      <c r="I230" s="3"/>
      <c r="J230" s="3"/>
      <c r="K230" s="3"/>
      <c r="L230" s="3"/>
      <c r="M230" s="3"/>
      <c r="N230" s="35"/>
      <c r="O230" s="35"/>
      <c r="P230" s="35"/>
      <c r="Q230" s="35"/>
      <c r="R230" s="35"/>
      <c r="S230" s="40"/>
      <c r="T230" s="3"/>
      <c r="U230" s="3"/>
      <c r="V230" s="3"/>
      <c r="W230" s="3"/>
      <c r="X230" s="3"/>
      <c r="Y230" s="3"/>
      <c r="Z230" s="3"/>
      <c r="AA230" s="3"/>
      <c r="AB230" s="3"/>
      <c r="AC230" s="3"/>
    </row>
    <row r="231" spans="8:29" x14ac:dyDescent="0.45">
      <c r="H231" s="3"/>
      <c r="I231" s="3"/>
      <c r="J231" s="3"/>
      <c r="K231" s="3"/>
      <c r="L231" s="3"/>
      <c r="M231" s="3"/>
      <c r="N231" s="35"/>
      <c r="O231" s="35"/>
      <c r="P231" s="35"/>
      <c r="Q231" s="35"/>
      <c r="R231" s="35"/>
      <c r="S231" s="40"/>
      <c r="T231" s="3"/>
      <c r="U231" s="3"/>
      <c r="V231" s="3"/>
      <c r="W231" s="3"/>
      <c r="X231" s="3"/>
      <c r="Y231" s="3"/>
      <c r="Z231" s="3"/>
      <c r="AA231" s="3"/>
      <c r="AB231" s="3"/>
      <c r="AC231" s="3"/>
    </row>
    <row r="232" spans="8:29" x14ac:dyDescent="0.45">
      <c r="H232" s="3"/>
      <c r="I232" s="3"/>
      <c r="J232" s="3"/>
      <c r="K232" s="3"/>
      <c r="L232" s="3"/>
      <c r="M232" s="3"/>
      <c r="N232" s="35"/>
      <c r="O232" s="35"/>
      <c r="P232" s="35"/>
      <c r="Q232" s="35"/>
      <c r="R232" s="35"/>
      <c r="S232" s="40"/>
      <c r="T232" s="3"/>
      <c r="U232" s="3"/>
      <c r="V232" s="3"/>
      <c r="W232" s="3"/>
      <c r="X232" s="3"/>
      <c r="Y232" s="3"/>
      <c r="Z232" s="3"/>
      <c r="AA232" s="3"/>
      <c r="AB232" s="3"/>
      <c r="AC232" s="3"/>
    </row>
    <row r="233" spans="8:29" x14ac:dyDescent="0.45">
      <c r="H233" s="3"/>
      <c r="I233" s="3"/>
      <c r="J233" s="3"/>
      <c r="K233" s="3"/>
      <c r="L233" s="3"/>
      <c r="M233" s="3"/>
      <c r="N233" s="35"/>
      <c r="O233" s="35"/>
      <c r="P233" s="35"/>
      <c r="Q233" s="35"/>
      <c r="R233" s="35"/>
      <c r="S233" s="40"/>
      <c r="T233" s="3"/>
      <c r="U233" s="3"/>
      <c r="V233" s="3"/>
      <c r="W233" s="3"/>
      <c r="X233" s="3"/>
      <c r="Y233" s="3"/>
      <c r="Z233" s="3"/>
      <c r="AA233" s="3"/>
      <c r="AB233" s="3"/>
      <c r="AC233" s="3"/>
    </row>
    <row r="234" spans="8:29" x14ac:dyDescent="0.45">
      <c r="H234" s="3"/>
      <c r="I234" s="3"/>
      <c r="J234" s="3"/>
      <c r="K234" s="3"/>
      <c r="L234" s="3"/>
      <c r="M234" s="3"/>
      <c r="N234" s="35"/>
      <c r="O234" s="35"/>
      <c r="P234" s="35"/>
      <c r="Q234" s="35"/>
      <c r="R234" s="35"/>
      <c r="S234" s="40"/>
      <c r="T234" s="3"/>
      <c r="U234" s="3"/>
      <c r="V234" s="3"/>
      <c r="W234" s="3"/>
      <c r="X234" s="3"/>
      <c r="Y234" s="3"/>
      <c r="Z234" s="3"/>
      <c r="AA234" s="3"/>
      <c r="AB234" s="3"/>
      <c r="AC234" s="3"/>
    </row>
    <row r="235" spans="8:29" x14ac:dyDescent="0.45">
      <c r="H235" s="3"/>
      <c r="I235" s="3"/>
      <c r="J235" s="3"/>
      <c r="K235" s="3"/>
      <c r="L235" s="3"/>
      <c r="M235" s="3"/>
      <c r="N235" s="35"/>
      <c r="O235" s="35"/>
      <c r="P235" s="35"/>
      <c r="Q235" s="35"/>
      <c r="R235" s="35"/>
      <c r="S235" s="40"/>
      <c r="T235" s="3"/>
      <c r="U235" s="3"/>
      <c r="V235" s="3"/>
      <c r="W235" s="3"/>
      <c r="X235" s="3"/>
      <c r="Y235" s="3"/>
      <c r="Z235" s="3"/>
      <c r="AA235" s="3"/>
      <c r="AB235" s="3"/>
      <c r="AC235" s="3"/>
    </row>
    <row r="236" spans="8:29" x14ac:dyDescent="0.45">
      <c r="H236" s="3"/>
      <c r="I236" s="3"/>
      <c r="J236" s="3"/>
      <c r="K236" s="3"/>
      <c r="L236" s="3"/>
      <c r="M236" s="3"/>
      <c r="N236" s="35"/>
      <c r="O236" s="35"/>
      <c r="P236" s="35"/>
      <c r="Q236" s="35"/>
      <c r="R236" s="35"/>
      <c r="S236" s="40"/>
      <c r="T236" s="3"/>
      <c r="U236" s="3"/>
      <c r="V236" s="3"/>
      <c r="W236" s="3"/>
      <c r="X236" s="3"/>
      <c r="Y236" s="3"/>
      <c r="Z236" s="3"/>
      <c r="AA236" s="3"/>
      <c r="AB236" s="3"/>
      <c r="AC236" s="3"/>
    </row>
    <row r="237" spans="8:29" x14ac:dyDescent="0.45">
      <c r="H237" s="3"/>
      <c r="I237" s="3"/>
      <c r="J237" s="3"/>
      <c r="K237" s="3"/>
      <c r="L237" s="3"/>
      <c r="M237" s="3"/>
      <c r="N237" s="35"/>
      <c r="O237" s="35"/>
      <c r="P237" s="35"/>
      <c r="Q237" s="35"/>
      <c r="R237" s="35"/>
      <c r="S237" s="40"/>
      <c r="T237" s="3"/>
      <c r="U237" s="3"/>
      <c r="V237" s="3"/>
      <c r="W237" s="3"/>
      <c r="X237" s="3"/>
      <c r="Y237" s="3"/>
      <c r="Z237" s="3"/>
      <c r="AA237" s="3"/>
      <c r="AB237" s="3"/>
      <c r="AC237" s="3"/>
    </row>
    <row r="238" spans="8:29" x14ac:dyDescent="0.45">
      <c r="H238" s="3"/>
      <c r="I238" s="3"/>
      <c r="J238" s="3"/>
      <c r="K238" s="3"/>
      <c r="L238" s="3"/>
      <c r="M238" s="3"/>
      <c r="N238" s="35"/>
      <c r="O238" s="35"/>
      <c r="P238" s="35"/>
      <c r="Q238" s="35"/>
      <c r="R238" s="35"/>
      <c r="S238" s="40"/>
      <c r="T238" s="3"/>
      <c r="U238" s="3"/>
      <c r="V238" s="3"/>
      <c r="W238" s="3"/>
      <c r="X238" s="3"/>
      <c r="Y238" s="3"/>
      <c r="Z238" s="3"/>
      <c r="AA238" s="3"/>
      <c r="AB238" s="3"/>
      <c r="AC238" s="3"/>
    </row>
    <row r="239" spans="8:29" x14ac:dyDescent="0.45">
      <c r="H239" s="3"/>
      <c r="I239" s="3"/>
      <c r="J239" s="3"/>
      <c r="K239" s="3"/>
      <c r="L239" s="3"/>
      <c r="M239" s="3"/>
      <c r="N239" s="35"/>
      <c r="O239" s="35"/>
      <c r="P239" s="35"/>
      <c r="Q239" s="35"/>
      <c r="R239" s="35"/>
      <c r="S239" s="40"/>
      <c r="T239" s="3"/>
      <c r="U239" s="3"/>
      <c r="V239" s="3"/>
      <c r="W239" s="3"/>
      <c r="X239" s="3"/>
      <c r="Y239" s="3"/>
      <c r="Z239" s="3"/>
      <c r="AA239" s="3"/>
      <c r="AB239" s="3"/>
      <c r="AC239" s="3"/>
    </row>
    <row r="240" spans="8:29" x14ac:dyDescent="0.45">
      <c r="H240" s="3"/>
      <c r="I240" s="3"/>
      <c r="J240" s="3"/>
      <c r="K240" s="3"/>
      <c r="L240" s="3"/>
      <c r="M240" s="3"/>
      <c r="N240" s="35"/>
      <c r="O240" s="35"/>
      <c r="P240" s="35"/>
      <c r="Q240" s="35"/>
      <c r="R240" s="35"/>
      <c r="S240" s="40"/>
      <c r="T240" s="3"/>
      <c r="U240" s="3"/>
      <c r="V240" s="3"/>
      <c r="W240" s="3"/>
      <c r="X240" s="3"/>
      <c r="Y240" s="3"/>
      <c r="Z240" s="3"/>
      <c r="AA240" s="3"/>
      <c r="AB240" s="3"/>
      <c r="AC240" s="3"/>
    </row>
    <row r="241" spans="8:29" x14ac:dyDescent="0.45">
      <c r="H241" s="3"/>
      <c r="I241" s="3"/>
      <c r="J241" s="3"/>
      <c r="K241" s="3"/>
      <c r="L241" s="3"/>
      <c r="M241" s="3"/>
      <c r="N241" s="35"/>
      <c r="O241" s="35"/>
      <c r="P241" s="35"/>
      <c r="Q241" s="35"/>
      <c r="R241" s="35"/>
      <c r="S241" s="40"/>
      <c r="T241" s="3"/>
      <c r="U241" s="3"/>
      <c r="V241" s="3"/>
      <c r="W241" s="3"/>
      <c r="X241" s="3"/>
      <c r="Y241" s="3"/>
      <c r="Z241" s="3"/>
      <c r="AA241" s="3"/>
      <c r="AB241" s="3"/>
      <c r="AC241" s="3"/>
    </row>
    <row r="242" spans="8:29" x14ac:dyDescent="0.45">
      <c r="H242" s="3"/>
      <c r="I242" s="3"/>
      <c r="J242" s="3"/>
      <c r="K242" s="3"/>
      <c r="L242" s="3"/>
      <c r="M242" s="3"/>
      <c r="N242" s="35"/>
      <c r="O242" s="35"/>
      <c r="P242" s="35"/>
      <c r="Q242" s="35"/>
      <c r="R242" s="35"/>
      <c r="S242" s="40"/>
      <c r="T242" s="3"/>
      <c r="U242" s="3"/>
      <c r="V242" s="3"/>
      <c r="W242" s="3"/>
      <c r="X242" s="3"/>
      <c r="Y242" s="3"/>
      <c r="Z242" s="3"/>
      <c r="AA242" s="3"/>
      <c r="AB242" s="3"/>
      <c r="AC242" s="3"/>
    </row>
    <row r="243" spans="8:29" x14ac:dyDescent="0.45">
      <c r="H243" s="3"/>
      <c r="I243" s="3"/>
      <c r="J243" s="3"/>
      <c r="K243" s="3"/>
      <c r="L243" s="3"/>
      <c r="M243" s="3"/>
      <c r="N243" s="35"/>
      <c r="O243" s="35"/>
      <c r="P243" s="35"/>
      <c r="Q243" s="35"/>
      <c r="R243" s="35"/>
      <c r="S243" s="40"/>
      <c r="T243" s="3"/>
      <c r="U243" s="3"/>
      <c r="V243" s="3"/>
      <c r="W243" s="3"/>
      <c r="X243" s="3"/>
      <c r="Y243" s="3"/>
      <c r="Z243" s="3"/>
      <c r="AA243" s="3"/>
      <c r="AB243" s="3"/>
      <c r="AC243" s="3"/>
    </row>
    <row r="244" spans="8:29" x14ac:dyDescent="0.45">
      <c r="H244" s="3"/>
      <c r="I244" s="3"/>
      <c r="J244" s="3"/>
      <c r="K244" s="3"/>
      <c r="L244" s="3"/>
      <c r="M244" s="3"/>
      <c r="N244" s="35"/>
      <c r="O244" s="35"/>
      <c r="P244" s="35"/>
      <c r="Q244" s="35"/>
      <c r="R244" s="35"/>
      <c r="S244" s="40"/>
      <c r="T244" s="3"/>
      <c r="U244" s="3"/>
      <c r="V244" s="3"/>
      <c r="W244" s="3"/>
      <c r="X244" s="3"/>
      <c r="Y244" s="3"/>
      <c r="Z244" s="3"/>
      <c r="AA244" s="3"/>
      <c r="AB244" s="3"/>
      <c r="AC244" s="3"/>
    </row>
    <row r="245" spans="8:29" x14ac:dyDescent="0.45">
      <c r="H245" s="3"/>
      <c r="I245" s="3"/>
      <c r="J245" s="3"/>
      <c r="K245" s="3"/>
      <c r="L245" s="3"/>
      <c r="M245" s="3"/>
      <c r="N245" s="35"/>
      <c r="O245" s="35"/>
      <c r="P245" s="35"/>
      <c r="Q245" s="35"/>
      <c r="R245" s="35"/>
      <c r="S245" s="40"/>
      <c r="T245" s="3"/>
      <c r="U245" s="3"/>
      <c r="V245" s="3"/>
      <c r="W245" s="3"/>
      <c r="X245" s="3"/>
      <c r="Y245" s="3"/>
      <c r="Z245" s="3"/>
      <c r="AA245" s="3"/>
      <c r="AB245" s="3"/>
      <c r="AC245" s="3"/>
    </row>
    <row r="246" spans="8:29" x14ac:dyDescent="0.45">
      <c r="H246" s="3"/>
      <c r="I246" s="3"/>
      <c r="J246" s="3"/>
      <c r="K246" s="3"/>
      <c r="L246" s="3"/>
      <c r="M246" s="3"/>
      <c r="N246" s="35"/>
      <c r="O246" s="35"/>
      <c r="P246" s="35"/>
      <c r="Q246" s="35"/>
      <c r="R246" s="35"/>
      <c r="S246" s="40"/>
      <c r="T246" s="3"/>
      <c r="U246" s="3"/>
      <c r="V246" s="3"/>
      <c r="W246" s="3"/>
      <c r="X246" s="3"/>
      <c r="Y246" s="3"/>
      <c r="Z246" s="3"/>
      <c r="AA246" s="3"/>
      <c r="AB246" s="3"/>
      <c r="AC246" s="3"/>
    </row>
    <row r="247" spans="8:29" x14ac:dyDescent="0.45">
      <c r="H247" s="3"/>
      <c r="I247" s="3"/>
      <c r="J247" s="3"/>
      <c r="K247" s="3"/>
      <c r="L247" s="3"/>
      <c r="M247" s="3"/>
      <c r="N247" s="35"/>
      <c r="O247" s="35"/>
      <c r="P247" s="35"/>
      <c r="Q247" s="35"/>
      <c r="R247" s="35"/>
      <c r="S247" s="40"/>
      <c r="T247" s="3"/>
      <c r="U247" s="3"/>
      <c r="V247" s="3"/>
      <c r="W247" s="3"/>
      <c r="X247" s="3"/>
      <c r="Y247" s="3"/>
      <c r="Z247" s="3"/>
      <c r="AA247" s="3"/>
      <c r="AB247" s="3"/>
      <c r="AC247" s="3"/>
    </row>
    <row r="248" spans="8:29" x14ac:dyDescent="0.45">
      <c r="H248" s="3"/>
      <c r="I248" s="3"/>
      <c r="J248" s="3"/>
      <c r="K248" s="3"/>
      <c r="L248" s="3"/>
      <c r="M248" s="3"/>
      <c r="N248" s="35"/>
      <c r="O248" s="35"/>
      <c r="P248" s="35"/>
      <c r="Q248" s="35"/>
      <c r="R248" s="35"/>
      <c r="S248" s="40"/>
      <c r="T248" s="3"/>
      <c r="U248" s="3"/>
      <c r="V248" s="3"/>
      <c r="W248" s="3"/>
      <c r="X248" s="3"/>
      <c r="Y248" s="3"/>
      <c r="Z248" s="3"/>
      <c r="AA248" s="3"/>
      <c r="AB248" s="3"/>
      <c r="AC248" s="3"/>
    </row>
    <row r="249" spans="8:29" x14ac:dyDescent="0.45">
      <c r="H249" s="3"/>
      <c r="I249" s="3"/>
      <c r="J249" s="3"/>
      <c r="K249" s="3"/>
      <c r="L249" s="3"/>
      <c r="M249" s="3"/>
      <c r="N249" s="35"/>
      <c r="O249" s="35"/>
      <c r="P249" s="35"/>
      <c r="Q249" s="35"/>
      <c r="R249" s="35"/>
      <c r="S249" s="40"/>
      <c r="T249" s="3"/>
      <c r="U249" s="3"/>
      <c r="V249" s="3"/>
      <c r="W249" s="3"/>
      <c r="X249" s="3"/>
      <c r="Y249" s="3"/>
      <c r="Z249" s="3"/>
      <c r="AA249" s="3"/>
      <c r="AB249" s="3"/>
      <c r="AC249" s="3"/>
    </row>
    <row r="250" spans="8:29" x14ac:dyDescent="0.45">
      <c r="H250" s="3"/>
      <c r="I250" s="3"/>
      <c r="J250" s="3"/>
      <c r="K250" s="3"/>
      <c r="L250" s="3"/>
      <c r="M250" s="3"/>
      <c r="N250" s="35"/>
      <c r="O250" s="35"/>
      <c r="P250" s="35"/>
      <c r="Q250" s="35"/>
      <c r="R250" s="35"/>
      <c r="S250" s="40"/>
      <c r="T250" s="3"/>
      <c r="U250" s="3"/>
      <c r="V250" s="3"/>
      <c r="W250" s="3"/>
      <c r="X250" s="3"/>
      <c r="Y250" s="3"/>
      <c r="Z250" s="3"/>
      <c r="AA250" s="3"/>
      <c r="AB250" s="3"/>
      <c r="AC250" s="3"/>
    </row>
    <row r="251" spans="8:29" x14ac:dyDescent="0.45">
      <c r="H251" s="3"/>
      <c r="I251" s="3"/>
      <c r="J251" s="3"/>
      <c r="K251" s="3"/>
      <c r="L251" s="3"/>
      <c r="M251" s="3"/>
      <c r="N251" s="35"/>
      <c r="O251" s="35"/>
      <c r="P251" s="35"/>
      <c r="Q251" s="35"/>
      <c r="R251" s="35"/>
      <c r="S251" s="40"/>
      <c r="T251" s="3"/>
      <c r="U251" s="3"/>
      <c r="V251" s="3"/>
      <c r="W251" s="3"/>
      <c r="X251" s="3"/>
      <c r="Y251" s="3"/>
      <c r="Z251" s="3"/>
      <c r="AA251" s="3"/>
      <c r="AB251" s="3"/>
      <c r="AC251" s="3"/>
    </row>
    <row r="252" spans="8:29" x14ac:dyDescent="0.45">
      <c r="H252" s="3"/>
      <c r="I252" s="3"/>
      <c r="J252" s="3"/>
      <c r="K252" s="3"/>
      <c r="L252" s="3"/>
      <c r="M252" s="3"/>
      <c r="N252" s="35"/>
      <c r="O252" s="35"/>
      <c r="P252" s="35"/>
      <c r="Q252" s="35"/>
      <c r="R252" s="35"/>
      <c r="S252" s="40"/>
      <c r="T252" s="3"/>
      <c r="U252" s="3"/>
      <c r="V252" s="3"/>
      <c r="W252" s="3"/>
      <c r="X252" s="3"/>
      <c r="Y252" s="3"/>
      <c r="Z252" s="3"/>
      <c r="AA252" s="3"/>
      <c r="AB252" s="3"/>
      <c r="AC252" s="3"/>
    </row>
    <row r="253" spans="8:29" x14ac:dyDescent="0.45">
      <c r="H253" s="3"/>
      <c r="I253" s="3"/>
      <c r="J253" s="3"/>
      <c r="K253" s="3"/>
      <c r="L253" s="3"/>
      <c r="M253" s="3"/>
      <c r="N253" s="35"/>
      <c r="O253" s="35"/>
      <c r="P253" s="35"/>
      <c r="Q253" s="35"/>
      <c r="R253" s="35"/>
      <c r="S253" s="40"/>
      <c r="T253" s="3"/>
      <c r="U253" s="3"/>
      <c r="V253" s="3"/>
      <c r="W253" s="3"/>
      <c r="X253" s="3"/>
      <c r="Y253" s="3"/>
      <c r="Z253" s="3"/>
      <c r="AA253" s="3"/>
      <c r="AB253" s="3"/>
      <c r="AC253" s="3"/>
    </row>
    <row r="254" spans="8:29" x14ac:dyDescent="0.45">
      <c r="H254" s="3"/>
      <c r="I254" s="3"/>
      <c r="J254" s="3"/>
      <c r="K254" s="3"/>
      <c r="L254" s="3"/>
      <c r="M254" s="3"/>
      <c r="N254" s="35"/>
      <c r="O254" s="35"/>
      <c r="P254" s="35"/>
      <c r="Q254" s="35"/>
      <c r="R254" s="35"/>
      <c r="S254" s="40"/>
      <c r="T254" s="3"/>
      <c r="U254" s="3"/>
      <c r="V254" s="3"/>
      <c r="W254" s="3"/>
      <c r="X254" s="3"/>
      <c r="Y254" s="3"/>
      <c r="Z254" s="3"/>
      <c r="AA254" s="3"/>
      <c r="AB254" s="3"/>
      <c r="AC254" s="3"/>
    </row>
    <row r="255" spans="8:29" x14ac:dyDescent="0.45">
      <c r="H255" s="3"/>
      <c r="I255" s="3"/>
      <c r="J255" s="3"/>
      <c r="K255" s="3"/>
      <c r="L255" s="3"/>
      <c r="M255" s="3"/>
      <c r="N255" s="35"/>
      <c r="O255" s="35"/>
      <c r="P255" s="35"/>
      <c r="Q255" s="35"/>
      <c r="R255" s="35"/>
      <c r="S255" s="40"/>
      <c r="T255" s="3"/>
      <c r="U255" s="3"/>
      <c r="V255" s="3"/>
      <c r="W255" s="3"/>
      <c r="X255" s="3"/>
      <c r="Y255" s="3"/>
      <c r="Z255" s="3"/>
      <c r="AA255" s="3"/>
      <c r="AB255" s="3"/>
      <c r="AC255" s="3"/>
    </row>
    <row r="256" spans="8:29" x14ac:dyDescent="0.45">
      <c r="H256" s="3"/>
      <c r="I256" s="3"/>
      <c r="J256" s="3"/>
      <c r="K256" s="3"/>
      <c r="L256" s="3"/>
      <c r="M256" s="3"/>
      <c r="N256" s="35"/>
      <c r="O256" s="35"/>
      <c r="P256" s="35"/>
      <c r="Q256" s="35"/>
      <c r="R256" s="35"/>
      <c r="S256" s="40"/>
      <c r="T256" s="3"/>
      <c r="U256" s="3"/>
      <c r="V256" s="3"/>
      <c r="W256" s="3"/>
      <c r="X256" s="3"/>
      <c r="Y256" s="3"/>
      <c r="Z256" s="3"/>
      <c r="AA256" s="3"/>
      <c r="AB256" s="3"/>
      <c r="AC256" s="3"/>
    </row>
    <row r="257" spans="8:29" x14ac:dyDescent="0.45">
      <c r="H257" s="3"/>
      <c r="I257" s="3"/>
      <c r="J257" s="3"/>
      <c r="K257" s="3"/>
      <c r="L257" s="3"/>
      <c r="M257" s="3"/>
      <c r="N257" s="35"/>
      <c r="O257" s="35"/>
      <c r="P257" s="35"/>
      <c r="Q257" s="35"/>
      <c r="R257" s="35"/>
      <c r="S257" s="40"/>
      <c r="T257" s="3"/>
      <c r="U257" s="3"/>
      <c r="V257" s="3"/>
      <c r="W257" s="3"/>
      <c r="X257" s="3"/>
      <c r="Y257" s="3"/>
      <c r="Z257" s="3"/>
      <c r="AA257" s="3"/>
      <c r="AB257" s="3"/>
      <c r="AC257" s="3"/>
    </row>
    <row r="258" spans="8:29" x14ac:dyDescent="0.45">
      <c r="H258" s="3"/>
      <c r="I258" s="3"/>
      <c r="J258" s="3"/>
      <c r="K258" s="3"/>
      <c r="L258" s="3"/>
      <c r="M258" s="3"/>
      <c r="N258" s="35"/>
      <c r="O258" s="35"/>
      <c r="P258" s="35"/>
      <c r="Q258" s="35"/>
      <c r="R258" s="35"/>
      <c r="S258" s="40"/>
      <c r="T258" s="3"/>
      <c r="U258" s="3"/>
      <c r="V258" s="3"/>
      <c r="W258" s="3"/>
      <c r="X258" s="3"/>
      <c r="Y258" s="3"/>
      <c r="Z258" s="3"/>
      <c r="AA258" s="3"/>
      <c r="AB258" s="3"/>
      <c r="AC258" s="3"/>
    </row>
    <row r="259" spans="8:29" x14ac:dyDescent="0.45">
      <c r="H259" s="3"/>
      <c r="I259" s="3"/>
      <c r="J259" s="3"/>
      <c r="K259" s="3"/>
      <c r="L259" s="3"/>
      <c r="M259" s="3"/>
      <c r="N259" s="35"/>
      <c r="O259" s="35"/>
      <c r="P259" s="35"/>
      <c r="Q259" s="35"/>
      <c r="R259" s="35"/>
      <c r="S259" s="40"/>
      <c r="T259" s="3"/>
      <c r="U259" s="3"/>
      <c r="V259" s="3"/>
      <c r="W259" s="3"/>
      <c r="X259" s="3"/>
      <c r="Y259" s="3"/>
      <c r="Z259" s="3"/>
      <c r="AA259" s="3"/>
      <c r="AB259" s="3"/>
      <c r="AC259" s="3"/>
    </row>
    <row r="260" spans="8:29" x14ac:dyDescent="0.45">
      <c r="H260" s="3"/>
      <c r="I260" s="3"/>
      <c r="J260" s="3"/>
      <c r="K260" s="3"/>
      <c r="L260" s="3"/>
      <c r="M260" s="3"/>
      <c r="N260" s="35"/>
      <c r="O260" s="35"/>
      <c r="P260" s="35"/>
      <c r="Q260" s="35"/>
      <c r="R260" s="35"/>
      <c r="S260" s="40"/>
      <c r="T260" s="3"/>
      <c r="U260" s="3"/>
      <c r="V260" s="3"/>
      <c r="W260" s="3"/>
      <c r="X260" s="3"/>
      <c r="Y260" s="3"/>
      <c r="Z260" s="3"/>
      <c r="AA260" s="3"/>
      <c r="AB260" s="3"/>
      <c r="AC260" s="3"/>
    </row>
    <row r="261" spans="8:29" x14ac:dyDescent="0.45">
      <c r="H261" s="3"/>
      <c r="I261" s="3"/>
      <c r="J261" s="3"/>
      <c r="K261" s="3"/>
      <c r="L261" s="3"/>
      <c r="M261" s="3"/>
      <c r="N261" s="35"/>
      <c r="O261" s="35"/>
      <c r="P261" s="35"/>
      <c r="Q261" s="35"/>
      <c r="R261" s="35"/>
      <c r="S261" s="40"/>
      <c r="T261" s="3"/>
      <c r="U261" s="3"/>
      <c r="V261" s="3"/>
      <c r="W261" s="3"/>
      <c r="X261" s="3"/>
      <c r="Y261" s="3"/>
      <c r="Z261" s="3"/>
      <c r="AA261" s="3"/>
      <c r="AB261" s="3"/>
      <c r="AC261" s="3"/>
    </row>
    <row r="262" spans="8:29" x14ac:dyDescent="0.45">
      <c r="H262" s="3"/>
      <c r="I262" s="3"/>
      <c r="J262" s="3"/>
      <c r="K262" s="3"/>
      <c r="L262" s="3"/>
      <c r="M262" s="3"/>
      <c r="N262" s="35"/>
      <c r="O262" s="35"/>
      <c r="P262" s="35"/>
      <c r="Q262" s="35"/>
      <c r="R262" s="35"/>
      <c r="S262" s="40"/>
      <c r="T262" s="3"/>
      <c r="U262" s="3"/>
      <c r="V262" s="3"/>
      <c r="W262" s="3"/>
      <c r="X262" s="3"/>
      <c r="Y262" s="3"/>
      <c r="Z262" s="3"/>
      <c r="AA262" s="3"/>
      <c r="AB262" s="3"/>
      <c r="AC262" s="3"/>
    </row>
    <row r="263" spans="8:29" x14ac:dyDescent="0.45">
      <c r="H263" s="3"/>
      <c r="I263" s="3"/>
      <c r="J263" s="3"/>
      <c r="K263" s="3"/>
      <c r="L263" s="3"/>
      <c r="M263" s="3"/>
      <c r="N263" s="35"/>
      <c r="O263" s="35"/>
      <c r="P263" s="35"/>
      <c r="Q263" s="35"/>
      <c r="R263" s="35"/>
      <c r="S263" s="40"/>
      <c r="T263" s="3"/>
      <c r="U263" s="3"/>
      <c r="V263" s="3"/>
      <c r="W263" s="3"/>
      <c r="X263" s="3"/>
      <c r="Y263" s="3"/>
      <c r="Z263" s="3"/>
      <c r="AA263" s="3"/>
      <c r="AB263" s="3"/>
      <c r="AC263" s="3"/>
    </row>
    <row r="264" spans="8:29" x14ac:dyDescent="0.45">
      <c r="H264" s="3"/>
      <c r="I264" s="3"/>
      <c r="J264" s="3"/>
      <c r="K264" s="3"/>
      <c r="L264" s="3"/>
      <c r="M264" s="3"/>
      <c r="N264" s="35"/>
      <c r="O264" s="35"/>
      <c r="P264" s="35"/>
      <c r="Q264" s="35"/>
      <c r="R264" s="35"/>
      <c r="S264" s="40"/>
      <c r="T264" s="3"/>
      <c r="U264" s="3"/>
      <c r="V264" s="3"/>
      <c r="W264" s="3"/>
      <c r="X264" s="3"/>
      <c r="Y264" s="3"/>
      <c r="Z264" s="3"/>
      <c r="AA264" s="3"/>
      <c r="AB264" s="3"/>
      <c r="AC264" s="3"/>
    </row>
    <row r="265" spans="8:29" x14ac:dyDescent="0.45">
      <c r="H265" s="3"/>
      <c r="I265" s="3"/>
      <c r="J265" s="3"/>
      <c r="K265" s="3"/>
      <c r="L265" s="3"/>
      <c r="M265" s="3"/>
      <c r="N265" s="35"/>
      <c r="O265" s="35"/>
      <c r="P265" s="35"/>
      <c r="Q265" s="35"/>
      <c r="R265" s="35"/>
      <c r="S265" s="40"/>
      <c r="T265" s="3"/>
      <c r="U265" s="3"/>
      <c r="V265" s="3"/>
      <c r="W265" s="3"/>
      <c r="X265" s="3"/>
      <c r="Y265" s="3"/>
      <c r="Z265" s="3"/>
      <c r="AA265" s="3"/>
      <c r="AB265" s="3"/>
      <c r="AC265" s="3"/>
    </row>
    <row r="266" spans="8:29" x14ac:dyDescent="0.45">
      <c r="H266" s="3"/>
      <c r="I266" s="3"/>
      <c r="J266" s="3"/>
      <c r="K266" s="3"/>
      <c r="L266" s="3"/>
      <c r="M266" s="3"/>
      <c r="N266" s="35"/>
      <c r="O266" s="35"/>
      <c r="P266" s="35"/>
      <c r="Q266" s="35"/>
      <c r="R266" s="35"/>
      <c r="S266" s="40"/>
      <c r="T266" s="3"/>
      <c r="U266" s="3"/>
      <c r="V266" s="3"/>
      <c r="W266" s="3"/>
      <c r="X266" s="3"/>
      <c r="Y266" s="3"/>
      <c r="Z266" s="3"/>
      <c r="AA266" s="3"/>
      <c r="AB266" s="3"/>
      <c r="AC266" s="3"/>
    </row>
    <row r="267" spans="8:29" x14ac:dyDescent="0.45">
      <c r="H267" s="3"/>
      <c r="I267" s="3"/>
      <c r="J267" s="3"/>
      <c r="K267" s="3"/>
      <c r="L267" s="3"/>
      <c r="M267" s="3"/>
      <c r="N267" s="35"/>
      <c r="O267" s="35"/>
      <c r="P267" s="35"/>
      <c r="Q267" s="35"/>
      <c r="R267" s="35"/>
      <c r="S267" s="40"/>
      <c r="T267" s="3"/>
      <c r="U267" s="3"/>
      <c r="V267" s="3"/>
      <c r="W267" s="3"/>
      <c r="X267" s="3"/>
      <c r="Y267" s="3"/>
      <c r="Z267" s="3"/>
      <c r="AA267" s="3"/>
      <c r="AB267" s="3"/>
      <c r="AC267" s="3"/>
    </row>
    <row r="268" spans="8:29" x14ac:dyDescent="0.45">
      <c r="H268" s="3"/>
      <c r="I268" s="3"/>
      <c r="J268" s="3"/>
      <c r="K268" s="3"/>
      <c r="L268" s="3"/>
      <c r="M268" s="3"/>
      <c r="N268" s="35"/>
      <c r="O268" s="35"/>
      <c r="P268" s="35"/>
      <c r="Q268" s="35"/>
      <c r="R268" s="35"/>
      <c r="S268" s="40"/>
      <c r="T268" s="3"/>
      <c r="U268" s="3"/>
      <c r="V268" s="3"/>
      <c r="W268" s="3"/>
      <c r="X268" s="3"/>
      <c r="Y268" s="3"/>
      <c r="Z268" s="3"/>
      <c r="AA268" s="3"/>
      <c r="AB268" s="3"/>
      <c r="AC268" s="3"/>
    </row>
    <row r="269" spans="8:29" x14ac:dyDescent="0.45">
      <c r="H269" s="3"/>
      <c r="I269" s="3"/>
      <c r="J269" s="3"/>
      <c r="K269" s="3"/>
      <c r="L269" s="3"/>
      <c r="M269" s="3"/>
      <c r="N269" s="35"/>
      <c r="O269" s="35"/>
      <c r="P269" s="35"/>
      <c r="Q269" s="35"/>
      <c r="R269" s="35"/>
      <c r="S269" s="40"/>
      <c r="T269" s="3"/>
      <c r="U269" s="3"/>
      <c r="V269" s="3"/>
      <c r="W269" s="3"/>
      <c r="X269" s="3"/>
      <c r="Y269" s="3"/>
      <c r="Z269" s="3"/>
      <c r="AA269" s="3"/>
      <c r="AB269" s="3"/>
      <c r="AC269" s="3"/>
    </row>
    <row r="270" spans="8:29" x14ac:dyDescent="0.45">
      <c r="H270" s="3"/>
      <c r="I270" s="3"/>
      <c r="J270" s="3"/>
      <c r="K270" s="3"/>
      <c r="L270" s="3"/>
      <c r="M270" s="3"/>
      <c r="N270" s="35"/>
      <c r="O270" s="35"/>
      <c r="P270" s="35"/>
      <c r="Q270" s="35"/>
      <c r="R270" s="35"/>
      <c r="S270" s="40"/>
      <c r="T270" s="3"/>
      <c r="U270" s="3"/>
      <c r="V270" s="3"/>
      <c r="W270" s="3"/>
      <c r="X270" s="3"/>
      <c r="Y270" s="3"/>
      <c r="Z270" s="3"/>
      <c r="AA270" s="3"/>
      <c r="AB270" s="3"/>
      <c r="AC270" s="3"/>
    </row>
    <row r="271" spans="8:29" x14ac:dyDescent="0.45">
      <c r="H271" s="3"/>
      <c r="I271" s="3"/>
      <c r="J271" s="3"/>
      <c r="K271" s="3"/>
      <c r="L271" s="3"/>
      <c r="M271" s="3"/>
      <c r="N271" s="35"/>
      <c r="O271" s="35"/>
      <c r="P271" s="35"/>
      <c r="Q271" s="35"/>
      <c r="R271" s="35"/>
      <c r="S271" s="40"/>
      <c r="T271" s="3"/>
      <c r="U271" s="3"/>
      <c r="V271" s="3"/>
      <c r="W271" s="3"/>
      <c r="X271" s="3"/>
      <c r="Y271" s="3"/>
      <c r="Z271" s="3"/>
      <c r="AA271" s="3"/>
      <c r="AB271" s="3"/>
      <c r="AC271" s="3"/>
    </row>
    <row r="272" spans="8:29" x14ac:dyDescent="0.45">
      <c r="H272" s="3"/>
      <c r="I272" s="3"/>
      <c r="J272" s="3"/>
      <c r="K272" s="3"/>
      <c r="L272" s="3"/>
      <c r="M272" s="3"/>
      <c r="N272" s="35"/>
      <c r="O272" s="35"/>
      <c r="P272" s="35"/>
      <c r="Q272" s="35"/>
      <c r="R272" s="35"/>
      <c r="S272" s="40"/>
      <c r="T272" s="3"/>
      <c r="U272" s="3"/>
      <c r="V272" s="3"/>
      <c r="W272" s="3"/>
      <c r="X272" s="3"/>
      <c r="Y272" s="3"/>
      <c r="Z272" s="3"/>
      <c r="AA272" s="3"/>
      <c r="AB272" s="3"/>
      <c r="AC272" s="3"/>
    </row>
    <row r="273" spans="8:29" x14ac:dyDescent="0.45">
      <c r="H273" s="3"/>
      <c r="I273" s="3"/>
      <c r="J273" s="3"/>
      <c r="K273" s="3"/>
      <c r="L273" s="3"/>
      <c r="M273" s="3"/>
      <c r="N273" s="35"/>
      <c r="O273" s="35"/>
      <c r="P273" s="35"/>
      <c r="Q273" s="35"/>
      <c r="R273" s="35"/>
      <c r="S273" s="40"/>
      <c r="T273" s="3"/>
      <c r="U273" s="3"/>
      <c r="V273" s="3"/>
      <c r="W273" s="3"/>
      <c r="X273" s="3"/>
      <c r="Y273" s="3"/>
      <c r="Z273" s="3"/>
      <c r="AA273" s="3"/>
      <c r="AB273" s="3"/>
      <c r="AC273" s="3"/>
    </row>
    <row r="274" spans="8:29" x14ac:dyDescent="0.45">
      <c r="H274" s="3"/>
      <c r="I274" s="3"/>
      <c r="J274" s="3"/>
      <c r="K274" s="3"/>
      <c r="L274" s="3"/>
      <c r="M274" s="3"/>
      <c r="N274" s="35"/>
      <c r="O274" s="35"/>
      <c r="P274" s="35"/>
      <c r="Q274" s="35"/>
      <c r="R274" s="35"/>
      <c r="S274" s="40"/>
      <c r="T274" s="3"/>
      <c r="U274" s="3"/>
      <c r="V274" s="3"/>
      <c r="W274" s="3"/>
      <c r="X274" s="3"/>
      <c r="Y274" s="3"/>
      <c r="Z274" s="3"/>
      <c r="AA274" s="3"/>
      <c r="AB274" s="3"/>
      <c r="AC274" s="3"/>
    </row>
    <row r="275" spans="8:29" x14ac:dyDescent="0.45">
      <c r="H275" s="3"/>
      <c r="I275" s="3"/>
      <c r="J275" s="3"/>
      <c r="K275" s="3"/>
      <c r="L275" s="3"/>
      <c r="M275" s="3"/>
      <c r="N275" s="35"/>
      <c r="O275" s="35"/>
      <c r="P275" s="35"/>
      <c r="Q275" s="35"/>
      <c r="R275" s="35"/>
      <c r="S275" s="40"/>
      <c r="T275" s="3"/>
      <c r="U275" s="3"/>
      <c r="V275" s="3"/>
      <c r="W275" s="3"/>
      <c r="X275" s="3"/>
      <c r="Y275" s="3"/>
      <c r="Z275" s="3"/>
      <c r="AA275" s="3"/>
      <c r="AB275" s="3"/>
      <c r="AC275" s="3"/>
    </row>
    <row r="276" spans="8:29" x14ac:dyDescent="0.45">
      <c r="H276" s="3"/>
      <c r="I276" s="3"/>
      <c r="J276" s="3"/>
      <c r="K276" s="3"/>
      <c r="L276" s="3"/>
      <c r="M276" s="3"/>
      <c r="N276" s="35"/>
      <c r="O276" s="35"/>
      <c r="P276" s="35"/>
      <c r="Q276" s="35"/>
      <c r="R276" s="35"/>
      <c r="S276" s="40"/>
      <c r="T276" s="3"/>
      <c r="U276" s="3"/>
      <c r="V276" s="3"/>
      <c r="W276" s="3"/>
      <c r="X276" s="3"/>
      <c r="Y276" s="3"/>
      <c r="Z276" s="3"/>
      <c r="AA276" s="3"/>
      <c r="AB276" s="3"/>
      <c r="AC276" s="3"/>
    </row>
    <row r="277" spans="8:29" x14ac:dyDescent="0.45">
      <c r="H277" s="3"/>
      <c r="I277" s="3"/>
      <c r="J277" s="3"/>
      <c r="K277" s="3"/>
      <c r="L277" s="3"/>
      <c r="M277" s="3"/>
      <c r="N277" s="35"/>
      <c r="O277" s="35"/>
      <c r="P277" s="35"/>
      <c r="Q277" s="35"/>
      <c r="R277" s="35"/>
      <c r="S277" s="40"/>
      <c r="T277" s="3"/>
      <c r="U277" s="3"/>
      <c r="V277" s="3"/>
      <c r="W277" s="3"/>
      <c r="X277" s="3"/>
      <c r="Y277" s="3"/>
      <c r="Z277" s="3"/>
      <c r="AA277" s="3"/>
      <c r="AB277" s="3"/>
      <c r="AC277" s="3"/>
    </row>
    <row r="278" spans="8:29" x14ac:dyDescent="0.45">
      <c r="H278" s="3"/>
      <c r="I278" s="3"/>
      <c r="J278" s="3"/>
      <c r="K278" s="3"/>
      <c r="L278" s="3"/>
      <c r="M278" s="3"/>
      <c r="N278" s="35"/>
      <c r="O278" s="35"/>
      <c r="P278" s="35"/>
      <c r="Q278" s="35"/>
      <c r="R278" s="35"/>
      <c r="S278" s="40"/>
      <c r="T278" s="3"/>
      <c r="U278" s="3"/>
      <c r="V278" s="3"/>
      <c r="W278" s="3"/>
      <c r="X278" s="3"/>
      <c r="Y278" s="3"/>
      <c r="Z278" s="3"/>
      <c r="AA278" s="3"/>
      <c r="AB278" s="3"/>
      <c r="AC278" s="3"/>
    </row>
    <row r="279" spans="8:29" x14ac:dyDescent="0.45">
      <c r="H279" s="3"/>
      <c r="I279" s="3"/>
      <c r="J279" s="3"/>
      <c r="K279" s="3"/>
      <c r="L279" s="3"/>
      <c r="M279" s="3"/>
      <c r="N279" s="35"/>
      <c r="O279" s="35"/>
      <c r="P279" s="35"/>
      <c r="Q279" s="35"/>
      <c r="R279" s="35"/>
      <c r="S279" s="40"/>
      <c r="T279" s="3"/>
      <c r="U279" s="3"/>
      <c r="V279" s="3"/>
      <c r="W279" s="3"/>
      <c r="X279" s="3"/>
      <c r="Y279" s="3"/>
      <c r="Z279" s="3"/>
      <c r="AA279" s="3"/>
      <c r="AB279" s="3"/>
      <c r="AC279" s="3"/>
    </row>
    <row r="280" spans="8:29" x14ac:dyDescent="0.45">
      <c r="H280" s="3"/>
      <c r="I280" s="3"/>
      <c r="J280" s="3"/>
      <c r="K280" s="3"/>
      <c r="L280" s="3"/>
      <c r="M280" s="3"/>
      <c r="N280" s="35"/>
      <c r="O280" s="35"/>
      <c r="P280" s="35"/>
      <c r="Q280" s="35"/>
      <c r="R280" s="35"/>
      <c r="S280" s="40"/>
      <c r="T280" s="3"/>
      <c r="U280" s="3"/>
      <c r="V280" s="3"/>
      <c r="W280" s="3"/>
      <c r="X280" s="3"/>
      <c r="Y280" s="3"/>
      <c r="Z280" s="3"/>
      <c r="AA280" s="3"/>
      <c r="AB280" s="3"/>
      <c r="AC280" s="3"/>
    </row>
    <row r="281" spans="8:29" x14ac:dyDescent="0.45">
      <c r="H281" s="3"/>
      <c r="I281" s="3"/>
      <c r="J281" s="3"/>
      <c r="K281" s="3"/>
      <c r="L281" s="3"/>
      <c r="M281" s="3"/>
      <c r="N281" s="35"/>
      <c r="O281" s="35"/>
      <c r="P281" s="35"/>
      <c r="Q281" s="35"/>
      <c r="R281" s="35"/>
      <c r="S281" s="40"/>
      <c r="T281" s="3"/>
      <c r="U281" s="3"/>
      <c r="V281" s="3"/>
      <c r="W281" s="3"/>
      <c r="X281" s="3"/>
      <c r="Y281" s="3"/>
      <c r="Z281" s="3"/>
      <c r="AA281" s="3"/>
      <c r="AB281" s="3"/>
      <c r="AC281" s="3"/>
    </row>
    <row r="282" spans="8:29" x14ac:dyDescent="0.45">
      <c r="H282" s="3"/>
      <c r="I282" s="3"/>
      <c r="J282" s="3"/>
      <c r="K282" s="3"/>
      <c r="L282" s="3"/>
      <c r="M282" s="3"/>
      <c r="N282" s="35"/>
      <c r="O282" s="35"/>
      <c r="P282" s="35"/>
      <c r="Q282" s="35"/>
      <c r="R282" s="35"/>
      <c r="S282" s="40"/>
      <c r="T282" s="3"/>
      <c r="U282" s="3"/>
      <c r="V282" s="3"/>
      <c r="W282" s="3"/>
      <c r="X282" s="3"/>
      <c r="Y282" s="3"/>
      <c r="Z282" s="3"/>
      <c r="AA282" s="3"/>
      <c r="AB282" s="3"/>
      <c r="AC282" s="3"/>
    </row>
    <row r="283" spans="8:29" x14ac:dyDescent="0.45">
      <c r="H283" s="3"/>
      <c r="I283" s="3"/>
      <c r="J283" s="3"/>
      <c r="K283" s="3"/>
      <c r="L283" s="3"/>
      <c r="M283" s="3"/>
      <c r="N283" s="35"/>
      <c r="O283" s="35"/>
      <c r="P283" s="35"/>
      <c r="Q283" s="35"/>
      <c r="R283" s="35"/>
      <c r="S283" s="40"/>
      <c r="T283" s="3"/>
      <c r="U283" s="3"/>
      <c r="V283" s="3"/>
      <c r="W283" s="3"/>
      <c r="X283" s="3"/>
      <c r="Y283" s="3"/>
      <c r="Z283" s="3"/>
      <c r="AA283" s="3"/>
      <c r="AB283" s="3"/>
      <c r="AC283" s="3"/>
    </row>
    <row r="284" spans="8:29" x14ac:dyDescent="0.45">
      <c r="H284" s="3"/>
      <c r="I284" s="3"/>
      <c r="J284" s="3"/>
      <c r="K284" s="3"/>
      <c r="L284" s="3"/>
      <c r="M284" s="3"/>
      <c r="N284" s="35"/>
      <c r="O284" s="35"/>
      <c r="P284" s="35"/>
      <c r="Q284" s="35"/>
      <c r="R284" s="35"/>
      <c r="S284" s="40"/>
      <c r="T284" s="3"/>
      <c r="U284" s="3"/>
      <c r="V284" s="3"/>
      <c r="W284" s="3"/>
      <c r="X284" s="3"/>
      <c r="Y284" s="3"/>
      <c r="Z284" s="3"/>
      <c r="AA284" s="3"/>
      <c r="AB284" s="3"/>
      <c r="AC284" s="3"/>
    </row>
    <row r="285" spans="8:29" x14ac:dyDescent="0.45">
      <c r="H285" s="3"/>
      <c r="I285" s="3"/>
      <c r="J285" s="3"/>
      <c r="K285" s="3"/>
      <c r="L285" s="3"/>
      <c r="M285" s="3"/>
      <c r="N285" s="35"/>
      <c r="O285" s="35"/>
      <c r="P285" s="35"/>
      <c r="Q285" s="35"/>
      <c r="R285" s="35"/>
      <c r="S285" s="40"/>
      <c r="T285" s="3"/>
      <c r="U285" s="3"/>
      <c r="V285" s="3"/>
      <c r="W285" s="3"/>
      <c r="X285" s="3"/>
      <c r="Y285" s="3"/>
      <c r="Z285" s="3"/>
      <c r="AA285" s="3"/>
      <c r="AB285" s="3"/>
      <c r="AC285" s="3"/>
    </row>
    <row r="286" spans="8:29" x14ac:dyDescent="0.45">
      <c r="H286" s="3"/>
      <c r="I286" s="3"/>
      <c r="J286" s="3"/>
      <c r="K286" s="3"/>
      <c r="L286" s="3"/>
      <c r="M286" s="3"/>
      <c r="N286" s="35"/>
      <c r="O286" s="35"/>
      <c r="P286" s="35"/>
      <c r="Q286" s="35"/>
      <c r="R286" s="35"/>
      <c r="S286" s="40"/>
      <c r="T286" s="3"/>
      <c r="U286" s="3"/>
      <c r="V286" s="3"/>
      <c r="W286" s="3"/>
      <c r="X286" s="3"/>
      <c r="Y286" s="3"/>
      <c r="Z286" s="3"/>
      <c r="AA286" s="3"/>
      <c r="AB286" s="3"/>
      <c r="AC286" s="3"/>
    </row>
    <row r="287" spans="8:29" x14ac:dyDescent="0.45">
      <c r="H287" s="3"/>
      <c r="I287" s="3"/>
      <c r="J287" s="3"/>
      <c r="K287" s="3"/>
      <c r="L287" s="3"/>
      <c r="M287" s="3"/>
      <c r="N287" s="35"/>
      <c r="O287" s="35"/>
      <c r="P287" s="35"/>
      <c r="Q287" s="35"/>
      <c r="R287" s="35"/>
      <c r="S287" s="40"/>
      <c r="T287" s="3"/>
      <c r="U287" s="3"/>
      <c r="V287" s="3"/>
      <c r="W287" s="3"/>
      <c r="X287" s="3"/>
      <c r="Y287" s="3"/>
      <c r="Z287" s="3"/>
      <c r="AA287" s="3"/>
      <c r="AB287" s="3"/>
      <c r="AC287" s="3"/>
    </row>
    <row r="288" spans="8:29" x14ac:dyDescent="0.45">
      <c r="H288" s="3"/>
      <c r="I288" s="3"/>
      <c r="J288" s="3"/>
      <c r="K288" s="3"/>
      <c r="L288" s="3"/>
      <c r="M288" s="3"/>
      <c r="N288" s="35"/>
      <c r="O288" s="35"/>
      <c r="P288" s="35"/>
      <c r="Q288" s="35"/>
      <c r="R288" s="35"/>
      <c r="S288" s="40"/>
      <c r="T288" s="3"/>
      <c r="U288" s="3"/>
      <c r="V288" s="3"/>
      <c r="W288" s="3"/>
      <c r="X288" s="3"/>
      <c r="Y288" s="3"/>
      <c r="Z288" s="3"/>
      <c r="AA288" s="3"/>
      <c r="AB288" s="3"/>
      <c r="AC288" s="3"/>
    </row>
    <row r="289" spans="8:29" x14ac:dyDescent="0.45">
      <c r="H289" s="3"/>
      <c r="I289" s="3"/>
      <c r="J289" s="3"/>
      <c r="K289" s="3"/>
      <c r="L289" s="3"/>
      <c r="M289" s="3"/>
      <c r="N289" s="35"/>
      <c r="O289" s="35"/>
      <c r="P289" s="35"/>
      <c r="Q289" s="35"/>
      <c r="R289" s="35"/>
      <c r="S289" s="40"/>
      <c r="T289" s="3"/>
      <c r="U289" s="3"/>
      <c r="V289" s="3"/>
      <c r="W289" s="3"/>
      <c r="X289" s="3"/>
      <c r="Y289" s="3"/>
      <c r="Z289" s="3"/>
      <c r="AA289" s="3"/>
      <c r="AB289" s="3"/>
      <c r="AC289" s="3"/>
    </row>
    <row r="290" spans="8:29" x14ac:dyDescent="0.45">
      <c r="H290" s="3"/>
      <c r="I290" s="3"/>
      <c r="J290" s="3"/>
      <c r="K290" s="3"/>
      <c r="L290" s="3"/>
      <c r="M290" s="3"/>
      <c r="N290" s="35"/>
      <c r="O290" s="35"/>
      <c r="P290" s="35"/>
      <c r="Q290" s="35"/>
      <c r="R290" s="35"/>
      <c r="S290" s="40"/>
      <c r="T290" s="3"/>
      <c r="U290" s="3"/>
      <c r="V290" s="3"/>
      <c r="W290" s="3"/>
      <c r="X290" s="3"/>
      <c r="Y290" s="3"/>
      <c r="Z290" s="3"/>
      <c r="AA290" s="3"/>
      <c r="AB290" s="3"/>
      <c r="AC290" s="3"/>
    </row>
    <row r="291" spans="8:29" x14ac:dyDescent="0.45">
      <c r="H291" s="3"/>
      <c r="I291" s="3"/>
      <c r="J291" s="3"/>
      <c r="K291" s="3"/>
      <c r="L291" s="3"/>
      <c r="M291" s="3"/>
      <c r="N291" s="35"/>
      <c r="O291" s="35"/>
      <c r="P291" s="35"/>
      <c r="Q291" s="35"/>
      <c r="R291" s="35"/>
      <c r="S291" s="40"/>
      <c r="T291" s="3"/>
      <c r="U291" s="3"/>
      <c r="V291" s="3"/>
      <c r="W291" s="3"/>
      <c r="X291" s="3"/>
      <c r="Y291" s="3"/>
      <c r="Z291" s="3"/>
      <c r="AA291" s="3"/>
      <c r="AB291" s="3"/>
      <c r="AC291" s="3"/>
    </row>
    <row r="292" spans="8:29" x14ac:dyDescent="0.45">
      <c r="H292" s="3"/>
      <c r="I292" s="3"/>
      <c r="J292" s="3"/>
      <c r="K292" s="3"/>
      <c r="L292" s="3"/>
      <c r="M292" s="3"/>
      <c r="N292" s="35"/>
      <c r="O292" s="35"/>
      <c r="P292" s="35"/>
      <c r="Q292" s="35"/>
      <c r="R292" s="35"/>
      <c r="S292" s="40"/>
      <c r="T292" s="3"/>
      <c r="U292" s="3"/>
      <c r="V292" s="3"/>
      <c r="W292" s="3"/>
      <c r="X292" s="3"/>
      <c r="Y292" s="3"/>
      <c r="Z292" s="3"/>
      <c r="AA292" s="3"/>
      <c r="AB292" s="3"/>
      <c r="AC292" s="3"/>
    </row>
    <row r="293" spans="8:29" x14ac:dyDescent="0.45">
      <c r="H293" s="3"/>
      <c r="I293" s="3"/>
      <c r="J293" s="3"/>
      <c r="K293" s="3"/>
      <c r="L293" s="3"/>
      <c r="M293" s="3"/>
      <c r="N293" s="35"/>
      <c r="O293" s="35"/>
      <c r="P293" s="35"/>
      <c r="Q293" s="35"/>
      <c r="R293" s="35"/>
      <c r="S293" s="40"/>
      <c r="T293" s="3"/>
      <c r="U293" s="3"/>
      <c r="V293" s="3"/>
      <c r="W293" s="3"/>
      <c r="X293" s="3"/>
      <c r="Y293" s="3"/>
      <c r="Z293" s="3"/>
      <c r="AA293" s="3"/>
      <c r="AB293" s="3"/>
      <c r="AC293" s="3"/>
    </row>
    <row r="294" spans="8:29" x14ac:dyDescent="0.45">
      <c r="H294" s="3"/>
      <c r="I294" s="3"/>
      <c r="J294" s="3"/>
      <c r="K294" s="3"/>
      <c r="L294" s="3"/>
      <c r="M294" s="3"/>
      <c r="N294" s="35"/>
      <c r="O294" s="35"/>
      <c r="P294" s="35"/>
      <c r="Q294" s="35"/>
      <c r="R294" s="35"/>
      <c r="S294" s="40"/>
      <c r="T294" s="3"/>
      <c r="U294" s="3"/>
      <c r="V294" s="3"/>
      <c r="W294" s="3"/>
      <c r="X294" s="3"/>
      <c r="Y294" s="3"/>
      <c r="Z294" s="3"/>
      <c r="AA294" s="3"/>
      <c r="AB294" s="3"/>
      <c r="AC294" s="3"/>
    </row>
    <row r="295" spans="8:29" x14ac:dyDescent="0.45">
      <c r="H295" s="3"/>
      <c r="I295" s="3"/>
      <c r="J295" s="3"/>
      <c r="K295" s="3"/>
      <c r="L295" s="3"/>
      <c r="M295" s="3"/>
      <c r="N295" s="35"/>
      <c r="O295" s="35"/>
      <c r="P295" s="35"/>
      <c r="Q295" s="35"/>
      <c r="R295" s="35"/>
      <c r="S295" s="40"/>
      <c r="T295" s="3"/>
      <c r="U295" s="3"/>
      <c r="V295" s="3"/>
      <c r="W295" s="3"/>
      <c r="X295" s="3"/>
      <c r="Y295" s="3"/>
      <c r="Z295" s="3"/>
      <c r="AA295" s="3"/>
      <c r="AB295" s="3"/>
      <c r="AC295" s="3"/>
    </row>
    <row r="296" spans="8:29" x14ac:dyDescent="0.45">
      <c r="H296" s="3"/>
      <c r="I296" s="3"/>
      <c r="J296" s="3"/>
      <c r="K296" s="3"/>
      <c r="L296" s="3"/>
      <c r="M296" s="3"/>
      <c r="N296" s="35"/>
      <c r="O296" s="35"/>
      <c r="P296" s="35"/>
      <c r="Q296" s="35"/>
      <c r="R296" s="35"/>
      <c r="S296" s="40"/>
      <c r="T296" s="3"/>
      <c r="U296" s="3"/>
      <c r="V296" s="3"/>
      <c r="W296" s="3"/>
      <c r="X296" s="3"/>
      <c r="Y296" s="3"/>
      <c r="Z296" s="3"/>
      <c r="AA296" s="3"/>
      <c r="AB296" s="3"/>
      <c r="AC296" s="3"/>
    </row>
    <row r="297" spans="8:29" x14ac:dyDescent="0.45">
      <c r="H297" s="3"/>
      <c r="I297" s="3"/>
      <c r="J297" s="3"/>
      <c r="K297" s="3"/>
      <c r="L297" s="3"/>
      <c r="M297" s="3"/>
      <c r="N297" s="35"/>
      <c r="O297" s="35"/>
      <c r="P297" s="35"/>
      <c r="Q297" s="35"/>
      <c r="R297" s="35"/>
      <c r="S297" s="40"/>
      <c r="T297" s="3"/>
      <c r="U297" s="3"/>
      <c r="V297" s="3"/>
      <c r="W297" s="3"/>
      <c r="X297" s="3"/>
      <c r="Y297" s="3"/>
      <c r="Z297" s="3"/>
      <c r="AA297" s="3"/>
      <c r="AB297" s="3"/>
      <c r="AC297" s="3"/>
    </row>
    <row r="298" spans="8:29" x14ac:dyDescent="0.45">
      <c r="H298" s="3"/>
      <c r="I298" s="3"/>
      <c r="J298" s="3"/>
      <c r="K298" s="3"/>
      <c r="L298" s="3"/>
      <c r="M298" s="3"/>
      <c r="N298" s="35"/>
      <c r="O298" s="35"/>
      <c r="P298" s="35"/>
      <c r="Q298" s="35"/>
      <c r="R298" s="35"/>
      <c r="S298" s="40"/>
      <c r="T298" s="3"/>
      <c r="U298" s="3"/>
      <c r="V298" s="3"/>
      <c r="W298" s="3"/>
      <c r="X298" s="3"/>
      <c r="Y298" s="3"/>
      <c r="Z298" s="3"/>
      <c r="AA298" s="3"/>
      <c r="AB298" s="3"/>
      <c r="AC298" s="3"/>
    </row>
    <row r="299" spans="8:29" x14ac:dyDescent="0.45">
      <c r="H299" s="3"/>
      <c r="I299" s="3"/>
      <c r="J299" s="3"/>
      <c r="K299" s="3"/>
      <c r="L299" s="3"/>
      <c r="M299" s="3"/>
      <c r="N299" s="35"/>
      <c r="O299" s="35"/>
      <c r="P299" s="35"/>
      <c r="Q299" s="35"/>
      <c r="R299" s="35"/>
      <c r="S299" s="40"/>
      <c r="T299" s="3"/>
      <c r="U299" s="3"/>
      <c r="V299" s="3"/>
      <c r="W299" s="3"/>
      <c r="X299" s="3"/>
      <c r="Y299" s="3"/>
      <c r="Z299" s="3"/>
      <c r="AA299" s="3"/>
      <c r="AB299" s="3"/>
      <c r="AC299" s="3"/>
    </row>
    <row r="300" spans="8:29" x14ac:dyDescent="0.45">
      <c r="H300" s="3"/>
      <c r="I300" s="3"/>
      <c r="J300" s="3"/>
      <c r="K300" s="3"/>
      <c r="L300" s="3"/>
      <c r="M300" s="3"/>
      <c r="N300" s="35"/>
      <c r="O300" s="35"/>
      <c r="P300" s="35"/>
      <c r="Q300" s="35"/>
      <c r="R300" s="35"/>
      <c r="S300" s="40"/>
      <c r="T300" s="3"/>
      <c r="U300" s="3"/>
      <c r="V300" s="3"/>
      <c r="W300" s="3"/>
      <c r="X300" s="3"/>
      <c r="Y300" s="3"/>
      <c r="Z300" s="3"/>
      <c r="AA300" s="3"/>
      <c r="AB300" s="3"/>
      <c r="AC300" s="3"/>
    </row>
    <row r="301" spans="8:29" x14ac:dyDescent="0.45">
      <c r="H301" s="3"/>
      <c r="I301" s="3"/>
      <c r="J301" s="3"/>
      <c r="K301" s="3"/>
      <c r="L301" s="3"/>
      <c r="M301" s="3"/>
      <c r="N301" s="35"/>
      <c r="O301" s="35"/>
      <c r="P301" s="35"/>
      <c r="Q301" s="35"/>
      <c r="R301" s="35"/>
      <c r="S301" s="40"/>
      <c r="T301" s="3"/>
      <c r="U301" s="3"/>
      <c r="V301" s="3"/>
      <c r="W301" s="3"/>
      <c r="X301" s="3"/>
      <c r="Y301" s="3"/>
      <c r="Z301" s="3"/>
      <c r="AA301" s="3"/>
      <c r="AB301" s="3"/>
      <c r="AC301" s="3"/>
    </row>
    <row r="302" spans="8:29" x14ac:dyDescent="0.45">
      <c r="H302" s="3"/>
      <c r="I302" s="3"/>
      <c r="J302" s="3"/>
      <c r="K302" s="3"/>
      <c r="L302" s="3"/>
      <c r="M302" s="3"/>
      <c r="N302" s="35"/>
      <c r="O302" s="35"/>
      <c r="P302" s="35"/>
      <c r="Q302" s="35"/>
      <c r="R302" s="35"/>
      <c r="S302" s="40"/>
      <c r="T302" s="3"/>
      <c r="U302" s="3"/>
      <c r="V302" s="3"/>
      <c r="W302" s="3"/>
      <c r="X302" s="3"/>
      <c r="Y302" s="3"/>
      <c r="Z302" s="3"/>
      <c r="AA302" s="3"/>
      <c r="AB302" s="3"/>
      <c r="AC302" s="3"/>
    </row>
    <row r="303" spans="8:29" x14ac:dyDescent="0.45">
      <c r="H303" s="3"/>
      <c r="I303" s="3"/>
      <c r="J303" s="3"/>
      <c r="K303" s="3"/>
      <c r="L303" s="3"/>
      <c r="M303" s="3"/>
      <c r="N303" s="35"/>
      <c r="O303" s="35"/>
      <c r="P303" s="35"/>
      <c r="Q303" s="35"/>
      <c r="R303" s="35"/>
      <c r="S303" s="40"/>
      <c r="T303" s="3"/>
      <c r="U303" s="3"/>
      <c r="V303" s="3"/>
      <c r="W303" s="3"/>
      <c r="X303" s="3"/>
      <c r="Y303" s="3"/>
      <c r="Z303" s="3"/>
      <c r="AA303" s="3"/>
      <c r="AB303" s="3"/>
      <c r="AC303" s="3"/>
    </row>
    <row r="304" spans="8:29" x14ac:dyDescent="0.45">
      <c r="H304" s="3"/>
      <c r="I304" s="3"/>
      <c r="J304" s="3"/>
      <c r="K304" s="3"/>
      <c r="L304" s="3"/>
      <c r="M304" s="3"/>
      <c r="N304" s="35"/>
      <c r="O304" s="35"/>
      <c r="P304" s="35"/>
      <c r="Q304" s="35"/>
      <c r="R304" s="35"/>
      <c r="S304" s="40"/>
      <c r="T304" s="3"/>
      <c r="U304" s="3"/>
      <c r="V304" s="3"/>
      <c r="W304" s="3"/>
      <c r="X304" s="3"/>
      <c r="Y304" s="3"/>
      <c r="Z304" s="3"/>
      <c r="AA304" s="3"/>
      <c r="AB304" s="3"/>
      <c r="AC304" s="3"/>
    </row>
    <row r="305" spans="8:29" x14ac:dyDescent="0.45">
      <c r="H305" s="3"/>
      <c r="I305" s="3"/>
      <c r="J305" s="3"/>
      <c r="K305" s="3"/>
      <c r="L305" s="3"/>
      <c r="M305" s="3"/>
      <c r="N305" s="35"/>
      <c r="O305" s="35"/>
      <c r="P305" s="35"/>
      <c r="Q305" s="35"/>
      <c r="R305" s="35"/>
      <c r="S305" s="40"/>
      <c r="T305" s="3"/>
      <c r="U305" s="3"/>
      <c r="V305" s="3"/>
      <c r="W305" s="3"/>
      <c r="X305" s="3"/>
      <c r="Y305" s="3"/>
      <c r="Z305" s="3"/>
      <c r="AA305" s="3"/>
      <c r="AB305" s="3"/>
      <c r="AC305" s="3"/>
    </row>
    <row r="306" spans="8:29" x14ac:dyDescent="0.45">
      <c r="H306" s="3"/>
      <c r="I306" s="3"/>
      <c r="J306" s="3"/>
      <c r="K306" s="3"/>
      <c r="L306" s="3"/>
      <c r="M306" s="3"/>
      <c r="N306" s="35"/>
      <c r="O306" s="35"/>
      <c r="P306" s="35"/>
      <c r="Q306" s="35"/>
      <c r="R306" s="35"/>
      <c r="S306" s="40"/>
      <c r="T306" s="3"/>
      <c r="U306" s="3"/>
      <c r="V306" s="3"/>
      <c r="W306" s="3"/>
      <c r="X306" s="3"/>
      <c r="Y306" s="3"/>
      <c r="Z306" s="3"/>
      <c r="AA306" s="3"/>
      <c r="AB306" s="3"/>
      <c r="AC306" s="3"/>
    </row>
    <row r="307" spans="8:29" x14ac:dyDescent="0.45">
      <c r="H307" s="3"/>
      <c r="I307" s="3"/>
      <c r="J307" s="3"/>
      <c r="K307" s="3"/>
      <c r="L307" s="3"/>
      <c r="M307" s="3"/>
      <c r="N307" s="35"/>
      <c r="O307" s="35"/>
      <c r="P307" s="35"/>
      <c r="Q307" s="35"/>
      <c r="R307" s="35"/>
      <c r="S307" s="40"/>
      <c r="T307" s="3"/>
      <c r="U307" s="3"/>
      <c r="V307" s="3"/>
      <c r="W307" s="3"/>
      <c r="X307" s="3"/>
      <c r="Y307" s="3"/>
      <c r="Z307" s="3"/>
      <c r="AA307" s="3"/>
      <c r="AB307" s="3"/>
      <c r="AC307" s="3"/>
    </row>
    <row r="308" spans="8:29" x14ac:dyDescent="0.45">
      <c r="H308" s="3"/>
      <c r="I308" s="3"/>
      <c r="J308" s="3"/>
      <c r="K308" s="3"/>
      <c r="L308" s="3"/>
      <c r="M308" s="3"/>
      <c r="N308" s="35"/>
      <c r="O308" s="35"/>
      <c r="P308" s="35"/>
      <c r="Q308" s="35"/>
      <c r="R308" s="35"/>
      <c r="S308" s="40"/>
      <c r="T308" s="3"/>
      <c r="U308" s="3"/>
      <c r="V308" s="3"/>
      <c r="W308" s="3"/>
      <c r="X308" s="3"/>
      <c r="Y308" s="3"/>
      <c r="Z308" s="3"/>
      <c r="AA308" s="3"/>
      <c r="AB308" s="3"/>
      <c r="AC308" s="3"/>
    </row>
    <row r="309" spans="8:29" x14ac:dyDescent="0.45">
      <c r="H309" s="3"/>
      <c r="I309" s="3"/>
      <c r="J309" s="3"/>
      <c r="K309" s="3"/>
      <c r="L309" s="3"/>
      <c r="M309" s="3"/>
      <c r="N309" s="35"/>
      <c r="O309" s="35"/>
      <c r="P309" s="35"/>
      <c r="Q309" s="35"/>
      <c r="R309" s="35"/>
      <c r="S309" s="40"/>
      <c r="T309" s="3"/>
      <c r="U309" s="3"/>
      <c r="V309" s="3"/>
      <c r="W309" s="3"/>
      <c r="X309" s="3"/>
      <c r="Y309" s="3"/>
      <c r="Z309" s="3"/>
      <c r="AA309" s="3"/>
      <c r="AB309" s="3"/>
      <c r="AC309" s="3"/>
    </row>
    <row r="310" spans="8:29" x14ac:dyDescent="0.45">
      <c r="H310" s="3"/>
      <c r="I310" s="3"/>
      <c r="J310" s="3"/>
      <c r="K310" s="3"/>
      <c r="L310" s="3"/>
      <c r="M310" s="3"/>
      <c r="N310" s="35"/>
      <c r="O310" s="35"/>
      <c r="P310" s="35"/>
      <c r="Q310" s="35"/>
      <c r="R310" s="35"/>
      <c r="S310" s="40"/>
      <c r="T310" s="3"/>
      <c r="U310" s="3"/>
      <c r="V310" s="3"/>
      <c r="W310" s="3"/>
      <c r="X310" s="3"/>
      <c r="Y310" s="3"/>
      <c r="Z310" s="3"/>
      <c r="AA310" s="3"/>
      <c r="AB310" s="3"/>
      <c r="AC310" s="3"/>
    </row>
    <row r="311" spans="8:29" x14ac:dyDescent="0.45">
      <c r="H311" s="3"/>
      <c r="I311" s="3"/>
      <c r="J311" s="3"/>
      <c r="K311" s="3"/>
      <c r="L311" s="3"/>
      <c r="M311" s="3"/>
      <c r="N311" s="35"/>
      <c r="O311" s="35"/>
      <c r="P311" s="35"/>
      <c r="Q311" s="35"/>
      <c r="R311" s="35"/>
      <c r="S311" s="40"/>
      <c r="T311" s="3"/>
      <c r="U311" s="3"/>
      <c r="V311" s="3"/>
      <c r="W311" s="3"/>
      <c r="X311" s="3"/>
      <c r="Y311" s="3"/>
      <c r="Z311" s="3"/>
      <c r="AA311" s="3"/>
      <c r="AB311" s="3"/>
      <c r="AC311" s="3"/>
    </row>
    <row r="312" spans="8:29" x14ac:dyDescent="0.45">
      <c r="H312" s="3"/>
      <c r="I312" s="3"/>
      <c r="J312" s="3"/>
      <c r="K312" s="3"/>
      <c r="L312" s="3"/>
      <c r="M312" s="3"/>
      <c r="N312" s="35"/>
      <c r="O312" s="35"/>
      <c r="P312" s="35"/>
      <c r="Q312" s="35"/>
      <c r="R312" s="35"/>
      <c r="S312" s="40"/>
      <c r="T312" s="3"/>
      <c r="U312" s="3"/>
      <c r="V312" s="3"/>
      <c r="W312" s="3"/>
      <c r="X312" s="3"/>
      <c r="Y312" s="3"/>
      <c r="Z312" s="3"/>
      <c r="AA312" s="3"/>
      <c r="AB312" s="3"/>
      <c r="AC312" s="3"/>
    </row>
    <row r="313" spans="8:29" x14ac:dyDescent="0.45">
      <c r="H313" s="3"/>
      <c r="I313" s="3"/>
      <c r="J313" s="3"/>
      <c r="K313" s="3"/>
      <c r="L313" s="3"/>
      <c r="M313" s="3"/>
      <c r="N313" s="35"/>
      <c r="O313" s="35"/>
      <c r="P313" s="35"/>
      <c r="Q313" s="35"/>
      <c r="R313" s="35"/>
      <c r="S313" s="40"/>
      <c r="T313" s="3"/>
      <c r="U313" s="3"/>
      <c r="V313" s="3"/>
      <c r="W313" s="3"/>
      <c r="X313" s="3"/>
      <c r="Y313" s="3"/>
      <c r="Z313" s="3"/>
      <c r="AA313" s="3"/>
      <c r="AB313" s="3"/>
      <c r="AC313" s="3"/>
    </row>
    <row r="314" spans="8:29" x14ac:dyDescent="0.45">
      <c r="H314" s="3"/>
      <c r="I314" s="3"/>
      <c r="J314" s="3"/>
      <c r="K314" s="3"/>
      <c r="L314" s="3"/>
      <c r="M314" s="3"/>
      <c r="N314" s="35"/>
      <c r="O314" s="35"/>
      <c r="P314" s="35"/>
      <c r="Q314" s="35"/>
      <c r="R314" s="35"/>
      <c r="S314" s="40"/>
      <c r="T314" s="3"/>
      <c r="U314" s="3"/>
      <c r="V314" s="3"/>
      <c r="W314" s="3"/>
      <c r="X314" s="3"/>
      <c r="Y314" s="3"/>
      <c r="Z314" s="3"/>
      <c r="AA314" s="3"/>
      <c r="AB314" s="3"/>
      <c r="AC314" s="3"/>
    </row>
    <row r="315" spans="8:29" x14ac:dyDescent="0.45">
      <c r="H315" s="3"/>
      <c r="I315" s="3"/>
      <c r="J315" s="3"/>
      <c r="K315" s="3"/>
      <c r="L315" s="3"/>
      <c r="M315" s="3"/>
      <c r="N315" s="35"/>
      <c r="O315" s="35"/>
      <c r="P315" s="35"/>
      <c r="Q315" s="35"/>
      <c r="R315" s="35"/>
      <c r="S315" s="40"/>
      <c r="T315" s="3"/>
      <c r="U315" s="3"/>
      <c r="V315" s="3"/>
      <c r="W315" s="3"/>
      <c r="X315" s="3"/>
      <c r="Y315" s="3"/>
      <c r="Z315" s="3"/>
      <c r="AA315" s="3"/>
      <c r="AB315" s="3"/>
      <c r="AC315" s="3"/>
    </row>
    <row r="316" spans="8:29" x14ac:dyDescent="0.45">
      <c r="H316" s="3"/>
      <c r="I316" s="3"/>
      <c r="J316" s="3"/>
      <c r="K316" s="3"/>
      <c r="L316" s="3"/>
      <c r="M316" s="3"/>
      <c r="N316" s="35"/>
      <c r="O316" s="35"/>
      <c r="P316" s="35"/>
      <c r="Q316" s="35"/>
      <c r="R316" s="35"/>
      <c r="S316" s="40"/>
      <c r="T316" s="3"/>
      <c r="U316" s="3"/>
      <c r="V316" s="3"/>
      <c r="W316" s="3"/>
      <c r="X316" s="3"/>
      <c r="Y316" s="3"/>
      <c r="Z316" s="3"/>
      <c r="AA316" s="3"/>
      <c r="AB316" s="3"/>
      <c r="AC316" s="3"/>
    </row>
    <row r="317" spans="8:29" x14ac:dyDescent="0.45">
      <c r="H317" s="3"/>
      <c r="I317" s="3"/>
      <c r="J317" s="3"/>
      <c r="K317" s="3"/>
      <c r="L317" s="3"/>
      <c r="M317" s="3"/>
      <c r="N317" s="35"/>
      <c r="O317" s="35"/>
      <c r="P317" s="35"/>
      <c r="Q317" s="35"/>
      <c r="R317" s="35"/>
      <c r="S317" s="40"/>
      <c r="T317" s="3"/>
      <c r="U317" s="3"/>
      <c r="V317" s="3"/>
      <c r="W317" s="3"/>
      <c r="X317" s="3"/>
      <c r="Y317" s="3"/>
      <c r="Z317" s="3"/>
      <c r="AA317" s="3"/>
      <c r="AB317" s="3"/>
      <c r="AC317" s="3"/>
    </row>
    <row r="318" spans="8:29" x14ac:dyDescent="0.45">
      <c r="H318" s="3"/>
      <c r="I318" s="3"/>
      <c r="J318" s="3"/>
      <c r="K318" s="3"/>
      <c r="L318" s="3"/>
      <c r="M318" s="3"/>
      <c r="N318" s="35"/>
      <c r="O318" s="35"/>
      <c r="P318" s="35"/>
      <c r="Q318" s="35"/>
      <c r="R318" s="35"/>
      <c r="S318" s="40"/>
      <c r="T318" s="3"/>
      <c r="U318" s="3"/>
      <c r="V318" s="3"/>
      <c r="W318" s="3"/>
      <c r="X318" s="3"/>
      <c r="Y318" s="3"/>
      <c r="Z318" s="3"/>
      <c r="AA318" s="3"/>
      <c r="AB318" s="3"/>
      <c r="AC318" s="3"/>
    </row>
    <row r="319" spans="8:29" x14ac:dyDescent="0.45">
      <c r="H319" s="3"/>
      <c r="I319" s="3"/>
      <c r="J319" s="3"/>
      <c r="K319" s="3"/>
      <c r="L319" s="3"/>
      <c r="M319" s="3"/>
      <c r="N319" s="35"/>
      <c r="O319" s="35"/>
      <c r="P319" s="35"/>
      <c r="Q319" s="35"/>
      <c r="R319" s="35"/>
      <c r="S319" s="40"/>
      <c r="T319" s="3"/>
      <c r="U319" s="3"/>
      <c r="V319" s="3"/>
      <c r="W319" s="3"/>
      <c r="X319" s="3"/>
      <c r="Y319" s="3"/>
      <c r="Z319" s="3"/>
      <c r="AA319" s="3"/>
      <c r="AB319" s="3"/>
      <c r="AC319" s="3"/>
    </row>
    <row r="320" spans="8:29" x14ac:dyDescent="0.45">
      <c r="H320" s="3"/>
      <c r="I320" s="3"/>
      <c r="J320" s="3"/>
      <c r="K320" s="3"/>
      <c r="L320" s="3"/>
      <c r="M320" s="3"/>
      <c r="N320" s="35"/>
      <c r="O320" s="35"/>
      <c r="P320" s="35"/>
      <c r="Q320" s="35"/>
      <c r="R320" s="35"/>
      <c r="S320" s="40"/>
      <c r="T320" s="3"/>
      <c r="U320" s="3"/>
      <c r="V320" s="3"/>
      <c r="W320" s="3"/>
      <c r="X320" s="3"/>
      <c r="Y320" s="3"/>
      <c r="Z320" s="3"/>
      <c r="AA320" s="3"/>
      <c r="AB320" s="3"/>
      <c r="AC320" s="3"/>
    </row>
    <row r="321" spans="8:29" x14ac:dyDescent="0.45">
      <c r="H321" s="3"/>
      <c r="I321" s="3"/>
      <c r="J321" s="3"/>
      <c r="K321" s="3"/>
      <c r="L321" s="3"/>
      <c r="M321" s="3"/>
      <c r="N321" s="35"/>
      <c r="O321" s="35"/>
      <c r="P321" s="35"/>
      <c r="Q321" s="35"/>
      <c r="R321" s="35"/>
      <c r="S321" s="40"/>
      <c r="T321" s="3"/>
      <c r="U321" s="3"/>
      <c r="V321" s="3"/>
      <c r="W321" s="3"/>
      <c r="X321" s="3"/>
      <c r="Y321" s="3"/>
      <c r="Z321" s="3"/>
      <c r="AA321" s="3"/>
      <c r="AB321" s="3"/>
      <c r="AC321" s="3"/>
    </row>
    <row r="322" spans="8:29" x14ac:dyDescent="0.45">
      <c r="H322" s="3"/>
      <c r="I322" s="3"/>
      <c r="J322" s="3"/>
      <c r="K322" s="3"/>
      <c r="L322" s="3"/>
      <c r="M322" s="3"/>
      <c r="N322" s="35"/>
      <c r="O322" s="35"/>
      <c r="P322" s="35"/>
      <c r="Q322" s="35"/>
      <c r="R322" s="35"/>
      <c r="S322" s="40"/>
      <c r="T322" s="3"/>
      <c r="U322" s="3"/>
      <c r="V322" s="3"/>
      <c r="W322" s="3"/>
      <c r="X322" s="3"/>
      <c r="Y322" s="3"/>
      <c r="Z322" s="3"/>
      <c r="AA322" s="3"/>
      <c r="AB322" s="3"/>
      <c r="AC322" s="3"/>
    </row>
    <row r="323" spans="8:29" x14ac:dyDescent="0.45">
      <c r="H323" s="3"/>
      <c r="I323" s="3"/>
      <c r="J323" s="3"/>
      <c r="K323" s="3"/>
      <c r="L323" s="3"/>
      <c r="M323" s="3"/>
      <c r="N323" s="35"/>
      <c r="O323" s="35"/>
      <c r="P323" s="35"/>
      <c r="Q323" s="35"/>
      <c r="R323" s="35"/>
      <c r="S323" s="40"/>
      <c r="T323" s="3"/>
      <c r="U323" s="3"/>
      <c r="V323" s="3"/>
      <c r="W323" s="3"/>
      <c r="X323" s="3"/>
      <c r="Y323" s="3"/>
      <c r="Z323" s="3"/>
      <c r="AA323" s="3"/>
      <c r="AB323" s="3"/>
      <c r="AC323" s="3"/>
    </row>
    <row r="324" spans="8:29" x14ac:dyDescent="0.45">
      <c r="H324" s="3"/>
      <c r="I324" s="3"/>
      <c r="J324" s="3"/>
      <c r="K324" s="3"/>
      <c r="L324" s="3"/>
      <c r="M324" s="3"/>
      <c r="N324" s="35"/>
      <c r="O324" s="35"/>
      <c r="P324" s="35"/>
      <c r="Q324" s="35"/>
      <c r="R324" s="35"/>
      <c r="S324" s="40"/>
      <c r="T324" s="3"/>
      <c r="U324" s="3"/>
      <c r="V324" s="3"/>
      <c r="W324" s="3"/>
      <c r="X324" s="3"/>
      <c r="Y324" s="3"/>
      <c r="Z324" s="3"/>
      <c r="AA324" s="3"/>
      <c r="AB324" s="3"/>
      <c r="AC324" s="3"/>
    </row>
    <row r="325" spans="8:29" x14ac:dyDescent="0.45">
      <c r="H325" s="3"/>
      <c r="I325" s="3"/>
      <c r="J325" s="3"/>
      <c r="K325" s="3"/>
      <c r="L325" s="3"/>
      <c r="M325" s="3"/>
      <c r="N325" s="35"/>
      <c r="O325" s="35"/>
      <c r="P325" s="35"/>
      <c r="Q325" s="35"/>
      <c r="R325" s="35"/>
      <c r="S325" s="40"/>
      <c r="T325" s="3"/>
      <c r="U325" s="3"/>
      <c r="V325" s="3"/>
      <c r="W325" s="3"/>
      <c r="X325" s="3"/>
      <c r="Y325" s="3"/>
      <c r="Z325" s="3"/>
      <c r="AA325" s="3"/>
      <c r="AB325" s="3"/>
      <c r="AC325" s="3"/>
    </row>
    <row r="326" spans="8:29" x14ac:dyDescent="0.45">
      <c r="H326" s="3"/>
      <c r="I326" s="3"/>
      <c r="J326" s="3"/>
      <c r="K326" s="3"/>
      <c r="L326" s="3"/>
      <c r="M326" s="3"/>
      <c r="N326" s="35"/>
      <c r="O326" s="35"/>
      <c r="P326" s="35"/>
      <c r="Q326" s="35"/>
      <c r="R326" s="35"/>
      <c r="S326" s="40"/>
      <c r="T326" s="3"/>
      <c r="U326" s="3"/>
      <c r="V326" s="3"/>
      <c r="W326" s="3"/>
      <c r="X326" s="3"/>
      <c r="Y326" s="3"/>
      <c r="Z326" s="3"/>
      <c r="AA326" s="3"/>
      <c r="AB326" s="3"/>
      <c r="AC326" s="3"/>
    </row>
    <row r="327" spans="8:29" x14ac:dyDescent="0.45">
      <c r="H327" s="3"/>
      <c r="I327" s="3"/>
      <c r="J327" s="3"/>
      <c r="K327" s="3"/>
      <c r="L327" s="3"/>
      <c r="M327" s="3"/>
      <c r="N327" s="35"/>
      <c r="O327" s="35"/>
      <c r="P327" s="35"/>
      <c r="Q327" s="35"/>
      <c r="R327" s="35"/>
      <c r="S327" s="40"/>
      <c r="T327" s="3"/>
      <c r="U327" s="3"/>
      <c r="V327" s="3"/>
      <c r="W327" s="3"/>
      <c r="X327" s="3"/>
      <c r="Y327" s="3"/>
      <c r="Z327" s="3"/>
      <c r="AA327" s="3"/>
      <c r="AB327" s="3"/>
      <c r="AC327" s="3"/>
    </row>
    <row r="328" spans="8:29" x14ac:dyDescent="0.45">
      <c r="H328" s="3"/>
      <c r="I328" s="3"/>
      <c r="J328" s="3"/>
      <c r="K328" s="3"/>
      <c r="L328" s="3"/>
      <c r="M328" s="3"/>
      <c r="N328" s="35"/>
      <c r="O328" s="35"/>
      <c r="P328" s="35"/>
      <c r="Q328" s="35"/>
      <c r="R328" s="35"/>
      <c r="S328" s="40"/>
      <c r="T328" s="3"/>
      <c r="U328" s="3"/>
      <c r="V328" s="3"/>
      <c r="W328" s="3"/>
      <c r="X328" s="3"/>
      <c r="Y328" s="3"/>
      <c r="Z328" s="3"/>
      <c r="AA328" s="3"/>
      <c r="AB328" s="3"/>
      <c r="AC328" s="3"/>
    </row>
    <row r="329" spans="8:29" x14ac:dyDescent="0.45">
      <c r="H329" s="3"/>
      <c r="I329" s="3"/>
      <c r="J329" s="3"/>
      <c r="K329" s="3"/>
      <c r="L329" s="3"/>
      <c r="M329" s="3"/>
      <c r="N329" s="35"/>
      <c r="O329" s="35"/>
      <c r="P329" s="35"/>
      <c r="Q329" s="35"/>
      <c r="R329" s="35"/>
      <c r="S329" s="40"/>
      <c r="T329" s="3"/>
      <c r="U329" s="3"/>
      <c r="V329" s="3"/>
      <c r="W329" s="3"/>
      <c r="X329" s="3"/>
      <c r="Y329" s="3"/>
      <c r="Z329" s="3"/>
      <c r="AA329" s="3"/>
      <c r="AB329" s="3"/>
      <c r="AC329" s="3"/>
    </row>
    <row r="330" spans="8:29" x14ac:dyDescent="0.45">
      <c r="H330" s="3"/>
      <c r="I330" s="3"/>
      <c r="J330" s="3"/>
      <c r="K330" s="3"/>
      <c r="L330" s="3"/>
      <c r="M330" s="3"/>
      <c r="N330" s="35"/>
      <c r="O330" s="35"/>
      <c r="P330" s="35"/>
      <c r="Q330" s="35"/>
      <c r="R330" s="35"/>
      <c r="S330" s="40"/>
      <c r="T330" s="3"/>
      <c r="U330" s="3"/>
      <c r="V330" s="3"/>
      <c r="W330" s="3"/>
      <c r="X330" s="3"/>
      <c r="Y330" s="3"/>
      <c r="Z330" s="3"/>
      <c r="AA330" s="3"/>
      <c r="AB330" s="3"/>
      <c r="AC330" s="3"/>
    </row>
    <row r="331" spans="8:29" x14ac:dyDescent="0.45">
      <c r="H331" s="3"/>
      <c r="I331" s="3"/>
      <c r="J331" s="3"/>
      <c r="K331" s="3"/>
      <c r="L331" s="3"/>
      <c r="M331" s="3"/>
      <c r="N331" s="35"/>
      <c r="O331" s="35"/>
      <c r="P331" s="35"/>
      <c r="Q331" s="35"/>
      <c r="R331" s="35"/>
      <c r="S331" s="40"/>
      <c r="T331" s="3"/>
      <c r="U331" s="3"/>
      <c r="V331" s="3"/>
      <c r="W331" s="3"/>
      <c r="X331" s="3"/>
      <c r="Y331" s="3"/>
      <c r="Z331" s="3"/>
      <c r="AA331" s="3"/>
      <c r="AB331" s="3"/>
      <c r="AC331" s="3"/>
    </row>
    <row r="332" spans="8:29" x14ac:dyDescent="0.45">
      <c r="H332" s="3"/>
      <c r="I332" s="3"/>
      <c r="J332" s="3"/>
      <c r="K332" s="3"/>
      <c r="L332" s="3"/>
      <c r="M332" s="3"/>
      <c r="N332" s="35"/>
      <c r="O332" s="35"/>
      <c r="P332" s="35"/>
      <c r="Q332" s="35"/>
      <c r="R332" s="35"/>
      <c r="S332" s="40"/>
      <c r="T332" s="3"/>
      <c r="U332" s="3"/>
      <c r="V332" s="3"/>
      <c r="W332" s="3"/>
      <c r="X332" s="3"/>
      <c r="Y332" s="3"/>
      <c r="Z332" s="3"/>
      <c r="AA332" s="3"/>
      <c r="AB332" s="3"/>
      <c r="AC332" s="3"/>
    </row>
    <row r="333" spans="8:29" x14ac:dyDescent="0.45">
      <c r="H333" s="3"/>
      <c r="I333" s="3"/>
      <c r="J333" s="3"/>
      <c r="K333" s="3"/>
      <c r="L333" s="3"/>
      <c r="M333" s="3"/>
      <c r="N333" s="35"/>
      <c r="O333" s="35"/>
      <c r="P333" s="35"/>
      <c r="Q333" s="35"/>
      <c r="R333" s="35"/>
      <c r="S333" s="40"/>
      <c r="T333" s="3"/>
      <c r="U333" s="3"/>
      <c r="V333" s="3"/>
      <c r="W333" s="3"/>
      <c r="X333" s="3"/>
      <c r="Y333" s="3"/>
      <c r="Z333" s="3"/>
      <c r="AA333" s="3"/>
      <c r="AB333" s="3"/>
      <c r="AC333" s="3"/>
    </row>
    <row r="334" spans="8:29" x14ac:dyDescent="0.45">
      <c r="H334" s="3"/>
      <c r="I334" s="3"/>
      <c r="J334" s="3"/>
      <c r="K334" s="3"/>
      <c r="L334" s="3"/>
      <c r="M334" s="3"/>
      <c r="N334" s="35"/>
      <c r="O334" s="35"/>
      <c r="P334" s="35"/>
      <c r="Q334" s="35"/>
      <c r="R334" s="35"/>
      <c r="S334" s="40"/>
      <c r="T334" s="3"/>
      <c r="U334" s="3"/>
      <c r="V334" s="3"/>
      <c r="W334" s="3"/>
      <c r="X334" s="3"/>
      <c r="Y334" s="3"/>
      <c r="Z334" s="3"/>
      <c r="AA334" s="3"/>
      <c r="AB334" s="3"/>
      <c r="AC334" s="3"/>
    </row>
    <row r="335" spans="8:29" x14ac:dyDescent="0.45">
      <c r="H335" s="3"/>
      <c r="I335" s="3"/>
      <c r="J335" s="3"/>
      <c r="K335" s="3"/>
      <c r="L335" s="3"/>
      <c r="M335" s="3"/>
      <c r="N335" s="35"/>
      <c r="O335" s="35"/>
      <c r="P335" s="35"/>
      <c r="Q335" s="35"/>
      <c r="R335" s="35"/>
      <c r="S335" s="40"/>
      <c r="T335" s="3"/>
      <c r="U335" s="3"/>
      <c r="V335" s="3"/>
      <c r="W335" s="3"/>
      <c r="X335" s="3"/>
      <c r="Y335" s="3"/>
      <c r="Z335" s="3"/>
      <c r="AA335" s="3"/>
      <c r="AB335" s="3"/>
      <c r="AC335" s="3"/>
    </row>
    <row r="336" spans="8:29" x14ac:dyDescent="0.45">
      <c r="H336" s="3"/>
      <c r="I336" s="3"/>
      <c r="J336" s="3"/>
      <c r="K336" s="3"/>
      <c r="L336" s="3"/>
      <c r="M336" s="3"/>
      <c r="N336" s="35"/>
      <c r="O336" s="35"/>
      <c r="P336" s="35"/>
      <c r="Q336" s="35"/>
      <c r="R336" s="35"/>
      <c r="S336" s="40"/>
      <c r="T336" s="3"/>
      <c r="U336" s="3"/>
      <c r="V336" s="3"/>
      <c r="W336" s="3"/>
      <c r="X336" s="3"/>
      <c r="Y336" s="3"/>
      <c r="Z336" s="3"/>
      <c r="AA336" s="3"/>
      <c r="AB336" s="3"/>
      <c r="AC336" s="3"/>
    </row>
    <row r="337" spans="8:29" x14ac:dyDescent="0.45">
      <c r="H337" s="3"/>
      <c r="I337" s="3"/>
      <c r="J337" s="3"/>
      <c r="K337" s="3"/>
      <c r="L337" s="3"/>
      <c r="M337" s="3"/>
      <c r="N337" s="35"/>
      <c r="O337" s="35"/>
      <c r="P337" s="35"/>
      <c r="Q337" s="35"/>
      <c r="R337" s="35"/>
      <c r="S337" s="40"/>
      <c r="T337" s="3"/>
      <c r="U337" s="3"/>
      <c r="V337" s="3"/>
      <c r="W337" s="3"/>
      <c r="X337" s="3"/>
      <c r="Y337" s="3"/>
      <c r="Z337" s="3"/>
      <c r="AA337" s="3"/>
      <c r="AB337" s="3"/>
      <c r="AC337" s="3"/>
    </row>
    <row r="338" spans="8:29" x14ac:dyDescent="0.45">
      <c r="H338" s="3"/>
      <c r="I338" s="3"/>
      <c r="J338" s="3"/>
      <c r="K338" s="3"/>
      <c r="L338" s="3"/>
      <c r="M338" s="3"/>
      <c r="N338" s="35"/>
      <c r="O338" s="35"/>
      <c r="P338" s="35"/>
      <c r="Q338" s="35"/>
      <c r="R338" s="35"/>
      <c r="S338" s="40"/>
      <c r="T338" s="3"/>
      <c r="U338" s="3"/>
      <c r="V338" s="3"/>
      <c r="W338" s="3"/>
      <c r="X338" s="3"/>
      <c r="Y338" s="3"/>
      <c r="Z338" s="3"/>
      <c r="AA338" s="3"/>
      <c r="AB338" s="3"/>
      <c r="AC338" s="3"/>
    </row>
    <row r="339" spans="8:29" x14ac:dyDescent="0.45">
      <c r="H339" s="3"/>
      <c r="I339" s="3"/>
      <c r="J339" s="3"/>
      <c r="K339" s="3"/>
      <c r="L339" s="3"/>
      <c r="M339" s="3"/>
      <c r="N339" s="35"/>
      <c r="O339" s="35"/>
      <c r="P339" s="35"/>
      <c r="Q339" s="35"/>
      <c r="R339" s="35"/>
      <c r="S339" s="40"/>
      <c r="T339" s="3"/>
      <c r="U339" s="3"/>
      <c r="V339" s="3"/>
      <c r="W339" s="3"/>
      <c r="X339" s="3"/>
      <c r="Y339" s="3"/>
      <c r="Z339" s="3"/>
      <c r="AA339" s="3"/>
      <c r="AB339" s="3"/>
      <c r="AC339" s="3"/>
    </row>
    <row r="340" spans="8:29" x14ac:dyDescent="0.45">
      <c r="H340" s="3"/>
      <c r="I340" s="3"/>
      <c r="J340" s="3"/>
      <c r="K340" s="3"/>
      <c r="L340" s="3"/>
      <c r="M340" s="3"/>
      <c r="N340" s="35"/>
      <c r="O340" s="35"/>
      <c r="P340" s="35"/>
      <c r="Q340" s="35"/>
      <c r="R340" s="35"/>
      <c r="S340" s="40"/>
      <c r="T340" s="3"/>
      <c r="U340" s="3"/>
      <c r="V340" s="3"/>
      <c r="W340" s="3"/>
      <c r="X340" s="3"/>
      <c r="Y340" s="3"/>
      <c r="Z340" s="3"/>
      <c r="AA340" s="3"/>
      <c r="AB340" s="3"/>
      <c r="AC340" s="3"/>
    </row>
    <row r="341" spans="8:29" x14ac:dyDescent="0.45">
      <c r="H341" s="3"/>
      <c r="I341" s="3"/>
      <c r="J341" s="3"/>
      <c r="K341" s="3"/>
      <c r="L341" s="3"/>
      <c r="M341" s="3"/>
      <c r="N341" s="35"/>
      <c r="O341" s="35"/>
      <c r="P341" s="35"/>
      <c r="Q341" s="35"/>
      <c r="R341" s="35"/>
      <c r="S341" s="40"/>
      <c r="T341" s="3"/>
      <c r="U341" s="3"/>
      <c r="V341" s="3"/>
      <c r="W341" s="3"/>
      <c r="X341" s="3"/>
      <c r="Y341" s="3"/>
      <c r="Z341" s="3"/>
      <c r="AA341" s="3"/>
      <c r="AB341" s="3"/>
      <c r="AC341" s="3"/>
    </row>
    <row r="342" spans="8:29" x14ac:dyDescent="0.45">
      <c r="H342" s="3"/>
      <c r="I342" s="3"/>
      <c r="J342" s="3"/>
      <c r="K342" s="3"/>
      <c r="L342" s="3"/>
      <c r="M342" s="3"/>
      <c r="N342" s="35"/>
      <c r="O342" s="35"/>
      <c r="P342" s="35"/>
      <c r="Q342" s="35"/>
      <c r="R342" s="35"/>
      <c r="S342" s="40"/>
      <c r="T342" s="3"/>
      <c r="U342" s="3"/>
      <c r="V342" s="3"/>
      <c r="W342" s="3"/>
      <c r="X342" s="3"/>
      <c r="Y342" s="3"/>
      <c r="Z342" s="3"/>
      <c r="AA342" s="3"/>
      <c r="AB342" s="3"/>
      <c r="AC342" s="3"/>
    </row>
    <row r="343" spans="8:29" x14ac:dyDescent="0.45">
      <c r="H343" s="3"/>
      <c r="I343" s="3"/>
      <c r="J343" s="3"/>
      <c r="K343" s="3"/>
      <c r="L343" s="3"/>
      <c r="M343" s="3"/>
      <c r="N343" s="35"/>
      <c r="O343" s="35"/>
      <c r="P343" s="35"/>
      <c r="Q343" s="35"/>
      <c r="R343" s="35"/>
      <c r="S343" s="40"/>
      <c r="T343" s="3"/>
      <c r="U343" s="3"/>
      <c r="V343" s="3"/>
      <c r="W343" s="3"/>
      <c r="X343" s="3"/>
      <c r="Y343" s="3"/>
      <c r="Z343" s="3"/>
      <c r="AA343" s="3"/>
      <c r="AB343" s="3"/>
      <c r="AC343" s="3"/>
    </row>
    <row r="344" spans="8:29" x14ac:dyDescent="0.45">
      <c r="H344" s="3"/>
      <c r="I344" s="3"/>
      <c r="J344" s="3"/>
      <c r="K344" s="3"/>
      <c r="L344" s="3"/>
      <c r="M344" s="3"/>
      <c r="N344" s="35"/>
      <c r="O344" s="35"/>
      <c r="P344" s="35"/>
      <c r="Q344" s="35"/>
      <c r="R344" s="35"/>
      <c r="S344" s="40"/>
      <c r="T344" s="3"/>
      <c r="U344" s="3"/>
      <c r="V344" s="3"/>
      <c r="W344" s="3"/>
      <c r="X344" s="3"/>
      <c r="Y344" s="3"/>
      <c r="Z344" s="3"/>
      <c r="AA344" s="3"/>
      <c r="AB344" s="3"/>
      <c r="AC344" s="3"/>
    </row>
    <row r="345" spans="8:29" x14ac:dyDescent="0.45">
      <c r="H345" s="3"/>
      <c r="I345" s="3"/>
      <c r="J345" s="3"/>
      <c r="K345" s="3"/>
      <c r="L345" s="3"/>
      <c r="M345" s="3"/>
      <c r="N345" s="35"/>
      <c r="O345" s="35"/>
      <c r="P345" s="35"/>
      <c r="Q345" s="35"/>
      <c r="R345" s="35"/>
      <c r="S345" s="40"/>
      <c r="T345" s="3"/>
      <c r="U345" s="3"/>
      <c r="V345" s="3"/>
      <c r="W345" s="3"/>
      <c r="X345" s="3"/>
      <c r="Y345" s="3"/>
      <c r="Z345" s="3"/>
      <c r="AA345" s="3"/>
      <c r="AB345" s="3"/>
      <c r="AC345" s="3"/>
    </row>
    <row r="346" spans="8:29" x14ac:dyDescent="0.45">
      <c r="H346" s="3"/>
      <c r="I346" s="3"/>
      <c r="J346" s="3"/>
      <c r="K346" s="3"/>
      <c r="L346" s="3"/>
      <c r="M346" s="3"/>
      <c r="N346" s="35"/>
      <c r="O346" s="35"/>
      <c r="P346" s="35"/>
      <c r="Q346" s="35"/>
      <c r="R346" s="35"/>
      <c r="S346" s="40"/>
      <c r="T346" s="3"/>
      <c r="U346" s="3"/>
      <c r="V346" s="3"/>
      <c r="W346" s="3"/>
      <c r="X346" s="3"/>
      <c r="Y346" s="3"/>
      <c r="Z346" s="3"/>
      <c r="AA346" s="3"/>
      <c r="AB346" s="3"/>
      <c r="AC346" s="3"/>
    </row>
    <row r="347" spans="8:29" x14ac:dyDescent="0.45">
      <c r="H347" s="3"/>
      <c r="I347" s="3"/>
      <c r="J347" s="3"/>
      <c r="K347" s="3"/>
      <c r="L347" s="3"/>
      <c r="M347" s="3"/>
      <c r="N347" s="35"/>
      <c r="O347" s="35"/>
      <c r="P347" s="35"/>
      <c r="Q347" s="35"/>
      <c r="R347" s="35"/>
      <c r="S347" s="40"/>
      <c r="T347" s="3"/>
      <c r="U347" s="3"/>
      <c r="V347" s="3"/>
      <c r="W347" s="3"/>
      <c r="X347" s="3"/>
      <c r="Y347" s="3"/>
      <c r="Z347" s="3"/>
      <c r="AA347" s="3"/>
      <c r="AB347" s="3"/>
      <c r="AC347" s="3"/>
    </row>
    <row r="348" spans="8:29" x14ac:dyDescent="0.45">
      <c r="H348" s="3"/>
      <c r="I348" s="3"/>
      <c r="J348" s="3"/>
      <c r="K348" s="3"/>
      <c r="L348" s="3"/>
      <c r="M348" s="3"/>
      <c r="N348" s="35"/>
      <c r="O348" s="35"/>
      <c r="P348" s="35"/>
      <c r="Q348" s="35"/>
      <c r="R348" s="35"/>
      <c r="S348" s="40"/>
      <c r="T348" s="3"/>
      <c r="U348" s="3"/>
      <c r="V348" s="3"/>
      <c r="W348" s="3"/>
      <c r="X348" s="3"/>
      <c r="Y348" s="3"/>
      <c r="Z348" s="3"/>
      <c r="AA348" s="3"/>
      <c r="AB348" s="3"/>
      <c r="AC348" s="3"/>
    </row>
    <row r="349" spans="8:29" x14ac:dyDescent="0.45">
      <c r="H349" s="3"/>
      <c r="I349" s="3"/>
      <c r="J349" s="3"/>
      <c r="K349" s="3"/>
      <c r="L349" s="3"/>
      <c r="M349" s="3"/>
      <c r="N349" s="35"/>
      <c r="O349" s="35"/>
      <c r="P349" s="35"/>
      <c r="Q349" s="35"/>
      <c r="R349" s="35"/>
      <c r="S349" s="40"/>
      <c r="T349" s="3"/>
      <c r="U349" s="3"/>
      <c r="V349" s="3"/>
      <c r="W349" s="3"/>
      <c r="X349" s="3"/>
      <c r="Y349" s="3"/>
      <c r="Z349" s="3"/>
      <c r="AA349" s="3"/>
      <c r="AB349" s="3"/>
      <c r="AC349" s="3"/>
    </row>
    <row r="350" spans="8:29" x14ac:dyDescent="0.45">
      <c r="H350" s="3"/>
      <c r="I350" s="3"/>
      <c r="J350" s="3"/>
      <c r="K350" s="3"/>
      <c r="L350" s="3"/>
      <c r="M350" s="3"/>
      <c r="N350" s="35"/>
      <c r="O350" s="35"/>
      <c r="P350" s="35"/>
      <c r="Q350" s="35"/>
      <c r="R350" s="35"/>
      <c r="S350" s="40"/>
      <c r="T350" s="3"/>
      <c r="U350" s="3"/>
      <c r="V350" s="3"/>
      <c r="W350" s="3"/>
      <c r="X350" s="3"/>
      <c r="Y350" s="3"/>
      <c r="Z350" s="3"/>
      <c r="AA350" s="3"/>
      <c r="AB350" s="3"/>
      <c r="AC350" s="3"/>
    </row>
    <row r="351" spans="8:29" x14ac:dyDescent="0.45">
      <c r="H351" s="3"/>
      <c r="I351" s="3"/>
      <c r="J351" s="3"/>
      <c r="K351" s="3"/>
      <c r="L351" s="3"/>
      <c r="M351" s="3"/>
      <c r="N351" s="35"/>
      <c r="O351" s="35"/>
      <c r="P351" s="35"/>
      <c r="Q351" s="35"/>
      <c r="R351" s="35"/>
      <c r="S351" s="40"/>
      <c r="T351" s="3"/>
      <c r="U351" s="3"/>
      <c r="V351" s="3"/>
      <c r="W351" s="3"/>
      <c r="X351" s="3"/>
      <c r="Y351" s="3"/>
      <c r="Z351" s="3"/>
      <c r="AA351" s="3"/>
      <c r="AB351" s="3"/>
      <c r="AC351" s="3"/>
    </row>
    <row r="352" spans="8:29" x14ac:dyDescent="0.45">
      <c r="H352" s="3"/>
      <c r="I352" s="3"/>
      <c r="J352" s="3"/>
      <c r="K352" s="3"/>
      <c r="L352" s="3"/>
      <c r="M352" s="3"/>
      <c r="N352" s="35"/>
      <c r="O352" s="35"/>
      <c r="P352" s="35"/>
      <c r="Q352" s="35"/>
      <c r="R352" s="35"/>
      <c r="S352" s="40"/>
      <c r="T352" s="3"/>
      <c r="U352" s="3"/>
      <c r="V352" s="3"/>
      <c r="W352" s="3"/>
      <c r="X352" s="3"/>
      <c r="Y352" s="3"/>
      <c r="Z352" s="3"/>
      <c r="AA352" s="3"/>
      <c r="AB352" s="3"/>
      <c r="AC352" s="3"/>
    </row>
    <row r="353" spans="8:29" x14ac:dyDescent="0.45">
      <c r="H353" s="3"/>
      <c r="I353" s="3"/>
      <c r="J353" s="3"/>
      <c r="K353" s="3"/>
      <c r="L353" s="3"/>
      <c r="M353" s="3"/>
      <c r="N353" s="35"/>
      <c r="O353" s="35"/>
      <c r="P353" s="35"/>
      <c r="Q353" s="35"/>
      <c r="R353" s="35"/>
      <c r="S353" s="40"/>
      <c r="T353" s="3"/>
      <c r="U353" s="3"/>
      <c r="V353" s="3"/>
      <c r="W353" s="3"/>
      <c r="X353" s="3"/>
      <c r="Y353" s="3"/>
      <c r="Z353" s="3"/>
      <c r="AA353" s="3"/>
      <c r="AB353" s="3"/>
      <c r="AC353" s="3"/>
    </row>
    <row r="354" spans="8:29" x14ac:dyDescent="0.45">
      <c r="H354" s="3"/>
      <c r="I354" s="3"/>
      <c r="J354" s="3"/>
      <c r="K354" s="3"/>
      <c r="L354" s="3"/>
      <c r="M354" s="3"/>
      <c r="N354" s="35"/>
      <c r="O354" s="35"/>
      <c r="P354" s="35"/>
      <c r="Q354" s="35"/>
      <c r="R354" s="35"/>
      <c r="S354" s="40"/>
      <c r="T354" s="3"/>
      <c r="U354" s="3"/>
      <c r="V354" s="3"/>
      <c r="W354" s="3"/>
      <c r="X354" s="3"/>
      <c r="Y354" s="3"/>
      <c r="Z354" s="3"/>
      <c r="AA354" s="3"/>
      <c r="AB354" s="3"/>
      <c r="AC354" s="3"/>
    </row>
    <row r="355" spans="8:29" x14ac:dyDescent="0.45">
      <c r="H355" s="3"/>
      <c r="I355" s="3"/>
      <c r="J355" s="3"/>
      <c r="K355" s="3"/>
      <c r="L355" s="3"/>
      <c r="M355" s="3"/>
      <c r="N355" s="35"/>
      <c r="O355" s="35"/>
      <c r="P355" s="35"/>
      <c r="Q355" s="35"/>
      <c r="R355" s="35"/>
      <c r="S355" s="40"/>
      <c r="T355" s="3"/>
      <c r="U355" s="3"/>
      <c r="V355" s="3"/>
      <c r="W355" s="3"/>
      <c r="X355" s="3"/>
      <c r="Y355" s="3"/>
      <c r="Z355" s="3"/>
      <c r="AA355" s="3"/>
      <c r="AB355" s="3"/>
      <c r="AC355" s="3"/>
    </row>
    <row r="356" spans="8:29" x14ac:dyDescent="0.45">
      <c r="H356" s="3"/>
      <c r="I356" s="3"/>
      <c r="J356" s="3"/>
      <c r="K356" s="3"/>
      <c r="L356" s="3"/>
      <c r="M356" s="3"/>
      <c r="N356" s="35"/>
      <c r="O356" s="35"/>
      <c r="P356" s="35"/>
      <c r="Q356" s="35"/>
      <c r="R356" s="35"/>
      <c r="S356" s="40"/>
      <c r="T356" s="3"/>
      <c r="U356" s="3"/>
      <c r="V356" s="3"/>
      <c r="W356" s="3"/>
      <c r="X356" s="3"/>
      <c r="Y356" s="3"/>
      <c r="Z356" s="3"/>
      <c r="AA356" s="3"/>
      <c r="AB356" s="3"/>
      <c r="AC356" s="3"/>
    </row>
    <row r="357" spans="8:29" x14ac:dyDescent="0.45">
      <c r="H357" s="3"/>
      <c r="I357" s="3"/>
      <c r="J357" s="3"/>
      <c r="K357" s="3"/>
      <c r="L357" s="3"/>
      <c r="M357" s="3"/>
      <c r="N357" s="35"/>
      <c r="O357" s="35"/>
      <c r="P357" s="35"/>
      <c r="Q357" s="35"/>
      <c r="R357" s="35"/>
      <c r="S357" s="40"/>
      <c r="T357" s="3"/>
      <c r="U357" s="3"/>
      <c r="V357" s="3"/>
      <c r="W357" s="3"/>
      <c r="X357" s="3"/>
      <c r="Y357" s="3"/>
      <c r="Z357" s="3"/>
      <c r="AA357" s="3"/>
      <c r="AB357" s="3"/>
      <c r="AC357" s="3"/>
    </row>
    <row r="358" spans="8:29" x14ac:dyDescent="0.45">
      <c r="H358" s="3"/>
      <c r="I358" s="3"/>
      <c r="J358" s="3"/>
      <c r="K358" s="3"/>
      <c r="L358" s="3"/>
      <c r="M358" s="3"/>
      <c r="N358" s="35"/>
      <c r="O358" s="35"/>
      <c r="P358" s="35"/>
      <c r="Q358" s="35"/>
      <c r="R358" s="35"/>
      <c r="S358" s="40"/>
      <c r="T358" s="3"/>
      <c r="U358" s="3"/>
      <c r="V358" s="3"/>
      <c r="W358" s="3"/>
      <c r="X358" s="3"/>
      <c r="Y358" s="3"/>
      <c r="Z358" s="3"/>
      <c r="AA358" s="3"/>
      <c r="AB358" s="3"/>
      <c r="AC358" s="3"/>
    </row>
    <row r="359" spans="8:29" x14ac:dyDescent="0.45">
      <c r="H359" s="3"/>
      <c r="I359" s="3"/>
      <c r="J359" s="3"/>
      <c r="K359" s="3"/>
      <c r="L359" s="3"/>
      <c r="M359" s="3"/>
      <c r="N359" s="35"/>
      <c r="O359" s="35"/>
      <c r="P359" s="35"/>
      <c r="Q359" s="35"/>
      <c r="R359" s="35"/>
      <c r="S359" s="40"/>
      <c r="T359" s="3"/>
      <c r="U359" s="3"/>
      <c r="V359" s="3"/>
      <c r="W359" s="3"/>
      <c r="X359" s="3"/>
      <c r="Y359" s="3"/>
      <c r="Z359" s="3"/>
      <c r="AA359" s="3"/>
      <c r="AB359" s="3"/>
      <c r="AC359" s="3"/>
    </row>
    <row r="360" spans="8:29" x14ac:dyDescent="0.45">
      <c r="H360" s="3"/>
      <c r="I360" s="3"/>
      <c r="J360" s="3"/>
      <c r="K360" s="3"/>
      <c r="L360" s="3"/>
      <c r="M360" s="3"/>
      <c r="N360" s="35"/>
      <c r="O360" s="35"/>
      <c r="P360" s="35"/>
      <c r="Q360" s="35"/>
      <c r="R360" s="35"/>
      <c r="S360" s="40"/>
      <c r="T360" s="3"/>
      <c r="U360" s="3"/>
      <c r="V360" s="3"/>
      <c r="W360" s="3"/>
      <c r="X360" s="3"/>
      <c r="Y360" s="3"/>
      <c r="Z360" s="3"/>
      <c r="AA360" s="3"/>
      <c r="AB360" s="3"/>
      <c r="AC360" s="3"/>
    </row>
    <row r="361" spans="8:29" x14ac:dyDescent="0.45">
      <c r="H361" s="3"/>
      <c r="I361" s="3"/>
      <c r="J361" s="3"/>
      <c r="K361" s="3"/>
      <c r="L361" s="3"/>
      <c r="M361" s="3"/>
      <c r="N361" s="35"/>
      <c r="O361" s="35"/>
      <c r="P361" s="35"/>
      <c r="Q361" s="35"/>
      <c r="R361" s="35"/>
      <c r="S361" s="40"/>
      <c r="T361" s="3"/>
      <c r="U361" s="3"/>
      <c r="V361" s="3"/>
      <c r="W361" s="3"/>
      <c r="X361" s="3"/>
      <c r="Y361" s="3"/>
      <c r="Z361" s="3"/>
      <c r="AA361" s="3"/>
      <c r="AB361" s="3"/>
      <c r="AC361" s="3"/>
    </row>
    <row r="362" spans="8:29" x14ac:dyDescent="0.45">
      <c r="H362" s="3"/>
      <c r="I362" s="3"/>
      <c r="J362" s="3"/>
      <c r="K362" s="3"/>
      <c r="L362" s="3"/>
      <c r="M362" s="3"/>
      <c r="N362" s="35"/>
      <c r="O362" s="35"/>
      <c r="P362" s="35"/>
      <c r="Q362" s="35"/>
      <c r="R362" s="35"/>
      <c r="S362" s="40"/>
      <c r="T362" s="3"/>
      <c r="U362" s="3"/>
      <c r="V362" s="3"/>
      <c r="W362" s="3"/>
      <c r="X362" s="3"/>
      <c r="Y362" s="3"/>
      <c r="Z362" s="3"/>
      <c r="AA362" s="3"/>
      <c r="AB362" s="3"/>
      <c r="AC362" s="3"/>
    </row>
    <row r="363" spans="8:29" x14ac:dyDescent="0.45">
      <c r="H363" s="3"/>
      <c r="I363" s="3"/>
      <c r="J363" s="3"/>
      <c r="K363" s="3"/>
      <c r="L363" s="3"/>
      <c r="M363" s="3"/>
      <c r="N363" s="35"/>
      <c r="O363" s="35"/>
      <c r="P363" s="35"/>
      <c r="Q363" s="35"/>
      <c r="R363" s="35"/>
      <c r="S363" s="40"/>
      <c r="T363" s="3"/>
      <c r="U363" s="3"/>
      <c r="V363" s="3"/>
      <c r="W363" s="3"/>
      <c r="X363" s="3"/>
      <c r="Y363" s="3"/>
      <c r="Z363" s="3"/>
      <c r="AA363" s="3"/>
      <c r="AB363" s="3"/>
      <c r="AC363" s="3"/>
    </row>
    <row r="364" spans="8:29" x14ac:dyDescent="0.45">
      <c r="H364" s="3"/>
      <c r="I364" s="3"/>
      <c r="J364" s="3"/>
      <c r="K364" s="3"/>
      <c r="L364" s="3"/>
      <c r="M364" s="3"/>
      <c r="N364" s="35"/>
      <c r="O364" s="35"/>
      <c r="P364" s="35"/>
      <c r="Q364" s="35"/>
      <c r="R364" s="35"/>
      <c r="S364" s="40"/>
      <c r="T364" s="3"/>
      <c r="U364" s="3"/>
      <c r="V364" s="3"/>
      <c r="W364" s="3"/>
      <c r="X364" s="3"/>
      <c r="Y364" s="3"/>
      <c r="Z364" s="3"/>
      <c r="AA364" s="3"/>
      <c r="AB364" s="3"/>
      <c r="AC364" s="3"/>
    </row>
    <row r="365" spans="8:29" x14ac:dyDescent="0.45">
      <c r="H365" s="3"/>
      <c r="I365" s="3"/>
      <c r="J365" s="3"/>
      <c r="K365" s="3"/>
      <c r="L365" s="3"/>
      <c r="M365" s="3"/>
      <c r="N365" s="35"/>
      <c r="O365" s="35"/>
      <c r="P365" s="35"/>
      <c r="Q365" s="35"/>
      <c r="R365" s="35"/>
      <c r="S365" s="40"/>
      <c r="T365" s="3"/>
      <c r="U365" s="3"/>
      <c r="V365" s="3"/>
      <c r="W365" s="3"/>
      <c r="X365" s="3"/>
      <c r="Y365" s="3"/>
      <c r="Z365" s="3"/>
      <c r="AA365" s="3"/>
      <c r="AB365" s="3"/>
      <c r="AC365" s="3"/>
    </row>
    <row r="366" spans="8:29" x14ac:dyDescent="0.45">
      <c r="H366" s="3"/>
      <c r="I366" s="3"/>
      <c r="J366" s="3"/>
      <c r="K366" s="3"/>
      <c r="L366" s="3"/>
      <c r="M366" s="3"/>
      <c r="N366" s="35"/>
      <c r="O366" s="35"/>
      <c r="P366" s="35"/>
      <c r="Q366" s="35"/>
      <c r="R366" s="35"/>
      <c r="S366" s="40"/>
      <c r="T366" s="3"/>
      <c r="U366" s="3"/>
      <c r="V366" s="3"/>
      <c r="W366" s="3"/>
      <c r="X366" s="3"/>
      <c r="Y366" s="3"/>
      <c r="Z366" s="3"/>
      <c r="AA366" s="3"/>
      <c r="AB366" s="3"/>
      <c r="AC366" s="3"/>
    </row>
    <row r="367" spans="8:29" x14ac:dyDescent="0.45">
      <c r="H367" s="3"/>
      <c r="I367" s="3"/>
      <c r="J367" s="3"/>
      <c r="K367" s="3"/>
      <c r="L367" s="3"/>
      <c r="M367" s="3"/>
      <c r="N367" s="35"/>
      <c r="O367" s="35"/>
      <c r="P367" s="35"/>
      <c r="Q367" s="35"/>
      <c r="R367" s="35"/>
      <c r="S367" s="40"/>
      <c r="T367" s="3"/>
      <c r="U367" s="3"/>
      <c r="V367" s="3"/>
      <c r="W367" s="3"/>
      <c r="X367" s="3"/>
      <c r="Y367" s="3"/>
      <c r="Z367" s="3"/>
      <c r="AA367" s="3"/>
      <c r="AB367" s="3"/>
      <c r="AC367" s="3"/>
    </row>
    <row r="368" spans="8:29" x14ac:dyDescent="0.45">
      <c r="H368" s="3"/>
      <c r="I368" s="3"/>
      <c r="J368" s="3"/>
      <c r="K368" s="3"/>
      <c r="L368" s="3"/>
      <c r="M368" s="3"/>
      <c r="N368" s="35"/>
      <c r="O368" s="35"/>
      <c r="P368" s="35"/>
      <c r="Q368" s="35"/>
      <c r="R368" s="35"/>
      <c r="S368" s="40"/>
      <c r="T368" s="3"/>
      <c r="U368" s="3"/>
      <c r="V368" s="3"/>
      <c r="W368" s="3"/>
      <c r="X368" s="3"/>
      <c r="Y368" s="3"/>
      <c r="Z368" s="3"/>
      <c r="AA368" s="3"/>
      <c r="AB368" s="3"/>
      <c r="AC368" s="3"/>
    </row>
    <row r="369" spans="8:29" x14ac:dyDescent="0.45">
      <c r="H369" s="3"/>
      <c r="I369" s="3"/>
      <c r="J369" s="3"/>
      <c r="K369" s="3"/>
      <c r="L369" s="3"/>
      <c r="M369" s="3"/>
      <c r="N369" s="35"/>
      <c r="O369" s="35"/>
      <c r="P369" s="35"/>
      <c r="Q369" s="35"/>
      <c r="R369" s="35"/>
      <c r="S369" s="40"/>
      <c r="T369" s="3"/>
      <c r="U369" s="3"/>
      <c r="V369" s="3"/>
      <c r="W369" s="3"/>
      <c r="X369" s="3"/>
      <c r="Y369" s="3"/>
      <c r="Z369" s="3"/>
      <c r="AA369" s="3"/>
      <c r="AB369" s="3"/>
      <c r="AC369" s="3"/>
    </row>
    <row r="370" spans="8:29" x14ac:dyDescent="0.45">
      <c r="H370" s="3"/>
      <c r="I370" s="3"/>
      <c r="J370" s="3"/>
      <c r="K370" s="3"/>
      <c r="L370" s="3"/>
      <c r="M370" s="3"/>
      <c r="N370" s="35"/>
      <c r="O370" s="35"/>
      <c r="P370" s="35"/>
      <c r="Q370" s="35"/>
      <c r="R370" s="35"/>
      <c r="S370" s="40"/>
      <c r="T370" s="3"/>
      <c r="U370" s="3"/>
      <c r="V370" s="3"/>
      <c r="W370" s="3"/>
      <c r="X370" s="3"/>
      <c r="Y370" s="3"/>
      <c r="Z370" s="3"/>
      <c r="AA370" s="3"/>
      <c r="AB370" s="3"/>
      <c r="AC370" s="3"/>
    </row>
    <row r="371" spans="8:29" x14ac:dyDescent="0.45">
      <c r="H371" s="3"/>
      <c r="I371" s="3"/>
      <c r="J371" s="3"/>
      <c r="K371" s="3"/>
      <c r="L371" s="3"/>
      <c r="M371" s="3"/>
      <c r="N371" s="35"/>
      <c r="O371" s="35"/>
      <c r="P371" s="35"/>
      <c r="Q371" s="35"/>
      <c r="R371" s="35"/>
      <c r="S371" s="40"/>
      <c r="T371" s="3"/>
      <c r="U371" s="3"/>
      <c r="V371" s="3"/>
      <c r="W371" s="3"/>
      <c r="X371" s="3"/>
      <c r="Y371" s="3"/>
      <c r="Z371" s="3"/>
      <c r="AA371" s="3"/>
      <c r="AB371" s="3"/>
      <c r="AC371" s="3"/>
    </row>
    <row r="372" spans="8:29" x14ac:dyDescent="0.45">
      <c r="H372" s="3"/>
      <c r="I372" s="3"/>
      <c r="J372" s="3"/>
      <c r="K372" s="3"/>
      <c r="L372" s="3"/>
      <c r="M372" s="3"/>
      <c r="N372" s="35"/>
      <c r="O372" s="35"/>
      <c r="P372" s="35"/>
      <c r="Q372" s="35"/>
      <c r="R372" s="35"/>
      <c r="S372" s="40"/>
      <c r="T372" s="3"/>
      <c r="U372" s="3"/>
      <c r="V372" s="3"/>
      <c r="W372" s="3"/>
      <c r="X372" s="3"/>
      <c r="Y372" s="3"/>
      <c r="Z372" s="3"/>
      <c r="AA372" s="3"/>
      <c r="AB372" s="3"/>
      <c r="AC372" s="3"/>
    </row>
    <row r="373" spans="8:29" x14ac:dyDescent="0.45">
      <c r="H373" s="3"/>
      <c r="I373" s="3"/>
      <c r="J373" s="3"/>
      <c r="K373" s="3"/>
      <c r="L373" s="3"/>
      <c r="M373" s="3"/>
      <c r="N373" s="35"/>
      <c r="O373" s="35"/>
      <c r="P373" s="35"/>
      <c r="Q373" s="35"/>
      <c r="R373" s="35"/>
      <c r="S373" s="40"/>
      <c r="T373" s="3"/>
      <c r="U373" s="3"/>
      <c r="V373" s="3"/>
      <c r="W373" s="3"/>
      <c r="X373" s="3"/>
      <c r="Y373" s="3"/>
      <c r="Z373" s="3"/>
      <c r="AA373" s="3"/>
      <c r="AB373" s="3"/>
      <c r="AC373" s="3"/>
    </row>
    <row r="374" spans="8:29" x14ac:dyDescent="0.45">
      <c r="H374" s="3"/>
      <c r="I374" s="3"/>
      <c r="J374" s="3"/>
      <c r="K374" s="3"/>
      <c r="L374" s="3"/>
      <c r="M374" s="3"/>
      <c r="N374" s="35"/>
      <c r="O374" s="35"/>
      <c r="P374" s="35"/>
      <c r="Q374" s="35"/>
      <c r="R374" s="35"/>
      <c r="S374" s="40"/>
      <c r="T374" s="3"/>
      <c r="U374" s="3"/>
      <c r="V374" s="3"/>
      <c r="W374" s="3"/>
      <c r="X374" s="3"/>
      <c r="Y374" s="3"/>
      <c r="Z374" s="3"/>
      <c r="AA374" s="3"/>
      <c r="AB374" s="3"/>
      <c r="AC374" s="3"/>
    </row>
    <row r="375" spans="8:29" x14ac:dyDescent="0.45">
      <c r="H375" s="3"/>
      <c r="I375" s="3"/>
      <c r="J375" s="3"/>
      <c r="K375" s="3"/>
      <c r="L375" s="3"/>
      <c r="M375" s="3"/>
      <c r="N375" s="35"/>
      <c r="O375" s="35"/>
      <c r="P375" s="35"/>
      <c r="Q375" s="35"/>
      <c r="R375" s="35"/>
      <c r="S375" s="40"/>
      <c r="T375" s="3"/>
      <c r="U375" s="3"/>
      <c r="V375" s="3"/>
      <c r="W375" s="3"/>
      <c r="X375" s="3"/>
      <c r="Y375" s="3"/>
      <c r="Z375" s="3"/>
      <c r="AA375" s="3"/>
      <c r="AB375" s="3"/>
      <c r="AC375" s="3"/>
    </row>
    <row r="376" spans="8:29" x14ac:dyDescent="0.45">
      <c r="H376" s="3"/>
      <c r="I376" s="3"/>
      <c r="J376" s="3"/>
      <c r="K376" s="3"/>
      <c r="L376" s="3"/>
      <c r="M376" s="3"/>
      <c r="N376" s="35"/>
      <c r="O376" s="35"/>
      <c r="P376" s="35"/>
      <c r="Q376" s="35"/>
      <c r="R376" s="35"/>
      <c r="S376" s="40"/>
      <c r="T376" s="3"/>
      <c r="U376" s="3"/>
      <c r="V376" s="3"/>
      <c r="W376" s="3"/>
      <c r="X376" s="3"/>
      <c r="Y376" s="3"/>
      <c r="Z376" s="3"/>
      <c r="AA376" s="3"/>
      <c r="AB376" s="3"/>
      <c r="AC376" s="3"/>
    </row>
    <row r="377" spans="8:29" x14ac:dyDescent="0.45">
      <c r="H377" s="3"/>
      <c r="I377" s="3"/>
      <c r="J377" s="3"/>
      <c r="K377" s="3"/>
      <c r="L377" s="3"/>
      <c r="M377" s="3"/>
      <c r="N377" s="35"/>
      <c r="O377" s="35"/>
      <c r="P377" s="35"/>
      <c r="Q377" s="35"/>
      <c r="R377" s="35"/>
      <c r="S377" s="40"/>
      <c r="T377" s="3"/>
      <c r="U377" s="3"/>
      <c r="V377" s="3"/>
      <c r="W377" s="3"/>
      <c r="X377" s="3"/>
      <c r="Y377" s="3"/>
      <c r="Z377" s="3"/>
      <c r="AA377" s="3"/>
      <c r="AB377" s="3"/>
      <c r="AC377" s="3"/>
    </row>
    <row r="378" spans="8:29" x14ac:dyDescent="0.45">
      <c r="H378" s="3"/>
      <c r="I378" s="3"/>
      <c r="J378" s="3"/>
      <c r="K378" s="3"/>
      <c r="L378" s="3"/>
      <c r="M378" s="3"/>
      <c r="N378" s="35"/>
      <c r="O378" s="35"/>
      <c r="P378" s="35"/>
      <c r="Q378" s="35"/>
      <c r="R378" s="35"/>
      <c r="S378" s="40"/>
      <c r="T378" s="3"/>
      <c r="U378" s="3"/>
      <c r="V378" s="3"/>
      <c r="W378" s="3"/>
      <c r="X378" s="3"/>
      <c r="Y378" s="3"/>
      <c r="Z378" s="3"/>
      <c r="AA378" s="3"/>
      <c r="AB378" s="3"/>
      <c r="AC378" s="3"/>
    </row>
    <row r="379" spans="8:29" x14ac:dyDescent="0.45">
      <c r="H379" s="3"/>
      <c r="I379" s="3"/>
      <c r="J379" s="3"/>
      <c r="K379" s="3"/>
      <c r="L379" s="3"/>
      <c r="M379" s="3"/>
      <c r="N379" s="35"/>
      <c r="O379" s="35"/>
      <c r="P379" s="35"/>
      <c r="Q379" s="35"/>
      <c r="R379" s="35"/>
      <c r="S379" s="40"/>
      <c r="T379" s="3"/>
      <c r="U379" s="3"/>
      <c r="V379" s="3"/>
      <c r="W379" s="3"/>
      <c r="X379" s="3"/>
      <c r="Y379" s="3"/>
      <c r="Z379" s="3"/>
      <c r="AA379" s="3"/>
      <c r="AB379" s="3"/>
      <c r="AC379" s="3"/>
    </row>
    <row r="380" spans="8:29" x14ac:dyDescent="0.45">
      <c r="H380" s="3"/>
      <c r="I380" s="3"/>
      <c r="J380" s="3"/>
      <c r="K380" s="3"/>
      <c r="L380" s="3"/>
      <c r="M380" s="3"/>
      <c r="N380" s="35"/>
      <c r="O380" s="35"/>
      <c r="P380" s="35"/>
      <c r="Q380" s="35"/>
      <c r="R380" s="35"/>
      <c r="S380" s="40"/>
      <c r="T380" s="3"/>
      <c r="U380" s="3"/>
      <c r="V380" s="3"/>
      <c r="W380" s="3"/>
      <c r="X380" s="3"/>
      <c r="Y380" s="3"/>
      <c r="Z380" s="3"/>
      <c r="AA380" s="3"/>
      <c r="AB380" s="3"/>
      <c r="AC380" s="3"/>
    </row>
    <row r="381" spans="8:29" x14ac:dyDescent="0.45">
      <c r="H381" s="3"/>
      <c r="I381" s="3"/>
      <c r="J381" s="3"/>
      <c r="K381" s="3"/>
      <c r="L381" s="3"/>
      <c r="M381" s="3"/>
      <c r="N381" s="35"/>
      <c r="O381" s="35"/>
      <c r="P381" s="35"/>
      <c r="Q381" s="35"/>
      <c r="R381" s="35"/>
      <c r="S381" s="40"/>
      <c r="T381" s="3"/>
      <c r="U381" s="3"/>
      <c r="V381" s="3"/>
      <c r="W381" s="3"/>
      <c r="X381" s="3"/>
      <c r="Y381" s="3"/>
      <c r="Z381" s="3"/>
      <c r="AA381" s="3"/>
      <c r="AB381" s="3"/>
      <c r="AC381" s="3"/>
    </row>
    <row r="382" spans="8:29" x14ac:dyDescent="0.45">
      <c r="H382" s="3"/>
      <c r="I382" s="3"/>
      <c r="J382" s="3"/>
      <c r="K382" s="3"/>
      <c r="L382" s="3"/>
      <c r="M382" s="3"/>
      <c r="N382" s="35"/>
      <c r="O382" s="35"/>
      <c r="P382" s="35"/>
      <c r="Q382" s="35"/>
      <c r="R382" s="35"/>
      <c r="S382" s="40"/>
      <c r="T382" s="3"/>
      <c r="U382" s="3"/>
      <c r="V382" s="3"/>
      <c r="W382" s="3"/>
      <c r="X382" s="3"/>
      <c r="Y382" s="3"/>
      <c r="Z382" s="3"/>
      <c r="AA382" s="3"/>
      <c r="AB382" s="3"/>
      <c r="AC382" s="3"/>
    </row>
    <row r="383" spans="8:29" x14ac:dyDescent="0.45">
      <c r="H383" s="3"/>
      <c r="I383" s="3"/>
      <c r="J383" s="3"/>
      <c r="K383" s="3"/>
      <c r="L383" s="3"/>
      <c r="M383" s="3"/>
      <c r="N383" s="35"/>
      <c r="O383" s="35"/>
      <c r="P383" s="35"/>
      <c r="Q383" s="35"/>
      <c r="R383" s="35"/>
      <c r="S383" s="40"/>
      <c r="T383" s="3"/>
      <c r="U383" s="3"/>
      <c r="V383" s="3"/>
      <c r="W383" s="3"/>
      <c r="X383" s="3"/>
      <c r="Y383" s="3"/>
      <c r="Z383" s="3"/>
      <c r="AA383" s="3"/>
      <c r="AB383" s="3"/>
      <c r="AC383" s="3"/>
    </row>
    <row r="384" spans="8:29" x14ac:dyDescent="0.45">
      <c r="H384" s="3"/>
      <c r="I384" s="3"/>
      <c r="J384" s="3"/>
      <c r="K384" s="3"/>
      <c r="L384" s="3"/>
      <c r="M384" s="3"/>
      <c r="N384" s="35"/>
      <c r="O384" s="35"/>
      <c r="P384" s="35"/>
      <c r="Q384" s="35"/>
      <c r="R384" s="35"/>
      <c r="S384" s="40"/>
      <c r="T384" s="3"/>
      <c r="U384" s="3"/>
      <c r="V384" s="3"/>
      <c r="W384" s="3"/>
      <c r="X384" s="3"/>
      <c r="Y384" s="3"/>
      <c r="Z384" s="3"/>
      <c r="AA384" s="3"/>
      <c r="AB384" s="3"/>
      <c r="AC384" s="3"/>
    </row>
    <row r="385" spans="8:29" x14ac:dyDescent="0.45">
      <c r="H385" s="3"/>
      <c r="I385" s="3"/>
      <c r="J385" s="3"/>
      <c r="K385" s="3"/>
      <c r="L385" s="3"/>
      <c r="M385" s="3"/>
      <c r="N385" s="35"/>
      <c r="O385" s="35"/>
      <c r="P385" s="35"/>
      <c r="Q385" s="35"/>
      <c r="R385" s="35"/>
      <c r="S385" s="40"/>
      <c r="T385" s="3"/>
      <c r="U385" s="3"/>
      <c r="V385" s="3"/>
      <c r="W385" s="3"/>
      <c r="X385" s="3"/>
      <c r="Y385" s="3"/>
      <c r="Z385" s="3"/>
      <c r="AA385" s="3"/>
      <c r="AB385" s="3"/>
      <c r="AC385" s="3"/>
    </row>
    <row r="386" spans="8:29" x14ac:dyDescent="0.45">
      <c r="H386" s="3"/>
      <c r="I386" s="3"/>
      <c r="J386" s="3"/>
      <c r="K386" s="3"/>
      <c r="L386" s="3"/>
      <c r="M386" s="3"/>
      <c r="N386" s="35"/>
      <c r="O386" s="35"/>
      <c r="P386" s="35"/>
      <c r="Q386" s="35"/>
      <c r="R386" s="35"/>
      <c r="S386" s="40"/>
      <c r="T386" s="3"/>
      <c r="U386" s="3"/>
      <c r="V386" s="3"/>
      <c r="W386" s="3"/>
      <c r="X386" s="3"/>
      <c r="Y386" s="3"/>
      <c r="Z386" s="3"/>
      <c r="AA386" s="3"/>
      <c r="AB386" s="3"/>
      <c r="AC386" s="3"/>
    </row>
    <row r="387" spans="8:29" x14ac:dyDescent="0.45">
      <c r="H387" s="3"/>
      <c r="I387" s="3"/>
      <c r="J387" s="3"/>
      <c r="K387" s="3"/>
      <c r="L387" s="3"/>
      <c r="M387" s="3"/>
      <c r="N387" s="35"/>
      <c r="O387" s="35"/>
      <c r="P387" s="35"/>
      <c r="Q387" s="35"/>
      <c r="R387" s="35"/>
      <c r="S387" s="40"/>
      <c r="T387" s="3"/>
      <c r="U387" s="3"/>
      <c r="V387" s="3"/>
      <c r="W387" s="3"/>
      <c r="X387" s="3"/>
      <c r="Y387" s="3"/>
      <c r="Z387" s="3"/>
      <c r="AA387" s="3"/>
      <c r="AB387" s="3"/>
      <c r="AC387" s="3"/>
    </row>
    <row r="388" spans="8:29" x14ac:dyDescent="0.45">
      <c r="H388" s="3"/>
      <c r="I388" s="3"/>
      <c r="J388" s="3"/>
      <c r="K388" s="3"/>
      <c r="L388" s="3"/>
      <c r="M388" s="3"/>
      <c r="N388" s="35"/>
      <c r="O388" s="35"/>
      <c r="P388" s="35"/>
      <c r="Q388" s="35"/>
      <c r="R388" s="35"/>
      <c r="S388" s="40"/>
      <c r="T388" s="3"/>
      <c r="U388" s="3"/>
      <c r="V388" s="3"/>
      <c r="W388" s="3"/>
      <c r="X388" s="3"/>
      <c r="Y388" s="3"/>
      <c r="Z388" s="3"/>
      <c r="AA388" s="3"/>
      <c r="AB388" s="3"/>
      <c r="AC388" s="3"/>
    </row>
    <row r="389" spans="8:29" x14ac:dyDescent="0.45">
      <c r="H389" s="3"/>
      <c r="I389" s="3"/>
      <c r="J389" s="3"/>
      <c r="K389" s="3"/>
      <c r="L389" s="3"/>
      <c r="M389" s="3"/>
      <c r="N389" s="35"/>
      <c r="O389" s="35"/>
      <c r="P389" s="35"/>
      <c r="Q389" s="35"/>
      <c r="R389" s="35"/>
      <c r="S389" s="40"/>
      <c r="T389" s="3"/>
      <c r="U389" s="3"/>
      <c r="V389" s="3"/>
      <c r="W389" s="3"/>
      <c r="X389" s="3"/>
      <c r="Y389" s="3"/>
      <c r="Z389" s="3"/>
      <c r="AA389" s="3"/>
      <c r="AB389" s="3"/>
      <c r="AC389" s="3"/>
    </row>
    <row r="390" spans="8:29" x14ac:dyDescent="0.45">
      <c r="H390" s="3"/>
      <c r="I390" s="3"/>
      <c r="J390" s="3"/>
      <c r="K390" s="3"/>
      <c r="L390" s="3"/>
      <c r="M390" s="3"/>
      <c r="N390" s="35"/>
      <c r="O390" s="35"/>
      <c r="P390" s="35"/>
      <c r="Q390" s="35"/>
      <c r="R390" s="35"/>
      <c r="S390" s="40"/>
      <c r="T390" s="3"/>
      <c r="U390" s="3"/>
      <c r="V390" s="3"/>
      <c r="W390" s="3"/>
      <c r="X390" s="3"/>
      <c r="Y390" s="3"/>
      <c r="Z390" s="3"/>
      <c r="AA390" s="3"/>
      <c r="AB390" s="3"/>
      <c r="AC390" s="3"/>
    </row>
    <row r="391" spans="8:29" x14ac:dyDescent="0.45">
      <c r="H391" s="3"/>
      <c r="I391" s="3"/>
      <c r="J391" s="3"/>
      <c r="K391" s="3"/>
      <c r="L391" s="3"/>
      <c r="M391" s="3"/>
      <c r="N391" s="35"/>
      <c r="O391" s="35"/>
      <c r="P391" s="35"/>
      <c r="Q391" s="35"/>
      <c r="R391" s="35"/>
      <c r="S391" s="40"/>
      <c r="T391" s="3"/>
      <c r="U391" s="3"/>
      <c r="V391" s="3"/>
      <c r="W391" s="3"/>
      <c r="X391" s="3"/>
      <c r="Y391" s="3"/>
      <c r="Z391" s="3"/>
      <c r="AA391" s="3"/>
      <c r="AB391" s="3"/>
      <c r="AC391" s="3"/>
    </row>
    <row r="392" spans="8:29" x14ac:dyDescent="0.45">
      <c r="H392" s="3"/>
      <c r="I392" s="3"/>
      <c r="J392" s="3"/>
      <c r="K392" s="3"/>
      <c r="L392" s="3"/>
      <c r="M392" s="3"/>
      <c r="N392" s="35"/>
      <c r="O392" s="35"/>
      <c r="P392" s="35"/>
      <c r="Q392" s="35"/>
      <c r="R392" s="35"/>
      <c r="S392" s="40"/>
      <c r="T392" s="3"/>
      <c r="U392" s="3"/>
      <c r="V392" s="3"/>
      <c r="W392" s="3"/>
      <c r="X392" s="3"/>
      <c r="Y392" s="3"/>
      <c r="Z392" s="3"/>
      <c r="AA392" s="3"/>
      <c r="AB392" s="3"/>
      <c r="AC392" s="3"/>
    </row>
    <row r="393" spans="8:29" x14ac:dyDescent="0.45">
      <c r="H393" s="3"/>
      <c r="I393" s="3"/>
      <c r="J393" s="3"/>
      <c r="K393" s="3"/>
      <c r="L393" s="3"/>
      <c r="M393" s="3"/>
      <c r="N393" s="35"/>
      <c r="O393" s="35"/>
      <c r="P393" s="35"/>
      <c r="Q393" s="35"/>
      <c r="R393" s="35"/>
      <c r="S393" s="40"/>
      <c r="T393" s="3"/>
      <c r="U393" s="3"/>
      <c r="V393" s="3"/>
      <c r="W393" s="3"/>
      <c r="X393" s="3"/>
      <c r="Y393" s="3"/>
      <c r="Z393" s="3"/>
      <c r="AA393" s="3"/>
      <c r="AB393" s="3"/>
      <c r="AC393" s="3"/>
    </row>
    <row r="394" spans="8:29" x14ac:dyDescent="0.45">
      <c r="H394" s="3"/>
      <c r="I394" s="3"/>
      <c r="J394" s="3"/>
      <c r="K394" s="3"/>
      <c r="L394" s="3"/>
      <c r="M394" s="3"/>
      <c r="N394" s="35"/>
      <c r="O394" s="35"/>
      <c r="P394" s="35"/>
      <c r="Q394" s="35"/>
      <c r="R394" s="35"/>
      <c r="S394" s="40"/>
      <c r="T394" s="3"/>
      <c r="U394" s="3"/>
      <c r="V394" s="3"/>
      <c r="W394" s="3"/>
      <c r="X394" s="3"/>
      <c r="Y394" s="3"/>
      <c r="Z394" s="3"/>
      <c r="AA394" s="3"/>
      <c r="AB394" s="3"/>
      <c r="AC394" s="3"/>
    </row>
    <row r="395" spans="8:29" x14ac:dyDescent="0.45">
      <c r="H395" s="3"/>
      <c r="I395" s="3"/>
      <c r="J395" s="3"/>
      <c r="K395" s="3"/>
      <c r="L395" s="3"/>
      <c r="M395" s="3"/>
      <c r="N395" s="35"/>
      <c r="O395" s="35"/>
      <c r="P395" s="35"/>
      <c r="Q395" s="35"/>
      <c r="R395" s="35"/>
      <c r="S395" s="40"/>
      <c r="T395" s="3"/>
      <c r="U395" s="3"/>
      <c r="V395" s="3"/>
      <c r="W395" s="3"/>
      <c r="X395" s="3"/>
      <c r="Y395" s="3"/>
      <c r="Z395" s="3"/>
      <c r="AA395" s="3"/>
      <c r="AB395" s="3"/>
      <c r="AC395" s="3"/>
    </row>
    <row r="396" spans="8:29" x14ac:dyDescent="0.45">
      <c r="H396" s="3"/>
      <c r="I396" s="3"/>
      <c r="J396" s="3"/>
      <c r="K396" s="3"/>
      <c r="L396" s="3"/>
      <c r="M396" s="3"/>
      <c r="N396" s="35"/>
      <c r="O396" s="35"/>
      <c r="P396" s="35"/>
      <c r="Q396" s="35"/>
      <c r="R396" s="35"/>
      <c r="S396" s="40"/>
      <c r="T396" s="3"/>
      <c r="U396" s="3"/>
      <c r="V396" s="3"/>
      <c r="W396" s="3"/>
      <c r="X396" s="3"/>
      <c r="Y396" s="3"/>
      <c r="Z396" s="3"/>
      <c r="AA396" s="3"/>
      <c r="AB396" s="3"/>
      <c r="AC396" s="3"/>
    </row>
  </sheetData>
  <sortState xmlns:xlrd2="http://schemas.microsoft.com/office/spreadsheetml/2017/richdata2" ref="A2:G567">
    <sortCondition descending="1" ref="A2:A567"/>
  </sortState>
  <pageMargins left="0.7" right="0.7" top="0.75" bottom="0.75" header="0.3" footer="0.3"/>
  <ignoredErrors>
    <ignoredError sqref="I2:J221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BUD data</vt:lpstr>
      <vt:lpstr>Bud vs Call</vt:lpstr>
      <vt:lpstr>ATR monthly BUD</vt:lpstr>
      <vt:lpstr>ATR quarterly BUD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markj</cp:lastModifiedBy>
  <dcterms:created xsi:type="dcterms:W3CDTF">2019-09-09T16:22:13Z</dcterms:created>
  <dcterms:modified xsi:type="dcterms:W3CDTF">2021-10-23T12:32:24Z</dcterms:modified>
</cp:coreProperties>
</file>