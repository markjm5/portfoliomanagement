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arkj\Desktop\Trading Excel Files\"/>
    </mc:Choice>
  </mc:AlternateContent>
  <xr:revisionPtr revIDLastSave="0" documentId="13_ncr:1_{C1522FA5-2F0C-4041-8A9E-9EF91E7F7A92}" xr6:coauthVersionLast="47" xr6:coauthVersionMax="47" xr10:uidLastSave="{00000000-0000-0000-0000-000000000000}"/>
  <bookViews>
    <workbookView xWindow="3353" yWindow="915" windowWidth="21997" windowHeight="9285" firstSheet="3" activeTab="8" xr2:uid="{BB9239A1-57CD-4528-B1AB-CDD2DA475B13}"/>
  </bookViews>
  <sheets>
    <sheet name="Note" sheetId="13" r:id="rId1"/>
    <sheet name="Portfolio" sheetId="10" r:id="rId2"/>
    <sheet name="Portfolio Track-Record" sheetId="11" r:id="rId3"/>
    <sheet name="Sharpe Ratio" sheetId="1" r:id="rId4"/>
    <sheet name="Risk Free Rate" sheetId="3" r:id="rId5"/>
    <sheet name="Track Record Monthly" sheetId="6" r:id="rId6"/>
    <sheet name="P&amp;L by country" sheetId="8" r:id="rId7"/>
    <sheet name="P&amp;L study" sheetId="12" r:id="rId8"/>
    <sheet name="Kelly Criterion" sheetId="9" r:id="rId9"/>
  </sheets>
  <definedNames>
    <definedName name="_xlnm._FilterDatabase" localSheetId="8" hidden="1">'Kelly Criterion'!#REF!</definedName>
    <definedName name="_xlnm._FilterDatabase" localSheetId="1" hidden="1">Portfolio!$B$67:$K$67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7" i="10" l="1"/>
  <c r="G68" i="10"/>
  <c r="H68" i="10" l="1"/>
  <c r="I68" i="10" s="1"/>
  <c r="U5" i="12"/>
  <c r="T5" i="12"/>
  <c r="I5" i="12"/>
  <c r="J5" i="12" s="1"/>
  <c r="H5" i="12"/>
  <c r="S5" i="12"/>
  <c r="U14" i="12" s="1"/>
  <c r="R5" i="12"/>
  <c r="G5" i="12"/>
  <c r="I14" i="12" s="1"/>
  <c r="P5" i="12"/>
  <c r="Q5" i="12" s="1"/>
  <c r="N5" i="12"/>
  <c r="B5" i="12"/>
  <c r="E5" i="12" s="1"/>
  <c r="D5" i="12"/>
  <c r="F5" i="12"/>
  <c r="K68" i="10" l="1"/>
  <c r="G10" i="11"/>
  <c r="G11" i="11"/>
  <c r="G12" i="11"/>
  <c r="G13" i="11"/>
  <c r="H13" i="11" s="1"/>
  <c r="G14" i="11"/>
  <c r="H14" i="11" s="1"/>
  <c r="G15" i="11"/>
  <c r="H15" i="11" s="1"/>
  <c r="G16" i="11"/>
  <c r="H16" i="11" s="1"/>
  <c r="G17" i="11"/>
  <c r="H17" i="11" s="1"/>
  <c r="G18" i="11"/>
  <c r="G19" i="11"/>
  <c r="H19" i="11" s="1"/>
  <c r="G20" i="11"/>
  <c r="H20" i="11" s="1"/>
  <c r="G21" i="11"/>
  <c r="H21" i="11" s="1"/>
  <c r="G22" i="11"/>
  <c r="G23" i="11"/>
  <c r="G24" i="11"/>
  <c r="G25" i="11"/>
  <c r="G26" i="11"/>
  <c r="G27" i="11"/>
  <c r="G28" i="11"/>
  <c r="H28" i="11" s="1"/>
  <c r="G29" i="11"/>
  <c r="H29" i="11" s="1"/>
  <c r="G30" i="11"/>
  <c r="H30" i="11" s="1"/>
  <c r="G31" i="11"/>
  <c r="H31" i="11" s="1"/>
  <c r="G32" i="11"/>
  <c r="H32" i="11" s="1"/>
  <c r="G33" i="11"/>
  <c r="H33" i="11" s="1"/>
  <c r="G34" i="11"/>
  <c r="G35" i="11"/>
  <c r="G36" i="11"/>
  <c r="G37" i="11"/>
  <c r="H37" i="11" s="1"/>
  <c r="G38" i="11"/>
  <c r="H38" i="11" s="1"/>
  <c r="G39" i="11"/>
  <c r="H39" i="11" s="1"/>
  <c r="G40" i="11"/>
  <c r="H40" i="11" s="1"/>
  <c r="G41" i="11"/>
  <c r="H41" i="11" s="1"/>
  <c r="G42" i="11"/>
  <c r="H42" i="11" s="1"/>
  <c r="G43" i="11"/>
  <c r="G47" i="11"/>
  <c r="G48" i="11"/>
  <c r="G49" i="11"/>
  <c r="H49" i="11" s="1"/>
  <c r="G50" i="11"/>
  <c r="H50" i="11" s="1"/>
  <c r="G51" i="11"/>
  <c r="H51" i="11" s="1"/>
  <c r="G52" i="11"/>
  <c r="H52" i="11" s="1"/>
  <c r="G53" i="11"/>
  <c r="H53" i="11" s="1"/>
  <c r="G54" i="11"/>
  <c r="H54" i="11" s="1"/>
  <c r="G55" i="11"/>
  <c r="H55" i="11" s="1"/>
  <c r="G56" i="11"/>
  <c r="H56" i="11" s="1"/>
  <c r="G57" i="11"/>
  <c r="H57" i="11" s="1"/>
  <c r="G58" i="11"/>
  <c r="G9" i="11"/>
  <c r="G8" i="11"/>
  <c r="G7" i="11"/>
  <c r="Q10" i="10"/>
  <c r="H58" i="11"/>
  <c r="H48" i="11"/>
  <c r="H47" i="11"/>
  <c r="F46" i="11"/>
  <c r="F45" i="11"/>
  <c r="G45" i="11" s="1"/>
  <c r="F44" i="11"/>
  <c r="G44" i="11" s="1"/>
  <c r="F43" i="11"/>
  <c r="C43" i="11"/>
  <c r="H36" i="11"/>
  <c r="H35" i="11"/>
  <c r="H34" i="11"/>
  <c r="H27" i="11"/>
  <c r="H26" i="11"/>
  <c r="H25" i="11"/>
  <c r="H24" i="11"/>
  <c r="H23" i="11"/>
  <c r="H22" i="11"/>
  <c r="C18" i="11"/>
  <c r="H12" i="11"/>
  <c r="H11" i="11"/>
  <c r="H10" i="11"/>
  <c r="H9" i="11"/>
  <c r="H8" i="11"/>
  <c r="D8" i="11"/>
  <c r="E8" i="11" s="1"/>
  <c r="D7" i="11"/>
  <c r="E7" i="11" s="1"/>
  <c r="W19" i="10"/>
  <c r="C44" i="10"/>
  <c r="K44" i="10" s="1"/>
  <c r="G143" i="10"/>
  <c r="G142" i="10"/>
  <c r="H142" i="10" s="1"/>
  <c r="G141" i="10"/>
  <c r="G140" i="10"/>
  <c r="G139" i="10"/>
  <c r="H139" i="10" s="1"/>
  <c r="G138" i="10"/>
  <c r="G137" i="10"/>
  <c r="G136" i="10"/>
  <c r="G135" i="10"/>
  <c r="G134" i="10"/>
  <c r="G133" i="10"/>
  <c r="G132" i="10"/>
  <c r="G131" i="10"/>
  <c r="H131" i="10" s="1"/>
  <c r="G130" i="10"/>
  <c r="H130" i="10" s="1"/>
  <c r="G129" i="10"/>
  <c r="G128" i="10"/>
  <c r="G127" i="10"/>
  <c r="G126" i="10"/>
  <c r="G125" i="10"/>
  <c r="G124" i="10"/>
  <c r="G123" i="10"/>
  <c r="G122" i="10"/>
  <c r="G121" i="10"/>
  <c r="G120" i="10"/>
  <c r="G119" i="10"/>
  <c r="G118" i="10"/>
  <c r="H118" i="10" s="1"/>
  <c r="G117" i="10"/>
  <c r="H117" i="10" s="1"/>
  <c r="G116" i="10"/>
  <c r="G115" i="10"/>
  <c r="H115" i="10" s="1"/>
  <c r="G114" i="10"/>
  <c r="G113" i="10"/>
  <c r="G112" i="10"/>
  <c r="H112" i="10" s="1"/>
  <c r="G111" i="10"/>
  <c r="H111" i="10" s="1"/>
  <c r="G110" i="10"/>
  <c r="H110" i="10" s="1"/>
  <c r="G109" i="10"/>
  <c r="G108" i="10"/>
  <c r="H108" i="10" s="1"/>
  <c r="G107" i="10"/>
  <c r="H107" i="10" s="1"/>
  <c r="G106" i="10"/>
  <c r="H106" i="10" s="1"/>
  <c r="I106" i="10" s="1"/>
  <c r="G105" i="10"/>
  <c r="G104" i="10"/>
  <c r="G103" i="10"/>
  <c r="G102" i="10"/>
  <c r="G101" i="10"/>
  <c r="H101" i="10" s="1"/>
  <c r="G100" i="10"/>
  <c r="G99" i="10"/>
  <c r="G98" i="10"/>
  <c r="G97" i="10"/>
  <c r="G96" i="10"/>
  <c r="G95" i="10"/>
  <c r="G94" i="10"/>
  <c r="G93" i="10"/>
  <c r="G92" i="10"/>
  <c r="G91" i="10"/>
  <c r="H91" i="10" s="1"/>
  <c r="G90" i="10"/>
  <c r="G89" i="10"/>
  <c r="G88" i="10"/>
  <c r="G87" i="10"/>
  <c r="G86" i="10"/>
  <c r="E85" i="10"/>
  <c r="G84" i="10"/>
  <c r="G83" i="10"/>
  <c r="G82" i="10"/>
  <c r="G81" i="10"/>
  <c r="H81" i="10" s="1"/>
  <c r="I81" i="10" s="1"/>
  <c r="G80" i="10"/>
  <c r="H80" i="10" s="1"/>
  <c r="G79" i="10"/>
  <c r="H79" i="10" s="1"/>
  <c r="G78" i="10"/>
  <c r="H78" i="10" s="1"/>
  <c r="G77" i="10"/>
  <c r="H77" i="10" s="1"/>
  <c r="I77" i="10" s="1"/>
  <c r="G76" i="10"/>
  <c r="E75" i="10"/>
  <c r="G75" i="10" s="1"/>
  <c r="I75" i="10" s="1"/>
  <c r="E74" i="10"/>
  <c r="G73" i="10"/>
  <c r="H73" i="10" s="1"/>
  <c r="I73" i="10" s="1"/>
  <c r="G72" i="10"/>
  <c r="H72" i="10" s="1"/>
  <c r="I72" i="10" s="1"/>
  <c r="G71" i="10"/>
  <c r="H71" i="10" s="1"/>
  <c r="I71" i="10" s="1"/>
  <c r="G70" i="10"/>
  <c r="H70" i="10" s="1"/>
  <c r="I70" i="10" s="1"/>
  <c r="G69" i="10"/>
  <c r="H69" i="10" s="1"/>
  <c r="I69" i="10" s="1"/>
  <c r="L50" i="10"/>
  <c r="K50" i="10"/>
  <c r="J50" i="10"/>
  <c r="I50" i="10"/>
  <c r="L49" i="10"/>
  <c r="K49" i="10"/>
  <c r="J49" i="10"/>
  <c r="I49" i="10"/>
  <c r="L48" i="10"/>
  <c r="K48" i="10"/>
  <c r="J48" i="10"/>
  <c r="I48" i="10"/>
  <c r="L47" i="10"/>
  <c r="K47" i="10"/>
  <c r="J47" i="10"/>
  <c r="I47" i="10"/>
  <c r="L46" i="10"/>
  <c r="K46" i="10"/>
  <c r="J46" i="10"/>
  <c r="I46" i="10"/>
  <c r="L45" i="10"/>
  <c r="K45" i="10"/>
  <c r="J45" i="10"/>
  <c r="I45" i="10"/>
  <c r="L43" i="10"/>
  <c r="K43" i="10"/>
  <c r="J43" i="10"/>
  <c r="I43" i="10"/>
  <c r="L42" i="10"/>
  <c r="K42" i="10"/>
  <c r="J42" i="10"/>
  <c r="I42" i="10"/>
  <c r="L40" i="10"/>
  <c r="K40" i="10"/>
  <c r="J40" i="10"/>
  <c r="I40" i="10"/>
  <c r="L39" i="10"/>
  <c r="K39" i="10"/>
  <c r="J39" i="10"/>
  <c r="L37" i="10"/>
  <c r="K37" i="10"/>
  <c r="L36" i="10"/>
  <c r="K36" i="10"/>
  <c r="E36" i="10"/>
  <c r="F36" i="10" s="1"/>
  <c r="J36" i="10"/>
  <c r="L35" i="10"/>
  <c r="K35" i="10"/>
  <c r="E35" i="10"/>
  <c r="F35" i="10" s="1"/>
  <c r="L34" i="10"/>
  <c r="K34" i="10"/>
  <c r="J34" i="10"/>
  <c r="E34" i="10"/>
  <c r="F34" i="10" s="1"/>
  <c r="L33" i="10"/>
  <c r="K33" i="10"/>
  <c r="E33" i="10"/>
  <c r="F33" i="10" s="1"/>
  <c r="L32" i="10"/>
  <c r="K32" i="10"/>
  <c r="J32" i="10"/>
  <c r="L31" i="10"/>
  <c r="K31" i="10"/>
  <c r="L30" i="10"/>
  <c r="K30" i="10"/>
  <c r="J30" i="10"/>
  <c r="L29" i="10"/>
  <c r="K29" i="10"/>
  <c r="Q44" i="10"/>
  <c r="L28" i="10"/>
  <c r="K28" i="10"/>
  <c r="E28" i="10"/>
  <c r="F28" i="10" s="1"/>
  <c r="L27" i="10"/>
  <c r="K27" i="10"/>
  <c r="J27" i="10"/>
  <c r="L26" i="10"/>
  <c r="K26" i="10"/>
  <c r="J26" i="10"/>
  <c r="L25" i="10"/>
  <c r="K25" i="10"/>
  <c r="L24" i="10"/>
  <c r="K24" i="10"/>
  <c r="J24" i="10"/>
  <c r="L23" i="10"/>
  <c r="K23" i="10"/>
  <c r="E23" i="10"/>
  <c r="F23" i="10" s="1"/>
  <c r="L22" i="10"/>
  <c r="K22" i="10"/>
  <c r="E22" i="10"/>
  <c r="F22" i="10" s="1"/>
  <c r="L21" i="10"/>
  <c r="K21" i="10"/>
  <c r="E21" i="10"/>
  <c r="F21" i="10" s="1"/>
  <c r="L20" i="10"/>
  <c r="K20" i="10"/>
  <c r="J20" i="10"/>
  <c r="E20" i="10"/>
  <c r="F20" i="10" s="1"/>
  <c r="L19" i="10"/>
  <c r="K19" i="10"/>
  <c r="E19" i="10"/>
  <c r="F19" i="10" s="1"/>
  <c r="L18" i="10"/>
  <c r="K18" i="10"/>
  <c r="L17" i="10"/>
  <c r="K17" i="10"/>
  <c r="I7" i="11" l="1"/>
  <c r="J7" i="11" s="1"/>
  <c r="H7" i="11"/>
  <c r="G46" i="11"/>
  <c r="H46" i="11" s="1"/>
  <c r="L44" i="10"/>
  <c r="I44" i="10"/>
  <c r="J44" i="10"/>
  <c r="H18" i="11"/>
  <c r="H44" i="11"/>
  <c r="H45" i="11"/>
  <c r="H43" i="11"/>
  <c r="I8" i="11"/>
  <c r="J8" i="11" s="1"/>
  <c r="D9" i="11"/>
  <c r="I26" i="10"/>
  <c r="Q22" i="10"/>
  <c r="Q38" i="10" s="1"/>
  <c r="G74" i="10"/>
  <c r="I74" i="10" s="1"/>
  <c r="K74" i="10" s="1"/>
  <c r="H97" i="10"/>
  <c r="I97" i="10" s="1"/>
  <c r="K97" i="10" s="1"/>
  <c r="E17" i="10"/>
  <c r="F17" i="10" s="1"/>
  <c r="I111" i="10"/>
  <c r="K111" i="10" s="1"/>
  <c r="H125" i="10"/>
  <c r="I125" i="10" s="1"/>
  <c r="K125" i="10" s="1"/>
  <c r="I79" i="10"/>
  <c r="K79" i="10" s="1"/>
  <c r="H92" i="10"/>
  <c r="I92" i="10" s="1"/>
  <c r="K92" i="10" s="1"/>
  <c r="E45" i="10"/>
  <c r="F45" i="10" s="1"/>
  <c r="H135" i="10"/>
  <c r="I135" i="10" s="1"/>
  <c r="K135" i="10" s="1"/>
  <c r="J23" i="10"/>
  <c r="J17" i="10"/>
  <c r="I131" i="10"/>
  <c r="K131" i="10" s="1"/>
  <c r="K51" i="10"/>
  <c r="I7" i="10" s="1"/>
  <c r="J7" i="10" s="1"/>
  <c r="J22" i="10"/>
  <c r="E27" i="10"/>
  <c r="F27" i="10" s="1"/>
  <c r="E30" i="10"/>
  <c r="F30" i="10" s="1"/>
  <c r="E44" i="10"/>
  <c r="W22" i="10" s="1"/>
  <c r="R38" i="10" s="1"/>
  <c r="E49" i="10"/>
  <c r="G85" i="10"/>
  <c r="E40" i="10"/>
  <c r="H123" i="10"/>
  <c r="I123" i="10" s="1"/>
  <c r="K123" i="10" s="1"/>
  <c r="H83" i="10"/>
  <c r="I83" i="10" s="1"/>
  <c r="K83" i="10" s="1"/>
  <c r="Q25" i="10"/>
  <c r="S25" i="10" s="1"/>
  <c r="I107" i="10"/>
  <c r="K107" i="10" s="1"/>
  <c r="E42" i="10"/>
  <c r="Q19" i="10"/>
  <c r="S19" i="10" s="1"/>
  <c r="H119" i="10"/>
  <c r="I119" i="10" s="1"/>
  <c r="K119" i="10" s="1"/>
  <c r="J33" i="10"/>
  <c r="E32" i="10"/>
  <c r="F32" i="10" s="1"/>
  <c r="J37" i="10"/>
  <c r="Q26" i="10"/>
  <c r="Q42" i="10" s="1"/>
  <c r="E46" i="10"/>
  <c r="K75" i="10"/>
  <c r="K81" i="10"/>
  <c r="K70" i="10"/>
  <c r="K72" i="10"/>
  <c r="K77" i="10"/>
  <c r="H88" i="10"/>
  <c r="I88" i="10" s="1"/>
  <c r="H126" i="10"/>
  <c r="R35" i="10"/>
  <c r="Y19" i="10"/>
  <c r="Y22" i="10"/>
  <c r="H120" i="10"/>
  <c r="L51" i="10"/>
  <c r="I8" i="10" s="1"/>
  <c r="J8" i="10" s="1"/>
  <c r="H95" i="10"/>
  <c r="I95" i="10" s="1"/>
  <c r="H82" i="10"/>
  <c r="I82" i="10" s="1"/>
  <c r="K73" i="10"/>
  <c r="H105" i="10"/>
  <c r="E24" i="10"/>
  <c r="F24" i="10" s="1"/>
  <c r="H98" i="10"/>
  <c r="I98" i="10" s="1"/>
  <c r="I117" i="10"/>
  <c r="H103" i="10"/>
  <c r="I103" i="10" s="1"/>
  <c r="K71" i="10"/>
  <c r="I115" i="10"/>
  <c r="I142" i="10"/>
  <c r="H121" i="10"/>
  <c r="H138" i="10"/>
  <c r="E48" i="10"/>
  <c r="W26" i="10" s="1"/>
  <c r="Y26" i="10" s="1"/>
  <c r="H124" i="10"/>
  <c r="J18" i="10"/>
  <c r="H86" i="10"/>
  <c r="I86" i="10" s="1"/>
  <c r="H90" i="10"/>
  <c r="I90" i="10" s="1"/>
  <c r="H93" i="10"/>
  <c r="I93" i="10" s="1"/>
  <c r="K106" i="10"/>
  <c r="I130" i="10"/>
  <c r="H113" i="10"/>
  <c r="H136" i="10"/>
  <c r="Q18" i="10"/>
  <c r="Q17" i="10"/>
  <c r="Q33" i="10" s="1"/>
  <c r="Q24" i="10"/>
  <c r="Q20" i="10"/>
  <c r="Q27" i="10"/>
  <c r="J28" i="10"/>
  <c r="K69" i="10"/>
  <c r="H84" i="10"/>
  <c r="I84" i="10" s="1"/>
  <c r="H122" i="10"/>
  <c r="H134" i="10"/>
  <c r="J25" i="10"/>
  <c r="I25" i="10"/>
  <c r="E25" i="10"/>
  <c r="F25" i="10" s="1"/>
  <c r="H132" i="10"/>
  <c r="J21" i="10"/>
  <c r="I24" i="10"/>
  <c r="E31" i="10"/>
  <c r="F31" i="10" s="1"/>
  <c r="J31" i="10"/>
  <c r="E39" i="10"/>
  <c r="I39" i="10"/>
  <c r="I51" i="10" s="1"/>
  <c r="H109" i="10"/>
  <c r="H100" i="10"/>
  <c r="I100" i="10" s="1"/>
  <c r="E18" i="10"/>
  <c r="J35" i="10"/>
  <c r="I91" i="10"/>
  <c r="I101" i="10"/>
  <c r="I118" i="10"/>
  <c r="I80" i="10"/>
  <c r="H99" i="10"/>
  <c r="I99" i="10" s="1"/>
  <c r="I110" i="10"/>
  <c r="H114" i="10"/>
  <c r="H141" i="10"/>
  <c r="E26" i="10"/>
  <c r="F26" i="10" s="1"/>
  <c r="H76" i="10"/>
  <c r="I76" i="10" s="1"/>
  <c r="I78" i="10"/>
  <c r="H87" i="10"/>
  <c r="I87" i="10" s="1"/>
  <c r="I108" i="10"/>
  <c r="I112" i="10"/>
  <c r="H137" i="10"/>
  <c r="I139" i="10"/>
  <c r="H143" i="10"/>
  <c r="J29" i="10"/>
  <c r="E47" i="10"/>
  <c r="W25" i="10" s="1"/>
  <c r="R41" i="10" s="1"/>
  <c r="H89" i="10"/>
  <c r="I89" i="10" s="1"/>
  <c r="E37" i="10"/>
  <c r="F37" i="10" s="1"/>
  <c r="E50" i="10"/>
  <c r="F50" i="10" s="1"/>
  <c r="H94" i="10"/>
  <c r="I94" i="10" s="1"/>
  <c r="H102" i="10"/>
  <c r="I102" i="10" s="1"/>
  <c r="H127" i="10"/>
  <c r="H129" i="10"/>
  <c r="H133" i="10"/>
  <c r="E29" i="10"/>
  <c r="F29" i="10" s="1"/>
  <c r="H96" i="10"/>
  <c r="I96" i="10" s="1"/>
  <c r="E43" i="10"/>
  <c r="W21" i="10" s="1"/>
  <c r="R37" i="10" s="1"/>
  <c r="J19" i="10"/>
  <c r="H104" i="10"/>
  <c r="H116" i="10"/>
  <c r="H128" i="10"/>
  <c r="H140" i="10"/>
  <c r="R42" i="10" l="1"/>
  <c r="F46" i="10"/>
  <c r="W24" i="10"/>
  <c r="F40" i="10"/>
  <c r="W18" i="10"/>
  <c r="F39" i="10"/>
  <c r="W17" i="10"/>
  <c r="F49" i="10"/>
  <c r="W27" i="10"/>
  <c r="Y21" i="10"/>
  <c r="Y25" i="10"/>
  <c r="F42" i="10"/>
  <c r="W20" i="10"/>
  <c r="E9" i="11"/>
  <c r="D10" i="11"/>
  <c r="I9" i="11"/>
  <c r="F43" i="10"/>
  <c r="W23" i="10"/>
  <c r="F44" i="10"/>
  <c r="W28" i="10"/>
  <c r="R44" i="10" s="1"/>
  <c r="S44" i="10" s="1"/>
  <c r="T44" i="10" s="1"/>
  <c r="I116" i="10"/>
  <c r="S38" i="10"/>
  <c r="T38" i="10" s="1"/>
  <c r="Q35" i="10"/>
  <c r="S35" i="10" s="1"/>
  <c r="T35" i="10" s="1"/>
  <c r="Q23" i="10"/>
  <c r="Q39" i="10" s="1"/>
  <c r="M51" i="10"/>
  <c r="S22" i="10"/>
  <c r="Q21" i="10"/>
  <c r="S21" i="10" s="1"/>
  <c r="Q41" i="10"/>
  <c r="S41" i="10" s="1"/>
  <c r="T41" i="10" s="1"/>
  <c r="S42" i="10"/>
  <c r="T42" i="10" s="1"/>
  <c r="I127" i="10"/>
  <c r="K127" i="10" s="1"/>
  <c r="I141" i="10"/>
  <c r="I9" i="10"/>
  <c r="J9" i="10" s="1"/>
  <c r="I38" i="10"/>
  <c r="I53" i="10" s="1"/>
  <c r="C7" i="10" s="1"/>
  <c r="S26" i="10"/>
  <c r="H85" i="10"/>
  <c r="I85" i="10"/>
  <c r="K85" i="10" s="1"/>
  <c r="I104" i="10"/>
  <c r="K104" i="10" s="1"/>
  <c r="I128" i="10"/>
  <c r="K128" i="10" s="1"/>
  <c r="I122" i="10"/>
  <c r="K82" i="10"/>
  <c r="K95" i="10"/>
  <c r="K87" i="10"/>
  <c r="K102" i="10"/>
  <c r="K89" i="10"/>
  <c r="K76" i="10"/>
  <c r="K84" i="10"/>
  <c r="K98" i="10"/>
  <c r="K101" i="10"/>
  <c r="S20" i="10"/>
  <c r="Q36" i="10"/>
  <c r="K100" i="10"/>
  <c r="K78" i="10"/>
  <c r="I124" i="10"/>
  <c r="K93" i="10"/>
  <c r="K88" i="10"/>
  <c r="I113" i="10"/>
  <c r="K103" i="10"/>
  <c r="I143" i="10"/>
  <c r="K139" i="10"/>
  <c r="I140" i="10"/>
  <c r="I134" i="10"/>
  <c r="K96" i="10"/>
  <c r="K122" i="10"/>
  <c r="I109" i="10"/>
  <c r="K142" i="10"/>
  <c r="I133" i="10"/>
  <c r="K99" i="10"/>
  <c r="K86" i="10"/>
  <c r="K116" i="10"/>
  <c r="K91" i="10"/>
  <c r="K115" i="10"/>
  <c r="K90" i="10"/>
  <c r="K117" i="10"/>
  <c r="F48" i="10"/>
  <c r="K94" i="10"/>
  <c r="K80" i="10"/>
  <c r="S24" i="10"/>
  <c r="Q40" i="10"/>
  <c r="I121" i="10"/>
  <c r="I129" i="10"/>
  <c r="I137" i="10"/>
  <c r="I132" i="10"/>
  <c r="F47" i="10"/>
  <c r="I10" i="10"/>
  <c r="J10" i="10" s="1"/>
  <c r="K130" i="10"/>
  <c r="K112" i="10"/>
  <c r="K118" i="10"/>
  <c r="E53" i="10"/>
  <c r="C10" i="10" s="1"/>
  <c r="F18" i="10"/>
  <c r="S17" i="10"/>
  <c r="I105" i="10"/>
  <c r="K141" i="10"/>
  <c r="Q43" i="10"/>
  <c r="S27" i="10"/>
  <c r="I120" i="10"/>
  <c r="I126" i="10"/>
  <c r="K110" i="10"/>
  <c r="K108" i="10"/>
  <c r="I114" i="10"/>
  <c r="S18" i="10"/>
  <c r="Q34" i="10"/>
  <c r="I138" i="10"/>
  <c r="I136" i="10"/>
  <c r="Y28" i="10" l="1"/>
  <c r="R36" i="10"/>
  <c r="Y20" i="10"/>
  <c r="R33" i="10"/>
  <c r="S33" i="10" s="1"/>
  <c r="T33" i="10" s="1"/>
  <c r="Y17" i="10"/>
  <c r="R40" i="10"/>
  <c r="S40" i="10" s="1"/>
  <c r="T40" i="10" s="1"/>
  <c r="Y24" i="10"/>
  <c r="Y27" i="10"/>
  <c r="R43" i="10"/>
  <c r="S43" i="10" s="1"/>
  <c r="T43" i="10" s="1"/>
  <c r="S36" i="10"/>
  <c r="T36" i="10" s="1"/>
  <c r="J9" i="11"/>
  <c r="I10" i="11"/>
  <c r="E10" i="11"/>
  <c r="D11" i="11"/>
  <c r="S23" i="10"/>
  <c r="Q29" i="10"/>
  <c r="S29" i="10" s="1"/>
  <c r="Q37" i="10"/>
  <c r="S37" i="10" s="1"/>
  <c r="T37" i="10" s="1"/>
  <c r="K138" i="10"/>
  <c r="K105" i="10"/>
  <c r="R39" i="10"/>
  <c r="S39" i="10" s="1"/>
  <c r="T39" i="10" s="1"/>
  <c r="Y23" i="10"/>
  <c r="K124" i="10"/>
  <c r="K121" i="10"/>
  <c r="K133" i="10"/>
  <c r="K109" i="10"/>
  <c r="K136" i="10"/>
  <c r="K113" i="10"/>
  <c r="K137" i="10"/>
  <c r="K129" i="10"/>
  <c r="K140" i="10"/>
  <c r="K126" i="10"/>
  <c r="K114" i="10"/>
  <c r="K132" i="10"/>
  <c r="K134" i="10"/>
  <c r="K120" i="10"/>
  <c r="R34" i="10"/>
  <c r="S34" i="10" s="1"/>
  <c r="T34" i="10" s="1"/>
  <c r="W29" i="10"/>
  <c r="Y18" i="10"/>
  <c r="K143" i="10"/>
  <c r="E11" i="11" l="1"/>
  <c r="D12" i="11"/>
  <c r="I11" i="11"/>
  <c r="J10" i="11"/>
  <c r="Q45" i="10"/>
  <c r="R45" i="10"/>
  <c r="Y29" i="10"/>
  <c r="S45" i="10" l="1"/>
  <c r="T45" i="10" s="1"/>
  <c r="J11" i="11"/>
  <c r="I12" i="11"/>
  <c r="E12" i="11"/>
  <c r="D13" i="11"/>
  <c r="E13" i="11" l="1"/>
  <c r="D14" i="11"/>
  <c r="I13" i="11"/>
  <c r="J12" i="11"/>
  <c r="J13" i="11" l="1"/>
  <c r="I14" i="11"/>
  <c r="D15" i="11"/>
  <c r="E14" i="11"/>
  <c r="E15" i="11" l="1"/>
  <c r="D16" i="11"/>
  <c r="I15" i="11"/>
  <c r="J14" i="11"/>
  <c r="J15" i="11" l="1"/>
  <c r="I16" i="11"/>
  <c r="D17" i="11"/>
  <c r="E16" i="11"/>
  <c r="I17" i="11" l="1"/>
  <c r="J16" i="11"/>
  <c r="D18" i="11"/>
  <c r="E17" i="11"/>
  <c r="D19" i="11" l="1"/>
  <c r="E18" i="11"/>
  <c r="J17" i="11"/>
  <c r="I18" i="11"/>
  <c r="I19" i="11" l="1"/>
  <c r="J18" i="11"/>
  <c r="E19" i="11"/>
  <c r="D20" i="11"/>
  <c r="D21" i="11" l="1"/>
  <c r="E20" i="11"/>
  <c r="I20" i="11"/>
  <c r="J19" i="11"/>
  <c r="I21" i="11" l="1"/>
  <c r="J20" i="11"/>
  <c r="E21" i="11"/>
  <c r="D22" i="11"/>
  <c r="D23" i="11" l="1"/>
  <c r="E22" i="11"/>
  <c r="J21" i="11"/>
  <c r="I22" i="11"/>
  <c r="I23" i="11" l="1"/>
  <c r="J22" i="11"/>
  <c r="E23" i="11"/>
  <c r="D24" i="11"/>
  <c r="D25" i="11" l="1"/>
  <c r="E24" i="11"/>
  <c r="I24" i="11"/>
  <c r="J23" i="11"/>
  <c r="I25" i="11" l="1"/>
  <c r="J24" i="11"/>
  <c r="E25" i="11"/>
  <c r="D26" i="11"/>
  <c r="D27" i="11" l="1"/>
  <c r="E26" i="11"/>
  <c r="I26" i="11"/>
  <c r="J25" i="11"/>
  <c r="I27" i="11" l="1"/>
  <c r="J26" i="11"/>
  <c r="D28" i="11"/>
  <c r="E27" i="11"/>
  <c r="D29" i="11" l="1"/>
  <c r="E28" i="11"/>
  <c r="I28" i="11"/>
  <c r="J27" i="11"/>
  <c r="I29" i="11" l="1"/>
  <c r="J28" i="11"/>
  <c r="E29" i="11"/>
  <c r="D30" i="11"/>
  <c r="D31" i="11" l="1"/>
  <c r="E30" i="11"/>
  <c r="I30" i="11"/>
  <c r="J29" i="11"/>
  <c r="I31" i="11" l="1"/>
  <c r="J30" i="11"/>
  <c r="E31" i="11"/>
  <c r="D32" i="11"/>
  <c r="D33" i="11" l="1"/>
  <c r="E32" i="11"/>
  <c r="J31" i="11"/>
  <c r="I32" i="11"/>
  <c r="I33" i="11" l="1"/>
  <c r="J32" i="11"/>
  <c r="D34" i="11"/>
  <c r="E33" i="11"/>
  <c r="D35" i="11" l="1"/>
  <c r="E34" i="11"/>
  <c r="J33" i="11"/>
  <c r="I34" i="11"/>
  <c r="I35" i="11" l="1"/>
  <c r="J34" i="11"/>
  <c r="E35" i="11"/>
  <c r="D36" i="11"/>
  <c r="D37" i="11" l="1"/>
  <c r="E36" i="11"/>
  <c r="I36" i="11"/>
  <c r="J35" i="11"/>
  <c r="I37" i="11" l="1"/>
  <c r="J36" i="11"/>
  <c r="E37" i="11"/>
  <c r="D38" i="11"/>
  <c r="D39" i="11" l="1"/>
  <c r="E38" i="11"/>
  <c r="J37" i="11"/>
  <c r="I38" i="11"/>
  <c r="I39" i="11" l="1"/>
  <c r="J38" i="11"/>
  <c r="E39" i="11"/>
  <c r="D40" i="11"/>
  <c r="D41" i="11" l="1"/>
  <c r="E40" i="11"/>
  <c r="I40" i="11"/>
  <c r="J39" i="11"/>
  <c r="I41" i="11" l="1"/>
  <c r="J40" i="11"/>
  <c r="E41" i="11"/>
  <c r="D42" i="11"/>
  <c r="D43" i="11" l="1"/>
  <c r="E42" i="11"/>
  <c r="I42" i="11"/>
  <c r="J41" i="11"/>
  <c r="I43" i="11" l="1"/>
  <c r="J42" i="11"/>
  <c r="E43" i="11"/>
  <c r="D44" i="11"/>
  <c r="D45" i="11" l="1"/>
  <c r="E44" i="11"/>
  <c r="I44" i="11"/>
  <c r="J43" i="11"/>
  <c r="J44" i="11" l="1"/>
  <c r="I45" i="11"/>
  <c r="E45" i="11"/>
  <c r="D46" i="11"/>
  <c r="I46" i="11" l="1"/>
  <c r="J45" i="11"/>
  <c r="E46" i="11"/>
  <c r="D47" i="11"/>
  <c r="E47" i="11" l="1"/>
  <c r="D48" i="11"/>
  <c r="J46" i="11"/>
  <c r="I47" i="11"/>
  <c r="E48" i="11" l="1"/>
  <c r="D49" i="11"/>
  <c r="I48" i="11"/>
  <c r="J47" i="11"/>
  <c r="J48" i="11" l="1"/>
  <c r="I49" i="11"/>
  <c r="D50" i="11"/>
  <c r="E49" i="11"/>
  <c r="E50" i="11" l="1"/>
  <c r="D51" i="11"/>
  <c r="I50" i="11"/>
  <c r="J49" i="11"/>
  <c r="J50" i="11" l="1"/>
  <c r="I51" i="11"/>
  <c r="D52" i="11"/>
  <c r="E51" i="11"/>
  <c r="E52" i="11" l="1"/>
  <c r="D53" i="11"/>
  <c r="I52" i="11"/>
  <c r="J51" i="11"/>
  <c r="J52" i="11" l="1"/>
  <c r="I53" i="11"/>
  <c r="E53" i="11"/>
  <c r="D54" i="11"/>
  <c r="D55" i="11" l="1"/>
  <c r="E54" i="11"/>
  <c r="I54" i="11"/>
  <c r="J53" i="11"/>
  <c r="J54" i="11" l="1"/>
  <c r="I55" i="11"/>
  <c r="D56" i="11"/>
  <c r="E55" i="11"/>
  <c r="I56" i="11" l="1"/>
  <c r="J55" i="11"/>
  <c r="E56" i="11"/>
  <c r="D57" i="11"/>
  <c r="E57" i="11" l="1"/>
  <c r="D58" i="11"/>
  <c r="J56" i="11"/>
  <c r="I57" i="11"/>
  <c r="I58" i="11" l="1"/>
  <c r="J57" i="11"/>
  <c r="E58" i="11"/>
  <c r="J58" i="11" l="1"/>
  <c r="K13" i="9" l="1"/>
  <c r="K12" i="9"/>
  <c r="H31" i="9" l="1"/>
  <c r="G31" i="9"/>
  <c r="H9" i="9"/>
  <c r="H10" i="9"/>
  <c r="H11" i="9"/>
  <c r="H12" i="9"/>
  <c r="H13" i="9"/>
  <c r="H14" i="9"/>
  <c r="H15" i="9"/>
  <c r="H16" i="9"/>
  <c r="H17" i="9"/>
  <c r="H18" i="9"/>
  <c r="H8" i="9"/>
  <c r="E28" i="9"/>
  <c r="E27" i="9"/>
  <c r="E26" i="9"/>
  <c r="E25" i="9"/>
  <c r="E24" i="9"/>
  <c r="E23" i="9"/>
  <c r="E22" i="9"/>
  <c r="E21" i="9"/>
  <c r="E20" i="9"/>
  <c r="E19" i="9"/>
  <c r="E18" i="9"/>
  <c r="E17" i="9"/>
  <c r="E16" i="9"/>
  <c r="E15" i="9"/>
  <c r="E14" i="9"/>
  <c r="E13" i="9"/>
  <c r="E12" i="9"/>
  <c r="E11" i="9"/>
  <c r="E10" i="9"/>
  <c r="E9" i="9"/>
  <c r="G30" i="9"/>
  <c r="G29" i="9"/>
  <c r="D3" i="9"/>
  <c r="H3" i="9"/>
  <c r="G3" i="9"/>
  <c r="K14" i="9" s="1"/>
  <c r="K15" i="9" s="1"/>
  <c r="E31" i="9"/>
  <c r="D30" i="9"/>
  <c r="D29" i="9"/>
  <c r="H29" i="9" l="1"/>
  <c r="H30" i="9"/>
  <c r="H4" i="9"/>
  <c r="J3" i="9"/>
  <c r="C3" i="9"/>
  <c r="I3" i="9"/>
  <c r="K5" i="9" s="1"/>
  <c r="K6" i="9" s="1"/>
  <c r="D23" i="8" l="1"/>
  <c r="U13" i="6" l="1"/>
  <c r="U10" i="6"/>
  <c r="U11" i="6"/>
  <c r="U12" i="6"/>
  <c r="U9" i="6"/>
  <c r="F16" i="6" l="1"/>
  <c r="E6" i="6" l="1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" i="6"/>
  <c r="F40" i="6"/>
  <c r="F28" i="6"/>
  <c r="I27" i="1" l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7" i="1"/>
  <c r="I26" i="1" s="1"/>
  <c r="I25" i="1" l="1"/>
  <c r="I29" i="1" s="1"/>
  <c r="F52" i="6"/>
  <c r="D31" i="9" l="1"/>
  <c r="E8" i="9"/>
  <c r="E29" i="9" s="1"/>
  <c r="E30" i="9" l="1"/>
  <c r="J143" i="10"/>
  <c r="J142" i="10" s="1"/>
  <c r="J141" i="10" s="1"/>
  <c r="J140" i="10" s="1"/>
  <c r="J139" i="10" s="1"/>
  <c r="J138" i="10" s="1"/>
  <c r="J137" i="10" s="1"/>
  <c r="J136" i="10" s="1"/>
  <c r="J135" i="10" s="1"/>
  <c r="J134" i="10" s="1"/>
  <c r="J133" i="10" s="1"/>
  <c r="J132" i="10" s="1"/>
  <c r="J131" i="10" s="1"/>
  <c r="J130" i="10" s="1"/>
  <c r="J129" i="10" s="1"/>
  <c r="J128" i="10" s="1"/>
  <c r="J127" i="10" s="1"/>
  <c r="J126" i="10" s="1"/>
  <c r="J125" i="10" s="1"/>
  <c r="J124" i="10" s="1"/>
  <c r="J123" i="10" s="1"/>
  <c r="J122" i="10" s="1"/>
  <c r="J121" i="10" s="1"/>
  <c r="J120" i="10" s="1"/>
  <c r="J119" i="10" s="1"/>
  <c r="J118" i="10" s="1"/>
  <c r="J117" i="10" s="1"/>
  <c r="J116" i="10" s="1"/>
  <c r="J115" i="10" s="1"/>
  <c r="J114" i="10" s="1"/>
  <c r="J113" i="10" s="1"/>
  <c r="J112" i="10" s="1"/>
  <c r="J111" i="10" s="1"/>
  <c r="J110" i="10" s="1"/>
  <c r="J109" i="10" s="1"/>
  <c r="J108" i="10" s="1"/>
  <c r="J107" i="10" s="1"/>
  <c r="J106" i="10" s="1"/>
  <c r="J105" i="10" s="1"/>
  <c r="J104" i="10" s="1"/>
  <c r="J103" i="10" s="1"/>
  <c r="J102" i="10" s="1"/>
  <c r="J101" i="10" s="1"/>
  <c r="J100" i="10" s="1"/>
  <c r="J99" i="10" s="1"/>
  <c r="J98" i="10" s="1"/>
  <c r="J97" i="10" s="1"/>
  <c r="J96" i="10" s="1"/>
  <c r="J95" i="10" s="1"/>
  <c r="J94" i="10" s="1"/>
  <c r="J93" i="10" s="1"/>
  <c r="J92" i="10" s="1"/>
  <c r="J91" i="10" s="1"/>
  <c r="J90" i="10" s="1"/>
  <c r="J89" i="10" s="1"/>
  <c r="J88" i="10" s="1"/>
  <c r="J87" i="10" s="1"/>
  <c r="J86" i="10" s="1"/>
  <c r="J85" i="10" s="1"/>
  <c r="J84" i="10" s="1"/>
  <c r="J83" i="10" s="1"/>
  <c r="J82" i="10" s="1"/>
  <c r="J81" i="10" s="1"/>
  <c r="J80" i="10" s="1"/>
  <c r="J79" i="10" s="1"/>
  <c r="J78" i="10" s="1"/>
  <c r="J77" i="10" s="1"/>
  <c r="J76" i="10" s="1"/>
  <c r="J75" i="10" s="1"/>
  <c r="J74" i="10" s="1"/>
  <c r="J73" i="10" s="1"/>
  <c r="J72" i="10" s="1"/>
  <c r="J71" i="10" s="1"/>
  <c r="J70" i="10" s="1"/>
  <c r="J69" i="10" s="1"/>
  <c r="J68" i="10" s="1"/>
  <c r="C9" i="10" s="1"/>
  <c r="C8" i="10" l="1"/>
  <c r="F8" i="10" l="1"/>
  <c r="C6" i="10"/>
  <c r="E8" i="10"/>
  <c r="E10" i="10" s="1"/>
  <c r="F10" i="10" s="1"/>
</calcChain>
</file>

<file path=xl/sharedStrings.xml><?xml version="1.0" encoding="utf-8"?>
<sst xmlns="http://schemas.openxmlformats.org/spreadsheetml/2006/main" count="892" uniqueCount="440">
  <si>
    <t>Weekly NAV</t>
  </si>
  <si>
    <t>Date</t>
  </si>
  <si>
    <t>Performance</t>
  </si>
  <si>
    <t>Annualized Standard Deviation</t>
  </si>
  <si>
    <t>Annualized Return</t>
  </si>
  <si>
    <t>Risk-Free Rate</t>
  </si>
  <si>
    <t>1 Yr</t>
  </si>
  <si>
    <t>01/16/18</t>
  </si>
  <si>
    <t>01/17/18</t>
  </si>
  <si>
    <t>01/18/18</t>
  </si>
  <si>
    <t>01/19/18</t>
  </si>
  <si>
    <t>01/22/18</t>
  </si>
  <si>
    <t>01/23/18</t>
  </si>
  <si>
    <t>01/24/18</t>
  </si>
  <si>
    <t>01/25/18</t>
  </si>
  <si>
    <t>01/26/18</t>
  </si>
  <si>
    <t>01/29/18</t>
  </si>
  <si>
    <t>01/30/18</t>
  </si>
  <si>
    <t>01/31/18</t>
  </si>
  <si>
    <t>02/13/18</t>
  </si>
  <si>
    <t>02/14/18</t>
  </si>
  <si>
    <t>02/15/18</t>
  </si>
  <si>
    <t>02/16/18</t>
  </si>
  <si>
    <t>02/20/18</t>
  </si>
  <si>
    <t>02/21/18</t>
  </si>
  <si>
    <t>02/22/18</t>
  </si>
  <si>
    <t>02/23/18</t>
  </si>
  <si>
    <t>02/26/18</t>
  </si>
  <si>
    <t>02/27/18</t>
  </si>
  <si>
    <t>02/28/18</t>
  </si>
  <si>
    <t>03/13/18</t>
  </si>
  <si>
    <t>03/14/18</t>
  </si>
  <si>
    <t>03/15/18</t>
  </si>
  <si>
    <t>03/16/18</t>
  </si>
  <si>
    <t>03/19/18</t>
  </si>
  <si>
    <t>03/20/18</t>
  </si>
  <si>
    <t>03/21/18</t>
  </si>
  <si>
    <t>03/22/18</t>
  </si>
  <si>
    <t>03/23/18</t>
  </si>
  <si>
    <t>03/26/18</t>
  </si>
  <si>
    <t>03/27/18</t>
  </si>
  <si>
    <t>03/28/18</t>
  </si>
  <si>
    <t>03/29/18</t>
  </si>
  <si>
    <t>04/13/18</t>
  </si>
  <si>
    <t>04/16/18</t>
  </si>
  <si>
    <t>04/17/18</t>
  </si>
  <si>
    <t>04/18/18</t>
  </si>
  <si>
    <t>04/19/18</t>
  </si>
  <si>
    <t>04/20/18</t>
  </si>
  <si>
    <t>04/23/18</t>
  </si>
  <si>
    <t>04/24/18</t>
  </si>
  <si>
    <t>04/25/18</t>
  </si>
  <si>
    <t>04/26/18</t>
  </si>
  <si>
    <t>04/27/18</t>
  </si>
  <si>
    <t>04/30/18</t>
  </si>
  <si>
    <t>05/14/18</t>
  </si>
  <si>
    <t>05/15/18</t>
  </si>
  <si>
    <t>05/16/18</t>
  </si>
  <si>
    <t>05/17/18</t>
  </si>
  <si>
    <t>05/18/18</t>
  </si>
  <si>
    <t>05/21/18</t>
  </si>
  <si>
    <t>05/22/18</t>
  </si>
  <si>
    <t>05/23/18</t>
  </si>
  <si>
    <t>05/24/18</t>
  </si>
  <si>
    <t>05/25/18</t>
  </si>
  <si>
    <t>05/29/18</t>
  </si>
  <si>
    <t>05/30/18</t>
  </si>
  <si>
    <t>05/31/18</t>
  </si>
  <si>
    <t>06/13/18</t>
  </si>
  <si>
    <t>06/14/18</t>
  </si>
  <si>
    <t>06/15/18</t>
  </si>
  <si>
    <t>06/18/18</t>
  </si>
  <si>
    <t>06/19/18</t>
  </si>
  <si>
    <t>06/20/18</t>
  </si>
  <si>
    <t>06/21/18</t>
  </si>
  <si>
    <t>06/22/18</t>
  </si>
  <si>
    <t>06/25/18</t>
  </si>
  <si>
    <t>06/26/18</t>
  </si>
  <si>
    <t>06/27/18</t>
  </si>
  <si>
    <t>06/28/18</t>
  </si>
  <si>
    <t>06/29/18</t>
  </si>
  <si>
    <t>07/13/18</t>
  </si>
  <si>
    <t>07/16/18</t>
  </si>
  <si>
    <t>07/17/18</t>
  </si>
  <si>
    <t>07/18/18</t>
  </si>
  <si>
    <t>07/19/18</t>
  </si>
  <si>
    <t>07/20/18</t>
  </si>
  <si>
    <t>07/23/18</t>
  </si>
  <si>
    <t>07/24/18</t>
  </si>
  <si>
    <t>07/25/18</t>
  </si>
  <si>
    <t>07/26/18</t>
  </si>
  <si>
    <t>07/27/18</t>
  </si>
  <si>
    <t>07/30/18</t>
  </si>
  <si>
    <t>07/31/18</t>
  </si>
  <si>
    <t>08/13/18</t>
  </si>
  <si>
    <t>08/14/18</t>
  </si>
  <si>
    <t>08/15/18</t>
  </si>
  <si>
    <t>08/16/18</t>
  </si>
  <si>
    <t>08/17/18</t>
  </si>
  <si>
    <t>08/20/18</t>
  </si>
  <si>
    <t>08/21/18</t>
  </si>
  <si>
    <t>08/22/18</t>
  </si>
  <si>
    <t>08/23/18</t>
  </si>
  <si>
    <t>08/24/18</t>
  </si>
  <si>
    <t>08/27/18</t>
  </si>
  <si>
    <t>08/28/18</t>
  </si>
  <si>
    <t>08/29/18</t>
  </si>
  <si>
    <t>08/30/18</t>
  </si>
  <si>
    <t>08/31/18</t>
  </si>
  <si>
    <t>09/13/18</t>
  </si>
  <si>
    <t>09/14/18</t>
  </si>
  <si>
    <t>09/17/18</t>
  </si>
  <si>
    <t>09/18/18</t>
  </si>
  <si>
    <t>09/19/18</t>
  </si>
  <si>
    <t>09/20/18</t>
  </si>
  <si>
    <t>09/21/18</t>
  </si>
  <si>
    <t>09/24/18</t>
  </si>
  <si>
    <t>09/25/18</t>
  </si>
  <si>
    <t>09/26/18</t>
  </si>
  <si>
    <t>09/27/18</t>
  </si>
  <si>
    <t>09/28/18</t>
  </si>
  <si>
    <t>10/15/18</t>
  </si>
  <si>
    <t>10/16/18</t>
  </si>
  <si>
    <t>10/17/18</t>
  </si>
  <si>
    <t>10/18/18</t>
  </si>
  <si>
    <t>10/19/18</t>
  </si>
  <si>
    <t>10/22/18</t>
  </si>
  <si>
    <t>10/23/18</t>
  </si>
  <si>
    <t>10/24/18</t>
  </si>
  <si>
    <t>10/25/18</t>
  </si>
  <si>
    <t>10/26/18</t>
  </si>
  <si>
    <t>10/29/18</t>
  </si>
  <si>
    <t>10/30/18</t>
  </si>
  <si>
    <t>10/31/18</t>
  </si>
  <si>
    <t>11/13/18</t>
  </si>
  <si>
    <t>11/14/18</t>
  </si>
  <si>
    <t>11/15/18</t>
  </si>
  <si>
    <t>11/16/18</t>
  </si>
  <si>
    <t>11/19/18</t>
  </si>
  <si>
    <t>11/20/18</t>
  </si>
  <si>
    <t>11/21/18</t>
  </si>
  <si>
    <t>11/23/18</t>
  </si>
  <si>
    <t>11/26/18</t>
  </si>
  <si>
    <t>11/27/18</t>
  </si>
  <si>
    <t>11/28/18</t>
  </si>
  <si>
    <t>11/29/18</t>
  </si>
  <si>
    <t>11/30/18</t>
  </si>
  <si>
    <t>12/13/18</t>
  </si>
  <si>
    <t>12/14/18</t>
  </si>
  <si>
    <t>12/17/18</t>
  </si>
  <si>
    <t>12/18/18</t>
  </si>
  <si>
    <t>12/19/18</t>
  </si>
  <si>
    <t>12/20/18</t>
  </si>
  <si>
    <t>12/21/18</t>
  </si>
  <si>
    <t>12/24/18</t>
  </si>
  <si>
    <t>12/26/18</t>
  </si>
  <si>
    <t>12/27/18</t>
  </si>
  <si>
    <t>12/28/18</t>
  </si>
  <si>
    <t>12/31/18</t>
  </si>
  <si>
    <t>01/14/19</t>
  </si>
  <si>
    <t>01/15/19</t>
  </si>
  <si>
    <t>01/16/19</t>
  </si>
  <si>
    <t>01/17/19</t>
  </si>
  <si>
    <t>01/18/19</t>
  </si>
  <si>
    <t>01/22/19</t>
  </si>
  <si>
    <t>01/23/19</t>
  </si>
  <si>
    <t>01/24/19</t>
  </si>
  <si>
    <t>01/25/19</t>
  </si>
  <si>
    <t>01/28/19</t>
  </si>
  <si>
    <t>01/29/19</t>
  </si>
  <si>
    <t>01/30/19</t>
  </si>
  <si>
    <t>01/31/19</t>
  </si>
  <si>
    <t>02/13/19</t>
  </si>
  <si>
    <t>02/14/19</t>
  </si>
  <si>
    <t>02/15/19</t>
  </si>
  <si>
    <t>02/19/19</t>
  </si>
  <si>
    <t>02/20/19</t>
  </si>
  <si>
    <t>02/21/19</t>
  </si>
  <si>
    <t>02/22/19</t>
  </si>
  <si>
    <t>02/25/19</t>
  </si>
  <si>
    <t>02/26/19</t>
  </si>
  <si>
    <t>02/27/19</t>
  </si>
  <si>
    <t>02/28/19</t>
  </si>
  <si>
    <t>03/13/19</t>
  </si>
  <si>
    <t>03/14/19</t>
  </si>
  <si>
    <t>03/15/19</t>
  </si>
  <si>
    <t>03/18/19</t>
  </si>
  <si>
    <t>03/19/19</t>
  </si>
  <si>
    <t>03/20/19</t>
  </si>
  <si>
    <t>03/21/19</t>
  </si>
  <si>
    <t>03/22/19</t>
  </si>
  <si>
    <t>03/25/19</t>
  </si>
  <si>
    <t>03/26/19</t>
  </si>
  <si>
    <t>03/27/19</t>
  </si>
  <si>
    <t>03/28/19</t>
  </si>
  <si>
    <t>03/29/19</t>
  </si>
  <si>
    <t>04/15/19</t>
  </si>
  <si>
    <t>04/16/19</t>
  </si>
  <si>
    <t>04/17/19</t>
  </si>
  <si>
    <t>04/18/19</t>
  </si>
  <si>
    <t>04/22/19</t>
  </si>
  <si>
    <t>04/23/19</t>
  </si>
  <si>
    <t>04/24/19</t>
  </si>
  <si>
    <t>04/25/19</t>
  </si>
  <si>
    <t>04/26/19</t>
  </si>
  <si>
    <t>04/29/19</t>
  </si>
  <si>
    <t>04/30/19</t>
  </si>
  <si>
    <t>05/13/19</t>
  </si>
  <si>
    <t>05/14/19</t>
  </si>
  <si>
    <t>05/15/19</t>
  </si>
  <si>
    <t>05/16/19</t>
  </si>
  <si>
    <t>05/17/19</t>
  </si>
  <si>
    <t>05/20/19</t>
  </si>
  <si>
    <t>05/21/19</t>
  </si>
  <si>
    <t>05/22/19</t>
  </si>
  <si>
    <t>05/23/19</t>
  </si>
  <si>
    <t>05/24/19</t>
  </si>
  <si>
    <t>05/28/19</t>
  </si>
  <si>
    <t>05/29/19</t>
  </si>
  <si>
    <t>05/30/19</t>
  </si>
  <si>
    <t>05/31/19</t>
  </si>
  <si>
    <t>06/13/19</t>
  </si>
  <si>
    <t>06/14/19</t>
  </si>
  <si>
    <t>06/17/19</t>
  </si>
  <si>
    <t>06/18/19</t>
  </si>
  <si>
    <t>06/19/19</t>
  </si>
  <si>
    <t>06/20/19</t>
  </si>
  <si>
    <t>06/21/19</t>
  </si>
  <si>
    <t>06/24/19</t>
  </si>
  <si>
    <t>06/25/19</t>
  </si>
  <si>
    <t>06/26/19</t>
  </si>
  <si>
    <t>06/27/19</t>
  </si>
  <si>
    <t>06/28/19</t>
  </si>
  <si>
    <t>07/15/19</t>
  </si>
  <si>
    <t>07/16/19</t>
  </si>
  <si>
    <t>07/17/19</t>
  </si>
  <si>
    <t>07/18/19</t>
  </si>
  <si>
    <t>07/19/19</t>
  </si>
  <si>
    <t>07/22/19</t>
  </si>
  <si>
    <t>07/23/19</t>
  </si>
  <si>
    <t>07/24/19</t>
  </si>
  <si>
    <t>07/25/19</t>
  </si>
  <si>
    <t>07/26/19</t>
  </si>
  <si>
    <t>07/29/19</t>
  </si>
  <si>
    <t>07/30/19</t>
  </si>
  <si>
    <t>07/31/19</t>
  </si>
  <si>
    <t>08/13/19</t>
  </si>
  <si>
    <t>08/14/19</t>
  </si>
  <si>
    <t>08/15/19</t>
  </si>
  <si>
    <t>08/16/19</t>
  </si>
  <si>
    <t>08/19/19</t>
  </si>
  <si>
    <t>08/20/19</t>
  </si>
  <si>
    <t>08/21/19</t>
  </si>
  <si>
    <t>08/22/19</t>
  </si>
  <si>
    <t>08/23/19</t>
  </si>
  <si>
    <t>08/26/19</t>
  </si>
  <si>
    <t>08/27/19</t>
  </si>
  <si>
    <t>08/28/19</t>
  </si>
  <si>
    <t>08/29/19</t>
  </si>
  <si>
    <t>08/30/19</t>
  </si>
  <si>
    <t>09/13/19</t>
  </si>
  <si>
    <t>https://www.treasury.gov/resource-center/data-chart-center/interest-rates/pages/textview.aspx?data=yield</t>
  </si>
  <si>
    <t>Sharpe Ratio</t>
  </si>
  <si>
    <t>Stock</t>
  </si>
  <si>
    <t>P&amp;L</t>
  </si>
  <si>
    <t>Winner</t>
  </si>
  <si>
    <t>Trades</t>
  </si>
  <si>
    <t>Realized</t>
  </si>
  <si>
    <t xml:space="preserve">Long </t>
  </si>
  <si>
    <t>Unrealized</t>
  </si>
  <si>
    <t>Short</t>
  </si>
  <si>
    <t>Total</t>
  </si>
  <si>
    <t>Year to date</t>
  </si>
  <si>
    <t>Gross</t>
  </si>
  <si>
    <t>Liquidities</t>
  </si>
  <si>
    <t>Net</t>
  </si>
  <si>
    <t>Invested</t>
  </si>
  <si>
    <t>Month to date</t>
  </si>
  <si>
    <t>Size</t>
  </si>
  <si>
    <t>Last</t>
  </si>
  <si>
    <t>Position</t>
  </si>
  <si>
    <t>% Portfolio</t>
  </si>
  <si>
    <t>Sector</t>
  </si>
  <si>
    <t>Trade</t>
  </si>
  <si>
    <t>PL</t>
  </si>
  <si>
    <t>Perf</t>
  </si>
  <si>
    <t>Long</t>
  </si>
  <si>
    <t>Today P&amp;L</t>
  </si>
  <si>
    <t>Consumer Staples</t>
  </si>
  <si>
    <t>XLP</t>
  </si>
  <si>
    <t>Consumer Discretionary</t>
  </si>
  <si>
    <t>XLY</t>
  </si>
  <si>
    <t>Energy</t>
  </si>
  <si>
    <t>XLE</t>
  </si>
  <si>
    <t>Financials</t>
  </si>
  <si>
    <t>XLF</t>
  </si>
  <si>
    <t>Health Care</t>
  </si>
  <si>
    <t>XLV</t>
  </si>
  <si>
    <t>Industrials</t>
  </si>
  <si>
    <t>XLI</t>
  </si>
  <si>
    <t>Information Technology</t>
  </si>
  <si>
    <t>XLK</t>
  </si>
  <si>
    <t>Materials</t>
  </si>
  <si>
    <t>XLB</t>
  </si>
  <si>
    <t>Real Estate</t>
  </si>
  <si>
    <t>XLRE</t>
  </si>
  <si>
    <t>Telecommunication Services</t>
  </si>
  <si>
    <t>XTL</t>
  </si>
  <si>
    <t>Utilities</t>
  </si>
  <si>
    <t>XLU</t>
  </si>
  <si>
    <t>SPY</t>
  </si>
  <si>
    <t>INCY</t>
  </si>
  <si>
    <t xml:space="preserve"> </t>
  </si>
  <si>
    <t>`</t>
  </si>
  <si>
    <t>B / S</t>
  </si>
  <si>
    <t>Price</t>
  </si>
  <si>
    <t>Amount</t>
  </si>
  <si>
    <t>Brokerage</t>
  </si>
  <si>
    <t>Amount less b</t>
  </si>
  <si>
    <t>B</t>
  </si>
  <si>
    <t>PAYC</t>
  </si>
  <si>
    <t>S</t>
  </si>
  <si>
    <t>PCTY</t>
  </si>
  <si>
    <t>PYPL</t>
  </si>
  <si>
    <t>PTC</t>
  </si>
  <si>
    <t>EXPE</t>
  </si>
  <si>
    <t>Dividends EXPE</t>
  </si>
  <si>
    <t>Dividends SPY XLK</t>
  </si>
  <si>
    <t>NTRI</t>
  </si>
  <si>
    <t>NVEE</t>
  </si>
  <si>
    <t>KFRC</t>
  </si>
  <si>
    <t>IRBT</t>
  </si>
  <si>
    <t>SPLK</t>
  </si>
  <si>
    <t>APPF</t>
  </si>
  <si>
    <t>WIRE</t>
  </si>
  <si>
    <t>NFLX</t>
  </si>
  <si>
    <t>ATSG</t>
  </si>
  <si>
    <t>ATHN</t>
  </si>
  <si>
    <t>FICO</t>
  </si>
  <si>
    <t>GLPI</t>
  </si>
  <si>
    <t>NSP</t>
  </si>
  <si>
    <t>IRM</t>
  </si>
  <si>
    <t>WLTW</t>
  </si>
  <si>
    <t>AMZN</t>
  </si>
  <si>
    <t>SBCF</t>
  </si>
  <si>
    <t>HRC</t>
  </si>
  <si>
    <t>TMO</t>
  </si>
  <si>
    <t>Monthly NAV</t>
  </si>
  <si>
    <t>Portfolio B</t>
  </si>
  <si>
    <t>Portfolio A</t>
  </si>
  <si>
    <t xml:space="preserve">Jan 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</si>
  <si>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</si>
  <si>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</si>
  <si>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</si>
  <si>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</si>
  <si>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</si>
  <si>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</si>
  <si>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</si>
  <si>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</si>
  <si>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</si>
  <si>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</si>
  <si>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</si>
  <si>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Austria</t>
  </si>
  <si>
    <t>Belgium</t>
  </si>
  <si>
    <t>Euro stoxx Futures</t>
  </si>
  <si>
    <t>Finland</t>
  </si>
  <si>
    <t>France</t>
  </si>
  <si>
    <t>U.K.</t>
  </si>
  <si>
    <t>Germany</t>
  </si>
  <si>
    <t>Rest</t>
  </si>
  <si>
    <t>Italy</t>
  </si>
  <si>
    <t>Luxembourg</t>
  </si>
  <si>
    <t>Netherlands</t>
  </si>
  <si>
    <t>Norway</t>
  </si>
  <si>
    <t>Poland</t>
  </si>
  <si>
    <t>Spain</t>
  </si>
  <si>
    <t>Sweden</t>
  </si>
  <si>
    <t>Switzerland</t>
  </si>
  <si>
    <t>Country</t>
  </si>
  <si>
    <t>% P&amp;L</t>
  </si>
  <si>
    <t>Winners</t>
  </si>
  <si>
    <t>Losers</t>
  </si>
  <si>
    <t>Return</t>
  </si>
  <si>
    <t/>
  </si>
  <si>
    <t>Average</t>
  </si>
  <si>
    <t>Median</t>
  </si>
  <si>
    <t>Average Size</t>
  </si>
  <si>
    <t>Loser</t>
  </si>
  <si>
    <t>Hit ratio</t>
  </si>
  <si>
    <t>Winners P&amp;L</t>
  </si>
  <si>
    <t>Losers P&amp;L</t>
  </si>
  <si>
    <t>Average Winner</t>
  </si>
  <si>
    <t>Average Loser</t>
  </si>
  <si>
    <t>Avg loser &gt; Avg Winner</t>
  </si>
  <si>
    <t>Capital</t>
  </si>
  <si>
    <t>R</t>
  </si>
  <si>
    <t>Total P&amp;L</t>
  </si>
  <si>
    <t>Capital Used</t>
  </si>
  <si>
    <t>Average Profitability Per Trade</t>
  </si>
  <si>
    <t>W</t>
  </si>
  <si>
    <t>1-W</t>
  </si>
  <si>
    <t>Kelly %</t>
  </si>
  <si>
    <t>Kelly Criterion</t>
  </si>
  <si>
    <t>Perf %</t>
  </si>
  <si>
    <t>Gross exposure</t>
  </si>
  <si>
    <t>Cost of Financing</t>
  </si>
  <si>
    <t>Portfolio</t>
  </si>
  <si>
    <t>Leverage</t>
  </si>
  <si>
    <t>Max Gross Exposure</t>
  </si>
  <si>
    <t>Cost of Financing:</t>
  </si>
  <si>
    <t>Daily P&amp;L</t>
  </si>
  <si>
    <t>Trades to book:</t>
  </si>
  <si>
    <t>Insert row in 66 for each trade</t>
  </si>
  <si>
    <t>Modify formula in B5</t>
  </si>
  <si>
    <t>Performance %</t>
  </si>
  <si>
    <t>© GREGOIRE EQUITIES LIMITED 2019</t>
  </si>
  <si>
    <t>Exposure</t>
  </si>
  <si>
    <t>No Leverage = 200k capital</t>
  </si>
  <si>
    <t>With 50k Capital, x4 leverage</t>
  </si>
  <si>
    <t>Track-Record</t>
  </si>
  <si>
    <t>PERIOD ONE</t>
  </si>
  <si>
    <t>PERIOD TWO</t>
  </si>
  <si>
    <t>Overall P&amp;L</t>
  </si>
  <si>
    <t>No big Winners</t>
  </si>
  <si>
    <t>Definition</t>
  </si>
  <si>
    <t>Process / TO DO LIST</t>
  </si>
  <si>
    <t>TO DO LIST</t>
  </si>
  <si>
    <t>Comments</t>
  </si>
  <si>
    <t>P&amp;L Optimization</t>
  </si>
  <si>
    <t>Three Steps:</t>
  </si>
  <si>
    <t>Quick Access to Portfolio and Previous Trades</t>
  </si>
  <si>
    <t>P&amp;L Analysis</t>
  </si>
  <si>
    <t>Portfolio Track-Record</t>
  </si>
  <si>
    <t>Track Record Monthly</t>
  </si>
  <si>
    <t>P&amp;L by country / assets / stocks</t>
  </si>
  <si>
    <t>P&amp;L Study</t>
  </si>
  <si>
    <t>Average Profitability per trade</t>
  </si>
  <si>
    <t>P&amp;L Analysis and Optimization</t>
  </si>
  <si>
    <t>Size of Losers</t>
  </si>
  <si>
    <t>MSFT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</si>
</sst>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(* #,##0.00_);_(* \(#,##0.00\);_(* &quot;-&quot;??_);_(@_)"/>
    <numFmt numFmtId="164" formatCode="_-* #,##0.00_-;\-* #,##0.00_-;_-* &quot;-&quot;??_-;_-@_-"/>
    <numFmt numFmtId="165" formatCode="0.0%"/>
    <numFmt numFmtId="166" formatCode="_-* #,##0\ _F_-;\-* #,##0\ _F_-;_-* &quot;-&quot;??\ _F_-;_-@_-"/>
    <numFmt numFmtId="167" formatCode="_-* #,##0.00\ _F_-;\-* #,##0.00\ _F_-;_-* &quot;-&quot;??\ _F_-;_-@_-"/>
    <numFmt numFmtId="168" formatCode="0.000"/>
    <numFmt numFmtId="169" formatCode="0.00000000000000"/>
    <numFmt numFmtId="170" formatCode="0.0000"/>
    <numFmt numFmtId="171" formatCode="_-* #,##0\ _€_-;\-* #,##0\ _€_-;_-* &quot;-&quot;??\ _€_-;_-@_-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2A2A2A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2"/>
      <color theme="1"/>
      <name val="Calibri"/>
      <family val="2"/>
      <scheme val="minor"/>
    </font>
    <font>
      <b/>
      <sz val="10"/>
      <name val="Arial"/>
      <family val="2"/>
    </font>
    <font>
      <b/>
      <sz val="11"/>
      <color rgb="FF00B050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theme="0"/>
      <name val="Arial"/>
      <family val="2"/>
    </font>
    <font>
      <b/>
      <sz val="12"/>
      <color theme="0"/>
      <name val="Calibri"/>
      <family val="2"/>
      <scheme val="minor"/>
    </font>
    <font>
      <sz val="11"/>
      <color rgb="FF00B0F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494444"/>
      <name val="Arial"/>
      <family val="2"/>
    </font>
    <font>
      <b/>
      <sz val="14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/>
  </cellStyleXfs>
  <cellXfs count="325">
    <xf numFmtId="0" fontId="0" fillId="0" borderId="0" xfId="0"/>
    <xf numFmtId="0" fontId="0" fillId="2" borderId="0" xfId="0" applyFill="1"/>
    <xf numFmtId="165" fontId="0" fillId="2" borderId="0" xfId="1" applyNumberFormat="1" applyFont="1" applyFill="1"/>
    <xf numFmtId="0" fontId="0" fillId="2" borderId="0" xfId="0" applyFill="1" applyAlignment="1">
      <alignment horizontal="center"/>
    </xf>
    <xf numFmtId="165" fontId="0" fillId="2" borderId="0" xfId="1" applyNumberFormat="1" applyFont="1" applyFill="1" applyAlignment="1">
      <alignment horizontal="center"/>
    </xf>
    <xf numFmtId="10" fontId="0" fillId="2" borderId="0" xfId="1" applyNumberFormat="1" applyFont="1" applyFill="1"/>
    <xf numFmtId="2" fontId="0" fillId="2" borderId="0" xfId="0" applyNumberFormat="1" applyFill="1"/>
    <xf numFmtId="0" fontId="2" fillId="3" borderId="0" xfId="0" applyFont="1" applyFill="1" applyAlignment="1">
      <alignment horizontal="center"/>
    </xf>
    <xf numFmtId="14" fontId="0" fillId="2" borderId="1" xfId="0" applyNumberFormat="1" applyFill="1" applyBorder="1" applyAlignment="1">
      <alignment horizontal="center"/>
    </xf>
    <xf numFmtId="4" fontId="0" fillId="2" borderId="1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65" fontId="0" fillId="2" borderId="1" xfId="1" applyNumberFormat="1" applyFont="1" applyFill="1" applyBorder="1" applyAlignment="1">
      <alignment horizontal="center"/>
    </xf>
    <xf numFmtId="0" fontId="3" fillId="2" borderId="0" xfId="2" applyFill="1"/>
    <xf numFmtId="14" fontId="0" fillId="2" borderId="1" xfId="0" applyNumberFormat="1" applyFont="1" applyFill="1" applyBorder="1" applyAlignment="1">
      <alignment horizontal="center"/>
    </xf>
    <xf numFmtId="0" fontId="0" fillId="2" borderId="1" xfId="0" applyFont="1" applyFill="1" applyBorder="1" applyAlignment="1">
      <alignment horizontal="center"/>
    </xf>
    <xf numFmtId="14" fontId="5" fillId="2" borderId="1" xfId="0" applyNumberFormat="1" applyFont="1" applyFill="1" applyBorder="1" applyAlignment="1">
      <alignment horizontal="center" vertical="top" wrapText="1"/>
    </xf>
    <xf numFmtId="0" fontId="5" fillId="2" borderId="1" xfId="0" applyFont="1" applyFill="1" applyBorder="1" applyAlignment="1">
      <alignment horizontal="center" vertical="top" wrapText="1"/>
    </xf>
    <xf numFmtId="0" fontId="0" fillId="4" borderId="0" xfId="0" applyFill="1" applyAlignment="1">
      <alignment horizontal="center"/>
    </xf>
    <xf numFmtId="165" fontId="0" fillId="4" borderId="0" xfId="4" applyNumberFormat="1" applyFont="1" applyFill="1" applyAlignment="1">
      <alignment horizontal="center"/>
    </xf>
    <xf numFmtId="3" fontId="7" fillId="4" borderId="1" xfId="0" applyNumberFormat="1" applyFont="1" applyFill="1" applyBorder="1" applyAlignment="1">
      <alignment horizontal="center"/>
    </xf>
    <xf numFmtId="165" fontId="7" fillId="4" borderId="1" xfId="4" applyNumberFormat="1" applyFont="1" applyFill="1" applyBorder="1" applyAlignment="1">
      <alignment horizontal="center"/>
    </xf>
    <xf numFmtId="0" fontId="0" fillId="4" borderId="0" xfId="0" applyFill="1"/>
    <xf numFmtId="3" fontId="10" fillId="4" borderId="1" xfId="0" applyNumberFormat="1" applyFont="1" applyFill="1" applyBorder="1" applyAlignment="1">
      <alignment horizontal="center"/>
    </xf>
    <xf numFmtId="10" fontId="10" fillId="4" borderId="1" xfId="4" applyNumberFormat="1" applyFont="1" applyFill="1" applyBorder="1" applyAlignment="1">
      <alignment horizontal="center"/>
    </xf>
    <xf numFmtId="3" fontId="0" fillId="4" borderId="0" xfId="0" applyNumberFormat="1" applyFill="1" applyAlignment="1">
      <alignment horizontal="center"/>
    </xf>
    <xf numFmtId="0" fontId="10" fillId="4" borderId="0" xfId="0" applyFont="1" applyFill="1" applyAlignment="1">
      <alignment horizontal="center"/>
    </xf>
    <xf numFmtId="3" fontId="10" fillId="4" borderId="0" xfId="0" applyNumberFormat="1" applyFont="1" applyFill="1" applyAlignment="1">
      <alignment horizontal="center"/>
    </xf>
    <xf numFmtId="0" fontId="10" fillId="4" borderId="0" xfId="0" applyFont="1" applyFill="1"/>
    <xf numFmtId="1" fontId="0" fillId="4" borderId="0" xfId="0" applyNumberFormat="1" applyFill="1" applyAlignment="1">
      <alignment horizontal="center"/>
    </xf>
    <xf numFmtId="10" fontId="0" fillId="4" borderId="0" xfId="4" applyNumberFormat="1" applyFont="1" applyFill="1" applyAlignment="1">
      <alignment horizontal="center"/>
    </xf>
    <xf numFmtId="14" fontId="0" fillId="4" borderId="0" xfId="0" applyNumberFormat="1" applyFill="1"/>
    <xf numFmtId="166" fontId="10" fillId="4" borderId="0" xfId="3" applyNumberFormat="1" applyFont="1" applyFill="1" applyAlignment="1">
      <alignment horizontal="center"/>
    </xf>
    <xf numFmtId="0" fontId="0" fillId="4" borderId="0" xfId="0" applyFill="1" applyAlignment="1">
      <alignment wrapText="1"/>
    </xf>
    <xf numFmtId="0" fontId="7" fillId="5" borderId="1" xfId="0" applyFont="1" applyFill="1" applyBorder="1" applyAlignment="1">
      <alignment horizontal="center" wrapText="1"/>
    </xf>
    <xf numFmtId="1" fontId="7" fillId="5" borderId="1" xfId="0" applyNumberFormat="1" applyFont="1" applyFill="1" applyBorder="1" applyAlignment="1">
      <alignment horizontal="center" wrapText="1"/>
    </xf>
    <xf numFmtId="165" fontId="7" fillId="5" borderId="1" xfId="4" applyNumberFormat="1" applyFont="1" applyFill="1" applyBorder="1" applyAlignment="1">
      <alignment horizontal="center" wrapText="1"/>
    </xf>
    <xf numFmtId="0" fontId="11" fillId="5" borderId="1" xfId="0" applyFont="1" applyFill="1" applyBorder="1" applyAlignment="1">
      <alignment horizontal="center" wrapText="1"/>
    </xf>
    <xf numFmtId="0" fontId="0" fillId="4" borderId="8" xfId="0" applyFill="1" applyBorder="1" applyAlignment="1">
      <alignment horizontal="center"/>
    </xf>
    <xf numFmtId="1" fontId="0" fillId="4" borderId="0" xfId="0" applyNumberFormat="1" applyFill="1"/>
    <xf numFmtId="0" fontId="12" fillId="4" borderId="9" xfId="0" applyFont="1" applyFill="1" applyBorder="1"/>
    <xf numFmtId="0" fontId="0" fillId="4" borderId="10" xfId="0" applyFill="1" applyBorder="1" applyAlignment="1">
      <alignment horizontal="center"/>
    </xf>
    <xf numFmtId="3" fontId="0" fillId="4" borderId="10" xfId="0" applyNumberFormat="1" applyFill="1" applyBorder="1" applyAlignment="1">
      <alignment horizontal="center"/>
    </xf>
    <xf numFmtId="165" fontId="0" fillId="4" borderId="10" xfId="4" applyNumberFormat="1" applyFont="1" applyFill="1" applyBorder="1" applyAlignment="1">
      <alignment horizontal="center"/>
    </xf>
    <xf numFmtId="2" fontId="0" fillId="4" borderId="10" xfId="0" applyNumberFormat="1" applyFill="1" applyBorder="1" applyAlignment="1">
      <alignment horizontal="center"/>
    </xf>
    <xf numFmtId="3" fontId="0" fillId="4" borderId="11" xfId="0" applyNumberFormat="1" applyFill="1" applyBorder="1" applyAlignment="1">
      <alignment horizontal="center"/>
    </xf>
    <xf numFmtId="10" fontId="0" fillId="4" borderId="10" xfId="4" applyNumberFormat="1" applyFont="1" applyFill="1" applyBorder="1" applyAlignment="1">
      <alignment horizontal="center"/>
    </xf>
    <xf numFmtId="3" fontId="0" fillId="4" borderId="12" xfId="0" applyNumberFormat="1" applyFill="1" applyBorder="1" applyAlignment="1">
      <alignment horizontal="center"/>
    </xf>
    <xf numFmtId="1" fontId="0" fillId="4" borderId="13" xfId="4" applyNumberFormat="1" applyFont="1" applyFill="1" applyBorder="1" applyAlignment="1">
      <alignment horizontal="center"/>
    </xf>
    <xf numFmtId="0" fontId="11" fillId="5" borderId="9" xfId="0" applyFont="1" applyFill="1" applyBorder="1" applyAlignment="1">
      <alignment horizontal="center" vertical="center"/>
    </xf>
    <xf numFmtId="1" fontId="7" fillId="4" borderId="10" xfId="0" applyNumberFormat="1" applyFont="1" applyFill="1" applyBorder="1" applyAlignment="1">
      <alignment horizontal="center"/>
    </xf>
    <xf numFmtId="9" fontId="7" fillId="4" borderId="13" xfId="4" applyFont="1" applyFill="1" applyBorder="1" applyAlignment="1">
      <alignment horizontal="center"/>
    </xf>
    <xf numFmtId="0" fontId="11" fillId="6" borderId="14" xfId="0" applyFont="1" applyFill="1" applyBorder="1" applyAlignment="1">
      <alignment horizontal="center" vertical="center"/>
    </xf>
    <xf numFmtId="3" fontId="0" fillId="4" borderId="1" xfId="0" applyNumberFormat="1" applyFill="1" applyBorder="1" applyAlignment="1">
      <alignment horizontal="center"/>
    </xf>
    <xf numFmtId="1" fontId="7" fillId="4" borderId="1" xfId="0" applyNumberFormat="1" applyFont="1" applyFill="1" applyBorder="1" applyAlignment="1">
      <alignment horizontal="center"/>
    </xf>
    <xf numFmtId="9" fontId="7" fillId="4" borderId="15" xfId="4" applyFont="1" applyFill="1" applyBorder="1" applyAlignment="1">
      <alignment horizontal="center"/>
    </xf>
    <xf numFmtId="3" fontId="4" fillId="4" borderId="16" xfId="0" applyNumberFormat="1" applyFont="1" applyFill="1" applyBorder="1" applyAlignment="1">
      <alignment horizontal="center"/>
    </xf>
    <xf numFmtId="3" fontId="4" fillId="4" borderId="17" xfId="1" applyNumberFormat="1" applyFont="1" applyFill="1" applyBorder="1" applyAlignment="1">
      <alignment horizontal="center"/>
    </xf>
    <xf numFmtId="9" fontId="4" fillId="4" borderId="17" xfId="1" applyFont="1" applyFill="1" applyBorder="1" applyAlignment="1">
      <alignment horizontal="center"/>
    </xf>
    <xf numFmtId="0" fontId="12" fillId="4" borderId="14" xfId="0" applyFont="1" applyFill="1" applyBorder="1"/>
    <xf numFmtId="0" fontId="0" fillId="4" borderId="1" xfId="0" applyFill="1" applyBorder="1" applyAlignment="1">
      <alignment horizontal="center"/>
    </xf>
    <xf numFmtId="165" fontId="0" fillId="4" borderId="1" xfId="4" applyNumberFormat="1" applyFont="1" applyFill="1" applyBorder="1" applyAlignment="1">
      <alignment horizontal="center"/>
    </xf>
    <xf numFmtId="2" fontId="0" fillId="4" borderId="1" xfId="0" applyNumberFormat="1" applyFill="1" applyBorder="1" applyAlignment="1">
      <alignment horizontal="center"/>
    </xf>
    <xf numFmtId="3" fontId="0" fillId="4" borderId="4" xfId="0" applyNumberFormat="1" applyFill="1" applyBorder="1" applyAlignment="1">
      <alignment horizontal="center"/>
    </xf>
    <xf numFmtId="10" fontId="0" fillId="4" borderId="1" xfId="4" applyNumberFormat="1" applyFont="1" applyFill="1" applyBorder="1" applyAlignment="1">
      <alignment horizontal="center"/>
    </xf>
    <xf numFmtId="3" fontId="0" fillId="4" borderId="5" xfId="0" applyNumberFormat="1" applyFill="1" applyBorder="1" applyAlignment="1">
      <alignment horizontal="center"/>
    </xf>
    <xf numFmtId="1" fontId="0" fillId="4" borderId="15" xfId="4" applyNumberFormat="1" applyFont="1" applyFill="1" applyBorder="1" applyAlignment="1">
      <alignment horizontal="center"/>
    </xf>
    <xf numFmtId="0" fontId="11" fillId="5" borderId="14" xfId="0" applyFont="1" applyFill="1" applyBorder="1" applyAlignment="1">
      <alignment horizontal="center" vertical="center"/>
    </xf>
    <xf numFmtId="0" fontId="12" fillId="0" borderId="14" xfId="0" applyFont="1" applyBorder="1"/>
    <xf numFmtId="0" fontId="11" fillId="6" borderId="18" xfId="0" applyFont="1" applyFill="1" applyBorder="1" applyAlignment="1">
      <alignment horizontal="center" vertical="center"/>
    </xf>
    <xf numFmtId="3" fontId="0" fillId="4" borderId="19" xfId="0" applyNumberFormat="1" applyFill="1" applyBorder="1" applyAlignment="1">
      <alignment horizontal="center"/>
    </xf>
    <xf numFmtId="1" fontId="7" fillId="4" borderId="19" xfId="0" applyNumberFormat="1" applyFont="1" applyFill="1" applyBorder="1" applyAlignment="1">
      <alignment horizontal="center"/>
    </xf>
    <xf numFmtId="9" fontId="7" fillId="4" borderId="20" xfId="4" applyFont="1" applyFill="1" applyBorder="1" applyAlignment="1">
      <alignment horizontal="center"/>
    </xf>
    <xf numFmtId="0" fontId="4" fillId="5" borderId="21" xfId="0" applyFont="1" applyFill="1" applyBorder="1" applyAlignment="1">
      <alignment horizontal="center"/>
    </xf>
    <xf numFmtId="0" fontId="12" fillId="4" borderId="22" xfId="0" applyFont="1" applyFill="1" applyBorder="1"/>
    <xf numFmtId="0" fontId="0" fillId="4" borderId="23" xfId="0" applyFill="1" applyBorder="1" applyAlignment="1">
      <alignment horizontal="center"/>
    </xf>
    <xf numFmtId="3" fontId="0" fillId="4" borderId="23" xfId="0" applyNumberFormat="1" applyFill="1" applyBorder="1" applyAlignment="1">
      <alignment horizontal="center"/>
    </xf>
    <xf numFmtId="165" fontId="0" fillId="4" borderId="23" xfId="4" applyNumberFormat="1" applyFont="1" applyFill="1" applyBorder="1" applyAlignment="1">
      <alignment horizontal="center"/>
    </xf>
    <xf numFmtId="3" fontId="0" fillId="4" borderId="24" xfId="0" applyNumberFormat="1" applyFill="1" applyBorder="1" applyAlignment="1">
      <alignment horizontal="center"/>
    </xf>
    <xf numFmtId="10" fontId="0" fillId="4" borderId="23" xfId="4" applyNumberFormat="1" applyFont="1" applyFill="1" applyBorder="1" applyAlignment="1">
      <alignment horizontal="center"/>
    </xf>
    <xf numFmtId="3" fontId="0" fillId="4" borderId="8" xfId="0" applyNumberFormat="1" applyFill="1" applyBorder="1" applyAlignment="1">
      <alignment horizontal="center"/>
    </xf>
    <xf numFmtId="1" fontId="0" fillId="4" borderId="25" xfId="4" applyNumberFormat="1" applyFont="1" applyFill="1" applyBorder="1" applyAlignment="1">
      <alignment horizontal="center"/>
    </xf>
    <xf numFmtId="0" fontId="0" fillId="4" borderId="26" xfId="0" applyFill="1" applyBorder="1"/>
    <xf numFmtId="0" fontId="0" fillId="4" borderId="27" xfId="0" applyFill="1" applyBorder="1"/>
    <xf numFmtId="3" fontId="0" fillId="4" borderId="26" xfId="0" applyNumberFormat="1" applyFill="1" applyBorder="1" applyAlignment="1">
      <alignment horizontal="center"/>
    </xf>
    <xf numFmtId="0" fontId="0" fillId="4" borderId="16" xfId="0" applyFill="1" applyBorder="1"/>
    <xf numFmtId="1" fontId="0" fillId="4" borderId="17" xfId="4" applyNumberFormat="1" applyFont="1" applyFill="1" applyBorder="1" applyAlignment="1">
      <alignment horizontal="center"/>
    </xf>
    <xf numFmtId="0" fontId="12" fillId="4" borderId="28" xfId="0" applyFont="1" applyFill="1" applyBorder="1"/>
    <xf numFmtId="0" fontId="0" fillId="4" borderId="29" xfId="0" applyFill="1" applyBorder="1" applyAlignment="1">
      <alignment horizontal="center"/>
    </xf>
    <xf numFmtId="3" fontId="0" fillId="4" borderId="29" xfId="0" applyNumberFormat="1" applyFill="1" applyBorder="1" applyAlignment="1">
      <alignment horizontal="center"/>
    </xf>
    <xf numFmtId="165" fontId="0" fillId="4" borderId="29" xfId="4" applyNumberFormat="1" applyFont="1" applyFill="1" applyBorder="1" applyAlignment="1">
      <alignment horizontal="center"/>
    </xf>
    <xf numFmtId="3" fontId="0" fillId="4" borderId="30" xfId="0" applyNumberFormat="1" applyFill="1" applyBorder="1" applyAlignment="1">
      <alignment horizontal="center"/>
    </xf>
    <xf numFmtId="10" fontId="0" fillId="4" borderId="29" xfId="4" applyNumberFormat="1" applyFont="1" applyFill="1" applyBorder="1" applyAlignment="1">
      <alignment horizontal="center"/>
    </xf>
    <xf numFmtId="3" fontId="0" fillId="4" borderId="7" xfId="0" applyNumberFormat="1" applyFill="1" applyBorder="1" applyAlignment="1">
      <alignment horizontal="center"/>
    </xf>
    <xf numFmtId="1" fontId="0" fillId="4" borderId="31" xfId="4" applyNumberFormat="1" applyFont="1" applyFill="1" applyBorder="1" applyAlignment="1">
      <alignment horizontal="center"/>
    </xf>
    <xf numFmtId="0" fontId="12" fillId="4" borderId="18" xfId="0" applyFont="1" applyFill="1" applyBorder="1"/>
    <xf numFmtId="0" fontId="0" fillId="4" borderId="19" xfId="0" applyFill="1" applyBorder="1" applyAlignment="1">
      <alignment horizontal="center"/>
    </xf>
    <xf numFmtId="165" fontId="0" fillId="4" borderId="19" xfId="4" applyNumberFormat="1" applyFont="1" applyFill="1" applyBorder="1" applyAlignment="1">
      <alignment horizontal="center"/>
    </xf>
    <xf numFmtId="2" fontId="0" fillId="4" borderId="19" xfId="0" applyNumberFormat="1" applyFill="1" applyBorder="1" applyAlignment="1">
      <alignment horizontal="center"/>
    </xf>
    <xf numFmtId="3" fontId="0" fillId="4" borderId="32" xfId="0" applyNumberFormat="1" applyFill="1" applyBorder="1" applyAlignment="1">
      <alignment horizontal="center"/>
    </xf>
    <xf numFmtId="10" fontId="0" fillId="4" borderId="19" xfId="4" applyNumberFormat="1" applyFont="1" applyFill="1" applyBorder="1" applyAlignment="1">
      <alignment horizontal="center"/>
    </xf>
    <xf numFmtId="3" fontId="0" fillId="4" borderId="33" xfId="0" applyNumberFormat="1" applyFill="1" applyBorder="1" applyAlignment="1">
      <alignment horizontal="center"/>
    </xf>
    <xf numFmtId="1" fontId="0" fillId="4" borderId="20" xfId="4" applyNumberFormat="1" applyFont="1" applyFill="1" applyBorder="1" applyAlignment="1">
      <alignment horizontal="center"/>
    </xf>
    <xf numFmtId="0" fontId="12" fillId="4" borderId="0" xfId="0" applyFont="1" applyFill="1"/>
    <xf numFmtId="3" fontId="0" fillId="4" borderId="27" xfId="0" applyNumberFormat="1" applyFill="1" applyBorder="1" applyAlignment="1">
      <alignment horizontal="center"/>
    </xf>
    <xf numFmtId="1" fontId="0" fillId="4" borderId="35" xfId="0" applyNumberFormat="1" applyFill="1" applyBorder="1" applyAlignment="1">
      <alignment horizontal="center"/>
    </xf>
    <xf numFmtId="1" fontId="12" fillId="4" borderId="0" xfId="0" applyNumberFormat="1" applyFont="1" applyFill="1" applyAlignment="1">
      <alignment horizontal="center"/>
    </xf>
    <xf numFmtId="165" fontId="12" fillId="4" borderId="0" xfId="4" applyNumberFormat="1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167" fontId="0" fillId="4" borderId="0" xfId="0" applyNumberFormat="1" applyFill="1"/>
    <xf numFmtId="43" fontId="0" fillId="4" borderId="0" xfId="0" applyNumberFormat="1" applyFill="1"/>
    <xf numFmtId="165" fontId="0" fillId="4" borderId="0" xfId="1" applyNumberFormat="1" applyFont="1" applyFill="1" applyAlignment="1">
      <alignment horizontal="center"/>
    </xf>
    <xf numFmtId="0" fontId="12" fillId="4" borderId="0" xfId="0" applyFont="1" applyFill="1" applyAlignment="1">
      <alignment horizontal="center" wrapText="1"/>
    </xf>
    <xf numFmtId="1" fontId="12" fillId="4" borderId="0" xfId="0" applyNumberFormat="1" applyFont="1" applyFill="1" applyAlignment="1">
      <alignment horizontal="center" wrapText="1"/>
    </xf>
    <xf numFmtId="165" fontId="12" fillId="4" borderId="0" xfId="4" applyNumberFormat="1" applyFont="1" applyFill="1" applyAlignment="1">
      <alignment horizontal="center" wrapText="1"/>
    </xf>
    <xf numFmtId="2" fontId="12" fillId="4" borderId="0" xfId="0" applyNumberFormat="1" applyFont="1" applyFill="1" applyAlignment="1">
      <alignment horizontal="center" wrapText="1"/>
    </xf>
    <xf numFmtId="0" fontId="0" fillId="4" borderId="0" xfId="0" applyFill="1" applyAlignment="1">
      <alignment horizontal="center" wrapText="1"/>
    </xf>
    <xf numFmtId="2" fontId="0" fillId="4" borderId="0" xfId="0" applyNumberFormat="1" applyFill="1"/>
    <xf numFmtId="2" fontId="0" fillId="4" borderId="0" xfId="0" applyNumberFormat="1" applyFill="1" applyAlignment="1">
      <alignment horizontal="center"/>
    </xf>
    <xf numFmtId="164" fontId="0" fillId="4" borderId="0" xfId="0" applyNumberFormat="1" applyFill="1"/>
    <xf numFmtId="164" fontId="0" fillId="4" borderId="0" xfId="0" applyNumberFormat="1" applyFill="1" applyAlignment="1">
      <alignment wrapText="1"/>
    </xf>
    <xf numFmtId="167" fontId="0" fillId="4" borderId="0" xfId="0" applyNumberFormat="1" applyFill="1" applyAlignment="1">
      <alignment horizontal="center"/>
    </xf>
    <xf numFmtId="0" fontId="13" fillId="2" borderId="0" xfId="0" applyFont="1" applyFill="1"/>
    <xf numFmtId="10" fontId="0" fillId="2" borderId="0" xfId="0" applyNumberFormat="1" applyFill="1"/>
    <xf numFmtId="168" fontId="0" fillId="2" borderId="0" xfId="0" applyNumberFormat="1" applyFill="1"/>
    <xf numFmtId="169" fontId="0" fillId="2" borderId="0" xfId="0" applyNumberFormat="1" applyFill="1"/>
    <xf numFmtId="170" fontId="0" fillId="2" borderId="0" xfId="0" applyNumberFormat="1" applyFill="1"/>
    <xf numFmtId="10" fontId="0" fillId="2" borderId="0" xfId="0" applyNumberFormat="1" applyFill="1" applyAlignment="1">
      <alignment horizontal="center"/>
    </xf>
    <xf numFmtId="0" fontId="0" fillId="2" borderId="37" xfId="0" applyFill="1" applyBorder="1" applyAlignment="1">
      <alignment horizontal="center"/>
    </xf>
    <xf numFmtId="10" fontId="0" fillId="2" borderId="0" xfId="1" applyNumberFormat="1" applyFont="1" applyFill="1" applyBorder="1" applyAlignment="1">
      <alignment horizontal="center"/>
    </xf>
    <xf numFmtId="10" fontId="0" fillId="2" borderId="38" xfId="0" applyNumberFormat="1" applyFill="1" applyBorder="1" applyAlignment="1">
      <alignment horizontal="center"/>
    </xf>
    <xf numFmtId="0" fontId="0" fillId="2" borderId="39" xfId="0" applyFill="1" applyBorder="1" applyAlignment="1">
      <alignment horizontal="center"/>
    </xf>
    <xf numFmtId="10" fontId="0" fillId="2" borderId="40" xfId="1" applyNumberFormat="1" applyFont="1" applyFill="1" applyBorder="1" applyAlignment="1">
      <alignment horizontal="center"/>
    </xf>
    <xf numFmtId="10" fontId="0" fillId="2" borderId="41" xfId="0" applyNumberFormat="1" applyFill="1" applyBorder="1" applyAlignment="1">
      <alignment horizontal="center"/>
    </xf>
    <xf numFmtId="1" fontId="0" fillId="2" borderId="37" xfId="0" applyNumberFormat="1" applyFill="1" applyBorder="1" applyAlignment="1">
      <alignment horizontal="center"/>
    </xf>
    <xf numFmtId="3" fontId="0" fillId="2" borderId="2" xfId="0" applyNumberFormat="1" applyFill="1" applyBorder="1" applyAlignment="1">
      <alignment horizontal="center"/>
    </xf>
    <xf numFmtId="3" fontId="0" fillId="2" borderId="37" xfId="0" applyNumberFormat="1" applyFill="1" applyBorder="1" applyAlignment="1">
      <alignment horizontal="center"/>
    </xf>
    <xf numFmtId="3" fontId="0" fillId="2" borderId="0" xfId="0" applyNumberFormat="1" applyFill="1" applyAlignment="1">
      <alignment horizontal="center"/>
    </xf>
    <xf numFmtId="3" fontId="0" fillId="2" borderId="38" xfId="0" applyNumberFormat="1" applyFill="1" applyBorder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36" xfId="3" applyNumberFormat="1" applyFont="1" applyFill="1" applyBorder="1" applyAlignment="1">
      <alignment horizontal="center"/>
    </xf>
    <xf numFmtId="10" fontId="0" fillId="2" borderId="3" xfId="3" applyNumberFormat="1" applyFont="1" applyFill="1" applyBorder="1" applyAlignment="1">
      <alignment horizontal="center"/>
    </xf>
    <xf numFmtId="3" fontId="0" fillId="2" borderId="2" xfId="3" applyNumberFormat="1" applyFont="1" applyFill="1" applyBorder="1" applyAlignment="1">
      <alignment horizontal="center"/>
    </xf>
    <xf numFmtId="10" fontId="0" fillId="2" borderId="36" xfId="3" applyNumberFormat="1" applyFont="1" applyFill="1" applyBorder="1" applyAlignment="1">
      <alignment horizontal="center"/>
    </xf>
    <xf numFmtId="1" fontId="0" fillId="2" borderId="3" xfId="3" applyNumberFormat="1" applyFont="1" applyFill="1" applyBorder="1" applyAlignment="1">
      <alignment horizontal="center"/>
    </xf>
    <xf numFmtId="3" fontId="0" fillId="2" borderId="39" xfId="0" applyNumberFormat="1" applyFill="1" applyBorder="1" applyAlignment="1">
      <alignment horizontal="center"/>
    </xf>
    <xf numFmtId="3" fontId="0" fillId="2" borderId="40" xfId="0" applyNumberFormat="1" applyFill="1" applyBorder="1" applyAlignment="1">
      <alignment horizontal="center"/>
    </xf>
    <xf numFmtId="3" fontId="0" fillId="2" borderId="41" xfId="0" applyNumberFormat="1" applyFill="1" applyBorder="1" applyAlignment="1">
      <alignment horizontal="center"/>
    </xf>
    <xf numFmtId="10" fontId="0" fillId="2" borderId="40" xfId="0" applyNumberFormat="1" applyFill="1" applyBorder="1" applyAlignment="1">
      <alignment horizontal="center"/>
    </xf>
    <xf numFmtId="3" fontId="0" fillId="2" borderId="0" xfId="0" applyNumberFormat="1" applyFill="1" applyBorder="1" applyAlignment="1">
      <alignment horizontal="center"/>
    </xf>
    <xf numFmtId="10" fontId="0" fillId="2" borderId="0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40" xfId="0" applyNumberFormat="1" applyFill="1" applyBorder="1" applyAlignment="1">
      <alignment horizontal="center"/>
    </xf>
    <xf numFmtId="1" fontId="0" fillId="2" borderId="39" xfId="0" applyNumberFormat="1" applyFill="1" applyBorder="1" applyAlignment="1">
      <alignment horizontal="center"/>
    </xf>
    <xf numFmtId="171" fontId="0" fillId="0" borderId="18" xfId="3" applyNumberFormat="1" applyFont="1" applyBorder="1" applyAlignment="1">
      <alignment horizontal="center"/>
    </xf>
    <xf numFmtId="171" fontId="0" fillId="0" borderId="19" xfId="3" applyNumberFormat="1" applyFont="1" applyBorder="1" applyAlignment="1">
      <alignment horizontal="center"/>
    </xf>
    <xf numFmtId="10" fontId="0" fillId="0" borderId="19" xfId="0" applyNumberFormat="1" applyBorder="1" applyAlignment="1">
      <alignment horizontal="center"/>
    </xf>
    <xf numFmtId="3" fontId="0" fillId="0" borderId="19" xfId="3" applyNumberFormat="1" applyFont="1" applyBorder="1" applyAlignment="1">
      <alignment horizontal="center"/>
    </xf>
    <xf numFmtId="1" fontId="0" fillId="0" borderId="19" xfId="0" applyNumberFormat="1" applyBorder="1" applyAlignment="1">
      <alignment horizontal="center"/>
    </xf>
    <xf numFmtId="1" fontId="0" fillId="2" borderId="0" xfId="0" applyNumberFormat="1" applyFill="1"/>
    <xf numFmtId="3" fontId="0" fillId="2" borderId="0" xfId="0" applyNumberFormat="1" applyFill="1"/>
    <xf numFmtId="171" fontId="0" fillId="2" borderId="19" xfId="3" applyNumberFormat="1" applyFont="1" applyFill="1" applyBorder="1" applyAlignment="1">
      <alignment horizontal="center"/>
    </xf>
    <xf numFmtId="3" fontId="0" fillId="2" borderId="19" xfId="3" applyNumberFormat="1" applyFont="1" applyFill="1" applyBorder="1" applyAlignment="1">
      <alignment horizontal="center"/>
    </xf>
    <xf numFmtId="1" fontId="0" fillId="2" borderId="19" xfId="0" applyNumberFormat="1" applyFill="1" applyBorder="1" applyAlignment="1">
      <alignment horizontal="center"/>
    </xf>
    <xf numFmtId="164" fontId="0" fillId="2" borderId="0" xfId="0" applyNumberFormat="1" applyFill="1"/>
    <xf numFmtId="9" fontId="0" fillId="2" borderId="0" xfId="0" applyNumberFormat="1" applyFill="1"/>
    <xf numFmtId="3" fontId="0" fillId="2" borderId="37" xfId="3" applyNumberFormat="1" applyFont="1" applyFill="1" applyBorder="1" applyAlignment="1">
      <alignment horizontal="center"/>
    </xf>
    <xf numFmtId="10" fontId="0" fillId="2" borderId="38" xfId="1" applyNumberFormat="1" applyFont="1" applyFill="1" applyBorder="1" applyAlignment="1">
      <alignment horizontal="center"/>
    </xf>
    <xf numFmtId="2" fontId="0" fillId="2" borderId="0" xfId="0" applyNumberFormat="1" applyFill="1" applyBorder="1" applyAlignment="1">
      <alignment horizontal="center"/>
    </xf>
    <xf numFmtId="2" fontId="0" fillId="2" borderId="40" xfId="0" applyNumberFormat="1" applyFill="1" applyBorder="1" applyAlignment="1">
      <alignment horizontal="center"/>
    </xf>
    <xf numFmtId="0" fontId="0" fillId="2" borderId="2" xfId="0" applyFill="1" applyBorder="1"/>
    <xf numFmtId="3" fontId="0" fillId="2" borderId="36" xfId="3" applyNumberFormat="1" applyFont="1" applyFill="1" applyBorder="1" applyAlignment="1">
      <alignment horizontal="center"/>
    </xf>
    <xf numFmtId="0" fontId="0" fillId="2" borderId="37" xfId="0" applyFill="1" applyBorder="1"/>
    <xf numFmtId="3" fontId="0" fillId="2" borderId="44" xfId="0" applyNumberFormat="1" applyFill="1" applyBorder="1" applyAlignment="1">
      <alignment horizontal="center"/>
    </xf>
    <xf numFmtId="3" fontId="0" fillId="2" borderId="5" xfId="0" applyNumberFormat="1" applyFill="1" applyBorder="1" applyAlignment="1">
      <alignment horizontal="center"/>
    </xf>
    <xf numFmtId="3" fontId="0" fillId="2" borderId="45" xfId="0" applyNumberFormat="1" applyFill="1" applyBorder="1" applyAlignment="1">
      <alignment horizontal="center"/>
    </xf>
    <xf numFmtId="10" fontId="0" fillId="2" borderId="20" xfId="0" applyNumberFormat="1" applyFill="1" applyBorder="1" applyAlignment="1">
      <alignment horizontal="center"/>
    </xf>
    <xf numFmtId="0" fontId="4" fillId="2" borderId="9" xfId="0" applyFont="1" applyFill="1" applyBorder="1" applyAlignment="1">
      <alignment horizontal="center" wrapText="1"/>
    </xf>
    <xf numFmtId="0" fontId="4" fillId="2" borderId="10" xfId="0" applyFont="1" applyFill="1" applyBorder="1" applyAlignment="1">
      <alignment horizontal="center" wrapText="1"/>
    </xf>
    <xf numFmtId="1" fontId="4" fillId="2" borderId="10" xfId="0" applyNumberFormat="1" applyFont="1" applyFill="1" applyBorder="1" applyAlignment="1">
      <alignment horizontal="center" wrapText="1"/>
    </xf>
    <xf numFmtId="0" fontId="4" fillId="2" borderId="13" xfId="0" applyFont="1" applyFill="1" applyBorder="1" applyAlignment="1">
      <alignment horizontal="center" wrapText="1"/>
    </xf>
    <xf numFmtId="171" fontId="0" fillId="2" borderId="18" xfId="3" applyNumberFormat="1" applyFont="1" applyFill="1" applyBorder="1" applyAlignment="1">
      <alignment horizontal="center" vertical="center"/>
    </xf>
    <xf numFmtId="165" fontId="0" fillId="2" borderId="19" xfId="0" applyNumberFormat="1" applyFill="1" applyBorder="1" applyAlignment="1">
      <alignment horizontal="center"/>
    </xf>
    <xf numFmtId="1" fontId="0" fillId="2" borderId="21" xfId="0" applyNumberFormat="1" applyFill="1" applyBorder="1" applyAlignment="1">
      <alignment horizontal="center"/>
    </xf>
    <xf numFmtId="3" fontId="0" fillId="2" borderId="17" xfId="0" applyNumberFormat="1" applyFill="1" applyBorder="1" applyAlignment="1">
      <alignment horizontal="center" wrapText="1"/>
    </xf>
    <xf numFmtId="164" fontId="0" fillId="2" borderId="2" xfId="0" applyNumberFormat="1" applyFill="1" applyBorder="1"/>
    <xf numFmtId="164" fontId="2" fillId="3" borderId="26" xfId="0" applyNumberFormat="1" applyFont="1" applyFill="1" applyBorder="1" applyAlignment="1">
      <alignment horizontal="center" wrapText="1"/>
    </xf>
    <xf numFmtId="164" fontId="2" fillId="3" borderId="35" xfId="0" applyNumberFormat="1" applyFont="1" applyFill="1" applyBorder="1" applyAlignment="1"/>
    <xf numFmtId="3" fontId="0" fillId="2" borderId="34" xfId="0" applyNumberFormat="1" applyFill="1" applyBorder="1"/>
    <xf numFmtId="0" fontId="0" fillId="2" borderId="3" xfId="0" applyFill="1" applyBorder="1"/>
    <xf numFmtId="164" fontId="0" fillId="2" borderId="46" xfId="0" applyNumberFormat="1" applyFill="1" applyBorder="1"/>
    <xf numFmtId="164" fontId="0" fillId="2" borderId="44" xfId="0" applyNumberFormat="1" applyFill="1" applyBorder="1"/>
    <xf numFmtId="165" fontId="0" fillId="2" borderId="47" xfId="0" applyNumberFormat="1" applyFill="1" applyBorder="1" applyAlignment="1">
      <alignment horizontal="center"/>
    </xf>
    <xf numFmtId="165" fontId="0" fillId="2" borderId="45" xfId="0" applyNumberFormat="1" applyFill="1" applyBorder="1" applyAlignment="1">
      <alignment horizontal="center"/>
    </xf>
    <xf numFmtId="2" fontId="0" fillId="2" borderId="45" xfId="0" applyNumberFormat="1" applyFill="1" applyBorder="1" applyAlignment="1">
      <alignment horizontal="center"/>
    </xf>
    <xf numFmtId="164" fontId="16" fillId="2" borderId="39" xfId="0" applyNumberFormat="1" applyFont="1" applyFill="1" applyBorder="1"/>
    <xf numFmtId="9" fontId="16" fillId="2" borderId="41" xfId="0" applyNumberFormat="1" applyFont="1" applyFill="1" applyBorder="1" applyAlignment="1">
      <alignment horizontal="center"/>
    </xf>
    <xf numFmtId="0" fontId="11" fillId="5" borderId="21" xfId="0" applyFont="1" applyFill="1" applyBorder="1" applyAlignment="1">
      <alignment horizontal="center" vertical="center"/>
    </xf>
    <xf numFmtId="3" fontId="0" fillId="4" borderId="16" xfId="0" applyNumberFormat="1" applyFill="1" applyBorder="1" applyAlignment="1">
      <alignment horizontal="center"/>
    </xf>
    <xf numFmtId="1" fontId="7" fillId="4" borderId="16" xfId="0" applyNumberFormat="1" applyFont="1" applyFill="1" applyBorder="1" applyAlignment="1">
      <alignment horizontal="center"/>
    </xf>
    <xf numFmtId="9" fontId="7" fillId="4" borderId="17" xfId="4" applyFont="1" applyFill="1" applyBorder="1" applyAlignment="1">
      <alignment horizontal="center"/>
    </xf>
    <xf numFmtId="14" fontId="0" fillId="4" borderId="1" xfId="0" applyNumberFormat="1" applyFill="1" applyBorder="1" applyAlignment="1">
      <alignment horizontal="center"/>
    </xf>
    <xf numFmtId="1" fontId="0" fillId="4" borderId="1" xfId="0" applyNumberFormat="1" applyFill="1" applyBorder="1" applyAlignment="1">
      <alignment horizontal="center"/>
    </xf>
    <xf numFmtId="10" fontId="0" fillId="4" borderId="1" xfId="1" applyNumberFormat="1" applyFont="1" applyFill="1" applyBorder="1" applyAlignment="1">
      <alignment horizontal="center"/>
    </xf>
    <xf numFmtId="0" fontId="11" fillId="6" borderId="9" xfId="0" applyFont="1" applyFill="1" applyBorder="1" applyAlignment="1">
      <alignment horizontal="center" vertical="center"/>
    </xf>
    <xf numFmtId="0" fontId="11" fillId="5" borderId="18" xfId="0" applyFont="1" applyFill="1" applyBorder="1" applyAlignment="1">
      <alignment horizontal="center" vertical="center"/>
    </xf>
    <xf numFmtId="0" fontId="17" fillId="3" borderId="2" xfId="0" applyFont="1" applyFill="1" applyBorder="1" applyAlignment="1">
      <alignment wrapText="1"/>
    </xf>
    <xf numFmtId="0" fontId="17" fillId="3" borderId="36" xfId="0" applyFont="1" applyFill="1" applyBorder="1" applyAlignment="1">
      <alignment wrapText="1"/>
    </xf>
    <xf numFmtId="1" fontId="17" fillId="3" borderId="36" xfId="0" applyNumberFormat="1" applyFont="1" applyFill="1" applyBorder="1" applyAlignment="1">
      <alignment horizontal="center" wrapText="1"/>
    </xf>
    <xf numFmtId="165" fontId="17" fillId="3" borderId="36" xfId="4" applyNumberFormat="1" applyFont="1" applyFill="1" applyBorder="1" applyAlignment="1">
      <alignment wrapText="1"/>
    </xf>
    <xf numFmtId="0" fontId="18" fillId="3" borderId="3" xfId="0" applyFont="1" applyFill="1" applyBorder="1" applyAlignment="1"/>
    <xf numFmtId="14" fontId="0" fillId="4" borderId="1" xfId="0" applyNumberFormat="1" applyFill="1" applyBorder="1"/>
    <xf numFmtId="2" fontId="0" fillId="4" borderId="1" xfId="4" applyNumberFormat="1" applyFont="1" applyFill="1" applyBorder="1" applyAlignment="1">
      <alignment horizontal="center"/>
    </xf>
    <xf numFmtId="167" fontId="0" fillId="4" borderId="1" xfId="3" applyNumberFormat="1" applyFont="1" applyFill="1" applyBorder="1" applyAlignment="1">
      <alignment horizontal="center"/>
    </xf>
    <xf numFmtId="3" fontId="0" fillId="4" borderId="1" xfId="4" applyNumberFormat="1" applyFont="1" applyFill="1" applyBorder="1" applyAlignment="1">
      <alignment horizontal="center"/>
    </xf>
    <xf numFmtId="2" fontId="0" fillId="4" borderId="1" xfId="0" applyNumberFormat="1" applyFill="1" applyBorder="1"/>
    <xf numFmtId="0" fontId="19" fillId="4" borderId="0" xfId="0" applyFont="1" applyFill="1"/>
    <xf numFmtId="0" fontId="19" fillId="4" borderId="0" xfId="0" applyFont="1" applyFill="1" applyAlignment="1">
      <alignment horizontal="center"/>
    </xf>
    <xf numFmtId="0" fontId="19" fillId="4" borderId="0" xfId="0" applyFont="1" applyFill="1" applyAlignment="1"/>
    <xf numFmtId="1" fontId="19" fillId="4" borderId="0" xfId="0" applyNumberFormat="1" applyFont="1" applyFill="1" applyAlignment="1">
      <alignment horizontal="center"/>
    </xf>
    <xf numFmtId="3" fontId="12" fillId="4" borderId="0" xfId="0" applyNumberFormat="1" applyFont="1" applyFill="1" applyAlignment="1">
      <alignment horizontal="center"/>
    </xf>
    <xf numFmtId="3" fontId="0" fillId="4" borderId="34" xfId="0" applyNumberFormat="1" applyFill="1" applyBorder="1" applyAlignment="1">
      <alignment horizontal="center"/>
    </xf>
    <xf numFmtId="0" fontId="2" fillId="3" borderId="26" xfId="0" applyFont="1" applyFill="1" applyBorder="1" applyAlignment="1">
      <alignment horizontal="center"/>
    </xf>
    <xf numFmtId="0" fontId="7" fillId="4" borderId="37" xfId="0" applyFont="1" applyFill="1" applyBorder="1"/>
    <xf numFmtId="3" fontId="7" fillId="4" borderId="38" xfId="0" applyNumberFormat="1" applyFont="1" applyFill="1" applyBorder="1" applyAlignment="1">
      <alignment horizontal="center"/>
    </xf>
    <xf numFmtId="3" fontId="7" fillId="4" borderId="38" xfId="3" applyNumberFormat="1" applyFont="1" applyFill="1" applyBorder="1" applyAlignment="1">
      <alignment horizontal="center"/>
    </xf>
    <xf numFmtId="0" fontId="7" fillId="4" borderId="39" xfId="0" applyFont="1" applyFill="1" applyBorder="1"/>
    <xf numFmtId="3" fontId="7" fillId="4" borderId="41" xfId="3" applyNumberFormat="1" applyFont="1" applyFill="1" applyBorder="1" applyAlignment="1">
      <alignment horizontal="center"/>
    </xf>
    <xf numFmtId="0" fontId="7" fillId="4" borderId="46" xfId="0" applyFont="1" applyFill="1" applyBorder="1"/>
    <xf numFmtId="3" fontId="7" fillId="4" borderId="47" xfId="3" applyNumberFormat="1" applyFont="1" applyFill="1" applyBorder="1" applyAlignment="1">
      <alignment horizontal="center"/>
    </xf>
    <xf numFmtId="3" fontId="7" fillId="4" borderId="47" xfId="0" applyNumberFormat="1" applyFont="1" applyFill="1" applyBorder="1" applyAlignment="1">
      <alignment horizontal="center"/>
    </xf>
    <xf numFmtId="1" fontId="8" fillId="5" borderId="1" xfId="0" applyNumberFormat="1" applyFont="1" applyFill="1" applyBorder="1" applyAlignment="1">
      <alignment horizontal="center"/>
    </xf>
    <xf numFmtId="3" fontId="0" fillId="4" borderId="13" xfId="0" applyNumberFormat="1" applyFill="1" applyBorder="1" applyAlignment="1">
      <alignment horizontal="center"/>
    </xf>
    <xf numFmtId="0" fontId="0" fillId="4" borderId="15" xfId="0" applyFill="1" applyBorder="1" applyAlignment="1">
      <alignment horizontal="center"/>
    </xf>
    <xf numFmtId="3" fontId="0" fillId="4" borderId="20" xfId="0" applyNumberFormat="1" applyFill="1" applyBorder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14" xfId="0" applyFont="1" applyFill="1" applyBorder="1" applyAlignment="1">
      <alignment horizontal="center"/>
    </xf>
    <xf numFmtId="0" fontId="4" fillId="5" borderId="18" xfId="0" applyFont="1" applyFill="1" applyBorder="1" applyAlignment="1">
      <alignment horizontal="center" wrapText="1"/>
    </xf>
    <xf numFmtId="0" fontId="4" fillId="8" borderId="1" xfId="0" applyFont="1" applyFill="1" applyBorder="1" applyAlignment="1">
      <alignment horizontal="center" wrapText="1"/>
    </xf>
    <xf numFmtId="10" fontId="0" fillId="0" borderId="20" xfId="0" applyNumberFormat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38" xfId="0" applyFill="1" applyBorder="1" applyAlignment="1">
      <alignment horizontal="center"/>
    </xf>
    <xf numFmtId="0" fontId="0" fillId="2" borderId="40" xfId="0" applyFill="1" applyBorder="1" applyAlignment="1">
      <alignment horizontal="center"/>
    </xf>
    <xf numFmtId="0" fontId="0" fillId="2" borderId="41" xfId="0" applyFill="1" applyBorder="1" applyAlignment="1">
      <alignment horizontal="center"/>
    </xf>
    <xf numFmtId="3" fontId="0" fillId="2" borderId="46" xfId="0" applyNumberFormat="1" applyFill="1" applyBorder="1" applyAlignment="1">
      <alignment horizontal="center"/>
    </xf>
    <xf numFmtId="3" fontId="0" fillId="2" borderId="7" xfId="0" applyNumberFormat="1" applyFill="1" applyBorder="1" applyAlignment="1">
      <alignment horizontal="center"/>
    </xf>
    <xf numFmtId="3" fontId="0" fillId="2" borderId="47" xfId="0" applyNumberFormat="1" applyFill="1" applyBorder="1" applyAlignment="1">
      <alignment horizontal="center"/>
    </xf>
    <xf numFmtId="3" fontId="0" fillId="2" borderId="42" xfId="0" applyNumberFormat="1" applyFill="1" applyBorder="1" applyAlignment="1">
      <alignment horizontal="center"/>
    </xf>
    <xf numFmtId="3" fontId="0" fillId="2" borderId="12" xfId="0" applyNumberFormat="1" applyFill="1" applyBorder="1" applyAlignment="1">
      <alignment horizontal="center"/>
    </xf>
    <xf numFmtId="3" fontId="0" fillId="2" borderId="43" xfId="0" applyNumberFormat="1" applyFill="1" applyBorder="1" applyAlignment="1">
      <alignment horizontal="center"/>
    </xf>
    <xf numFmtId="0" fontId="4" fillId="5" borderId="9" xfId="0" applyFont="1" applyFill="1" applyBorder="1" applyAlignment="1">
      <alignment horizontal="center" wrapText="1"/>
    </xf>
    <xf numFmtId="0" fontId="4" fillId="5" borderId="10" xfId="0" applyFont="1" applyFill="1" applyBorder="1" applyAlignment="1">
      <alignment horizontal="center" wrapText="1"/>
    </xf>
    <xf numFmtId="1" fontId="4" fillId="5" borderId="10" xfId="0" applyNumberFormat="1" applyFont="1" applyFill="1" applyBorder="1" applyAlignment="1">
      <alignment horizontal="center" wrapText="1"/>
    </xf>
    <xf numFmtId="0" fontId="4" fillId="5" borderId="13" xfId="0" applyFont="1" applyFill="1" applyBorder="1" applyAlignment="1">
      <alignment horizontal="center" wrapText="1"/>
    </xf>
    <xf numFmtId="0" fontId="4" fillId="5" borderId="27" xfId="0" applyFont="1" applyFill="1" applyBorder="1" applyAlignment="1">
      <alignment horizontal="center"/>
    </xf>
    <xf numFmtId="0" fontId="4" fillId="5" borderId="35" xfId="0" applyFont="1" applyFill="1" applyBorder="1" applyAlignment="1">
      <alignment horizontal="center"/>
    </xf>
    <xf numFmtId="0" fontId="21" fillId="0" borderId="0" xfId="0" applyFont="1"/>
    <xf numFmtId="0" fontId="0" fillId="2" borderId="0" xfId="0" applyFill="1" applyAlignment="1">
      <alignment vertical="center"/>
    </xf>
    <xf numFmtId="0" fontId="4" fillId="2" borderId="0" xfId="0" applyFont="1" applyFill="1"/>
    <xf numFmtId="0" fontId="0" fillId="0" borderId="0" xfId="0" applyAlignment="1">
      <alignment vertical="center"/>
    </xf>
    <xf numFmtId="0" fontId="4" fillId="5" borderId="1" xfId="0" applyFont="1" applyFill="1" applyBorder="1" applyAlignment="1">
      <alignment horizontal="center" wrapText="1"/>
    </xf>
    <xf numFmtId="165" fontId="0" fillId="2" borderId="3" xfId="1" applyNumberFormat="1" applyFont="1" applyFill="1" applyBorder="1" applyAlignment="1">
      <alignment horizontal="center"/>
    </xf>
    <xf numFmtId="165" fontId="0" fillId="2" borderId="38" xfId="1" applyNumberFormat="1" applyFont="1" applyFill="1" applyBorder="1" applyAlignment="1">
      <alignment horizontal="center"/>
    </xf>
    <xf numFmtId="2" fontId="22" fillId="2" borderId="35" xfId="0" applyNumberFormat="1" applyFont="1" applyFill="1" applyBorder="1" applyAlignment="1">
      <alignment horizontal="center"/>
    </xf>
    <xf numFmtId="0" fontId="0" fillId="5" borderId="48" xfId="0" applyFill="1" applyBorder="1"/>
    <xf numFmtId="0" fontId="0" fillId="5" borderId="49" xfId="0" applyFill="1" applyBorder="1"/>
    <xf numFmtId="0" fontId="22" fillId="5" borderId="34" xfId="0" applyFont="1" applyFill="1" applyBorder="1"/>
    <xf numFmtId="0" fontId="0" fillId="5" borderId="26" xfId="0" applyFill="1" applyBorder="1" applyAlignment="1">
      <alignment horizontal="center"/>
    </xf>
    <xf numFmtId="0" fontId="4" fillId="5" borderId="48" xfId="0" applyFont="1" applyFill="1" applyBorder="1" applyAlignment="1">
      <alignment horizontal="center"/>
    </xf>
    <xf numFmtId="0" fontId="4" fillId="5" borderId="49" xfId="0" applyFont="1" applyFill="1" applyBorder="1" applyAlignment="1">
      <alignment horizontal="center"/>
    </xf>
    <xf numFmtId="0" fontId="4" fillId="5" borderId="50" xfId="0" applyFon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0" fontId="0" fillId="2" borderId="29" xfId="0" applyFill="1" applyBorder="1" applyAlignment="1">
      <alignment horizontal="center"/>
    </xf>
    <xf numFmtId="165" fontId="0" fillId="2" borderId="29" xfId="1" applyNumberFormat="1" applyFont="1" applyFill="1" applyBorder="1" applyAlignment="1">
      <alignment horizontal="center"/>
    </xf>
    <xf numFmtId="0" fontId="0" fillId="5" borderId="34" xfId="0" applyFill="1" applyBorder="1" applyAlignment="1">
      <alignment horizontal="center"/>
    </xf>
    <xf numFmtId="14" fontId="0" fillId="2" borderId="29" xfId="0" applyNumberFormat="1" applyFont="1" applyFill="1" applyBorder="1" applyAlignment="1">
      <alignment horizontal="center"/>
    </xf>
    <xf numFmtId="0" fontId="0" fillId="2" borderId="29" xfId="0" applyFont="1" applyFill="1" applyBorder="1" applyAlignment="1">
      <alignment horizontal="center"/>
    </xf>
    <xf numFmtId="0" fontId="2" fillId="3" borderId="34" xfId="0" applyFont="1" applyFill="1" applyBorder="1" applyAlignment="1">
      <alignment horizontal="center"/>
    </xf>
    <xf numFmtId="0" fontId="0" fillId="2" borderId="0" xfId="0" applyFill="1" applyAlignment="1"/>
    <xf numFmtId="0" fontId="0" fillId="2" borderId="0" xfId="0" applyFill="1"/>
    <xf numFmtId="0" fontId="0" fillId="0" borderId="0" xfId="0"/>
    <xf numFmtId="0" fontId="0" fillId="2" borderId="0" xfId="0" applyFill="1" applyAlignment="1">
      <alignment wrapText="1"/>
    </xf>
    <xf numFmtId="0" fontId="0" fillId="0" borderId="0" xfId="0" applyAlignment="1">
      <alignment wrapText="1"/>
    </xf>
    <xf numFmtId="0" fontId="0" fillId="2" borderId="0" xfId="0" applyFont="1" applyFill="1" applyAlignment="1">
      <alignment wrapText="1"/>
    </xf>
    <xf numFmtId="0" fontId="4" fillId="2" borderId="0" xfId="0" applyFont="1" applyFill="1"/>
    <xf numFmtId="0" fontId="4" fillId="0" borderId="0" xfId="0" applyFont="1"/>
    <xf numFmtId="0" fontId="4" fillId="2" borderId="0" xfId="0" applyFont="1" applyFill="1" applyAlignment="1">
      <alignment horizontal="center" vertical="center"/>
    </xf>
    <xf numFmtId="0" fontId="4" fillId="2" borderId="40" xfId="0" applyFont="1" applyFill="1" applyBorder="1" applyAlignment="1">
      <alignment horizontal="center" vertical="center"/>
    </xf>
    <xf numFmtId="0" fontId="2" fillId="3" borderId="26" xfId="0" applyFont="1" applyFill="1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35" xfId="0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4" fillId="5" borderId="5" xfId="0" applyFont="1" applyFill="1" applyBorder="1" applyAlignment="1">
      <alignment horizontal="center"/>
    </xf>
    <xf numFmtId="0" fontId="4" fillId="5" borderId="6" xfId="0" applyFont="1" applyFill="1" applyBorder="1" applyAlignment="1">
      <alignment horizontal="center"/>
    </xf>
    <xf numFmtId="0" fontId="0" fillId="0" borderId="27" xfId="0" applyBorder="1" applyAlignment="1"/>
    <xf numFmtId="0" fontId="0" fillId="0" borderId="35" xfId="0" applyBorder="1" applyAlignment="1"/>
    <xf numFmtId="0" fontId="0" fillId="0" borderId="0" xfId="0" applyAlignment="1"/>
    <xf numFmtId="0" fontId="4" fillId="2" borderId="0" xfId="0" applyFont="1" applyFill="1" applyBorder="1" applyAlignment="1">
      <alignment horizontal="center" vertical="center"/>
    </xf>
    <xf numFmtId="0" fontId="4" fillId="5" borderId="42" xfId="0" applyFont="1" applyFill="1" applyBorder="1" applyAlignment="1">
      <alignment horizontal="center"/>
    </xf>
    <xf numFmtId="0" fontId="0" fillId="0" borderId="43" xfId="0" applyBorder="1" applyAlignment="1">
      <alignment horizontal="center"/>
    </xf>
    <xf numFmtId="0" fontId="4" fillId="5" borderId="26" xfId="0" applyFont="1" applyFill="1" applyBorder="1" applyAlignment="1">
      <alignment horizontal="center"/>
    </xf>
    <xf numFmtId="0" fontId="0" fillId="0" borderId="40" xfId="0" applyBorder="1" applyAlignment="1"/>
    <xf numFmtId="0" fontId="4" fillId="5" borderId="27" xfId="0" applyFont="1" applyFill="1" applyBorder="1" applyAlignment="1">
      <alignment horizontal="center"/>
    </xf>
    <xf numFmtId="0" fontId="4" fillId="5" borderId="35" xfId="0" applyFont="1" applyFill="1" applyBorder="1" applyAlignment="1">
      <alignment horizontal="center"/>
    </xf>
    <xf numFmtId="3" fontId="13" fillId="9" borderId="26" xfId="0" applyNumberFormat="1" applyFont="1" applyFill="1" applyBorder="1" applyAlignment="1">
      <alignment horizontal="center"/>
    </xf>
    <xf numFmtId="0" fontId="13" fillId="9" borderId="35" xfId="0" applyFont="1" applyFill="1" applyBorder="1" applyAlignment="1">
      <alignment horizontal="center"/>
    </xf>
    <xf numFmtId="3" fontId="20" fillId="9" borderId="26" xfId="0" applyNumberFormat="1" applyFont="1" applyFill="1" applyBorder="1" applyAlignment="1">
      <alignment horizontal="center"/>
    </xf>
    <xf numFmtId="0" fontId="20" fillId="9" borderId="35" xfId="0" applyFont="1" applyFill="1" applyBorder="1" applyAlignment="1">
      <alignment horizontal="center"/>
    </xf>
    <xf numFmtId="3" fontId="6" fillId="3" borderId="2" xfId="0" applyNumberFormat="1" applyFont="1" applyFill="1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" xfId="0" applyBorder="1" applyAlignment="1">
      <alignment horizontal="center"/>
    </xf>
    <xf numFmtId="1" fontId="6" fillId="7" borderId="2" xfId="0" applyNumberFormat="1" applyFont="1" applyFill="1" applyBorder="1" applyAlignment="1">
      <alignment horizontal="center"/>
    </xf>
    <xf numFmtId="0" fontId="6" fillId="0" borderId="36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3" fontId="15" fillId="3" borderId="42" xfId="0" applyNumberFormat="1" applyFont="1" applyFill="1" applyBorder="1" applyAlignment="1">
      <alignment horizontal="center"/>
    </xf>
    <xf numFmtId="0" fontId="15" fillId="3" borderId="12" xfId="0" applyFont="1" applyFill="1" applyBorder="1" applyAlignment="1">
      <alignment horizontal="center"/>
    </xf>
    <xf numFmtId="0" fontId="15" fillId="3" borderId="43" xfId="0" applyFont="1" applyFill="1" applyBorder="1" applyAlignment="1">
      <alignment horizontal="center"/>
    </xf>
    <xf numFmtId="1" fontId="15" fillId="7" borderId="42" xfId="0" applyNumberFormat="1" applyFont="1" applyFill="1" applyBorder="1" applyAlignment="1">
      <alignment horizontal="center" wrapText="1"/>
    </xf>
    <xf numFmtId="0" fontId="15" fillId="7" borderId="12" xfId="0" applyFont="1" applyFill="1" applyBorder="1" applyAlignment="1">
      <alignment horizontal="center" wrapText="1"/>
    </xf>
    <xf numFmtId="0" fontId="15" fillId="7" borderId="43" xfId="0" applyFont="1" applyFill="1" applyBorder="1" applyAlignment="1">
      <alignment horizontal="center" wrapText="1"/>
    </xf>
    <xf numFmtId="164" fontId="2" fillId="3" borderId="26" xfId="0" applyNumberFormat="1" applyFont="1" applyFill="1" applyBorder="1" applyAlignment="1">
      <alignment horizontal="center"/>
    </xf>
    <xf numFmtId="0" fontId="2" fillId="3" borderId="35" xfId="0" applyFont="1" applyFill="1" applyBorder="1" applyAlignment="1">
      <alignment horizontal="center"/>
    </xf>
  </cellXfs>
  <cellStyles count="6">
    <cellStyle name="Comma" xfId="3" builtinId="3"/>
    <cellStyle name="Hyperlink" xfId="2" builtinId="8"/>
    <cellStyle name="Normal" xfId="0" builtinId="0"/>
    <cellStyle name="Normal 2" xfId="5" xr:uid="{C3733D1F-23BD-4EC7-B3D7-AF1608384925}"/>
    <cellStyle name="Percent" xfId="1" builtinId="5"/>
    <cellStyle name="Percent 2" xfId="4" xr:uid="{B60A8451-EB6B-4452-8AB1-E25A938E5E2B}"/>
  </cellStyles>
  <dxfs count="33">
    <dxf>
      <fill>
        <patternFill>
          <bgColor rgb="FFFF0000"/>
        </patternFill>
      </fill>
      <border>
        <vertical/>
        <horizontal/>
      </border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7"/>
          <c:order val="0"/>
          <c:tx>
            <c:strRef>
              <c:f>'Portfolio Track-Record'!$J$6</c:f>
              <c:strCache>
                <c:ptCount val="1"/>
                <c:pt idx="0">
                  <c:v>Performance %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'Portfolio Track-Record'!$B$7:$B$58</c:f>
              <c:numCache>
                <c:formatCode>m/d/yyyy</c:formatCode>
                <c:ptCount val="52"/>
                <c:pt idx="0">
                  <c:v>43480</c:v>
                </c:pt>
                <c:pt idx="1">
                  <c:v>43481</c:v>
                </c:pt>
                <c:pt idx="2">
                  <c:v>43482</c:v>
                </c:pt>
                <c:pt idx="3">
                  <c:v>43483</c:v>
                </c:pt>
                <c:pt idx="4">
                  <c:v>43487</c:v>
                </c:pt>
                <c:pt idx="5">
                  <c:v>43488</c:v>
                </c:pt>
                <c:pt idx="6">
                  <c:v>43489</c:v>
                </c:pt>
                <c:pt idx="7">
                  <c:v>43490</c:v>
                </c:pt>
                <c:pt idx="8">
                  <c:v>43493</c:v>
                </c:pt>
                <c:pt idx="9">
                  <c:v>43494</c:v>
                </c:pt>
                <c:pt idx="10">
                  <c:v>43495</c:v>
                </c:pt>
                <c:pt idx="11">
                  <c:v>43496</c:v>
                </c:pt>
                <c:pt idx="12">
                  <c:v>43497</c:v>
                </c:pt>
                <c:pt idx="13">
                  <c:v>43500</c:v>
                </c:pt>
                <c:pt idx="14">
                  <c:v>43501</c:v>
                </c:pt>
                <c:pt idx="15">
                  <c:v>43502</c:v>
                </c:pt>
                <c:pt idx="16">
                  <c:v>43503</c:v>
                </c:pt>
                <c:pt idx="17">
                  <c:v>43504</c:v>
                </c:pt>
                <c:pt idx="18">
                  <c:v>43507</c:v>
                </c:pt>
                <c:pt idx="19">
                  <c:v>43508</c:v>
                </c:pt>
                <c:pt idx="20">
                  <c:v>43509</c:v>
                </c:pt>
                <c:pt idx="21">
                  <c:v>43510</c:v>
                </c:pt>
                <c:pt idx="22">
                  <c:v>43511</c:v>
                </c:pt>
                <c:pt idx="23">
                  <c:v>43515</c:v>
                </c:pt>
                <c:pt idx="24">
                  <c:v>43516</c:v>
                </c:pt>
                <c:pt idx="25">
                  <c:v>43517</c:v>
                </c:pt>
                <c:pt idx="26">
                  <c:v>43518</c:v>
                </c:pt>
                <c:pt idx="27">
                  <c:v>43521</c:v>
                </c:pt>
                <c:pt idx="28">
                  <c:v>43522</c:v>
                </c:pt>
                <c:pt idx="29">
                  <c:v>43523</c:v>
                </c:pt>
                <c:pt idx="30">
                  <c:v>43524</c:v>
                </c:pt>
                <c:pt idx="31">
                  <c:v>43525</c:v>
                </c:pt>
                <c:pt idx="32">
                  <c:v>43528</c:v>
                </c:pt>
                <c:pt idx="33">
                  <c:v>43529</c:v>
                </c:pt>
                <c:pt idx="34">
                  <c:v>43530</c:v>
                </c:pt>
                <c:pt idx="35">
                  <c:v>43531</c:v>
                </c:pt>
                <c:pt idx="36">
                  <c:v>43532</c:v>
                </c:pt>
                <c:pt idx="37">
                  <c:v>43535</c:v>
                </c:pt>
                <c:pt idx="38">
                  <c:v>43536</c:v>
                </c:pt>
                <c:pt idx="39">
                  <c:v>43537</c:v>
                </c:pt>
                <c:pt idx="40">
                  <c:v>43538</c:v>
                </c:pt>
                <c:pt idx="41">
                  <c:v>43539</c:v>
                </c:pt>
                <c:pt idx="42">
                  <c:v>43542</c:v>
                </c:pt>
                <c:pt idx="43">
                  <c:v>43543</c:v>
                </c:pt>
                <c:pt idx="44">
                  <c:v>43544</c:v>
                </c:pt>
                <c:pt idx="45">
                  <c:v>43545</c:v>
                </c:pt>
                <c:pt idx="46">
                  <c:v>43546</c:v>
                </c:pt>
                <c:pt idx="47">
                  <c:v>43549</c:v>
                </c:pt>
                <c:pt idx="48">
                  <c:v>43550</c:v>
                </c:pt>
                <c:pt idx="49">
                  <c:v>43551</c:v>
                </c:pt>
                <c:pt idx="50">
                  <c:v>43552</c:v>
                </c:pt>
                <c:pt idx="51">
                  <c:v>43553</c:v>
                </c:pt>
              </c:numCache>
            </c:numRef>
          </c:cat>
          <c:val>
            <c:numRef>
              <c:f>'Portfolio Track-Record'!$J$7:$J$58</c:f>
              <c:numCache>
                <c:formatCode>0.00%</c:formatCode>
                <c:ptCount val="52"/>
                <c:pt idx="0">
                  <c:v>3.1196563295891413E-3</c:v>
                </c:pt>
                <c:pt idx="1">
                  <c:v>6.4743225991782992E-3</c:v>
                </c:pt>
                <c:pt idx="2">
                  <c:v>8.6696887301371036E-3</c:v>
                </c:pt>
                <c:pt idx="3">
                  <c:v>-2.0028838726026017E-3</c:v>
                </c:pt>
                <c:pt idx="4">
                  <c:v>8.0149353054795903E-3</c:v>
                </c:pt>
                <c:pt idx="5">
                  <c:v>3.5178942095891795E-3</c:v>
                </c:pt>
                <c:pt idx="6">
                  <c:v>2.8208531136987686E-3</c:v>
                </c:pt>
                <c:pt idx="7">
                  <c:v>5.0836476342467143E-3</c:v>
                </c:pt>
                <c:pt idx="8">
                  <c:v>5.2320247849316458E-3</c:v>
                </c:pt>
                <c:pt idx="9">
                  <c:v>2.5759738767137149E-4</c:v>
                </c:pt>
                <c:pt idx="10">
                  <c:v>-5.5613176808217797E-3</c:v>
                </c:pt>
                <c:pt idx="11">
                  <c:v>2.4597651136987692E-3</c:v>
                </c:pt>
                <c:pt idx="12">
                  <c:v>1.0493524291780959E-2</c:v>
                </c:pt>
                <c:pt idx="13">
                  <c:v>8.4057751958905493E-3</c:v>
                </c:pt>
                <c:pt idx="14">
                  <c:v>9.513516620548083E-3</c:v>
                </c:pt>
                <c:pt idx="15">
                  <c:v>1.5658249168493288E-2</c:v>
                </c:pt>
                <c:pt idx="16">
                  <c:v>2.466239629178096E-2</c:v>
                </c:pt>
                <c:pt idx="17">
                  <c:v>3.3266541278082332E-2</c:v>
                </c:pt>
                <c:pt idx="18">
                  <c:v>2.9360842647945345E-2</c:v>
                </c:pt>
                <c:pt idx="19">
                  <c:v>3.1975527579452198E-2</c:v>
                </c:pt>
                <c:pt idx="20">
                  <c:v>2.3377993332876854E-2</c:v>
                </c:pt>
                <c:pt idx="21">
                  <c:v>2.9553582373972744E-2</c:v>
                </c:pt>
                <c:pt idx="22">
                  <c:v>3.2869169278082339E-2</c:v>
                </c:pt>
                <c:pt idx="23">
                  <c:v>3.7111799415068633E-2</c:v>
                </c:pt>
                <c:pt idx="24">
                  <c:v>3.9672454812328908E-2</c:v>
                </c:pt>
                <c:pt idx="25">
                  <c:v>4.0553108072602879E-2</c:v>
                </c:pt>
                <c:pt idx="26">
                  <c:v>5.0413759195890549E-2</c:v>
                </c:pt>
                <c:pt idx="27">
                  <c:v>5.0610810045205616E-2</c:v>
                </c:pt>
                <c:pt idx="28">
                  <c:v>4.5396207305479594E-2</c:v>
                </c:pt>
                <c:pt idx="29">
                  <c:v>5.7936437442465898E-2</c:v>
                </c:pt>
                <c:pt idx="30">
                  <c:v>5.0025478538356309E-2</c:v>
                </c:pt>
                <c:pt idx="31">
                  <c:v>5.6534519634246716E-2</c:v>
                </c:pt>
                <c:pt idx="32">
                  <c:v>3.9301642921917949E-2</c:v>
                </c:pt>
                <c:pt idx="33">
                  <c:v>3.9170684017808363E-2</c:v>
                </c:pt>
                <c:pt idx="34">
                  <c:v>3.614704018219192E-2</c:v>
                </c:pt>
                <c:pt idx="35">
                  <c:v>4.1084464839726172E-2</c:v>
                </c:pt>
                <c:pt idx="36">
                  <c:v>4.1962319195890552E-2</c:v>
                </c:pt>
                <c:pt idx="37">
                  <c:v>4.048768905890425E-2</c:v>
                </c:pt>
                <c:pt idx="38">
                  <c:v>3.7542384949315208E-2</c:v>
                </c:pt>
                <c:pt idx="39">
                  <c:v>3.5177080839726163E-2</c:v>
                </c:pt>
                <c:pt idx="40">
                  <c:v>3.62114262643837E-2</c:v>
                </c:pt>
                <c:pt idx="41">
                  <c:v>3.4264839963013841E-2</c:v>
                </c:pt>
                <c:pt idx="42">
                  <c:v>3.248379886712343E-2</c:v>
                </c:pt>
                <c:pt idx="43">
                  <c:v>3.7156144072602877E-2</c:v>
                </c:pt>
                <c:pt idx="44">
                  <c:v>4.1788489278082333E-2</c:v>
                </c:pt>
                <c:pt idx="45">
                  <c:v>4.6798056401370004E-2</c:v>
                </c:pt>
                <c:pt idx="46">
                  <c:v>4.1571256401370001E-2</c:v>
                </c:pt>
                <c:pt idx="47">
                  <c:v>4.5090856401369998E-2</c:v>
                </c:pt>
                <c:pt idx="48">
                  <c:v>4.6722774209589181E-2</c:v>
                </c:pt>
                <c:pt idx="49">
                  <c:v>4.0016187908219314E-2</c:v>
                </c:pt>
                <c:pt idx="50">
                  <c:v>4.0328960510959043E-2</c:v>
                </c:pt>
                <c:pt idx="51">
                  <c:v>3.9561733113698767E-2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B90-47ED-9C16-BA1CA6C16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17424712"/>
        <c:axId val="1417424384"/>
      </c:lineChart>
      <c:dateAx>
        <c:axId val="14174247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7424384"/>
        <c:crosses val="autoZero"/>
        <c:auto val="1"/>
        <c:lblOffset val="100"/>
        <c:baseTimeUnit val="days"/>
      </c:dateAx>
      <c:valAx>
        <c:axId val="1417424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7424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Total P&amp;L in USD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6"/>
          <c:order val="0"/>
          <c:tx>
            <c:strRef>
              <c:f>'Portfolio Track-Record'!$I$6</c:f>
              <c:strCache>
                <c:ptCount val="1"/>
                <c:pt idx="0">
                  <c:v>Total P&amp;L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'Portfolio Track-Record'!$B$7:$B$58</c:f>
              <c:numCache>
                <c:formatCode>m/d/yyyy</c:formatCode>
                <c:ptCount val="52"/>
                <c:pt idx="0">
                  <c:v>43480</c:v>
                </c:pt>
                <c:pt idx="1">
                  <c:v>43481</c:v>
                </c:pt>
                <c:pt idx="2">
                  <c:v>43482</c:v>
                </c:pt>
                <c:pt idx="3">
                  <c:v>43483</c:v>
                </c:pt>
                <c:pt idx="4">
                  <c:v>43487</c:v>
                </c:pt>
                <c:pt idx="5">
                  <c:v>43488</c:v>
                </c:pt>
                <c:pt idx="6">
                  <c:v>43489</c:v>
                </c:pt>
                <c:pt idx="7">
                  <c:v>43490</c:v>
                </c:pt>
                <c:pt idx="8">
                  <c:v>43493</c:v>
                </c:pt>
                <c:pt idx="9">
                  <c:v>43494</c:v>
                </c:pt>
                <c:pt idx="10">
                  <c:v>43495</c:v>
                </c:pt>
                <c:pt idx="11">
                  <c:v>43496</c:v>
                </c:pt>
                <c:pt idx="12">
                  <c:v>43497</c:v>
                </c:pt>
                <c:pt idx="13">
                  <c:v>43500</c:v>
                </c:pt>
                <c:pt idx="14">
                  <c:v>43501</c:v>
                </c:pt>
                <c:pt idx="15">
                  <c:v>43502</c:v>
                </c:pt>
                <c:pt idx="16">
                  <c:v>43503</c:v>
                </c:pt>
                <c:pt idx="17">
                  <c:v>43504</c:v>
                </c:pt>
                <c:pt idx="18">
                  <c:v>43507</c:v>
                </c:pt>
                <c:pt idx="19">
                  <c:v>43508</c:v>
                </c:pt>
                <c:pt idx="20">
                  <c:v>43509</c:v>
                </c:pt>
                <c:pt idx="21">
                  <c:v>43510</c:v>
                </c:pt>
                <c:pt idx="22">
                  <c:v>43511</c:v>
                </c:pt>
                <c:pt idx="23">
                  <c:v>43515</c:v>
                </c:pt>
                <c:pt idx="24">
                  <c:v>43516</c:v>
                </c:pt>
                <c:pt idx="25">
                  <c:v>43517</c:v>
                </c:pt>
                <c:pt idx="26">
                  <c:v>43518</c:v>
                </c:pt>
                <c:pt idx="27">
                  <c:v>43521</c:v>
                </c:pt>
                <c:pt idx="28">
                  <c:v>43522</c:v>
                </c:pt>
                <c:pt idx="29">
                  <c:v>43523</c:v>
                </c:pt>
                <c:pt idx="30">
                  <c:v>43524</c:v>
                </c:pt>
                <c:pt idx="31">
                  <c:v>43525</c:v>
                </c:pt>
                <c:pt idx="32">
                  <c:v>43528</c:v>
                </c:pt>
                <c:pt idx="33">
                  <c:v>43529</c:v>
                </c:pt>
                <c:pt idx="34">
                  <c:v>43530</c:v>
                </c:pt>
                <c:pt idx="35">
                  <c:v>43531</c:v>
                </c:pt>
                <c:pt idx="36">
                  <c:v>43532</c:v>
                </c:pt>
                <c:pt idx="37">
                  <c:v>43535</c:v>
                </c:pt>
                <c:pt idx="38">
                  <c:v>43536</c:v>
                </c:pt>
                <c:pt idx="39">
                  <c:v>43537</c:v>
                </c:pt>
                <c:pt idx="40">
                  <c:v>43538</c:v>
                </c:pt>
                <c:pt idx="41">
                  <c:v>43539</c:v>
                </c:pt>
                <c:pt idx="42">
                  <c:v>43542</c:v>
                </c:pt>
                <c:pt idx="43">
                  <c:v>43543</c:v>
                </c:pt>
                <c:pt idx="44">
                  <c:v>43544</c:v>
                </c:pt>
                <c:pt idx="45">
                  <c:v>43545</c:v>
                </c:pt>
                <c:pt idx="46">
                  <c:v>43546</c:v>
                </c:pt>
                <c:pt idx="47">
                  <c:v>43549</c:v>
                </c:pt>
                <c:pt idx="48">
                  <c:v>43550</c:v>
                </c:pt>
                <c:pt idx="49">
                  <c:v>43551</c:v>
                </c:pt>
                <c:pt idx="50">
                  <c:v>43552</c:v>
                </c:pt>
                <c:pt idx="51">
                  <c:v>43553</c:v>
                </c:pt>
              </c:numCache>
            </c:numRef>
          </c:cat>
          <c:val>
            <c:numRef>
              <c:f>'Portfolio Track-Record'!$I$7:$I$58</c:f>
              <c:numCache>
                <c:formatCode>#,##0</c:formatCode>
                <c:ptCount val="52"/>
                <c:pt idx="0">
                  <c:v>155.98281647945706</c:v>
                </c:pt>
                <c:pt idx="1">
                  <c:v>323.71612995891496</c:v>
                </c:pt>
                <c:pt idx="2">
                  <c:v>433.48443650685522</c:v>
                </c:pt>
                <c:pt idx="3">
                  <c:v>-100.14419363013008</c:v>
                </c:pt>
                <c:pt idx="4">
                  <c:v>400.74676527397952</c:v>
                </c:pt>
                <c:pt idx="5">
                  <c:v>175.89471047945898</c:v>
                </c:pt>
                <c:pt idx="6">
                  <c:v>141.04265568493844</c:v>
                </c:pt>
                <c:pt idx="7">
                  <c:v>254.18238171233571</c:v>
                </c:pt>
                <c:pt idx="8">
                  <c:v>261.60123924658228</c:v>
                </c:pt>
                <c:pt idx="9">
                  <c:v>12.879869383568575</c:v>
                </c:pt>
                <c:pt idx="10">
                  <c:v>-278.06588404108896</c:v>
                </c:pt>
                <c:pt idx="11">
                  <c:v>122.98825568493845</c:v>
                </c:pt>
                <c:pt idx="12">
                  <c:v>524.67621458904796</c:v>
                </c:pt>
                <c:pt idx="13">
                  <c:v>420.28875979452744</c:v>
                </c:pt>
                <c:pt idx="14">
                  <c:v>475.67583102740417</c:v>
                </c:pt>
                <c:pt idx="15">
                  <c:v>782.91245842466446</c:v>
                </c:pt>
                <c:pt idx="16">
                  <c:v>1233.119814589048</c:v>
                </c:pt>
                <c:pt idx="17">
                  <c:v>1663.3270639041166</c:v>
                </c:pt>
                <c:pt idx="18">
                  <c:v>1468.0421323972673</c:v>
                </c:pt>
                <c:pt idx="19">
                  <c:v>1598.7763789726098</c:v>
                </c:pt>
                <c:pt idx="20">
                  <c:v>1168.8996666438427</c:v>
                </c:pt>
                <c:pt idx="21">
                  <c:v>1477.6791186986372</c:v>
                </c:pt>
                <c:pt idx="22">
                  <c:v>1643.4584639041168</c:v>
                </c:pt>
                <c:pt idx="23">
                  <c:v>1855.5899707534318</c:v>
                </c:pt>
                <c:pt idx="24">
                  <c:v>1983.6227406164455</c:v>
                </c:pt>
                <c:pt idx="25">
                  <c:v>2027.6554036301441</c:v>
                </c:pt>
                <c:pt idx="26">
                  <c:v>2520.6879597945276</c:v>
                </c:pt>
                <c:pt idx="27">
                  <c:v>2530.5405022602808</c:v>
                </c:pt>
                <c:pt idx="28">
                  <c:v>2269.8103652739796</c:v>
                </c:pt>
                <c:pt idx="29">
                  <c:v>2896.8218721232947</c:v>
                </c:pt>
                <c:pt idx="30">
                  <c:v>2501.2739269178155</c:v>
                </c:pt>
                <c:pt idx="31">
                  <c:v>2826.7259817123359</c:v>
                </c:pt>
                <c:pt idx="32">
                  <c:v>1965.0821460958975</c:v>
                </c:pt>
                <c:pt idx="33">
                  <c:v>1958.5342008904181</c:v>
                </c:pt>
                <c:pt idx="34">
                  <c:v>1807.3520091095961</c:v>
                </c:pt>
                <c:pt idx="35">
                  <c:v>2054.2232419863085</c:v>
                </c:pt>
                <c:pt idx="36">
                  <c:v>2098.1159597945275</c:v>
                </c:pt>
                <c:pt idx="37">
                  <c:v>2024.3844529452124</c:v>
                </c:pt>
                <c:pt idx="38">
                  <c:v>1877.1192474657603</c:v>
                </c:pt>
                <c:pt idx="39">
                  <c:v>1758.8540419863082</c:v>
                </c:pt>
                <c:pt idx="40">
                  <c:v>1810.571313219185</c:v>
                </c:pt>
                <c:pt idx="41">
                  <c:v>1713.2419981506919</c:v>
                </c:pt>
                <c:pt idx="42">
                  <c:v>1624.1899433561714</c:v>
                </c:pt>
                <c:pt idx="43">
                  <c:v>1857.8072036301439</c:v>
                </c:pt>
                <c:pt idx="44">
                  <c:v>2089.4244639041167</c:v>
                </c:pt>
                <c:pt idx="45">
                  <c:v>2339.9028200685002</c:v>
                </c:pt>
                <c:pt idx="46">
                  <c:v>2078.5628200685001</c:v>
                </c:pt>
                <c:pt idx="47">
                  <c:v>2254.5428200685001</c:v>
                </c:pt>
                <c:pt idx="48">
                  <c:v>2336.138710479459</c:v>
                </c:pt>
                <c:pt idx="49">
                  <c:v>2000.8093954109659</c:v>
                </c:pt>
                <c:pt idx="50">
                  <c:v>2016.4480255479521</c:v>
                </c:pt>
                <c:pt idx="51">
                  <c:v>1978.0866556849383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436-49FC-AF09-CA761ECA8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16233808"/>
        <c:axId val="1416233480"/>
      </c:lineChart>
      <c:dateAx>
        <c:axId val="14162338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6233480"/>
        <c:crosses val="autoZero"/>
        <c:auto val="1"/>
        <c:lblOffset val="100"/>
        <c:baseTimeUnit val="days"/>
      </c:dateAx>
      <c:valAx>
        <c:axId val="1416233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6233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NAV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'Sharpe Ratio'!$B$6:$B$84</c:f>
              <c:numCache>
                <c:formatCode>m/d/yyyy</c:formatCode>
                <c:ptCount val="79"/>
                <c:pt idx="0">
                  <c:v>43161</c:v>
                </c:pt>
                <c:pt idx="1">
                  <c:v>43168</c:v>
                </c:pt>
                <c:pt idx="2">
                  <c:v>43175</c:v>
                </c:pt>
                <c:pt idx="3">
                  <c:v>43182</c:v>
                </c:pt>
                <c:pt idx="4">
                  <c:v>43189</c:v>
                </c:pt>
                <c:pt idx="5">
                  <c:v>43196</c:v>
                </c:pt>
                <c:pt idx="6">
                  <c:v>43203</c:v>
                </c:pt>
                <c:pt idx="7">
                  <c:v>43210</c:v>
                </c:pt>
                <c:pt idx="8">
                  <c:v>43217</c:v>
                </c:pt>
                <c:pt idx="9">
                  <c:v>43224</c:v>
                </c:pt>
                <c:pt idx="10">
                  <c:v>43231</c:v>
                </c:pt>
                <c:pt idx="11">
                  <c:v>43238</c:v>
                </c:pt>
                <c:pt idx="12">
                  <c:v>43245</c:v>
                </c:pt>
                <c:pt idx="13">
                  <c:v>43252</c:v>
                </c:pt>
                <c:pt idx="14">
                  <c:v>43259</c:v>
                </c:pt>
                <c:pt idx="15">
                  <c:v>43266</c:v>
                </c:pt>
                <c:pt idx="16">
                  <c:v>43273</c:v>
                </c:pt>
                <c:pt idx="17">
                  <c:v>43280</c:v>
                </c:pt>
                <c:pt idx="18">
                  <c:v>43287</c:v>
                </c:pt>
                <c:pt idx="19">
                  <c:v>43294</c:v>
                </c:pt>
                <c:pt idx="20">
                  <c:v>43301</c:v>
                </c:pt>
                <c:pt idx="21">
                  <c:v>43308</c:v>
                </c:pt>
                <c:pt idx="22">
                  <c:v>43315</c:v>
                </c:pt>
                <c:pt idx="23">
                  <c:v>43322</c:v>
                </c:pt>
                <c:pt idx="24">
                  <c:v>43329</c:v>
                </c:pt>
                <c:pt idx="25">
                  <c:v>43336</c:v>
                </c:pt>
                <c:pt idx="26">
                  <c:v>43343</c:v>
                </c:pt>
                <c:pt idx="27">
                  <c:v>43350</c:v>
                </c:pt>
                <c:pt idx="28">
                  <c:v>43357</c:v>
                </c:pt>
                <c:pt idx="29">
                  <c:v>43364</c:v>
                </c:pt>
                <c:pt idx="30">
                  <c:v>43371</c:v>
                </c:pt>
                <c:pt idx="31">
                  <c:v>43378</c:v>
                </c:pt>
                <c:pt idx="32">
                  <c:v>43385</c:v>
                </c:pt>
                <c:pt idx="33">
                  <c:v>43392</c:v>
                </c:pt>
                <c:pt idx="34">
                  <c:v>43399</c:v>
                </c:pt>
                <c:pt idx="35">
                  <c:v>43406</c:v>
                </c:pt>
                <c:pt idx="36">
                  <c:v>43413</c:v>
                </c:pt>
                <c:pt idx="37">
                  <c:v>43420</c:v>
                </c:pt>
                <c:pt idx="38">
                  <c:v>43427</c:v>
                </c:pt>
                <c:pt idx="39">
                  <c:v>43434</c:v>
                </c:pt>
                <c:pt idx="40">
                  <c:v>43441</c:v>
                </c:pt>
                <c:pt idx="41">
                  <c:v>43448</c:v>
                </c:pt>
                <c:pt idx="42">
                  <c:v>43455</c:v>
                </c:pt>
                <c:pt idx="43">
                  <c:v>43462</c:v>
                </c:pt>
                <c:pt idx="44">
                  <c:v>43469</c:v>
                </c:pt>
                <c:pt idx="45">
                  <c:v>43476</c:v>
                </c:pt>
                <c:pt idx="46">
                  <c:v>43483</c:v>
                </c:pt>
                <c:pt idx="47">
                  <c:v>43490</c:v>
                </c:pt>
                <c:pt idx="48">
                  <c:v>43497</c:v>
                </c:pt>
                <c:pt idx="49">
                  <c:v>43504</c:v>
                </c:pt>
                <c:pt idx="50">
                  <c:v>43511</c:v>
                </c:pt>
                <c:pt idx="51">
                  <c:v>43518</c:v>
                </c:pt>
                <c:pt idx="52">
                  <c:v>43525</c:v>
                </c:pt>
                <c:pt idx="53">
                  <c:v>43532</c:v>
                </c:pt>
                <c:pt idx="54">
                  <c:v>43539</c:v>
                </c:pt>
                <c:pt idx="55">
                  <c:v>43546</c:v>
                </c:pt>
                <c:pt idx="56">
                  <c:v>43553</c:v>
                </c:pt>
                <c:pt idx="57">
                  <c:v>43560</c:v>
                </c:pt>
                <c:pt idx="58">
                  <c:v>43567</c:v>
                </c:pt>
                <c:pt idx="59">
                  <c:v>43574</c:v>
                </c:pt>
                <c:pt idx="60">
                  <c:v>43581</c:v>
                </c:pt>
                <c:pt idx="61">
                  <c:v>43588</c:v>
                </c:pt>
                <c:pt idx="62">
                  <c:v>43595</c:v>
                </c:pt>
                <c:pt idx="63">
                  <c:v>43602</c:v>
                </c:pt>
                <c:pt idx="64">
                  <c:v>43609</c:v>
                </c:pt>
                <c:pt idx="65">
                  <c:v>43616</c:v>
                </c:pt>
                <c:pt idx="66">
                  <c:v>43623</c:v>
                </c:pt>
                <c:pt idx="67">
                  <c:v>43630</c:v>
                </c:pt>
                <c:pt idx="68">
                  <c:v>43637</c:v>
                </c:pt>
                <c:pt idx="69">
                  <c:v>43644</c:v>
                </c:pt>
                <c:pt idx="70">
                  <c:v>43651</c:v>
                </c:pt>
                <c:pt idx="71">
                  <c:v>43658</c:v>
                </c:pt>
                <c:pt idx="72">
                  <c:v>43665</c:v>
                </c:pt>
                <c:pt idx="73">
                  <c:v>43672</c:v>
                </c:pt>
                <c:pt idx="74">
                  <c:v>43679</c:v>
                </c:pt>
                <c:pt idx="75">
                  <c:v>43686</c:v>
                </c:pt>
                <c:pt idx="76">
                  <c:v>43693</c:v>
                </c:pt>
                <c:pt idx="77">
                  <c:v>43700</c:v>
                </c:pt>
                <c:pt idx="78">
                  <c:v>43707</c:v>
                </c:pt>
              </c:numCache>
            </c:numRef>
          </c:cat>
          <c:val>
            <c:numRef>
              <c:f>'Sharpe Ratio'!$C$6:$C$84</c:f>
              <c:numCache>
                <c:formatCode>#,##0.00</c:formatCode>
                <c:ptCount val="79"/>
                <c:pt idx="0">
                  <c:v>25000</c:v>
                </c:pt>
                <c:pt idx="1">
                  <c:v>24900</c:v>
                </c:pt>
                <c:pt idx="2">
                  <c:v>24591.181121163179</c:v>
                </c:pt>
                <c:pt idx="3">
                  <c:v>24148.53986098224</c:v>
                </c:pt>
                <c:pt idx="4">
                  <c:v>24639.393662791757</c:v>
                </c:pt>
                <c:pt idx="5">
                  <c:v>24299.779260362931</c:v>
                </c:pt>
                <c:pt idx="6">
                  <c:v>24783.355369310662</c:v>
                </c:pt>
                <c:pt idx="7">
                  <c:v>24912.481509347799</c:v>
                </c:pt>
                <c:pt idx="8">
                  <c:v>24910.335780045367</c:v>
                </c:pt>
                <c:pt idx="9">
                  <c:v>24849.783987873459</c:v>
                </c:pt>
                <c:pt idx="10">
                  <c:v>25449.705282619892</c:v>
                </c:pt>
                <c:pt idx="11">
                  <c:v>25312.087361092181</c:v>
                </c:pt>
                <c:pt idx="12">
                  <c:v>25390.08739831857</c:v>
                </c:pt>
                <c:pt idx="13">
                  <c:v>25514.083841993292</c:v>
                </c:pt>
                <c:pt idx="14">
                  <c:v>25928.429590106411</c:v>
                </c:pt>
                <c:pt idx="15">
                  <c:v>25934.3064164973</c:v>
                </c:pt>
                <c:pt idx="16">
                  <c:v>25703.108037759921</c:v>
                </c:pt>
                <c:pt idx="17">
                  <c:v>25362.47087759836</c:v>
                </c:pt>
                <c:pt idx="18">
                  <c:v>24905.94640180159</c:v>
                </c:pt>
                <c:pt idx="19">
                  <c:v>25280.372076880503</c:v>
                </c:pt>
                <c:pt idx="20">
                  <c:v>25285.064978962091</c:v>
                </c:pt>
                <c:pt idx="21">
                  <c:v>25438.39083712711</c:v>
                </c:pt>
                <c:pt idx="22">
                  <c:v>25632.68820434561</c:v>
                </c:pt>
                <c:pt idx="23">
                  <c:v>25568.884494236841</c:v>
                </c:pt>
                <c:pt idx="24">
                  <c:v>25720.945697598661</c:v>
                </c:pt>
                <c:pt idx="25">
                  <c:v>25942.587497825305</c:v>
                </c:pt>
                <c:pt idx="26">
                  <c:v>26184.715061603169</c:v>
                </c:pt>
                <c:pt idx="27">
                  <c:v>25915.42372592141</c:v>
                </c:pt>
                <c:pt idx="28">
                  <c:v>26215.939408187049</c:v>
                </c:pt>
                <c:pt idx="29">
                  <c:v>26438.753344227891</c:v>
                </c:pt>
                <c:pt idx="30">
                  <c:v>26297.159745779078</c:v>
                </c:pt>
                <c:pt idx="31">
                  <c:v>26040.775007601318</c:v>
                </c:pt>
                <c:pt idx="32">
                  <c:v>26170.978882639323</c:v>
                </c:pt>
                <c:pt idx="33">
                  <c:v>26177.127837677959</c:v>
                </c:pt>
                <c:pt idx="34">
                  <c:v>25145.374898687613</c:v>
                </c:pt>
                <c:pt idx="35">
                  <c:v>25754.175016528341</c:v>
                </c:pt>
                <c:pt idx="36">
                  <c:v>26302.254437443255</c:v>
                </c:pt>
                <c:pt idx="37">
                  <c:v>25879.112271008311</c:v>
                </c:pt>
                <c:pt idx="38">
                  <c:v>25620.321148298226</c:v>
                </c:pt>
                <c:pt idx="39">
                  <c:v>26286.449498153979</c:v>
                </c:pt>
                <c:pt idx="40">
                  <c:v>26312.735947652131</c:v>
                </c:pt>
                <c:pt idx="41">
                  <c:v>25981.661974267576</c:v>
                </c:pt>
                <c:pt idx="42">
                  <c:v>26345.405241907323</c:v>
                </c:pt>
                <c:pt idx="43">
                  <c:v>26350.674322955703</c:v>
                </c:pt>
                <c:pt idx="44">
                  <c:v>26840.427823899103</c:v>
                </c:pt>
                <c:pt idx="45">
                  <c:v>26920.949107370798</c:v>
                </c:pt>
                <c:pt idx="46">
                  <c:v>26705.581514511832</c:v>
                </c:pt>
                <c:pt idx="47">
                  <c:v>26646.085386606446</c:v>
                </c:pt>
                <c:pt idx="48">
                  <c:v>27063.761833527526</c:v>
                </c:pt>
                <c:pt idx="49">
                  <c:v>27077.259606238193</c:v>
                </c:pt>
                <c:pt idx="50">
                  <c:v>27754.423262446522</c:v>
                </c:pt>
                <c:pt idx="51">
                  <c:v>27925.111799549853</c:v>
                </c:pt>
                <c:pt idx="52">
                  <c:v>28035.305725507198</c:v>
                </c:pt>
                <c:pt idx="53">
                  <c:v>27429.141453294465</c:v>
                </c:pt>
                <c:pt idx="54">
                  <c:v>28223.19543479913</c:v>
                </c:pt>
                <c:pt idx="55">
                  <c:v>28005.507619399181</c:v>
                </c:pt>
                <c:pt idx="56">
                  <c:v>28342.38787923006</c:v>
                </c:pt>
                <c:pt idx="57">
                  <c:v>28925.75559732717</c:v>
                </c:pt>
                <c:pt idx="58">
                  <c:v>29072.446478592254</c:v>
                </c:pt>
                <c:pt idx="59">
                  <c:v>29048.649001374732</c:v>
                </c:pt>
                <c:pt idx="60">
                  <c:v>29397.127731883291</c:v>
                </c:pt>
                <c:pt idx="61">
                  <c:v>29454.724557755693</c:v>
                </c:pt>
                <c:pt idx="62">
                  <c:v>29484.179282313446</c:v>
                </c:pt>
                <c:pt idx="63">
                  <c:v>29260.393873017827</c:v>
                </c:pt>
                <c:pt idx="64">
                  <c:v>28917.90944544195</c:v>
                </c:pt>
                <c:pt idx="65">
                  <c:v>28484.140803760321</c:v>
                </c:pt>
                <c:pt idx="66">
                  <c:v>28541.109085367843</c:v>
                </c:pt>
                <c:pt idx="67">
                  <c:v>28676.5951864077</c:v>
                </c:pt>
                <c:pt idx="68">
                  <c:v>29307.146742077945</c:v>
                </c:pt>
                <c:pt idx="69">
                  <c:v>29220.729456645789</c:v>
                </c:pt>
                <c:pt idx="70">
                  <c:v>29703.972691852574</c:v>
                </c:pt>
                <c:pt idx="71">
                  <c:v>29936.010449394194</c:v>
                </c:pt>
                <c:pt idx="72">
                  <c:v>29566.898162629004</c:v>
                </c:pt>
                <c:pt idx="73">
                  <c:v>30056.102217632731</c:v>
                </c:pt>
                <c:pt idx="74">
                  <c:v>29755.541195456404</c:v>
                </c:pt>
                <c:pt idx="75">
                  <c:v>29619.551488793772</c:v>
                </c:pt>
                <c:pt idx="76">
                  <c:v>29315.40501719253</c:v>
                </c:pt>
                <c:pt idx="77">
                  <c:v>28893.538875890721</c:v>
                </c:pt>
                <c:pt idx="78">
                  <c:v>29698.810890383014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0-4ED6-B81A-13EF3C4851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9573840"/>
        <c:axId val="789573184"/>
      </c:lineChart>
      <c:dateAx>
        <c:axId val="7895738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573184"/>
        <c:crosses val="autoZero"/>
        <c:auto val="1"/>
        <c:lblOffset val="100"/>
        <c:baseTimeUnit val="days"/>
      </c:dateAx>
      <c:valAx>
        <c:axId val="789573184"/>
        <c:scaling>
          <c:orientation val="minMax"/>
          <c:min val="24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573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% P&amp;L</a:t>
            </a:r>
          </a:p>
          <a:p>
            <a:pPr>
              <a:defRPr/>
            </a:pPr>
            <a:r>
              <a:rPr lang="en-US" sz="1600" b="1"/>
              <a:t>by Country</a:t>
            </a:r>
          </a:p>
        </c:rich>
      </c:tx>
      <c:layout>
        <c:manualLayout>
          <c:xMode val="edge"/>
          <c:yMode val="edge"/>
          <c:x val="0.7703474510620093"/>
          <c:y val="0.129817444219066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'P&amp;L by country'!$D$5</c:f>
              <c:strCache>
                <c:ptCount val="1"/>
                <c:pt idx="0">
                  <c:v>% P&amp;L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373-4A05-B827-B73E84DF2DC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373-4A05-B827-B73E84DF2DC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373-4A05-B827-B73E84DF2DC5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CC1-4579-B69A-B891B34763E0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BCC1-4579-B69A-B891B34763E0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373-4A05-B827-B73E84DF2DC5}"/>
              </c:ext>
            </c:extLst>
          </c:dPt>
          <c:dPt>
            <c:idx val="6"/>
            <c:bubble3D val="0"/>
            <c:spPr>
              <a:solidFill>
                <a:srgbClr val="7030A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CC1-4579-B69A-B891B34763E0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373-4A05-B827-B73E84DF2DC5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373-4A05-B827-B73E84DF2DC5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373-4A05-B827-B73E84DF2DC5}"/>
              </c:ext>
            </c:extLst>
          </c:dPt>
          <c:dPt>
            <c:idx val="10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BCC1-4579-B69A-B891B34763E0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373-4A05-B827-B73E84DF2DC5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BCC1-4579-B69A-B891B34763E0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373-4A05-B827-B73E84DF2DC5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B373-4A05-B827-B73E84DF2DC5}"/>
              </c:ext>
            </c:extLst>
          </c:dPt>
          <c:dPt>
            <c:idx val="15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CC1-4579-B69A-B891B34763E0}"/>
              </c:ext>
            </c:extLst>
          </c:dPt>
          <c:dLbls>
            <c:dLbl>
              <c:idx val="4"/>
              <c:layout>
                <c:manualLayout>
                  <c:x val="3.5030467006602145E-2"/>
                  <c:y val="2.3559651392460322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10024812977672945"/>
                      <c:h val="0.1033505294596796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BCC1-4579-B69A-B891B34763E0}"/>
                </c:ext>
              </c:extLst>
            </c:dLbl>
            <c:dLbl>
              <c:idx val="12"/>
              <c:layout>
                <c:manualLayout>
                  <c:x val="-9.2221721183530475E-2"/>
                  <c:y val="-0.1111519275100754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CC1-4579-B69A-B891B34763E0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'P&amp;L by country'!$C$6:$C$21</c:f>
              <c:strCache>
                <c:ptCount val="16"/>
                <c:pt idx="0">
                  <c:v>Austria</c:v>
                </c:pt>
                <c:pt idx="1">
                  <c:v>Belgium</c:v>
                </c:pt>
                <c:pt idx="2">
                  <c:v>Euro stoxx Futures</c:v>
                </c:pt>
                <c:pt idx="3">
                  <c:v>Finland</c:v>
                </c:pt>
                <c:pt idx="4">
                  <c:v>France</c:v>
                </c:pt>
                <c:pt idx="5">
                  <c:v>U.K.</c:v>
                </c:pt>
                <c:pt idx="6">
                  <c:v>Germany</c:v>
                </c:pt>
                <c:pt idx="7">
                  <c:v>Rest</c:v>
                </c:pt>
                <c:pt idx="8">
                  <c:v>Italy</c:v>
                </c:pt>
                <c:pt idx="9">
                  <c:v>Luxembourg</c:v>
                </c:pt>
                <c:pt idx="10">
                  <c:v>Netherlands</c:v>
                </c:pt>
                <c:pt idx="11">
                  <c:v>Norway</c:v>
                </c:pt>
                <c:pt idx="12">
                  <c:v>Poland</c:v>
                </c:pt>
                <c:pt idx="13">
                  <c:v>Spain</c:v>
                </c:pt>
                <c:pt idx="14">
                  <c:v>Sweden</c:v>
                </c:pt>
                <c:pt idx="15">
                  <c:v>Switzerland</c:v>
                </c:pt>
              </c:strCache>
            </c:strRef>
          </c:cat>
          <c:val>
            <c:numRef>
              <c:f>'P&amp;L by country'!$D$6:$D$21</c:f>
              <c:numCache>
                <c:formatCode>0.0%</c:formatCode>
                <c:ptCount val="16"/>
                <c:pt idx="0">
                  <c:v>9.8000679593801317E-3</c:v>
                </c:pt>
                <c:pt idx="1">
                  <c:v>2.3430804806676728E-2</c:v>
                </c:pt>
                <c:pt idx="2">
                  <c:v>-4.0720855215175952E-3</c:v>
                </c:pt>
                <c:pt idx="3">
                  <c:v>1.5739278094138432E-2</c:v>
                </c:pt>
                <c:pt idx="4">
                  <c:v>0.43861441125490797</c:v>
                </c:pt>
                <c:pt idx="5">
                  <c:v>9.6384602525727142E-3</c:v>
                </c:pt>
                <c:pt idx="6">
                  <c:v>0.15428921336539791</c:v>
                </c:pt>
                <c:pt idx="7">
                  <c:v>-1.2831149241402473E-3</c:v>
                </c:pt>
                <c:pt idx="8">
                  <c:v>7.0070170115352784E-2</c:v>
                </c:pt>
                <c:pt idx="9">
                  <c:v>1.7295616613966442E-3</c:v>
                </c:pt>
                <c:pt idx="10">
                  <c:v>0.12328532695393904</c:v>
                </c:pt>
                <c:pt idx="11">
                  <c:v>3.1527073795469215E-3</c:v>
                </c:pt>
                <c:pt idx="12">
                  <c:v>-1.4380534303056447E-3</c:v>
                </c:pt>
                <c:pt idx="13">
                  <c:v>6.9819011500350053E-2</c:v>
                </c:pt>
                <c:pt idx="14">
                  <c:v>9.905932587113718E-3</c:v>
                </c:pt>
                <c:pt idx="15">
                  <c:v>7.7318307945190554E-2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C1-4579-B69A-B891B34763E0}"/>
            </c:ext>
          </c:extLst>
        </c:ser>
        <c:dLbls>
          <c:dLblPos val="bestFit"/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409575</xdr:colOff>
      <xdr:row>8</xdr:row>
      <xdr:rowOff>114300</xdr:rowOff>
    </xdr:from>
    <xdr:to>
      <xdr:col>18</xdr:col>
      <xdr:colOff>552450</xdr:colOff>
      <xdr:row>25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5D8367-4CAF-468E-8927-7E94C42C1F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552450</xdr:colOff>
      <xdr:row>28</xdr:row>
      <xdr:rowOff>104775</xdr:rowOff>
    </xdr:from>
    <xdr:to>
      <xdr:col>18</xdr:col>
      <xdr:colOff>247650</xdr:colOff>
      <xdr:row>42</xdr:row>
      <xdr:rowOff>180975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403FE1F-665A-44A3-BF7F-BE19FE9623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247650</xdr:colOff>
      <xdr:row>4</xdr:row>
      <xdr:rowOff>38099</xdr:rowOff>
    </xdr:from>
    <xdr:to>
      <xdr:col>11</xdr:col>
      <xdr:colOff>47625</xdr:colOff>
      <xdr:row>22</xdr:row>
      <xdr:rowOff>47624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CE1ADD6-6FE0-48F6-A08A-99A2829FB0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457200</xdr:colOff>
      <xdr:row>2</xdr:row>
      <xdr:rowOff>66675</xdr:rowOff>
    </xdr:from>
    <xdr:to>
      <xdr:col>16</xdr:col>
      <xdr:colOff>238125</xdr:colOff>
      <xdr:row>27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539E17-615E-41FE-9DF0-3FA967E370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treasury.gov/resource-center/data-chart-center/interest-rates/pages/textview.aspx?data=yield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116BE-7A95-4CAE-9237-29BFF3CEFCF6}">
  <sheetPr>
    <tabColor rgb="FFFFFF00"/>
  </sheetPr>
  <dimension ref="B1:J29"/>
  <sheetViews>
    <sheetView workbookViewId="0">
      <selection activeCell="M30" sqref="M30"/>
    </sheetView>
  </sheetViews>
  <sheetFormatPr defaultColWidth="9.1328125" defaultRowHeight="14.25" x14ac:dyDescent="0.45"/>
  <cols>
    <col min="1" max="1" width="9.1328125" style="1"/>
    <col min="2" max="10" width="12.86328125" style="1" customWidth="1"/>
    <col min="11" max="16384" width="9.1328125" style="1"/>
  </cols>
  <sheetData>
    <row r="1" spans="2:10" x14ac:dyDescent="0.45">
      <c r="B1" s="285"/>
      <c r="C1" s="285"/>
      <c r="D1" s="285"/>
      <c r="E1" s="285"/>
      <c r="F1" s="285"/>
      <c r="G1" s="285"/>
      <c r="H1" s="285"/>
      <c r="I1" s="285"/>
      <c r="J1" s="285"/>
    </row>
    <row r="2" spans="2:10" ht="14.65" thickBot="1" x14ac:dyDescent="0.5">
      <c r="B2" s="286"/>
      <c r="C2" s="286"/>
      <c r="D2" s="286"/>
      <c r="E2" s="286"/>
      <c r="F2" s="286"/>
      <c r="G2" s="286"/>
      <c r="H2" s="286"/>
      <c r="I2" s="286"/>
      <c r="J2" s="286"/>
    </row>
    <row r="3" spans="2:10" ht="14.65" thickBot="1" x14ac:dyDescent="0.5">
      <c r="B3" s="287" t="s">
        <v>437</v>
      </c>
      <c r="C3" s="288"/>
      <c r="D3" s="288"/>
      <c r="E3" s="288"/>
      <c r="F3" s="288"/>
      <c r="G3" s="288"/>
      <c r="H3" s="288"/>
      <c r="I3" s="288"/>
      <c r="J3" s="289"/>
    </row>
    <row r="5" spans="2:10" x14ac:dyDescent="0.45">
      <c r="B5" s="290" t="s">
        <v>424</v>
      </c>
      <c r="C5" s="291"/>
      <c r="D5" s="291"/>
      <c r="E5" s="291"/>
      <c r="F5" s="291"/>
      <c r="G5" s="291"/>
      <c r="H5" s="291"/>
      <c r="I5" s="291"/>
      <c r="J5" s="292"/>
    </row>
    <row r="7" spans="2:10" ht="18" customHeight="1" x14ac:dyDescent="0.45">
      <c r="B7" s="282" t="s">
        <v>429</v>
      </c>
      <c r="C7" s="282"/>
      <c r="D7" s="282"/>
      <c r="E7" s="282"/>
      <c r="F7" s="282"/>
      <c r="G7" s="282"/>
      <c r="H7" s="282"/>
      <c r="I7" s="282"/>
      <c r="J7" s="282"/>
    </row>
    <row r="8" spans="2:10" ht="18" customHeight="1" x14ac:dyDescent="0.45">
      <c r="B8" s="282" t="s">
        <v>430</v>
      </c>
      <c r="C8" s="282"/>
      <c r="D8" s="282"/>
      <c r="E8" s="282"/>
      <c r="F8" s="282"/>
      <c r="G8" s="282"/>
      <c r="H8" s="282"/>
      <c r="I8" s="282"/>
      <c r="J8" s="282"/>
    </row>
    <row r="9" spans="2:10" ht="18" customHeight="1" x14ac:dyDescent="0.45">
      <c r="B9" s="282" t="s">
        <v>431</v>
      </c>
      <c r="C9" s="282"/>
      <c r="D9" s="282"/>
      <c r="E9" s="282"/>
      <c r="F9" s="282"/>
      <c r="G9" s="282"/>
      <c r="H9" s="282"/>
      <c r="I9" s="282"/>
      <c r="J9" s="282"/>
    </row>
    <row r="10" spans="2:10" ht="18" customHeight="1" x14ac:dyDescent="0.45">
      <c r="B10" s="282" t="s">
        <v>428</v>
      </c>
      <c r="C10" s="282"/>
      <c r="D10" s="282"/>
      <c r="E10" s="282"/>
      <c r="F10" s="282"/>
      <c r="G10" s="282"/>
      <c r="H10" s="282"/>
      <c r="I10" s="282"/>
      <c r="J10" s="282"/>
    </row>
    <row r="11" spans="2:10" x14ac:dyDescent="0.45">
      <c r="B11" s="255"/>
      <c r="C11" s="256"/>
      <c r="D11" s="256"/>
      <c r="E11" s="256"/>
    </row>
    <row r="12" spans="2:10" x14ac:dyDescent="0.45">
      <c r="B12" s="290" t="s">
        <v>425</v>
      </c>
      <c r="C12" s="293"/>
      <c r="D12" s="293"/>
      <c r="E12" s="293"/>
      <c r="F12" s="293"/>
      <c r="G12" s="293"/>
      <c r="H12" s="293"/>
      <c r="I12" s="293"/>
      <c r="J12" s="294"/>
    </row>
    <row r="14" spans="2:10" x14ac:dyDescent="0.45">
      <c r="B14" s="290" t="s">
        <v>426</v>
      </c>
      <c r="C14" s="295"/>
      <c r="D14" s="295"/>
      <c r="E14" s="295"/>
      <c r="F14" s="296"/>
      <c r="G14" s="290" t="s">
        <v>427</v>
      </c>
      <c r="H14" s="295"/>
      <c r="I14" s="295"/>
      <c r="J14" s="296"/>
    </row>
    <row r="16" spans="2:10" x14ac:dyDescent="0.45">
      <c r="B16" s="283" t="s">
        <v>430</v>
      </c>
      <c r="C16" s="284"/>
      <c r="D16" s="284"/>
      <c r="E16" s="284"/>
      <c r="F16" s="284"/>
      <c r="G16" s="278" t="s">
        <v>406</v>
      </c>
      <c r="H16" s="279"/>
      <c r="I16" s="279"/>
      <c r="J16" s="279"/>
    </row>
    <row r="17" spans="2:10" x14ac:dyDescent="0.45">
      <c r="B17" s="283" t="s">
        <v>431</v>
      </c>
      <c r="C17" s="284"/>
      <c r="D17" s="284"/>
      <c r="E17" s="284"/>
      <c r="F17" s="284"/>
      <c r="G17" s="278" t="s">
        <v>432</v>
      </c>
      <c r="H17" s="279"/>
      <c r="I17" s="279"/>
      <c r="J17" s="279"/>
    </row>
    <row r="18" spans="2:10" x14ac:dyDescent="0.45">
      <c r="B18" s="278"/>
      <c r="C18" s="279"/>
      <c r="D18" s="279"/>
      <c r="E18" s="279"/>
      <c r="F18" s="279"/>
      <c r="G18" s="278" t="s">
        <v>262</v>
      </c>
      <c r="H18" s="279"/>
      <c r="I18" s="279"/>
      <c r="J18" s="279"/>
    </row>
    <row r="19" spans="2:10" x14ac:dyDescent="0.45">
      <c r="B19" s="278"/>
      <c r="C19" s="279"/>
      <c r="D19" s="279"/>
      <c r="E19" s="279"/>
      <c r="F19" s="279"/>
      <c r="G19" s="1" t="s">
        <v>433</v>
      </c>
    </row>
    <row r="20" spans="2:10" x14ac:dyDescent="0.45">
      <c r="B20" s="278"/>
      <c r="C20" s="279"/>
      <c r="D20" s="279"/>
      <c r="E20" s="279"/>
      <c r="F20" s="279"/>
      <c r="G20" s="1" t="s">
        <v>434</v>
      </c>
    </row>
    <row r="21" spans="2:10" x14ac:dyDescent="0.45">
      <c r="B21" s="257" t="s">
        <v>428</v>
      </c>
      <c r="G21" s="1" t="s">
        <v>435</v>
      </c>
    </row>
    <row r="22" spans="2:10" x14ac:dyDescent="0.45">
      <c r="B22" s="278"/>
      <c r="C22" s="279"/>
      <c r="D22" s="279"/>
      <c r="E22" s="279"/>
      <c r="F22" s="279"/>
      <c r="G22" s="278" t="s">
        <v>436</v>
      </c>
      <c r="H22" s="279"/>
      <c r="I22" s="279"/>
      <c r="J22" s="279"/>
    </row>
    <row r="23" spans="2:10" x14ac:dyDescent="0.45">
      <c r="B23" s="278"/>
      <c r="C23" s="279"/>
      <c r="D23" s="279"/>
      <c r="E23" s="279"/>
      <c r="F23" s="279"/>
      <c r="G23" s="278" t="s">
        <v>402</v>
      </c>
      <c r="H23" s="279"/>
      <c r="I23" s="279"/>
      <c r="J23" s="279"/>
    </row>
    <row r="24" spans="2:10" x14ac:dyDescent="0.45">
      <c r="B24" s="278"/>
      <c r="C24" s="279"/>
      <c r="D24" s="279"/>
      <c r="E24" s="279"/>
      <c r="F24" s="279"/>
      <c r="G24" s="278"/>
      <c r="H24" s="279"/>
      <c r="I24" s="279"/>
      <c r="J24" s="279"/>
    </row>
    <row r="27" spans="2:10" x14ac:dyDescent="0.45">
      <c r="B27" s="257"/>
    </row>
    <row r="28" spans="2:10" ht="30" customHeight="1" x14ac:dyDescent="0.45">
      <c r="B28" s="280"/>
      <c r="C28" s="281"/>
      <c r="D28" s="281"/>
      <c r="E28" s="281"/>
      <c r="F28" s="281"/>
      <c r="G28" s="281"/>
      <c r="H28" s="281"/>
      <c r="I28" s="281"/>
      <c r="J28" s="281"/>
    </row>
    <row r="29" spans="2:10" x14ac:dyDescent="0.45">
      <c r="B29" s="258"/>
    </row>
  </sheetData>
  <mergeCells count="25">
    <mergeCell ref="B18:F18"/>
    <mergeCell ref="G18:J18"/>
    <mergeCell ref="B1:J2"/>
    <mergeCell ref="B3:J3"/>
    <mergeCell ref="B5:J5"/>
    <mergeCell ref="B7:J7"/>
    <mergeCell ref="B12:J12"/>
    <mergeCell ref="B14:F14"/>
    <mergeCell ref="G14:J14"/>
    <mergeCell ref="B24:F24"/>
    <mergeCell ref="G24:J24"/>
    <mergeCell ref="B28:J28"/>
    <mergeCell ref="B8:J8"/>
    <mergeCell ref="B9:J9"/>
    <mergeCell ref="B10:J10"/>
    <mergeCell ref="B19:F19"/>
    <mergeCell ref="B20:F20"/>
    <mergeCell ref="B22:F22"/>
    <mergeCell ref="G22:J22"/>
    <mergeCell ref="B23:F23"/>
    <mergeCell ref="G23:J23"/>
    <mergeCell ref="B16:F16"/>
    <mergeCell ref="G16:J16"/>
    <mergeCell ref="B17:F17"/>
    <mergeCell ref="G17:J17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63341-C59F-451E-B1E4-485488F2747E}">
  <dimension ref="B1:Y328"/>
  <sheetViews>
    <sheetView topLeftCell="A88" zoomScale="70" zoomScaleNormal="70" workbookViewId="0">
      <selection activeCell="O141" sqref="O141:R147"/>
    </sheetView>
  </sheetViews>
  <sheetFormatPr defaultRowHeight="14.25" x14ac:dyDescent="0.45"/>
  <cols>
    <col min="1" max="1" width="5.265625" style="21" customWidth="1"/>
    <col min="2" max="2" width="15" style="21" customWidth="1"/>
    <col min="3" max="3" width="14" style="17" customWidth="1"/>
    <col min="4" max="4" width="10.3984375" style="17" customWidth="1"/>
    <col min="5" max="5" width="17.265625" style="28" customWidth="1"/>
    <col min="6" max="6" width="12.73046875" style="18" customWidth="1"/>
    <col min="7" max="7" width="14.59765625" style="17" customWidth="1"/>
    <col min="8" max="8" width="12.86328125" style="17" customWidth="1"/>
    <col min="9" max="9" width="10.59765625" style="17" customWidth="1"/>
    <col min="10" max="10" width="14" style="17" customWidth="1"/>
    <col min="11" max="12" width="12.1328125" style="21" customWidth="1"/>
    <col min="13" max="13" width="10.86328125" style="21" customWidth="1"/>
    <col min="14" max="14" width="5.3984375" style="21" customWidth="1"/>
    <col min="15" max="15" width="7.1328125" style="21" customWidth="1"/>
    <col min="16" max="16" width="39.3984375" style="21" customWidth="1"/>
    <col min="17" max="20" width="12.265625" style="21" customWidth="1"/>
    <col min="21" max="21" width="8.1328125" style="21" customWidth="1"/>
    <col min="22" max="22" width="12" style="21" bestFit="1" customWidth="1"/>
    <col min="23" max="23" width="10.3984375" style="21" customWidth="1"/>
    <col min="24" max="24" width="9.1328125" style="21"/>
    <col min="25" max="25" width="10.265625" style="17" customWidth="1"/>
    <col min="26" max="26" width="10.3984375" style="21" customWidth="1"/>
    <col min="27" max="27" width="39" style="21" customWidth="1"/>
    <col min="28" max="28" width="11.3984375" style="21" customWidth="1"/>
    <col min="29" max="29" width="13.3984375" style="21" customWidth="1"/>
    <col min="30" max="30" width="16.1328125" style="21" customWidth="1"/>
    <col min="31" max="258" width="9.1328125" style="21"/>
    <col min="259" max="259" width="25.86328125" style="21" customWidth="1"/>
    <col min="260" max="260" width="17.1328125" style="21" customWidth="1"/>
    <col min="261" max="261" width="10.3984375" style="21" customWidth="1"/>
    <col min="262" max="262" width="15.265625" style="21" customWidth="1"/>
    <col min="263" max="263" width="11.265625" style="21" customWidth="1"/>
    <col min="264" max="264" width="14.3984375" style="21" customWidth="1"/>
    <col min="265" max="265" width="10.3984375" style="21" customWidth="1"/>
    <col min="266" max="267" width="12.73046875" style="21" customWidth="1"/>
    <col min="268" max="269" width="12.1328125" style="21" customWidth="1"/>
    <col min="270" max="270" width="11.86328125" style="21" customWidth="1"/>
    <col min="271" max="271" width="18.1328125" style="21" bestFit="1" customWidth="1"/>
    <col min="272" max="272" width="15.265625" style="21" customWidth="1"/>
    <col min="273" max="274" width="11.73046875" style="21" customWidth="1"/>
    <col min="275" max="514" width="9.1328125" style="21"/>
    <col min="515" max="515" width="25.86328125" style="21" customWidth="1"/>
    <col min="516" max="516" width="17.1328125" style="21" customWidth="1"/>
    <col min="517" max="517" width="10.3984375" style="21" customWidth="1"/>
    <col min="518" max="518" width="15.265625" style="21" customWidth="1"/>
    <col min="519" max="519" width="11.265625" style="21" customWidth="1"/>
    <col min="520" max="520" width="14.3984375" style="21" customWidth="1"/>
    <col min="521" max="521" width="10.3984375" style="21" customWidth="1"/>
    <col min="522" max="523" width="12.73046875" style="21" customWidth="1"/>
    <col min="524" max="525" width="12.1328125" style="21" customWidth="1"/>
    <col min="526" max="526" width="11.86328125" style="21" customWidth="1"/>
    <col min="527" max="527" width="18.1328125" style="21" bestFit="1" customWidth="1"/>
    <col min="528" max="528" width="15.265625" style="21" customWidth="1"/>
    <col min="529" max="530" width="11.73046875" style="21" customWidth="1"/>
    <col min="531" max="770" width="9.1328125" style="21"/>
    <col min="771" max="771" width="25.86328125" style="21" customWidth="1"/>
    <col min="772" max="772" width="17.1328125" style="21" customWidth="1"/>
    <col min="773" max="773" width="10.3984375" style="21" customWidth="1"/>
    <col min="774" max="774" width="15.265625" style="21" customWidth="1"/>
    <col min="775" max="775" width="11.265625" style="21" customWidth="1"/>
    <col min="776" max="776" width="14.3984375" style="21" customWidth="1"/>
    <col min="777" max="777" width="10.3984375" style="21" customWidth="1"/>
    <col min="778" max="779" width="12.73046875" style="21" customWidth="1"/>
    <col min="780" max="781" width="12.1328125" style="21" customWidth="1"/>
    <col min="782" max="782" width="11.86328125" style="21" customWidth="1"/>
    <col min="783" max="783" width="18.1328125" style="21" bestFit="1" customWidth="1"/>
    <col min="784" max="784" width="15.265625" style="21" customWidth="1"/>
    <col min="785" max="786" width="11.73046875" style="21" customWidth="1"/>
    <col min="787" max="1026" width="9.1328125" style="21"/>
    <col min="1027" max="1027" width="25.86328125" style="21" customWidth="1"/>
    <col min="1028" max="1028" width="17.1328125" style="21" customWidth="1"/>
    <col min="1029" max="1029" width="10.3984375" style="21" customWidth="1"/>
    <col min="1030" max="1030" width="15.265625" style="21" customWidth="1"/>
    <col min="1031" max="1031" width="11.265625" style="21" customWidth="1"/>
    <col min="1032" max="1032" width="14.3984375" style="21" customWidth="1"/>
    <col min="1033" max="1033" width="10.3984375" style="21" customWidth="1"/>
    <col min="1034" max="1035" width="12.73046875" style="21" customWidth="1"/>
    <col min="1036" max="1037" width="12.1328125" style="21" customWidth="1"/>
    <col min="1038" max="1038" width="11.86328125" style="21" customWidth="1"/>
    <col min="1039" max="1039" width="18.1328125" style="21" bestFit="1" customWidth="1"/>
    <col min="1040" max="1040" width="15.265625" style="21" customWidth="1"/>
    <col min="1041" max="1042" width="11.73046875" style="21" customWidth="1"/>
    <col min="1043" max="1282" width="9.1328125" style="21"/>
    <col min="1283" max="1283" width="25.86328125" style="21" customWidth="1"/>
    <col min="1284" max="1284" width="17.1328125" style="21" customWidth="1"/>
    <col min="1285" max="1285" width="10.3984375" style="21" customWidth="1"/>
    <col min="1286" max="1286" width="15.265625" style="21" customWidth="1"/>
    <col min="1287" max="1287" width="11.265625" style="21" customWidth="1"/>
    <col min="1288" max="1288" width="14.3984375" style="21" customWidth="1"/>
    <col min="1289" max="1289" width="10.3984375" style="21" customWidth="1"/>
    <col min="1290" max="1291" width="12.73046875" style="21" customWidth="1"/>
    <col min="1292" max="1293" width="12.1328125" style="21" customWidth="1"/>
    <col min="1294" max="1294" width="11.86328125" style="21" customWidth="1"/>
    <col min="1295" max="1295" width="18.1328125" style="21" bestFit="1" customWidth="1"/>
    <col min="1296" max="1296" width="15.265625" style="21" customWidth="1"/>
    <col min="1297" max="1298" width="11.73046875" style="21" customWidth="1"/>
    <col min="1299" max="1538" width="9.1328125" style="21"/>
    <col min="1539" max="1539" width="25.86328125" style="21" customWidth="1"/>
    <col min="1540" max="1540" width="17.1328125" style="21" customWidth="1"/>
    <col min="1541" max="1541" width="10.3984375" style="21" customWidth="1"/>
    <col min="1542" max="1542" width="15.265625" style="21" customWidth="1"/>
    <col min="1543" max="1543" width="11.265625" style="21" customWidth="1"/>
    <col min="1544" max="1544" width="14.3984375" style="21" customWidth="1"/>
    <col min="1545" max="1545" width="10.3984375" style="21" customWidth="1"/>
    <col min="1546" max="1547" width="12.73046875" style="21" customWidth="1"/>
    <col min="1548" max="1549" width="12.1328125" style="21" customWidth="1"/>
    <col min="1550" max="1550" width="11.86328125" style="21" customWidth="1"/>
    <col min="1551" max="1551" width="18.1328125" style="21" bestFit="1" customWidth="1"/>
    <col min="1552" max="1552" width="15.265625" style="21" customWidth="1"/>
    <col min="1553" max="1554" width="11.73046875" style="21" customWidth="1"/>
    <col min="1555" max="1794" width="9.1328125" style="21"/>
    <col min="1795" max="1795" width="25.86328125" style="21" customWidth="1"/>
    <col min="1796" max="1796" width="17.1328125" style="21" customWidth="1"/>
    <col min="1797" max="1797" width="10.3984375" style="21" customWidth="1"/>
    <col min="1798" max="1798" width="15.265625" style="21" customWidth="1"/>
    <col min="1799" max="1799" width="11.265625" style="21" customWidth="1"/>
    <col min="1800" max="1800" width="14.3984375" style="21" customWidth="1"/>
    <col min="1801" max="1801" width="10.3984375" style="21" customWidth="1"/>
    <col min="1802" max="1803" width="12.73046875" style="21" customWidth="1"/>
    <col min="1804" max="1805" width="12.1328125" style="21" customWidth="1"/>
    <col min="1806" max="1806" width="11.86328125" style="21" customWidth="1"/>
    <col min="1807" max="1807" width="18.1328125" style="21" bestFit="1" customWidth="1"/>
    <col min="1808" max="1808" width="15.265625" style="21" customWidth="1"/>
    <col min="1809" max="1810" width="11.73046875" style="21" customWidth="1"/>
    <col min="1811" max="2050" width="9.1328125" style="21"/>
    <col min="2051" max="2051" width="25.86328125" style="21" customWidth="1"/>
    <col min="2052" max="2052" width="17.1328125" style="21" customWidth="1"/>
    <col min="2053" max="2053" width="10.3984375" style="21" customWidth="1"/>
    <col min="2054" max="2054" width="15.265625" style="21" customWidth="1"/>
    <col min="2055" max="2055" width="11.265625" style="21" customWidth="1"/>
    <col min="2056" max="2056" width="14.3984375" style="21" customWidth="1"/>
    <col min="2057" max="2057" width="10.3984375" style="21" customWidth="1"/>
    <col min="2058" max="2059" width="12.73046875" style="21" customWidth="1"/>
    <col min="2060" max="2061" width="12.1328125" style="21" customWidth="1"/>
    <col min="2062" max="2062" width="11.86328125" style="21" customWidth="1"/>
    <col min="2063" max="2063" width="18.1328125" style="21" bestFit="1" customWidth="1"/>
    <col min="2064" max="2064" width="15.265625" style="21" customWidth="1"/>
    <col min="2065" max="2066" width="11.73046875" style="21" customWidth="1"/>
    <col min="2067" max="2306" width="9.1328125" style="21"/>
    <col min="2307" max="2307" width="25.86328125" style="21" customWidth="1"/>
    <col min="2308" max="2308" width="17.1328125" style="21" customWidth="1"/>
    <col min="2309" max="2309" width="10.3984375" style="21" customWidth="1"/>
    <col min="2310" max="2310" width="15.265625" style="21" customWidth="1"/>
    <col min="2311" max="2311" width="11.265625" style="21" customWidth="1"/>
    <col min="2312" max="2312" width="14.3984375" style="21" customWidth="1"/>
    <col min="2313" max="2313" width="10.3984375" style="21" customWidth="1"/>
    <col min="2314" max="2315" width="12.73046875" style="21" customWidth="1"/>
    <col min="2316" max="2317" width="12.1328125" style="21" customWidth="1"/>
    <col min="2318" max="2318" width="11.86328125" style="21" customWidth="1"/>
    <col min="2319" max="2319" width="18.1328125" style="21" bestFit="1" customWidth="1"/>
    <col min="2320" max="2320" width="15.265625" style="21" customWidth="1"/>
    <col min="2321" max="2322" width="11.73046875" style="21" customWidth="1"/>
    <col min="2323" max="2562" width="9.1328125" style="21"/>
    <col min="2563" max="2563" width="25.86328125" style="21" customWidth="1"/>
    <col min="2564" max="2564" width="17.1328125" style="21" customWidth="1"/>
    <col min="2565" max="2565" width="10.3984375" style="21" customWidth="1"/>
    <col min="2566" max="2566" width="15.265625" style="21" customWidth="1"/>
    <col min="2567" max="2567" width="11.265625" style="21" customWidth="1"/>
    <col min="2568" max="2568" width="14.3984375" style="21" customWidth="1"/>
    <col min="2569" max="2569" width="10.3984375" style="21" customWidth="1"/>
    <col min="2570" max="2571" width="12.73046875" style="21" customWidth="1"/>
    <col min="2572" max="2573" width="12.1328125" style="21" customWidth="1"/>
    <col min="2574" max="2574" width="11.86328125" style="21" customWidth="1"/>
    <col min="2575" max="2575" width="18.1328125" style="21" bestFit="1" customWidth="1"/>
    <col min="2576" max="2576" width="15.265625" style="21" customWidth="1"/>
    <col min="2577" max="2578" width="11.73046875" style="21" customWidth="1"/>
    <col min="2579" max="2818" width="9.1328125" style="21"/>
    <col min="2819" max="2819" width="25.86328125" style="21" customWidth="1"/>
    <col min="2820" max="2820" width="17.1328125" style="21" customWidth="1"/>
    <col min="2821" max="2821" width="10.3984375" style="21" customWidth="1"/>
    <col min="2822" max="2822" width="15.265625" style="21" customWidth="1"/>
    <col min="2823" max="2823" width="11.265625" style="21" customWidth="1"/>
    <col min="2824" max="2824" width="14.3984375" style="21" customWidth="1"/>
    <col min="2825" max="2825" width="10.3984375" style="21" customWidth="1"/>
    <col min="2826" max="2827" width="12.73046875" style="21" customWidth="1"/>
    <col min="2828" max="2829" width="12.1328125" style="21" customWidth="1"/>
    <col min="2830" max="2830" width="11.86328125" style="21" customWidth="1"/>
    <col min="2831" max="2831" width="18.1328125" style="21" bestFit="1" customWidth="1"/>
    <col min="2832" max="2832" width="15.265625" style="21" customWidth="1"/>
    <col min="2833" max="2834" width="11.73046875" style="21" customWidth="1"/>
    <col min="2835" max="3074" width="9.1328125" style="21"/>
    <col min="3075" max="3075" width="25.86328125" style="21" customWidth="1"/>
    <col min="3076" max="3076" width="17.1328125" style="21" customWidth="1"/>
    <col min="3077" max="3077" width="10.3984375" style="21" customWidth="1"/>
    <col min="3078" max="3078" width="15.265625" style="21" customWidth="1"/>
    <col min="3079" max="3079" width="11.265625" style="21" customWidth="1"/>
    <col min="3080" max="3080" width="14.3984375" style="21" customWidth="1"/>
    <col min="3081" max="3081" width="10.3984375" style="21" customWidth="1"/>
    <col min="3082" max="3083" width="12.73046875" style="21" customWidth="1"/>
    <col min="3084" max="3085" width="12.1328125" style="21" customWidth="1"/>
    <col min="3086" max="3086" width="11.86328125" style="21" customWidth="1"/>
    <col min="3087" max="3087" width="18.1328125" style="21" bestFit="1" customWidth="1"/>
    <col min="3088" max="3088" width="15.265625" style="21" customWidth="1"/>
    <col min="3089" max="3090" width="11.73046875" style="21" customWidth="1"/>
    <col min="3091" max="3330" width="9.1328125" style="21"/>
    <col min="3331" max="3331" width="25.86328125" style="21" customWidth="1"/>
    <col min="3332" max="3332" width="17.1328125" style="21" customWidth="1"/>
    <col min="3333" max="3333" width="10.3984375" style="21" customWidth="1"/>
    <col min="3334" max="3334" width="15.265625" style="21" customWidth="1"/>
    <col min="3335" max="3335" width="11.265625" style="21" customWidth="1"/>
    <col min="3336" max="3336" width="14.3984375" style="21" customWidth="1"/>
    <col min="3337" max="3337" width="10.3984375" style="21" customWidth="1"/>
    <col min="3338" max="3339" width="12.73046875" style="21" customWidth="1"/>
    <col min="3340" max="3341" width="12.1328125" style="21" customWidth="1"/>
    <col min="3342" max="3342" width="11.86328125" style="21" customWidth="1"/>
    <col min="3343" max="3343" width="18.1328125" style="21" bestFit="1" customWidth="1"/>
    <col min="3344" max="3344" width="15.265625" style="21" customWidth="1"/>
    <col min="3345" max="3346" width="11.73046875" style="21" customWidth="1"/>
    <col min="3347" max="3586" width="9.1328125" style="21"/>
    <col min="3587" max="3587" width="25.86328125" style="21" customWidth="1"/>
    <col min="3588" max="3588" width="17.1328125" style="21" customWidth="1"/>
    <col min="3589" max="3589" width="10.3984375" style="21" customWidth="1"/>
    <col min="3590" max="3590" width="15.265625" style="21" customWidth="1"/>
    <col min="3591" max="3591" width="11.265625" style="21" customWidth="1"/>
    <col min="3592" max="3592" width="14.3984375" style="21" customWidth="1"/>
    <col min="3593" max="3593" width="10.3984375" style="21" customWidth="1"/>
    <col min="3594" max="3595" width="12.73046875" style="21" customWidth="1"/>
    <col min="3596" max="3597" width="12.1328125" style="21" customWidth="1"/>
    <col min="3598" max="3598" width="11.86328125" style="21" customWidth="1"/>
    <col min="3599" max="3599" width="18.1328125" style="21" bestFit="1" customWidth="1"/>
    <col min="3600" max="3600" width="15.265625" style="21" customWidth="1"/>
    <col min="3601" max="3602" width="11.73046875" style="21" customWidth="1"/>
    <col min="3603" max="3842" width="9.1328125" style="21"/>
    <col min="3843" max="3843" width="25.86328125" style="21" customWidth="1"/>
    <col min="3844" max="3844" width="17.1328125" style="21" customWidth="1"/>
    <col min="3845" max="3845" width="10.3984375" style="21" customWidth="1"/>
    <col min="3846" max="3846" width="15.265625" style="21" customWidth="1"/>
    <col min="3847" max="3847" width="11.265625" style="21" customWidth="1"/>
    <col min="3848" max="3848" width="14.3984375" style="21" customWidth="1"/>
    <col min="3849" max="3849" width="10.3984375" style="21" customWidth="1"/>
    <col min="3850" max="3851" width="12.73046875" style="21" customWidth="1"/>
    <col min="3852" max="3853" width="12.1328125" style="21" customWidth="1"/>
    <col min="3854" max="3854" width="11.86328125" style="21" customWidth="1"/>
    <col min="3855" max="3855" width="18.1328125" style="21" bestFit="1" customWidth="1"/>
    <col min="3856" max="3856" width="15.265625" style="21" customWidth="1"/>
    <col min="3857" max="3858" width="11.73046875" style="21" customWidth="1"/>
    <col min="3859" max="4098" width="9.1328125" style="21"/>
    <col min="4099" max="4099" width="25.86328125" style="21" customWidth="1"/>
    <col min="4100" max="4100" width="17.1328125" style="21" customWidth="1"/>
    <col min="4101" max="4101" width="10.3984375" style="21" customWidth="1"/>
    <col min="4102" max="4102" width="15.265625" style="21" customWidth="1"/>
    <col min="4103" max="4103" width="11.265625" style="21" customWidth="1"/>
    <col min="4104" max="4104" width="14.3984375" style="21" customWidth="1"/>
    <col min="4105" max="4105" width="10.3984375" style="21" customWidth="1"/>
    <col min="4106" max="4107" width="12.73046875" style="21" customWidth="1"/>
    <col min="4108" max="4109" width="12.1328125" style="21" customWidth="1"/>
    <col min="4110" max="4110" width="11.86328125" style="21" customWidth="1"/>
    <col min="4111" max="4111" width="18.1328125" style="21" bestFit="1" customWidth="1"/>
    <col min="4112" max="4112" width="15.265625" style="21" customWidth="1"/>
    <col min="4113" max="4114" width="11.73046875" style="21" customWidth="1"/>
    <col min="4115" max="4354" width="9.1328125" style="21"/>
    <col min="4355" max="4355" width="25.86328125" style="21" customWidth="1"/>
    <col min="4356" max="4356" width="17.1328125" style="21" customWidth="1"/>
    <col min="4357" max="4357" width="10.3984375" style="21" customWidth="1"/>
    <col min="4358" max="4358" width="15.265625" style="21" customWidth="1"/>
    <col min="4359" max="4359" width="11.265625" style="21" customWidth="1"/>
    <col min="4360" max="4360" width="14.3984375" style="21" customWidth="1"/>
    <col min="4361" max="4361" width="10.3984375" style="21" customWidth="1"/>
    <col min="4362" max="4363" width="12.73046875" style="21" customWidth="1"/>
    <col min="4364" max="4365" width="12.1328125" style="21" customWidth="1"/>
    <col min="4366" max="4366" width="11.86328125" style="21" customWidth="1"/>
    <col min="4367" max="4367" width="18.1328125" style="21" bestFit="1" customWidth="1"/>
    <col min="4368" max="4368" width="15.265625" style="21" customWidth="1"/>
    <col min="4369" max="4370" width="11.73046875" style="21" customWidth="1"/>
    <col min="4371" max="4610" width="9.1328125" style="21"/>
    <col min="4611" max="4611" width="25.86328125" style="21" customWidth="1"/>
    <col min="4612" max="4612" width="17.1328125" style="21" customWidth="1"/>
    <col min="4613" max="4613" width="10.3984375" style="21" customWidth="1"/>
    <col min="4614" max="4614" width="15.265625" style="21" customWidth="1"/>
    <col min="4615" max="4615" width="11.265625" style="21" customWidth="1"/>
    <col min="4616" max="4616" width="14.3984375" style="21" customWidth="1"/>
    <col min="4617" max="4617" width="10.3984375" style="21" customWidth="1"/>
    <col min="4618" max="4619" width="12.73046875" style="21" customWidth="1"/>
    <col min="4620" max="4621" width="12.1328125" style="21" customWidth="1"/>
    <col min="4622" max="4622" width="11.86328125" style="21" customWidth="1"/>
    <col min="4623" max="4623" width="18.1328125" style="21" bestFit="1" customWidth="1"/>
    <col min="4624" max="4624" width="15.265625" style="21" customWidth="1"/>
    <col min="4625" max="4626" width="11.73046875" style="21" customWidth="1"/>
    <col min="4627" max="4866" width="9.1328125" style="21"/>
    <col min="4867" max="4867" width="25.86328125" style="21" customWidth="1"/>
    <col min="4868" max="4868" width="17.1328125" style="21" customWidth="1"/>
    <col min="4869" max="4869" width="10.3984375" style="21" customWidth="1"/>
    <col min="4870" max="4870" width="15.265625" style="21" customWidth="1"/>
    <col min="4871" max="4871" width="11.265625" style="21" customWidth="1"/>
    <col min="4872" max="4872" width="14.3984375" style="21" customWidth="1"/>
    <col min="4873" max="4873" width="10.3984375" style="21" customWidth="1"/>
    <col min="4874" max="4875" width="12.73046875" style="21" customWidth="1"/>
    <col min="4876" max="4877" width="12.1328125" style="21" customWidth="1"/>
    <col min="4878" max="4878" width="11.86328125" style="21" customWidth="1"/>
    <col min="4879" max="4879" width="18.1328125" style="21" bestFit="1" customWidth="1"/>
    <col min="4880" max="4880" width="15.265625" style="21" customWidth="1"/>
    <col min="4881" max="4882" width="11.73046875" style="21" customWidth="1"/>
    <col min="4883" max="5122" width="9.1328125" style="21"/>
    <col min="5123" max="5123" width="25.86328125" style="21" customWidth="1"/>
    <col min="5124" max="5124" width="17.1328125" style="21" customWidth="1"/>
    <col min="5125" max="5125" width="10.3984375" style="21" customWidth="1"/>
    <col min="5126" max="5126" width="15.265625" style="21" customWidth="1"/>
    <col min="5127" max="5127" width="11.265625" style="21" customWidth="1"/>
    <col min="5128" max="5128" width="14.3984375" style="21" customWidth="1"/>
    <col min="5129" max="5129" width="10.3984375" style="21" customWidth="1"/>
    <col min="5130" max="5131" width="12.73046875" style="21" customWidth="1"/>
    <col min="5132" max="5133" width="12.1328125" style="21" customWidth="1"/>
    <col min="5134" max="5134" width="11.86328125" style="21" customWidth="1"/>
    <col min="5135" max="5135" width="18.1328125" style="21" bestFit="1" customWidth="1"/>
    <col min="5136" max="5136" width="15.265625" style="21" customWidth="1"/>
    <col min="5137" max="5138" width="11.73046875" style="21" customWidth="1"/>
    <col min="5139" max="5378" width="9.1328125" style="21"/>
    <col min="5379" max="5379" width="25.86328125" style="21" customWidth="1"/>
    <col min="5380" max="5380" width="17.1328125" style="21" customWidth="1"/>
    <col min="5381" max="5381" width="10.3984375" style="21" customWidth="1"/>
    <col min="5382" max="5382" width="15.265625" style="21" customWidth="1"/>
    <col min="5383" max="5383" width="11.265625" style="21" customWidth="1"/>
    <col min="5384" max="5384" width="14.3984375" style="21" customWidth="1"/>
    <col min="5385" max="5385" width="10.3984375" style="21" customWidth="1"/>
    <col min="5386" max="5387" width="12.73046875" style="21" customWidth="1"/>
    <col min="5388" max="5389" width="12.1328125" style="21" customWidth="1"/>
    <col min="5390" max="5390" width="11.86328125" style="21" customWidth="1"/>
    <col min="5391" max="5391" width="18.1328125" style="21" bestFit="1" customWidth="1"/>
    <col min="5392" max="5392" width="15.265625" style="21" customWidth="1"/>
    <col min="5393" max="5394" width="11.73046875" style="21" customWidth="1"/>
    <col min="5395" max="5634" width="9.1328125" style="21"/>
    <col min="5635" max="5635" width="25.86328125" style="21" customWidth="1"/>
    <col min="5636" max="5636" width="17.1328125" style="21" customWidth="1"/>
    <col min="5637" max="5637" width="10.3984375" style="21" customWidth="1"/>
    <col min="5638" max="5638" width="15.265625" style="21" customWidth="1"/>
    <col min="5639" max="5639" width="11.265625" style="21" customWidth="1"/>
    <col min="5640" max="5640" width="14.3984375" style="21" customWidth="1"/>
    <col min="5641" max="5641" width="10.3984375" style="21" customWidth="1"/>
    <col min="5642" max="5643" width="12.73046875" style="21" customWidth="1"/>
    <col min="5644" max="5645" width="12.1328125" style="21" customWidth="1"/>
    <col min="5646" max="5646" width="11.86328125" style="21" customWidth="1"/>
    <col min="5647" max="5647" width="18.1328125" style="21" bestFit="1" customWidth="1"/>
    <col min="5648" max="5648" width="15.265625" style="21" customWidth="1"/>
    <col min="5649" max="5650" width="11.73046875" style="21" customWidth="1"/>
    <col min="5651" max="5890" width="9.1328125" style="21"/>
    <col min="5891" max="5891" width="25.86328125" style="21" customWidth="1"/>
    <col min="5892" max="5892" width="17.1328125" style="21" customWidth="1"/>
    <col min="5893" max="5893" width="10.3984375" style="21" customWidth="1"/>
    <col min="5894" max="5894" width="15.265625" style="21" customWidth="1"/>
    <col min="5895" max="5895" width="11.265625" style="21" customWidth="1"/>
    <col min="5896" max="5896" width="14.3984375" style="21" customWidth="1"/>
    <col min="5897" max="5897" width="10.3984375" style="21" customWidth="1"/>
    <col min="5898" max="5899" width="12.73046875" style="21" customWidth="1"/>
    <col min="5900" max="5901" width="12.1328125" style="21" customWidth="1"/>
    <col min="5902" max="5902" width="11.86328125" style="21" customWidth="1"/>
    <col min="5903" max="5903" width="18.1328125" style="21" bestFit="1" customWidth="1"/>
    <col min="5904" max="5904" width="15.265625" style="21" customWidth="1"/>
    <col min="5905" max="5906" width="11.73046875" style="21" customWidth="1"/>
    <col min="5907" max="6146" width="9.1328125" style="21"/>
    <col min="6147" max="6147" width="25.86328125" style="21" customWidth="1"/>
    <col min="6148" max="6148" width="17.1328125" style="21" customWidth="1"/>
    <col min="6149" max="6149" width="10.3984375" style="21" customWidth="1"/>
    <col min="6150" max="6150" width="15.265625" style="21" customWidth="1"/>
    <col min="6151" max="6151" width="11.265625" style="21" customWidth="1"/>
    <col min="6152" max="6152" width="14.3984375" style="21" customWidth="1"/>
    <col min="6153" max="6153" width="10.3984375" style="21" customWidth="1"/>
    <col min="6154" max="6155" width="12.73046875" style="21" customWidth="1"/>
    <col min="6156" max="6157" width="12.1328125" style="21" customWidth="1"/>
    <col min="6158" max="6158" width="11.86328125" style="21" customWidth="1"/>
    <col min="6159" max="6159" width="18.1328125" style="21" bestFit="1" customWidth="1"/>
    <col min="6160" max="6160" width="15.265625" style="21" customWidth="1"/>
    <col min="6161" max="6162" width="11.73046875" style="21" customWidth="1"/>
    <col min="6163" max="6402" width="9.1328125" style="21"/>
    <col min="6403" max="6403" width="25.86328125" style="21" customWidth="1"/>
    <col min="6404" max="6404" width="17.1328125" style="21" customWidth="1"/>
    <col min="6405" max="6405" width="10.3984375" style="21" customWidth="1"/>
    <col min="6406" max="6406" width="15.265625" style="21" customWidth="1"/>
    <col min="6407" max="6407" width="11.265625" style="21" customWidth="1"/>
    <col min="6408" max="6408" width="14.3984375" style="21" customWidth="1"/>
    <col min="6409" max="6409" width="10.3984375" style="21" customWidth="1"/>
    <col min="6410" max="6411" width="12.73046875" style="21" customWidth="1"/>
    <col min="6412" max="6413" width="12.1328125" style="21" customWidth="1"/>
    <col min="6414" max="6414" width="11.86328125" style="21" customWidth="1"/>
    <col min="6415" max="6415" width="18.1328125" style="21" bestFit="1" customWidth="1"/>
    <col min="6416" max="6416" width="15.265625" style="21" customWidth="1"/>
    <col min="6417" max="6418" width="11.73046875" style="21" customWidth="1"/>
    <col min="6419" max="6658" width="9.1328125" style="21"/>
    <col min="6659" max="6659" width="25.86328125" style="21" customWidth="1"/>
    <col min="6660" max="6660" width="17.1328125" style="21" customWidth="1"/>
    <col min="6661" max="6661" width="10.3984375" style="21" customWidth="1"/>
    <col min="6662" max="6662" width="15.265625" style="21" customWidth="1"/>
    <col min="6663" max="6663" width="11.265625" style="21" customWidth="1"/>
    <col min="6664" max="6664" width="14.3984375" style="21" customWidth="1"/>
    <col min="6665" max="6665" width="10.3984375" style="21" customWidth="1"/>
    <col min="6666" max="6667" width="12.73046875" style="21" customWidth="1"/>
    <col min="6668" max="6669" width="12.1328125" style="21" customWidth="1"/>
    <col min="6670" max="6670" width="11.86328125" style="21" customWidth="1"/>
    <col min="6671" max="6671" width="18.1328125" style="21" bestFit="1" customWidth="1"/>
    <col min="6672" max="6672" width="15.265625" style="21" customWidth="1"/>
    <col min="6673" max="6674" width="11.73046875" style="21" customWidth="1"/>
    <col min="6675" max="6914" width="9.1328125" style="21"/>
    <col min="6915" max="6915" width="25.86328125" style="21" customWidth="1"/>
    <col min="6916" max="6916" width="17.1328125" style="21" customWidth="1"/>
    <col min="6917" max="6917" width="10.3984375" style="21" customWidth="1"/>
    <col min="6918" max="6918" width="15.265625" style="21" customWidth="1"/>
    <col min="6919" max="6919" width="11.265625" style="21" customWidth="1"/>
    <col min="6920" max="6920" width="14.3984375" style="21" customWidth="1"/>
    <col min="6921" max="6921" width="10.3984375" style="21" customWidth="1"/>
    <col min="6922" max="6923" width="12.73046875" style="21" customWidth="1"/>
    <col min="6924" max="6925" width="12.1328125" style="21" customWidth="1"/>
    <col min="6926" max="6926" width="11.86328125" style="21" customWidth="1"/>
    <col min="6927" max="6927" width="18.1328125" style="21" bestFit="1" customWidth="1"/>
    <col min="6928" max="6928" width="15.265625" style="21" customWidth="1"/>
    <col min="6929" max="6930" width="11.73046875" style="21" customWidth="1"/>
    <col min="6931" max="7170" width="9.1328125" style="21"/>
    <col min="7171" max="7171" width="25.86328125" style="21" customWidth="1"/>
    <col min="7172" max="7172" width="17.1328125" style="21" customWidth="1"/>
    <col min="7173" max="7173" width="10.3984375" style="21" customWidth="1"/>
    <col min="7174" max="7174" width="15.265625" style="21" customWidth="1"/>
    <col min="7175" max="7175" width="11.265625" style="21" customWidth="1"/>
    <col min="7176" max="7176" width="14.3984375" style="21" customWidth="1"/>
    <col min="7177" max="7177" width="10.3984375" style="21" customWidth="1"/>
    <col min="7178" max="7179" width="12.73046875" style="21" customWidth="1"/>
    <col min="7180" max="7181" width="12.1328125" style="21" customWidth="1"/>
    <col min="7182" max="7182" width="11.86328125" style="21" customWidth="1"/>
    <col min="7183" max="7183" width="18.1328125" style="21" bestFit="1" customWidth="1"/>
    <col min="7184" max="7184" width="15.265625" style="21" customWidth="1"/>
    <col min="7185" max="7186" width="11.73046875" style="21" customWidth="1"/>
    <col min="7187" max="7426" width="9.1328125" style="21"/>
    <col min="7427" max="7427" width="25.86328125" style="21" customWidth="1"/>
    <col min="7428" max="7428" width="17.1328125" style="21" customWidth="1"/>
    <col min="7429" max="7429" width="10.3984375" style="21" customWidth="1"/>
    <col min="7430" max="7430" width="15.265625" style="21" customWidth="1"/>
    <col min="7431" max="7431" width="11.265625" style="21" customWidth="1"/>
    <col min="7432" max="7432" width="14.3984375" style="21" customWidth="1"/>
    <col min="7433" max="7433" width="10.3984375" style="21" customWidth="1"/>
    <col min="7434" max="7435" width="12.73046875" style="21" customWidth="1"/>
    <col min="7436" max="7437" width="12.1328125" style="21" customWidth="1"/>
    <col min="7438" max="7438" width="11.86328125" style="21" customWidth="1"/>
    <col min="7439" max="7439" width="18.1328125" style="21" bestFit="1" customWidth="1"/>
    <col min="7440" max="7440" width="15.265625" style="21" customWidth="1"/>
    <col min="7441" max="7442" width="11.73046875" style="21" customWidth="1"/>
    <col min="7443" max="7682" width="9.1328125" style="21"/>
    <col min="7683" max="7683" width="25.86328125" style="21" customWidth="1"/>
    <col min="7684" max="7684" width="17.1328125" style="21" customWidth="1"/>
    <col min="7685" max="7685" width="10.3984375" style="21" customWidth="1"/>
    <col min="7686" max="7686" width="15.265625" style="21" customWidth="1"/>
    <col min="7687" max="7687" width="11.265625" style="21" customWidth="1"/>
    <col min="7688" max="7688" width="14.3984375" style="21" customWidth="1"/>
    <col min="7689" max="7689" width="10.3984375" style="21" customWidth="1"/>
    <col min="7690" max="7691" width="12.73046875" style="21" customWidth="1"/>
    <col min="7692" max="7693" width="12.1328125" style="21" customWidth="1"/>
    <col min="7694" max="7694" width="11.86328125" style="21" customWidth="1"/>
    <col min="7695" max="7695" width="18.1328125" style="21" bestFit="1" customWidth="1"/>
    <col min="7696" max="7696" width="15.265625" style="21" customWidth="1"/>
    <col min="7697" max="7698" width="11.73046875" style="21" customWidth="1"/>
    <col min="7699" max="7938" width="9.1328125" style="21"/>
    <col min="7939" max="7939" width="25.86328125" style="21" customWidth="1"/>
    <col min="7940" max="7940" width="17.1328125" style="21" customWidth="1"/>
    <col min="7941" max="7941" width="10.3984375" style="21" customWidth="1"/>
    <col min="7942" max="7942" width="15.265625" style="21" customWidth="1"/>
    <col min="7943" max="7943" width="11.265625" style="21" customWidth="1"/>
    <col min="7944" max="7944" width="14.3984375" style="21" customWidth="1"/>
    <col min="7945" max="7945" width="10.3984375" style="21" customWidth="1"/>
    <col min="7946" max="7947" width="12.73046875" style="21" customWidth="1"/>
    <col min="7948" max="7949" width="12.1328125" style="21" customWidth="1"/>
    <col min="7950" max="7950" width="11.86328125" style="21" customWidth="1"/>
    <col min="7951" max="7951" width="18.1328125" style="21" bestFit="1" customWidth="1"/>
    <col min="7952" max="7952" width="15.265625" style="21" customWidth="1"/>
    <col min="7953" max="7954" width="11.73046875" style="21" customWidth="1"/>
    <col min="7955" max="8194" width="9.1328125" style="21"/>
    <col min="8195" max="8195" width="25.86328125" style="21" customWidth="1"/>
    <col min="8196" max="8196" width="17.1328125" style="21" customWidth="1"/>
    <col min="8197" max="8197" width="10.3984375" style="21" customWidth="1"/>
    <col min="8198" max="8198" width="15.265625" style="21" customWidth="1"/>
    <col min="8199" max="8199" width="11.265625" style="21" customWidth="1"/>
    <col min="8200" max="8200" width="14.3984375" style="21" customWidth="1"/>
    <col min="8201" max="8201" width="10.3984375" style="21" customWidth="1"/>
    <col min="8202" max="8203" width="12.73046875" style="21" customWidth="1"/>
    <col min="8204" max="8205" width="12.1328125" style="21" customWidth="1"/>
    <col min="8206" max="8206" width="11.86328125" style="21" customWidth="1"/>
    <col min="8207" max="8207" width="18.1328125" style="21" bestFit="1" customWidth="1"/>
    <col min="8208" max="8208" width="15.265625" style="21" customWidth="1"/>
    <col min="8209" max="8210" width="11.73046875" style="21" customWidth="1"/>
    <col min="8211" max="8450" width="9.1328125" style="21"/>
    <col min="8451" max="8451" width="25.86328125" style="21" customWidth="1"/>
    <col min="8452" max="8452" width="17.1328125" style="21" customWidth="1"/>
    <col min="8453" max="8453" width="10.3984375" style="21" customWidth="1"/>
    <col min="8454" max="8454" width="15.265625" style="21" customWidth="1"/>
    <col min="8455" max="8455" width="11.265625" style="21" customWidth="1"/>
    <col min="8456" max="8456" width="14.3984375" style="21" customWidth="1"/>
    <col min="8457" max="8457" width="10.3984375" style="21" customWidth="1"/>
    <col min="8458" max="8459" width="12.73046875" style="21" customWidth="1"/>
    <col min="8460" max="8461" width="12.1328125" style="21" customWidth="1"/>
    <col min="8462" max="8462" width="11.86328125" style="21" customWidth="1"/>
    <col min="8463" max="8463" width="18.1328125" style="21" bestFit="1" customWidth="1"/>
    <col min="8464" max="8464" width="15.265625" style="21" customWidth="1"/>
    <col min="8465" max="8466" width="11.73046875" style="21" customWidth="1"/>
    <col min="8467" max="8706" width="9.1328125" style="21"/>
    <col min="8707" max="8707" width="25.86328125" style="21" customWidth="1"/>
    <col min="8708" max="8708" width="17.1328125" style="21" customWidth="1"/>
    <col min="8709" max="8709" width="10.3984375" style="21" customWidth="1"/>
    <col min="8710" max="8710" width="15.265625" style="21" customWidth="1"/>
    <col min="8711" max="8711" width="11.265625" style="21" customWidth="1"/>
    <col min="8712" max="8712" width="14.3984375" style="21" customWidth="1"/>
    <col min="8713" max="8713" width="10.3984375" style="21" customWidth="1"/>
    <col min="8714" max="8715" width="12.73046875" style="21" customWidth="1"/>
    <col min="8716" max="8717" width="12.1328125" style="21" customWidth="1"/>
    <col min="8718" max="8718" width="11.86328125" style="21" customWidth="1"/>
    <col min="8719" max="8719" width="18.1328125" style="21" bestFit="1" customWidth="1"/>
    <col min="8720" max="8720" width="15.265625" style="21" customWidth="1"/>
    <col min="8721" max="8722" width="11.73046875" style="21" customWidth="1"/>
    <col min="8723" max="8962" width="9.1328125" style="21"/>
    <col min="8963" max="8963" width="25.86328125" style="21" customWidth="1"/>
    <col min="8964" max="8964" width="17.1328125" style="21" customWidth="1"/>
    <col min="8965" max="8965" width="10.3984375" style="21" customWidth="1"/>
    <col min="8966" max="8966" width="15.265625" style="21" customWidth="1"/>
    <col min="8967" max="8967" width="11.265625" style="21" customWidth="1"/>
    <col min="8968" max="8968" width="14.3984375" style="21" customWidth="1"/>
    <col min="8969" max="8969" width="10.3984375" style="21" customWidth="1"/>
    <col min="8970" max="8971" width="12.73046875" style="21" customWidth="1"/>
    <col min="8972" max="8973" width="12.1328125" style="21" customWidth="1"/>
    <col min="8974" max="8974" width="11.86328125" style="21" customWidth="1"/>
    <col min="8975" max="8975" width="18.1328125" style="21" bestFit="1" customWidth="1"/>
    <col min="8976" max="8976" width="15.265625" style="21" customWidth="1"/>
    <col min="8977" max="8978" width="11.73046875" style="21" customWidth="1"/>
    <col min="8979" max="9218" width="9.1328125" style="21"/>
    <col min="9219" max="9219" width="25.86328125" style="21" customWidth="1"/>
    <col min="9220" max="9220" width="17.1328125" style="21" customWidth="1"/>
    <col min="9221" max="9221" width="10.3984375" style="21" customWidth="1"/>
    <col min="9222" max="9222" width="15.265625" style="21" customWidth="1"/>
    <col min="9223" max="9223" width="11.265625" style="21" customWidth="1"/>
    <col min="9224" max="9224" width="14.3984375" style="21" customWidth="1"/>
    <col min="9225" max="9225" width="10.3984375" style="21" customWidth="1"/>
    <col min="9226" max="9227" width="12.73046875" style="21" customWidth="1"/>
    <col min="9228" max="9229" width="12.1328125" style="21" customWidth="1"/>
    <col min="9230" max="9230" width="11.86328125" style="21" customWidth="1"/>
    <col min="9231" max="9231" width="18.1328125" style="21" bestFit="1" customWidth="1"/>
    <col min="9232" max="9232" width="15.265625" style="21" customWidth="1"/>
    <col min="9233" max="9234" width="11.73046875" style="21" customWidth="1"/>
    <col min="9235" max="9474" width="9.1328125" style="21"/>
    <col min="9475" max="9475" width="25.86328125" style="21" customWidth="1"/>
    <col min="9476" max="9476" width="17.1328125" style="21" customWidth="1"/>
    <col min="9477" max="9477" width="10.3984375" style="21" customWidth="1"/>
    <col min="9478" max="9478" width="15.265625" style="21" customWidth="1"/>
    <col min="9479" max="9479" width="11.265625" style="21" customWidth="1"/>
    <col min="9480" max="9480" width="14.3984375" style="21" customWidth="1"/>
    <col min="9481" max="9481" width="10.3984375" style="21" customWidth="1"/>
    <col min="9482" max="9483" width="12.73046875" style="21" customWidth="1"/>
    <col min="9484" max="9485" width="12.1328125" style="21" customWidth="1"/>
    <col min="9486" max="9486" width="11.86328125" style="21" customWidth="1"/>
    <col min="9487" max="9487" width="18.1328125" style="21" bestFit="1" customWidth="1"/>
    <col min="9488" max="9488" width="15.265625" style="21" customWidth="1"/>
    <col min="9489" max="9490" width="11.73046875" style="21" customWidth="1"/>
    <col min="9491" max="9730" width="9.1328125" style="21"/>
    <col min="9731" max="9731" width="25.86328125" style="21" customWidth="1"/>
    <col min="9732" max="9732" width="17.1328125" style="21" customWidth="1"/>
    <col min="9733" max="9733" width="10.3984375" style="21" customWidth="1"/>
    <col min="9734" max="9734" width="15.265625" style="21" customWidth="1"/>
    <col min="9735" max="9735" width="11.265625" style="21" customWidth="1"/>
    <col min="9736" max="9736" width="14.3984375" style="21" customWidth="1"/>
    <col min="9737" max="9737" width="10.3984375" style="21" customWidth="1"/>
    <col min="9738" max="9739" width="12.73046875" style="21" customWidth="1"/>
    <col min="9740" max="9741" width="12.1328125" style="21" customWidth="1"/>
    <col min="9742" max="9742" width="11.86328125" style="21" customWidth="1"/>
    <col min="9743" max="9743" width="18.1328125" style="21" bestFit="1" customWidth="1"/>
    <col min="9744" max="9744" width="15.265625" style="21" customWidth="1"/>
    <col min="9745" max="9746" width="11.73046875" style="21" customWidth="1"/>
    <col min="9747" max="9986" width="9.1328125" style="21"/>
    <col min="9987" max="9987" width="25.86328125" style="21" customWidth="1"/>
    <col min="9988" max="9988" width="17.1328125" style="21" customWidth="1"/>
    <col min="9989" max="9989" width="10.3984375" style="21" customWidth="1"/>
    <col min="9990" max="9990" width="15.265625" style="21" customWidth="1"/>
    <col min="9991" max="9991" width="11.265625" style="21" customWidth="1"/>
    <col min="9992" max="9992" width="14.3984375" style="21" customWidth="1"/>
    <col min="9993" max="9993" width="10.3984375" style="21" customWidth="1"/>
    <col min="9994" max="9995" width="12.73046875" style="21" customWidth="1"/>
    <col min="9996" max="9997" width="12.1328125" style="21" customWidth="1"/>
    <col min="9998" max="9998" width="11.86328125" style="21" customWidth="1"/>
    <col min="9999" max="9999" width="18.1328125" style="21" bestFit="1" customWidth="1"/>
    <col min="10000" max="10000" width="15.265625" style="21" customWidth="1"/>
    <col min="10001" max="10002" width="11.73046875" style="21" customWidth="1"/>
    <col min="10003" max="10242" width="9.1328125" style="21"/>
    <col min="10243" max="10243" width="25.86328125" style="21" customWidth="1"/>
    <col min="10244" max="10244" width="17.1328125" style="21" customWidth="1"/>
    <col min="10245" max="10245" width="10.3984375" style="21" customWidth="1"/>
    <col min="10246" max="10246" width="15.265625" style="21" customWidth="1"/>
    <col min="10247" max="10247" width="11.265625" style="21" customWidth="1"/>
    <col min="10248" max="10248" width="14.3984375" style="21" customWidth="1"/>
    <col min="10249" max="10249" width="10.3984375" style="21" customWidth="1"/>
    <col min="10250" max="10251" width="12.73046875" style="21" customWidth="1"/>
    <col min="10252" max="10253" width="12.1328125" style="21" customWidth="1"/>
    <col min="10254" max="10254" width="11.86328125" style="21" customWidth="1"/>
    <col min="10255" max="10255" width="18.1328125" style="21" bestFit="1" customWidth="1"/>
    <col min="10256" max="10256" width="15.265625" style="21" customWidth="1"/>
    <col min="10257" max="10258" width="11.73046875" style="21" customWidth="1"/>
    <col min="10259" max="10498" width="9.1328125" style="21"/>
    <col min="10499" max="10499" width="25.86328125" style="21" customWidth="1"/>
    <col min="10500" max="10500" width="17.1328125" style="21" customWidth="1"/>
    <col min="10501" max="10501" width="10.3984375" style="21" customWidth="1"/>
    <col min="10502" max="10502" width="15.265625" style="21" customWidth="1"/>
    <col min="10503" max="10503" width="11.265625" style="21" customWidth="1"/>
    <col min="10504" max="10504" width="14.3984375" style="21" customWidth="1"/>
    <col min="10505" max="10505" width="10.3984375" style="21" customWidth="1"/>
    <col min="10506" max="10507" width="12.73046875" style="21" customWidth="1"/>
    <col min="10508" max="10509" width="12.1328125" style="21" customWidth="1"/>
    <col min="10510" max="10510" width="11.86328125" style="21" customWidth="1"/>
    <col min="10511" max="10511" width="18.1328125" style="21" bestFit="1" customWidth="1"/>
    <col min="10512" max="10512" width="15.265625" style="21" customWidth="1"/>
    <col min="10513" max="10514" width="11.73046875" style="21" customWidth="1"/>
    <col min="10515" max="10754" width="9.1328125" style="21"/>
    <col min="10755" max="10755" width="25.86328125" style="21" customWidth="1"/>
    <col min="10756" max="10756" width="17.1328125" style="21" customWidth="1"/>
    <col min="10757" max="10757" width="10.3984375" style="21" customWidth="1"/>
    <col min="10758" max="10758" width="15.265625" style="21" customWidth="1"/>
    <col min="10759" max="10759" width="11.265625" style="21" customWidth="1"/>
    <col min="10760" max="10760" width="14.3984375" style="21" customWidth="1"/>
    <col min="10761" max="10761" width="10.3984375" style="21" customWidth="1"/>
    <col min="10762" max="10763" width="12.73046875" style="21" customWidth="1"/>
    <col min="10764" max="10765" width="12.1328125" style="21" customWidth="1"/>
    <col min="10766" max="10766" width="11.86328125" style="21" customWidth="1"/>
    <col min="10767" max="10767" width="18.1328125" style="21" bestFit="1" customWidth="1"/>
    <col min="10768" max="10768" width="15.265625" style="21" customWidth="1"/>
    <col min="10769" max="10770" width="11.73046875" style="21" customWidth="1"/>
    <col min="10771" max="11010" width="9.1328125" style="21"/>
    <col min="11011" max="11011" width="25.86328125" style="21" customWidth="1"/>
    <col min="11012" max="11012" width="17.1328125" style="21" customWidth="1"/>
    <col min="11013" max="11013" width="10.3984375" style="21" customWidth="1"/>
    <col min="11014" max="11014" width="15.265625" style="21" customWidth="1"/>
    <col min="11015" max="11015" width="11.265625" style="21" customWidth="1"/>
    <col min="11016" max="11016" width="14.3984375" style="21" customWidth="1"/>
    <col min="11017" max="11017" width="10.3984375" style="21" customWidth="1"/>
    <col min="11018" max="11019" width="12.73046875" style="21" customWidth="1"/>
    <col min="11020" max="11021" width="12.1328125" style="21" customWidth="1"/>
    <col min="11022" max="11022" width="11.86328125" style="21" customWidth="1"/>
    <col min="11023" max="11023" width="18.1328125" style="21" bestFit="1" customWidth="1"/>
    <col min="11024" max="11024" width="15.265625" style="21" customWidth="1"/>
    <col min="11025" max="11026" width="11.73046875" style="21" customWidth="1"/>
    <col min="11027" max="11266" width="9.1328125" style="21"/>
    <col min="11267" max="11267" width="25.86328125" style="21" customWidth="1"/>
    <col min="11268" max="11268" width="17.1328125" style="21" customWidth="1"/>
    <col min="11269" max="11269" width="10.3984375" style="21" customWidth="1"/>
    <col min="11270" max="11270" width="15.265625" style="21" customWidth="1"/>
    <col min="11271" max="11271" width="11.265625" style="21" customWidth="1"/>
    <col min="11272" max="11272" width="14.3984375" style="21" customWidth="1"/>
    <col min="11273" max="11273" width="10.3984375" style="21" customWidth="1"/>
    <col min="11274" max="11275" width="12.73046875" style="21" customWidth="1"/>
    <col min="11276" max="11277" width="12.1328125" style="21" customWidth="1"/>
    <col min="11278" max="11278" width="11.86328125" style="21" customWidth="1"/>
    <col min="11279" max="11279" width="18.1328125" style="21" bestFit="1" customWidth="1"/>
    <col min="11280" max="11280" width="15.265625" style="21" customWidth="1"/>
    <col min="11281" max="11282" width="11.73046875" style="21" customWidth="1"/>
    <col min="11283" max="11522" width="9.1328125" style="21"/>
    <col min="11523" max="11523" width="25.86328125" style="21" customWidth="1"/>
    <col min="11524" max="11524" width="17.1328125" style="21" customWidth="1"/>
    <col min="11525" max="11525" width="10.3984375" style="21" customWidth="1"/>
    <col min="11526" max="11526" width="15.265625" style="21" customWidth="1"/>
    <col min="11527" max="11527" width="11.265625" style="21" customWidth="1"/>
    <col min="11528" max="11528" width="14.3984375" style="21" customWidth="1"/>
    <col min="11529" max="11529" width="10.3984375" style="21" customWidth="1"/>
    <col min="11530" max="11531" width="12.73046875" style="21" customWidth="1"/>
    <col min="11532" max="11533" width="12.1328125" style="21" customWidth="1"/>
    <col min="11534" max="11534" width="11.86328125" style="21" customWidth="1"/>
    <col min="11535" max="11535" width="18.1328125" style="21" bestFit="1" customWidth="1"/>
    <col min="11536" max="11536" width="15.265625" style="21" customWidth="1"/>
    <col min="11537" max="11538" width="11.73046875" style="21" customWidth="1"/>
    <col min="11539" max="11778" width="9.1328125" style="21"/>
    <col min="11779" max="11779" width="25.86328125" style="21" customWidth="1"/>
    <col min="11780" max="11780" width="17.1328125" style="21" customWidth="1"/>
    <col min="11781" max="11781" width="10.3984375" style="21" customWidth="1"/>
    <col min="11782" max="11782" width="15.265625" style="21" customWidth="1"/>
    <col min="11783" max="11783" width="11.265625" style="21" customWidth="1"/>
    <col min="11784" max="11784" width="14.3984375" style="21" customWidth="1"/>
    <col min="11785" max="11785" width="10.3984375" style="21" customWidth="1"/>
    <col min="11786" max="11787" width="12.73046875" style="21" customWidth="1"/>
    <col min="11788" max="11789" width="12.1328125" style="21" customWidth="1"/>
    <col min="11790" max="11790" width="11.86328125" style="21" customWidth="1"/>
    <col min="11791" max="11791" width="18.1328125" style="21" bestFit="1" customWidth="1"/>
    <col min="11792" max="11792" width="15.265625" style="21" customWidth="1"/>
    <col min="11793" max="11794" width="11.73046875" style="21" customWidth="1"/>
    <col min="11795" max="12034" width="9.1328125" style="21"/>
    <col min="12035" max="12035" width="25.86328125" style="21" customWidth="1"/>
    <col min="12036" max="12036" width="17.1328125" style="21" customWidth="1"/>
    <col min="12037" max="12037" width="10.3984375" style="21" customWidth="1"/>
    <col min="12038" max="12038" width="15.265625" style="21" customWidth="1"/>
    <col min="12039" max="12039" width="11.265625" style="21" customWidth="1"/>
    <col min="12040" max="12040" width="14.3984375" style="21" customWidth="1"/>
    <col min="12041" max="12041" width="10.3984375" style="21" customWidth="1"/>
    <col min="12042" max="12043" width="12.73046875" style="21" customWidth="1"/>
    <col min="12044" max="12045" width="12.1328125" style="21" customWidth="1"/>
    <col min="12046" max="12046" width="11.86328125" style="21" customWidth="1"/>
    <col min="12047" max="12047" width="18.1328125" style="21" bestFit="1" customWidth="1"/>
    <col min="12048" max="12048" width="15.265625" style="21" customWidth="1"/>
    <col min="12049" max="12050" width="11.73046875" style="21" customWidth="1"/>
    <col min="12051" max="12290" width="9.1328125" style="21"/>
    <col min="12291" max="12291" width="25.86328125" style="21" customWidth="1"/>
    <col min="12292" max="12292" width="17.1328125" style="21" customWidth="1"/>
    <col min="12293" max="12293" width="10.3984375" style="21" customWidth="1"/>
    <col min="12294" max="12294" width="15.265625" style="21" customWidth="1"/>
    <col min="12295" max="12295" width="11.265625" style="21" customWidth="1"/>
    <col min="12296" max="12296" width="14.3984375" style="21" customWidth="1"/>
    <col min="12297" max="12297" width="10.3984375" style="21" customWidth="1"/>
    <col min="12298" max="12299" width="12.73046875" style="21" customWidth="1"/>
    <col min="12300" max="12301" width="12.1328125" style="21" customWidth="1"/>
    <col min="12302" max="12302" width="11.86328125" style="21" customWidth="1"/>
    <col min="12303" max="12303" width="18.1328125" style="21" bestFit="1" customWidth="1"/>
    <col min="12304" max="12304" width="15.265625" style="21" customWidth="1"/>
    <col min="12305" max="12306" width="11.73046875" style="21" customWidth="1"/>
    <col min="12307" max="12546" width="9.1328125" style="21"/>
    <col min="12547" max="12547" width="25.86328125" style="21" customWidth="1"/>
    <col min="12548" max="12548" width="17.1328125" style="21" customWidth="1"/>
    <col min="12549" max="12549" width="10.3984375" style="21" customWidth="1"/>
    <col min="12550" max="12550" width="15.265625" style="21" customWidth="1"/>
    <col min="12551" max="12551" width="11.265625" style="21" customWidth="1"/>
    <col min="12552" max="12552" width="14.3984375" style="21" customWidth="1"/>
    <col min="12553" max="12553" width="10.3984375" style="21" customWidth="1"/>
    <col min="12554" max="12555" width="12.73046875" style="21" customWidth="1"/>
    <col min="12556" max="12557" width="12.1328125" style="21" customWidth="1"/>
    <col min="12558" max="12558" width="11.86328125" style="21" customWidth="1"/>
    <col min="12559" max="12559" width="18.1328125" style="21" bestFit="1" customWidth="1"/>
    <col min="12560" max="12560" width="15.265625" style="21" customWidth="1"/>
    <col min="12561" max="12562" width="11.73046875" style="21" customWidth="1"/>
    <col min="12563" max="12802" width="9.1328125" style="21"/>
    <col min="12803" max="12803" width="25.86328125" style="21" customWidth="1"/>
    <col min="12804" max="12804" width="17.1328125" style="21" customWidth="1"/>
    <col min="12805" max="12805" width="10.3984375" style="21" customWidth="1"/>
    <col min="12806" max="12806" width="15.265625" style="21" customWidth="1"/>
    <col min="12807" max="12807" width="11.265625" style="21" customWidth="1"/>
    <col min="12808" max="12808" width="14.3984375" style="21" customWidth="1"/>
    <col min="12809" max="12809" width="10.3984375" style="21" customWidth="1"/>
    <col min="12810" max="12811" width="12.73046875" style="21" customWidth="1"/>
    <col min="12812" max="12813" width="12.1328125" style="21" customWidth="1"/>
    <col min="12814" max="12814" width="11.86328125" style="21" customWidth="1"/>
    <col min="12815" max="12815" width="18.1328125" style="21" bestFit="1" customWidth="1"/>
    <col min="12816" max="12816" width="15.265625" style="21" customWidth="1"/>
    <col min="12817" max="12818" width="11.73046875" style="21" customWidth="1"/>
    <col min="12819" max="13058" width="9.1328125" style="21"/>
    <col min="13059" max="13059" width="25.86328125" style="21" customWidth="1"/>
    <col min="13060" max="13060" width="17.1328125" style="21" customWidth="1"/>
    <col min="13061" max="13061" width="10.3984375" style="21" customWidth="1"/>
    <col min="13062" max="13062" width="15.265625" style="21" customWidth="1"/>
    <col min="13063" max="13063" width="11.265625" style="21" customWidth="1"/>
    <col min="13064" max="13064" width="14.3984375" style="21" customWidth="1"/>
    <col min="13065" max="13065" width="10.3984375" style="21" customWidth="1"/>
    <col min="13066" max="13067" width="12.73046875" style="21" customWidth="1"/>
    <col min="13068" max="13069" width="12.1328125" style="21" customWidth="1"/>
    <col min="13070" max="13070" width="11.86328125" style="21" customWidth="1"/>
    <col min="13071" max="13071" width="18.1328125" style="21" bestFit="1" customWidth="1"/>
    <col min="13072" max="13072" width="15.265625" style="21" customWidth="1"/>
    <col min="13073" max="13074" width="11.73046875" style="21" customWidth="1"/>
    <col min="13075" max="13314" width="9.1328125" style="21"/>
    <col min="13315" max="13315" width="25.86328125" style="21" customWidth="1"/>
    <col min="13316" max="13316" width="17.1328125" style="21" customWidth="1"/>
    <col min="13317" max="13317" width="10.3984375" style="21" customWidth="1"/>
    <col min="13318" max="13318" width="15.265625" style="21" customWidth="1"/>
    <col min="13319" max="13319" width="11.265625" style="21" customWidth="1"/>
    <col min="13320" max="13320" width="14.3984375" style="21" customWidth="1"/>
    <col min="13321" max="13321" width="10.3984375" style="21" customWidth="1"/>
    <col min="13322" max="13323" width="12.73046875" style="21" customWidth="1"/>
    <col min="13324" max="13325" width="12.1328125" style="21" customWidth="1"/>
    <col min="13326" max="13326" width="11.86328125" style="21" customWidth="1"/>
    <col min="13327" max="13327" width="18.1328125" style="21" bestFit="1" customWidth="1"/>
    <col min="13328" max="13328" width="15.265625" style="21" customWidth="1"/>
    <col min="13329" max="13330" width="11.73046875" style="21" customWidth="1"/>
    <col min="13331" max="13570" width="9.1328125" style="21"/>
    <col min="13571" max="13571" width="25.86328125" style="21" customWidth="1"/>
    <col min="13572" max="13572" width="17.1328125" style="21" customWidth="1"/>
    <col min="13573" max="13573" width="10.3984375" style="21" customWidth="1"/>
    <col min="13574" max="13574" width="15.265625" style="21" customWidth="1"/>
    <col min="13575" max="13575" width="11.265625" style="21" customWidth="1"/>
    <col min="13576" max="13576" width="14.3984375" style="21" customWidth="1"/>
    <col min="13577" max="13577" width="10.3984375" style="21" customWidth="1"/>
    <col min="13578" max="13579" width="12.73046875" style="21" customWidth="1"/>
    <col min="13580" max="13581" width="12.1328125" style="21" customWidth="1"/>
    <col min="13582" max="13582" width="11.86328125" style="21" customWidth="1"/>
    <col min="13583" max="13583" width="18.1328125" style="21" bestFit="1" customWidth="1"/>
    <col min="13584" max="13584" width="15.265625" style="21" customWidth="1"/>
    <col min="13585" max="13586" width="11.73046875" style="21" customWidth="1"/>
    <col min="13587" max="13826" width="9.1328125" style="21"/>
    <col min="13827" max="13827" width="25.86328125" style="21" customWidth="1"/>
    <col min="13828" max="13828" width="17.1328125" style="21" customWidth="1"/>
    <col min="13829" max="13829" width="10.3984375" style="21" customWidth="1"/>
    <col min="13830" max="13830" width="15.265625" style="21" customWidth="1"/>
    <col min="13831" max="13831" width="11.265625" style="21" customWidth="1"/>
    <col min="13832" max="13832" width="14.3984375" style="21" customWidth="1"/>
    <col min="13833" max="13833" width="10.3984375" style="21" customWidth="1"/>
    <col min="13834" max="13835" width="12.73046875" style="21" customWidth="1"/>
    <col min="13836" max="13837" width="12.1328125" style="21" customWidth="1"/>
    <col min="13838" max="13838" width="11.86328125" style="21" customWidth="1"/>
    <col min="13839" max="13839" width="18.1328125" style="21" bestFit="1" customWidth="1"/>
    <col min="13840" max="13840" width="15.265625" style="21" customWidth="1"/>
    <col min="13841" max="13842" width="11.73046875" style="21" customWidth="1"/>
    <col min="13843" max="14082" width="9.1328125" style="21"/>
    <col min="14083" max="14083" width="25.86328125" style="21" customWidth="1"/>
    <col min="14084" max="14084" width="17.1328125" style="21" customWidth="1"/>
    <col min="14085" max="14085" width="10.3984375" style="21" customWidth="1"/>
    <col min="14086" max="14086" width="15.265625" style="21" customWidth="1"/>
    <col min="14087" max="14087" width="11.265625" style="21" customWidth="1"/>
    <col min="14088" max="14088" width="14.3984375" style="21" customWidth="1"/>
    <col min="14089" max="14089" width="10.3984375" style="21" customWidth="1"/>
    <col min="14090" max="14091" width="12.73046875" style="21" customWidth="1"/>
    <col min="14092" max="14093" width="12.1328125" style="21" customWidth="1"/>
    <col min="14094" max="14094" width="11.86328125" style="21" customWidth="1"/>
    <col min="14095" max="14095" width="18.1328125" style="21" bestFit="1" customWidth="1"/>
    <col min="14096" max="14096" width="15.265625" style="21" customWidth="1"/>
    <col min="14097" max="14098" width="11.73046875" style="21" customWidth="1"/>
    <col min="14099" max="14338" width="9.1328125" style="21"/>
    <col min="14339" max="14339" width="25.86328125" style="21" customWidth="1"/>
    <col min="14340" max="14340" width="17.1328125" style="21" customWidth="1"/>
    <col min="14341" max="14341" width="10.3984375" style="21" customWidth="1"/>
    <col min="14342" max="14342" width="15.265625" style="21" customWidth="1"/>
    <col min="14343" max="14343" width="11.265625" style="21" customWidth="1"/>
    <col min="14344" max="14344" width="14.3984375" style="21" customWidth="1"/>
    <col min="14345" max="14345" width="10.3984375" style="21" customWidth="1"/>
    <col min="14346" max="14347" width="12.73046875" style="21" customWidth="1"/>
    <col min="14348" max="14349" width="12.1328125" style="21" customWidth="1"/>
    <col min="14350" max="14350" width="11.86328125" style="21" customWidth="1"/>
    <col min="14351" max="14351" width="18.1328125" style="21" bestFit="1" customWidth="1"/>
    <col min="14352" max="14352" width="15.265625" style="21" customWidth="1"/>
    <col min="14353" max="14354" width="11.73046875" style="21" customWidth="1"/>
    <col min="14355" max="14594" width="9.1328125" style="21"/>
    <col min="14595" max="14595" width="25.86328125" style="21" customWidth="1"/>
    <col min="14596" max="14596" width="17.1328125" style="21" customWidth="1"/>
    <col min="14597" max="14597" width="10.3984375" style="21" customWidth="1"/>
    <col min="14598" max="14598" width="15.265625" style="21" customWidth="1"/>
    <col min="14599" max="14599" width="11.265625" style="21" customWidth="1"/>
    <col min="14600" max="14600" width="14.3984375" style="21" customWidth="1"/>
    <col min="14601" max="14601" width="10.3984375" style="21" customWidth="1"/>
    <col min="14602" max="14603" width="12.73046875" style="21" customWidth="1"/>
    <col min="14604" max="14605" width="12.1328125" style="21" customWidth="1"/>
    <col min="14606" max="14606" width="11.86328125" style="21" customWidth="1"/>
    <col min="14607" max="14607" width="18.1328125" style="21" bestFit="1" customWidth="1"/>
    <col min="14608" max="14608" width="15.265625" style="21" customWidth="1"/>
    <col min="14609" max="14610" width="11.73046875" style="21" customWidth="1"/>
    <col min="14611" max="14850" width="9.1328125" style="21"/>
    <col min="14851" max="14851" width="25.86328125" style="21" customWidth="1"/>
    <col min="14852" max="14852" width="17.1328125" style="21" customWidth="1"/>
    <col min="14853" max="14853" width="10.3984375" style="21" customWidth="1"/>
    <col min="14854" max="14854" width="15.265625" style="21" customWidth="1"/>
    <col min="14855" max="14855" width="11.265625" style="21" customWidth="1"/>
    <col min="14856" max="14856" width="14.3984375" style="21" customWidth="1"/>
    <col min="14857" max="14857" width="10.3984375" style="21" customWidth="1"/>
    <col min="14858" max="14859" width="12.73046875" style="21" customWidth="1"/>
    <col min="14860" max="14861" width="12.1328125" style="21" customWidth="1"/>
    <col min="14862" max="14862" width="11.86328125" style="21" customWidth="1"/>
    <col min="14863" max="14863" width="18.1328125" style="21" bestFit="1" customWidth="1"/>
    <col min="14864" max="14864" width="15.265625" style="21" customWidth="1"/>
    <col min="14865" max="14866" width="11.73046875" style="21" customWidth="1"/>
    <col min="14867" max="15106" width="9.1328125" style="21"/>
    <col min="15107" max="15107" width="25.86328125" style="21" customWidth="1"/>
    <col min="15108" max="15108" width="17.1328125" style="21" customWidth="1"/>
    <col min="15109" max="15109" width="10.3984375" style="21" customWidth="1"/>
    <col min="15110" max="15110" width="15.265625" style="21" customWidth="1"/>
    <col min="15111" max="15111" width="11.265625" style="21" customWidth="1"/>
    <col min="15112" max="15112" width="14.3984375" style="21" customWidth="1"/>
    <col min="15113" max="15113" width="10.3984375" style="21" customWidth="1"/>
    <col min="15114" max="15115" width="12.73046875" style="21" customWidth="1"/>
    <col min="15116" max="15117" width="12.1328125" style="21" customWidth="1"/>
    <col min="15118" max="15118" width="11.86328125" style="21" customWidth="1"/>
    <col min="15119" max="15119" width="18.1328125" style="21" bestFit="1" customWidth="1"/>
    <col min="15120" max="15120" width="15.265625" style="21" customWidth="1"/>
    <col min="15121" max="15122" width="11.73046875" style="21" customWidth="1"/>
    <col min="15123" max="15362" width="9.1328125" style="21"/>
    <col min="15363" max="15363" width="25.86328125" style="21" customWidth="1"/>
    <col min="15364" max="15364" width="17.1328125" style="21" customWidth="1"/>
    <col min="15365" max="15365" width="10.3984375" style="21" customWidth="1"/>
    <col min="15366" max="15366" width="15.265625" style="21" customWidth="1"/>
    <col min="15367" max="15367" width="11.265625" style="21" customWidth="1"/>
    <col min="15368" max="15368" width="14.3984375" style="21" customWidth="1"/>
    <col min="15369" max="15369" width="10.3984375" style="21" customWidth="1"/>
    <col min="15370" max="15371" width="12.73046875" style="21" customWidth="1"/>
    <col min="15372" max="15373" width="12.1328125" style="21" customWidth="1"/>
    <col min="15374" max="15374" width="11.86328125" style="21" customWidth="1"/>
    <col min="15375" max="15375" width="18.1328125" style="21" bestFit="1" customWidth="1"/>
    <col min="15376" max="15376" width="15.265625" style="21" customWidth="1"/>
    <col min="15377" max="15378" width="11.73046875" style="21" customWidth="1"/>
    <col min="15379" max="15618" width="9.1328125" style="21"/>
    <col min="15619" max="15619" width="25.86328125" style="21" customWidth="1"/>
    <col min="15620" max="15620" width="17.1328125" style="21" customWidth="1"/>
    <col min="15621" max="15621" width="10.3984375" style="21" customWidth="1"/>
    <col min="15622" max="15622" width="15.265625" style="21" customWidth="1"/>
    <col min="15623" max="15623" width="11.265625" style="21" customWidth="1"/>
    <col min="15624" max="15624" width="14.3984375" style="21" customWidth="1"/>
    <col min="15625" max="15625" width="10.3984375" style="21" customWidth="1"/>
    <col min="15626" max="15627" width="12.73046875" style="21" customWidth="1"/>
    <col min="15628" max="15629" width="12.1328125" style="21" customWidth="1"/>
    <col min="15630" max="15630" width="11.86328125" style="21" customWidth="1"/>
    <col min="15631" max="15631" width="18.1328125" style="21" bestFit="1" customWidth="1"/>
    <col min="15632" max="15632" width="15.265625" style="21" customWidth="1"/>
    <col min="15633" max="15634" width="11.73046875" style="21" customWidth="1"/>
    <col min="15635" max="15874" width="9.1328125" style="21"/>
    <col min="15875" max="15875" width="25.86328125" style="21" customWidth="1"/>
    <col min="15876" max="15876" width="17.1328125" style="21" customWidth="1"/>
    <col min="15877" max="15877" width="10.3984375" style="21" customWidth="1"/>
    <col min="15878" max="15878" width="15.265625" style="21" customWidth="1"/>
    <col min="15879" max="15879" width="11.265625" style="21" customWidth="1"/>
    <col min="15880" max="15880" width="14.3984375" style="21" customWidth="1"/>
    <col min="15881" max="15881" width="10.3984375" style="21" customWidth="1"/>
    <col min="15882" max="15883" width="12.73046875" style="21" customWidth="1"/>
    <col min="15884" max="15885" width="12.1328125" style="21" customWidth="1"/>
    <col min="15886" max="15886" width="11.86328125" style="21" customWidth="1"/>
    <col min="15887" max="15887" width="18.1328125" style="21" bestFit="1" customWidth="1"/>
    <col min="15888" max="15888" width="15.265625" style="21" customWidth="1"/>
    <col min="15889" max="15890" width="11.73046875" style="21" customWidth="1"/>
    <col min="15891" max="16130" width="9.1328125" style="21"/>
    <col min="16131" max="16131" width="25.86328125" style="21" customWidth="1"/>
    <col min="16132" max="16132" width="17.1328125" style="21" customWidth="1"/>
    <col min="16133" max="16133" width="10.3984375" style="21" customWidth="1"/>
    <col min="16134" max="16134" width="15.265625" style="21" customWidth="1"/>
    <col min="16135" max="16135" width="11.265625" style="21" customWidth="1"/>
    <col min="16136" max="16136" width="14.3984375" style="21" customWidth="1"/>
    <col min="16137" max="16137" width="10.3984375" style="21" customWidth="1"/>
    <col min="16138" max="16139" width="12.73046875" style="21" customWidth="1"/>
    <col min="16140" max="16141" width="12.1328125" style="21" customWidth="1"/>
    <col min="16142" max="16142" width="11.86328125" style="21" customWidth="1"/>
    <col min="16143" max="16143" width="18.1328125" style="21" bestFit="1" customWidth="1"/>
    <col min="16144" max="16144" width="15.265625" style="21" customWidth="1"/>
    <col min="16145" max="16146" width="11.73046875" style="21" customWidth="1"/>
    <col min="16147" max="16384" width="9.1328125" style="21"/>
  </cols>
  <sheetData>
    <row r="1" spans="2:25" x14ac:dyDescent="0.45">
      <c r="B1" s="285" t="s">
        <v>415</v>
      </c>
      <c r="C1" s="285"/>
      <c r="D1" s="285"/>
      <c r="E1" s="285"/>
      <c r="F1" s="285"/>
      <c r="G1" s="285"/>
      <c r="H1" s="285"/>
      <c r="I1" s="285"/>
      <c r="J1" s="285"/>
      <c r="K1" s="299"/>
      <c r="L1" s="299"/>
      <c r="M1" s="299"/>
      <c r="N1" s="299"/>
      <c r="O1" s="299"/>
      <c r="P1" s="299"/>
      <c r="Q1" s="299"/>
      <c r="R1" s="299"/>
      <c r="S1" s="299"/>
      <c r="T1" s="299"/>
      <c r="U1" s="299"/>
      <c r="V1" s="299"/>
      <c r="W1" s="299"/>
      <c r="X1" s="299"/>
      <c r="Y1" s="299"/>
    </row>
    <row r="2" spans="2:25" ht="14.65" thickBot="1" x14ac:dyDescent="0.5">
      <c r="B2" s="300"/>
      <c r="C2" s="300"/>
      <c r="D2" s="300"/>
      <c r="E2" s="300"/>
      <c r="F2" s="300"/>
      <c r="G2" s="300"/>
      <c r="H2" s="300"/>
      <c r="I2" s="300"/>
      <c r="J2" s="300"/>
      <c r="K2" s="299"/>
      <c r="L2" s="299"/>
      <c r="M2" s="299"/>
      <c r="N2" s="299"/>
      <c r="O2" s="299"/>
      <c r="P2" s="299"/>
      <c r="Q2" s="299"/>
      <c r="R2" s="299"/>
      <c r="S2" s="299"/>
      <c r="T2" s="299"/>
      <c r="U2" s="299"/>
      <c r="V2" s="299"/>
      <c r="W2" s="299"/>
      <c r="X2" s="299"/>
      <c r="Y2" s="299"/>
    </row>
    <row r="3" spans="2:25" ht="14.65" thickBot="1" x14ac:dyDescent="0.5">
      <c r="B3" s="287" t="s">
        <v>406</v>
      </c>
      <c r="C3" s="288"/>
      <c r="D3" s="288"/>
      <c r="E3" s="288"/>
      <c r="F3" s="288"/>
      <c r="G3" s="288"/>
      <c r="H3" s="288"/>
      <c r="I3" s="288"/>
      <c r="J3" s="288"/>
      <c r="K3" s="297"/>
      <c r="L3" s="297"/>
      <c r="M3" s="297"/>
      <c r="N3" s="297"/>
      <c r="O3" s="297"/>
      <c r="P3" s="297"/>
      <c r="Q3" s="297"/>
      <c r="R3" s="297"/>
      <c r="S3" s="297"/>
      <c r="T3" s="297"/>
      <c r="U3" s="297"/>
      <c r="V3" s="297"/>
      <c r="W3" s="297"/>
      <c r="X3" s="297"/>
      <c r="Y3" s="298"/>
    </row>
    <row r="4" spans="2:25" ht="14.65" thickBot="1" x14ac:dyDescent="0.5">
      <c r="F4" s="28"/>
    </row>
    <row r="5" spans="2:25" ht="14.65" thickBot="1" x14ac:dyDescent="0.5">
      <c r="B5" s="301" t="s">
        <v>264</v>
      </c>
      <c r="C5" s="302"/>
      <c r="E5" s="303" t="s">
        <v>264</v>
      </c>
      <c r="F5" s="289"/>
      <c r="H5" s="303" t="s">
        <v>416</v>
      </c>
      <c r="I5" s="288"/>
      <c r="J5" s="289"/>
    </row>
    <row r="6" spans="2:25" ht="15.4" x14ac:dyDescent="0.45">
      <c r="B6" s="222" t="s">
        <v>267</v>
      </c>
      <c r="C6" s="223">
        <f>C8-C7</f>
        <v>3595.7370637500135</v>
      </c>
      <c r="D6" s="24"/>
      <c r="E6" s="21"/>
      <c r="F6" s="21"/>
      <c r="H6" s="21"/>
      <c r="I6" s="21"/>
      <c r="J6" s="21"/>
    </row>
    <row r="7" spans="2:25" ht="15.75" thickBot="1" x14ac:dyDescent="0.5">
      <c r="B7" s="227" t="s">
        <v>269</v>
      </c>
      <c r="C7" s="229">
        <f>I53</f>
        <v>-954.63763499999982</v>
      </c>
      <c r="D7" s="24"/>
      <c r="E7" s="230" t="s">
        <v>272</v>
      </c>
      <c r="G7" s="25"/>
      <c r="H7" s="33" t="s">
        <v>268</v>
      </c>
      <c r="I7" s="19">
        <f>K51</f>
        <v>27171.25</v>
      </c>
      <c r="J7" s="20">
        <f>I7/(Q10/2)</f>
        <v>0.27171250000000002</v>
      </c>
    </row>
    <row r="8" spans="2:25" ht="15.4" x14ac:dyDescent="0.45">
      <c r="B8" s="227" t="s">
        <v>271</v>
      </c>
      <c r="C8" s="228">
        <f>C9+C10</f>
        <v>2641.0994287500134</v>
      </c>
      <c r="D8" s="26"/>
      <c r="E8" s="22">
        <f>C8</f>
        <v>2641.0994287500134</v>
      </c>
      <c r="F8" s="23">
        <f>(C8/Q8)</f>
        <v>5.282198857500027E-2</v>
      </c>
      <c r="G8" s="25"/>
      <c r="H8" s="33" t="s">
        <v>270</v>
      </c>
      <c r="I8" s="19">
        <f>L51</f>
        <v>-23501.360000000001</v>
      </c>
      <c r="J8" s="20">
        <f>I8/(Q10/2)</f>
        <v>-0.23501360000000002</v>
      </c>
      <c r="P8" s="234" t="s">
        <v>394</v>
      </c>
      <c r="Q8" s="231">
        <v>50000</v>
      </c>
    </row>
    <row r="9" spans="2:25" ht="15.4" x14ac:dyDescent="0.45">
      <c r="B9" s="222" t="s">
        <v>274</v>
      </c>
      <c r="C9" s="224">
        <f>J68</f>
        <v>-1028.790571249986</v>
      </c>
      <c r="D9" s="26"/>
      <c r="E9" s="230" t="s">
        <v>277</v>
      </c>
      <c r="G9" s="25"/>
      <c r="H9" s="33" t="s">
        <v>273</v>
      </c>
      <c r="I9" s="19">
        <f>I7-I8</f>
        <v>50672.61</v>
      </c>
      <c r="J9" s="20">
        <f>I9/(Q10/2)</f>
        <v>0.50672609999999996</v>
      </c>
      <c r="N9" s="24"/>
      <c r="P9" s="235" t="s">
        <v>407</v>
      </c>
      <c r="Q9" s="232">
        <v>4</v>
      </c>
    </row>
    <row r="10" spans="2:25" ht="15.75" thickBot="1" x14ac:dyDescent="0.5">
      <c r="B10" s="225" t="s">
        <v>276</v>
      </c>
      <c r="C10" s="226">
        <f>E53</f>
        <v>3669.8899999999994</v>
      </c>
      <c r="D10" s="26"/>
      <c r="E10" s="22">
        <f>E8-'Portfolio Track-Record'!D37</f>
        <v>-422.37007624999342</v>
      </c>
      <c r="F10" s="23">
        <f>E10/Q8</f>
        <v>-8.4474015249998684E-3</v>
      </c>
      <c r="G10" s="25"/>
      <c r="H10" s="33" t="s">
        <v>275</v>
      </c>
      <c r="I10" s="19">
        <f>I8+I7</f>
        <v>3669.8899999999994</v>
      </c>
      <c r="J10" s="20">
        <f t="shared" ref="J10" si="0">I10/100000</f>
        <v>3.6698899999999993E-2</v>
      </c>
      <c r="M10" s="27"/>
      <c r="N10" s="29"/>
      <c r="P10" s="236" t="s">
        <v>408</v>
      </c>
      <c r="Q10" s="233">
        <f>Q9*Q8</f>
        <v>200000</v>
      </c>
    </row>
    <row r="11" spans="2:25" ht="15.4" x14ac:dyDescent="0.45">
      <c r="C11" s="24"/>
      <c r="D11" s="26"/>
      <c r="G11" s="25"/>
      <c r="M11" s="27"/>
    </row>
    <row r="12" spans="2:25" ht="15.4" x14ac:dyDescent="0.45">
      <c r="B12" s="30"/>
      <c r="C12" s="31"/>
      <c r="D12" s="26"/>
      <c r="G12" s="25"/>
      <c r="M12" s="27"/>
    </row>
    <row r="13" spans="2:25" ht="15.4" x14ac:dyDescent="0.45">
      <c r="M13" s="27"/>
    </row>
    <row r="15" spans="2:25" s="32" customFormat="1" ht="30.75" customHeight="1" x14ac:dyDescent="0.5">
      <c r="C15" s="33" t="s">
        <v>278</v>
      </c>
      <c r="D15" s="33" t="s">
        <v>279</v>
      </c>
      <c r="E15" s="34" t="s">
        <v>280</v>
      </c>
      <c r="F15" s="35" t="s">
        <v>281</v>
      </c>
      <c r="G15" s="33" t="s">
        <v>282</v>
      </c>
      <c r="H15" s="33" t="s">
        <v>283</v>
      </c>
      <c r="I15" s="33" t="s">
        <v>284</v>
      </c>
      <c r="J15" s="33" t="s">
        <v>285</v>
      </c>
      <c r="K15" s="36" t="s">
        <v>286</v>
      </c>
      <c r="L15" s="36" t="s">
        <v>270</v>
      </c>
      <c r="M15" s="36" t="s">
        <v>287</v>
      </c>
      <c r="N15" s="21"/>
      <c r="O15" s="21"/>
    </row>
    <row r="16" spans="2:25" ht="14.65" thickBot="1" x14ac:dyDescent="0.5">
      <c r="H16" s="37"/>
      <c r="I16" s="37"/>
      <c r="J16" s="21"/>
      <c r="K16" s="38"/>
      <c r="L16" s="38"/>
    </row>
    <row r="17" spans="2:25" ht="17.25" customHeight="1" x14ac:dyDescent="0.45">
      <c r="B17" s="39"/>
      <c r="C17" s="40"/>
      <c r="D17" s="40"/>
      <c r="E17" s="41">
        <f t="shared" ref="E17:E37" si="1">D17*C17</f>
        <v>0</v>
      </c>
      <c r="F17" s="42">
        <f t="shared" ref="F17:F50" si="2">E17/100000</f>
        <v>0</v>
      </c>
      <c r="G17" s="40"/>
      <c r="H17" s="43"/>
      <c r="I17" s="44"/>
      <c r="J17" s="45">
        <f t="shared" ref="J17:J37" si="3">IF(D17&gt;0,(D17-H17)/H17,0)</f>
        <v>0</v>
      </c>
      <c r="K17" s="46">
        <f t="shared" ref="K17:K50" si="4">IF(C17&gt;0,D17*C17,0)</f>
        <v>0</v>
      </c>
      <c r="L17" s="41">
        <f t="shared" ref="L17:L50" si="5">IF(C17&lt;0,D17*C17,0)</f>
        <v>0</v>
      </c>
      <c r="M17" s="47"/>
      <c r="P17" s="48" t="s">
        <v>288</v>
      </c>
      <c r="Q17" s="41">
        <f t="shared" ref="Q17:Q27" si="6">(SUMIF($G$17:$G$37,R17,$E$17:$E$37))</f>
        <v>0</v>
      </c>
      <c r="R17" s="49">
        <v>1</v>
      </c>
      <c r="S17" s="50">
        <f>Q17/100000</f>
        <v>0</v>
      </c>
      <c r="V17" s="203" t="s">
        <v>289</v>
      </c>
      <c r="W17" s="41">
        <f t="shared" ref="W17:W28" si="7">VLOOKUP(V17,$B$39:$E$50,4,)</f>
        <v>0</v>
      </c>
      <c r="X17" s="49">
        <v>1</v>
      </c>
      <c r="Y17" s="50">
        <f t="shared" ref="Y17:Y27" si="8">W17/100000</f>
        <v>0</v>
      </c>
    </row>
    <row r="18" spans="2:25" ht="17.25" customHeight="1" x14ac:dyDescent="0.45">
      <c r="B18" s="58"/>
      <c r="C18" s="59"/>
      <c r="D18" s="59"/>
      <c r="E18" s="52">
        <f t="shared" si="1"/>
        <v>0</v>
      </c>
      <c r="F18" s="60">
        <f t="shared" si="2"/>
        <v>0</v>
      </c>
      <c r="G18" s="59"/>
      <c r="H18" s="61"/>
      <c r="I18" s="62"/>
      <c r="J18" s="63">
        <f t="shared" si="3"/>
        <v>0</v>
      </c>
      <c r="K18" s="64">
        <f t="shared" si="4"/>
        <v>0</v>
      </c>
      <c r="L18" s="52">
        <f t="shared" si="5"/>
        <v>0</v>
      </c>
      <c r="M18" s="65"/>
      <c r="P18" s="66" t="s">
        <v>290</v>
      </c>
      <c r="Q18" s="52">
        <f t="shared" si="6"/>
        <v>0</v>
      </c>
      <c r="R18" s="53">
        <v>2</v>
      </c>
      <c r="S18" s="54">
        <f t="shared" ref="S18:S27" si="9">Q18/100000</f>
        <v>0</v>
      </c>
      <c r="V18" s="51" t="s">
        <v>291</v>
      </c>
      <c r="W18" s="52">
        <f t="shared" si="7"/>
        <v>0</v>
      </c>
      <c r="X18" s="53">
        <v>2</v>
      </c>
      <c r="Y18" s="54">
        <f t="shared" si="8"/>
        <v>0</v>
      </c>
    </row>
    <row r="19" spans="2:25" ht="17.25" customHeight="1" x14ac:dyDescent="0.45">
      <c r="B19" s="58"/>
      <c r="C19" s="59"/>
      <c r="D19" s="59"/>
      <c r="E19" s="52">
        <f t="shared" si="1"/>
        <v>0</v>
      </c>
      <c r="F19" s="60">
        <f t="shared" si="2"/>
        <v>0</v>
      </c>
      <c r="G19" s="59"/>
      <c r="H19" s="61"/>
      <c r="I19" s="62"/>
      <c r="J19" s="63">
        <f t="shared" si="3"/>
        <v>0</v>
      </c>
      <c r="K19" s="64">
        <f t="shared" si="4"/>
        <v>0</v>
      </c>
      <c r="L19" s="52">
        <f t="shared" si="5"/>
        <v>0</v>
      </c>
      <c r="M19" s="65"/>
      <c r="P19" s="66" t="s">
        <v>292</v>
      </c>
      <c r="Q19" s="52">
        <f t="shared" si="6"/>
        <v>0</v>
      </c>
      <c r="R19" s="53">
        <v>3</v>
      </c>
      <c r="S19" s="54">
        <f t="shared" si="9"/>
        <v>0</v>
      </c>
      <c r="V19" s="51" t="s">
        <v>293</v>
      </c>
      <c r="W19" s="52">
        <f t="shared" si="7"/>
        <v>0</v>
      </c>
      <c r="X19" s="53">
        <v>3</v>
      </c>
      <c r="Y19" s="54">
        <f t="shared" si="8"/>
        <v>0</v>
      </c>
    </row>
    <row r="20" spans="2:25" ht="17.25" customHeight="1" x14ac:dyDescent="0.45">
      <c r="B20" s="58"/>
      <c r="C20" s="59"/>
      <c r="D20" s="59"/>
      <c r="E20" s="52">
        <f t="shared" si="1"/>
        <v>0</v>
      </c>
      <c r="F20" s="60">
        <f t="shared" si="2"/>
        <v>0</v>
      </c>
      <c r="G20" s="59"/>
      <c r="H20" s="61"/>
      <c r="I20" s="62"/>
      <c r="J20" s="63">
        <f t="shared" si="3"/>
        <v>0</v>
      </c>
      <c r="K20" s="64">
        <f t="shared" si="4"/>
        <v>0</v>
      </c>
      <c r="L20" s="52">
        <f t="shared" si="5"/>
        <v>0</v>
      </c>
      <c r="M20" s="65"/>
      <c r="P20" s="66" t="s">
        <v>294</v>
      </c>
      <c r="Q20" s="52">
        <f t="shared" si="6"/>
        <v>0</v>
      </c>
      <c r="R20" s="53">
        <v>4</v>
      </c>
      <c r="S20" s="54">
        <f t="shared" si="9"/>
        <v>0</v>
      </c>
      <c r="V20" s="51" t="s">
        <v>295</v>
      </c>
      <c r="W20" s="52">
        <f t="shared" si="7"/>
        <v>0</v>
      </c>
      <c r="X20" s="53">
        <v>4</v>
      </c>
      <c r="Y20" s="54">
        <f t="shared" si="8"/>
        <v>0</v>
      </c>
    </row>
    <row r="21" spans="2:25" ht="17.25" customHeight="1" x14ac:dyDescent="0.45">
      <c r="B21" s="58"/>
      <c r="C21" s="59"/>
      <c r="D21" s="59"/>
      <c r="E21" s="52">
        <f t="shared" si="1"/>
        <v>0</v>
      </c>
      <c r="F21" s="60">
        <f t="shared" si="2"/>
        <v>0</v>
      </c>
      <c r="G21" s="59"/>
      <c r="H21" s="61"/>
      <c r="I21" s="62"/>
      <c r="J21" s="63">
        <f t="shared" si="3"/>
        <v>0</v>
      </c>
      <c r="K21" s="64">
        <f t="shared" si="4"/>
        <v>0</v>
      </c>
      <c r="L21" s="52">
        <f t="shared" si="5"/>
        <v>0</v>
      </c>
      <c r="M21" s="65"/>
      <c r="P21" s="66" t="s">
        <v>296</v>
      </c>
      <c r="Q21" s="52">
        <f t="shared" si="6"/>
        <v>7224.84</v>
      </c>
      <c r="R21" s="53">
        <v>5</v>
      </c>
      <c r="S21" s="54">
        <f t="shared" si="9"/>
        <v>7.2248400000000004E-2</v>
      </c>
      <c r="V21" s="51" t="s">
        <v>297</v>
      </c>
      <c r="W21" s="52">
        <f t="shared" si="7"/>
        <v>-7400</v>
      </c>
      <c r="X21" s="53">
        <v>5</v>
      </c>
      <c r="Y21" s="54">
        <f t="shared" si="8"/>
        <v>-7.3999999999999996E-2</v>
      </c>
    </row>
    <row r="22" spans="2:25" ht="17.25" customHeight="1" x14ac:dyDescent="0.45">
      <c r="B22" s="58"/>
      <c r="C22" s="59"/>
      <c r="D22" s="59"/>
      <c r="E22" s="52">
        <f t="shared" si="1"/>
        <v>0</v>
      </c>
      <c r="F22" s="60">
        <f t="shared" si="2"/>
        <v>0</v>
      </c>
      <c r="G22" s="59"/>
      <c r="H22" s="59"/>
      <c r="I22" s="62"/>
      <c r="J22" s="63">
        <f t="shared" si="3"/>
        <v>0</v>
      </c>
      <c r="K22" s="64">
        <f t="shared" si="4"/>
        <v>0</v>
      </c>
      <c r="L22" s="52">
        <f t="shared" si="5"/>
        <v>0</v>
      </c>
      <c r="M22" s="65"/>
      <c r="P22" s="66" t="s">
        <v>298</v>
      </c>
      <c r="Q22" s="52">
        <f t="shared" si="6"/>
        <v>0</v>
      </c>
      <c r="R22" s="53">
        <v>6</v>
      </c>
      <c r="S22" s="54">
        <f t="shared" si="9"/>
        <v>0</v>
      </c>
      <c r="V22" s="51" t="s">
        <v>299</v>
      </c>
      <c r="W22" s="52">
        <f t="shared" si="7"/>
        <v>-16101.36</v>
      </c>
      <c r="X22" s="53">
        <v>6</v>
      </c>
      <c r="Y22" s="54">
        <f t="shared" si="8"/>
        <v>-0.16101360000000001</v>
      </c>
    </row>
    <row r="23" spans="2:25" ht="17.25" customHeight="1" x14ac:dyDescent="0.45">
      <c r="B23" s="58"/>
      <c r="C23" s="59"/>
      <c r="D23" s="59"/>
      <c r="E23" s="52">
        <f t="shared" si="1"/>
        <v>0</v>
      </c>
      <c r="F23" s="60">
        <f t="shared" si="2"/>
        <v>0</v>
      </c>
      <c r="G23" s="59"/>
      <c r="H23" s="61"/>
      <c r="I23" s="62"/>
      <c r="J23" s="63">
        <f t="shared" si="3"/>
        <v>0</v>
      </c>
      <c r="K23" s="64">
        <f t="shared" si="4"/>
        <v>0</v>
      </c>
      <c r="L23" s="52">
        <f t="shared" si="5"/>
        <v>0</v>
      </c>
      <c r="M23" s="65"/>
      <c r="P23" s="66" t="s">
        <v>300</v>
      </c>
      <c r="Q23" s="52">
        <f t="shared" si="6"/>
        <v>19946.41</v>
      </c>
      <c r="R23" s="53">
        <v>7</v>
      </c>
      <c r="S23" s="54">
        <f t="shared" si="9"/>
        <v>0.19946410000000001</v>
      </c>
      <c r="V23" s="51" t="s">
        <v>301</v>
      </c>
      <c r="W23" s="52">
        <f t="shared" si="7"/>
        <v>0</v>
      </c>
      <c r="X23" s="53">
        <v>7</v>
      </c>
      <c r="Y23" s="54">
        <f t="shared" si="8"/>
        <v>0</v>
      </c>
    </row>
    <row r="24" spans="2:25" ht="17.25" customHeight="1" x14ac:dyDescent="0.45">
      <c r="B24" s="67" t="s">
        <v>320</v>
      </c>
      <c r="C24" s="59">
        <v>39</v>
      </c>
      <c r="D24" s="59">
        <v>189.13</v>
      </c>
      <c r="E24" s="52">
        <f t="shared" si="1"/>
        <v>7376.07</v>
      </c>
      <c r="F24" s="60">
        <f t="shared" si="2"/>
        <v>7.3760699999999998E-2</v>
      </c>
      <c r="G24" s="59">
        <v>7</v>
      </c>
      <c r="H24" s="61">
        <v>182.56123500000001</v>
      </c>
      <c r="I24" s="62">
        <f t="shared" ref="I24:I49" si="10">(D24-H24)*C24</f>
        <v>256.18183499999941</v>
      </c>
      <c r="J24" s="63">
        <f t="shared" si="3"/>
        <v>3.5981159965312377E-2</v>
      </c>
      <c r="K24" s="64">
        <f t="shared" si="4"/>
        <v>7376.07</v>
      </c>
      <c r="L24" s="52">
        <f t="shared" si="5"/>
        <v>0</v>
      </c>
      <c r="M24" s="65"/>
      <c r="P24" s="66" t="s">
        <v>302</v>
      </c>
      <c r="Q24" s="52">
        <f t="shared" si="6"/>
        <v>0</v>
      </c>
      <c r="R24" s="53">
        <v>8</v>
      </c>
      <c r="S24" s="54">
        <f t="shared" si="9"/>
        <v>0</v>
      </c>
      <c r="V24" s="51" t="s">
        <v>303</v>
      </c>
      <c r="W24" s="52">
        <f t="shared" si="7"/>
        <v>0</v>
      </c>
      <c r="X24" s="53">
        <v>8</v>
      </c>
      <c r="Y24" s="54">
        <f t="shared" si="8"/>
        <v>0</v>
      </c>
    </row>
    <row r="25" spans="2:25" ht="17.25" customHeight="1" x14ac:dyDescent="0.45">
      <c r="B25" s="58" t="s">
        <v>322</v>
      </c>
      <c r="C25" s="59">
        <v>86</v>
      </c>
      <c r="D25" s="59">
        <v>89.19</v>
      </c>
      <c r="E25" s="52">
        <f t="shared" si="1"/>
        <v>7670.34</v>
      </c>
      <c r="F25" s="60">
        <f t="shared" si="2"/>
        <v>7.6703400000000005E-2</v>
      </c>
      <c r="G25" s="59">
        <v>7</v>
      </c>
      <c r="H25" s="61">
        <v>89.234594999999999</v>
      </c>
      <c r="I25" s="62">
        <f t="shared" si="10"/>
        <v>-3.8351700000000903</v>
      </c>
      <c r="J25" s="63">
        <f t="shared" si="3"/>
        <v>-4.9975012493754304E-4</v>
      </c>
      <c r="K25" s="64">
        <f t="shared" si="4"/>
        <v>7670.34</v>
      </c>
      <c r="L25" s="52">
        <f t="shared" si="5"/>
        <v>0</v>
      </c>
      <c r="M25" s="65"/>
      <c r="P25" s="66" t="s">
        <v>304</v>
      </c>
      <c r="Q25" s="52">
        <f t="shared" si="6"/>
        <v>0</v>
      </c>
      <c r="R25" s="53">
        <v>9</v>
      </c>
      <c r="S25" s="54">
        <f t="shared" si="9"/>
        <v>0</v>
      </c>
      <c r="V25" s="51" t="s">
        <v>305</v>
      </c>
      <c r="W25" s="52">
        <f t="shared" si="7"/>
        <v>0</v>
      </c>
      <c r="X25" s="53">
        <v>9</v>
      </c>
      <c r="Y25" s="54">
        <f t="shared" si="8"/>
        <v>0</v>
      </c>
    </row>
    <row r="26" spans="2:25" ht="17.25" customHeight="1" x14ac:dyDescent="0.45">
      <c r="B26" s="58" t="s">
        <v>311</v>
      </c>
      <c r="C26" s="59">
        <v>84</v>
      </c>
      <c r="D26" s="59">
        <v>86.01</v>
      </c>
      <c r="E26" s="52">
        <f t="shared" si="1"/>
        <v>7224.84</v>
      </c>
      <c r="F26" s="60">
        <f t="shared" si="2"/>
        <v>7.2248400000000004E-2</v>
      </c>
      <c r="G26" s="59">
        <v>5</v>
      </c>
      <c r="H26" s="61">
        <v>84.192075000000003</v>
      </c>
      <c r="I26" s="62">
        <f t="shared" si="10"/>
        <v>152.70570000000021</v>
      </c>
      <c r="J26" s="63">
        <f t="shared" si="3"/>
        <v>2.1592590514012185E-2</v>
      </c>
      <c r="K26" s="64">
        <f t="shared" si="4"/>
        <v>7224.84</v>
      </c>
      <c r="L26" s="52">
        <f t="shared" si="5"/>
        <v>0</v>
      </c>
      <c r="M26" s="65"/>
      <c r="P26" s="66" t="s">
        <v>306</v>
      </c>
      <c r="Q26" s="52">
        <f t="shared" si="6"/>
        <v>0</v>
      </c>
      <c r="R26" s="53">
        <v>10</v>
      </c>
      <c r="S26" s="54">
        <f t="shared" si="9"/>
        <v>0</v>
      </c>
      <c r="V26" s="51" t="s">
        <v>307</v>
      </c>
      <c r="W26" s="52">
        <f t="shared" si="7"/>
        <v>0</v>
      </c>
      <c r="X26" s="53">
        <v>10</v>
      </c>
      <c r="Y26" s="54">
        <f t="shared" si="8"/>
        <v>0</v>
      </c>
    </row>
    <row r="27" spans="2:25" ht="17.25" customHeight="1" thickBot="1" x14ac:dyDescent="0.5">
      <c r="B27" s="58" t="s">
        <v>439</v>
      </c>
      <c r="C27" s="59">
        <v>35</v>
      </c>
      <c r="D27" s="59">
        <v>140</v>
      </c>
      <c r="E27" s="52">
        <f t="shared" si="1"/>
        <v>4900</v>
      </c>
      <c r="F27" s="60">
        <f t="shared" si="2"/>
        <v>4.9000000000000002E-2</v>
      </c>
      <c r="G27" s="59">
        <v>7</v>
      </c>
      <c r="H27" s="61">
        <v>140.07</v>
      </c>
      <c r="I27" s="62">
        <f t="shared" si="10"/>
        <v>-2.4499999999997613</v>
      </c>
      <c r="J27" s="63">
        <f t="shared" si="3"/>
        <v>-4.9975012493748254E-4</v>
      </c>
      <c r="K27" s="64">
        <f t="shared" si="4"/>
        <v>4900</v>
      </c>
      <c r="L27" s="52">
        <f t="shared" si="5"/>
        <v>0</v>
      </c>
      <c r="M27" s="65"/>
      <c r="P27" s="204" t="s">
        <v>308</v>
      </c>
      <c r="Q27" s="69">
        <f t="shared" si="6"/>
        <v>0</v>
      </c>
      <c r="R27" s="70">
        <v>11</v>
      </c>
      <c r="S27" s="71">
        <f t="shared" si="9"/>
        <v>0</v>
      </c>
      <c r="V27" s="51" t="s">
        <v>309</v>
      </c>
      <c r="W27" s="52">
        <f t="shared" si="7"/>
        <v>0</v>
      </c>
      <c r="X27" s="53">
        <v>11</v>
      </c>
      <c r="Y27" s="54">
        <f t="shared" si="8"/>
        <v>0</v>
      </c>
    </row>
    <row r="28" spans="2:25" ht="17.25" customHeight="1" thickBot="1" x14ac:dyDescent="0.5">
      <c r="B28" s="58"/>
      <c r="C28" s="59"/>
      <c r="D28" s="59"/>
      <c r="E28" s="52">
        <f t="shared" si="1"/>
        <v>0</v>
      </c>
      <c r="F28" s="60">
        <f t="shared" si="2"/>
        <v>0</v>
      </c>
      <c r="G28" s="59"/>
      <c r="H28" s="61"/>
      <c r="I28" s="62"/>
      <c r="J28" s="63">
        <f t="shared" si="3"/>
        <v>0</v>
      </c>
      <c r="K28" s="64">
        <f t="shared" si="4"/>
        <v>0</v>
      </c>
      <c r="L28" s="52">
        <f t="shared" si="5"/>
        <v>0</v>
      </c>
      <c r="M28" s="65"/>
      <c r="V28" s="68" t="s">
        <v>310</v>
      </c>
      <c r="W28" s="52">
        <f t="shared" si="7"/>
        <v>0</v>
      </c>
      <c r="X28" s="70">
        <v>12</v>
      </c>
      <c r="Y28" s="71">
        <f>W28/100000</f>
        <v>0</v>
      </c>
    </row>
    <row r="29" spans="2:25" ht="17.25" customHeight="1" thickBot="1" x14ac:dyDescent="0.5">
      <c r="B29" s="58"/>
      <c r="C29" s="59"/>
      <c r="D29" s="59"/>
      <c r="E29" s="52">
        <f t="shared" si="1"/>
        <v>0</v>
      </c>
      <c r="F29" s="60">
        <f t="shared" si="2"/>
        <v>0</v>
      </c>
      <c r="G29" s="59"/>
      <c r="H29" s="61"/>
      <c r="I29" s="62"/>
      <c r="J29" s="63">
        <f t="shared" si="3"/>
        <v>0</v>
      </c>
      <c r="K29" s="64">
        <f t="shared" si="4"/>
        <v>0</v>
      </c>
      <c r="L29" s="52">
        <f t="shared" si="5"/>
        <v>0</v>
      </c>
      <c r="M29" s="65"/>
      <c r="P29" s="196" t="s">
        <v>271</v>
      </c>
      <c r="Q29" s="197">
        <f>SUM(Q17:Q27)</f>
        <v>27171.25</v>
      </c>
      <c r="R29" s="198">
        <v>12</v>
      </c>
      <c r="S29" s="199">
        <f t="shared" ref="S29" si="11">Q29/100000</f>
        <v>0.27171250000000002</v>
      </c>
      <c r="V29" s="68" t="s">
        <v>271</v>
      </c>
      <c r="W29" s="69">
        <f>SUM(W17:W28)</f>
        <v>-23501.360000000001</v>
      </c>
      <c r="X29" s="70">
        <v>12</v>
      </c>
      <c r="Y29" s="71">
        <f>W29/100000</f>
        <v>-0.23501360000000002</v>
      </c>
    </row>
    <row r="30" spans="2:25" ht="17.25" customHeight="1" x14ac:dyDescent="0.45">
      <c r="B30" s="58"/>
      <c r="C30" s="59"/>
      <c r="D30" s="59"/>
      <c r="E30" s="52">
        <f t="shared" si="1"/>
        <v>0</v>
      </c>
      <c r="F30" s="60">
        <f t="shared" si="2"/>
        <v>0</v>
      </c>
      <c r="G30" s="59"/>
      <c r="H30" s="61"/>
      <c r="I30" s="62"/>
      <c r="J30" s="63">
        <f t="shared" si="3"/>
        <v>0</v>
      </c>
      <c r="K30" s="64">
        <f t="shared" si="4"/>
        <v>0</v>
      </c>
      <c r="L30" s="52">
        <f t="shared" si="5"/>
        <v>0</v>
      </c>
      <c r="M30" s="65"/>
    </row>
    <row r="31" spans="2:25" ht="17.25" customHeight="1" x14ac:dyDescent="0.45">
      <c r="B31" s="58"/>
      <c r="C31" s="59"/>
      <c r="D31" s="59"/>
      <c r="E31" s="52">
        <f t="shared" si="1"/>
        <v>0</v>
      </c>
      <c r="F31" s="60">
        <f t="shared" si="2"/>
        <v>0</v>
      </c>
      <c r="G31" s="59"/>
      <c r="H31" s="61"/>
      <c r="I31" s="62"/>
      <c r="J31" s="63">
        <f t="shared" si="3"/>
        <v>0</v>
      </c>
      <c r="K31" s="64">
        <f t="shared" si="4"/>
        <v>0</v>
      </c>
      <c r="L31" s="52">
        <f t="shared" si="5"/>
        <v>0</v>
      </c>
      <c r="M31" s="65"/>
    </row>
    <row r="32" spans="2:25" ht="17.25" customHeight="1" thickBot="1" x14ac:dyDescent="0.5">
      <c r="B32" s="67"/>
      <c r="C32" s="59"/>
      <c r="D32" s="59"/>
      <c r="E32" s="52">
        <f t="shared" si="1"/>
        <v>0</v>
      </c>
      <c r="F32" s="60">
        <f t="shared" si="2"/>
        <v>0</v>
      </c>
      <c r="G32" s="59"/>
      <c r="H32" s="61"/>
      <c r="I32" s="62"/>
      <c r="J32" s="63">
        <f t="shared" si="3"/>
        <v>0</v>
      </c>
      <c r="K32" s="64">
        <f t="shared" si="4"/>
        <v>0</v>
      </c>
      <c r="L32" s="52">
        <f t="shared" si="5"/>
        <v>0</v>
      </c>
      <c r="M32" s="65"/>
    </row>
    <row r="33" spans="2:20" ht="17.25" customHeight="1" thickBot="1" x14ac:dyDescent="0.5">
      <c r="B33" s="58"/>
      <c r="C33" s="59"/>
      <c r="D33" s="59"/>
      <c r="E33" s="52">
        <f t="shared" si="1"/>
        <v>0</v>
      </c>
      <c r="F33" s="60">
        <f t="shared" si="2"/>
        <v>0</v>
      </c>
      <c r="G33" s="59"/>
      <c r="H33" s="61"/>
      <c r="I33" s="62"/>
      <c r="J33" s="63">
        <f t="shared" si="3"/>
        <v>0</v>
      </c>
      <c r="K33" s="64">
        <f t="shared" si="4"/>
        <v>0</v>
      </c>
      <c r="L33" s="52">
        <f t="shared" si="5"/>
        <v>0</v>
      </c>
      <c r="M33" s="65"/>
      <c r="P33" s="48" t="s">
        <v>288</v>
      </c>
      <c r="Q33" s="55">
        <f t="shared" ref="Q33:Q45" si="12">Q17</f>
        <v>0</v>
      </c>
      <c r="R33" s="55">
        <f t="shared" ref="R33:R45" si="13">W17</f>
        <v>0</v>
      </c>
      <c r="S33" s="56">
        <f t="shared" ref="S33:S44" si="14">R33+Q33</f>
        <v>0</v>
      </c>
      <c r="T33" s="57">
        <f>S33/100000</f>
        <v>0</v>
      </c>
    </row>
    <row r="34" spans="2:20" ht="17.25" customHeight="1" thickBot="1" x14ac:dyDescent="0.5">
      <c r="B34" s="58"/>
      <c r="C34" s="59"/>
      <c r="D34" s="59"/>
      <c r="E34" s="52">
        <f t="shared" si="1"/>
        <v>0</v>
      </c>
      <c r="F34" s="60">
        <f t="shared" si="2"/>
        <v>0</v>
      </c>
      <c r="G34" s="59"/>
      <c r="H34" s="59"/>
      <c r="I34" s="62"/>
      <c r="J34" s="63">
        <f t="shared" si="3"/>
        <v>0</v>
      </c>
      <c r="K34" s="64">
        <f t="shared" si="4"/>
        <v>0</v>
      </c>
      <c r="L34" s="52">
        <f t="shared" si="5"/>
        <v>0</v>
      </c>
      <c r="M34" s="65"/>
      <c r="P34" s="66" t="s">
        <v>290</v>
      </c>
      <c r="Q34" s="55">
        <f t="shared" si="12"/>
        <v>0</v>
      </c>
      <c r="R34" s="55">
        <f t="shared" si="13"/>
        <v>0</v>
      </c>
      <c r="S34" s="56">
        <f t="shared" si="14"/>
        <v>0</v>
      </c>
      <c r="T34" s="57">
        <f t="shared" ref="T34:T44" si="15">S34/100000</f>
        <v>0</v>
      </c>
    </row>
    <row r="35" spans="2:20" ht="17.25" customHeight="1" thickBot="1" x14ac:dyDescent="0.5">
      <c r="B35" s="58"/>
      <c r="C35" s="59"/>
      <c r="D35" s="59"/>
      <c r="E35" s="52">
        <f t="shared" si="1"/>
        <v>0</v>
      </c>
      <c r="F35" s="60">
        <f t="shared" si="2"/>
        <v>0</v>
      </c>
      <c r="G35" s="59"/>
      <c r="H35" s="59"/>
      <c r="I35" s="62"/>
      <c r="J35" s="63">
        <f t="shared" si="3"/>
        <v>0</v>
      </c>
      <c r="K35" s="64">
        <f t="shared" si="4"/>
        <v>0</v>
      </c>
      <c r="L35" s="52">
        <f t="shared" si="5"/>
        <v>0</v>
      </c>
      <c r="M35" s="65"/>
      <c r="P35" s="66" t="s">
        <v>292</v>
      </c>
      <c r="Q35" s="55">
        <f t="shared" si="12"/>
        <v>0</v>
      </c>
      <c r="R35" s="55">
        <f t="shared" si="13"/>
        <v>0</v>
      </c>
      <c r="S35" s="56">
        <f t="shared" si="14"/>
        <v>0</v>
      </c>
      <c r="T35" s="57">
        <f t="shared" si="15"/>
        <v>0</v>
      </c>
    </row>
    <row r="36" spans="2:20" ht="17.25" customHeight="1" thickBot="1" x14ac:dyDescent="0.5">
      <c r="B36" s="67"/>
      <c r="C36" s="59"/>
      <c r="D36" s="59"/>
      <c r="E36" s="52">
        <f t="shared" si="1"/>
        <v>0</v>
      </c>
      <c r="F36" s="60">
        <f t="shared" si="2"/>
        <v>0</v>
      </c>
      <c r="G36" s="59"/>
      <c r="H36" s="59"/>
      <c r="I36" s="62"/>
      <c r="J36" s="63">
        <f t="shared" si="3"/>
        <v>0</v>
      </c>
      <c r="K36" s="64">
        <f t="shared" si="4"/>
        <v>0</v>
      </c>
      <c r="L36" s="52">
        <f t="shared" si="5"/>
        <v>0</v>
      </c>
      <c r="M36" s="65"/>
      <c r="P36" s="66" t="s">
        <v>294</v>
      </c>
      <c r="Q36" s="55">
        <f t="shared" si="12"/>
        <v>0</v>
      </c>
      <c r="R36" s="55">
        <f t="shared" si="13"/>
        <v>0</v>
      </c>
      <c r="S36" s="56">
        <f t="shared" si="14"/>
        <v>0</v>
      </c>
      <c r="T36" s="57">
        <f t="shared" si="15"/>
        <v>0</v>
      </c>
    </row>
    <row r="37" spans="2:20" ht="17.25" customHeight="1" thickBot="1" x14ac:dyDescent="0.5">
      <c r="B37" s="73"/>
      <c r="C37" s="74"/>
      <c r="D37" s="74"/>
      <c r="E37" s="75">
        <f t="shared" si="1"/>
        <v>0</v>
      </c>
      <c r="F37" s="76">
        <f t="shared" si="2"/>
        <v>0</v>
      </c>
      <c r="G37" s="74"/>
      <c r="H37" s="74"/>
      <c r="I37" s="77"/>
      <c r="J37" s="78">
        <f t="shared" si="3"/>
        <v>0</v>
      </c>
      <c r="K37" s="79">
        <f t="shared" si="4"/>
        <v>0</v>
      </c>
      <c r="L37" s="75">
        <f t="shared" si="5"/>
        <v>0</v>
      </c>
      <c r="M37" s="80"/>
      <c r="P37" s="66" t="s">
        <v>296</v>
      </c>
      <c r="Q37" s="55">
        <f t="shared" si="12"/>
        <v>7224.84</v>
      </c>
      <c r="R37" s="55">
        <f t="shared" si="13"/>
        <v>-7400</v>
      </c>
      <c r="S37" s="56">
        <f t="shared" si="14"/>
        <v>-175.15999999999985</v>
      </c>
      <c r="T37" s="57">
        <f t="shared" si="15"/>
        <v>-1.7515999999999986E-3</v>
      </c>
    </row>
    <row r="38" spans="2:20" ht="17.25" customHeight="1" thickBot="1" x14ac:dyDescent="0.5">
      <c r="B38" s="81"/>
      <c r="C38" s="82"/>
      <c r="D38" s="82"/>
      <c r="E38" s="82"/>
      <c r="F38" s="82"/>
      <c r="G38" s="82"/>
      <c r="H38" s="82"/>
      <c r="I38" s="83">
        <f>SUM(I17:I37)</f>
        <v>402.60236499999979</v>
      </c>
      <c r="J38" s="84"/>
      <c r="K38" s="82"/>
      <c r="L38" s="84"/>
      <c r="M38" s="85"/>
      <c r="P38" s="66" t="s">
        <v>298</v>
      </c>
      <c r="Q38" s="55">
        <f t="shared" si="12"/>
        <v>0</v>
      </c>
      <c r="R38" s="55">
        <f t="shared" si="13"/>
        <v>-16101.36</v>
      </c>
      <c r="S38" s="56">
        <f t="shared" si="14"/>
        <v>-16101.36</v>
      </c>
      <c r="T38" s="57">
        <f t="shared" si="15"/>
        <v>-0.16101360000000001</v>
      </c>
    </row>
    <row r="39" spans="2:20" ht="17.25" customHeight="1" thickBot="1" x14ac:dyDescent="0.5">
      <c r="B39" s="86" t="s">
        <v>289</v>
      </c>
      <c r="C39" s="87"/>
      <c r="D39" s="87"/>
      <c r="E39" s="88">
        <f t="shared" ref="E39:E50" si="16">D39*C39</f>
        <v>0</v>
      </c>
      <c r="F39" s="89">
        <f t="shared" si="2"/>
        <v>0</v>
      </c>
      <c r="G39" s="87"/>
      <c r="H39" s="87"/>
      <c r="I39" s="90">
        <f t="shared" si="10"/>
        <v>0</v>
      </c>
      <c r="J39" s="91">
        <f t="shared" ref="J39:J49" si="17">IF(C39&lt;0,(H39-D39)/H39,0)</f>
        <v>0</v>
      </c>
      <c r="K39" s="92">
        <f t="shared" si="4"/>
        <v>0</v>
      </c>
      <c r="L39" s="88">
        <f t="shared" si="5"/>
        <v>0</v>
      </c>
      <c r="M39" s="93"/>
      <c r="P39" s="66" t="s">
        <v>300</v>
      </c>
      <c r="Q39" s="55">
        <f t="shared" si="12"/>
        <v>19946.41</v>
      </c>
      <c r="R39" s="55">
        <f t="shared" si="13"/>
        <v>0</v>
      </c>
      <c r="S39" s="56">
        <f t="shared" si="14"/>
        <v>19946.41</v>
      </c>
      <c r="T39" s="57">
        <f t="shared" si="15"/>
        <v>0.19946410000000001</v>
      </c>
    </row>
    <row r="40" spans="2:20" ht="17.25" customHeight="1" thickBot="1" x14ac:dyDescent="0.5">
      <c r="B40" s="58" t="s">
        <v>291</v>
      </c>
      <c r="C40" s="59"/>
      <c r="D40" s="59"/>
      <c r="E40" s="52">
        <f t="shared" si="16"/>
        <v>0</v>
      </c>
      <c r="F40" s="60">
        <f t="shared" si="2"/>
        <v>0</v>
      </c>
      <c r="G40" s="59"/>
      <c r="H40" s="59"/>
      <c r="I40" s="62">
        <f t="shared" si="10"/>
        <v>0</v>
      </c>
      <c r="J40" s="63">
        <f t="shared" si="17"/>
        <v>0</v>
      </c>
      <c r="K40" s="64">
        <f t="shared" si="4"/>
        <v>0</v>
      </c>
      <c r="L40" s="52">
        <f t="shared" si="5"/>
        <v>0</v>
      </c>
      <c r="M40" s="65"/>
      <c r="P40" s="66" t="s">
        <v>302</v>
      </c>
      <c r="Q40" s="55">
        <f t="shared" si="12"/>
        <v>0</v>
      </c>
      <c r="R40" s="55">
        <f t="shared" si="13"/>
        <v>0</v>
      </c>
      <c r="S40" s="56">
        <f t="shared" si="14"/>
        <v>0</v>
      </c>
      <c r="T40" s="57">
        <f t="shared" si="15"/>
        <v>0</v>
      </c>
    </row>
    <row r="41" spans="2:20" ht="17.25" customHeight="1" thickBot="1" x14ac:dyDescent="0.5">
      <c r="B41" s="58" t="s">
        <v>293</v>
      </c>
      <c r="C41" s="59"/>
      <c r="D41" s="59"/>
      <c r="E41" s="52"/>
      <c r="F41" s="60"/>
      <c r="G41" s="59"/>
      <c r="H41" s="59"/>
      <c r="I41" s="62"/>
      <c r="J41" s="63"/>
      <c r="K41" s="64"/>
      <c r="L41" s="52"/>
      <c r="M41" s="65"/>
      <c r="P41" s="66" t="s">
        <v>304</v>
      </c>
      <c r="Q41" s="55">
        <f t="shared" si="12"/>
        <v>0</v>
      </c>
      <c r="R41" s="55">
        <f t="shared" si="13"/>
        <v>0</v>
      </c>
      <c r="S41" s="56">
        <f t="shared" si="14"/>
        <v>0</v>
      </c>
      <c r="T41" s="57">
        <f t="shared" si="15"/>
        <v>0</v>
      </c>
    </row>
    <row r="42" spans="2:20" ht="17.25" customHeight="1" thickBot="1" x14ac:dyDescent="0.5">
      <c r="B42" s="58" t="s">
        <v>295</v>
      </c>
      <c r="C42" s="59"/>
      <c r="D42" s="59"/>
      <c r="E42" s="52">
        <f t="shared" si="16"/>
        <v>0</v>
      </c>
      <c r="F42" s="60">
        <f t="shared" si="2"/>
        <v>0</v>
      </c>
      <c r="G42" s="59"/>
      <c r="H42" s="59"/>
      <c r="I42" s="62">
        <f t="shared" si="10"/>
        <v>0</v>
      </c>
      <c r="J42" s="63">
        <f t="shared" si="17"/>
        <v>0</v>
      </c>
      <c r="K42" s="64">
        <f t="shared" si="4"/>
        <v>0</v>
      </c>
      <c r="L42" s="52">
        <f t="shared" si="5"/>
        <v>0</v>
      </c>
      <c r="M42" s="65"/>
      <c r="P42" s="66" t="s">
        <v>306</v>
      </c>
      <c r="Q42" s="55">
        <f t="shared" si="12"/>
        <v>0</v>
      </c>
      <c r="R42" s="55">
        <f t="shared" si="13"/>
        <v>0</v>
      </c>
      <c r="S42" s="56">
        <f t="shared" si="14"/>
        <v>0</v>
      </c>
      <c r="T42" s="57">
        <f t="shared" si="15"/>
        <v>0</v>
      </c>
    </row>
    <row r="43" spans="2:20" ht="17.25" customHeight="1" thickBot="1" x14ac:dyDescent="0.5">
      <c r="B43" s="58" t="s">
        <v>297</v>
      </c>
      <c r="C43" s="59">
        <v>-100</v>
      </c>
      <c r="D43" s="59">
        <v>74</v>
      </c>
      <c r="E43" s="52">
        <f t="shared" si="16"/>
        <v>-7400</v>
      </c>
      <c r="F43" s="60">
        <f t="shared" si="2"/>
        <v>-7.3999999999999996E-2</v>
      </c>
      <c r="G43" s="59">
        <v>5</v>
      </c>
      <c r="H43" s="59">
        <v>71.024470000000008</v>
      </c>
      <c r="I43" s="62">
        <f t="shared" si="10"/>
        <v>-297.5529999999992</v>
      </c>
      <c r="J43" s="63">
        <f t="shared" si="17"/>
        <v>-4.1894434411126079E-2</v>
      </c>
      <c r="K43" s="64">
        <f t="shared" si="4"/>
        <v>0</v>
      </c>
      <c r="L43" s="52">
        <f t="shared" si="5"/>
        <v>-7400</v>
      </c>
      <c r="M43" s="65"/>
      <c r="P43" s="66" t="s">
        <v>308</v>
      </c>
      <c r="Q43" s="55">
        <f t="shared" si="12"/>
        <v>0</v>
      </c>
      <c r="R43" s="55">
        <f t="shared" si="13"/>
        <v>0</v>
      </c>
      <c r="S43" s="56">
        <f t="shared" si="14"/>
        <v>0</v>
      </c>
      <c r="T43" s="57">
        <f t="shared" si="15"/>
        <v>0</v>
      </c>
    </row>
    <row r="44" spans="2:20" ht="17.25" customHeight="1" thickBot="1" x14ac:dyDescent="0.5">
      <c r="B44" s="58" t="s">
        <v>299</v>
      </c>
      <c r="C44" s="59">
        <f>-33-24</f>
        <v>-57</v>
      </c>
      <c r="D44" s="59">
        <v>282.48</v>
      </c>
      <c r="E44" s="52">
        <f t="shared" si="16"/>
        <v>-16101.36</v>
      </c>
      <c r="F44" s="60">
        <f t="shared" si="2"/>
        <v>-0.16101360000000001</v>
      </c>
      <c r="G44" s="59">
        <v>6</v>
      </c>
      <c r="H44" s="59">
        <v>263.88900000000001</v>
      </c>
      <c r="I44" s="62">
        <f t="shared" si="10"/>
        <v>-1059.6870000000004</v>
      </c>
      <c r="J44" s="63">
        <f t="shared" si="17"/>
        <v>-7.0450075599968201E-2</v>
      </c>
      <c r="K44" s="64">
        <f t="shared" si="4"/>
        <v>0</v>
      </c>
      <c r="L44" s="52">
        <f t="shared" si="5"/>
        <v>-16101.36</v>
      </c>
      <c r="M44" s="65"/>
      <c r="P44" s="72" t="s">
        <v>310</v>
      </c>
      <c r="Q44" s="55">
        <f t="shared" si="12"/>
        <v>0</v>
      </c>
      <c r="R44" s="55">
        <f t="shared" si="13"/>
        <v>0</v>
      </c>
      <c r="S44" s="56">
        <f t="shared" si="14"/>
        <v>0</v>
      </c>
      <c r="T44" s="57">
        <f t="shared" si="15"/>
        <v>0</v>
      </c>
    </row>
    <row r="45" spans="2:20" ht="17.25" customHeight="1" thickBot="1" x14ac:dyDescent="0.5">
      <c r="B45" s="58" t="s">
        <v>301</v>
      </c>
      <c r="C45" s="59"/>
      <c r="D45" s="59"/>
      <c r="E45" s="52">
        <f t="shared" si="16"/>
        <v>0</v>
      </c>
      <c r="F45" s="60">
        <f t="shared" si="2"/>
        <v>0</v>
      </c>
      <c r="G45" s="59"/>
      <c r="H45" s="59"/>
      <c r="I45" s="62">
        <f t="shared" si="10"/>
        <v>0</v>
      </c>
      <c r="J45" s="63">
        <f t="shared" si="17"/>
        <v>0</v>
      </c>
      <c r="K45" s="64">
        <f t="shared" si="4"/>
        <v>0</v>
      </c>
      <c r="L45" s="52">
        <f t="shared" si="5"/>
        <v>0</v>
      </c>
      <c r="M45" s="65"/>
      <c r="P45" s="72" t="s">
        <v>271</v>
      </c>
      <c r="Q45" s="55">
        <f t="shared" si="12"/>
        <v>27171.25</v>
      </c>
      <c r="R45" s="55">
        <f t="shared" si="13"/>
        <v>-23501.360000000001</v>
      </c>
      <c r="S45" s="56">
        <f>R45+Q45</f>
        <v>3669.8899999999994</v>
      </c>
      <c r="T45" s="57">
        <f>S45/100000</f>
        <v>3.6698899999999993E-2</v>
      </c>
    </row>
    <row r="46" spans="2:20" ht="17.25" customHeight="1" x14ac:dyDescent="0.45">
      <c r="B46" s="58" t="s">
        <v>303</v>
      </c>
      <c r="C46" s="59"/>
      <c r="D46" s="59"/>
      <c r="E46" s="52">
        <f t="shared" si="16"/>
        <v>0</v>
      </c>
      <c r="F46" s="60">
        <f t="shared" si="2"/>
        <v>0</v>
      </c>
      <c r="G46" s="59"/>
      <c r="H46" s="59"/>
      <c r="I46" s="62">
        <f t="shared" si="10"/>
        <v>0</v>
      </c>
      <c r="J46" s="63">
        <f t="shared" si="17"/>
        <v>0</v>
      </c>
      <c r="K46" s="64">
        <f t="shared" si="4"/>
        <v>0</v>
      </c>
      <c r="L46" s="52">
        <f t="shared" si="5"/>
        <v>0</v>
      </c>
      <c r="M46" s="65"/>
    </row>
    <row r="47" spans="2:20" ht="17.25" customHeight="1" x14ac:dyDescent="0.45">
      <c r="B47" s="58" t="s">
        <v>305</v>
      </c>
      <c r="C47" s="59"/>
      <c r="D47" s="59"/>
      <c r="E47" s="52">
        <f t="shared" si="16"/>
        <v>0</v>
      </c>
      <c r="F47" s="60">
        <f t="shared" si="2"/>
        <v>0</v>
      </c>
      <c r="G47" s="59"/>
      <c r="H47" s="59"/>
      <c r="I47" s="62">
        <f t="shared" si="10"/>
        <v>0</v>
      </c>
      <c r="J47" s="63">
        <f t="shared" si="17"/>
        <v>0</v>
      </c>
      <c r="K47" s="64">
        <f t="shared" si="4"/>
        <v>0</v>
      </c>
      <c r="L47" s="52">
        <f t="shared" si="5"/>
        <v>0</v>
      </c>
      <c r="M47" s="65"/>
    </row>
    <row r="48" spans="2:20" ht="17.25" customHeight="1" x14ac:dyDescent="0.45">
      <c r="B48" s="58" t="s">
        <v>307</v>
      </c>
      <c r="C48" s="59"/>
      <c r="D48" s="59"/>
      <c r="E48" s="52">
        <f t="shared" si="16"/>
        <v>0</v>
      </c>
      <c r="F48" s="60">
        <f t="shared" si="2"/>
        <v>0</v>
      </c>
      <c r="G48" s="59"/>
      <c r="H48" s="59"/>
      <c r="I48" s="62">
        <f t="shared" si="10"/>
        <v>0</v>
      </c>
      <c r="J48" s="63">
        <f t="shared" si="17"/>
        <v>0</v>
      </c>
      <c r="K48" s="64">
        <f t="shared" si="4"/>
        <v>0</v>
      </c>
      <c r="L48" s="52">
        <f t="shared" si="5"/>
        <v>0</v>
      </c>
      <c r="M48" s="65"/>
    </row>
    <row r="49" spans="2:16" ht="17.25" customHeight="1" x14ac:dyDescent="0.45">
      <c r="B49" s="58" t="s">
        <v>309</v>
      </c>
      <c r="C49" s="59"/>
      <c r="D49" s="59"/>
      <c r="E49" s="52">
        <f t="shared" si="16"/>
        <v>0</v>
      </c>
      <c r="F49" s="60">
        <f t="shared" si="2"/>
        <v>0</v>
      </c>
      <c r="G49" s="59"/>
      <c r="H49" s="59"/>
      <c r="I49" s="62">
        <f t="shared" si="10"/>
        <v>0</v>
      </c>
      <c r="J49" s="63">
        <f t="shared" si="17"/>
        <v>0</v>
      </c>
      <c r="K49" s="64">
        <f t="shared" si="4"/>
        <v>0</v>
      </c>
      <c r="L49" s="52">
        <f t="shared" si="5"/>
        <v>0</v>
      </c>
      <c r="M49" s="65"/>
    </row>
    <row r="50" spans="2:16" ht="17.25" customHeight="1" thickBot="1" x14ac:dyDescent="0.5">
      <c r="B50" s="94" t="s">
        <v>310</v>
      </c>
      <c r="C50" s="95"/>
      <c r="D50" s="97"/>
      <c r="E50" s="69">
        <f t="shared" si="16"/>
        <v>0</v>
      </c>
      <c r="F50" s="96">
        <f t="shared" si="2"/>
        <v>0</v>
      </c>
      <c r="G50" s="95"/>
      <c r="H50" s="97"/>
      <c r="I50" s="98">
        <f>(D50-H50)*C50</f>
        <v>0</v>
      </c>
      <c r="J50" s="99">
        <f>IF(C50&lt;0,(H50-D50)/H50,0)</f>
        <v>0</v>
      </c>
      <c r="K50" s="100">
        <f t="shared" si="4"/>
        <v>0</v>
      </c>
      <c r="L50" s="69">
        <f t="shared" si="5"/>
        <v>0</v>
      </c>
      <c r="M50" s="101"/>
    </row>
    <row r="51" spans="2:16" ht="14.65" thickBot="1" x14ac:dyDescent="0.5">
      <c r="B51" s="102"/>
      <c r="I51" s="220">
        <f>SUM(I39:I50)</f>
        <v>-1357.2399999999996</v>
      </c>
      <c r="J51" s="21"/>
      <c r="K51" s="83">
        <f>SUM(K17:K50)</f>
        <v>27171.25</v>
      </c>
      <c r="L51" s="103">
        <f>SUM(L17:L50)</f>
        <v>-23501.360000000001</v>
      </c>
      <c r="M51" s="104">
        <f>SUM(M17:M50)</f>
        <v>0</v>
      </c>
      <c r="N51" s="38"/>
      <c r="O51" s="38"/>
      <c r="P51" s="38"/>
    </row>
    <row r="52" spans="2:16" ht="14.65" thickBot="1" x14ac:dyDescent="0.5">
      <c r="E52" s="105"/>
      <c r="F52" s="106"/>
      <c r="G52" s="107"/>
      <c r="I52" s="24"/>
      <c r="J52" s="21"/>
      <c r="M52" s="38"/>
      <c r="N52" s="38"/>
      <c r="O52" s="38"/>
      <c r="P52" s="38"/>
    </row>
    <row r="53" spans="2:16" ht="14.65" thickBot="1" x14ac:dyDescent="0.5">
      <c r="D53" s="107" t="s">
        <v>271</v>
      </c>
      <c r="E53" s="219">
        <f>SUM(E17:E50)</f>
        <v>3669.8899999999994</v>
      </c>
      <c r="F53" s="106"/>
      <c r="G53" s="107"/>
      <c r="I53" s="220">
        <f>I51+I38</f>
        <v>-954.63763499999982</v>
      </c>
      <c r="J53" s="21"/>
      <c r="M53" s="38"/>
      <c r="O53" s="17"/>
    </row>
    <row r="54" spans="2:16" x14ac:dyDescent="0.45">
      <c r="E54" s="21"/>
      <c r="F54" s="106"/>
      <c r="G54" s="107"/>
      <c r="J54" s="21"/>
      <c r="M54" s="38"/>
      <c r="N54" s="38"/>
      <c r="O54" s="38"/>
    </row>
    <row r="55" spans="2:16" x14ac:dyDescent="0.45">
      <c r="E55" s="21"/>
      <c r="F55" s="106"/>
      <c r="G55" s="107"/>
      <c r="J55" s="21"/>
      <c r="M55" s="38"/>
      <c r="N55" s="38"/>
      <c r="O55" s="38"/>
    </row>
    <row r="56" spans="2:16" x14ac:dyDescent="0.45">
      <c r="E56" s="21"/>
      <c r="F56" s="106"/>
      <c r="G56" s="107"/>
      <c r="J56" s="21"/>
      <c r="M56" s="38"/>
      <c r="N56" s="108"/>
      <c r="O56" s="38"/>
    </row>
    <row r="57" spans="2:16" x14ac:dyDescent="0.45">
      <c r="E57" s="21"/>
      <c r="F57" s="106"/>
      <c r="G57" s="107"/>
      <c r="J57" s="21"/>
      <c r="L57" s="38"/>
      <c r="M57" s="38"/>
      <c r="N57" s="17"/>
      <c r="O57" s="17"/>
    </row>
    <row r="58" spans="2:16" x14ac:dyDescent="0.45">
      <c r="E58" s="21"/>
      <c r="F58" s="106"/>
      <c r="G58" s="107"/>
      <c r="J58" s="21"/>
      <c r="M58" s="38"/>
      <c r="N58" s="17"/>
      <c r="O58" s="17"/>
    </row>
    <row r="59" spans="2:16" x14ac:dyDescent="0.45">
      <c r="E59" s="21"/>
      <c r="F59" s="106"/>
      <c r="G59" s="107"/>
      <c r="J59" s="21"/>
      <c r="M59" s="38"/>
      <c r="N59" s="108"/>
    </row>
    <row r="60" spans="2:16" x14ac:dyDescent="0.45">
      <c r="E60" s="21"/>
      <c r="F60" s="106"/>
      <c r="G60" s="107"/>
      <c r="J60" s="21"/>
      <c r="M60" s="38"/>
      <c r="N60" s="109"/>
    </row>
    <row r="61" spans="2:16" x14ac:dyDescent="0.45">
      <c r="C61" s="110"/>
      <c r="E61" s="21"/>
      <c r="F61" s="106"/>
      <c r="G61" s="107"/>
      <c r="J61" s="21"/>
      <c r="N61" s="109" t="s">
        <v>312</v>
      </c>
    </row>
    <row r="62" spans="2:16" x14ac:dyDescent="0.45">
      <c r="E62" s="21"/>
      <c r="F62" s="106"/>
      <c r="G62" s="107"/>
      <c r="J62" s="21"/>
    </row>
    <row r="64" spans="2:16" x14ac:dyDescent="0.45">
      <c r="B64" s="215" t="s">
        <v>411</v>
      </c>
      <c r="C64" s="216"/>
      <c r="D64" s="217" t="s">
        <v>412</v>
      </c>
      <c r="E64" s="218"/>
    </row>
    <row r="65" spans="2:25" x14ac:dyDescent="0.45">
      <c r="B65" s="215"/>
      <c r="C65" s="216"/>
      <c r="D65" s="217" t="s">
        <v>413</v>
      </c>
      <c r="E65" s="218"/>
      <c r="H65" s="17" t="s">
        <v>313</v>
      </c>
    </row>
    <row r="66" spans="2:25" s="32" customFormat="1" ht="14.65" thickBot="1" x14ac:dyDescent="0.5">
      <c r="B66" s="111"/>
      <c r="C66" s="111"/>
      <c r="D66" s="111"/>
      <c r="E66" s="112"/>
      <c r="F66" s="113"/>
      <c r="G66" s="111"/>
      <c r="H66" s="114"/>
      <c r="I66" s="111"/>
      <c r="J66" s="111"/>
      <c r="Y66" s="115"/>
    </row>
    <row r="67" spans="2:25" ht="30.75" x14ac:dyDescent="0.5">
      <c r="B67" s="205" t="s">
        <v>1</v>
      </c>
      <c r="C67" s="206" t="s">
        <v>263</v>
      </c>
      <c r="D67" s="206" t="s">
        <v>314</v>
      </c>
      <c r="E67" s="207" t="s">
        <v>278</v>
      </c>
      <c r="F67" s="208" t="s">
        <v>315</v>
      </c>
      <c r="G67" s="206" t="s">
        <v>316</v>
      </c>
      <c r="H67" s="206" t="s">
        <v>317</v>
      </c>
      <c r="I67" s="206" t="s">
        <v>318</v>
      </c>
      <c r="J67" s="206" t="s">
        <v>274</v>
      </c>
      <c r="K67" s="209" t="s">
        <v>315</v>
      </c>
      <c r="L67" s="32"/>
      <c r="O67" s="116"/>
    </row>
    <row r="68" spans="2:25" x14ac:dyDescent="0.45">
      <c r="B68" s="210">
        <v>43553</v>
      </c>
      <c r="C68" s="59" t="s">
        <v>439</v>
      </c>
      <c r="D68" s="59" t="s">
        <v>319</v>
      </c>
      <c r="E68" s="201">
        <v>35</v>
      </c>
      <c r="F68" s="211">
        <v>140</v>
      </c>
      <c r="G68" s="212">
        <f t="shared" ref="G68" si="18">F68*E68</f>
        <v>4900</v>
      </c>
      <c r="H68" s="61">
        <f t="shared" ref="H68" si="19">G68*0.0005</f>
        <v>2.4500000000000002</v>
      </c>
      <c r="I68" s="52">
        <f t="shared" ref="I68" si="20">IF(D68="B",-(G68+H68),G68-H68)</f>
        <v>-4902.45</v>
      </c>
      <c r="J68" s="213">
        <f t="shared" ref="J68" si="21">I68+J69</f>
        <v>-1028.790571249986</v>
      </c>
      <c r="K68" s="214">
        <f t="shared" ref="K68" si="22">ABS(I68)/E68</f>
        <v>140.07</v>
      </c>
      <c r="L68" s="32"/>
      <c r="O68" s="116"/>
    </row>
    <row r="69" spans="2:25" x14ac:dyDescent="0.45">
      <c r="B69" s="210">
        <v>43553</v>
      </c>
      <c r="C69" s="59" t="s">
        <v>310</v>
      </c>
      <c r="D69" s="59" t="s">
        <v>319</v>
      </c>
      <c r="E69" s="201">
        <v>47</v>
      </c>
      <c r="F69" s="211">
        <v>282.45</v>
      </c>
      <c r="G69" s="212">
        <f t="shared" ref="G69:G126" si="23">F69*E69</f>
        <v>13275.15</v>
      </c>
      <c r="H69" s="61">
        <f t="shared" ref="H69:H73" si="24">G69*0.0005</f>
        <v>6.637575</v>
      </c>
      <c r="I69" s="52">
        <f t="shared" ref="I69:I126" si="25">IF(D69="B",-(G69+H69),G69-H69)</f>
        <v>-13281.787575</v>
      </c>
      <c r="J69" s="213">
        <f t="shared" ref="J69:J126" si="26">I69+J70</f>
        <v>3873.6594287500138</v>
      </c>
      <c r="K69" s="214">
        <f t="shared" ref="K69:K126" si="27">ABS(I69)/E69</f>
        <v>282.59122500000001</v>
      </c>
      <c r="L69" s="32"/>
      <c r="O69" s="116"/>
    </row>
    <row r="70" spans="2:25" x14ac:dyDescent="0.45">
      <c r="B70" s="210">
        <v>43553</v>
      </c>
      <c r="C70" s="59" t="s">
        <v>322</v>
      </c>
      <c r="D70" s="59" t="s">
        <v>319</v>
      </c>
      <c r="E70" s="201">
        <v>86</v>
      </c>
      <c r="F70" s="211">
        <v>89.19</v>
      </c>
      <c r="G70" s="212">
        <f t="shared" si="23"/>
        <v>7670.34</v>
      </c>
      <c r="H70" s="61">
        <f t="shared" si="24"/>
        <v>3.8351700000000002</v>
      </c>
      <c r="I70" s="52">
        <f t="shared" si="25"/>
        <v>-7674.1751700000004</v>
      </c>
      <c r="J70" s="213">
        <f t="shared" si="26"/>
        <v>17155.447003750014</v>
      </c>
      <c r="K70" s="214">
        <f t="shared" si="27"/>
        <v>89.234594999999999</v>
      </c>
      <c r="L70" s="32"/>
      <c r="O70" s="116"/>
    </row>
    <row r="71" spans="2:25" x14ac:dyDescent="0.45">
      <c r="B71" s="210">
        <v>43553</v>
      </c>
      <c r="C71" s="59" t="s">
        <v>323</v>
      </c>
      <c r="D71" s="59" t="s">
        <v>321</v>
      </c>
      <c r="E71" s="201">
        <v>74</v>
      </c>
      <c r="F71" s="211">
        <v>103.84</v>
      </c>
      <c r="G71" s="212">
        <f t="shared" si="23"/>
        <v>7684.16</v>
      </c>
      <c r="H71" s="61">
        <f t="shared" si="24"/>
        <v>3.8420800000000002</v>
      </c>
      <c r="I71" s="52">
        <f t="shared" si="25"/>
        <v>7680.3179199999995</v>
      </c>
      <c r="J71" s="213">
        <f t="shared" si="26"/>
        <v>24829.622173750016</v>
      </c>
      <c r="K71" s="214">
        <f t="shared" si="27"/>
        <v>103.78807999999999</v>
      </c>
      <c r="L71" s="32"/>
      <c r="O71" s="116"/>
    </row>
    <row r="72" spans="2:25" x14ac:dyDescent="0.45">
      <c r="B72" s="210">
        <v>43553</v>
      </c>
      <c r="C72" s="59" t="s">
        <v>324</v>
      </c>
      <c r="D72" s="59" t="s">
        <v>321</v>
      </c>
      <c r="E72" s="201">
        <v>77</v>
      </c>
      <c r="F72" s="211">
        <v>92.18</v>
      </c>
      <c r="G72" s="212">
        <f t="shared" si="23"/>
        <v>7097.8600000000006</v>
      </c>
      <c r="H72" s="61">
        <f t="shared" si="24"/>
        <v>3.5489300000000004</v>
      </c>
      <c r="I72" s="52">
        <f t="shared" si="25"/>
        <v>7094.3110700000007</v>
      </c>
      <c r="J72" s="213">
        <f t="shared" si="26"/>
        <v>17149.304253750019</v>
      </c>
      <c r="K72" s="214">
        <f t="shared" si="27"/>
        <v>92.133910000000014</v>
      </c>
      <c r="L72" s="32"/>
      <c r="O72" s="116"/>
    </row>
    <row r="73" spans="2:25" x14ac:dyDescent="0.45">
      <c r="B73" s="210">
        <v>43553</v>
      </c>
      <c r="C73" s="59" t="s">
        <v>325</v>
      </c>
      <c r="D73" s="59" t="s">
        <v>321</v>
      </c>
      <c r="E73" s="201">
        <v>54</v>
      </c>
      <c r="F73" s="211">
        <v>119</v>
      </c>
      <c r="G73" s="212">
        <f t="shared" si="23"/>
        <v>6426</v>
      </c>
      <c r="H73" s="61">
        <f t="shared" si="24"/>
        <v>3.2130000000000001</v>
      </c>
      <c r="I73" s="52">
        <f t="shared" si="25"/>
        <v>6422.7870000000003</v>
      </c>
      <c r="J73" s="213">
        <f t="shared" si="26"/>
        <v>10054.993183750017</v>
      </c>
      <c r="K73" s="214">
        <f t="shared" si="27"/>
        <v>118.9405</v>
      </c>
      <c r="L73" s="32"/>
      <c r="O73" s="116"/>
    </row>
    <row r="74" spans="2:25" x14ac:dyDescent="0.45">
      <c r="B74" s="210">
        <v>43539</v>
      </c>
      <c r="C74" s="59" t="s">
        <v>326</v>
      </c>
      <c r="D74" s="59" t="s">
        <v>321</v>
      </c>
      <c r="E74" s="201">
        <f>0.32*54</f>
        <v>17.28</v>
      </c>
      <c r="F74" s="211">
        <v>1</v>
      </c>
      <c r="G74" s="212">
        <f t="shared" si="23"/>
        <v>17.28</v>
      </c>
      <c r="H74" s="61"/>
      <c r="I74" s="52">
        <f t="shared" si="25"/>
        <v>17.28</v>
      </c>
      <c r="J74" s="213">
        <f t="shared" si="26"/>
        <v>3632.2061837500169</v>
      </c>
      <c r="K74" s="214">
        <f t="shared" si="27"/>
        <v>1</v>
      </c>
      <c r="L74" s="32"/>
      <c r="O74" s="116"/>
    </row>
    <row r="75" spans="2:25" x14ac:dyDescent="0.45">
      <c r="B75" s="210">
        <v>43539</v>
      </c>
      <c r="C75" s="59" t="s">
        <v>327</v>
      </c>
      <c r="D75" s="59" t="s">
        <v>319</v>
      </c>
      <c r="E75" s="201">
        <f>(1.2333*104)+(0.2334*100)</f>
        <v>151.60320000000002</v>
      </c>
      <c r="F75" s="211">
        <v>1</v>
      </c>
      <c r="G75" s="212">
        <f t="shared" si="23"/>
        <v>151.60320000000002</v>
      </c>
      <c r="H75" s="61"/>
      <c r="I75" s="52">
        <f t="shared" si="25"/>
        <v>-151.60320000000002</v>
      </c>
      <c r="J75" s="213">
        <f t="shared" si="26"/>
        <v>3614.9261837500167</v>
      </c>
      <c r="K75" s="214">
        <f t="shared" si="27"/>
        <v>1</v>
      </c>
      <c r="L75" s="32"/>
      <c r="O75" s="116"/>
    </row>
    <row r="76" spans="2:25" x14ac:dyDescent="0.45">
      <c r="B76" s="210">
        <v>43531</v>
      </c>
      <c r="C76" s="59" t="s">
        <v>328</v>
      </c>
      <c r="D76" s="59" t="s">
        <v>321</v>
      </c>
      <c r="E76" s="201">
        <v>164</v>
      </c>
      <c r="F76" s="211">
        <v>42.89</v>
      </c>
      <c r="G76" s="212">
        <f t="shared" si="23"/>
        <v>7033.96</v>
      </c>
      <c r="H76" s="61">
        <f t="shared" ref="H76:H125" si="28">G76*0.0005</f>
        <v>3.5169800000000002</v>
      </c>
      <c r="I76" s="52">
        <f t="shared" si="25"/>
        <v>7030.4430199999997</v>
      </c>
      <c r="J76" s="213">
        <f t="shared" si="26"/>
        <v>3766.5293837500167</v>
      </c>
      <c r="K76" s="214">
        <f t="shared" si="27"/>
        <v>42.868555000000001</v>
      </c>
      <c r="L76" s="32"/>
      <c r="O76" s="116"/>
    </row>
    <row r="77" spans="2:25" x14ac:dyDescent="0.45">
      <c r="B77" s="210">
        <v>43531</v>
      </c>
      <c r="C77" s="59" t="s">
        <v>310</v>
      </c>
      <c r="D77" s="59" t="s">
        <v>319</v>
      </c>
      <c r="E77" s="201">
        <v>50</v>
      </c>
      <c r="F77" s="211">
        <v>275.13</v>
      </c>
      <c r="G77" s="212">
        <f t="shared" si="23"/>
        <v>13756.5</v>
      </c>
      <c r="H77" s="61">
        <f t="shared" si="28"/>
        <v>6.8782500000000004</v>
      </c>
      <c r="I77" s="52">
        <f t="shared" si="25"/>
        <v>-13763.37825</v>
      </c>
      <c r="J77" s="213">
        <f t="shared" si="26"/>
        <v>-3263.913636249983</v>
      </c>
      <c r="K77" s="214">
        <f t="shared" si="27"/>
        <v>275.26756499999999</v>
      </c>
      <c r="L77" s="32"/>
      <c r="O77" s="116"/>
    </row>
    <row r="78" spans="2:25" x14ac:dyDescent="0.45">
      <c r="B78" s="210">
        <v>43531</v>
      </c>
      <c r="C78" s="59" t="s">
        <v>329</v>
      </c>
      <c r="D78" s="59" t="s">
        <v>321</v>
      </c>
      <c r="E78" s="201">
        <v>92</v>
      </c>
      <c r="F78" s="211">
        <v>77</v>
      </c>
      <c r="G78" s="212">
        <f t="shared" si="23"/>
        <v>7084</v>
      </c>
      <c r="H78" s="61">
        <f t="shared" si="28"/>
        <v>3.5420000000000003</v>
      </c>
      <c r="I78" s="52">
        <f t="shared" si="25"/>
        <v>7080.4579999999996</v>
      </c>
      <c r="J78" s="213">
        <f t="shared" si="26"/>
        <v>10499.464613750017</v>
      </c>
      <c r="K78" s="214">
        <f t="shared" si="27"/>
        <v>76.961500000000001</v>
      </c>
      <c r="L78" s="32"/>
      <c r="O78" s="116"/>
    </row>
    <row r="79" spans="2:25" x14ac:dyDescent="0.45">
      <c r="B79" s="210">
        <v>43529</v>
      </c>
      <c r="C79" s="59" t="s">
        <v>299</v>
      </c>
      <c r="D79" s="59" t="s">
        <v>319</v>
      </c>
      <c r="E79" s="201">
        <v>104</v>
      </c>
      <c r="F79" s="211">
        <v>75.569999999999993</v>
      </c>
      <c r="G79" s="212">
        <f t="shared" si="23"/>
        <v>7859.2799999999988</v>
      </c>
      <c r="H79" s="61">
        <f t="shared" si="28"/>
        <v>3.9296399999999996</v>
      </c>
      <c r="I79" s="52">
        <f t="shared" si="25"/>
        <v>-7863.2096399999991</v>
      </c>
      <c r="J79" s="213">
        <f t="shared" si="26"/>
        <v>3419.0066137500162</v>
      </c>
      <c r="K79" s="214">
        <f t="shared" si="27"/>
        <v>75.607784999999993</v>
      </c>
      <c r="L79" s="32"/>
      <c r="O79" s="116"/>
    </row>
    <row r="80" spans="2:25" x14ac:dyDescent="0.45">
      <c r="B80" s="210">
        <v>43529</v>
      </c>
      <c r="C80" s="59" t="s">
        <v>291</v>
      </c>
      <c r="D80" s="59" t="s">
        <v>319</v>
      </c>
      <c r="E80" s="201">
        <v>64</v>
      </c>
      <c r="F80" s="211">
        <v>111.03</v>
      </c>
      <c r="G80" s="212">
        <f t="shared" si="23"/>
        <v>7105.92</v>
      </c>
      <c r="H80" s="61">
        <f t="shared" si="28"/>
        <v>3.5529600000000001</v>
      </c>
      <c r="I80" s="52">
        <f t="shared" si="25"/>
        <v>-7109.4729600000001</v>
      </c>
      <c r="J80" s="213">
        <f t="shared" si="26"/>
        <v>11282.216253750015</v>
      </c>
      <c r="K80" s="214">
        <f t="shared" si="27"/>
        <v>111.085515</v>
      </c>
      <c r="L80" s="32"/>
      <c r="O80" s="116"/>
    </row>
    <row r="81" spans="2:16" x14ac:dyDescent="0.45">
      <c r="B81" s="210">
        <v>43529</v>
      </c>
      <c r="C81" s="59" t="s">
        <v>330</v>
      </c>
      <c r="D81" s="59" t="s">
        <v>321</v>
      </c>
      <c r="E81" s="201">
        <v>222</v>
      </c>
      <c r="F81" s="211">
        <v>36.51</v>
      </c>
      <c r="G81" s="212">
        <f t="shared" si="23"/>
        <v>8105.2199999999993</v>
      </c>
      <c r="H81" s="61">
        <f t="shared" si="28"/>
        <v>4.0526099999999996</v>
      </c>
      <c r="I81" s="52">
        <f t="shared" si="25"/>
        <v>8101.1673899999996</v>
      </c>
      <c r="J81" s="213">
        <f t="shared" si="26"/>
        <v>18391.689213750014</v>
      </c>
      <c r="K81" s="214">
        <f t="shared" si="27"/>
        <v>36.491745000000002</v>
      </c>
      <c r="L81" s="32"/>
      <c r="O81" s="116"/>
    </row>
    <row r="82" spans="2:16" x14ac:dyDescent="0.45">
      <c r="B82" s="210">
        <v>43529</v>
      </c>
      <c r="C82" s="59" t="s">
        <v>331</v>
      </c>
      <c r="D82" s="59" t="s">
        <v>321</v>
      </c>
      <c r="E82" s="201">
        <v>59</v>
      </c>
      <c r="F82" s="211">
        <v>129.36000000000001</v>
      </c>
      <c r="G82" s="212">
        <f t="shared" si="23"/>
        <v>7632.2400000000007</v>
      </c>
      <c r="H82" s="61">
        <f t="shared" si="28"/>
        <v>3.8161200000000006</v>
      </c>
      <c r="I82" s="52">
        <f t="shared" si="25"/>
        <v>7628.4238800000003</v>
      </c>
      <c r="J82" s="213">
        <f t="shared" si="26"/>
        <v>10290.521823750016</v>
      </c>
      <c r="K82" s="214">
        <f t="shared" si="27"/>
        <v>129.29532</v>
      </c>
      <c r="L82" s="32"/>
      <c r="O82" s="116"/>
    </row>
    <row r="83" spans="2:16" x14ac:dyDescent="0.45">
      <c r="B83" s="210">
        <v>43524</v>
      </c>
      <c r="C83" s="59" t="s">
        <v>291</v>
      </c>
      <c r="D83" s="59" t="s">
        <v>321</v>
      </c>
      <c r="E83" s="201">
        <v>64</v>
      </c>
      <c r="F83" s="211">
        <v>110.81</v>
      </c>
      <c r="G83" s="212">
        <f t="shared" si="23"/>
        <v>7091.84</v>
      </c>
      <c r="H83" s="61">
        <f t="shared" si="28"/>
        <v>3.5459200000000002</v>
      </c>
      <c r="I83" s="52">
        <f t="shared" si="25"/>
        <v>7088.2940800000006</v>
      </c>
      <c r="J83" s="213">
        <f t="shared" si="26"/>
        <v>2662.0979437500146</v>
      </c>
      <c r="K83" s="214">
        <f t="shared" si="27"/>
        <v>110.75459500000001</v>
      </c>
      <c r="L83" s="32"/>
      <c r="O83" s="116"/>
    </row>
    <row r="84" spans="2:16" x14ac:dyDescent="0.45">
      <c r="B84" s="210">
        <v>43524</v>
      </c>
      <c r="C84" s="59" t="s">
        <v>301</v>
      </c>
      <c r="D84" s="59" t="s">
        <v>321</v>
      </c>
      <c r="E84" s="201">
        <v>100</v>
      </c>
      <c r="F84" s="211">
        <v>71.06</v>
      </c>
      <c r="G84" s="212">
        <f t="shared" si="23"/>
        <v>7106</v>
      </c>
      <c r="H84" s="61">
        <f t="shared" si="28"/>
        <v>3.5529999999999999</v>
      </c>
      <c r="I84" s="52">
        <f t="shared" si="25"/>
        <v>7102.4470000000001</v>
      </c>
      <c r="J84" s="213">
        <f t="shared" si="26"/>
        <v>-4426.196136249986</v>
      </c>
      <c r="K84" s="214">
        <f t="shared" si="27"/>
        <v>71.024470000000008</v>
      </c>
      <c r="L84" s="32"/>
      <c r="O84" s="116"/>
    </row>
    <row r="85" spans="2:16" x14ac:dyDescent="0.45">
      <c r="B85" s="210">
        <v>43524</v>
      </c>
      <c r="C85" s="59" t="s">
        <v>310</v>
      </c>
      <c r="D85" s="59" t="s">
        <v>319</v>
      </c>
      <c r="E85" s="201">
        <f>56+25+25</f>
        <v>106</v>
      </c>
      <c r="F85" s="211">
        <v>279.18</v>
      </c>
      <c r="G85" s="212">
        <f t="shared" si="23"/>
        <v>29593.08</v>
      </c>
      <c r="H85" s="61">
        <f t="shared" si="28"/>
        <v>14.796540000000002</v>
      </c>
      <c r="I85" s="52">
        <f t="shared" si="25"/>
        <v>-29607.876540000001</v>
      </c>
      <c r="J85" s="213">
        <f t="shared" si="26"/>
        <v>-11528.643136249986</v>
      </c>
      <c r="K85" s="214">
        <f t="shared" si="27"/>
        <v>279.31959000000001</v>
      </c>
      <c r="L85" s="32"/>
      <c r="O85" s="116"/>
    </row>
    <row r="86" spans="2:16" x14ac:dyDescent="0.45">
      <c r="B86" s="210">
        <v>43524</v>
      </c>
      <c r="C86" s="59" t="s">
        <v>332</v>
      </c>
      <c r="D86" s="59" t="s">
        <v>321</v>
      </c>
      <c r="E86" s="201">
        <v>57</v>
      </c>
      <c r="F86" s="211">
        <v>138.44999999999999</v>
      </c>
      <c r="G86" s="212">
        <f t="shared" si="23"/>
        <v>7891.65</v>
      </c>
      <c r="H86" s="61">
        <f t="shared" si="28"/>
        <v>3.9458249999999997</v>
      </c>
      <c r="I86" s="52">
        <f t="shared" si="25"/>
        <v>7887.7041749999999</v>
      </c>
      <c r="J86" s="213">
        <f t="shared" si="26"/>
        <v>18079.233403750015</v>
      </c>
      <c r="K86" s="214">
        <f t="shared" si="27"/>
        <v>138.380775</v>
      </c>
      <c r="L86" s="32"/>
      <c r="O86" s="116"/>
    </row>
    <row r="87" spans="2:16" x14ac:dyDescent="0.45">
      <c r="B87" s="210">
        <v>43524</v>
      </c>
      <c r="C87" s="59" t="s">
        <v>333</v>
      </c>
      <c r="D87" s="59" t="s">
        <v>321</v>
      </c>
      <c r="E87" s="201">
        <v>113</v>
      </c>
      <c r="F87" s="211">
        <v>69.41</v>
      </c>
      <c r="G87" s="212">
        <f t="shared" si="23"/>
        <v>7843.33</v>
      </c>
      <c r="H87" s="61">
        <f t="shared" si="28"/>
        <v>3.921665</v>
      </c>
      <c r="I87" s="52">
        <f t="shared" si="25"/>
        <v>7839.4083350000001</v>
      </c>
      <c r="J87" s="213">
        <f t="shared" si="26"/>
        <v>10191.529228750014</v>
      </c>
      <c r="K87" s="214">
        <f t="shared" si="27"/>
        <v>69.375294999999994</v>
      </c>
      <c r="L87" s="32"/>
      <c r="O87" s="116"/>
    </row>
    <row r="88" spans="2:16" x14ac:dyDescent="0.45">
      <c r="B88" s="210">
        <v>43523</v>
      </c>
      <c r="C88" s="59" t="s">
        <v>310</v>
      </c>
      <c r="D88" s="59" t="s">
        <v>319</v>
      </c>
      <c r="E88" s="201">
        <v>29</v>
      </c>
      <c r="F88" s="211">
        <v>279.33999999999997</v>
      </c>
      <c r="G88" s="212">
        <f t="shared" si="23"/>
        <v>8100.86</v>
      </c>
      <c r="H88" s="61">
        <f t="shared" si="28"/>
        <v>4.0504299999999995</v>
      </c>
      <c r="I88" s="52">
        <f t="shared" si="25"/>
        <v>-8104.9104299999999</v>
      </c>
      <c r="J88" s="213">
        <f t="shared" si="26"/>
        <v>2352.1208937500141</v>
      </c>
      <c r="K88" s="214">
        <f t="shared" si="27"/>
        <v>279.47967</v>
      </c>
      <c r="L88" s="32"/>
      <c r="O88" s="116"/>
    </row>
    <row r="89" spans="2:16" x14ac:dyDescent="0.45">
      <c r="B89" s="210">
        <v>43523</v>
      </c>
      <c r="C89" s="59" t="s">
        <v>334</v>
      </c>
      <c r="D89" s="59" t="s">
        <v>321</v>
      </c>
      <c r="E89" s="201">
        <v>138</v>
      </c>
      <c r="F89" s="211">
        <v>59.8</v>
      </c>
      <c r="G89" s="212">
        <f t="shared" si="23"/>
        <v>8252.4</v>
      </c>
      <c r="H89" s="61">
        <f t="shared" si="28"/>
        <v>4.1261999999999999</v>
      </c>
      <c r="I89" s="52">
        <f t="shared" si="25"/>
        <v>8248.273799999999</v>
      </c>
      <c r="J89" s="213">
        <f t="shared" si="26"/>
        <v>10457.031323750014</v>
      </c>
      <c r="K89" s="214">
        <f t="shared" si="27"/>
        <v>59.770099999999992</v>
      </c>
      <c r="L89" s="32"/>
      <c r="O89" s="116"/>
    </row>
    <row r="90" spans="2:16" x14ac:dyDescent="0.45">
      <c r="B90" s="210">
        <v>43518</v>
      </c>
      <c r="C90" s="59" t="s">
        <v>323</v>
      </c>
      <c r="D90" s="59" t="s">
        <v>319</v>
      </c>
      <c r="E90" s="201">
        <v>74</v>
      </c>
      <c r="F90" s="211">
        <v>95.98</v>
      </c>
      <c r="G90" s="212">
        <f t="shared" si="23"/>
        <v>7102.52</v>
      </c>
      <c r="H90" s="61">
        <f t="shared" si="28"/>
        <v>3.5512600000000001</v>
      </c>
      <c r="I90" s="52">
        <f t="shared" si="25"/>
        <v>-7106.0712600000006</v>
      </c>
      <c r="J90" s="213">
        <f t="shared" si="26"/>
        <v>2208.757523750015</v>
      </c>
      <c r="K90" s="214">
        <f t="shared" si="27"/>
        <v>96.027990000000003</v>
      </c>
      <c r="L90" s="32"/>
      <c r="O90" s="116"/>
    </row>
    <row r="91" spans="2:16" x14ac:dyDescent="0.45">
      <c r="B91" s="210">
        <v>43518</v>
      </c>
      <c r="C91" s="59" t="s">
        <v>310</v>
      </c>
      <c r="D91" s="59" t="s">
        <v>321</v>
      </c>
      <c r="E91" s="201">
        <v>26</v>
      </c>
      <c r="F91" s="211">
        <v>279.14</v>
      </c>
      <c r="G91" s="212">
        <f t="shared" si="23"/>
        <v>7257.6399999999994</v>
      </c>
      <c r="H91" s="61">
        <f t="shared" si="28"/>
        <v>3.6288199999999997</v>
      </c>
      <c r="I91" s="52">
        <f t="shared" si="25"/>
        <v>7254.0111799999995</v>
      </c>
      <c r="J91" s="213">
        <f t="shared" si="26"/>
        <v>9314.8287837500156</v>
      </c>
      <c r="K91" s="214">
        <f t="shared" si="27"/>
        <v>279.00042999999999</v>
      </c>
      <c r="L91" s="32"/>
      <c r="O91" s="116"/>
    </row>
    <row r="92" spans="2:16" x14ac:dyDescent="0.45">
      <c r="B92" s="210">
        <v>43511</v>
      </c>
      <c r="C92" s="59" t="s">
        <v>310</v>
      </c>
      <c r="D92" s="59" t="s">
        <v>321</v>
      </c>
      <c r="E92" s="201">
        <v>128</v>
      </c>
      <c r="F92" s="211">
        <v>277.37</v>
      </c>
      <c r="G92" s="212">
        <f t="shared" si="23"/>
        <v>35503.360000000001</v>
      </c>
      <c r="H92" s="61">
        <f t="shared" si="28"/>
        <v>17.75168</v>
      </c>
      <c r="I92" s="52">
        <f t="shared" si="25"/>
        <v>35485.608319999999</v>
      </c>
      <c r="J92" s="213">
        <f t="shared" si="26"/>
        <v>2060.8176037500161</v>
      </c>
      <c r="K92" s="214">
        <f t="shared" si="27"/>
        <v>277.231315</v>
      </c>
      <c r="L92" s="32"/>
      <c r="O92" s="116"/>
      <c r="P92" s="108"/>
    </row>
    <row r="93" spans="2:16" x14ac:dyDescent="0.45">
      <c r="B93" s="210">
        <v>43511</v>
      </c>
      <c r="C93" s="59" t="s">
        <v>311</v>
      </c>
      <c r="D93" s="59" t="s">
        <v>319</v>
      </c>
      <c r="E93" s="201">
        <v>84.15</v>
      </c>
      <c r="F93" s="211">
        <v>84.15</v>
      </c>
      <c r="G93" s="212">
        <f t="shared" si="23"/>
        <v>7081.2225000000008</v>
      </c>
      <c r="H93" s="61">
        <f t="shared" si="28"/>
        <v>3.5406112500000004</v>
      </c>
      <c r="I93" s="52">
        <f t="shared" si="25"/>
        <v>-7084.7631112500012</v>
      </c>
      <c r="J93" s="213">
        <f t="shared" si="26"/>
        <v>-33424.790716249983</v>
      </c>
      <c r="K93" s="214">
        <f t="shared" si="27"/>
        <v>84.192075000000003</v>
      </c>
      <c r="L93" s="32"/>
      <c r="O93" s="116"/>
      <c r="P93" s="118"/>
    </row>
    <row r="94" spans="2:16" x14ac:dyDescent="0.45">
      <c r="B94" s="210">
        <v>43511</v>
      </c>
      <c r="C94" s="59" t="s">
        <v>331</v>
      </c>
      <c r="D94" s="59" t="s">
        <v>319</v>
      </c>
      <c r="E94" s="201">
        <v>59</v>
      </c>
      <c r="F94" s="211">
        <v>119.39</v>
      </c>
      <c r="G94" s="212">
        <f t="shared" si="23"/>
        <v>7044.01</v>
      </c>
      <c r="H94" s="61">
        <f t="shared" si="28"/>
        <v>3.5220050000000001</v>
      </c>
      <c r="I94" s="52">
        <f t="shared" si="25"/>
        <v>-7047.532005</v>
      </c>
      <c r="J94" s="213">
        <f t="shared" si="26"/>
        <v>-26340.027604999981</v>
      </c>
      <c r="K94" s="214">
        <f t="shared" si="27"/>
        <v>119.44969500000001</v>
      </c>
      <c r="L94" s="32"/>
      <c r="O94" s="116"/>
    </row>
    <row r="95" spans="2:16" x14ac:dyDescent="0.45">
      <c r="B95" s="210">
        <v>43511</v>
      </c>
      <c r="C95" s="59" t="s">
        <v>329</v>
      </c>
      <c r="D95" s="59" t="s">
        <v>319</v>
      </c>
      <c r="E95" s="201">
        <v>92</v>
      </c>
      <c r="F95" s="211">
        <v>76.8</v>
      </c>
      <c r="G95" s="212">
        <f t="shared" si="23"/>
        <v>7065.5999999999995</v>
      </c>
      <c r="H95" s="61">
        <f t="shared" si="28"/>
        <v>3.5327999999999999</v>
      </c>
      <c r="I95" s="52">
        <f t="shared" si="25"/>
        <v>-7069.1327999999994</v>
      </c>
      <c r="J95" s="213">
        <f t="shared" si="26"/>
        <v>-19292.49559999998</v>
      </c>
      <c r="K95" s="214">
        <f t="shared" si="27"/>
        <v>76.838399999999993</v>
      </c>
      <c r="L95" s="32"/>
      <c r="O95" s="116"/>
    </row>
    <row r="96" spans="2:16" x14ac:dyDescent="0.45">
      <c r="B96" s="210">
        <v>43511</v>
      </c>
      <c r="C96" s="59" t="s">
        <v>320</v>
      </c>
      <c r="D96" s="59" t="s">
        <v>319</v>
      </c>
      <c r="E96" s="201">
        <v>39</v>
      </c>
      <c r="F96" s="211">
        <v>182.47</v>
      </c>
      <c r="G96" s="212">
        <f t="shared" si="23"/>
        <v>7116.33</v>
      </c>
      <c r="H96" s="61">
        <f t="shared" si="28"/>
        <v>3.5581650000000002</v>
      </c>
      <c r="I96" s="52">
        <f t="shared" si="25"/>
        <v>-7119.8881650000003</v>
      </c>
      <c r="J96" s="213">
        <f t="shared" si="26"/>
        <v>-12223.362799999983</v>
      </c>
      <c r="K96" s="214">
        <f t="shared" si="27"/>
        <v>182.56123500000001</v>
      </c>
      <c r="L96" s="32"/>
      <c r="O96" s="116"/>
    </row>
    <row r="97" spans="2:15" x14ac:dyDescent="0.45">
      <c r="B97" s="210">
        <v>43511</v>
      </c>
      <c r="C97" s="59" t="s">
        <v>324</v>
      </c>
      <c r="D97" s="59" t="s">
        <v>319</v>
      </c>
      <c r="E97" s="201">
        <v>77</v>
      </c>
      <c r="F97" s="211">
        <v>91.93</v>
      </c>
      <c r="G97" s="212">
        <f t="shared" si="23"/>
        <v>7078.6100000000006</v>
      </c>
      <c r="H97" s="61">
        <f t="shared" si="28"/>
        <v>3.5393050000000001</v>
      </c>
      <c r="I97" s="52">
        <f t="shared" si="25"/>
        <v>-7082.1493050000008</v>
      </c>
      <c r="J97" s="213">
        <f t="shared" si="26"/>
        <v>-5103.4746349999823</v>
      </c>
      <c r="K97" s="214">
        <f t="shared" si="27"/>
        <v>91.975965000000016</v>
      </c>
      <c r="L97" s="32"/>
      <c r="O97" s="116"/>
    </row>
    <row r="98" spans="2:15" x14ac:dyDescent="0.45">
      <c r="B98" s="210">
        <v>43509</v>
      </c>
      <c r="C98" s="59" t="s">
        <v>310</v>
      </c>
      <c r="D98" s="59" t="s">
        <v>319</v>
      </c>
      <c r="E98" s="201">
        <v>27</v>
      </c>
      <c r="F98" s="211">
        <v>274.95</v>
      </c>
      <c r="G98" s="212">
        <f t="shared" si="23"/>
        <v>7423.65</v>
      </c>
      <c r="H98" s="61">
        <f t="shared" si="28"/>
        <v>3.7118249999999997</v>
      </c>
      <c r="I98" s="52">
        <f t="shared" si="25"/>
        <v>-7427.361825</v>
      </c>
      <c r="J98" s="213">
        <f t="shared" si="26"/>
        <v>1978.6746700000185</v>
      </c>
      <c r="K98" s="214">
        <f t="shared" si="27"/>
        <v>275.08747499999998</v>
      </c>
      <c r="L98" s="32"/>
      <c r="O98" s="116"/>
    </row>
    <row r="99" spans="2:15" x14ac:dyDescent="0.45">
      <c r="B99" s="210">
        <v>43509</v>
      </c>
      <c r="C99" s="59" t="s">
        <v>335</v>
      </c>
      <c r="D99" s="59" t="s">
        <v>321</v>
      </c>
      <c r="E99" s="201">
        <v>21</v>
      </c>
      <c r="F99" s="211">
        <v>351.77</v>
      </c>
      <c r="G99" s="212">
        <f t="shared" si="23"/>
        <v>7387.17</v>
      </c>
      <c r="H99" s="61">
        <f t="shared" si="28"/>
        <v>3.6935850000000001</v>
      </c>
      <c r="I99" s="52">
        <f t="shared" si="25"/>
        <v>7383.4764150000001</v>
      </c>
      <c r="J99" s="213">
        <f t="shared" si="26"/>
        <v>9406.0364950000185</v>
      </c>
      <c r="K99" s="214">
        <f t="shared" si="27"/>
        <v>351.59411499999999</v>
      </c>
      <c r="L99" s="32"/>
      <c r="O99" s="116"/>
    </row>
    <row r="100" spans="2:15" x14ac:dyDescent="0.45">
      <c r="B100" s="210">
        <v>43508</v>
      </c>
      <c r="C100" s="59" t="s">
        <v>336</v>
      </c>
      <c r="D100" s="59" t="s">
        <v>321</v>
      </c>
      <c r="E100" s="201">
        <v>304</v>
      </c>
      <c r="F100" s="211">
        <v>24.47</v>
      </c>
      <c r="G100" s="212">
        <f t="shared" si="23"/>
        <v>7438.8799999999992</v>
      </c>
      <c r="H100" s="61">
        <f t="shared" si="28"/>
        <v>3.7194399999999996</v>
      </c>
      <c r="I100" s="52">
        <f t="shared" si="25"/>
        <v>7435.1605599999994</v>
      </c>
      <c r="J100" s="213">
        <f t="shared" si="26"/>
        <v>2022.5600800000193</v>
      </c>
      <c r="K100" s="214">
        <f t="shared" si="27"/>
        <v>24.457764999999998</v>
      </c>
      <c r="L100" s="32"/>
      <c r="O100" s="116"/>
    </row>
    <row r="101" spans="2:15" x14ac:dyDescent="0.45">
      <c r="B101" s="210">
        <v>43508</v>
      </c>
      <c r="C101" s="59" t="s">
        <v>310</v>
      </c>
      <c r="D101" s="59" t="s">
        <v>319</v>
      </c>
      <c r="E101" s="201">
        <v>27</v>
      </c>
      <c r="F101" s="211">
        <v>274.10000000000002</v>
      </c>
      <c r="G101" s="212">
        <f t="shared" si="23"/>
        <v>7400.7000000000007</v>
      </c>
      <c r="H101" s="61">
        <f t="shared" si="28"/>
        <v>3.7003500000000003</v>
      </c>
      <c r="I101" s="52">
        <f t="shared" si="25"/>
        <v>-7404.4003500000008</v>
      </c>
      <c r="J101" s="213">
        <f t="shared" si="26"/>
        <v>-5412.6004799999801</v>
      </c>
      <c r="K101" s="214">
        <f t="shared" si="27"/>
        <v>274.23705000000001</v>
      </c>
      <c r="L101" s="32"/>
      <c r="O101" s="116"/>
    </row>
    <row r="102" spans="2:15" x14ac:dyDescent="0.45">
      <c r="B102" s="210">
        <v>43507</v>
      </c>
      <c r="C102" s="59" t="s">
        <v>310</v>
      </c>
      <c r="D102" s="59" t="s">
        <v>319</v>
      </c>
      <c r="E102" s="201">
        <v>27</v>
      </c>
      <c r="F102" s="211">
        <v>270.62</v>
      </c>
      <c r="G102" s="212">
        <f t="shared" si="23"/>
        <v>7306.74</v>
      </c>
      <c r="H102" s="61">
        <f t="shared" si="28"/>
        <v>3.6533699999999998</v>
      </c>
      <c r="I102" s="52">
        <f t="shared" si="25"/>
        <v>-7310.3933699999998</v>
      </c>
      <c r="J102" s="213">
        <f t="shared" si="26"/>
        <v>1991.7998700000207</v>
      </c>
      <c r="K102" s="214">
        <f t="shared" si="27"/>
        <v>270.75531000000001</v>
      </c>
      <c r="L102" s="32"/>
      <c r="O102" s="116"/>
    </row>
    <row r="103" spans="2:15" x14ac:dyDescent="0.45">
      <c r="B103" s="210">
        <v>43507</v>
      </c>
      <c r="C103" s="59" t="s">
        <v>337</v>
      </c>
      <c r="D103" s="59" t="s">
        <v>321</v>
      </c>
      <c r="E103" s="201">
        <v>54</v>
      </c>
      <c r="F103" s="211">
        <v>135</v>
      </c>
      <c r="G103" s="212">
        <f t="shared" si="23"/>
        <v>7290</v>
      </c>
      <c r="H103" s="61">
        <f t="shared" si="28"/>
        <v>3.645</v>
      </c>
      <c r="I103" s="52">
        <f t="shared" si="25"/>
        <v>7286.3549999999996</v>
      </c>
      <c r="J103" s="213">
        <f t="shared" si="26"/>
        <v>9302.1932400000205</v>
      </c>
      <c r="K103" s="214">
        <f t="shared" si="27"/>
        <v>134.9325</v>
      </c>
      <c r="L103" s="32"/>
      <c r="O103" s="116"/>
    </row>
    <row r="104" spans="2:15" x14ac:dyDescent="0.45">
      <c r="B104" s="210">
        <v>43504</v>
      </c>
      <c r="C104" s="59" t="s">
        <v>338</v>
      </c>
      <c r="D104" s="59" t="s">
        <v>321</v>
      </c>
      <c r="E104" s="201">
        <v>35</v>
      </c>
      <c r="F104" s="211">
        <v>235.9</v>
      </c>
      <c r="G104" s="212">
        <f t="shared" si="23"/>
        <v>8256.5</v>
      </c>
      <c r="H104" s="61">
        <f t="shared" si="28"/>
        <v>4.1282500000000004</v>
      </c>
      <c r="I104" s="52">
        <f t="shared" si="25"/>
        <v>8252.3717500000002</v>
      </c>
      <c r="J104" s="213">
        <f t="shared" si="26"/>
        <v>2015.838240000021</v>
      </c>
      <c r="K104" s="214">
        <f t="shared" si="27"/>
        <v>235.78205</v>
      </c>
      <c r="L104" s="32"/>
      <c r="O104" s="116"/>
    </row>
    <row r="105" spans="2:15" x14ac:dyDescent="0.45">
      <c r="B105" s="210">
        <v>43504</v>
      </c>
      <c r="C105" s="59" t="s">
        <v>339</v>
      </c>
      <c r="D105" s="59" t="s">
        <v>321</v>
      </c>
      <c r="E105" s="201">
        <v>207</v>
      </c>
      <c r="F105" s="211">
        <v>38.15</v>
      </c>
      <c r="G105" s="212">
        <f t="shared" si="23"/>
        <v>7897.0499999999993</v>
      </c>
      <c r="H105" s="61">
        <f t="shared" si="28"/>
        <v>3.9485249999999996</v>
      </c>
      <c r="I105" s="52">
        <f t="shared" si="25"/>
        <v>7893.1014749999995</v>
      </c>
      <c r="J105" s="213">
        <f t="shared" si="26"/>
        <v>-6236.5335099999793</v>
      </c>
      <c r="K105" s="214">
        <f t="shared" si="27"/>
        <v>38.130924999999998</v>
      </c>
      <c r="L105" s="32"/>
      <c r="O105" s="116"/>
    </row>
    <row r="106" spans="2:15" x14ac:dyDescent="0.45">
      <c r="B106" s="210">
        <v>43504</v>
      </c>
      <c r="C106" s="59" t="s">
        <v>340</v>
      </c>
      <c r="D106" s="59" t="s">
        <v>321</v>
      </c>
      <c r="E106" s="201">
        <v>76</v>
      </c>
      <c r="F106" s="211">
        <v>110.96</v>
      </c>
      <c r="G106" s="212">
        <f t="shared" si="23"/>
        <v>8432.9599999999991</v>
      </c>
      <c r="H106" s="61">
        <f t="shared" si="28"/>
        <v>4.2164799999999998</v>
      </c>
      <c r="I106" s="52">
        <f t="shared" si="25"/>
        <v>8428.74352</v>
      </c>
      <c r="J106" s="213">
        <f t="shared" si="26"/>
        <v>-14129.634984999979</v>
      </c>
      <c r="K106" s="214">
        <f t="shared" si="27"/>
        <v>110.90452000000001</v>
      </c>
      <c r="L106" s="32"/>
      <c r="O106" s="116"/>
    </row>
    <row r="107" spans="2:15" x14ac:dyDescent="0.45">
      <c r="B107" s="210">
        <v>43504</v>
      </c>
      <c r="C107" s="59" t="s">
        <v>341</v>
      </c>
      <c r="D107" s="59" t="s">
        <v>321</v>
      </c>
      <c r="E107" s="201">
        <v>205</v>
      </c>
      <c r="F107" s="211">
        <v>36.5</v>
      </c>
      <c r="G107" s="212">
        <f t="shared" si="23"/>
        <v>7482.5</v>
      </c>
      <c r="H107" s="61">
        <f t="shared" si="28"/>
        <v>3.74125</v>
      </c>
      <c r="I107" s="52">
        <f t="shared" si="25"/>
        <v>7478.75875</v>
      </c>
      <c r="J107" s="213">
        <f t="shared" si="26"/>
        <v>-22558.378504999979</v>
      </c>
      <c r="K107" s="214">
        <f t="shared" si="27"/>
        <v>36.481749999999998</v>
      </c>
      <c r="L107" s="32"/>
      <c r="O107" s="116"/>
    </row>
    <row r="108" spans="2:15" x14ac:dyDescent="0.45">
      <c r="B108" s="210">
        <v>43504</v>
      </c>
      <c r="C108" s="59" t="s">
        <v>325</v>
      </c>
      <c r="D108" s="59" t="s">
        <v>319</v>
      </c>
      <c r="E108" s="201">
        <v>54</v>
      </c>
      <c r="F108" s="211">
        <v>130.80000000000001</v>
      </c>
      <c r="G108" s="212">
        <f t="shared" si="23"/>
        <v>7063.2000000000007</v>
      </c>
      <c r="H108" s="61">
        <f t="shared" si="28"/>
        <v>3.5316000000000005</v>
      </c>
      <c r="I108" s="52">
        <f t="shared" si="25"/>
        <v>-7066.731600000001</v>
      </c>
      <c r="J108" s="213">
        <f t="shared" si="26"/>
        <v>-30037.13725499998</v>
      </c>
      <c r="K108" s="214">
        <f t="shared" si="27"/>
        <v>130.86540000000002</v>
      </c>
      <c r="L108" s="32"/>
      <c r="O108" s="116"/>
    </row>
    <row r="109" spans="2:15" x14ac:dyDescent="0.45">
      <c r="B109" s="210">
        <v>43504</v>
      </c>
      <c r="C109" s="59" t="s">
        <v>310</v>
      </c>
      <c r="D109" s="59" t="s">
        <v>319</v>
      </c>
      <c r="E109" s="201">
        <v>84</v>
      </c>
      <c r="F109" s="211">
        <v>270.54000000000002</v>
      </c>
      <c r="G109" s="212">
        <f t="shared" si="23"/>
        <v>22725.360000000001</v>
      </c>
      <c r="H109" s="61">
        <f t="shared" si="28"/>
        <v>11.362680000000001</v>
      </c>
      <c r="I109" s="52">
        <f t="shared" si="25"/>
        <v>-22736.722679999999</v>
      </c>
      <c r="J109" s="213">
        <f t="shared" si="26"/>
        <v>-22970.40565499998</v>
      </c>
      <c r="K109" s="214">
        <f t="shared" si="27"/>
        <v>270.67527000000001</v>
      </c>
      <c r="L109" s="32"/>
      <c r="O109" s="116"/>
    </row>
    <row r="110" spans="2:15" x14ac:dyDescent="0.45">
      <c r="B110" s="210">
        <v>43502</v>
      </c>
      <c r="C110" s="59" t="s">
        <v>310</v>
      </c>
      <c r="D110" s="59" t="s">
        <v>319</v>
      </c>
      <c r="E110" s="201">
        <v>28</v>
      </c>
      <c r="F110" s="211">
        <v>272.74</v>
      </c>
      <c r="G110" s="212">
        <f t="shared" si="23"/>
        <v>7636.72</v>
      </c>
      <c r="H110" s="61">
        <f t="shared" si="28"/>
        <v>3.8183600000000002</v>
      </c>
      <c r="I110" s="52">
        <f t="shared" si="25"/>
        <v>-7640.5383600000005</v>
      </c>
      <c r="J110" s="213">
        <f t="shared" si="26"/>
        <v>-233.68297499998152</v>
      </c>
      <c r="K110" s="214">
        <f t="shared" si="27"/>
        <v>272.87637000000001</v>
      </c>
      <c r="L110" s="32"/>
      <c r="O110" s="116"/>
    </row>
    <row r="111" spans="2:15" x14ac:dyDescent="0.45">
      <c r="B111" s="210">
        <v>43502</v>
      </c>
      <c r="C111" s="59" t="s">
        <v>342</v>
      </c>
      <c r="D111" s="59" t="s">
        <v>321</v>
      </c>
      <c r="E111" s="201">
        <v>47</v>
      </c>
      <c r="F111" s="211">
        <v>166.36</v>
      </c>
      <c r="G111" s="212">
        <f t="shared" si="23"/>
        <v>7818.920000000001</v>
      </c>
      <c r="H111" s="61">
        <f t="shared" si="28"/>
        <v>3.9094600000000006</v>
      </c>
      <c r="I111" s="52">
        <f t="shared" si="25"/>
        <v>7815.0105400000011</v>
      </c>
      <c r="J111" s="213">
        <f t="shared" si="26"/>
        <v>7406.8553850000189</v>
      </c>
      <c r="K111" s="214">
        <f t="shared" si="27"/>
        <v>166.27682000000001</v>
      </c>
      <c r="L111" s="32"/>
      <c r="O111" s="116"/>
    </row>
    <row r="112" spans="2:15" x14ac:dyDescent="0.45">
      <c r="B112" s="210">
        <v>43496</v>
      </c>
      <c r="C112" s="59" t="s">
        <v>310</v>
      </c>
      <c r="D112" s="59" t="s">
        <v>321</v>
      </c>
      <c r="E112" s="201">
        <v>79</v>
      </c>
      <c r="F112" s="211">
        <v>269.93</v>
      </c>
      <c r="G112" s="212">
        <f t="shared" si="23"/>
        <v>21324.47</v>
      </c>
      <c r="H112" s="61">
        <f t="shared" si="28"/>
        <v>10.662235000000001</v>
      </c>
      <c r="I112" s="52">
        <f t="shared" si="25"/>
        <v>21313.807765000001</v>
      </c>
      <c r="J112" s="213">
        <f t="shared" si="26"/>
        <v>-408.15515499998219</v>
      </c>
      <c r="K112" s="214">
        <f t="shared" si="27"/>
        <v>269.79503500000004</v>
      </c>
      <c r="L112" s="32"/>
      <c r="O112" s="116"/>
    </row>
    <row r="113" spans="2:15" x14ac:dyDescent="0.45">
      <c r="B113" s="210">
        <v>43496</v>
      </c>
      <c r="C113" s="59" t="s">
        <v>332</v>
      </c>
      <c r="D113" s="59" t="s">
        <v>319</v>
      </c>
      <c r="E113" s="201">
        <v>57</v>
      </c>
      <c r="F113" s="211">
        <v>124.84</v>
      </c>
      <c r="G113" s="212">
        <f t="shared" si="23"/>
        <v>7115.88</v>
      </c>
      <c r="H113" s="61">
        <f t="shared" si="28"/>
        <v>3.5579400000000003</v>
      </c>
      <c r="I113" s="52">
        <f t="shared" si="25"/>
        <v>-7119.4379399999998</v>
      </c>
      <c r="J113" s="213">
        <f t="shared" si="26"/>
        <v>-21721.962919999984</v>
      </c>
      <c r="K113" s="214">
        <f t="shared" si="27"/>
        <v>124.90241999999999</v>
      </c>
      <c r="L113" s="32"/>
      <c r="O113" s="116"/>
    </row>
    <row r="114" spans="2:15" x14ac:dyDescent="0.45">
      <c r="B114" s="210">
        <v>43496</v>
      </c>
      <c r="C114" s="59" t="s">
        <v>335</v>
      </c>
      <c r="D114" s="59" t="s">
        <v>319</v>
      </c>
      <c r="E114" s="201">
        <v>21</v>
      </c>
      <c r="F114" s="211">
        <v>339.5</v>
      </c>
      <c r="G114" s="212">
        <f t="shared" si="23"/>
        <v>7129.5</v>
      </c>
      <c r="H114" s="61">
        <f t="shared" si="28"/>
        <v>3.5647500000000001</v>
      </c>
      <c r="I114" s="52">
        <f t="shared" si="25"/>
        <v>-7133.0647499999995</v>
      </c>
      <c r="J114" s="213">
        <f t="shared" si="26"/>
        <v>-14602.524979999986</v>
      </c>
      <c r="K114" s="214">
        <f t="shared" si="27"/>
        <v>339.66974999999996</v>
      </c>
      <c r="L114" s="32"/>
      <c r="O114" s="116"/>
    </row>
    <row r="115" spans="2:15" x14ac:dyDescent="0.45">
      <c r="B115" s="210">
        <v>43496</v>
      </c>
      <c r="C115" s="59" t="s">
        <v>333</v>
      </c>
      <c r="D115" s="59" t="s">
        <v>319</v>
      </c>
      <c r="E115" s="201">
        <v>113</v>
      </c>
      <c r="F115" s="211">
        <v>63.31</v>
      </c>
      <c r="G115" s="212">
        <f t="shared" si="23"/>
        <v>7154.0300000000007</v>
      </c>
      <c r="H115" s="61">
        <f t="shared" si="28"/>
        <v>3.5770150000000003</v>
      </c>
      <c r="I115" s="52">
        <f t="shared" si="25"/>
        <v>-7157.6070150000005</v>
      </c>
      <c r="J115" s="213">
        <f t="shared" si="26"/>
        <v>-7469.460229999986</v>
      </c>
      <c r="K115" s="214">
        <f t="shared" si="27"/>
        <v>63.341655000000003</v>
      </c>
      <c r="L115" s="32"/>
      <c r="O115" s="116"/>
    </row>
    <row r="116" spans="2:15" x14ac:dyDescent="0.45">
      <c r="B116" s="210">
        <v>43496</v>
      </c>
      <c r="C116" s="59" t="s">
        <v>343</v>
      </c>
      <c r="D116" s="59" t="s">
        <v>321</v>
      </c>
      <c r="E116" s="201">
        <v>4</v>
      </c>
      <c r="F116" s="211">
        <v>1718.73</v>
      </c>
      <c r="G116" s="212">
        <f t="shared" si="23"/>
        <v>6874.92</v>
      </c>
      <c r="H116" s="61">
        <f t="shared" si="28"/>
        <v>3.4374600000000002</v>
      </c>
      <c r="I116" s="52">
        <f t="shared" si="25"/>
        <v>6871.48254</v>
      </c>
      <c r="J116" s="213">
        <f t="shared" si="26"/>
        <v>-311.85321499998554</v>
      </c>
      <c r="K116" s="214">
        <f t="shared" si="27"/>
        <v>1717.870635</v>
      </c>
      <c r="L116" s="32"/>
      <c r="O116" s="116"/>
    </row>
    <row r="117" spans="2:15" x14ac:dyDescent="0.45">
      <c r="B117" s="210">
        <v>43496</v>
      </c>
      <c r="C117" s="59" t="s">
        <v>310</v>
      </c>
      <c r="D117" s="59" t="s">
        <v>319</v>
      </c>
      <c r="E117" s="201">
        <v>25</v>
      </c>
      <c r="F117" s="211">
        <v>269.93</v>
      </c>
      <c r="G117" s="212">
        <f t="shared" si="23"/>
        <v>6748.25</v>
      </c>
      <c r="H117" s="61">
        <f t="shared" si="28"/>
        <v>3.3741250000000003</v>
      </c>
      <c r="I117" s="52">
        <f t="shared" si="25"/>
        <v>-6751.6241250000003</v>
      </c>
      <c r="J117" s="213">
        <f t="shared" si="26"/>
        <v>-7183.3357549999855</v>
      </c>
      <c r="K117" s="214">
        <f t="shared" si="27"/>
        <v>270.06496500000003</v>
      </c>
      <c r="L117" s="32"/>
      <c r="O117" s="116"/>
    </row>
    <row r="118" spans="2:15" x14ac:dyDescent="0.45">
      <c r="B118" s="210">
        <v>43489</v>
      </c>
      <c r="C118" s="59" t="s">
        <v>310</v>
      </c>
      <c r="D118" s="59" t="s">
        <v>319</v>
      </c>
      <c r="E118" s="201">
        <v>56</v>
      </c>
      <c r="F118" s="211">
        <v>263.60000000000002</v>
      </c>
      <c r="G118" s="212">
        <f t="shared" si="23"/>
        <v>14761.600000000002</v>
      </c>
      <c r="H118" s="61">
        <f t="shared" si="28"/>
        <v>7.3808000000000016</v>
      </c>
      <c r="I118" s="52">
        <f t="shared" si="25"/>
        <v>-14768.980800000003</v>
      </c>
      <c r="J118" s="213">
        <f t="shared" si="26"/>
        <v>-431.71162999998523</v>
      </c>
      <c r="K118" s="214">
        <f t="shared" si="27"/>
        <v>263.73180000000008</v>
      </c>
      <c r="L118" s="32"/>
      <c r="O118" s="116"/>
    </row>
    <row r="119" spans="2:15" x14ac:dyDescent="0.45">
      <c r="B119" s="210">
        <v>43489</v>
      </c>
      <c r="C119" s="59" t="s">
        <v>344</v>
      </c>
      <c r="D119" s="59" t="s">
        <v>321</v>
      </c>
      <c r="E119" s="201">
        <v>261</v>
      </c>
      <c r="F119" s="211">
        <v>28.15</v>
      </c>
      <c r="G119" s="212">
        <f t="shared" si="23"/>
        <v>7347.15</v>
      </c>
      <c r="H119" s="61">
        <f t="shared" si="28"/>
        <v>3.673575</v>
      </c>
      <c r="I119" s="52">
        <f t="shared" si="25"/>
        <v>7343.4764249999998</v>
      </c>
      <c r="J119" s="213">
        <f t="shared" si="26"/>
        <v>14337.269170000018</v>
      </c>
      <c r="K119" s="214">
        <f t="shared" si="27"/>
        <v>28.135925</v>
      </c>
      <c r="L119" s="32"/>
      <c r="O119" s="116"/>
    </row>
    <row r="120" spans="2:15" x14ac:dyDescent="0.45">
      <c r="B120" s="210">
        <v>43489</v>
      </c>
      <c r="C120" s="59" t="s">
        <v>345</v>
      </c>
      <c r="D120" s="59" t="s">
        <v>321</v>
      </c>
      <c r="E120" s="201">
        <v>77</v>
      </c>
      <c r="F120" s="211">
        <v>97.45</v>
      </c>
      <c r="G120" s="212">
        <f t="shared" si="23"/>
        <v>7503.6500000000005</v>
      </c>
      <c r="H120" s="61">
        <f t="shared" si="28"/>
        <v>3.7518250000000002</v>
      </c>
      <c r="I120" s="52">
        <f t="shared" si="25"/>
        <v>7499.8981750000003</v>
      </c>
      <c r="J120" s="213">
        <f t="shared" si="26"/>
        <v>6993.792745000017</v>
      </c>
      <c r="K120" s="214">
        <f t="shared" si="27"/>
        <v>97.401274999999998</v>
      </c>
      <c r="L120" s="32"/>
      <c r="O120" s="116"/>
    </row>
    <row r="121" spans="2:15" x14ac:dyDescent="0.45">
      <c r="B121" s="210">
        <v>43488</v>
      </c>
      <c r="C121" s="59" t="s">
        <v>324</v>
      </c>
      <c r="D121" s="59" t="s">
        <v>321</v>
      </c>
      <c r="E121" s="201">
        <v>84</v>
      </c>
      <c r="F121" s="211">
        <v>84.64</v>
      </c>
      <c r="G121" s="212">
        <f t="shared" si="23"/>
        <v>7109.76</v>
      </c>
      <c r="H121" s="61">
        <f t="shared" si="28"/>
        <v>3.5548800000000003</v>
      </c>
      <c r="I121" s="52">
        <f t="shared" si="25"/>
        <v>7106.2051200000005</v>
      </c>
      <c r="J121" s="213">
        <f t="shared" si="26"/>
        <v>-506.10542999998324</v>
      </c>
      <c r="K121" s="214">
        <f t="shared" si="27"/>
        <v>84.597680000000011</v>
      </c>
      <c r="L121" s="32"/>
      <c r="O121" s="116"/>
    </row>
    <row r="122" spans="2:15" x14ac:dyDescent="0.45">
      <c r="B122" s="210">
        <v>43488</v>
      </c>
      <c r="C122" s="59" t="s">
        <v>310</v>
      </c>
      <c r="D122" s="59" t="s">
        <v>319</v>
      </c>
      <c r="E122" s="201">
        <v>27</v>
      </c>
      <c r="F122" s="211">
        <v>263.35000000000002</v>
      </c>
      <c r="G122" s="212">
        <f t="shared" si="23"/>
        <v>7110.4500000000007</v>
      </c>
      <c r="H122" s="61">
        <f t="shared" si="28"/>
        <v>3.5552250000000005</v>
      </c>
      <c r="I122" s="52">
        <f t="shared" si="25"/>
        <v>-7114.0052250000008</v>
      </c>
      <c r="J122" s="213">
        <f t="shared" si="26"/>
        <v>-7612.3105499999838</v>
      </c>
      <c r="K122" s="214">
        <f t="shared" si="27"/>
        <v>263.48167500000005</v>
      </c>
      <c r="L122" s="32"/>
      <c r="O122" s="116"/>
    </row>
    <row r="123" spans="2:15" x14ac:dyDescent="0.45">
      <c r="B123" s="210">
        <v>43487</v>
      </c>
      <c r="C123" s="59" t="s">
        <v>299</v>
      </c>
      <c r="D123" s="59" t="s">
        <v>321</v>
      </c>
      <c r="E123" s="201">
        <v>104</v>
      </c>
      <c r="F123" s="211">
        <v>68.739999999999995</v>
      </c>
      <c r="G123" s="212">
        <f t="shared" si="23"/>
        <v>7148.9599999999991</v>
      </c>
      <c r="H123" s="61">
        <f t="shared" si="28"/>
        <v>3.5744799999999994</v>
      </c>
      <c r="I123" s="52">
        <f t="shared" si="25"/>
        <v>7145.3855199999989</v>
      </c>
      <c r="J123" s="213">
        <f t="shared" si="26"/>
        <v>-498.30532499998299</v>
      </c>
      <c r="K123" s="214">
        <f t="shared" si="27"/>
        <v>68.705629999999985</v>
      </c>
      <c r="L123" s="32"/>
      <c r="O123" s="116"/>
    </row>
    <row r="124" spans="2:15" x14ac:dyDescent="0.45">
      <c r="B124" s="210">
        <v>43487</v>
      </c>
      <c r="C124" s="59" t="s">
        <v>336</v>
      </c>
      <c r="D124" s="59" t="s">
        <v>319</v>
      </c>
      <c r="E124" s="201">
        <v>304</v>
      </c>
      <c r="F124" s="211">
        <v>24.02</v>
      </c>
      <c r="G124" s="212">
        <f t="shared" si="23"/>
        <v>7302.08</v>
      </c>
      <c r="H124" s="61">
        <f t="shared" si="28"/>
        <v>3.6510400000000001</v>
      </c>
      <c r="I124" s="52">
        <f t="shared" si="25"/>
        <v>-7305.7310399999997</v>
      </c>
      <c r="J124" s="213">
        <f t="shared" si="26"/>
        <v>-7643.6908449999819</v>
      </c>
      <c r="K124" s="214">
        <f t="shared" si="27"/>
        <v>24.03201</v>
      </c>
      <c r="L124" s="119"/>
      <c r="O124" s="116"/>
    </row>
    <row r="125" spans="2:15" x14ac:dyDescent="0.45">
      <c r="B125" s="210">
        <v>43487</v>
      </c>
      <c r="C125" s="59" t="s">
        <v>344</v>
      </c>
      <c r="D125" s="59" t="s">
        <v>319</v>
      </c>
      <c r="E125" s="201">
        <v>261</v>
      </c>
      <c r="F125" s="211">
        <v>28.42</v>
      </c>
      <c r="G125" s="212">
        <f t="shared" si="23"/>
        <v>7417.6200000000008</v>
      </c>
      <c r="H125" s="61">
        <f t="shared" si="28"/>
        <v>3.7088100000000006</v>
      </c>
      <c r="I125" s="52">
        <f t="shared" si="25"/>
        <v>-7421.3288100000009</v>
      </c>
      <c r="J125" s="213">
        <f t="shared" si="26"/>
        <v>-337.95980499998223</v>
      </c>
      <c r="K125" s="214">
        <f t="shared" si="27"/>
        <v>28.434210000000004</v>
      </c>
      <c r="L125" s="119"/>
      <c r="O125" s="116"/>
    </row>
    <row r="126" spans="2:15" x14ac:dyDescent="0.45">
      <c r="B126" s="210">
        <v>43487</v>
      </c>
      <c r="C126" s="59" t="s">
        <v>346</v>
      </c>
      <c r="D126" s="59" t="s">
        <v>321</v>
      </c>
      <c r="E126" s="201">
        <v>30</v>
      </c>
      <c r="F126" s="211">
        <v>240.7</v>
      </c>
      <c r="G126" s="212">
        <f t="shared" si="23"/>
        <v>7221</v>
      </c>
      <c r="H126" s="61">
        <f>G126*0.0005</f>
        <v>3.6105</v>
      </c>
      <c r="I126" s="52">
        <f t="shared" si="25"/>
        <v>7217.3895000000002</v>
      </c>
      <c r="J126" s="213">
        <f t="shared" si="26"/>
        <v>7083.3690050000187</v>
      </c>
      <c r="K126" s="214">
        <f t="shared" si="27"/>
        <v>240.57965000000002</v>
      </c>
      <c r="L126" s="32"/>
      <c r="O126" s="116"/>
    </row>
    <row r="127" spans="2:15" x14ac:dyDescent="0.45">
      <c r="B127" s="210">
        <v>43482</v>
      </c>
      <c r="C127" s="59" t="s">
        <v>310</v>
      </c>
      <c r="D127" s="59" t="s">
        <v>319</v>
      </c>
      <c r="E127" s="201">
        <v>28</v>
      </c>
      <c r="F127" s="211">
        <v>262.95999999999998</v>
      </c>
      <c r="G127" s="212">
        <f t="shared" ref="G127:G143" si="29">F127*E127</f>
        <v>7362.8799999999992</v>
      </c>
      <c r="H127" s="61">
        <f>G127*0.0005</f>
        <v>3.6814399999999998</v>
      </c>
      <c r="I127" s="52">
        <f t="shared" ref="I127:I143" si="30">IF(D127="B",-(G127+H127),G127-H127)</f>
        <v>-7366.5614399999995</v>
      </c>
      <c r="J127" s="213">
        <f t="shared" ref="J127:J143" si="31">I127+J128</f>
        <v>-134.02049499998157</v>
      </c>
      <c r="K127" s="214">
        <f t="shared" ref="K127:K143" si="32">ABS(I127)/E127</f>
        <v>263.09147999999999</v>
      </c>
      <c r="L127" s="32"/>
      <c r="O127" s="116"/>
    </row>
    <row r="128" spans="2:15" x14ac:dyDescent="0.45">
      <c r="B128" s="210">
        <v>43482</v>
      </c>
      <c r="C128" s="59" t="s">
        <v>335</v>
      </c>
      <c r="D128" s="59" t="s">
        <v>321</v>
      </c>
      <c r="E128" s="201">
        <v>21</v>
      </c>
      <c r="F128" s="211">
        <v>353.19</v>
      </c>
      <c r="G128" s="212">
        <f t="shared" si="29"/>
        <v>7416.99</v>
      </c>
      <c r="H128" s="61">
        <f>G128*0.0005</f>
        <v>3.7084950000000001</v>
      </c>
      <c r="I128" s="52">
        <f t="shared" si="30"/>
        <v>7413.2815049999999</v>
      </c>
      <c r="J128" s="213">
        <f t="shared" si="31"/>
        <v>7232.5409450000179</v>
      </c>
      <c r="K128" s="214">
        <f t="shared" si="32"/>
        <v>353.01340499999998</v>
      </c>
      <c r="L128" s="32"/>
      <c r="O128" s="116"/>
    </row>
    <row r="129" spans="2:16" x14ac:dyDescent="0.45">
      <c r="B129" s="210">
        <v>43479</v>
      </c>
      <c r="C129" s="59" t="s">
        <v>343</v>
      </c>
      <c r="D129" s="59" t="s">
        <v>319</v>
      </c>
      <c r="E129" s="201">
        <v>4</v>
      </c>
      <c r="F129" s="211">
        <v>1617.21</v>
      </c>
      <c r="G129" s="212">
        <f t="shared" si="29"/>
        <v>6468.84</v>
      </c>
      <c r="H129" s="61">
        <f>G129*0.0005</f>
        <v>3.2344200000000001</v>
      </c>
      <c r="I129" s="52">
        <f t="shared" si="30"/>
        <v>-6472.0744199999999</v>
      </c>
      <c r="J129" s="213">
        <f t="shared" si="31"/>
        <v>-180.740559999982</v>
      </c>
      <c r="K129" s="214">
        <f t="shared" si="32"/>
        <v>1618.018605</v>
      </c>
      <c r="L129" s="32"/>
      <c r="O129" s="116"/>
    </row>
    <row r="130" spans="2:16" x14ac:dyDescent="0.45">
      <c r="B130" s="210">
        <v>43479</v>
      </c>
      <c r="C130" s="59" t="s">
        <v>337</v>
      </c>
      <c r="D130" s="59" t="s">
        <v>319</v>
      </c>
      <c r="E130" s="201">
        <v>54</v>
      </c>
      <c r="F130" s="211">
        <v>133.08000000000001</v>
      </c>
      <c r="G130" s="212">
        <f t="shared" si="29"/>
        <v>7186.3200000000006</v>
      </c>
      <c r="H130" s="61">
        <f t="shared" ref="H130:H143" si="33">G130*0.0005</f>
        <v>3.5931600000000006</v>
      </c>
      <c r="I130" s="52">
        <f t="shared" si="30"/>
        <v>-7189.913160000001</v>
      </c>
      <c r="J130" s="213">
        <f t="shared" si="31"/>
        <v>6291.3338600000179</v>
      </c>
      <c r="K130" s="214">
        <f t="shared" si="32"/>
        <v>133.14654000000002</v>
      </c>
      <c r="L130" s="32"/>
      <c r="O130" s="116"/>
    </row>
    <row r="131" spans="2:16" x14ac:dyDescent="0.45">
      <c r="B131" s="210">
        <v>43479</v>
      </c>
      <c r="C131" s="59" t="s">
        <v>338</v>
      </c>
      <c r="D131" s="59" t="s">
        <v>319</v>
      </c>
      <c r="E131" s="201">
        <v>35</v>
      </c>
      <c r="F131" s="211">
        <v>203.44</v>
      </c>
      <c r="G131" s="212">
        <f t="shared" si="29"/>
        <v>7120.4</v>
      </c>
      <c r="H131" s="61">
        <f t="shared" si="33"/>
        <v>3.5602</v>
      </c>
      <c r="I131" s="52">
        <f t="shared" si="30"/>
        <v>-7123.9601999999995</v>
      </c>
      <c r="J131" s="213">
        <f t="shared" si="31"/>
        <v>13481.247020000019</v>
      </c>
      <c r="K131" s="214">
        <f t="shared" si="32"/>
        <v>203.54172</v>
      </c>
      <c r="L131" s="32"/>
      <c r="O131" s="116"/>
    </row>
    <row r="132" spans="2:16" x14ac:dyDescent="0.45">
      <c r="B132" s="210">
        <v>43479</v>
      </c>
      <c r="C132" s="59" t="s">
        <v>339</v>
      </c>
      <c r="D132" s="59" t="s">
        <v>319</v>
      </c>
      <c r="E132" s="201">
        <v>207</v>
      </c>
      <c r="F132" s="211">
        <v>34.53</v>
      </c>
      <c r="G132" s="212">
        <f t="shared" si="29"/>
        <v>7147.71</v>
      </c>
      <c r="H132" s="61">
        <f t="shared" si="33"/>
        <v>3.573855</v>
      </c>
      <c r="I132" s="52">
        <f t="shared" si="30"/>
        <v>-7151.2838549999997</v>
      </c>
      <c r="J132" s="213">
        <f t="shared" si="31"/>
        <v>20605.207220000018</v>
      </c>
      <c r="K132" s="214">
        <f t="shared" si="32"/>
        <v>34.547264999999996</v>
      </c>
      <c r="L132" s="32"/>
      <c r="O132" s="116"/>
    </row>
    <row r="133" spans="2:16" x14ac:dyDescent="0.45">
      <c r="B133" s="210">
        <v>43479</v>
      </c>
      <c r="C133" s="59" t="s">
        <v>345</v>
      </c>
      <c r="D133" s="59" t="s">
        <v>319</v>
      </c>
      <c r="E133" s="201">
        <v>77</v>
      </c>
      <c r="F133" s="211">
        <v>92.26</v>
      </c>
      <c r="G133" s="212">
        <f t="shared" si="29"/>
        <v>7104.02</v>
      </c>
      <c r="H133" s="61">
        <f t="shared" si="33"/>
        <v>3.5520100000000001</v>
      </c>
      <c r="I133" s="52">
        <f t="shared" si="30"/>
        <v>-7107.5720100000008</v>
      </c>
      <c r="J133" s="213">
        <f t="shared" si="31"/>
        <v>27756.491075000016</v>
      </c>
      <c r="K133" s="214">
        <f t="shared" si="32"/>
        <v>92.30613000000001</v>
      </c>
      <c r="L133" s="32"/>
      <c r="O133" s="116"/>
    </row>
    <row r="134" spans="2:16" x14ac:dyDescent="0.45">
      <c r="B134" s="210">
        <v>43479</v>
      </c>
      <c r="C134" s="59" t="s">
        <v>341</v>
      </c>
      <c r="D134" s="59" t="s">
        <v>319</v>
      </c>
      <c r="E134" s="201">
        <v>205</v>
      </c>
      <c r="F134" s="211">
        <v>34.770000000000003</v>
      </c>
      <c r="G134" s="212">
        <f t="shared" si="29"/>
        <v>7127.85</v>
      </c>
      <c r="H134" s="61">
        <f t="shared" si="33"/>
        <v>3.5639250000000002</v>
      </c>
      <c r="I134" s="52">
        <f t="shared" si="30"/>
        <v>-7131.4139250000007</v>
      </c>
      <c r="J134" s="213">
        <f t="shared" si="31"/>
        <v>34864.063085000016</v>
      </c>
      <c r="K134" s="214">
        <f t="shared" si="32"/>
        <v>34.787385</v>
      </c>
      <c r="L134" s="32"/>
      <c r="O134" s="116"/>
    </row>
    <row r="135" spans="2:16" x14ac:dyDescent="0.45">
      <c r="B135" s="210">
        <v>43479</v>
      </c>
      <c r="C135" s="59" t="s">
        <v>330</v>
      </c>
      <c r="D135" s="59" t="s">
        <v>319</v>
      </c>
      <c r="E135" s="201">
        <v>222</v>
      </c>
      <c r="F135" s="211">
        <v>32.19</v>
      </c>
      <c r="G135" s="212">
        <f t="shared" si="29"/>
        <v>7146.1799999999994</v>
      </c>
      <c r="H135" s="61">
        <f t="shared" si="33"/>
        <v>3.5730899999999997</v>
      </c>
      <c r="I135" s="52">
        <f t="shared" si="30"/>
        <v>-7149.7530899999992</v>
      </c>
      <c r="J135" s="213">
        <f t="shared" si="31"/>
        <v>41995.477010000017</v>
      </c>
      <c r="K135" s="214">
        <f t="shared" si="32"/>
        <v>32.206094999999998</v>
      </c>
      <c r="L135" s="32"/>
      <c r="O135" s="116"/>
    </row>
    <row r="136" spans="2:16" x14ac:dyDescent="0.45">
      <c r="B136" s="210">
        <v>43479</v>
      </c>
      <c r="C136" s="59" t="s">
        <v>335</v>
      </c>
      <c r="D136" s="59" t="s">
        <v>319</v>
      </c>
      <c r="E136" s="201">
        <v>21</v>
      </c>
      <c r="F136" s="211">
        <v>332.94</v>
      </c>
      <c r="G136" s="212">
        <f t="shared" si="29"/>
        <v>6991.74</v>
      </c>
      <c r="H136" s="61">
        <f t="shared" si="33"/>
        <v>3.49587</v>
      </c>
      <c r="I136" s="52">
        <f t="shared" si="30"/>
        <v>-6995.2358699999995</v>
      </c>
      <c r="J136" s="213">
        <f t="shared" si="31"/>
        <v>49145.230100000015</v>
      </c>
      <c r="K136" s="214">
        <f t="shared" si="32"/>
        <v>333.10647</v>
      </c>
      <c r="L136" s="32"/>
      <c r="O136" s="116"/>
    </row>
    <row r="137" spans="2:16" x14ac:dyDescent="0.45">
      <c r="B137" s="210">
        <v>43479</v>
      </c>
      <c r="C137" s="59" t="s">
        <v>340</v>
      </c>
      <c r="D137" s="59" t="s">
        <v>319</v>
      </c>
      <c r="E137" s="201">
        <v>76</v>
      </c>
      <c r="F137" s="211">
        <v>94.55</v>
      </c>
      <c r="G137" s="212">
        <f t="shared" si="29"/>
        <v>7185.8</v>
      </c>
      <c r="H137" s="61">
        <f t="shared" si="33"/>
        <v>3.5929000000000002</v>
      </c>
      <c r="I137" s="52">
        <f t="shared" si="30"/>
        <v>-7189.3928999999998</v>
      </c>
      <c r="J137" s="213">
        <f t="shared" si="31"/>
        <v>56140.465970000012</v>
      </c>
      <c r="K137" s="214">
        <f t="shared" si="32"/>
        <v>94.597274999999996</v>
      </c>
      <c r="L137" s="32"/>
      <c r="O137" s="116"/>
    </row>
    <row r="138" spans="2:16" x14ac:dyDescent="0.45">
      <c r="B138" s="210">
        <v>43479</v>
      </c>
      <c r="C138" s="59" t="s">
        <v>328</v>
      </c>
      <c r="D138" s="59" t="s">
        <v>319</v>
      </c>
      <c r="E138" s="201">
        <v>164</v>
      </c>
      <c r="F138" s="211">
        <v>43.53</v>
      </c>
      <c r="G138" s="212">
        <f t="shared" si="29"/>
        <v>7138.92</v>
      </c>
      <c r="H138" s="61">
        <f t="shared" si="33"/>
        <v>3.5694600000000003</v>
      </c>
      <c r="I138" s="52">
        <f t="shared" si="30"/>
        <v>-7142.4894599999998</v>
      </c>
      <c r="J138" s="213">
        <f t="shared" si="31"/>
        <v>63329.858870000011</v>
      </c>
      <c r="K138" s="214">
        <f t="shared" si="32"/>
        <v>43.551764999999996</v>
      </c>
      <c r="L138" s="32"/>
      <c r="O138" s="116"/>
    </row>
    <row r="139" spans="2:16" x14ac:dyDescent="0.45">
      <c r="B139" s="210">
        <v>43479</v>
      </c>
      <c r="C139" s="59" t="s">
        <v>324</v>
      </c>
      <c r="D139" s="59" t="s">
        <v>319</v>
      </c>
      <c r="E139" s="201">
        <v>84</v>
      </c>
      <c r="F139" s="211">
        <v>85</v>
      </c>
      <c r="G139" s="212">
        <f t="shared" si="29"/>
        <v>7140</v>
      </c>
      <c r="H139" s="61">
        <f t="shared" si="33"/>
        <v>3.5700000000000003</v>
      </c>
      <c r="I139" s="52">
        <f t="shared" si="30"/>
        <v>-7143.57</v>
      </c>
      <c r="J139" s="213">
        <f t="shared" si="31"/>
        <v>70472.348330000008</v>
      </c>
      <c r="K139" s="214">
        <f t="shared" si="32"/>
        <v>85.04249999999999</v>
      </c>
      <c r="L139" s="32"/>
      <c r="O139" s="116"/>
    </row>
    <row r="140" spans="2:16" x14ac:dyDescent="0.45">
      <c r="B140" s="210">
        <v>43479</v>
      </c>
      <c r="C140" s="59" t="s">
        <v>346</v>
      </c>
      <c r="D140" s="59" t="s">
        <v>319</v>
      </c>
      <c r="E140" s="201">
        <v>30</v>
      </c>
      <c r="F140" s="211">
        <v>235.04</v>
      </c>
      <c r="G140" s="212">
        <f t="shared" si="29"/>
        <v>7051.2</v>
      </c>
      <c r="H140" s="61">
        <f t="shared" si="33"/>
        <v>3.5255999999999998</v>
      </c>
      <c r="I140" s="52">
        <f t="shared" si="30"/>
        <v>-7054.7255999999998</v>
      </c>
      <c r="J140" s="213">
        <f t="shared" si="31"/>
        <v>77615.91833</v>
      </c>
      <c r="K140" s="214">
        <f t="shared" si="32"/>
        <v>235.15752000000001</v>
      </c>
      <c r="L140" s="32"/>
      <c r="O140" s="116"/>
    </row>
    <row r="141" spans="2:16" x14ac:dyDescent="0.45">
      <c r="B141" s="210">
        <v>43479</v>
      </c>
      <c r="C141" s="59" t="s">
        <v>334</v>
      </c>
      <c r="D141" s="59" t="s">
        <v>319</v>
      </c>
      <c r="E141" s="201">
        <v>138</v>
      </c>
      <c r="F141" s="211">
        <v>51.7</v>
      </c>
      <c r="G141" s="212">
        <f t="shared" si="29"/>
        <v>7134.6</v>
      </c>
      <c r="H141" s="61">
        <f t="shared" si="33"/>
        <v>3.5673000000000004</v>
      </c>
      <c r="I141" s="52">
        <f t="shared" si="30"/>
        <v>-7138.1673000000001</v>
      </c>
      <c r="J141" s="213">
        <f t="shared" si="31"/>
        <v>84670.643930000006</v>
      </c>
      <c r="K141" s="214">
        <f t="shared" si="32"/>
        <v>51.725850000000001</v>
      </c>
      <c r="L141" s="32"/>
      <c r="O141" s="116"/>
    </row>
    <row r="142" spans="2:16" x14ac:dyDescent="0.45">
      <c r="B142" s="210">
        <v>43479</v>
      </c>
      <c r="C142" s="59" t="s">
        <v>342</v>
      </c>
      <c r="D142" s="59" t="s">
        <v>319</v>
      </c>
      <c r="E142" s="201">
        <v>47</v>
      </c>
      <c r="F142" s="211">
        <v>153.57</v>
      </c>
      <c r="G142" s="212">
        <f t="shared" si="29"/>
        <v>7217.79</v>
      </c>
      <c r="H142" s="61">
        <f t="shared" si="33"/>
        <v>3.608895</v>
      </c>
      <c r="I142" s="52">
        <f t="shared" si="30"/>
        <v>-7221.3988950000003</v>
      </c>
      <c r="J142" s="213">
        <f t="shared" si="31"/>
        <v>91808.811230000007</v>
      </c>
      <c r="K142" s="214">
        <f t="shared" si="32"/>
        <v>153.64678499999999</v>
      </c>
      <c r="L142" s="17"/>
      <c r="O142" s="116"/>
    </row>
    <row r="143" spans="2:16" x14ac:dyDescent="0.45">
      <c r="B143" s="210">
        <v>43479</v>
      </c>
      <c r="C143" s="59" t="s">
        <v>310</v>
      </c>
      <c r="D143" s="59" t="s">
        <v>321</v>
      </c>
      <c r="E143" s="201">
        <v>385</v>
      </c>
      <c r="F143" s="211">
        <v>257.35000000000002</v>
      </c>
      <c r="G143" s="212">
        <f t="shared" si="29"/>
        <v>99079.750000000015</v>
      </c>
      <c r="H143" s="61">
        <f t="shared" si="33"/>
        <v>49.539875000000009</v>
      </c>
      <c r="I143" s="52">
        <f t="shared" si="30"/>
        <v>99030.210125000012</v>
      </c>
      <c r="J143" s="213">
        <f t="shared" si="31"/>
        <v>99030.210125000012</v>
      </c>
      <c r="K143" s="214">
        <f t="shared" si="32"/>
        <v>257.22132500000004</v>
      </c>
      <c r="L143" s="17"/>
      <c r="P143" s="108"/>
    </row>
    <row r="144" spans="2:16" x14ac:dyDescent="0.45">
      <c r="B144" s="30"/>
      <c r="E144" s="17"/>
      <c r="G144" s="117"/>
      <c r="H144" s="117"/>
      <c r="L144" s="17"/>
      <c r="P144" s="118"/>
    </row>
    <row r="145" spans="7:12" x14ac:dyDescent="0.45">
      <c r="G145" s="120"/>
      <c r="H145" s="117"/>
      <c r="L145" s="17"/>
    </row>
    <row r="146" spans="7:12" x14ac:dyDescent="0.45">
      <c r="H146" s="117"/>
      <c r="L146" s="17"/>
    </row>
    <row r="147" spans="7:12" x14ac:dyDescent="0.45">
      <c r="G147" s="120"/>
      <c r="H147" s="117"/>
      <c r="L147" s="17"/>
    </row>
    <row r="148" spans="7:12" x14ac:dyDescent="0.45">
      <c r="L148" s="17"/>
    </row>
    <row r="149" spans="7:12" x14ac:dyDescent="0.45">
      <c r="G149" s="29"/>
      <c r="L149" s="17"/>
    </row>
    <row r="150" spans="7:12" x14ac:dyDescent="0.45">
      <c r="L150" s="17"/>
    </row>
    <row r="151" spans="7:12" x14ac:dyDescent="0.45">
      <c r="L151" s="17"/>
    </row>
    <row r="152" spans="7:12" x14ac:dyDescent="0.45">
      <c r="L152" s="17"/>
    </row>
    <row r="153" spans="7:12" x14ac:dyDescent="0.45">
      <c r="L153" s="17"/>
    </row>
    <row r="154" spans="7:12" x14ac:dyDescent="0.45">
      <c r="L154" s="17"/>
    </row>
    <row r="155" spans="7:12" x14ac:dyDescent="0.45">
      <c r="L155" s="17"/>
    </row>
    <row r="156" spans="7:12" x14ac:dyDescent="0.45">
      <c r="L156" s="17"/>
    </row>
    <row r="157" spans="7:12" x14ac:dyDescent="0.45">
      <c r="L157" s="17"/>
    </row>
    <row r="158" spans="7:12" x14ac:dyDescent="0.45">
      <c r="L158" s="17"/>
    </row>
    <row r="159" spans="7:12" x14ac:dyDescent="0.45">
      <c r="L159" s="17"/>
    </row>
    <row r="160" spans="7:12" x14ac:dyDescent="0.45">
      <c r="L160" s="17"/>
    </row>
    <row r="161" spans="12:12" x14ac:dyDescent="0.45">
      <c r="L161" s="17"/>
    </row>
    <row r="162" spans="12:12" x14ac:dyDescent="0.45">
      <c r="L162" s="17"/>
    </row>
    <row r="163" spans="12:12" x14ac:dyDescent="0.45">
      <c r="L163" s="17"/>
    </row>
    <row r="164" spans="12:12" x14ac:dyDescent="0.45">
      <c r="L164" s="17"/>
    </row>
    <row r="165" spans="12:12" x14ac:dyDescent="0.45">
      <c r="L165" s="17"/>
    </row>
    <row r="166" spans="12:12" x14ac:dyDescent="0.45">
      <c r="L166" s="17"/>
    </row>
    <row r="167" spans="12:12" x14ac:dyDescent="0.45">
      <c r="L167" s="17"/>
    </row>
    <row r="168" spans="12:12" x14ac:dyDescent="0.45">
      <c r="L168" s="17"/>
    </row>
    <row r="169" spans="12:12" x14ac:dyDescent="0.45">
      <c r="L169" s="17"/>
    </row>
    <row r="170" spans="12:12" x14ac:dyDescent="0.45">
      <c r="L170" s="17"/>
    </row>
    <row r="171" spans="12:12" x14ac:dyDescent="0.45">
      <c r="L171" s="17"/>
    </row>
    <row r="172" spans="12:12" x14ac:dyDescent="0.45">
      <c r="L172" s="17"/>
    </row>
    <row r="173" spans="12:12" x14ac:dyDescent="0.45">
      <c r="L173" s="17"/>
    </row>
    <row r="174" spans="12:12" x14ac:dyDescent="0.45">
      <c r="L174" s="17"/>
    </row>
    <row r="175" spans="12:12" x14ac:dyDescent="0.45">
      <c r="L175" s="17"/>
    </row>
    <row r="176" spans="12:12" x14ac:dyDescent="0.45">
      <c r="L176" s="17"/>
    </row>
    <row r="177" spans="12:12" x14ac:dyDescent="0.45">
      <c r="L177" s="17"/>
    </row>
    <row r="178" spans="12:12" x14ac:dyDescent="0.45">
      <c r="L178" s="17"/>
    </row>
    <row r="179" spans="12:12" x14ac:dyDescent="0.45">
      <c r="L179" s="17"/>
    </row>
    <row r="180" spans="12:12" x14ac:dyDescent="0.45">
      <c r="L180" s="17"/>
    </row>
    <row r="181" spans="12:12" x14ac:dyDescent="0.45">
      <c r="L181" s="17"/>
    </row>
    <row r="182" spans="12:12" x14ac:dyDescent="0.45">
      <c r="L182" s="17"/>
    </row>
    <row r="183" spans="12:12" x14ac:dyDescent="0.45">
      <c r="L183" s="17"/>
    </row>
    <row r="184" spans="12:12" x14ac:dyDescent="0.45">
      <c r="L184" s="17"/>
    </row>
    <row r="185" spans="12:12" x14ac:dyDescent="0.45">
      <c r="L185" s="17"/>
    </row>
    <row r="186" spans="12:12" x14ac:dyDescent="0.45">
      <c r="L186" s="17"/>
    </row>
    <row r="187" spans="12:12" x14ac:dyDescent="0.45">
      <c r="L187" s="17"/>
    </row>
    <row r="188" spans="12:12" x14ac:dyDescent="0.45">
      <c r="L188" s="17"/>
    </row>
    <row r="189" spans="12:12" x14ac:dyDescent="0.45">
      <c r="L189" s="17"/>
    </row>
    <row r="190" spans="12:12" x14ac:dyDescent="0.45">
      <c r="L190" s="17"/>
    </row>
    <row r="191" spans="12:12" x14ac:dyDescent="0.45">
      <c r="L191" s="17"/>
    </row>
    <row r="192" spans="12:12" x14ac:dyDescent="0.45">
      <c r="L192" s="17"/>
    </row>
    <row r="193" spans="12:12" x14ac:dyDescent="0.45">
      <c r="L193" s="17"/>
    </row>
    <row r="194" spans="12:12" x14ac:dyDescent="0.45">
      <c r="L194" s="17"/>
    </row>
    <row r="195" spans="12:12" x14ac:dyDescent="0.45">
      <c r="L195" s="17"/>
    </row>
    <row r="196" spans="12:12" x14ac:dyDescent="0.45">
      <c r="L196" s="17"/>
    </row>
    <row r="197" spans="12:12" x14ac:dyDescent="0.45">
      <c r="L197" s="17"/>
    </row>
    <row r="198" spans="12:12" x14ac:dyDescent="0.45">
      <c r="L198" s="17"/>
    </row>
    <row r="199" spans="12:12" x14ac:dyDescent="0.45">
      <c r="L199" s="17"/>
    </row>
    <row r="200" spans="12:12" x14ac:dyDescent="0.45">
      <c r="L200" s="17"/>
    </row>
    <row r="201" spans="12:12" x14ac:dyDescent="0.45">
      <c r="L201" s="17"/>
    </row>
    <row r="202" spans="12:12" x14ac:dyDescent="0.45">
      <c r="L202" s="17"/>
    </row>
    <row r="203" spans="12:12" x14ac:dyDescent="0.45">
      <c r="L203" s="17"/>
    </row>
    <row r="204" spans="12:12" x14ac:dyDescent="0.45">
      <c r="L204" s="17"/>
    </row>
    <row r="205" spans="12:12" x14ac:dyDescent="0.45">
      <c r="L205" s="17"/>
    </row>
    <row r="206" spans="12:12" x14ac:dyDescent="0.45">
      <c r="L206" s="17"/>
    </row>
    <row r="207" spans="12:12" x14ac:dyDescent="0.45">
      <c r="L207" s="17"/>
    </row>
    <row r="208" spans="12:12" x14ac:dyDescent="0.45">
      <c r="L208" s="17"/>
    </row>
    <row r="209" spans="12:12" x14ac:dyDescent="0.45">
      <c r="L209" s="17"/>
    </row>
    <row r="210" spans="12:12" x14ac:dyDescent="0.45">
      <c r="L210" s="17"/>
    </row>
    <row r="211" spans="12:12" x14ac:dyDescent="0.45">
      <c r="L211" s="17"/>
    </row>
    <row r="212" spans="12:12" x14ac:dyDescent="0.45">
      <c r="L212" s="17"/>
    </row>
    <row r="213" spans="12:12" x14ac:dyDescent="0.45">
      <c r="L213" s="17"/>
    </row>
    <row r="214" spans="12:12" x14ac:dyDescent="0.45">
      <c r="L214" s="17"/>
    </row>
    <row r="215" spans="12:12" x14ac:dyDescent="0.45">
      <c r="L215" s="17"/>
    </row>
    <row r="216" spans="12:12" x14ac:dyDescent="0.45">
      <c r="L216" s="17"/>
    </row>
    <row r="217" spans="12:12" x14ac:dyDescent="0.45">
      <c r="L217" s="17"/>
    </row>
    <row r="218" spans="12:12" x14ac:dyDescent="0.45">
      <c r="L218" s="17"/>
    </row>
    <row r="219" spans="12:12" x14ac:dyDescent="0.45">
      <c r="L219" s="17"/>
    </row>
    <row r="220" spans="12:12" x14ac:dyDescent="0.45">
      <c r="L220" s="17"/>
    </row>
    <row r="221" spans="12:12" x14ac:dyDescent="0.45">
      <c r="L221" s="17"/>
    </row>
    <row r="222" spans="12:12" x14ac:dyDescent="0.45">
      <c r="L222" s="17"/>
    </row>
    <row r="223" spans="12:12" x14ac:dyDescent="0.45">
      <c r="L223" s="17"/>
    </row>
    <row r="224" spans="12:12" x14ac:dyDescent="0.45">
      <c r="L224" s="17"/>
    </row>
    <row r="225" spans="12:12" x14ac:dyDescent="0.45">
      <c r="L225" s="17"/>
    </row>
    <row r="226" spans="12:12" x14ac:dyDescent="0.45">
      <c r="L226" s="17"/>
    </row>
    <row r="227" spans="12:12" x14ac:dyDescent="0.45">
      <c r="L227" s="17"/>
    </row>
    <row r="228" spans="12:12" x14ac:dyDescent="0.45">
      <c r="L228" s="17"/>
    </row>
    <row r="229" spans="12:12" x14ac:dyDescent="0.45">
      <c r="L229" s="17"/>
    </row>
    <row r="230" spans="12:12" x14ac:dyDescent="0.45">
      <c r="L230" s="17"/>
    </row>
    <row r="231" spans="12:12" x14ac:dyDescent="0.45">
      <c r="L231" s="17"/>
    </row>
    <row r="232" spans="12:12" x14ac:dyDescent="0.45">
      <c r="L232" s="17"/>
    </row>
    <row r="233" spans="12:12" x14ac:dyDescent="0.45">
      <c r="L233" s="17"/>
    </row>
    <row r="234" spans="12:12" x14ac:dyDescent="0.45">
      <c r="L234" s="17"/>
    </row>
    <row r="235" spans="12:12" x14ac:dyDescent="0.45">
      <c r="L235" s="17"/>
    </row>
    <row r="236" spans="12:12" x14ac:dyDescent="0.45">
      <c r="L236" s="17"/>
    </row>
    <row r="237" spans="12:12" x14ac:dyDescent="0.45">
      <c r="L237" s="17"/>
    </row>
    <row r="238" spans="12:12" x14ac:dyDescent="0.45">
      <c r="L238" s="17"/>
    </row>
    <row r="239" spans="12:12" x14ac:dyDescent="0.45">
      <c r="L239" s="17"/>
    </row>
    <row r="240" spans="12:12" x14ac:dyDescent="0.45">
      <c r="L240" s="17"/>
    </row>
    <row r="241" spans="12:12" x14ac:dyDescent="0.45">
      <c r="L241" s="17"/>
    </row>
    <row r="242" spans="12:12" x14ac:dyDescent="0.45">
      <c r="L242" s="17"/>
    </row>
    <row r="243" spans="12:12" x14ac:dyDescent="0.45">
      <c r="L243" s="17"/>
    </row>
    <row r="244" spans="12:12" x14ac:dyDescent="0.45">
      <c r="L244" s="17"/>
    </row>
    <row r="245" spans="12:12" x14ac:dyDescent="0.45">
      <c r="L245" s="17"/>
    </row>
    <row r="246" spans="12:12" x14ac:dyDescent="0.45">
      <c r="L246" s="17"/>
    </row>
    <row r="247" spans="12:12" x14ac:dyDescent="0.45">
      <c r="L247" s="17"/>
    </row>
    <row r="248" spans="12:12" x14ac:dyDescent="0.45">
      <c r="L248" s="17"/>
    </row>
    <row r="249" spans="12:12" x14ac:dyDescent="0.45">
      <c r="L249" s="17"/>
    </row>
    <row r="250" spans="12:12" x14ac:dyDescent="0.45">
      <c r="L250" s="17"/>
    </row>
    <row r="251" spans="12:12" x14ac:dyDescent="0.45">
      <c r="L251" s="17"/>
    </row>
    <row r="252" spans="12:12" x14ac:dyDescent="0.45">
      <c r="L252" s="17"/>
    </row>
    <row r="253" spans="12:12" x14ac:dyDescent="0.45">
      <c r="L253" s="17"/>
    </row>
    <row r="254" spans="12:12" x14ac:dyDescent="0.45">
      <c r="L254" s="17"/>
    </row>
    <row r="255" spans="12:12" x14ac:dyDescent="0.45">
      <c r="L255" s="17"/>
    </row>
    <row r="256" spans="12:12" x14ac:dyDescent="0.45">
      <c r="L256" s="17"/>
    </row>
    <row r="257" spans="12:12" x14ac:dyDescent="0.45">
      <c r="L257" s="17"/>
    </row>
    <row r="258" spans="12:12" x14ac:dyDescent="0.45">
      <c r="L258" s="17"/>
    </row>
    <row r="259" spans="12:12" x14ac:dyDescent="0.45">
      <c r="L259" s="17"/>
    </row>
    <row r="260" spans="12:12" x14ac:dyDescent="0.45">
      <c r="L260" s="17"/>
    </row>
    <row r="261" spans="12:12" x14ac:dyDescent="0.45">
      <c r="L261" s="17"/>
    </row>
    <row r="262" spans="12:12" x14ac:dyDescent="0.45">
      <c r="L262" s="17"/>
    </row>
    <row r="263" spans="12:12" x14ac:dyDescent="0.45">
      <c r="L263" s="17"/>
    </row>
    <row r="264" spans="12:12" x14ac:dyDescent="0.45">
      <c r="L264" s="17"/>
    </row>
    <row r="265" spans="12:12" x14ac:dyDescent="0.45">
      <c r="L265" s="17"/>
    </row>
    <row r="266" spans="12:12" x14ac:dyDescent="0.45">
      <c r="L266" s="17"/>
    </row>
    <row r="267" spans="12:12" x14ac:dyDescent="0.45">
      <c r="L267" s="17"/>
    </row>
    <row r="268" spans="12:12" x14ac:dyDescent="0.45">
      <c r="L268" s="17"/>
    </row>
    <row r="269" spans="12:12" x14ac:dyDescent="0.45">
      <c r="L269" s="17"/>
    </row>
    <row r="270" spans="12:12" x14ac:dyDescent="0.45">
      <c r="L270" s="17"/>
    </row>
    <row r="271" spans="12:12" x14ac:dyDescent="0.45">
      <c r="L271" s="17"/>
    </row>
    <row r="272" spans="12:12" x14ac:dyDescent="0.45">
      <c r="L272" s="17"/>
    </row>
    <row r="273" spans="12:12" x14ac:dyDescent="0.45">
      <c r="L273" s="17"/>
    </row>
    <row r="274" spans="12:12" x14ac:dyDescent="0.45">
      <c r="L274" s="17"/>
    </row>
    <row r="275" spans="12:12" x14ac:dyDescent="0.45">
      <c r="L275" s="17"/>
    </row>
    <row r="276" spans="12:12" x14ac:dyDescent="0.45">
      <c r="L276" s="17"/>
    </row>
    <row r="277" spans="12:12" x14ac:dyDescent="0.45">
      <c r="L277" s="17"/>
    </row>
    <row r="278" spans="12:12" x14ac:dyDescent="0.45">
      <c r="L278" s="17"/>
    </row>
    <row r="279" spans="12:12" x14ac:dyDescent="0.45">
      <c r="L279" s="17"/>
    </row>
    <row r="280" spans="12:12" x14ac:dyDescent="0.45">
      <c r="L280" s="17"/>
    </row>
    <row r="281" spans="12:12" x14ac:dyDescent="0.45">
      <c r="L281" s="17"/>
    </row>
    <row r="282" spans="12:12" x14ac:dyDescent="0.45">
      <c r="L282" s="17"/>
    </row>
    <row r="283" spans="12:12" x14ac:dyDescent="0.45">
      <c r="L283" s="17"/>
    </row>
    <row r="284" spans="12:12" x14ac:dyDescent="0.45">
      <c r="L284" s="17"/>
    </row>
    <row r="285" spans="12:12" x14ac:dyDescent="0.45">
      <c r="L285" s="17"/>
    </row>
    <row r="286" spans="12:12" x14ac:dyDescent="0.45">
      <c r="L286" s="17"/>
    </row>
    <row r="287" spans="12:12" x14ac:dyDescent="0.45">
      <c r="L287" s="17"/>
    </row>
    <row r="288" spans="12:12" x14ac:dyDescent="0.45">
      <c r="L288" s="17"/>
    </row>
    <row r="289" spans="12:12" x14ac:dyDescent="0.45">
      <c r="L289" s="17"/>
    </row>
    <row r="290" spans="12:12" x14ac:dyDescent="0.45">
      <c r="L290" s="17"/>
    </row>
    <row r="291" spans="12:12" x14ac:dyDescent="0.45">
      <c r="L291" s="17"/>
    </row>
    <row r="292" spans="12:12" x14ac:dyDescent="0.45">
      <c r="L292" s="17"/>
    </row>
    <row r="293" spans="12:12" x14ac:dyDescent="0.45">
      <c r="L293" s="17"/>
    </row>
    <row r="294" spans="12:12" x14ac:dyDescent="0.45">
      <c r="L294" s="17"/>
    </row>
    <row r="295" spans="12:12" x14ac:dyDescent="0.45">
      <c r="L295" s="17"/>
    </row>
    <row r="296" spans="12:12" x14ac:dyDescent="0.45">
      <c r="L296" s="17"/>
    </row>
    <row r="297" spans="12:12" x14ac:dyDescent="0.45">
      <c r="L297" s="17"/>
    </row>
    <row r="298" spans="12:12" x14ac:dyDescent="0.45">
      <c r="L298" s="17"/>
    </row>
    <row r="299" spans="12:12" x14ac:dyDescent="0.45">
      <c r="L299" s="17"/>
    </row>
    <row r="300" spans="12:12" x14ac:dyDescent="0.45">
      <c r="L300" s="17"/>
    </row>
    <row r="301" spans="12:12" x14ac:dyDescent="0.45">
      <c r="L301" s="17"/>
    </row>
    <row r="302" spans="12:12" x14ac:dyDescent="0.45">
      <c r="L302" s="17"/>
    </row>
    <row r="303" spans="12:12" x14ac:dyDescent="0.45">
      <c r="L303" s="17"/>
    </row>
    <row r="304" spans="12:12" x14ac:dyDescent="0.45">
      <c r="L304" s="17"/>
    </row>
    <row r="305" spans="12:12" x14ac:dyDescent="0.45">
      <c r="L305" s="17"/>
    </row>
    <row r="306" spans="12:12" x14ac:dyDescent="0.45">
      <c r="L306" s="17"/>
    </row>
    <row r="307" spans="12:12" x14ac:dyDescent="0.45">
      <c r="L307" s="17"/>
    </row>
    <row r="308" spans="12:12" x14ac:dyDescent="0.45">
      <c r="L308" s="17"/>
    </row>
    <row r="309" spans="12:12" x14ac:dyDescent="0.45">
      <c r="L309" s="17"/>
    </row>
    <row r="310" spans="12:12" x14ac:dyDescent="0.45">
      <c r="L310" s="17"/>
    </row>
    <row r="311" spans="12:12" x14ac:dyDescent="0.45">
      <c r="L311" s="17"/>
    </row>
    <row r="312" spans="12:12" x14ac:dyDescent="0.45">
      <c r="L312" s="17"/>
    </row>
    <row r="313" spans="12:12" x14ac:dyDescent="0.45">
      <c r="L313" s="17"/>
    </row>
    <row r="314" spans="12:12" x14ac:dyDescent="0.45">
      <c r="L314" s="17"/>
    </row>
    <row r="315" spans="12:12" x14ac:dyDescent="0.45">
      <c r="L315" s="17"/>
    </row>
    <row r="316" spans="12:12" x14ac:dyDescent="0.45">
      <c r="L316" s="17"/>
    </row>
    <row r="317" spans="12:12" x14ac:dyDescent="0.45">
      <c r="L317" s="17"/>
    </row>
    <row r="318" spans="12:12" x14ac:dyDescent="0.45">
      <c r="L318" s="17"/>
    </row>
    <row r="319" spans="12:12" x14ac:dyDescent="0.45">
      <c r="L319" s="17"/>
    </row>
    <row r="320" spans="12:12" x14ac:dyDescent="0.45">
      <c r="L320" s="17"/>
    </row>
    <row r="321" spans="12:12" x14ac:dyDescent="0.45">
      <c r="L321" s="17"/>
    </row>
    <row r="322" spans="12:12" x14ac:dyDescent="0.45">
      <c r="L322" s="17"/>
    </row>
    <row r="323" spans="12:12" x14ac:dyDescent="0.45">
      <c r="L323" s="17"/>
    </row>
    <row r="324" spans="12:12" x14ac:dyDescent="0.45">
      <c r="L324" s="17"/>
    </row>
    <row r="325" spans="12:12" x14ac:dyDescent="0.45">
      <c r="L325" s="17"/>
    </row>
    <row r="326" spans="12:12" x14ac:dyDescent="0.45">
      <c r="L326" s="17"/>
    </row>
    <row r="327" spans="12:12" x14ac:dyDescent="0.45">
      <c r="L327" s="17"/>
    </row>
    <row r="328" spans="12:12" x14ac:dyDescent="0.45">
      <c r="L328" s="17"/>
    </row>
  </sheetData>
  <autoFilter ref="B67:K67" xr:uid="{9213BD67-B97C-4317-A87B-087D868410A2}"/>
  <mergeCells count="5">
    <mergeCell ref="B3:Y3"/>
    <mergeCell ref="B1:Y2"/>
    <mergeCell ref="B5:C5"/>
    <mergeCell ref="E5:F5"/>
    <mergeCell ref="H5:J5"/>
  </mergeCells>
  <conditionalFormatting sqref="B54:H56 B17:H37 B39:H49 B57:F60 G57:H61 K39:L49 D50:H50">
    <cfRule type="expression" dxfId="32" priority="22" stopIfTrue="1">
      <formula>$E17&gt;0</formula>
    </cfRule>
    <cfRule type="expression" dxfId="31" priority="23" stopIfTrue="1">
      <formula>$E17&lt;0</formula>
    </cfRule>
  </conditionalFormatting>
  <conditionalFormatting sqref="I39:I49 I51 I53:I61 I17:I37">
    <cfRule type="expression" dxfId="30" priority="24" stopIfTrue="1">
      <formula>$I17&gt;0</formula>
    </cfRule>
    <cfRule type="expression" dxfId="29" priority="25" stopIfTrue="1">
      <formula>$I17&lt;0</formula>
    </cfRule>
  </conditionalFormatting>
  <conditionalFormatting sqref="J51:J61">
    <cfRule type="expression" dxfId="28" priority="26" stopIfTrue="1">
      <formula>J51&gt;0</formula>
    </cfRule>
    <cfRule type="expression" dxfId="27" priority="27" stopIfTrue="1">
      <formula>J51&lt;0</formula>
    </cfRule>
  </conditionalFormatting>
  <conditionalFormatting sqref="K17:L17">
    <cfRule type="expression" dxfId="26" priority="20" stopIfTrue="1">
      <formula>$E17&gt;0</formula>
    </cfRule>
    <cfRule type="expression" dxfId="25" priority="21" stopIfTrue="1">
      <formula>$E17&lt;0</formula>
    </cfRule>
  </conditionalFormatting>
  <conditionalFormatting sqref="K18:L37">
    <cfRule type="expression" dxfId="24" priority="18" stopIfTrue="1">
      <formula>$E18&gt;0</formula>
    </cfRule>
    <cfRule type="expression" dxfId="23" priority="19" stopIfTrue="1">
      <formula>$E18&lt;0</formula>
    </cfRule>
  </conditionalFormatting>
  <conditionalFormatting sqref="B53:C53 F52:H53 C52:D52">
    <cfRule type="expression" dxfId="22" priority="28" stopIfTrue="1">
      <formula>#REF!&gt;0</formula>
    </cfRule>
    <cfRule type="expression" dxfId="21" priority="29" stopIfTrue="1">
      <formula>#REF!&lt;0</formula>
    </cfRule>
  </conditionalFormatting>
  <conditionalFormatting sqref="B50:C50">
    <cfRule type="expression" dxfId="20" priority="14" stopIfTrue="1">
      <formula>$E50&gt;0</formula>
    </cfRule>
    <cfRule type="expression" dxfId="19" priority="15" stopIfTrue="1">
      <formula>$E50&lt;0</formula>
    </cfRule>
  </conditionalFormatting>
  <conditionalFormatting sqref="I50">
    <cfRule type="expression" dxfId="18" priority="16" stopIfTrue="1">
      <formula>$I50&gt;0</formula>
    </cfRule>
    <cfRule type="expression" dxfId="17" priority="17" stopIfTrue="1">
      <formula>$I50&lt;0</formula>
    </cfRule>
  </conditionalFormatting>
  <conditionalFormatting sqref="K50:L50">
    <cfRule type="expression" dxfId="16" priority="12" stopIfTrue="1">
      <formula>$E50&gt;0</formula>
    </cfRule>
    <cfRule type="expression" dxfId="15" priority="13" stopIfTrue="1">
      <formula>$E50&lt;0</formula>
    </cfRule>
  </conditionalFormatting>
  <conditionalFormatting sqref="I38">
    <cfRule type="expression" dxfId="14" priority="10" stopIfTrue="1">
      <formula>$I38&gt;0</formula>
    </cfRule>
    <cfRule type="expression" dxfId="13" priority="11" stopIfTrue="1">
      <formula>$I38&lt;0</formula>
    </cfRule>
  </conditionalFormatting>
  <conditionalFormatting sqref="J17">
    <cfRule type="cellIs" dxfId="12" priority="8" operator="lessThan">
      <formula>0</formula>
    </cfRule>
    <cfRule type="cellIs" dxfId="11" priority="9" operator="greaterThan">
      <formula>0</formula>
    </cfRule>
  </conditionalFormatting>
  <conditionalFormatting sqref="J18:J37">
    <cfRule type="cellIs" dxfId="10" priority="6" operator="lessThan">
      <formula>0</formula>
    </cfRule>
    <cfRule type="cellIs" dxfId="9" priority="7" operator="greaterThan">
      <formula>0</formula>
    </cfRule>
  </conditionalFormatting>
  <conditionalFormatting sqref="J39:J50">
    <cfRule type="cellIs" dxfId="8" priority="4" operator="lessThan">
      <formula>0</formula>
    </cfRule>
    <cfRule type="cellIs" dxfId="7" priority="5" operator="greaterThan">
      <formula>0</formula>
    </cfRule>
  </conditionalFormatting>
  <conditionalFormatting sqref="Q18:Q27 Q29">
    <cfRule type="expression" dxfId="6" priority="30" stopIfTrue="1">
      <formula>$Q18&gt;0</formula>
    </cfRule>
    <cfRule type="expression" dxfId="5" priority="31" stopIfTrue="1">
      <formula>$Q18&lt;0</formula>
    </cfRule>
  </conditionalFormatting>
  <conditionalFormatting sqref="M17:M50">
    <cfRule type="cellIs" dxfId="4" priority="2" operator="lessThan">
      <formula>0</formula>
    </cfRule>
    <cfRule type="cellIs" dxfId="3" priority="3" operator="greaterThan">
      <formula>0</formula>
    </cfRule>
  </conditionalFormatting>
  <conditionalFormatting sqref="W17:W29">
    <cfRule type="expression" dxfId="2" priority="32" stopIfTrue="1">
      <formula>$W17&gt;0</formula>
    </cfRule>
    <cfRule type="expression" dxfId="1" priority="33" stopIfTrue="1">
      <formula>$W17&lt;0</formula>
    </cfRule>
  </conditionalFormatting>
  <conditionalFormatting sqref="S17:S27">
    <cfRule type="cellIs" dxfId="0" priority="1" operator="greaterThanOrEqual">
      <formula>0.2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535548-CB07-481C-B298-193899141B45}">
  <dimension ref="B1:S58"/>
  <sheetViews>
    <sheetView zoomScale="85" zoomScaleNormal="85" workbookViewId="0">
      <selection activeCell="F7" sqref="F7"/>
    </sheetView>
  </sheetViews>
  <sheetFormatPr defaultColWidth="9.1328125" defaultRowHeight="14.25" x14ac:dyDescent="0.45"/>
  <cols>
    <col min="1" max="1" width="9.1328125" style="1"/>
    <col min="2" max="9" width="10.86328125" style="1" customWidth="1"/>
    <col min="10" max="10" width="13.1328125" style="1" customWidth="1"/>
    <col min="11" max="16384" width="9.1328125" style="1"/>
  </cols>
  <sheetData>
    <row r="1" spans="2:19" x14ac:dyDescent="0.45">
      <c r="B1" s="285" t="s">
        <v>415</v>
      </c>
      <c r="C1" s="299"/>
      <c r="D1" s="299"/>
      <c r="E1" s="299"/>
      <c r="F1" s="299"/>
      <c r="G1" s="299"/>
      <c r="H1" s="299"/>
      <c r="I1" s="299"/>
      <c r="J1" s="299"/>
      <c r="K1" s="299"/>
      <c r="L1" s="299"/>
      <c r="M1" s="299"/>
      <c r="N1" s="299"/>
      <c r="O1" s="299"/>
      <c r="P1" s="299"/>
      <c r="Q1" s="299"/>
      <c r="R1" s="299"/>
      <c r="S1" s="299"/>
    </row>
    <row r="2" spans="2:19" ht="14.65" thickBot="1" x14ac:dyDescent="0.5">
      <c r="B2" s="304"/>
      <c r="C2" s="304"/>
      <c r="D2" s="304"/>
      <c r="E2" s="304"/>
      <c r="F2" s="304"/>
      <c r="G2" s="304"/>
      <c r="H2" s="304"/>
      <c r="I2" s="304"/>
      <c r="J2" s="304"/>
      <c r="K2" s="304"/>
      <c r="L2" s="304"/>
      <c r="M2" s="304"/>
      <c r="N2" s="304"/>
      <c r="O2" s="304"/>
      <c r="P2" s="304"/>
      <c r="Q2" s="304"/>
      <c r="R2" s="304"/>
      <c r="S2" s="304"/>
    </row>
    <row r="3" spans="2:19" ht="14.65" thickBot="1" x14ac:dyDescent="0.5">
      <c r="B3" s="287" t="s">
        <v>419</v>
      </c>
      <c r="C3" s="297"/>
      <c r="D3" s="297"/>
      <c r="E3" s="297"/>
      <c r="F3" s="297"/>
      <c r="G3" s="297"/>
      <c r="H3" s="297"/>
      <c r="I3" s="297"/>
      <c r="J3" s="297"/>
      <c r="K3" s="297"/>
      <c r="L3" s="297"/>
      <c r="M3" s="297"/>
      <c r="N3" s="297"/>
      <c r="O3" s="297"/>
      <c r="P3" s="297"/>
      <c r="Q3" s="297"/>
      <c r="R3" s="297"/>
      <c r="S3" s="298"/>
    </row>
    <row r="5" spans="2:19" x14ac:dyDescent="0.45">
      <c r="C5" s="290" t="s">
        <v>417</v>
      </c>
      <c r="D5" s="295"/>
      <c r="E5" s="296"/>
      <c r="G5" s="290" t="s">
        <v>418</v>
      </c>
      <c r="H5" s="295"/>
      <c r="I5" s="295"/>
      <c r="J5" s="296"/>
    </row>
    <row r="6" spans="2:19" ht="28.5" x14ac:dyDescent="0.45">
      <c r="C6" s="259" t="s">
        <v>410</v>
      </c>
      <c r="D6" s="259" t="s">
        <v>396</v>
      </c>
      <c r="E6" s="259" t="s">
        <v>403</v>
      </c>
      <c r="F6" s="237" t="s">
        <v>404</v>
      </c>
      <c r="G6" s="259" t="s">
        <v>405</v>
      </c>
      <c r="H6" s="259" t="s">
        <v>410</v>
      </c>
      <c r="I6" s="259" t="s">
        <v>396</v>
      </c>
      <c r="J6" s="259" t="s">
        <v>414</v>
      </c>
      <c r="M6" s="1" t="s">
        <v>409</v>
      </c>
    </row>
    <row r="7" spans="2:19" x14ac:dyDescent="0.45">
      <c r="B7" s="200">
        <v>43480</v>
      </c>
      <c r="C7" s="201">
        <v>172.43761100000501</v>
      </c>
      <c r="D7" s="52">
        <f>C7</f>
        <v>172.43761100000501</v>
      </c>
      <c r="E7" s="202">
        <f t="shared" ref="E7:E58" si="0">D7/100000</f>
        <v>1.72437611000005E-3</v>
      </c>
      <c r="F7" s="52">
        <v>204000</v>
      </c>
      <c r="G7" s="201">
        <f>(F7-50000)*(1/365)*M7</f>
        <v>16.454794520547946</v>
      </c>
      <c r="H7" s="201">
        <f>C7-G7</f>
        <v>155.98281647945706</v>
      </c>
      <c r="I7" s="52">
        <f>H7</f>
        <v>155.98281647945706</v>
      </c>
      <c r="J7" s="202">
        <f>I7/50000</f>
        <v>3.1196563295891413E-3</v>
      </c>
      <c r="M7" s="122">
        <v>3.9E-2</v>
      </c>
    </row>
    <row r="8" spans="2:19" x14ac:dyDescent="0.45">
      <c r="B8" s="200">
        <v>43481</v>
      </c>
      <c r="C8" s="201">
        <v>184.18810800000585</v>
      </c>
      <c r="D8" s="52">
        <f>C8+C7</f>
        <v>356.62571900001086</v>
      </c>
      <c r="E8" s="202">
        <f t="shared" si="0"/>
        <v>3.5662571900001087E-3</v>
      </c>
      <c r="F8" s="52">
        <v>204000</v>
      </c>
      <c r="G8" s="201">
        <f t="shared" ref="G8:G39" si="1">(F8-50000)*((B8-B7)/365)*$M$7</f>
        <v>16.454794520547946</v>
      </c>
      <c r="H8" s="201">
        <f>C8-G8</f>
        <v>167.73331347945791</v>
      </c>
      <c r="I8" s="52">
        <f>H8+H7</f>
        <v>323.71612995891496</v>
      </c>
      <c r="J8" s="202">
        <f>I8/50000</f>
        <v>6.4743225991782992E-3</v>
      </c>
    </row>
    <row r="9" spans="2:19" x14ac:dyDescent="0.45">
      <c r="B9" s="200">
        <v>43482</v>
      </c>
      <c r="C9" s="201">
        <v>124.67378599999502</v>
      </c>
      <c r="D9" s="52">
        <f t="shared" ref="D9:D58" si="2">D8+C9</f>
        <v>481.29950500000587</v>
      </c>
      <c r="E9" s="202">
        <f t="shared" si="0"/>
        <v>4.8129950500000584E-3</v>
      </c>
      <c r="F9" s="52">
        <v>189500</v>
      </c>
      <c r="G9" s="201">
        <f t="shared" si="1"/>
        <v>14.905479452054795</v>
      </c>
      <c r="H9" s="201">
        <f t="shared" ref="H9:H13" si="3">C9-G9</f>
        <v>109.76830654794023</v>
      </c>
      <c r="I9" s="52">
        <f t="shared" ref="I9:I13" si="4">I8+H9</f>
        <v>433.48443650685522</v>
      </c>
      <c r="J9" s="202">
        <f t="shared" ref="J9:J58" si="5">I9/50000</f>
        <v>8.6696887301371036E-3</v>
      </c>
    </row>
    <row r="10" spans="2:19" x14ac:dyDescent="0.45">
      <c r="B10" s="200">
        <v>43483</v>
      </c>
      <c r="C10" s="201">
        <v>-518.82999999999902</v>
      </c>
      <c r="D10" s="52">
        <f t="shared" si="2"/>
        <v>-37.530494999993152</v>
      </c>
      <c r="E10" s="202">
        <f t="shared" si="0"/>
        <v>-3.753049499999315E-4</v>
      </c>
      <c r="F10" s="52">
        <v>188500</v>
      </c>
      <c r="G10" s="201">
        <f t="shared" si="1"/>
        <v>14.798630136986302</v>
      </c>
      <c r="H10" s="201">
        <f t="shared" si="3"/>
        <v>-533.62863013698529</v>
      </c>
      <c r="I10" s="52">
        <f t="shared" si="4"/>
        <v>-100.14419363013008</v>
      </c>
      <c r="J10" s="202">
        <f t="shared" si="5"/>
        <v>-2.0028838726026017E-3</v>
      </c>
    </row>
    <row r="11" spans="2:19" x14ac:dyDescent="0.45">
      <c r="B11" s="200">
        <v>43487</v>
      </c>
      <c r="C11" s="201">
        <v>560</v>
      </c>
      <c r="D11" s="52">
        <f t="shared" si="2"/>
        <v>522.46950500000685</v>
      </c>
      <c r="E11" s="202">
        <f t="shared" si="0"/>
        <v>5.2246950500000689E-3</v>
      </c>
      <c r="F11" s="52">
        <v>188300</v>
      </c>
      <c r="G11" s="201">
        <f t="shared" si="1"/>
        <v>59.109041095890419</v>
      </c>
      <c r="H11" s="201">
        <f t="shared" si="3"/>
        <v>500.8909589041096</v>
      </c>
      <c r="I11" s="52">
        <f t="shared" si="4"/>
        <v>400.74676527397952</v>
      </c>
      <c r="J11" s="202">
        <f t="shared" si="5"/>
        <v>8.0149353054795903E-3</v>
      </c>
    </row>
    <row r="12" spans="2:19" x14ac:dyDescent="0.45">
      <c r="B12" s="200">
        <v>43488</v>
      </c>
      <c r="C12" s="201">
        <v>-210</v>
      </c>
      <c r="D12" s="52">
        <f t="shared" si="2"/>
        <v>312.46950500000685</v>
      </c>
      <c r="E12" s="202">
        <f t="shared" si="0"/>
        <v>3.1246950500000686E-3</v>
      </c>
      <c r="F12" s="52">
        <v>189000</v>
      </c>
      <c r="G12" s="201">
        <f t="shared" si="1"/>
        <v>14.852054794520548</v>
      </c>
      <c r="H12" s="201">
        <f t="shared" si="3"/>
        <v>-224.85205479452054</v>
      </c>
      <c r="I12" s="52">
        <f t="shared" si="4"/>
        <v>175.89471047945898</v>
      </c>
      <c r="J12" s="202">
        <f t="shared" si="5"/>
        <v>3.5178942095891795E-3</v>
      </c>
    </row>
    <row r="13" spans="2:19" x14ac:dyDescent="0.45">
      <c r="B13" s="200">
        <v>43489</v>
      </c>
      <c r="C13" s="201">
        <v>-20</v>
      </c>
      <c r="D13" s="52">
        <f t="shared" si="2"/>
        <v>292.46950500000685</v>
      </c>
      <c r="E13" s="202">
        <f t="shared" si="0"/>
        <v>2.9246950500000685E-3</v>
      </c>
      <c r="F13" s="52">
        <v>189000</v>
      </c>
      <c r="G13" s="201">
        <f t="shared" si="1"/>
        <v>14.852054794520548</v>
      </c>
      <c r="H13" s="201">
        <f t="shared" si="3"/>
        <v>-34.852054794520548</v>
      </c>
      <c r="I13" s="52">
        <f t="shared" si="4"/>
        <v>141.04265568493844</v>
      </c>
      <c r="J13" s="202">
        <f t="shared" si="5"/>
        <v>2.8208531136987686E-3</v>
      </c>
    </row>
    <row r="14" spans="2:19" x14ac:dyDescent="0.45">
      <c r="B14" s="200">
        <v>43490</v>
      </c>
      <c r="C14" s="201">
        <v>125</v>
      </c>
      <c r="D14" s="52">
        <f t="shared" si="2"/>
        <v>417.46950500000685</v>
      </c>
      <c r="E14" s="202">
        <f t="shared" si="0"/>
        <v>4.1746950500000683E-3</v>
      </c>
      <c r="F14" s="52">
        <v>161000</v>
      </c>
      <c r="G14" s="201">
        <f t="shared" si="1"/>
        <v>11.860273972602739</v>
      </c>
      <c r="H14" s="201">
        <f>C14-G14</f>
        <v>113.13972602739726</v>
      </c>
      <c r="I14" s="52">
        <f>I13+H14</f>
        <v>254.18238171233571</v>
      </c>
      <c r="J14" s="202">
        <f t="shared" si="5"/>
        <v>5.0836476342467143E-3</v>
      </c>
    </row>
    <row r="15" spans="2:19" x14ac:dyDescent="0.45">
      <c r="B15" s="200">
        <v>43493</v>
      </c>
      <c r="C15" s="201">
        <v>43</v>
      </c>
      <c r="D15" s="52">
        <f t="shared" si="2"/>
        <v>460.46950500000685</v>
      </c>
      <c r="E15" s="202">
        <f t="shared" si="0"/>
        <v>4.6046950500000681E-3</v>
      </c>
      <c r="F15" s="52">
        <v>161001</v>
      </c>
      <c r="G15" s="201">
        <f t="shared" si="1"/>
        <v>35.581142465753416</v>
      </c>
      <c r="H15" s="201">
        <f t="shared" ref="H15:H20" si="6">C15-G15</f>
        <v>7.4188575342465839</v>
      </c>
      <c r="I15" s="52">
        <f t="shared" ref="I15:I20" si="7">I14+H15</f>
        <v>261.60123924658228</v>
      </c>
      <c r="J15" s="202">
        <f t="shared" si="5"/>
        <v>5.2320247849316458E-3</v>
      </c>
    </row>
    <row r="16" spans="2:19" x14ac:dyDescent="0.45">
      <c r="B16" s="200">
        <v>43494</v>
      </c>
      <c r="C16" s="201">
        <v>-237</v>
      </c>
      <c r="D16" s="52">
        <f t="shared" si="2"/>
        <v>223.46950500000685</v>
      </c>
      <c r="E16" s="202">
        <f t="shared" si="0"/>
        <v>2.2346950500000684E-3</v>
      </c>
      <c r="F16" s="52">
        <v>159700</v>
      </c>
      <c r="G16" s="201">
        <f t="shared" si="1"/>
        <v>11.721369863013699</v>
      </c>
      <c r="H16" s="201">
        <f t="shared" si="6"/>
        <v>-248.72136986301371</v>
      </c>
      <c r="I16" s="52">
        <f t="shared" si="7"/>
        <v>12.879869383568575</v>
      </c>
      <c r="J16" s="202">
        <f t="shared" si="5"/>
        <v>2.5759738767137149E-4</v>
      </c>
    </row>
    <row r="17" spans="2:10" x14ac:dyDescent="0.45">
      <c r="B17" s="200">
        <v>43495</v>
      </c>
      <c r="C17" s="201">
        <v>-279</v>
      </c>
      <c r="D17" s="52">
        <f t="shared" si="2"/>
        <v>-55.530494999993152</v>
      </c>
      <c r="E17" s="202">
        <f t="shared" si="0"/>
        <v>-5.5530494999993154E-4</v>
      </c>
      <c r="F17" s="52">
        <v>161800</v>
      </c>
      <c r="G17" s="201">
        <f t="shared" si="1"/>
        <v>11.945753424657534</v>
      </c>
      <c r="H17" s="201">
        <f t="shared" si="6"/>
        <v>-290.94575342465754</v>
      </c>
      <c r="I17" s="52">
        <f t="shared" si="7"/>
        <v>-278.06588404108896</v>
      </c>
      <c r="J17" s="202">
        <f t="shared" si="5"/>
        <v>-5.5613176808217797E-3</v>
      </c>
    </row>
    <row r="18" spans="2:10" x14ac:dyDescent="0.45">
      <c r="B18" s="200">
        <v>43496</v>
      </c>
      <c r="C18" s="201">
        <f>434-21</f>
        <v>413</v>
      </c>
      <c r="D18" s="52">
        <f t="shared" si="2"/>
        <v>357.46950500000685</v>
      </c>
      <c r="E18" s="202">
        <f t="shared" si="0"/>
        <v>3.5746950500000685E-3</v>
      </c>
      <c r="F18" s="52">
        <v>161801</v>
      </c>
      <c r="G18" s="201">
        <f t="shared" si="1"/>
        <v>11.945860273972603</v>
      </c>
      <c r="H18" s="201">
        <f t="shared" si="6"/>
        <v>401.05413972602742</v>
      </c>
      <c r="I18" s="52">
        <f t="shared" si="7"/>
        <v>122.98825568493845</v>
      </c>
      <c r="J18" s="202">
        <f t="shared" si="5"/>
        <v>2.4597651136987692E-3</v>
      </c>
    </row>
    <row r="19" spans="2:10" x14ac:dyDescent="0.45">
      <c r="B19" s="200">
        <v>43497</v>
      </c>
      <c r="C19" s="201">
        <v>417</v>
      </c>
      <c r="D19" s="52">
        <f t="shared" si="2"/>
        <v>774.46950500000685</v>
      </c>
      <c r="E19" s="202">
        <f t="shared" si="0"/>
        <v>7.7446950500000685E-3</v>
      </c>
      <c r="F19" s="52">
        <v>193305</v>
      </c>
      <c r="G19" s="201">
        <f t="shared" si="1"/>
        <v>15.312041095890411</v>
      </c>
      <c r="H19" s="201">
        <f t="shared" si="6"/>
        <v>401.68795890410956</v>
      </c>
      <c r="I19" s="52">
        <f t="shared" si="7"/>
        <v>524.67621458904796</v>
      </c>
      <c r="J19" s="202">
        <f t="shared" si="5"/>
        <v>1.0493524291780959E-2</v>
      </c>
    </row>
    <row r="20" spans="2:10" x14ac:dyDescent="0.45">
      <c r="B20" s="200">
        <v>43500</v>
      </c>
      <c r="C20" s="201">
        <v>-58</v>
      </c>
      <c r="D20" s="52">
        <f t="shared" si="2"/>
        <v>716.46950500000685</v>
      </c>
      <c r="E20" s="202">
        <f t="shared" si="0"/>
        <v>7.1646950500000688E-3</v>
      </c>
      <c r="F20" s="52">
        <v>194713</v>
      </c>
      <c r="G20" s="201">
        <f t="shared" si="1"/>
        <v>46.387454794520536</v>
      </c>
      <c r="H20" s="201">
        <f t="shared" si="6"/>
        <v>-104.38745479452054</v>
      </c>
      <c r="I20" s="52">
        <f t="shared" si="7"/>
        <v>420.28875979452744</v>
      </c>
      <c r="J20" s="202">
        <f t="shared" si="5"/>
        <v>8.4057751958905493E-3</v>
      </c>
    </row>
    <row r="21" spans="2:10" x14ac:dyDescent="0.45">
      <c r="B21" s="200">
        <v>43501</v>
      </c>
      <c r="C21" s="201">
        <v>71</v>
      </c>
      <c r="D21" s="52">
        <f t="shared" si="2"/>
        <v>787.46950500000685</v>
      </c>
      <c r="E21" s="202">
        <f t="shared" si="0"/>
        <v>7.8746950500000693E-3</v>
      </c>
      <c r="F21" s="52">
        <v>196121</v>
      </c>
      <c r="G21" s="201">
        <f t="shared" si="1"/>
        <v>15.612928767123288</v>
      </c>
      <c r="H21" s="201">
        <f>C21-G21</f>
        <v>55.387071232876714</v>
      </c>
      <c r="I21" s="52">
        <f>I20+H21</f>
        <v>475.67583102740417</v>
      </c>
      <c r="J21" s="202">
        <f t="shared" si="5"/>
        <v>9.513516620548083E-3</v>
      </c>
    </row>
    <row r="22" spans="2:10" x14ac:dyDescent="0.45">
      <c r="B22" s="200">
        <v>43502</v>
      </c>
      <c r="C22" s="201">
        <v>323</v>
      </c>
      <c r="D22" s="52">
        <f t="shared" si="2"/>
        <v>1110.4695050000068</v>
      </c>
      <c r="E22" s="202">
        <f t="shared" si="0"/>
        <v>1.1104695050000068E-2</v>
      </c>
      <c r="F22" s="52">
        <v>197529</v>
      </c>
      <c r="G22" s="201">
        <f t="shared" si="1"/>
        <v>15.763372602739725</v>
      </c>
      <c r="H22" s="201">
        <f t="shared" ref="H22:H58" si="8">C22-G22</f>
        <v>307.23662739726029</v>
      </c>
      <c r="I22" s="52">
        <f t="shared" ref="I22:I58" si="9">I21+H22</f>
        <v>782.91245842466446</v>
      </c>
      <c r="J22" s="202">
        <f t="shared" si="5"/>
        <v>1.5658249168493288E-2</v>
      </c>
    </row>
    <row r="23" spans="2:10" x14ac:dyDescent="0.45">
      <c r="B23" s="200">
        <v>43503</v>
      </c>
      <c r="C23" s="201">
        <v>464</v>
      </c>
      <c r="D23" s="52">
        <f t="shared" si="2"/>
        <v>1574.4695050000068</v>
      </c>
      <c r="E23" s="202">
        <f t="shared" si="0"/>
        <v>1.574469505000007E-2</v>
      </c>
      <c r="F23" s="52">
        <v>179085</v>
      </c>
      <c r="G23" s="201">
        <f t="shared" si="1"/>
        <v>13.792643835616438</v>
      </c>
      <c r="H23" s="201">
        <f t="shared" si="8"/>
        <v>450.20735616438355</v>
      </c>
      <c r="I23" s="52">
        <f t="shared" si="9"/>
        <v>1233.119814589048</v>
      </c>
      <c r="J23" s="202">
        <f t="shared" si="5"/>
        <v>2.466239629178096E-2</v>
      </c>
    </row>
    <row r="24" spans="2:10" x14ac:dyDescent="0.45">
      <c r="B24" s="200">
        <v>43504</v>
      </c>
      <c r="C24" s="201">
        <v>444</v>
      </c>
      <c r="D24" s="52">
        <f t="shared" si="2"/>
        <v>2018.4695050000068</v>
      </c>
      <c r="E24" s="202">
        <f t="shared" si="0"/>
        <v>2.0184695050000069E-2</v>
      </c>
      <c r="F24" s="52">
        <v>179086</v>
      </c>
      <c r="G24" s="201">
        <f t="shared" si="1"/>
        <v>13.792750684931507</v>
      </c>
      <c r="H24" s="201">
        <f t="shared" si="8"/>
        <v>430.20724931506851</v>
      </c>
      <c r="I24" s="52">
        <f t="shared" si="9"/>
        <v>1663.3270639041166</v>
      </c>
      <c r="J24" s="202">
        <f t="shared" si="5"/>
        <v>3.3266541278082332E-2</v>
      </c>
    </row>
    <row r="25" spans="2:10" x14ac:dyDescent="0.45">
      <c r="B25" s="200">
        <v>43507</v>
      </c>
      <c r="C25" s="201">
        <v>-169</v>
      </c>
      <c r="D25" s="52">
        <f t="shared" si="2"/>
        <v>1849.4695050000068</v>
      </c>
      <c r="E25" s="202">
        <f t="shared" si="0"/>
        <v>1.8494695050000069E-2</v>
      </c>
      <c r="F25" s="52">
        <v>132000</v>
      </c>
      <c r="G25" s="201">
        <f t="shared" si="1"/>
        <v>26.284931506849311</v>
      </c>
      <c r="H25" s="201">
        <f t="shared" si="8"/>
        <v>-195.28493150684932</v>
      </c>
      <c r="I25" s="52">
        <f t="shared" si="9"/>
        <v>1468.0421323972673</v>
      </c>
      <c r="J25" s="202">
        <f t="shared" si="5"/>
        <v>2.9360842647945345E-2</v>
      </c>
    </row>
    <row r="26" spans="2:10" x14ac:dyDescent="0.45">
      <c r="B26" s="200">
        <v>43508</v>
      </c>
      <c r="C26" s="201">
        <v>138</v>
      </c>
      <c r="D26" s="52">
        <f t="shared" si="2"/>
        <v>1987.4695050000068</v>
      </c>
      <c r="E26" s="202">
        <f t="shared" si="0"/>
        <v>1.9874695050000068E-2</v>
      </c>
      <c r="F26" s="52">
        <v>118000</v>
      </c>
      <c r="G26" s="201">
        <f t="shared" si="1"/>
        <v>7.2657534246575342</v>
      </c>
      <c r="H26" s="201">
        <f t="shared" si="8"/>
        <v>130.73424657534247</v>
      </c>
      <c r="I26" s="52">
        <f t="shared" si="9"/>
        <v>1598.7763789726098</v>
      </c>
      <c r="J26" s="202">
        <f t="shared" si="5"/>
        <v>3.1975527579452198E-2</v>
      </c>
    </row>
    <row r="27" spans="2:10" x14ac:dyDescent="0.45">
      <c r="B27" s="200">
        <v>43509</v>
      </c>
      <c r="C27" s="201">
        <v>-424</v>
      </c>
      <c r="D27" s="52">
        <f t="shared" si="2"/>
        <v>1563.4695050000068</v>
      </c>
      <c r="E27" s="202">
        <f t="shared" si="0"/>
        <v>1.5634695050000067E-2</v>
      </c>
      <c r="F27" s="52">
        <v>105000</v>
      </c>
      <c r="G27" s="201">
        <f t="shared" si="1"/>
        <v>5.8767123287671232</v>
      </c>
      <c r="H27" s="201">
        <f t="shared" si="8"/>
        <v>-429.8767123287671</v>
      </c>
      <c r="I27" s="52">
        <f t="shared" si="9"/>
        <v>1168.8996666438427</v>
      </c>
      <c r="J27" s="202">
        <f t="shared" si="5"/>
        <v>2.3377993332876854E-2</v>
      </c>
    </row>
    <row r="28" spans="2:10" x14ac:dyDescent="0.45">
      <c r="B28" s="200">
        <v>43510</v>
      </c>
      <c r="C28" s="201">
        <v>313</v>
      </c>
      <c r="D28" s="52">
        <f t="shared" si="2"/>
        <v>1876.4695050000068</v>
      </c>
      <c r="E28" s="202">
        <f t="shared" si="0"/>
        <v>1.8764695050000068E-2</v>
      </c>
      <c r="F28" s="52">
        <v>89500</v>
      </c>
      <c r="G28" s="201">
        <f t="shared" si="1"/>
        <v>4.220547945205479</v>
      </c>
      <c r="H28" s="201">
        <f t="shared" si="8"/>
        <v>308.77945205479455</v>
      </c>
      <c r="I28" s="52">
        <f t="shared" si="9"/>
        <v>1477.6791186986372</v>
      </c>
      <c r="J28" s="202">
        <f t="shared" si="5"/>
        <v>2.9553582373972744E-2</v>
      </c>
    </row>
    <row r="29" spans="2:10" x14ac:dyDescent="0.45">
      <c r="B29" s="200">
        <v>43511</v>
      </c>
      <c r="C29" s="201">
        <v>170</v>
      </c>
      <c r="D29" s="52">
        <f t="shared" si="2"/>
        <v>2046.4695050000068</v>
      </c>
      <c r="E29" s="202">
        <f t="shared" si="0"/>
        <v>2.0464695050000068E-2</v>
      </c>
      <c r="F29" s="52">
        <v>89501</v>
      </c>
      <c r="G29" s="201">
        <f t="shared" si="1"/>
        <v>4.2206547945205477</v>
      </c>
      <c r="H29" s="201">
        <f t="shared" si="8"/>
        <v>165.77934520547944</v>
      </c>
      <c r="I29" s="52">
        <f t="shared" si="9"/>
        <v>1643.4584639041168</v>
      </c>
      <c r="J29" s="202">
        <f t="shared" si="5"/>
        <v>3.2869169278082339E-2</v>
      </c>
    </row>
    <row r="30" spans="2:10" x14ac:dyDescent="0.45">
      <c r="B30" s="200">
        <v>43515</v>
      </c>
      <c r="C30" s="201">
        <v>260</v>
      </c>
      <c r="D30" s="52">
        <f t="shared" si="2"/>
        <v>2306.4695050000068</v>
      </c>
      <c r="E30" s="202">
        <f t="shared" si="0"/>
        <v>2.306469505000007E-2</v>
      </c>
      <c r="F30" s="52">
        <v>162000</v>
      </c>
      <c r="G30" s="201">
        <f t="shared" si="1"/>
        <v>47.868493150684927</v>
      </c>
      <c r="H30" s="201">
        <f t="shared" si="8"/>
        <v>212.13150684931509</v>
      </c>
      <c r="I30" s="52">
        <f t="shared" si="9"/>
        <v>1855.5899707534318</v>
      </c>
      <c r="J30" s="202">
        <f t="shared" si="5"/>
        <v>3.7111799415068633E-2</v>
      </c>
    </row>
    <row r="31" spans="2:10" x14ac:dyDescent="0.45">
      <c r="B31" s="200">
        <v>43516</v>
      </c>
      <c r="C31" s="201">
        <v>140</v>
      </c>
      <c r="D31" s="52">
        <f t="shared" si="2"/>
        <v>2446.4695050000068</v>
      </c>
      <c r="E31" s="202">
        <f t="shared" si="0"/>
        <v>2.4464695050000068E-2</v>
      </c>
      <c r="F31" s="52">
        <v>162001</v>
      </c>
      <c r="G31" s="201">
        <f t="shared" si="1"/>
        <v>11.9672301369863</v>
      </c>
      <c r="H31" s="201">
        <f t="shared" si="8"/>
        <v>128.0327698630137</v>
      </c>
      <c r="I31" s="52">
        <f t="shared" si="9"/>
        <v>1983.6227406164455</v>
      </c>
      <c r="J31" s="202">
        <f t="shared" si="5"/>
        <v>3.9672454812328908E-2</v>
      </c>
    </row>
    <row r="32" spans="2:10" x14ac:dyDescent="0.45">
      <c r="B32" s="200">
        <v>43517</v>
      </c>
      <c r="C32" s="201">
        <v>56</v>
      </c>
      <c r="D32" s="52">
        <f t="shared" si="2"/>
        <v>2502.4695050000068</v>
      </c>
      <c r="E32" s="202">
        <f t="shared" si="0"/>
        <v>2.502469505000007E-2</v>
      </c>
      <c r="F32" s="52">
        <v>162002</v>
      </c>
      <c r="G32" s="201">
        <f t="shared" si="1"/>
        <v>11.967336986301371</v>
      </c>
      <c r="H32" s="201">
        <f t="shared" si="8"/>
        <v>44.032663013698631</v>
      </c>
      <c r="I32" s="52">
        <f t="shared" si="9"/>
        <v>2027.6554036301441</v>
      </c>
      <c r="J32" s="202">
        <f t="shared" si="5"/>
        <v>4.0553108072602879E-2</v>
      </c>
    </row>
    <row r="33" spans="2:10" x14ac:dyDescent="0.45">
      <c r="B33" s="200">
        <v>43518</v>
      </c>
      <c r="C33" s="201">
        <v>505</v>
      </c>
      <c r="D33" s="52">
        <f t="shared" si="2"/>
        <v>3007.4695050000068</v>
      </c>
      <c r="E33" s="202">
        <f t="shared" si="0"/>
        <v>3.0074695050000069E-2</v>
      </c>
      <c r="F33" s="52">
        <v>162003</v>
      </c>
      <c r="G33" s="201">
        <f t="shared" si="1"/>
        <v>11.967443835616439</v>
      </c>
      <c r="H33" s="201">
        <f t="shared" si="8"/>
        <v>493.03255616438355</v>
      </c>
      <c r="I33" s="52">
        <f t="shared" si="9"/>
        <v>2520.6879597945276</v>
      </c>
      <c r="J33" s="202">
        <f t="shared" si="5"/>
        <v>5.0413759195890549E-2</v>
      </c>
    </row>
    <row r="34" spans="2:10" x14ac:dyDescent="0.45">
      <c r="B34" s="200">
        <v>43521</v>
      </c>
      <c r="C34" s="201">
        <v>51</v>
      </c>
      <c r="D34" s="52">
        <f t="shared" si="2"/>
        <v>3058.4695050000068</v>
      </c>
      <c r="E34" s="202">
        <f t="shared" si="0"/>
        <v>3.0584695050000069E-2</v>
      </c>
      <c r="F34" s="52">
        <v>178366</v>
      </c>
      <c r="G34" s="201">
        <f t="shared" si="1"/>
        <v>41.147457534246577</v>
      </c>
      <c r="H34" s="201">
        <f t="shared" si="8"/>
        <v>9.8525424657534231</v>
      </c>
      <c r="I34" s="52">
        <f t="shared" si="9"/>
        <v>2530.5405022602808</v>
      </c>
      <c r="J34" s="202">
        <f t="shared" si="5"/>
        <v>5.0610810045205616E-2</v>
      </c>
    </row>
    <row r="35" spans="2:10" x14ac:dyDescent="0.45">
      <c r="B35" s="200">
        <v>43522</v>
      </c>
      <c r="C35" s="201">
        <v>-247</v>
      </c>
      <c r="D35" s="52">
        <f t="shared" si="2"/>
        <v>2811.4695050000068</v>
      </c>
      <c r="E35" s="202">
        <f t="shared" si="0"/>
        <v>2.8114695050000069E-2</v>
      </c>
      <c r="F35" s="52">
        <v>178500</v>
      </c>
      <c r="G35" s="201">
        <f t="shared" si="1"/>
        <v>13.730136986301369</v>
      </c>
      <c r="H35" s="201">
        <f t="shared" si="8"/>
        <v>-260.73013698630137</v>
      </c>
      <c r="I35" s="52">
        <f t="shared" si="9"/>
        <v>2269.8103652739796</v>
      </c>
      <c r="J35" s="202">
        <f t="shared" si="5"/>
        <v>4.5396207305479594E-2</v>
      </c>
    </row>
    <row r="36" spans="2:10" x14ac:dyDescent="0.45">
      <c r="B36" s="200">
        <v>43523</v>
      </c>
      <c r="C36" s="201">
        <v>639</v>
      </c>
      <c r="D36" s="52">
        <f t="shared" si="2"/>
        <v>3450.4695050000068</v>
      </c>
      <c r="E36" s="202">
        <f t="shared" si="0"/>
        <v>3.4504695050000068E-2</v>
      </c>
      <c r="F36" s="52">
        <v>162200</v>
      </c>
      <c r="G36" s="201">
        <f t="shared" si="1"/>
        <v>11.988493150684933</v>
      </c>
      <c r="H36" s="201">
        <f t="shared" si="8"/>
        <v>627.01150684931508</v>
      </c>
      <c r="I36" s="52">
        <f t="shared" si="9"/>
        <v>2896.8218721232947</v>
      </c>
      <c r="J36" s="202">
        <f t="shared" si="5"/>
        <v>5.7936437442465898E-2</v>
      </c>
    </row>
    <row r="37" spans="2:10" x14ac:dyDescent="0.45">
      <c r="B37" s="200">
        <v>43524</v>
      </c>
      <c r="C37" s="201">
        <v>-387</v>
      </c>
      <c r="D37" s="52">
        <f t="shared" si="2"/>
        <v>3063.4695050000068</v>
      </c>
      <c r="E37" s="202">
        <f t="shared" si="0"/>
        <v>3.063469505000007E-2</v>
      </c>
      <c r="F37" s="52">
        <v>130000</v>
      </c>
      <c r="G37" s="201">
        <f t="shared" si="1"/>
        <v>8.5479452054794525</v>
      </c>
      <c r="H37" s="201">
        <f t="shared" si="8"/>
        <v>-395.54794520547944</v>
      </c>
      <c r="I37" s="52">
        <f t="shared" si="9"/>
        <v>2501.2739269178155</v>
      </c>
      <c r="J37" s="202">
        <f t="shared" si="5"/>
        <v>5.0025478538356309E-2</v>
      </c>
    </row>
    <row r="38" spans="2:10" x14ac:dyDescent="0.45">
      <c r="B38" s="200">
        <v>43525</v>
      </c>
      <c r="C38" s="201">
        <v>334</v>
      </c>
      <c r="D38" s="52">
        <f t="shared" si="2"/>
        <v>3397.4695050000068</v>
      </c>
      <c r="E38" s="202">
        <f t="shared" si="0"/>
        <v>3.3974695050000066E-2</v>
      </c>
      <c r="F38" s="52">
        <v>130000</v>
      </c>
      <c r="G38" s="201">
        <f t="shared" si="1"/>
        <v>8.5479452054794525</v>
      </c>
      <c r="H38" s="201">
        <f t="shared" si="8"/>
        <v>325.45205479452056</v>
      </c>
      <c r="I38" s="52">
        <f t="shared" si="9"/>
        <v>2826.7259817123359</v>
      </c>
      <c r="J38" s="202">
        <f t="shared" si="5"/>
        <v>5.6534519634246716E-2</v>
      </c>
    </row>
    <row r="39" spans="2:10" x14ac:dyDescent="0.45">
      <c r="B39" s="200">
        <v>43528</v>
      </c>
      <c r="C39" s="201">
        <v>-836</v>
      </c>
      <c r="D39" s="52">
        <f t="shared" si="2"/>
        <v>2561.4695050000068</v>
      </c>
      <c r="E39" s="202">
        <f t="shared" si="0"/>
        <v>2.561469505000007E-2</v>
      </c>
      <c r="F39" s="52">
        <v>130000</v>
      </c>
      <c r="G39" s="201">
        <f t="shared" si="1"/>
        <v>25.643835616438356</v>
      </c>
      <c r="H39" s="201">
        <f t="shared" si="8"/>
        <v>-861.64383561643831</v>
      </c>
      <c r="I39" s="52">
        <f t="shared" si="9"/>
        <v>1965.0821460958975</v>
      </c>
      <c r="J39" s="202">
        <f t="shared" si="5"/>
        <v>3.9301642921917949E-2</v>
      </c>
    </row>
    <row r="40" spans="2:10" x14ac:dyDescent="0.45">
      <c r="B40" s="200">
        <v>43529</v>
      </c>
      <c r="C40" s="201">
        <v>2</v>
      </c>
      <c r="D40" s="52">
        <f t="shared" si="2"/>
        <v>2563.4695050000068</v>
      </c>
      <c r="E40" s="202">
        <f t="shared" si="0"/>
        <v>2.5634695050000069E-2</v>
      </c>
      <c r="F40" s="52">
        <v>130000</v>
      </c>
      <c r="G40" s="201">
        <f t="shared" ref="G40:G58" si="10">(F40-50000)*((B40-B39)/365)*$M$7</f>
        <v>8.5479452054794525</v>
      </c>
      <c r="H40" s="201">
        <f t="shared" si="8"/>
        <v>-6.5479452054794525</v>
      </c>
      <c r="I40" s="52">
        <f t="shared" si="9"/>
        <v>1958.5342008904181</v>
      </c>
      <c r="J40" s="202">
        <f t="shared" si="5"/>
        <v>3.9170684017808363E-2</v>
      </c>
    </row>
    <row r="41" spans="2:10" x14ac:dyDescent="0.45">
      <c r="B41" s="200">
        <v>43530</v>
      </c>
      <c r="C41" s="201">
        <v>-146</v>
      </c>
      <c r="D41" s="52">
        <f t="shared" si="2"/>
        <v>2417.4695050000068</v>
      </c>
      <c r="E41" s="202">
        <f t="shared" si="0"/>
        <v>2.417469505000007E-2</v>
      </c>
      <c r="F41" s="52">
        <v>98500</v>
      </c>
      <c r="G41" s="201">
        <f t="shared" si="10"/>
        <v>5.1821917808219178</v>
      </c>
      <c r="H41" s="201">
        <f t="shared" si="8"/>
        <v>-151.18219178082191</v>
      </c>
      <c r="I41" s="52">
        <f t="shared" si="9"/>
        <v>1807.3520091095961</v>
      </c>
      <c r="J41" s="202">
        <f t="shared" si="5"/>
        <v>3.614704018219192E-2</v>
      </c>
    </row>
    <row r="42" spans="2:10" x14ac:dyDescent="0.45">
      <c r="B42" s="200">
        <v>43531</v>
      </c>
      <c r="C42" s="201">
        <v>252</v>
      </c>
      <c r="D42" s="52">
        <f t="shared" si="2"/>
        <v>2669.4695050000068</v>
      </c>
      <c r="E42" s="202">
        <f t="shared" si="0"/>
        <v>2.6694695050000068E-2</v>
      </c>
      <c r="F42" s="52">
        <v>98000</v>
      </c>
      <c r="G42" s="201">
        <f t="shared" si="10"/>
        <v>5.1287671232876715</v>
      </c>
      <c r="H42" s="201">
        <f t="shared" si="8"/>
        <v>246.87123287671233</v>
      </c>
      <c r="I42" s="52">
        <f t="shared" si="9"/>
        <v>2054.2232419863085</v>
      </c>
      <c r="J42" s="202">
        <f t="shared" si="5"/>
        <v>4.1084464839726172E-2</v>
      </c>
    </row>
    <row r="43" spans="2:10" x14ac:dyDescent="0.45">
      <c r="B43" s="200">
        <v>43532</v>
      </c>
      <c r="C43" s="201">
        <f>-102+148</f>
        <v>46</v>
      </c>
      <c r="D43" s="52">
        <f t="shared" si="2"/>
        <v>2715.4695050000068</v>
      </c>
      <c r="E43" s="202">
        <f t="shared" si="0"/>
        <v>2.715469505000007E-2</v>
      </c>
      <c r="F43" s="52">
        <f>83722-14000</f>
        <v>69722</v>
      </c>
      <c r="G43" s="201">
        <f t="shared" si="10"/>
        <v>2.107282191780822</v>
      </c>
      <c r="H43" s="201">
        <f t="shared" si="8"/>
        <v>43.892717808219174</v>
      </c>
      <c r="I43" s="52">
        <f t="shared" si="9"/>
        <v>2098.1159597945275</v>
      </c>
      <c r="J43" s="202">
        <f t="shared" si="5"/>
        <v>4.1962319195890552E-2</v>
      </c>
    </row>
    <row r="44" spans="2:10" x14ac:dyDescent="0.45">
      <c r="B44" s="200">
        <v>43535</v>
      </c>
      <c r="C44" s="201">
        <v>-67</v>
      </c>
      <c r="D44" s="52">
        <f t="shared" si="2"/>
        <v>2648.4695050000068</v>
      </c>
      <c r="E44" s="202">
        <f t="shared" si="0"/>
        <v>2.6484695050000069E-2</v>
      </c>
      <c r="F44" s="52">
        <f>85000-14000</f>
        <v>71000</v>
      </c>
      <c r="G44" s="201">
        <f t="shared" si="10"/>
        <v>6.7315068493150676</v>
      </c>
      <c r="H44" s="201">
        <f t="shared" si="8"/>
        <v>-73.731506849315068</v>
      </c>
      <c r="I44" s="52">
        <f t="shared" si="9"/>
        <v>2024.3844529452124</v>
      </c>
      <c r="J44" s="202">
        <f t="shared" si="5"/>
        <v>4.048768905890425E-2</v>
      </c>
    </row>
    <row r="45" spans="2:10" x14ac:dyDescent="0.45">
      <c r="B45" s="200">
        <v>43536</v>
      </c>
      <c r="C45" s="201">
        <v>-145</v>
      </c>
      <c r="D45" s="52">
        <f t="shared" si="2"/>
        <v>2503.4695050000068</v>
      </c>
      <c r="E45" s="202">
        <f t="shared" si="0"/>
        <v>2.5034695050000069E-2</v>
      </c>
      <c r="F45" s="52">
        <f>85200-14000</f>
        <v>71200</v>
      </c>
      <c r="G45" s="201">
        <f t="shared" si="10"/>
        <v>2.2652054794520549</v>
      </c>
      <c r="H45" s="201">
        <f t="shared" si="8"/>
        <v>-147.26520547945205</v>
      </c>
      <c r="I45" s="52">
        <f t="shared" si="9"/>
        <v>1877.1192474657603</v>
      </c>
      <c r="J45" s="202">
        <f t="shared" si="5"/>
        <v>3.7542384949315208E-2</v>
      </c>
    </row>
    <row r="46" spans="2:10" x14ac:dyDescent="0.45">
      <c r="B46" s="200">
        <v>43537</v>
      </c>
      <c r="C46" s="201">
        <v>-116</v>
      </c>
      <c r="D46" s="52">
        <f t="shared" si="2"/>
        <v>2387.4695050000068</v>
      </c>
      <c r="E46" s="202">
        <f t="shared" si="0"/>
        <v>2.3874695050000068E-2</v>
      </c>
      <c r="F46" s="52">
        <f>85200-14000</f>
        <v>71200</v>
      </c>
      <c r="G46" s="201">
        <f t="shared" si="10"/>
        <v>2.2652054794520549</v>
      </c>
      <c r="H46" s="201">
        <f t="shared" si="8"/>
        <v>-118.26520547945205</v>
      </c>
      <c r="I46" s="52">
        <f t="shared" si="9"/>
        <v>1758.8540419863082</v>
      </c>
      <c r="J46" s="202">
        <f t="shared" si="5"/>
        <v>3.5177080839726163E-2</v>
      </c>
    </row>
    <row r="47" spans="2:10" x14ac:dyDescent="0.45">
      <c r="B47" s="200">
        <v>43538</v>
      </c>
      <c r="C47" s="201">
        <v>54</v>
      </c>
      <c r="D47" s="52">
        <f t="shared" si="2"/>
        <v>2441.4695050000068</v>
      </c>
      <c r="E47" s="202">
        <f t="shared" si="0"/>
        <v>2.441469505000007E-2</v>
      </c>
      <c r="F47" s="52">
        <v>71364</v>
      </c>
      <c r="G47" s="201">
        <f t="shared" si="10"/>
        <v>2.2827287671232876</v>
      </c>
      <c r="H47" s="201">
        <f t="shared" si="8"/>
        <v>51.717271232876712</v>
      </c>
      <c r="I47" s="52">
        <f t="shared" si="9"/>
        <v>1810.571313219185</v>
      </c>
      <c r="J47" s="202">
        <f t="shared" si="5"/>
        <v>3.62114262643837E-2</v>
      </c>
    </row>
    <row r="48" spans="2:10" x14ac:dyDescent="0.45">
      <c r="B48" s="200">
        <v>43539</v>
      </c>
      <c r="C48" s="201">
        <v>-95</v>
      </c>
      <c r="D48" s="52">
        <f t="shared" si="2"/>
        <v>2346.4695050000068</v>
      </c>
      <c r="E48" s="202">
        <f t="shared" si="0"/>
        <v>2.3464695050000067E-2</v>
      </c>
      <c r="F48" s="52">
        <v>71800</v>
      </c>
      <c r="G48" s="201">
        <f t="shared" si="10"/>
        <v>2.3293150684931505</v>
      </c>
      <c r="H48" s="201">
        <f t="shared" si="8"/>
        <v>-97.329315068493145</v>
      </c>
      <c r="I48" s="52">
        <f t="shared" si="9"/>
        <v>1713.2419981506919</v>
      </c>
      <c r="J48" s="202">
        <f t="shared" si="5"/>
        <v>3.4264839963013841E-2</v>
      </c>
    </row>
    <row r="49" spans="2:10" x14ac:dyDescent="0.45">
      <c r="B49" s="200">
        <v>43542</v>
      </c>
      <c r="C49" s="201">
        <v>-82</v>
      </c>
      <c r="D49" s="52">
        <f t="shared" si="2"/>
        <v>2264.4695050000068</v>
      </c>
      <c r="E49" s="202">
        <f t="shared" si="0"/>
        <v>2.2644695050000069E-2</v>
      </c>
      <c r="F49" s="52">
        <v>72000</v>
      </c>
      <c r="G49" s="201">
        <f t="shared" si="10"/>
        <v>7.0520547945205472</v>
      </c>
      <c r="H49" s="201">
        <f t="shared" si="8"/>
        <v>-89.052054794520544</v>
      </c>
      <c r="I49" s="52">
        <f t="shared" si="9"/>
        <v>1624.1899433561714</v>
      </c>
      <c r="J49" s="202">
        <f t="shared" si="5"/>
        <v>3.248379886712343E-2</v>
      </c>
    </row>
    <row r="50" spans="2:10" x14ac:dyDescent="0.45">
      <c r="B50" s="200">
        <v>43543</v>
      </c>
      <c r="C50" s="201">
        <v>236</v>
      </c>
      <c r="D50" s="52">
        <f t="shared" si="2"/>
        <v>2500.4695050000068</v>
      </c>
      <c r="E50" s="202">
        <f t="shared" si="0"/>
        <v>2.5004695050000067E-2</v>
      </c>
      <c r="F50" s="52">
        <v>72300</v>
      </c>
      <c r="G50" s="201">
        <f t="shared" si="10"/>
        <v>2.3827397260273973</v>
      </c>
      <c r="H50" s="201">
        <f t="shared" si="8"/>
        <v>233.61726027397259</v>
      </c>
      <c r="I50" s="52">
        <f t="shared" si="9"/>
        <v>1857.8072036301439</v>
      </c>
      <c r="J50" s="202">
        <f t="shared" si="5"/>
        <v>3.7156144072602877E-2</v>
      </c>
    </row>
    <row r="51" spans="2:10" x14ac:dyDescent="0.45">
      <c r="B51" s="200">
        <v>43544</v>
      </c>
      <c r="C51" s="201">
        <v>234</v>
      </c>
      <c r="D51" s="52">
        <f t="shared" si="2"/>
        <v>2734.4695050000068</v>
      </c>
      <c r="E51" s="202">
        <f t="shared" si="0"/>
        <v>2.7344695050000069E-2</v>
      </c>
      <c r="F51" s="52">
        <v>72300</v>
      </c>
      <c r="G51" s="201">
        <f t="shared" si="10"/>
        <v>2.3827397260273973</v>
      </c>
      <c r="H51" s="201">
        <f t="shared" si="8"/>
        <v>231.61726027397259</v>
      </c>
      <c r="I51" s="52">
        <f t="shared" si="9"/>
        <v>2089.4244639041167</v>
      </c>
      <c r="J51" s="202">
        <f t="shared" si="5"/>
        <v>4.1788489278082333E-2</v>
      </c>
    </row>
    <row r="52" spans="2:10" x14ac:dyDescent="0.45">
      <c r="B52" s="200">
        <v>43545</v>
      </c>
      <c r="C52" s="201">
        <v>253</v>
      </c>
      <c r="D52" s="52">
        <f t="shared" si="2"/>
        <v>2987.4695050000068</v>
      </c>
      <c r="E52" s="202">
        <f t="shared" si="0"/>
        <v>2.987469505000007E-2</v>
      </c>
      <c r="F52" s="52">
        <v>73600</v>
      </c>
      <c r="G52" s="201">
        <f t="shared" si="10"/>
        <v>2.5216438356164383</v>
      </c>
      <c r="H52" s="201">
        <f t="shared" si="8"/>
        <v>250.47835616438357</v>
      </c>
      <c r="I52" s="52">
        <f t="shared" si="9"/>
        <v>2339.9028200685002</v>
      </c>
      <c r="J52" s="202">
        <f t="shared" si="5"/>
        <v>4.6798056401370004E-2</v>
      </c>
    </row>
    <row r="53" spans="2:10" x14ac:dyDescent="0.45">
      <c r="B53" s="200">
        <v>43546</v>
      </c>
      <c r="C53" s="201">
        <v>-259</v>
      </c>
      <c r="D53" s="52">
        <f t="shared" si="2"/>
        <v>2728.4695050000068</v>
      </c>
      <c r="E53" s="202">
        <f t="shared" si="0"/>
        <v>2.7284695050000068E-2</v>
      </c>
      <c r="F53" s="52">
        <v>71900</v>
      </c>
      <c r="G53" s="201">
        <f t="shared" si="10"/>
        <v>2.34</v>
      </c>
      <c r="H53" s="201">
        <f t="shared" si="8"/>
        <v>-261.33999999999997</v>
      </c>
      <c r="I53" s="52">
        <f t="shared" si="9"/>
        <v>2078.5628200685001</v>
      </c>
      <c r="J53" s="202">
        <f t="shared" si="5"/>
        <v>4.1571256401370001E-2</v>
      </c>
    </row>
    <row r="54" spans="2:10" x14ac:dyDescent="0.45">
      <c r="B54" s="200">
        <v>43549</v>
      </c>
      <c r="C54" s="201">
        <v>183</v>
      </c>
      <c r="D54" s="52">
        <f t="shared" si="2"/>
        <v>2911.4695050000068</v>
      </c>
      <c r="E54" s="202">
        <f t="shared" si="0"/>
        <v>2.911469505000007E-2</v>
      </c>
      <c r="F54" s="52">
        <v>71900</v>
      </c>
      <c r="G54" s="201">
        <f t="shared" si="10"/>
        <v>7.0199999999999987</v>
      </c>
      <c r="H54" s="201">
        <f t="shared" si="8"/>
        <v>175.98</v>
      </c>
      <c r="I54" s="52">
        <f t="shared" si="9"/>
        <v>2254.5428200685001</v>
      </c>
      <c r="J54" s="202">
        <f t="shared" si="5"/>
        <v>4.5090856401369998E-2</v>
      </c>
    </row>
    <row r="55" spans="2:10" x14ac:dyDescent="0.45">
      <c r="B55" s="200">
        <v>43550</v>
      </c>
      <c r="C55" s="201">
        <v>84</v>
      </c>
      <c r="D55" s="52">
        <f t="shared" si="2"/>
        <v>2995.4695050000068</v>
      </c>
      <c r="E55" s="202">
        <f t="shared" si="0"/>
        <v>2.995469505000007E-2</v>
      </c>
      <c r="F55" s="52">
        <v>72500</v>
      </c>
      <c r="G55" s="201">
        <f t="shared" si="10"/>
        <v>2.404109589041096</v>
      </c>
      <c r="H55" s="201">
        <f t="shared" si="8"/>
        <v>81.595890410958901</v>
      </c>
      <c r="I55" s="52">
        <f t="shared" si="9"/>
        <v>2336.138710479459</v>
      </c>
      <c r="J55" s="202">
        <f t="shared" si="5"/>
        <v>4.6722774209589181E-2</v>
      </c>
    </row>
    <row r="56" spans="2:10" x14ac:dyDescent="0.45">
      <c r="B56" s="200">
        <v>43551</v>
      </c>
      <c r="C56" s="201">
        <v>-333</v>
      </c>
      <c r="D56" s="52">
        <f t="shared" si="2"/>
        <v>2662.4695050000068</v>
      </c>
      <c r="E56" s="202">
        <f t="shared" si="0"/>
        <v>2.6624695050000067E-2</v>
      </c>
      <c r="F56" s="52">
        <v>71800</v>
      </c>
      <c r="G56" s="201">
        <f t="shared" si="10"/>
        <v>2.3293150684931505</v>
      </c>
      <c r="H56" s="201">
        <f t="shared" si="8"/>
        <v>-335.32931506849314</v>
      </c>
      <c r="I56" s="52">
        <f t="shared" si="9"/>
        <v>2000.8093954109659</v>
      </c>
      <c r="J56" s="202">
        <f t="shared" si="5"/>
        <v>4.0016187908219314E-2</v>
      </c>
    </row>
    <row r="57" spans="2:10" x14ac:dyDescent="0.45">
      <c r="B57" s="200">
        <v>43552</v>
      </c>
      <c r="C57" s="201">
        <v>18</v>
      </c>
      <c r="D57" s="52">
        <f t="shared" si="2"/>
        <v>2680.4695050000068</v>
      </c>
      <c r="E57" s="202">
        <f t="shared" si="0"/>
        <v>2.680469505000007E-2</v>
      </c>
      <c r="F57" s="52">
        <v>72100</v>
      </c>
      <c r="G57" s="201">
        <f t="shared" si="10"/>
        <v>2.3613698630136986</v>
      </c>
      <c r="H57" s="201">
        <f t="shared" si="8"/>
        <v>15.638630136986301</v>
      </c>
      <c r="I57" s="52">
        <f t="shared" si="9"/>
        <v>2016.4480255479521</v>
      </c>
      <c r="J57" s="202">
        <f t="shared" si="5"/>
        <v>4.0328960510959043E-2</v>
      </c>
    </row>
    <row r="58" spans="2:10" x14ac:dyDescent="0.45">
      <c r="B58" s="200">
        <v>43553</v>
      </c>
      <c r="C58" s="201">
        <v>-36</v>
      </c>
      <c r="D58" s="52">
        <f t="shared" si="2"/>
        <v>2644.4695050000068</v>
      </c>
      <c r="E58" s="202">
        <f t="shared" si="0"/>
        <v>2.6444695050000067E-2</v>
      </c>
      <c r="F58" s="52">
        <v>72100</v>
      </c>
      <c r="G58" s="201">
        <f t="shared" si="10"/>
        <v>2.3613698630136986</v>
      </c>
      <c r="H58" s="201">
        <f t="shared" si="8"/>
        <v>-38.361369863013699</v>
      </c>
      <c r="I58" s="52">
        <f t="shared" si="9"/>
        <v>1978.0866556849383</v>
      </c>
      <c r="J58" s="202">
        <f t="shared" si="5"/>
        <v>3.9561733113698767E-2</v>
      </c>
    </row>
  </sheetData>
  <mergeCells count="4">
    <mergeCell ref="B1:S2"/>
    <mergeCell ref="B3:S3"/>
    <mergeCell ref="C5:E5"/>
    <mergeCell ref="G5:J5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363CC-6220-4FED-A46A-02FD3109D462}">
  <dimension ref="A1:I87"/>
  <sheetViews>
    <sheetView workbookViewId="0">
      <selection sqref="A1:XFD1048576"/>
    </sheetView>
  </sheetViews>
  <sheetFormatPr defaultColWidth="9.1328125" defaultRowHeight="14.25" x14ac:dyDescent="0.45"/>
  <cols>
    <col min="1" max="1" width="16.59765625" style="1" customWidth="1"/>
    <col min="2" max="2" width="19.86328125" style="3" customWidth="1"/>
    <col min="3" max="3" width="17.86328125" style="3" customWidth="1"/>
    <col min="4" max="4" width="14.265625" style="3" customWidth="1"/>
    <col min="5" max="7" width="9.1328125" style="1"/>
    <col min="8" max="8" width="30.59765625" style="1" customWidth="1"/>
    <col min="9" max="9" width="25.265625" style="1" customWidth="1"/>
    <col min="10" max="16384" width="9.1328125" style="1"/>
  </cols>
  <sheetData>
    <row r="1" spans="1:4" x14ac:dyDescent="0.45">
      <c r="A1" s="121" t="s">
        <v>349</v>
      </c>
    </row>
    <row r="5" spans="1:4" x14ac:dyDescent="0.45">
      <c r="B5" s="7" t="s">
        <v>1</v>
      </c>
      <c r="C5" s="7" t="s">
        <v>0</v>
      </c>
      <c r="D5" s="7" t="s">
        <v>2</v>
      </c>
    </row>
    <row r="6" spans="1:4" x14ac:dyDescent="0.45">
      <c r="B6" s="8">
        <v>43161</v>
      </c>
      <c r="C6" s="9">
        <v>25000</v>
      </c>
      <c r="D6" s="10"/>
    </row>
    <row r="7" spans="1:4" x14ac:dyDescent="0.45">
      <c r="B7" s="8">
        <v>43168</v>
      </c>
      <c r="C7" s="9">
        <v>24900</v>
      </c>
      <c r="D7" s="11">
        <f>(C7-C6)/C6</f>
        <v>-4.0000000000000001E-3</v>
      </c>
    </row>
    <row r="8" spans="1:4" x14ac:dyDescent="0.45">
      <c r="B8" s="8">
        <v>43175</v>
      </c>
      <c r="C8" s="9">
        <v>24591.181121163179</v>
      </c>
      <c r="D8" s="11">
        <f t="shared" ref="D8:D71" si="0">(C8-C7)/C7</f>
        <v>-1.2402364611920508E-2</v>
      </c>
    </row>
    <row r="9" spans="1:4" x14ac:dyDescent="0.45">
      <c r="B9" s="8">
        <v>43182</v>
      </c>
      <c r="C9" s="9">
        <v>24148.53986098224</v>
      </c>
      <c r="D9" s="11">
        <f t="shared" si="0"/>
        <v>-1.8000000000000065E-2</v>
      </c>
    </row>
    <row r="10" spans="1:4" x14ac:dyDescent="0.45">
      <c r="B10" s="8">
        <v>43189</v>
      </c>
      <c r="C10" s="9">
        <v>24639.393662791757</v>
      </c>
      <c r="D10" s="11">
        <f t="shared" si="0"/>
        <v>2.0326438146374595E-2</v>
      </c>
    </row>
    <row r="11" spans="1:4" x14ac:dyDescent="0.45">
      <c r="B11" s="8">
        <v>43196</v>
      </c>
      <c r="C11" s="9">
        <v>24299.779260362931</v>
      </c>
      <c r="D11" s="11">
        <f t="shared" si="0"/>
        <v>-1.3783391226127524E-2</v>
      </c>
    </row>
    <row r="12" spans="1:4" x14ac:dyDescent="0.45">
      <c r="B12" s="8">
        <v>43203</v>
      </c>
      <c r="C12" s="9">
        <v>24783.355369310662</v>
      </c>
      <c r="D12" s="11">
        <f t="shared" si="0"/>
        <v>1.990043217127185E-2</v>
      </c>
    </row>
    <row r="13" spans="1:4" x14ac:dyDescent="0.45">
      <c r="B13" s="8">
        <v>43210</v>
      </c>
      <c r="C13" s="9">
        <v>24912.481509347799</v>
      </c>
      <c r="D13" s="11">
        <f t="shared" si="0"/>
        <v>5.2101960413735689E-3</v>
      </c>
    </row>
    <row r="14" spans="1:4" x14ac:dyDescent="0.45">
      <c r="B14" s="8">
        <v>43217</v>
      </c>
      <c r="C14" s="9">
        <v>24910.335780045367</v>
      </c>
      <c r="D14" s="11">
        <f t="shared" si="0"/>
        <v>-8.6130693228098071E-5</v>
      </c>
    </row>
    <row r="15" spans="1:4" x14ac:dyDescent="0.45">
      <c r="B15" s="8">
        <v>43224</v>
      </c>
      <c r="C15" s="9">
        <v>24849.783987873459</v>
      </c>
      <c r="D15" s="11">
        <f t="shared" si="0"/>
        <v>-2.4307898820221025E-3</v>
      </c>
    </row>
    <row r="16" spans="1:4" x14ac:dyDescent="0.45">
      <c r="B16" s="8">
        <v>43231</v>
      </c>
      <c r="C16" s="9">
        <v>25449.705282619892</v>
      </c>
      <c r="D16" s="11">
        <f t="shared" si="0"/>
        <v>2.414191185883913E-2</v>
      </c>
    </row>
    <row r="17" spans="2:9" x14ac:dyDescent="0.45">
      <c r="B17" s="8">
        <v>43238</v>
      </c>
      <c r="C17" s="9">
        <v>25312.087361092181</v>
      </c>
      <c r="D17" s="11">
        <f t="shared" si="0"/>
        <v>-5.4074465695951928E-3</v>
      </c>
    </row>
    <row r="18" spans="2:9" x14ac:dyDescent="0.45">
      <c r="B18" s="8">
        <v>43245</v>
      </c>
      <c r="C18" s="9">
        <v>25390.08739831857</v>
      </c>
      <c r="D18" s="11">
        <f t="shared" si="0"/>
        <v>3.0815331866420916E-3</v>
      </c>
    </row>
    <row r="19" spans="2:9" x14ac:dyDescent="0.45">
      <c r="B19" s="8">
        <v>43252</v>
      </c>
      <c r="C19" s="9">
        <v>25514.083841993292</v>
      </c>
      <c r="D19" s="11">
        <f t="shared" si="0"/>
        <v>4.8836556459798917E-3</v>
      </c>
    </row>
    <row r="20" spans="2:9" x14ac:dyDescent="0.45">
      <c r="B20" s="8">
        <v>43259</v>
      </c>
      <c r="C20" s="9">
        <v>25928.429590106411</v>
      </c>
      <c r="D20" s="11">
        <f t="shared" si="0"/>
        <v>1.623988345727519E-2</v>
      </c>
    </row>
    <row r="21" spans="2:9" x14ac:dyDescent="0.45">
      <c r="B21" s="8">
        <v>43266</v>
      </c>
      <c r="C21" s="9">
        <v>25934.3064164973</v>
      </c>
      <c r="D21" s="11">
        <f t="shared" si="0"/>
        <v>2.2665570124355148E-4</v>
      </c>
    </row>
    <row r="22" spans="2:9" x14ac:dyDescent="0.45">
      <c r="B22" s="8">
        <v>43273</v>
      </c>
      <c r="C22" s="9">
        <v>25703.108037759921</v>
      </c>
      <c r="D22" s="11">
        <f t="shared" si="0"/>
        <v>-8.9147700742175859E-3</v>
      </c>
    </row>
    <row r="23" spans="2:9" x14ac:dyDescent="0.45">
      <c r="B23" s="8">
        <v>43280</v>
      </c>
      <c r="C23" s="9">
        <v>25362.47087759836</v>
      </c>
      <c r="D23" s="11">
        <f t="shared" si="0"/>
        <v>-1.3252761481651861E-2</v>
      </c>
    </row>
    <row r="24" spans="2:9" ht="14.65" thickBot="1" x14ac:dyDescent="0.5">
      <c r="B24" s="8">
        <v>43287</v>
      </c>
      <c r="C24" s="9">
        <v>24905.94640180159</v>
      </c>
      <c r="D24" s="11">
        <f t="shared" si="0"/>
        <v>-1.7999999999999992E-2</v>
      </c>
    </row>
    <row r="25" spans="2:9" x14ac:dyDescent="0.45">
      <c r="B25" s="8">
        <v>43294</v>
      </c>
      <c r="C25" s="9">
        <v>25280.372076880503</v>
      </c>
      <c r="D25" s="11">
        <f t="shared" si="0"/>
        <v>1.5033585515619246E-2</v>
      </c>
      <c r="H25" s="263" t="s">
        <v>3</v>
      </c>
      <c r="I25" s="260">
        <f>_xlfn.STDEV.P(D7:D84)*SQRT(52)</f>
        <v>9.6386083362057215E-2</v>
      </c>
    </row>
    <row r="26" spans="2:9" x14ac:dyDescent="0.45">
      <c r="B26" s="8">
        <v>43301</v>
      </c>
      <c r="C26" s="9">
        <v>25285.064978962091</v>
      </c>
      <c r="D26" s="11">
        <f t="shared" si="0"/>
        <v>1.8563421722260121E-4</v>
      </c>
      <c r="H26" s="264" t="s">
        <v>4</v>
      </c>
      <c r="I26" s="261">
        <f>((1+AVERAGE(D7:D84))^52)-1</f>
        <v>0.12687691721206118</v>
      </c>
    </row>
    <row r="27" spans="2:9" x14ac:dyDescent="0.45">
      <c r="B27" s="8">
        <v>43308</v>
      </c>
      <c r="C27" s="9">
        <v>25438.39083712711</v>
      </c>
      <c r="D27" s="11">
        <f t="shared" si="0"/>
        <v>6.0638902171139542E-3</v>
      </c>
      <c r="H27" s="264" t="s">
        <v>5</v>
      </c>
      <c r="I27" s="166">
        <f>AVERAGE('Risk Free Rate'!C45:C420)/100</f>
        <v>2.3472074468085094E-2</v>
      </c>
    </row>
    <row r="28" spans="2:9" ht="14.65" thickBot="1" x14ac:dyDescent="0.5">
      <c r="B28" s="8">
        <v>43315</v>
      </c>
      <c r="C28" s="9">
        <v>25632.68820434561</v>
      </c>
      <c r="D28" s="11">
        <f t="shared" si="0"/>
        <v>7.6379582522540911E-3</v>
      </c>
      <c r="H28" s="264"/>
      <c r="I28" s="240"/>
    </row>
    <row r="29" spans="2:9" ht="18.399999999999999" thickBot="1" x14ac:dyDescent="0.6">
      <c r="B29" s="8">
        <v>43322</v>
      </c>
      <c r="C29" s="9">
        <v>25568.884494236841</v>
      </c>
      <c r="D29" s="11">
        <f t="shared" si="0"/>
        <v>-2.4891540676545794E-3</v>
      </c>
      <c r="H29" s="265" t="s">
        <v>262</v>
      </c>
      <c r="I29" s="262">
        <f>(I26-I27)/I25</f>
        <v>1.0728192197161301</v>
      </c>
    </row>
    <row r="30" spans="2:9" x14ac:dyDescent="0.45">
      <c r="B30" s="8">
        <v>43329</v>
      </c>
      <c r="C30" s="9">
        <v>25720.945697598661</v>
      </c>
      <c r="D30" s="11">
        <f t="shared" si="0"/>
        <v>5.9471191790198795E-3</v>
      </c>
    </row>
    <row r="31" spans="2:9" x14ac:dyDescent="0.45">
      <c r="B31" s="8">
        <v>43336</v>
      </c>
      <c r="C31" s="9">
        <v>25942.587497825305</v>
      </c>
      <c r="D31" s="11">
        <f t="shared" si="0"/>
        <v>8.6171715003207066E-3</v>
      </c>
    </row>
    <row r="32" spans="2:9" x14ac:dyDescent="0.45">
      <c r="B32" s="8">
        <v>43343</v>
      </c>
      <c r="C32" s="9">
        <v>26184.715061603169</v>
      </c>
      <c r="D32" s="11">
        <f t="shared" si="0"/>
        <v>9.3332079461295233E-3</v>
      </c>
    </row>
    <row r="33" spans="2:4" x14ac:dyDescent="0.45">
      <c r="B33" s="8">
        <v>43350</v>
      </c>
      <c r="C33" s="9">
        <v>25915.42372592141</v>
      </c>
      <c r="D33" s="11">
        <f t="shared" si="0"/>
        <v>-1.0284295057181786E-2</v>
      </c>
    </row>
    <row r="34" spans="2:4" x14ac:dyDescent="0.45">
      <c r="B34" s="8">
        <v>43357</v>
      </c>
      <c r="C34" s="9">
        <v>26215.939408187049</v>
      </c>
      <c r="D34" s="11">
        <f t="shared" si="0"/>
        <v>1.1596016543810315E-2</v>
      </c>
    </row>
    <row r="35" spans="2:4" x14ac:dyDescent="0.45">
      <c r="B35" s="8">
        <v>43364</v>
      </c>
      <c r="C35" s="9">
        <v>26438.753344227891</v>
      </c>
      <c r="D35" s="11">
        <f t="shared" si="0"/>
        <v>8.499178021873938E-3</v>
      </c>
    </row>
    <row r="36" spans="2:4" x14ac:dyDescent="0.45">
      <c r="B36" s="8">
        <v>43371</v>
      </c>
      <c r="C36" s="9">
        <v>26297.159745779078</v>
      </c>
      <c r="D36" s="11">
        <f t="shared" si="0"/>
        <v>-5.3555323356320808E-3</v>
      </c>
    </row>
    <row r="37" spans="2:4" x14ac:dyDescent="0.45">
      <c r="B37" s="8">
        <v>43378</v>
      </c>
      <c r="C37" s="9">
        <v>26040.775007601318</v>
      </c>
      <c r="D37" s="11">
        <f t="shared" si="0"/>
        <v>-9.749522026572149E-3</v>
      </c>
    </row>
    <row r="38" spans="2:4" x14ac:dyDescent="0.45">
      <c r="B38" s="8">
        <v>43385</v>
      </c>
      <c r="C38" s="9">
        <v>26170.978882639323</v>
      </c>
      <c r="D38" s="11">
        <f t="shared" si="0"/>
        <v>4.9999999999999472E-3</v>
      </c>
    </row>
    <row r="39" spans="2:4" x14ac:dyDescent="0.45">
      <c r="B39" s="8">
        <v>43392</v>
      </c>
      <c r="C39" s="9">
        <v>26177.127837677959</v>
      </c>
      <c r="D39" s="11">
        <f t="shared" si="0"/>
        <v>2.3495319247362394E-4</v>
      </c>
    </row>
    <row r="40" spans="2:4" x14ac:dyDescent="0.45">
      <c r="B40" s="8">
        <v>43399</v>
      </c>
      <c r="C40" s="9">
        <v>25145.374898687613</v>
      </c>
      <c r="D40" s="11">
        <f t="shared" si="0"/>
        <v>-3.9414291185349087E-2</v>
      </c>
    </row>
    <row r="41" spans="2:4" x14ac:dyDescent="0.45">
      <c r="B41" s="8">
        <v>43406</v>
      </c>
      <c r="C41" s="9">
        <v>25754.175016528341</v>
      </c>
      <c r="D41" s="11">
        <f t="shared" si="0"/>
        <v>2.4211216587289894E-2</v>
      </c>
    </row>
    <row r="42" spans="2:4" x14ac:dyDescent="0.45">
      <c r="B42" s="8">
        <v>43413</v>
      </c>
      <c r="C42" s="9">
        <v>26302.254437443255</v>
      </c>
      <c r="D42" s="11">
        <f t="shared" si="0"/>
        <v>2.1281187246851074E-2</v>
      </c>
    </row>
    <row r="43" spans="2:4" x14ac:dyDescent="0.45">
      <c r="B43" s="8">
        <v>43420</v>
      </c>
      <c r="C43" s="9">
        <v>25879.112271008311</v>
      </c>
      <c r="D43" s="11">
        <f t="shared" si="0"/>
        <v>-1.6087676721451248E-2</v>
      </c>
    </row>
    <row r="44" spans="2:4" x14ac:dyDescent="0.45">
      <c r="B44" s="8">
        <v>43427</v>
      </c>
      <c r="C44" s="9">
        <v>25620.321148298226</v>
      </c>
      <c r="D44" s="11">
        <f t="shared" si="0"/>
        <v>-1.000000000000007E-2</v>
      </c>
    </row>
    <row r="45" spans="2:4" x14ac:dyDescent="0.45">
      <c r="B45" s="8">
        <v>43434</v>
      </c>
      <c r="C45" s="9">
        <v>26286.449498153979</v>
      </c>
      <c r="D45" s="11">
        <f t="shared" si="0"/>
        <v>2.5999999999999975E-2</v>
      </c>
    </row>
    <row r="46" spans="2:4" x14ac:dyDescent="0.45">
      <c r="B46" s="8">
        <v>43441</v>
      </c>
      <c r="C46" s="9">
        <v>26312.735947652131</v>
      </c>
      <c r="D46" s="11">
        <f t="shared" si="0"/>
        <v>9.9999999999989962E-4</v>
      </c>
    </row>
    <row r="47" spans="2:4" x14ac:dyDescent="0.45">
      <c r="B47" s="8">
        <v>43448</v>
      </c>
      <c r="C47" s="9">
        <v>25981.661974267576</v>
      </c>
      <c r="D47" s="11">
        <f t="shared" si="0"/>
        <v>-1.2582270959705974E-2</v>
      </c>
    </row>
    <row r="48" spans="2:4" x14ac:dyDescent="0.45">
      <c r="B48" s="8">
        <v>43455</v>
      </c>
      <c r="C48" s="9">
        <v>26345.405241907323</v>
      </c>
      <c r="D48" s="11">
        <f t="shared" si="0"/>
        <v>1.4000000000000056E-2</v>
      </c>
    </row>
    <row r="49" spans="2:4" x14ac:dyDescent="0.45">
      <c r="B49" s="8">
        <v>43462</v>
      </c>
      <c r="C49" s="9">
        <v>26350.674322955703</v>
      </c>
      <c r="D49" s="11">
        <f t="shared" si="0"/>
        <v>1.9999999999994556E-4</v>
      </c>
    </row>
    <row r="50" spans="2:4" x14ac:dyDescent="0.45">
      <c r="B50" s="8">
        <v>43469</v>
      </c>
      <c r="C50" s="9">
        <v>26840.427823899103</v>
      </c>
      <c r="D50" s="11">
        <f t="shared" si="0"/>
        <v>1.8585994989765594E-2</v>
      </c>
    </row>
    <row r="51" spans="2:4" x14ac:dyDescent="0.45">
      <c r="B51" s="8">
        <v>43476</v>
      </c>
      <c r="C51" s="9">
        <v>26920.949107370798</v>
      </c>
      <c r="D51" s="11">
        <f t="shared" si="0"/>
        <v>2.9999999999999107E-3</v>
      </c>
    </row>
    <row r="52" spans="2:4" x14ac:dyDescent="0.45">
      <c r="B52" s="8">
        <v>43483</v>
      </c>
      <c r="C52" s="9">
        <v>26705.581514511832</v>
      </c>
      <c r="D52" s="11">
        <f t="shared" si="0"/>
        <v>-7.9999999999999672E-3</v>
      </c>
    </row>
    <row r="53" spans="2:4" x14ac:dyDescent="0.45">
      <c r="B53" s="8">
        <v>43490</v>
      </c>
      <c r="C53" s="9">
        <v>26646.085386606446</v>
      </c>
      <c r="D53" s="11">
        <f t="shared" si="0"/>
        <v>-2.2278536744483809E-3</v>
      </c>
    </row>
    <row r="54" spans="2:4" x14ac:dyDescent="0.45">
      <c r="B54" s="8">
        <v>43497</v>
      </c>
      <c r="C54" s="9">
        <v>27063.761833527526</v>
      </c>
      <c r="D54" s="11">
        <f t="shared" si="0"/>
        <v>1.5674964665955127E-2</v>
      </c>
    </row>
    <row r="55" spans="2:4" x14ac:dyDescent="0.45">
      <c r="B55" s="8">
        <v>43504</v>
      </c>
      <c r="C55" s="9">
        <v>27077.259606238193</v>
      </c>
      <c r="D55" s="11">
        <f t="shared" si="0"/>
        <v>4.9873970934615386E-4</v>
      </c>
    </row>
    <row r="56" spans="2:4" x14ac:dyDescent="0.45">
      <c r="B56" s="8">
        <v>43511</v>
      </c>
      <c r="C56" s="9">
        <v>27754.423262446522</v>
      </c>
      <c r="D56" s="11">
        <f t="shared" si="0"/>
        <v>2.5008574207868554E-2</v>
      </c>
    </row>
    <row r="57" spans="2:4" x14ac:dyDescent="0.45">
      <c r="B57" s="8">
        <v>43518</v>
      </c>
      <c r="C57" s="9">
        <v>27925.111799549853</v>
      </c>
      <c r="D57" s="11">
        <f t="shared" si="0"/>
        <v>6.1499579900939115E-3</v>
      </c>
    </row>
    <row r="58" spans="2:4" x14ac:dyDescent="0.45">
      <c r="B58" s="8">
        <v>43525</v>
      </c>
      <c r="C58" s="9">
        <v>28035.305725507198</v>
      </c>
      <c r="D58" s="11">
        <f t="shared" si="0"/>
        <v>3.9460513801459849E-3</v>
      </c>
    </row>
    <row r="59" spans="2:4" x14ac:dyDescent="0.45">
      <c r="B59" s="8">
        <v>43532</v>
      </c>
      <c r="C59" s="9">
        <v>27429.141453294465</v>
      </c>
      <c r="D59" s="11">
        <f t="shared" si="0"/>
        <v>-2.162146110150066E-2</v>
      </c>
    </row>
    <row r="60" spans="2:4" x14ac:dyDescent="0.45">
      <c r="B60" s="8">
        <v>43539</v>
      </c>
      <c r="C60" s="9">
        <v>28223.19543479913</v>
      </c>
      <c r="D60" s="11">
        <f t="shared" si="0"/>
        <v>2.8949283113974118E-2</v>
      </c>
    </row>
    <row r="61" spans="2:4" x14ac:dyDescent="0.45">
      <c r="B61" s="8">
        <v>43546</v>
      </c>
      <c r="C61" s="9">
        <v>28005.507619399181</v>
      </c>
      <c r="D61" s="11">
        <f t="shared" si="0"/>
        <v>-7.7130818125413633E-3</v>
      </c>
    </row>
    <row r="62" spans="2:4" x14ac:dyDescent="0.45">
      <c r="B62" s="8">
        <v>43553</v>
      </c>
      <c r="C62" s="9">
        <v>28342.38787923006</v>
      </c>
      <c r="D62" s="11">
        <f t="shared" si="0"/>
        <v>1.2029071724360577E-2</v>
      </c>
    </row>
    <row r="63" spans="2:4" x14ac:dyDescent="0.45">
      <c r="B63" s="8">
        <v>43560</v>
      </c>
      <c r="C63" s="9">
        <v>28925.75559732717</v>
      </c>
      <c r="D63" s="11">
        <f t="shared" si="0"/>
        <v>2.058287116042946E-2</v>
      </c>
    </row>
    <row r="64" spans="2:4" x14ac:dyDescent="0.45">
      <c r="B64" s="8">
        <v>43567</v>
      </c>
      <c r="C64" s="9">
        <v>29072.446478592254</v>
      </c>
      <c r="D64" s="11">
        <f t="shared" si="0"/>
        <v>5.0712895215998532E-3</v>
      </c>
    </row>
    <row r="65" spans="2:4" x14ac:dyDescent="0.45">
      <c r="B65" s="8">
        <v>43574</v>
      </c>
      <c r="C65" s="9">
        <v>29048.649001374732</v>
      </c>
      <c r="D65" s="11">
        <f t="shared" si="0"/>
        <v>-8.1855777892808493E-4</v>
      </c>
    </row>
    <row r="66" spans="2:4" x14ac:dyDescent="0.45">
      <c r="B66" s="8">
        <v>43581</v>
      </c>
      <c r="C66" s="9">
        <v>29397.127731883291</v>
      </c>
      <c r="D66" s="11">
        <f t="shared" si="0"/>
        <v>1.1996383394355704E-2</v>
      </c>
    </row>
    <row r="67" spans="2:4" x14ac:dyDescent="0.45">
      <c r="B67" s="8">
        <v>43588</v>
      </c>
      <c r="C67" s="9">
        <v>29454.724557755693</v>
      </c>
      <c r="D67" s="11">
        <f t="shared" si="0"/>
        <v>1.9592671228874691E-3</v>
      </c>
    </row>
    <row r="68" spans="2:4" x14ac:dyDescent="0.45">
      <c r="B68" s="8">
        <v>43595</v>
      </c>
      <c r="C68" s="9">
        <v>29484.179282313446</v>
      </c>
      <c r="D68" s="11">
        <f t="shared" si="0"/>
        <v>9.9999999999988618E-4</v>
      </c>
    </row>
    <row r="69" spans="2:4" x14ac:dyDescent="0.45">
      <c r="B69" s="8">
        <v>43602</v>
      </c>
      <c r="C69" s="9">
        <v>29260.393873017827</v>
      </c>
      <c r="D69" s="11">
        <f t="shared" si="0"/>
        <v>-7.5900165696611349E-3</v>
      </c>
    </row>
    <row r="70" spans="2:4" x14ac:dyDescent="0.45">
      <c r="B70" s="8">
        <v>43609</v>
      </c>
      <c r="C70" s="9">
        <v>28917.90944544195</v>
      </c>
      <c r="D70" s="11">
        <f t="shared" si="0"/>
        <v>-1.170471009591212E-2</v>
      </c>
    </row>
    <row r="71" spans="2:4" x14ac:dyDescent="0.45">
      <c r="B71" s="8">
        <v>43616</v>
      </c>
      <c r="C71" s="9">
        <v>28484.140803760321</v>
      </c>
      <c r="D71" s="11">
        <f t="shared" si="0"/>
        <v>-1.4999999999999979E-2</v>
      </c>
    </row>
    <row r="72" spans="2:4" x14ac:dyDescent="0.45">
      <c r="B72" s="8">
        <v>43623</v>
      </c>
      <c r="C72" s="9">
        <v>28541.109085367843</v>
      </c>
      <c r="D72" s="11">
        <f t="shared" ref="D72:D84" si="1">(C72-C71)/C71</f>
        <v>2.0000000000000451E-3</v>
      </c>
    </row>
    <row r="73" spans="2:4" x14ac:dyDescent="0.45">
      <c r="B73" s="8">
        <v>43630</v>
      </c>
      <c r="C73" s="9">
        <v>28676.5951864077</v>
      </c>
      <c r="D73" s="11">
        <f t="shared" si="1"/>
        <v>4.7470510215496808E-3</v>
      </c>
    </row>
    <row r="74" spans="2:4" x14ac:dyDescent="0.45">
      <c r="B74" s="8">
        <v>43637</v>
      </c>
      <c r="C74" s="9">
        <v>29307.146742077945</v>
      </c>
      <c r="D74" s="11">
        <f t="shared" si="1"/>
        <v>2.1988368966798309E-2</v>
      </c>
    </row>
    <row r="75" spans="2:4" x14ac:dyDescent="0.45">
      <c r="B75" s="8">
        <v>43644</v>
      </c>
      <c r="C75" s="9">
        <v>29220.729456645789</v>
      </c>
      <c r="D75" s="11">
        <f t="shared" si="1"/>
        <v>-2.948676177612364E-3</v>
      </c>
    </row>
    <row r="76" spans="2:4" x14ac:dyDescent="0.45">
      <c r="B76" s="8">
        <v>43651</v>
      </c>
      <c r="C76" s="9">
        <v>29703.972691852574</v>
      </c>
      <c r="D76" s="11">
        <f t="shared" si="1"/>
        <v>1.6537685546959488E-2</v>
      </c>
    </row>
    <row r="77" spans="2:4" x14ac:dyDescent="0.45">
      <c r="B77" s="8">
        <v>43658</v>
      </c>
      <c r="C77" s="9">
        <v>29936.010449394194</v>
      </c>
      <c r="D77" s="11">
        <f t="shared" si="1"/>
        <v>7.8116742143809455E-3</v>
      </c>
    </row>
    <row r="78" spans="2:4" x14ac:dyDescent="0.45">
      <c r="B78" s="8">
        <v>43665</v>
      </c>
      <c r="C78" s="9">
        <v>29566.898162629004</v>
      </c>
      <c r="D78" s="11">
        <f t="shared" si="1"/>
        <v>-1.233004268852598E-2</v>
      </c>
    </row>
    <row r="79" spans="2:4" x14ac:dyDescent="0.45">
      <c r="B79" s="8">
        <v>43672</v>
      </c>
      <c r="C79" s="9">
        <v>30056.102217632731</v>
      </c>
      <c r="D79" s="11">
        <f t="shared" si="1"/>
        <v>1.6545667127911827E-2</v>
      </c>
    </row>
    <row r="80" spans="2:4" x14ac:dyDescent="0.45">
      <c r="B80" s="8">
        <v>43679</v>
      </c>
      <c r="C80" s="9">
        <v>29755.541195456404</v>
      </c>
      <c r="D80" s="11">
        <f t="shared" si="1"/>
        <v>-9.9999999999999967E-3</v>
      </c>
    </row>
    <row r="81" spans="2:4" x14ac:dyDescent="0.45">
      <c r="B81" s="8">
        <v>43686</v>
      </c>
      <c r="C81" s="9">
        <v>29619.551488793772</v>
      </c>
      <c r="D81" s="11">
        <f t="shared" si="1"/>
        <v>-4.5702313316821125E-3</v>
      </c>
    </row>
    <row r="82" spans="2:4" x14ac:dyDescent="0.45">
      <c r="B82" s="8">
        <v>43693</v>
      </c>
      <c r="C82" s="9">
        <v>29315.40501719253</v>
      </c>
      <c r="D82" s="11">
        <f t="shared" si="1"/>
        <v>-1.0268436094189743E-2</v>
      </c>
    </row>
    <row r="83" spans="2:4" x14ac:dyDescent="0.45">
      <c r="B83" s="8">
        <v>43700</v>
      </c>
      <c r="C83" s="9">
        <v>28893.538875890721</v>
      </c>
      <c r="D83" s="11">
        <f t="shared" si="1"/>
        <v>-1.4390595697190546E-2</v>
      </c>
    </row>
    <row r="84" spans="2:4" x14ac:dyDescent="0.45">
      <c r="B84" s="8">
        <v>43707</v>
      </c>
      <c r="C84" s="9">
        <v>29698.810890383014</v>
      </c>
      <c r="D84" s="11">
        <f t="shared" si="1"/>
        <v>2.7870314465502404E-2</v>
      </c>
    </row>
    <row r="85" spans="2:4" x14ac:dyDescent="0.45">
      <c r="D85" s="4"/>
    </row>
    <row r="86" spans="2:4" x14ac:dyDescent="0.45">
      <c r="D86" s="4"/>
    </row>
    <row r="87" spans="2:4" x14ac:dyDescent="0.45">
      <c r="D87" s="4"/>
    </row>
  </sheetData>
  <pageMargins left="0.7" right="0.7" top="0.75" bottom="0.75" header="0.3" footer="0.3"/>
  <ignoredErrors>
    <ignoredError sqref="I27" formulaRange="1"/>
  </ignoredErrors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136FA-882D-4BE3-8CD8-C064A8569F0E}">
  <dimension ref="A1:C429"/>
  <sheetViews>
    <sheetView workbookViewId="0">
      <selection sqref="A1:XFD1048576"/>
    </sheetView>
  </sheetViews>
  <sheetFormatPr defaultColWidth="9.1328125" defaultRowHeight="14.25" x14ac:dyDescent="0.45"/>
  <cols>
    <col min="1" max="1" width="9.1328125" style="1"/>
    <col min="2" max="2" width="21.265625" style="3" customWidth="1"/>
    <col min="3" max="3" width="9.1328125" style="3"/>
    <col min="4" max="16384" width="9.1328125" style="1"/>
  </cols>
  <sheetData>
    <row r="1" spans="1:3" x14ac:dyDescent="0.45">
      <c r="A1" s="12" t="s">
        <v>261</v>
      </c>
    </row>
    <row r="2" spans="1:3" ht="14.65" thickBot="1" x14ac:dyDescent="0.5"/>
    <row r="3" spans="1:3" ht="14.65" thickBot="1" x14ac:dyDescent="0.5">
      <c r="B3" s="221" t="s">
        <v>1</v>
      </c>
      <c r="C3" s="276" t="s">
        <v>6</v>
      </c>
    </row>
    <row r="4" spans="1:3" x14ac:dyDescent="0.45">
      <c r="B4" s="274">
        <v>43132</v>
      </c>
      <c r="C4" s="275">
        <v>1.83</v>
      </c>
    </row>
    <row r="5" spans="1:3" x14ac:dyDescent="0.45">
      <c r="B5" s="13">
        <v>43160</v>
      </c>
      <c r="C5" s="14">
        <v>1.81</v>
      </c>
    </row>
    <row r="6" spans="1:3" x14ac:dyDescent="0.45">
      <c r="B6" s="13">
        <v>43191</v>
      </c>
      <c r="C6" s="14">
        <v>1.82</v>
      </c>
    </row>
    <row r="7" spans="1:3" x14ac:dyDescent="0.45">
      <c r="B7" s="13">
        <v>43221</v>
      </c>
      <c r="C7" s="14">
        <v>1.8</v>
      </c>
    </row>
    <row r="8" spans="1:3" x14ac:dyDescent="0.45">
      <c r="B8" s="13">
        <v>43313</v>
      </c>
      <c r="C8" s="14">
        <v>1.79</v>
      </c>
    </row>
    <row r="9" spans="1:3" x14ac:dyDescent="0.45">
      <c r="B9" s="13">
        <v>43344</v>
      </c>
      <c r="C9" s="14">
        <v>1.78</v>
      </c>
    </row>
    <row r="10" spans="1:3" x14ac:dyDescent="0.45">
      <c r="B10" s="13">
        <v>43374</v>
      </c>
      <c r="C10" s="14">
        <v>1.78</v>
      </c>
    </row>
    <row r="11" spans="1:3" x14ac:dyDescent="0.45">
      <c r="B11" s="13">
        <v>43405</v>
      </c>
      <c r="C11" s="14">
        <v>1.77</v>
      </c>
    </row>
    <row r="12" spans="1:3" x14ac:dyDescent="0.45">
      <c r="B12" s="13">
        <v>43435</v>
      </c>
      <c r="C12" s="14">
        <v>1.78</v>
      </c>
    </row>
    <row r="13" spans="1:3" x14ac:dyDescent="0.45">
      <c r="B13" s="14" t="s">
        <v>7</v>
      </c>
      <c r="C13" s="14">
        <v>1.79</v>
      </c>
    </row>
    <row r="14" spans="1:3" x14ac:dyDescent="0.45">
      <c r="B14" s="14" t="s">
        <v>8</v>
      </c>
      <c r="C14" s="14">
        <v>1.79</v>
      </c>
    </row>
    <row r="15" spans="1:3" x14ac:dyDescent="0.45">
      <c r="B15" s="14" t="s">
        <v>9</v>
      </c>
      <c r="C15" s="14">
        <v>1.79</v>
      </c>
    </row>
    <row r="16" spans="1:3" x14ac:dyDescent="0.45">
      <c r="B16" s="14" t="s">
        <v>10</v>
      </c>
      <c r="C16" s="14">
        <v>1.79</v>
      </c>
    </row>
    <row r="17" spans="2:3" x14ac:dyDescent="0.45">
      <c r="B17" s="14" t="s">
        <v>11</v>
      </c>
      <c r="C17" s="14">
        <v>1.79</v>
      </c>
    </row>
    <row r="18" spans="2:3" x14ac:dyDescent="0.45">
      <c r="B18" s="14" t="s">
        <v>12</v>
      </c>
      <c r="C18" s="14">
        <v>1.78</v>
      </c>
    </row>
    <row r="19" spans="2:3" x14ac:dyDescent="0.45">
      <c r="B19" s="14" t="s">
        <v>13</v>
      </c>
      <c r="C19" s="14">
        <v>1.79</v>
      </c>
    </row>
    <row r="20" spans="2:3" x14ac:dyDescent="0.45">
      <c r="B20" s="14" t="s">
        <v>14</v>
      </c>
      <c r="C20" s="14">
        <v>1.8</v>
      </c>
    </row>
    <row r="21" spans="2:3" x14ac:dyDescent="0.45">
      <c r="B21" s="14" t="s">
        <v>15</v>
      </c>
      <c r="C21" s="14">
        <v>1.8</v>
      </c>
    </row>
    <row r="22" spans="2:3" x14ac:dyDescent="0.45">
      <c r="B22" s="14" t="s">
        <v>16</v>
      </c>
      <c r="C22" s="14">
        <v>1.8</v>
      </c>
    </row>
    <row r="23" spans="2:3" x14ac:dyDescent="0.45">
      <c r="B23" s="14" t="s">
        <v>17</v>
      </c>
      <c r="C23" s="14">
        <v>1.88</v>
      </c>
    </row>
    <row r="24" spans="2:3" x14ac:dyDescent="0.45">
      <c r="B24" s="14" t="s">
        <v>18</v>
      </c>
      <c r="C24" s="14">
        <v>1.9</v>
      </c>
    </row>
    <row r="25" spans="2:3" x14ac:dyDescent="0.45">
      <c r="B25" s="13">
        <v>43102</v>
      </c>
      <c r="C25" s="14">
        <v>1.89</v>
      </c>
    </row>
    <row r="26" spans="2:3" x14ac:dyDescent="0.45">
      <c r="B26" s="13">
        <v>43133</v>
      </c>
      <c r="C26" s="14">
        <v>1.88</v>
      </c>
    </row>
    <row r="27" spans="2:3" x14ac:dyDescent="0.45">
      <c r="B27" s="13">
        <v>43222</v>
      </c>
      <c r="C27" s="14">
        <v>1.85</v>
      </c>
    </row>
    <row r="28" spans="2:3" x14ac:dyDescent="0.45">
      <c r="B28" s="13">
        <v>43253</v>
      </c>
      <c r="C28" s="14">
        <v>1.87</v>
      </c>
    </row>
    <row r="29" spans="2:3" x14ac:dyDescent="0.45">
      <c r="B29" s="13">
        <v>43283</v>
      </c>
      <c r="C29" s="14">
        <v>1.91</v>
      </c>
    </row>
    <row r="30" spans="2:3" x14ac:dyDescent="0.45">
      <c r="B30" s="13">
        <v>43314</v>
      </c>
      <c r="C30" s="14">
        <v>1.91</v>
      </c>
    </row>
    <row r="31" spans="2:3" x14ac:dyDescent="0.45">
      <c r="B31" s="13">
        <v>43345</v>
      </c>
      <c r="C31" s="14">
        <v>1.89</v>
      </c>
    </row>
    <row r="32" spans="2:3" x14ac:dyDescent="0.45">
      <c r="B32" s="13">
        <v>43436</v>
      </c>
      <c r="C32" s="14">
        <v>1.93</v>
      </c>
    </row>
    <row r="33" spans="2:3" x14ac:dyDescent="0.45">
      <c r="B33" s="14" t="s">
        <v>19</v>
      </c>
      <c r="C33" s="14">
        <v>1.95</v>
      </c>
    </row>
    <row r="34" spans="2:3" x14ac:dyDescent="0.45">
      <c r="B34" s="14" t="s">
        <v>20</v>
      </c>
      <c r="C34" s="14">
        <v>1.98</v>
      </c>
    </row>
    <row r="35" spans="2:3" x14ac:dyDescent="0.45">
      <c r="B35" s="14" t="s">
        <v>21</v>
      </c>
      <c r="C35" s="14">
        <v>1.99</v>
      </c>
    </row>
    <row r="36" spans="2:3" x14ac:dyDescent="0.45">
      <c r="B36" s="14" t="s">
        <v>22</v>
      </c>
      <c r="C36" s="14">
        <v>2</v>
      </c>
    </row>
    <row r="37" spans="2:3" x14ac:dyDescent="0.45">
      <c r="B37" s="14" t="s">
        <v>23</v>
      </c>
      <c r="C37" s="14">
        <v>2.0099999999999998</v>
      </c>
    </row>
    <row r="38" spans="2:3" x14ac:dyDescent="0.45">
      <c r="B38" s="14" t="s">
        <v>24</v>
      </c>
      <c r="C38" s="14">
        <v>2.0299999999999998</v>
      </c>
    </row>
    <row r="39" spans="2:3" x14ac:dyDescent="0.45">
      <c r="B39" s="14" t="s">
        <v>25</v>
      </c>
      <c r="C39" s="14">
        <v>2.02</v>
      </c>
    </row>
    <row r="40" spans="2:3" x14ac:dyDescent="0.45">
      <c r="B40" s="14" t="s">
        <v>26</v>
      </c>
      <c r="C40" s="14">
        <v>2.02</v>
      </c>
    </row>
    <row r="41" spans="2:3" x14ac:dyDescent="0.45">
      <c r="B41" s="14" t="s">
        <v>27</v>
      </c>
      <c r="C41" s="14">
        <v>2.0299999999999998</v>
      </c>
    </row>
    <row r="42" spans="2:3" x14ac:dyDescent="0.45">
      <c r="B42" s="14" t="s">
        <v>28</v>
      </c>
      <c r="C42" s="14">
        <v>2.08</v>
      </c>
    </row>
    <row r="43" spans="2:3" x14ac:dyDescent="0.45">
      <c r="B43" s="14" t="s">
        <v>29</v>
      </c>
      <c r="C43" s="14">
        <v>2.0699999999999998</v>
      </c>
    </row>
    <row r="44" spans="2:3" x14ac:dyDescent="0.45">
      <c r="B44" s="13">
        <v>43103</v>
      </c>
      <c r="C44" s="14">
        <v>2.0499999999999998</v>
      </c>
    </row>
    <row r="45" spans="2:3" x14ac:dyDescent="0.45">
      <c r="B45" s="13">
        <v>43134</v>
      </c>
      <c r="C45" s="14">
        <v>2.06</v>
      </c>
    </row>
    <row r="46" spans="2:3" x14ac:dyDescent="0.45">
      <c r="B46" s="13">
        <v>43223</v>
      </c>
      <c r="C46" s="14">
        <v>2.06</v>
      </c>
    </row>
    <row r="47" spans="2:3" x14ac:dyDescent="0.45">
      <c r="B47" s="13">
        <v>43254</v>
      </c>
      <c r="C47" s="14">
        <v>2.06</v>
      </c>
    </row>
    <row r="48" spans="2:3" x14ac:dyDescent="0.45">
      <c r="B48" s="13">
        <v>43284</v>
      </c>
      <c r="C48" s="14">
        <v>2.0499999999999998</v>
      </c>
    </row>
    <row r="49" spans="2:3" x14ac:dyDescent="0.45">
      <c r="B49" s="13">
        <v>43315</v>
      </c>
      <c r="C49" s="14">
        <v>2.0499999999999998</v>
      </c>
    </row>
    <row r="50" spans="2:3" x14ac:dyDescent="0.45">
      <c r="B50" s="13">
        <v>43346</v>
      </c>
      <c r="C50" s="14">
        <v>2.0299999999999998</v>
      </c>
    </row>
    <row r="51" spans="2:3" x14ac:dyDescent="0.45">
      <c r="B51" s="13">
        <v>43437</v>
      </c>
      <c r="C51" s="14">
        <v>2.0499999999999998</v>
      </c>
    </row>
    <row r="52" spans="2:3" x14ac:dyDescent="0.45">
      <c r="B52" s="14" t="s">
        <v>30</v>
      </c>
      <c r="C52" s="14">
        <v>2.0299999999999998</v>
      </c>
    </row>
    <row r="53" spans="2:3" x14ac:dyDescent="0.45">
      <c r="B53" s="14" t="s">
        <v>31</v>
      </c>
      <c r="C53" s="14">
        <v>2.0499999999999998</v>
      </c>
    </row>
    <row r="54" spans="2:3" x14ac:dyDescent="0.45">
      <c r="B54" s="14" t="s">
        <v>32</v>
      </c>
      <c r="C54" s="14">
        <v>2.0699999999999998</v>
      </c>
    </row>
    <row r="55" spans="2:3" x14ac:dyDescent="0.45">
      <c r="B55" s="14" t="s">
        <v>33</v>
      </c>
      <c r="C55" s="14">
        <v>2.08</v>
      </c>
    </row>
    <row r="56" spans="2:3" x14ac:dyDescent="0.45">
      <c r="B56" s="14" t="s">
        <v>34</v>
      </c>
      <c r="C56" s="14">
        <v>2.08</v>
      </c>
    </row>
    <row r="57" spans="2:3" x14ac:dyDescent="0.45">
      <c r="B57" s="14" t="s">
        <v>35</v>
      </c>
      <c r="C57" s="14">
        <v>2.08</v>
      </c>
    </row>
    <row r="58" spans="2:3" x14ac:dyDescent="0.45">
      <c r="B58" s="14" t="s">
        <v>36</v>
      </c>
      <c r="C58" s="14">
        <v>2.06</v>
      </c>
    </row>
    <row r="59" spans="2:3" x14ac:dyDescent="0.45">
      <c r="B59" s="14" t="s">
        <v>37</v>
      </c>
      <c r="C59" s="14">
        <v>2.0499999999999998</v>
      </c>
    </row>
    <row r="60" spans="2:3" x14ac:dyDescent="0.45">
      <c r="B60" s="14" t="s">
        <v>38</v>
      </c>
      <c r="C60" s="14">
        <v>2.04</v>
      </c>
    </row>
    <row r="61" spans="2:3" x14ac:dyDescent="0.45">
      <c r="B61" s="14" t="s">
        <v>39</v>
      </c>
      <c r="C61" s="14">
        <v>2.06</v>
      </c>
    </row>
    <row r="62" spans="2:3" x14ac:dyDescent="0.45">
      <c r="B62" s="14" t="s">
        <v>40</v>
      </c>
      <c r="C62" s="14">
        <v>2.1</v>
      </c>
    </row>
    <row r="63" spans="2:3" x14ac:dyDescent="0.45">
      <c r="B63" s="14" t="s">
        <v>41</v>
      </c>
      <c r="C63" s="14">
        <v>2.12</v>
      </c>
    </row>
    <row r="64" spans="2:3" x14ac:dyDescent="0.45">
      <c r="B64" s="14" t="s">
        <v>42</v>
      </c>
      <c r="C64" s="14">
        <v>2.09</v>
      </c>
    </row>
    <row r="65" spans="2:3" x14ac:dyDescent="0.45">
      <c r="B65" s="13">
        <v>43135</v>
      </c>
      <c r="C65" s="14">
        <v>2.08</v>
      </c>
    </row>
    <row r="66" spans="2:3" x14ac:dyDescent="0.45">
      <c r="B66" s="13">
        <v>43163</v>
      </c>
      <c r="C66" s="14">
        <v>2.09</v>
      </c>
    </row>
    <row r="67" spans="2:3" x14ac:dyDescent="0.45">
      <c r="B67" s="13">
        <v>43194</v>
      </c>
      <c r="C67" s="14">
        <v>2.0699999999999998</v>
      </c>
    </row>
    <row r="68" spans="2:3" x14ac:dyDescent="0.45">
      <c r="B68" s="13">
        <v>43224</v>
      </c>
      <c r="C68" s="14">
        <v>2.0699999999999998</v>
      </c>
    </row>
    <row r="69" spans="2:3" x14ac:dyDescent="0.45">
      <c r="B69" s="13">
        <v>43255</v>
      </c>
      <c r="C69" s="14">
        <v>2.06</v>
      </c>
    </row>
    <row r="70" spans="2:3" x14ac:dyDescent="0.45">
      <c r="B70" s="13">
        <v>43347</v>
      </c>
      <c r="C70" s="14">
        <v>2.08</v>
      </c>
    </row>
    <row r="71" spans="2:3" x14ac:dyDescent="0.45">
      <c r="B71" s="13">
        <v>43377</v>
      </c>
      <c r="C71" s="14">
        <v>2.09</v>
      </c>
    </row>
    <row r="72" spans="2:3" x14ac:dyDescent="0.45">
      <c r="B72" s="13">
        <v>43408</v>
      </c>
      <c r="C72" s="14">
        <v>2.09</v>
      </c>
    </row>
    <row r="73" spans="2:3" x14ac:dyDescent="0.45">
      <c r="B73" s="13">
        <v>43438</v>
      </c>
      <c r="C73" s="14">
        <v>2.11</v>
      </c>
    </row>
    <row r="74" spans="2:3" x14ac:dyDescent="0.45">
      <c r="B74" s="14" t="s">
        <v>43</v>
      </c>
      <c r="C74" s="14">
        <v>2.12</v>
      </c>
    </row>
    <row r="75" spans="2:3" x14ac:dyDescent="0.45">
      <c r="B75" s="14" t="s">
        <v>44</v>
      </c>
      <c r="C75" s="14">
        <v>2.12</v>
      </c>
    </row>
    <row r="76" spans="2:3" x14ac:dyDescent="0.45">
      <c r="B76" s="14" t="s">
        <v>45</v>
      </c>
      <c r="C76" s="14">
        <v>2.16</v>
      </c>
    </row>
    <row r="77" spans="2:3" x14ac:dyDescent="0.45">
      <c r="B77" s="14" t="s">
        <v>46</v>
      </c>
      <c r="C77" s="14">
        <v>2.17</v>
      </c>
    </row>
    <row r="78" spans="2:3" x14ac:dyDescent="0.45">
      <c r="B78" s="14" t="s">
        <v>47</v>
      </c>
      <c r="C78" s="14">
        <v>2.21</v>
      </c>
    </row>
    <row r="79" spans="2:3" x14ac:dyDescent="0.45">
      <c r="B79" s="14" t="s">
        <v>48</v>
      </c>
      <c r="C79" s="14">
        <v>2.2200000000000002</v>
      </c>
    </row>
    <row r="80" spans="2:3" x14ac:dyDescent="0.45">
      <c r="B80" s="14" t="s">
        <v>49</v>
      </c>
      <c r="C80" s="14">
        <v>2.25</v>
      </c>
    </row>
    <row r="81" spans="2:3" x14ac:dyDescent="0.45">
      <c r="B81" s="14" t="s">
        <v>50</v>
      </c>
      <c r="C81" s="14">
        <v>2.25</v>
      </c>
    </row>
    <row r="82" spans="2:3" x14ac:dyDescent="0.45">
      <c r="B82" s="14" t="s">
        <v>51</v>
      </c>
      <c r="C82" s="14">
        <v>2.2599999999999998</v>
      </c>
    </row>
    <row r="83" spans="2:3" x14ac:dyDescent="0.45">
      <c r="B83" s="14" t="s">
        <v>52</v>
      </c>
      <c r="C83" s="14">
        <v>2.25</v>
      </c>
    </row>
    <row r="84" spans="2:3" x14ac:dyDescent="0.45">
      <c r="B84" s="14" t="s">
        <v>53</v>
      </c>
      <c r="C84" s="14">
        <v>2.2400000000000002</v>
      </c>
    </row>
    <row r="85" spans="2:3" x14ac:dyDescent="0.45">
      <c r="B85" s="14" t="s">
        <v>54</v>
      </c>
      <c r="C85" s="14">
        <v>2.2400000000000002</v>
      </c>
    </row>
    <row r="86" spans="2:3" x14ac:dyDescent="0.45">
      <c r="B86" s="13">
        <v>43105</v>
      </c>
      <c r="C86" s="14">
        <v>2.2599999999999998</v>
      </c>
    </row>
    <row r="87" spans="2:3" x14ac:dyDescent="0.45">
      <c r="B87" s="13">
        <v>43136</v>
      </c>
      <c r="C87" s="14">
        <v>2.2400000000000002</v>
      </c>
    </row>
    <row r="88" spans="2:3" x14ac:dyDescent="0.45">
      <c r="B88" s="13">
        <v>43164</v>
      </c>
      <c r="C88" s="14">
        <v>2.2400000000000002</v>
      </c>
    </row>
    <row r="89" spans="2:3" x14ac:dyDescent="0.45">
      <c r="B89" s="13">
        <v>43195</v>
      </c>
      <c r="C89" s="14">
        <v>2.2400000000000002</v>
      </c>
    </row>
    <row r="90" spans="2:3" x14ac:dyDescent="0.45">
      <c r="B90" s="13">
        <v>43286</v>
      </c>
      <c r="C90" s="14">
        <v>2.25</v>
      </c>
    </row>
    <row r="91" spans="2:3" x14ac:dyDescent="0.45">
      <c r="B91" s="13">
        <v>43317</v>
      </c>
      <c r="C91" s="14">
        <v>2.2599999999999998</v>
      </c>
    </row>
    <row r="92" spans="2:3" x14ac:dyDescent="0.45">
      <c r="B92" s="13">
        <v>43348</v>
      </c>
      <c r="C92" s="14">
        <v>2.27</v>
      </c>
    </row>
    <row r="93" spans="2:3" x14ac:dyDescent="0.45">
      <c r="B93" s="13">
        <v>43378</v>
      </c>
      <c r="C93" s="14">
        <v>2.27</v>
      </c>
    </row>
    <row r="94" spans="2:3" x14ac:dyDescent="0.45">
      <c r="B94" s="13">
        <v>43409</v>
      </c>
      <c r="C94" s="14">
        <v>2.2799999999999998</v>
      </c>
    </row>
    <row r="95" spans="2:3" x14ac:dyDescent="0.45">
      <c r="B95" s="14" t="s">
        <v>55</v>
      </c>
      <c r="C95" s="14">
        <v>2.2799999999999998</v>
      </c>
    </row>
    <row r="96" spans="2:3" x14ac:dyDescent="0.45">
      <c r="B96" s="14" t="s">
        <v>56</v>
      </c>
      <c r="C96" s="14">
        <v>2.31</v>
      </c>
    </row>
    <row r="97" spans="2:3" x14ac:dyDescent="0.45">
      <c r="B97" s="14" t="s">
        <v>57</v>
      </c>
      <c r="C97" s="14">
        <v>2.3199999999999998</v>
      </c>
    </row>
    <row r="98" spans="2:3" x14ac:dyDescent="0.45">
      <c r="B98" s="14" t="s">
        <v>58</v>
      </c>
      <c r="C98" s="14">
        <v>2.3199999999999998</v>
      </c>
    </row>
    <row r="99" spans="2:3" x14ac:dyDescent="0.45">
      <c r="B99" s="14" t="s">
        <v>59</v>
      </c>
      <c r="C99" s="14">
        <v>2.3199999999999998</v>
      </c>
    </row>
    <row r="100" spans="2:3" x14ac:dyDescent="0.45">
      <c r="B100" s="14" t="s">
        <v>60</v>
      </c>
      <c r="C100" s="14">
        <v>2.35</v>
      </c>
    </row>
    <row r="101" spans="2:3" x14ac:dyDescent="0.45">
      <c r="B101" s="14" t="s">
        <v>61</v>
      </c>
      <c r="C101" s="14">
        <v>2.34</v>
      </c>
    </row>
    <row r="102" spans="2:3" x14ac:dyDescent="0.45">
      <c r="B102" s="14" t="s">
        <v>62</v>
      </c>
      <c r="C102" s="14">
        <v>2.29</v>
      </c>
    </row>
    <row r="103" spans="2:3" x14ac:dyDescent="0.45">
      <c r="B103" s="14" t="s">
        <v>63</v>
      </c>
      <c r="C103" s="14">
        <v>2.2799999999999998</v>
      </c>
    </row>
    <row r="104" spans="2:3" x14ac:dyDescent="0.45">
      <c r="B104" s="14" t="s">
        <v>64</v>
      </c>
      <c r="C104" s="14">
        <v>2.27</v>
      </c>
    </row>
    <row r="105" spans="2:3" x14ac:dyDescent="0.45">
      <c r="B105" s="14" t="s">
        <v>65</v>
      </c>
      <c r="C105" s="14">
        <v>2.17</v>
      </c>
    </row>
    <row r="106" spans="2:3" x14ac:dyDescent="0.45">
      <c r="B106" s="14" t="s">
        <v>66</v>
      </c>
      <c r="C106" s="14">
        <v>2.23</v>
      </c>
    </row>
    <row r="107" spans="2:3" x14ac:dyDescent="0.45">
      <c r="B107" s="14" t="s">
        <v>67</v>
      </c>
      <c r="C107" s="14">
        <v>2.23</v>
      </c>
    </row>
    <row r="108" spans="2:3" x14ac:dyDescent="0.45">
      <c r="B108" s="13">
        <v>43106</v>
      </c>
      <c r="C108" s="14">
        <v>2.2799999999999998</v>
      </c>
    </row>
    <row r="109" spans="2:3" x14ac:dyDescent="0.45">
      <c r="B109" s="13">
        <v>43196</v>
      </c>
      <c r="C109" s="14">
        <v>2.2999999999999998</v>
      </c>
    </row>
    <row r="110" spans="2:3" x14ac:dyDescent="0.45">
      <c r="B110" s="13">
        <v>43226</v>
      </c>
      <c r="C110" s="14">
        <v>2.3199999999999998</v>
      </c>
    </row>
    <row r="111" spans="2:3" x14ac:dyDescent="0.45">
      <c r="B111" s="13">
        <v>43257</v>
      </c>
      <c r="C111" s="14">
        <v>2.3199999999999998</v>
      </c>
    </row>
    <row r="112" spans="2:3" x14ac:dyDescent="0.45">
      <c r="B112" s="13">
        <v>43287</v>
      </c>
      <c r="C112" s="14">
        <v>2.31</v>
      </c>
    </row>
    <row r="113" spans="2:3" x14ac:dyDescent="0.45">
      <c r="B113" s="13">
        <v>43318</v>
      </c>
      <c r="C113" s="14">
        <v>2.2999999999999998</v>
      </c>
    </row>
    <row r="114" spans="2:3" x14ac:dyDescent="0.45">
      <c r="B114" s="13">
        <v>43410</v>
      </c>
      <c r="C114" s="14">
        <v>2.3199999999999998</v>
      </c>
    </row>
    <row r="115" spans="2:3" x14ac:dyDescent="0.45">
      <c r="B115" s="13">
        <v>43440</v>
      </c>
      <c r="C115" s="14">
        <v>2.31</v>
      </c>
    </row>
    <row r="116" spans="2:3" x14ac:dyDescent="0.45">
      <c r="B116" s="14" t="s">
        <v>68</v>
      </c>
      <c r="C116" s="14">
        <v>2.35</v>
      </c>
    </row>
    <row r="117" spans="2:3" x14ac:dyDescent="0.45">
      <c r="B117" s="14" t="s">
        <v>69</v>
      </c>
      <c r="C117" s="14">
        <v>2.35</v>
      </c>
    </row>
    <row r="118" spans="2:3" x14ac:dyDescent="0.45">
      <c r="B118" s="14" t="s">
        <v>70</v>
      </c>
      <c r="C118" s="14">
        <v>2.35</v>
      </c>
    </row>
    <row r="119" spans="2:3" x14ac:dyDescent="0.45">
      <c r="B119" s="14" t="s">
        <v>71</v>
      </c>
      <c r="C119" s="14">
        <v>2.35</v>
      </c>
    </row>
    <row r="120" spans="2:3" x14ac:dyDescent="0.45">
      <c r="B120" s="14" t="s">
        <v>72</v>
      </c>
      <c r="C120" s="14">
        <v>2.34</v>
      </c>
    </row>
    <row r="121" spans="2:3" x14ac:dyDescent="0.45">
      <c r="B121" s="14" t="s">
        <v>73</v>
      </c>
      <c r="C121" s="14">
        <v>2.36</v>
      </c>
    </row>
    <row r="122" spans="2:3" x14ac:dyDescent="0.45">
      <c r="B122" s="14" t="s">
        <v>74</v>
      </c>
      <c r="C122" s="14">
        <v>2.34</v>
      </c>
    </row>
    <row r="123" spans="2:3" x14ac:dyDescent="0.45">
      <c r="B123" s="14" t="s">
        <v>75</v>
      </c>
      <c r="C123" s="14">
        <v>2.33</v>
      </c>
    </row>
    <row r="124" spans="2:3" x14ac:dyDescent="0.45">
      <c r="B124" s="14" t="s">
        <v>76</v>
      </c>
      <c r="C124" s="14">
        <v>2.34</v>
      </c>
    </row>
    <row r="125" spans="2:3" x14ac:dyDescent="0.45">
      <c r="B125" s="14" t="s">
        <v>77</v>
      </c>
      <c r="C125" s="14">
        <v>2.33</v>
      </c>
    </row>
    <row r="126" spans="2:3" x14ac:dyDescent="0.45">
      <c r="B126" s="14" t="s">
        <v>78</v>
      </c>
      <c r="C126" s="14">
        <v>2.33</v>
      </c>
    </row>
    <row r="127" spans="2:3" x14ac:dyDescent="0.45">
      <c r="B127" s="14" t="s">
        <v>79</v>
      </c>
      <c r="C127" s="14">
        <v>2.33</v>
      </c>
    </row>
    <row r="128" spans="2:3" x14ac:dyDescent="0.45">
      <c r="B128" s="14" t="s">
        <v>80</v>
      </c>
      <c r="C128" s="14">
        <v>2.33</v>
      </c>
    </row>
    <row r="129" spans="2:3" x14ac:dyDescent="0.45">
      <c r="B129" s="13">
        <v>43138</v>
      </c>
      <c r="C129" s="14">
        <v>2.34</v>
      </c>
    </row>
    <row r="130" spans="2:3" x14ac:dyDescent="0.45">
      <c r="B130" s="13">
        <v>43166</v>
      </c>
      <c r="C130" s="14">
        <v>2.33</v>
      </c>
    </row>
    <row r="131" spans="2:3" x14ac:dyDescent="0.45">
      <c r="B131" s="13">
        <v>43227</v>
      </c>
      <c r="C131" s="14">
        <v>2.3199999999999998</v>
      </c>
    </row>
    <row r="132" spans="2:3" x14ac:dyDescent="0.45">
      <c r="B132" s="13">
        <v>43258</v>
      </c>
      <c r="C132" s="14">
        <v>2.34</v>
      </c>
    </row>
    <row r="133" spans="2:3" x14ac:dyDescent="0.45">
      <c r="B133" s="13">
        <v>43350</v>
      </c>
      <c r="C133" s="14">
        <v>2.34</v>
      </c>
    </row>
    <row r="134" spans="2:3" x14ac:dyDescent="0.45">
      <c r="B134" s="13">
        <v>43380</v>
      </c>
      <c r="C134" s="14">
        <v>2.36</v>
      </c>
    </row>
    <row r="135" spans="2:3" x14ac:dyDescent="0.45">
      <c r="B135" s="13">
        <v>43411</v>
      </c>
      <c r="C135" s="14">
        <v>2.36</v>
      </c>
    </row>
    <row r="136" spans="2:3" x14ac:dyDescent="0.45">
      <c r="B136" s="13">
        <v>43441</v>
      </c>
      <c r="C136" s="14">
        <v>2.39</v>
      </c>
    </row>
    <row r="137" spans="2:3" x14ac:dyDescent="0.45">
      <c r="B137" s="14" t="s">
        <v>81</v>
      </c>
      <c r="C137" s="14">
        <v>2.37</v>
      </c>
    </row>
    <row r="138" spans="2:3" x14ac:dyDescent="0.45">
      <c r="B138" s="14" t="s">
        <v>82</v>
      </c>
      <c r="C138" s="14">
        <v>2.39</v>
      </c>
    </row>
    <row r="139" spans="2:3" x14ac:dyDescent="0.45">
      <c r="B139" s="14" t="s">
        <v>83</v>
      </c>
      <c r="C139" s="14">
        <v>2.39</v>
      </c>
    </row>
    <row r="140" spans="2:3" x14ac:dyDescent="0.45">
      <c r="B140" s="14" t="s">
        <v>84</v>
      </c>
      <c r="C140" s="14">
        <v>2.4300000000000002</v>
      </c>
    </row>
    <row r="141" spans="2:3" x14ac:dyDescent="0.45">
      <c r="B141" s="14" t="s">
        <v>85</v>
      </c>
      <c r="C141" s="14">
        <v>2.4</v>
      </c>
    </row>
    <row r="142" spans="2:3" x14ac:dyDescent="0.45">
      <c r="B142" s="14" t="s">
        <v>86</v>
      </c>
      <c r="C142" s="14">
        <v>2.41</v>
      </c>
    </row>
    <row r="143" spans="2:3" x14ac:dyDescent="0.45">
      <c r="B143" s="14" t="s">
        <v>87</v>
      </c>
      <c r="C143" s="14">
        <v>2.42</v>
      </c>
    </row>
    <row r="144" spans="2:3" x14ac:dyDescent="0.45">
      <c r="B144" s="14" t="s">
        <v>88</v>
      </c>
      <c r="C144" s="14">
        <v>2.42</v>
      </c>
    </row>
    <row r="145" spans="2:3" x14ac:dyDescent="0.45">
      <c r="B145" s="14" t="s">
        <v>89</v>
      </c>
      <c r="C145" s="14">
        <v>2.42</v>
      </c>
    </row>
    <row r="146" spans="2:3" x14ac:dyDescent="0.45">
      <c r="B146" s="14" t="s">
        <v>90</v>
      </c>
      <c r="C146" s="14">
        <v>2.41</v>
      </c>
    </row>
    <row r="147" spans="2:3" x14ac:dyDescent="0.45">
      <c r="B147" s="14" t="s">
        <v>91</v>
      </c>
      <c r="C147" s="14">
        <v>2.4300000000000002</v>
      </c>
    </row>
    <row r="148" spans="2:3" x14ac:dyDescent="0.45">
      <c r="B148" s="14" t="s">
        <v>92</v>
      </c>
      <c r="C148" s="14">
        <v>2.4300000000000002</v>
      </c>
    </row>
    <row r="149" spans="2:3" x14ac:dyDescent="0.45">
      <c r="B149" s="14" t="s">
        <v>93</v>
      </c>
      <c r="C149" s="14">
        <v>2.44</v>
      </c>
    </row>
    <row r="150" spans="2:3" x14ac:dyDescent="0.45">
      <c r="B150" s="13">
        <v>43108</v>
      </c>
      <c r="C150" s="14">
        <v>2.4500000000000002</v>
      </c>
    </row>
    <row r="151" spans="2:3" x14ac:dyDescent="0.45">
      <c r="B151" s="13">
        <v>43139</v>
      </c>
      <c r="C151" s="14">
        <v>2.4500000000000002</v>
      </c>
    </row>
    <row r="152" spans="2:3" x14ac:dyDescent="0.45">
      <c r="B152" s="13">
        <v>43167</v>
      </c>
      <c r="C152" s="14">
        <v>2.4300000000000002</v>
      </c>
    </row>
    <row r="153" spans="2:3" x14ac:dyDescent="0.45">
      <c r="B153" s="13">
        <v>43259</v>
      </c>
      <c r="C153" s="14">
        <v>2.44</v>
      </c>
    </row>
    <row r="154" spans="2:3" x14ac:dyDescent="0.45">
      <c r="B154" s="13">
        <v>43289</v>
      </c>
      <c r="C154" s="14">
        <v>2.4500000000000002</v>
      </c>
    </row>
    <row r="155" spans="2:3" x14ac:dyDescent="0.45">
      <c r="B155" s="13">
        <v>43320</v>
      </c>
      <c r="C155" s="14">
        <v>2.44</v>
      </c>
    </row>
    <row r="156" spans="2:3" x14ac:dyDescent="0.45">
      <c r="B156" s="13">
        <v>43351</v>
      </c>
      <c r="C156" s="14">
        <v>2.44</v>
      </c>
    </row>
    <row r="157" spans="2:3" x14ac:dyDescent="0.45">
      <c r="B157" s="13">
        <v>43381</v>
      </c>
      <c r="C157" s="14">
        <v>2.42</v>
      </c>
    </row>
    <row r="158" spans="2:3" x14ac:dyDescent="0.45">
      <c r="B158" s="14" t="s">
        <v>94</v>
      </c>
      <c r="C158" s="14">
        <v>2.42</v>
      </c>
    </row>
    <row r="159" spans="2:3" x14ac:dyDescent="0.45">
      <c r="B159" s="14" t="s">
        <v>95</v>
      </c>
      <c r="C159" s="14">
        <v>2.44</v>
      </c>
    </row>
    <row r="160" spans="2:3" x14ac:dyDescent="0.45">
      <c r="B160" s="14" t="s">
        <v>96</v>
      </c>
      <c r="C160" s="14">
        <v>2.4500000000000002</v>
      </c>
    </row>
    <row r="161" spans="2:3" x14ac:dyDescent="0.45">
      <c r="B161" s="14" t="s">
        <v>97</v>
      </c>
      <c r="C161" s="14">
        <v>2.4500000000000002</v>
      </c>
    </row>
    <row r="162" spans="2:3" x14ac:dyDescent="0.45">
      <c r="B162" s="14" t="s">
        <v>98</v>
      </c>
      <c r="C162" s="14">
        <v>2.44</v>
      </c>
    </row>
    <row r="163" spans="2:3" x14ac:dyDescent="0.45">
      <c r="B163" s="14" t="s">
        <v>99</v>
      </c>
      <c r="C163" s="14">
        <v>2.4300000000000002</v>
      </c>
    </row>
    <row r="164" spans="2:3" x14ac:dyDescent="0.45">
      <c r="B164" s="14" t="s">
        <v>100</v>
      </c>
      <c r="C164" s="14">
        <v>2.4500000000000002</v>
      </c>
    </row>
    <row r="165" spans="2:3" x14ac:dyDescent="0.45">
      <c r="B165" s="14" t="s">
        <v>101</v>
      </c>
      <c r="C165" s="14">
        <v>2.4300000000000002</v>
      </c>
    </row>
    <row r="166" spans="2:3" x14ac:dyDescent="0.45">
      <c r="B166" s="14" t="s">
        <v>102</v>
      </c>
      <c r="C166" s="14">
        <v>2.4300000000000002</v>
      </c>
    </row>
    <row r="167" spans="2:3" x14ac:dyDescent="0.45">
      <c r="B167" s="14" t="s">
        <v>103</v>
      </c>
      <c r="C167" s="14">
        <v>2.44</v>
      </c>
    </row>
    <row r="168" spans="2:3" x14ac:dyDescent="0.45">
      <c r="B168" s="14" t="s">
        <v>104</v>
      </c>
      <c r="C168" s="14">
        <v>2.4700000000000002</v>
      </c>
    </row>
    <row r="169" spans="2:3" x14ac:dyDescent="0.45">
      <c r="B169" s="14" t="s">
        <v>105</v>
      </c>
      <c r="C169" s="14">
        <v>2.4700000000000002</v>
      </c>
    </row>
    <row r="170" spans="2:3" x14ac:dyDescent="0.45">
      <c r="B170" s="14" t="s">
        <v>106</v>
      </c>
      <c r="C170" s="14">
        <v>2.48</v>
      </c>
    </row>
    <row r="171" spans="2:3" x14ac:dyDescent="0.45">
      <c r="B171" s="14" t="s">
        <v>107</v>
      </c>
      <c r="C171" s="14">
        <v>2.4700000000000002</v>
      </c>
    </row>
    <row r="172" spans="2:3" x14ac:dyDescent="0.45">
      <c r="B172" s="14" t="s">
        <v>108</v>
      </c>
      <c r="C172" s="14">
        <v>2.46</v>
      </c>
    </row>
    <row r="173" spans="2:3" x14ac:dyDescent="0.45">
      <c r="B173" s="13">
        <v>43199</v>
      </c>
      <c r="C173" s="14">
        <v>2.4900000000000002</v>
      </c>
    </row>
    <row r="174" spans="2:3" x14ac:dyDescent="0.45">
      <c r="B174" s="13">
        <v>43229</v>
      </c>
      <c r="C174" s="14">
        <v>2.4900000000000002</v>
      </c>
    </row>
    <row r="175" spans="2:3" x14ac:dyDescent="0.45">
      <c r="B175" s="13">
        <v>43260</v>
      </c>
      <c r="C175" s="14">
        <v>2.5</v>
      </c>
    </row>
    <row r="176" spans="2:3" x14ac:dyDescent="0.45">
      <c r="B176" s="13">
        <v>43290</v>
      </c>
      <c r="C176" s="14">
        <v>2.5299999999999998</v>
      </c>
    </row>
    <row r="177" spans="2:3" x14ac:dyDescent="0.45">
      <c r="B177" s="13">
        <v>43382</v>
      </c>
      <c r="C177" s="14">
        <v>2.54</v>
      </c>
    </row>
    <row r="178" spans="2:3" x14ac:dyDescent="0.45">
      <c r="B178" s="13">
        <v>43413</v>
      </c>
      <c r="C178" s="14">
        <v>2.5499999999999998</v>
      </c>
    </row>
    <row r="179" spans="2:3" x14ac:dyDescent="0.45">
      <c r="B179" s="13">
        <v>43443</v>
      </c>
      <c r="C179" s="14">
        <v>2.56</v>
      </c>
    </row>
    <row r="180" spans="2:3" x14ac:dyDescent="0.45">
      <c r="B180" s="14" t="s">
        <v>109</v>
      </c>
      <c r="C180" s="14">
        <v>2.5499999999999998</v>
      </c>
    </row>
    <row r="181" spans="2:3" x14ac:dyDescent="0.45">
      <c r="B181" s="14" t="s">
        <v>110</v>
      </c>
      <c r="C181" s="14">
        <v>2.56</v>
      </c>
    </row>
    <row r="182" spans="2:3" x14ac:dyDescent="0.45">
      <c r="B182" s="14" t="s">
        <v>111</v>
      </c>
      <c r="C182" s="14">
        <v>2.57</v>
      </c>
    </row>
    <row r="183" spans="2:3" x14ac:dyDescent="0.45">
      <c r="B183" s="14" t="s">
        <v>112</v>
      </c>
      <c r="C183" s="14">
        <v>2.58</v>
      </c>
    </row>
    <row r="184" spans="2:3" x14ac:dyDescent="0.45">
      <c r="B184" s="14" t="s">
        <v>113</v>
      </c>
      <c r="C184" s="14">
        <v>2.58</v>
      </c>
    </row>
    <row r="185" spans="2:3" x14ac:dyDescent="0.45">
      <c r="B185" s="14" t="s">
        <v>114</v>
      </c>
      <c r="C185" s="14">
        <v>2.58</v>
      </c>
    </row>
    <row r="186" spans="2:3" x14ac:dyDescent="0.45">
      <c r="B186" s="14" t="s">
        <v>115</v>
      </c>
      <c r="C186" s="14">
        <v>2.58</v>
      </c>
    </row>
    <row r="187" spans="2:3" x14ac:dyDescent="0.45">
      <c r="B187" s="14" t="s">
        <v>116</v>
      </c>
      <c r="C187" s="14">
        <v>2.6</v>
      </c>
    </row>
    <row r="188" spans="2:3" x14ac:dyDescent="0.45">
      <c r="B188" s="14" t="s">
        <v>117</v>
      </c>
      <c r="C188" s="14">
        <v>2.59</v>
      </c>
    </row>
    <row r="189" spans="2:3" x14ac:dyDescent="0.45">
      <c r="B189" s="14" t="s">
        <v>118</v>
      </c>
      <c r="C189" s="14">
        <v>2.58</v>
      </c>
    </row>
    <row r="190" spans="2:3" x14ac:dyDescent="0.45">
      <c r="B190" s="14" t="s">
        <v>119</v>
      </c>
      <c r="C190" s="14">
        <v>2.58</v>
      </c>
    </row>
    <row r="191" spans="2:3" x14ac:dyDescent="0.45">
      <c r="B191" s="14" t="s">
        <v>120</v>
      </c>
      <c r="C191" s="14">
        <v>2.59</v>
      </c>
    </row>
    <row r="192" spans="2:3" x14ac:dyDescent="0.45">
      <c r="B192" s="13">
        <v>43110</v>
      </c>
      <c r="C192" s="14">
        <v>2.6</v>
      </c>
    </row>
    <row r="193" spans="2:3" x14ac:dyDescent="0.45">
      <c r="B193" s="13">
        <v>43141</v>
      </c>
      <c r="C193" s="14">
        <v>2.61</v>
      </c>
    </row>
    <row r="194" spans="2:3" x14ac:dyDescent="0.45">
      <c r="B194" s="13">
        <v>43169</v>
      </c>
      <c r="C194" s="14">
        <v>2.62</v>
      </c>
    </row>
    <row r="195" spans="2:3" x14ac:dyDescent="0.45">
      <c r="B195" s="13">
        <v>43200</v>
      </c>
      <c r="C195" s="14">
        <v>2.63</v>
      </c>
    </row>
    <row r="196" spans="2:3" x14ac:dyDescent="0.45">
      <c r="B196" s="13">
        <v>43230</v>
      </c>
      <c r="C196" s="14">
        <v>2.64</v>
      </c>
    </row>
    <row r="197" spans="2:3" x14ac:dyDescent="0.45">
      <c r="B197" s="13">
        <v>43353</v>
      </c>
      <c r="C197" s="14">
        <v>2.65</v>
      </c>
    </row>
    <row r="198" spans="2:3" x14ac:dyDescent="0.45">
      <c r="B198" s="13">
        <v>43383</v>
      </c>
      <c r="C198" s="14">
        <v>2.67</v>
      </c>
    </row>
    <row r="199" spans="2:3" x14ac:dyDescent="0.45">
      <c r="B199" s="13">
        <v>43414</v>
      </c>
      <c r="C199" s="14">
        <v>2.66</v>
      </c>
    </row>
    <row r="200" spans="2:3" x14ac:dyDescent="0.45">
      <c r="B200" s="13">
        <v>43444</v>
      </c>
      <c r="C200" s="14">
        <v>2.66</v>
      </c>
    </row>
    <row r="201" spans="2:3" x14ac:dyDescent="0.45">
      <c r="B201" s="14" t="s">
        <v>121</v>
      </c>
      <c r="C201" s="14">
        <v>2.67</v>
      </c>
    </row>
    <row r="202" spans="2:3" x14ac:dyDescent="0.45">
      <c r="B202" s="14" t="s">
        <v>122</v>
      </c>
      <c r="C202" s="14">
        <v>2.66</v>
      </c>
    </row>
    <row r="203" spans="2:3" x14ac:dyDescent="0.45">
      <c r="B203" s="14" t="s">
        <v>123</v>
      </c>
      <c r="C203" s="14">
        <v>2.66</v>
      </c>
    </row>
    <row r="204" spans="2:3" x14ac:dyDescent="0.45">
      <c r="B204" s="14" t="s">
        <v>124</v>
      </c>
      <c r="C204" s="14">
        <v>2.67</v>
      </c>
    </row>
    <row r="205" spans="2:3" x14ac:dyDescent="0.45">
      <c r="B205" s="14" t="s">
        <v>125</v>
      </c>
      <c r="C205" s="14">
        <v>2.67</v>
      </c>
    </row>
    <row r="206" spans="2:3" x14ac:dyDescent="0.45">
      <c r="B206" s="14" t="s">
        <v>126</v>
      </c>
      <c r="C206" s="14">
        <v>2.68</v>
      </c>
    </row>
    <row r="207" spans="2:3" x14ac:dyDescent="0.45">
      <c r="B207" s="14" t="s">
        <v>127</v>
      </c>
      <c r="C207" s="14">
        <v>2.67</v>
      </c>
    </row>
    <row r="208" spans="2:3" x14ac:dyDescent="0.45">
      <c r="B208" s="14" t="s">
        <v>128</v>
      </c>
      <c r="C208" s="14">
        <v>2.64</v>
      </c>
    </row>
    <row r="209" spans="2:3" x14ac:dyDescent="0.45">
      <c r="B209" s="14" t="s">
        <v>129</v>
      </c>
      <c r="C209" s="14">
        <v>2.66</v>
      </c>
    </row>
    <row r="210" spans="2:3" x14ac:dyDescent="0.45">
      <c r="B210" s="14" t="s">
        <v>130</v>
      </c>
      <c r="C210" s="14">
        <v>2.63</v>
      </c>
    </row>
    <row r="211" spans="2:3" x14ac:dyDescent="0.45">
      <c r="B211" s="14" t="s">
        <v>131</v>
      </c>
      <c r="C211" s="14">
        <v>2.64</v>
      </c>
    </row>
    <row r="212" spans="2:3" x14ac:dyDescent="0.45">
      <c r="B212" s="14" t="s">
        <v>132</v>
      </c>
      <c r="C212" s="14">
        <v>2.66</v>
      </c>
    </row>
    <row r="213" spans="2:3" x14ac:dyDescent="0.45">
      <c r="B213" s="14" t="s">
        <v>133</v>
      </c>
      <c r="C213" s="14">
        <v>2.69</v>
      </c>
    </row>
    <row r="214" spans="2:3" x14ac:dyDescent="0.45">
      <c r="B214" s="13">
        <v>43111</v>
      </c>
      <c r="C214" s="14">
        <v>2.67</v>
      </c>
    </row>
    <row r="215" spans="2:3" x14ac:dyDescent="0.45">
      <c r="B215" s="13">
        <v>43142</v>
      </c>
      <c r="C215" s="14">
        <v>2.7</v>
      </c>
    </row>
    <row r="216" spans="2:3" x14ac:dyDescent="0.45">
      <c r="B216" s="13">
        <v>43231</v>
      </c>
      <c r="C216" s="14">
        <v>2.71</v>
      </c>
    </row>
    <row r="217" spans="2:3" x14ac:dyDescent="0.45">
      <c r="B217" s="13">
        <v>43262</v>
      </c>
      <c r="C217" s="14">
        <v>2.72</v>
      </c>
    </row>
    <row r="218" spans="2:3" x14ac:dyDescent="0.45">
      <c r="B218" s="13">
        <v>43292</v>
      </c>
      <c r="C218" s="14">
        <v>2.74</v>
      </c>
    </row>
    <row r="219" spans="2:3" x14ac:dyDescent="0.45">
      <c r="B219" s="13">
        <v>43323</v>
      </c>
      <c r="C219" s="14">
        <v>2.74</v>
      </c>
    </row>
    <row r="220" spans="2:3" x14ac:dyDescent="0.45">
      <c r="B220" s="13">
        <v>43354</v>
      </c>
      <c r="C220" s="14">
        <v>2.73</v>
      </c>
    </row>
    <row r="221" spans="2:3" x14ac:dyDescent="0.45">
      <c r="B221" s="14" t="s">
        <v>134</v>
      </c>
      <c r="C221" s="14">
        <v>2.72</v>
      </c>
    </row>
    <row r="222" spans="2:3" x14ac:dyDescent="0.45">
      <c r="B222" s="14" t="s">
        <v>135</v>
      </c>
      <c r="C222" s="14">
        <v>2.71</v>
      </c>
    </row>
    <row r="223" spans="2:3" x14ac:dyDescent="0.45">
      <c r="B223" s="14" t="s">
        <v>136</v>
      </c>
      <c r="C223" s="14">
        <v>2.7</v>
      </c>
    </row>
    <row r="224" spans="2:3" x14ac:dyDescent="0.45">
      <c r="B224" s="14" t="s">
        <v>137</v>
      </c>
      <c r="C224" s="14">
        <v>2.68</v>
      </c>
    </row>
    <row r="225" spans="2:3" x14ac:dyDescent="0.45">
      <c r="B225" s="14" t="s">
        <v>138</v>
      </c>
      <c r="C225" s="14">
        <v>2.66</v>
      </c>
    </row>
    <row r="226" spans="2:3" x14ac:dyDescent="0.45">
      <c r="B226" s="14" t="s">
        <v>139</v>
      </c>
      <c r="C226" s="14">
        <v>2.67</v>
      </c>
    </row>
    <row r="227" spans="2:3" x14ac:dyDescent="0.45">
      <c r="B227" s="14" t="s">
        <v>140</v>
      </c>
      <c r="C227" s="14">
        <v>2.67</v>
      </c>
    </row>
    <row r="228" spans="2:3" x14ac:dyDescent="0.45">
      <c r="B228" s="14" t="s">
        <v>141</v>
      </c>
      <c r="C228" s="14">
        <v>2.67</v>
      </c>
    </row>
    <row r="229" spans="2:3" x14ac:dyDescent="0.45">
      <c r="B229" s="14" t="s">
        <v>142</v>
      </c>
      <c r="C229" s="14">
        <v>2.7</v>
      </c>
    </row>
    <row r="230" spans="2:3" x14ac:dyDescent="0.45">
      <c r="B230" s="14" t="s">
        <v>143</v>
      </c>
      <c r="C230" s="14">
        <v>2.7</v>
      </c>
    </row>
    <row r="231" spans="2:3" x14ac:dyDescent="0.45">
      <c r="B231" s="14" t="s">
        <v>144</v>
      </c>
      <c r="C231" s="14">
        <v>2.69</v>
      </c>
    </row>
    <row r="232" spans="2:3" x14ac:dyDescent="0.45">
      <c r="B232" s="14" t="s">
        <v>145</v>
      </c>
      <c r="C232" s="14">
        <v>2.69</v>
      </c>
    </row>
    <row r="233" spans="2:3" x14ac:dyDescent="0.45">
      <c r="B233" s="14" t="s">
        <v>146</v>
      </c>
      <c r="C233" s="14">
        <v>2.7</v>
      </c>
    </row>
    <row r="234" spans="2:3" x14ac:dyDescent="0.45">
      <c r="B234" s="13">
        <v>43171</v>
      </c>
      <c r="C234" s="14">
        <v>2.72</v>
      </c>
    </row>
    <row r="235" spans="2:3" x14ac:dyDescent="0.45">
      <c r="B235" s="13">
        <v>43202</v>
      </c>
      <c r="C235" s="14">
        <v>2.71</v>
      </c>
    </row>
    <row r="236" spans="2:3" x14ac:dyDescent="0.45">
      <c r="B236" s="13">
        <v>43263</v>
      </c>
      <c r="C236" s="14">
        <v>2.7</v>
      </c>
    </row>
    <row r="237" spans="2:3" x14ac:dyDescent="0.45">
      <c r="B237" s="13">
        <v>43293</v>
      </c>
      <c r="C237" s="14">
        <v>2.68</v>
      </c>
    </row>
    <row r="238" spans="2:3" x14ac:dyDescent="0.45">
      <c r="B238" s="13">
        <v>43385</v>
      </c>
      <c r="C238" s="14">
        <v>2.69</v>
      </c>
    </row>
    <row r="239" spans="2:3" x14ac:dyDescent="0.45">
      <c r="B239" s="13">
        <v>43416</v>
      </c>
      <c r="C239" s="14">
        <v>2.7</v>
      </c>
    </row>
    <row r="240" spans="2:3" x14ac:dyDescent="0.45">
      <c r="B240" s="13">
        <v>43446</v>
      </c>
      <c r="C240" s="14">
        <v>2.7</v>
      </c>
    </row>
    <row r="241" spans="2:3" x14ac:dyDescent="0.45">
      <c r="B241" s="14" t="s">
        <v>147</v>
      </c>
      <c r="C241" s="14">
        <v>2.69</v>
      </c>
    </row>
    <row r="242" spans="2:3" x14ac:dyDescent="0.45">
      <c r="B242" s="14" t="s">
        <v>148</v>
      </c>
      <c r="C242" s="14">
        <v>2.68</v>
      </c>
    </row>
    <row r="243" spans="2:3" x14ac:dyDescent="0.45">
      <c r="B243" s="14" t="s">
        <v>149</v>
      </c>
      <c r="C243" s="14">
        <v>2.66</v>
      </c>
    </row>
    <row r="244" spans="2:3" x14ac:dyDescent="0.45">
      <c r="B244" s="14" t="s">
        <v>150</v>
      </c>
      <c r="C244" s="14">
        <v>2.64</v>
      </c>
    </row>
    <row r="245" spans="2:3" x14ac:dyDescent="0.45">
      <c r="B245" s="14" t="s">
        <v>151</v>
      </c>
      <c r="C245" s="14">
        <v>2.62</v>
      </c>
    </row>
    <row r="246" spans="2:3" x14ac:dyDescent="0.45">
      <c r="B246" s="14" t="s">
        <v>152</v>
      </c>
      <c r="C246" s="14">
        <v>2.64</v>
      </c>
    </row>
    <row r="247" spans="2:3" x14ac:dyDescent="0.45">
      <c r="B247" s="14" t="s">
        <v>153</v>
      </c>
      <c r="C247" s="14">
        <v>2.62</v>
      </c>
    </row>
    <row r="248" spans="2:3" x14ac:dyDescent="0.45">
      <c r="B248" s="14" t="s">
        <v>154</v>
      </c>
      <c r="C248" s="14">
        <v>2.61</v>
      </c>
    </row>
    <row r="249" spans="2:3" x14ac:dyDescent="0.45">
      <c r="B249" s="14" t="s">
        <v>155</v>
      </c>
      <c r="C249" s="14">
        <v>2.61</v>
      </c>
    </row>
    <row r="250" spans="2:3" x14ac:dyDescent="0.45">
      <c r="B250" s="14" t="s">
        <v>156</v>
      </c>
      <c r="C250" s="14">
        <v>2.58</v>
      </c>
    </row>
    <row r="251" spans="2:3" x14ac:dyDescent="0.45">
      <c r="B251" s="14" t="s">
        <v>157</v>
      </c>
      <c r="C251" s="14">
        <v>2.57</v>
      </c>
    </row>
    <row r="252" spans="2:3" x14ac:dyDescent="0.45">
      <c r="B252" s="14" t="s">
        <v>158</v>
      </c>
      <c r="C252" s="14">
        <v>2.63</v>
      </c>
    </row>
    <row r="253" spans="2:3" x14ac:dyDescent="0.45">
      <c r="B253" s="15">
        <v>43497</v>
      </c>
      <c r="C253" s="16">
        <v>2.6</v>
      </c>
    </row>
    <row r="254" spans="2:3" x14ac:dyDescent="0.45">
      <c r="B254" s="15">
        <v>43525</v>
      </c>
      <c r="C254" s="16">
        <v>2.5</v>
      </c>
    </row>
    <row r="255" spans="2:3" x14ac:dyDescent="0.45">
      <c r="B255" s="15">
        <v>43556</v>
      </c>
      <c r="C255" s="16">
        <v>2.57</v>
      </c>
    </row>
    <row r="256" spans="2:3" x14ac:dyDescent="0.45">
      <c r="B256" s="15">
        <v>43647</v>
      </c>
      <c r="C256" s="16">
        <v>2.58</v>
      </c>
    </row>
    <row r="257" spans="2:3" x14ac:dyDescent="0.45">
      <c r="B257" s="15">
        <v>43678</v>
      </c>
      <c r="C257" s="16">
        <v>2.6</v>
      </c>
    </row>
    <row r="258" spans="2:3" x14ac:dyDescent="0.45">
      <c r="B258" s="15">
        <v>43709</v>
      </c>
      <c r="C258" s="16">
        <v>2.59</v>
      </c>
    </row>
    <row r="259" spans="2:3" x14ac:dyDescent="0.45">
      <c r="B259" s="15">
        <v>43739</v>
      </c>
      <c r="C259" s="16">
        <v>2.59</v>
      </c>
    </row>
    <row r="260" spans="2:3" x14ac:dyDescent="0.45">
      <c r="B260" s="15">
        <v>43770</v>
      </c>
      <c r="C260" s="16">
        <v>2.58</v>
      </c>
    </row>
    <row r="261" spans="2:3" x14ac:dyDescent="0.45">
      <c r="B261" s="16" t="s">
        <v>159</v>
      </c>
      <c r="C261" s="16">
        <v>2.57</v>
      </c>
    </row>
    <row r="262" spans="2:3" x14ac:dyDescent="0.45">
      <c r="B262" s="16" t="s">
        <v>160</v>
      </c>
      <c r="C262" s="16">
        <v>2.57</v>
      </c>
    </row>
    <row r="263" spans="2:3" x14ac:dyDescent="0.45">
      <c r="B263" s="16" t="s">
        <v>161</v>
      </c>
      <c r="C263" s="16">
        <v>2.57</v>
      </c>
    </row>
    <row r="264" spans="2:3" x14ac:dyDescent="0.45">
      <c r="B264" s="16" t="s">
        <v>162</v>
      </c>
      <c r="C264" s="16">
        <v>2.57</v>
      </c>
    </row>
    <row r="265" spans="2:3" x14ac:dyDescent="0.45">
      <c r="B265" s="16" t="s">
        <v>163</v>
      </c>
      <c r="C265" s="16">
        <v>2.6</v>
      </c>
    </row>
    <row r="266" spans="2:3" x14ac:dyDescent="0.45">
      <c r="B266" s="16" t="s">
        <v>164</v>
      </c>
      <c r="C266" s="16">
        <v>2.59</v>
      </c>
    </row>
    <row r="267" spans="2:3" x14ac:dyDescent="0.45">
      <c r="B267" s="16" t="s">
        <v>165</v>
      </c>
      <c r="C267" s="16">
        <v>2.59</v>
      </c>
    </row>
    <row r="268" spans="2:3" x14ac:dyDescent="0.45">
      <c r="B268" s="16" t="s">
        <v>166</v>
      </c>
      <c r="C268" s="16">
        <v>2.58</v>
      </c>
    </row>
    <row r="269" spans="2:3" x14ac:dyDescent="0.45">
      <c r="B269" s="16" t="s">
        <v>167</v>
      </c>
      <c r="C269" s="16">
        <v>2.6</v>
      </c>
    </row>
    <row r="270" spans="2:3" x14ac:dyDescent="0.45">
      <c r="B270" s="16" t="s">
        <v>168</v>
      </c>
      <c r="C270" s="16">
        <v>2.6</v>
      </c>
    </row>
    <row r="271" spans="2:3" x14ac:dyDescent="0.45">
      <c r="B271" s="16" t="s">
        <v>169</v>
      </c>
      <c r="C271" s="16">
        <v>2.6</v>
      </c>
    </row>
    <row r="272" spans="2:3" x14ac:dyDescent="0.45">
      <c r="B272" s="16" t="s">
        <v>170</v>
      </c>
      <c r="C272" s="16">
        <v>2.57</v>
      </c>
    </row>
    <row r="273" spans="2:3" x14ac:dyDescent="0.45">
      <c r="B273" s="16" t="s">
        <v>171</v>
      </c>
      <c r="C273" s="16">
        <v>2.5499999999999998</v>
      </c>
    </row>
    <row r="274" spans="2:3" x14ac:dyDescent="0.45">
      <c r="B274" s="15">
        <v>43467</v>
      </c>
      <c r="C274" s="16">
        <v>2.56</v>
      </c>
    </row>
    <row r="275" spans="2:3" x14ac:dyDescent="0.45">
      <c r="B275" s="15">
        <v>43557</v>
      </c>
      <c r="C275" s="16">
        <v>2.57</v>
      </c>
    </row>
    <row r="276" spans="2:3" x14ac:dyDescent="0.45">
      <c r="B276" s="15">
        <v>43587</v>
      </c>
      <c r="C276" s="16">
        <v>2.56</v>
      </c>
    </row>
    <row r="277" spans="2:3" x14ac:dyDescent="0.45">
      <c r="B277" s="15">
        <v>43618</v>
      </c>
      <c r="C277" s="16">
        <v>2.56</v>
      </c>
    </row>
    <row r="278" spans="2:3" x14ac:dyDescent="0.45">
      <c r="B278" s="15">
        <v>43648</v>
      </c>
      <c r="C278" s="16">
        <v>2.5499999999999998</v>
      </c>
    </row>
    <row r="279" spans="2:3" x14ac:dyDescent="0.45">
      <c r="B279" s="15">
        <v>43679</v>
      </c>
      <c r="C279" s="16">
        <v>2.54</v>
      </c>
    </row>
    <row r="280" spans="2:3" x14ac:dyDescent="0.45">
      <c r="B280" s="15">
        <v>43771</v>
      </c>
      <c r="C280" s="16">
        <v>2.5499999999999998</v>
      </c>
    </row>
    <row r="281" spans="2:3" x14ac:dyDescent="0.45">
      <c r="B281" s="15">
        <v>43801</v>
      </c>
      <c r="C281" s="16">
        <v>2.5499999999999998</v>
      </c>
    </row>
    <row r="282" spans="2:3" x14ac:dyDescent="0.45">
      <c r="B282" s="16" t="s">
        <v>172</v>
      </c>
      <c r="C282" s="16">
        <v>2.5499999999999998</v>
      </c>
    </row>
    <row r="283" spans="2:3" x14ac:dyDescent="0.45">
      <c r="B283" s="16" t="s">
        <v>173</v>
      </c>
      <c r="C283" s="16">
        <v>2.5299999999999998</v>
      </c>
    </row>
    <row r="284" spans="2:3" x14ac:dyDescent="0.45">
      <c r="B284" s="16" t="s">
        <v>174</v>
      </c>
      <c r="C284" s="16">
        <v>2.5499999999999998</v>
      </c>
    </row>
    <row r="285" spans="2:3" x14ac:dyDescent="0.45">
      <c r="B285" s="16" t="s">
        <v>175</v>
      </c>
      <c r="C285" s="16">
        <v>2.54</v>
      </c>
    </row>
    <row r="286" spans="2:3" x14ac:dyDescent="0.45">
      <c r="B286" s="16" t="s">
        <v>176</v>
      </c>
      <c r="C286" s="16">
        <v>2.54</v>
      </c>
    </row>
    <row r="287" spans="2:3" x14ac:dyDescent="0.45">
      <c r="B287" s="16" t="s">
        <v>177</v>
      </c>
      <c r="C287" s="16">
        <v>2.5499999999999998</v>
      </c>
    </row>
    <row r="288" spans="2:3" x14ac:dyDescent="0.45">
      <c r="B288" s="16" t="s">
        <v>178</v>
      </c>
      <c r="C288" s="16">
        <v>2.5499999999999998</v>
      </c>
    </row>
    <row r="289" spans="2:3" x14ac:dyDescent="0.45">
      <c r="B289" s="16" t="s">
        <v>179</v>
      </c>
      <c r="C289" s="16">
        <v>2.56</v>
      </c>
    </row>
    <row r="290" spans="2:3" x14ac:dyDescent="0.45">
      <c r="B290" s="16" t="s">
        <v>180</v>
      </c>
      <c r="C290" s="16">
        <v>2.5499999999999998</v>
      </c>
    </row>
    <row r="291" spans="2:3" x14ac:dyDescent="0.45">
      <c r="B291" s="16" t="s">
        <v>181</v>
      </c>
      <c r="C291" s="16">
        <v>2.54</v>
      </c>
    </row>
    <row r="292" spans="2:3" x14ac:dyDescent="0.45">
      <c r="B292" s="16" t="s">
        <v>182</v>
      </c>
      <c r="C292" s="16">
        <v>2.54</v>
      </c>
    </row>
    <row r="293" spans="2:3" x14ac:dyDescent="0.45">
      <c r="B293" s="15">
        <v>43468</v>
      </c>
      <c r="C293" s="16">
        <v>2.5499999999999998</v>
      </c>
    </row>
    <row r="294" spans="2:3" x14ac:dyDescent="0.45">
      <c r="B294" s="15">
        <v>43558</v>
      </c>
      <c r="C294" s="16">
        <v>2.54</v>
      </c>
    </row>
    <row r="295" spans="2:3" x14ac:dyDescent="0.45">
      <c r="B295" s="15">
        <v>43588</v>
      </c>
      <c r="C295" s="16">
        <v>2.54</v>
      </c>
    </row>
    <row r="296" spans="2:3" x14ac:dyDescent="0.45">
      <c r="B296" s="15">
        <v>43619</v>
      </c>
      <c r="C296" s="16">
        <v>2.54</v>
      </c>
    </row>
    <row r="297" spans="2:3" x14ac:dyDescent="0.45">
      <c r="B297" s="15">
        <v>43649</v>
      </c>
      <c r="C297" s="16">
        <v>2.52</v>
      </c>
    </row>
    <row r="298" spans="2:3" x14ac:dyDescent="0.45">
      <c r="B298" s="15">
        <v>43680</v>
      </c>
      <c r="C298" s="16">
        <v>2.5299999999999998</v>
      </c>
    </row>
    <row r="299" spans="2:3" x14ac:dyDescent="0.45">
      <c r="B299" s="15">
        <v>43772</v>
      </c>
      <c r="C299" s="16">
        <v>2.5299999999999998</v>
      </c>
    </row>
    <row r="300" spans="2:3" x14ac:dyDescent="0.45">
      <c r="B300" s="15">
        <v>43802</v>
      </c>
      <c r="C300" s="16">
        <v>2.52</v>
      </c>
    </row>
    <row r="301" spans="2:3" x14ac:dyDescent="0.45">
      <c r="B301" s="16" t="s">
        <v>183</v>
      </c>
      <c r="C301" s="16">
        <v>2.5299999999999998</v>
      </c>
    </row>
    <row r="302" spans="2:3" x14ac:dyDescent="0.45">
      <c r="B302" s="16" t="s">
        <v>184</v>
      </c>
      <c r="C302" s="16">
        <v>2.52</v>
      </c>
    </row>
    <row r="303" spans="2:3" x14ac:dyDescent="0.45">
      <c r="B303" s="16" t="s">
        <v>185</v>
      </c>
      <c r="C303" s="16">
        <v>2.52</v>
      </c>
    </row>
    <row r="304" spans="2:3" x14ac:dyDescent="0.45">
      <c r="B304" s="16" t="s">
        <v>186</v>
      </c>
      <c r="C304" s="16">
        <v>2.52</v>
      </c>
    </row>
    <row r="305" spans="2:3" x14ac:dyDescent="0.45">
      <c r="B305" s="16" t="s">
        <v>187</v>
      </c>
      <c r="C305" s="16">
        <v>2.5</v>
      </c>
    </row>
    <row r="306" spans="2:3" x14ac:dyDescent="0.45">
      <c r="B306" s="16" t="s">
        <v>188</v>
      </c>
      <c r="C306" s="16">
        <v>2.4700000000000002</v>
      </c>
    </row>
    <row r="307" spans="2:3" x14ac:dyDescent="0.45">
      <c r="B307" s="16" t="s">
        <v>189</v>
      </c>
      <c r="C307" s="16">
        <v>2.48</v>
      </c>
    </row>
    <row r="308" spans="2:3" x14ac:dyDescent="0.45">
      <c r="B308" s="16" t="s">
        <v>190</v>
      </c>
      <c r="C308" s="16">
        <v>2.4500000000000002</v>
      </c>
    </row>
    <row r="309" spans="2:3" x14ac:dyDescent="0.45">
      <c r="B309" s="16" t="s">
        <v>191</v>
      </c>
      <c r="C309" s="16">
        <v>2.41</v>
      </c>
    </row>
    <row r="310" spans="2:3" x14ac:dyDescent="0.45">
      <c r="B310" s="16" t="s">
        <v>192</v>
      </c>
      <c r="C310" s="16">
        <v>2.44</v>
      </c>
    </row>
    <row r="311" spans="2:3" x14ac:dyDescent="0.45">
      <c r="B311" s="16" t="s">
        <v>193</v>
      </c>
      <c r="C311" s="16">
        <v>2.4</v>
      </c>
    </row>
    <row r="312" spans="2:3" x14ac:dyDescent="0.45">
      <c r="B312" s="16" t="s">
        <v>194</v>
      </c>
      <c r="C312" s="16">
        <v>2.4</v>
      </c>
    </row>
    <row r="313" spans="2:3" x14ac:dyDescent="0.45">
      <c r="B313" s="16" t="s">
        <v>195</v>
      </c>
      <c r="C313" s="16">
        <v>2.4</v>
      </c>
    </row>
    <row r="314" spans="2:3" x14ac:dyDescent="0.45">
      <c r="B314" s="15">
        <v>43469</v>
      </c>
      <c r="C314" s="16">
        <v>2.41</v>
      </c>
    </row>
    <row r="315" spans="2:3" x14ac:dyDescent="0.45">
      <c r="B315" s="15">
        <v>43500</v>
      </c>
      <c r="C315" s="16">
        <v>2.41</v>
      </c>
    </row>
    <row r="316" spans="2:3" x14ac:dyDescent="0.45">
      <c r="B316" s="15">
        <v>43528</v>
      </c>
      <c r="C316" s="16">
        <v>2.41</v>
      </c>
    </row>
    <row r="317" spans="2:3" x14ac:dyDescent="0.45">
      <c r="B317" s="15">
        <v>43559</v>
      </c>
      <c r="C317" s="16">
        <v>2.41</v>
      </c>
    </row>
    <row r="318" spans="2:3" x14ac:dyDescent="0.45">
      <c r="B318" s="15">
        <v>43589</v>
      </c>
      <c r="C318" s="16">
        <v>2.4300000000000002</v>
      </c>
    </row>
    <row r="319" spans="2:3" x14ac:dyDescent="0.45">
      <c r="B319" s="15">
        <v>43681</v>
      </c>
      <c r="C319" s="16">
        <v>2.4300000000000002</v>
      </c>
    </row>
    <row r="320" spans="2:3" x14ac:dyDescent="0.45">
      <c r="B320" s="15">
        <v>43712</v>
      </c>
      <c r="C320" s="16">
        <v>2.42</v>
      </c>
    </row>
    <row r="321" spans="2:3" x14ac:dyDescent="0.45">
      <c r="B321" s="15">
        <v>43742</v>
      </c>
      <c r="C321" s="16">
        <v>2.41</v>
      </c>
    </row>
    <row r="322" spans="2:3" x14ac:dyDescent="0.45">
      <c r="B322" s="15">
        <v>43773</v>
      </c>
      <c r="C322" s="16">
        <v>2.44</v>
      </c>
    </row>
    <row r="323" spans="2:3" x14ac:dyDescent="0.45">
      <c r="B323" s="15">
        <v>43803</v>
      </c>
      <c r="C323" s="16">
        <v>2.44</v>
      </c>
    </row>
    <row r="324" spans="2:3" x14ac:dyDescent="0.45">
      <c r="B324" s="16" t="s">
        <v>196</v>
      </c>
      <c r="C324" s="16">
        <v>2.4300000000000002</v>
      </c>
    </row>
    <row r="325" spans="2:3" x14ac:dyDescent="0.45">
      <c r="B325" s="16" t="s">
        <v>197</v>
      </c>
      <c r="C325" s="16">
        <v>2.4500000000000002</v>
      </c>
    </row>
    <row r="326" spans="2:3" x14ac:dyDescent="0.45">
      <c r="B326" s="16" t="s">
        <v>198</v>
      </c>
      <c r="C326" s="16">
        <v>2.44</v>
      </c>
    </row>
    <row r="327" spans="2:3" x14ac:dyDescent="0.45">
      <c r="B327" s="16" t="s">
        <v>199</v>
      </c>
      <c r="C327" s="16">
        <v>2.44</v>
      </c>
    </row>
    <row r="328" spans="2:3" x14ac:dyDescent="0.45">
      <c r="B328" s="16" t="s">
        <v>200</v>
      </c>
      <c r="C328" s="16">
        <v>2.46</v>
      </c>
    </row>
    <row r="329" spans="2:3" x14ac:dyDescent="0.45">
      <c r="B329" s="16" t="s">
        <v>201</v>
      </c>
      <c r="C329" s="16">
        <v>2.4300000000000002</v>
      </c>
    </row>
    <row r="330" spans="2:3" x14ac:dyDescent="0.45">
      <c r="B330" s="16" t="s">
        <v>202</v>
      </c>
      <c r="C330" s="16">
        <v>2.42</v>
      </c>
    </row>
    <row r="331" spans="2:3" x14ac:dyDescent="0.45">
      <c r="B331" s="16" t="s">
        <v>203</v>
      </c>
      <c r="C331" s="16">
        <v>2.42</v>
      </c>
    </row>
    <row r="332" spans="2:3" x14ac:dyDescent="0.45">
      <c r="B332" s="16" t="s">
        <v>204</v>
      </c>
      <c r="C332" s="16">
        <v>2.41</v>
      </c>
    </row>
    <row r="333" spans="2:3" x14ac:dyDescent="0.45">
      <c r="B333" s="16" t="s">
        <v>205</v>
      </c>
      <c r="C333" s="16">
        <v>2.42</v>
      </c>
    </row>
    <row r="334" spans="2:3" x14ac:dyDescent="0.45">
      <c r="B334" s="16" t="s">
        <v>206</v>
      </c>
      <c r="C334" s="16">
        <v>2.39</v>
      </c>
    </row>
    <row r="335" spans="2:3" x14ac:dyDescent="0.45">
      <c r="B335" s="15">
        <v>43470</v>
      </c>
      <c r="C335" s="16">
        <v>2.39</v>
      </c>
    </row>
    <row r="336" spans="2:3" x14ac:dyDescent="0.45">
      <c r="B336" s="15">
        <v>43501</v>
      </c>
      <c r="C336" s="16">
        <v>2.41</v>
      </c>
    </row>
    <row r="337" spans="2:3" x14ac:dyDescent="0.45">
      <c r="B337" s="15">
        <v>43529</v>
      </c>
      <c r="C337" s="16">
        <v>2.41</v>
      </c>
    </row>
    <row r="338" spans="2:3" x14ac:dyDescent="0.45">
      <c r="B338" s="15">
        <v>43621</v>
      </c>
      <c r="C338" s="16">
        <v>2.39</v>
      </c>
    </row>
    <row r="339" spans="2:3" x14ac:dyDescent="0.45">
      <c r="B339" s="15">
        <v>43651</v>
      </c>
      <c r="C339" s="16">
        <v>2.37</v>
      </c>
    </row>
    <row r="340" spans="2:3" x14ac:dyDescent="0.45">
      <c r="B340" s="15">
        <v>43682</v>
      </c>
      <c r="C340" s="16">
        <v>2.37</v>
      </c>
    </row>
    <row r="341" spans="2:3" x14ac:dyDescent="0.45">
      <c r="B341" s="15">
        <v>43713</v>
      </c>
      <c r="C341" s="16">
        <v>2.36</v>
      </c>
    </row>
    <row r="342" spans="2:3" x14ac:dyDescent="0.45">
      <c r="B342" s="15">
        <v>43743</v>
      </c>
      <c r="C342" s="16">
        <v>2.36</v>
      </c>
    </row>
    <row r="343" spans="2:3" x14ac:dyDescent="0.45">
      <c r="B343" s="16" t="s">
        <v>207</v>
      </c>
      <c r="C343" s="16">
        <v>2.3199999999999998</v>
      </c>
    </row>
    <row r="344" spans="2:3" x14ac:dyDescent="0.45">
      <c r="B344" s="16" t="s">
        <v>208</v>
      </c>
      <c r="C344" s="16">
        <v>2.3199999999999998</v>
      </c>
    </row>
    <row r="345" spans="2:3" x14ac:dyDescent="0.45">
      <c r="B345" s="16" t="s">
        <v>209</v>
      </c>
      <c r="C345" s="16">
        <v>2.2999999999999998</v>
      </c>
    </row>
    <row r="346" spans="2:3" x14ac:dyDescent="0.45">
      <c r="B346" s="16" t="s">
        <v>210</v>
      </c>
      <c r="C346" s="16">
        <v>2.33</v>
      </c>
    </row>
    <row r="347" spans="2:3" x14ac:dyDescent="0.45">
      <c r="B347" s="16" t="s">
        <v>211</v>
      </c>
      <c r="C347" s="16">
        <v>2.33</v>
      </c>
    </row>
    <row r="348" spans="2:3" x14ac:dyDescent="0.45">
      <c r="B348" s="16" t="s">
        <v>212</v>
      </c>
      <c r="C348" s="16">
        <v>2.34</v>
      </c>
    </row>
    <row r="349" spans="2:3" x14ac:dyDescent="0.45">
      <c r="B349" s="16" t="s">
        <v>213</v>
      </c>
      <c r="C349" s="16">
        <v>2.36</v>
      </c>
    </row>
    <row r="350" spans="2:3" x14ac:dyDescent="0.45">
      <c r="B350" s="16" t="s">
        <v>214</v>
      </c>
      <c r="C350" s="16">
        <v>2.37</v>
      </c>
    </row>
    <row r="351" spans="2:3" x14ac:dyDescent="0.45">
      <c r="B351" s="16" t="s">
        <v>215</v>
      </c>
      <c r="C351" s="16">
        <v>2.3199999999999998</v>
      </c>
    </row>
    <row r="352" spans="2:3" x14ac:dyDescent="0.45">
      <c r="B352" s="16" t="s">
        <v>216</v>
      </c>
      <c r="C352" s="16">
        <v>2.33</v>
      </c>
    </row>
    <row r="353" spans="2:3" x14ac:dyDescent="0.45">
      <c r="B353" s="16" t="s">
        <v>217</v>
      </c>
      <c r="C353" s="16">
        <v>2.31</v>
      </c>
    </row>
    <row r="354" spans="2:3" x14ac:dyDescent="0.45">
      <c r="B354" s="16" t="s">
        <v>218</v>
      </c>
      <c r="C354" s="16">
        <v>2.2999999999999998</v>
      </c>
    </row>
    <row r="355" spans="2:3" x14ac:dyDescent="0.45">
      <c r="B355" s="16" t="s">
        <v>219</v>
      </c>
      <c r="C355" s="16">
        <v>2.29</v>
      </c>
    </row>
    <row r="356" spans="2:3" x14ac:dyDescent="0.45">
      <c r="B356" s="16" t="s">
        <v>220</v>
      </c>
      <c r="C356" s="16">
        <v>2.21</v>
      </c>
    </row>
    <row r="357" spans="2:3" x14ac:dyDescent="0.45">
      <c r="B357" s="15">
        <v>43530</v>
      </c>
      <c r="C357" s="16">
        <v>2.11</v>
      </c>
    </row>
    <row r="358" spans="2:3" x14ac:dyDescent="0.45">
      <c r="B358" s="15">
        <v>43561</v>
      </c>
      <c r="C358" s="16">
        <v>2.11</v>
      </c>
    </row>
    <row r="359" spans="2:3" x14ac:dyDescent="0.45">
      <c r="B359" s="15">
        <v>43591</v>
      </c>
      <c r="C359" s="16">
        <v>2.04</v>
      </c>
    </row>
    <row r="360" spans="2:3" x14ac:dyDescent="0.45">
      <c r="B360" s="15">
        <v>43622</v>
      </c>
      <c r="C360" s="16">
        <v>2.02</v>
      </c>
    </row>
    <row r="361" spans="2:3" x14ac:dyDescent="0.45">
      <c r="B361" s="15">
        <v>43652</v>
      </c>
      <c r="C361" s="16">
        <v>1.97</v>
      </c>
    </row>
    <row r="362" spans="2:3" x14ac:dyDescent="0.45">
      <c r="B362" s="15">
        <v>43744</v>
      </c>
      <c r="C362" s="16">
        <v>2.0299999999999998</v>
      </c>
    </row>
    <row r="363" spans="2:3" x14ac:dyDescent="0.45">
      <c r="B363" s="15">
        <v>43775</v>
      </c>
      <c r="C363" s="16">
        <v>2.0499999999999998</v>
      </c>
    </row>
    <row r="364" spans="2:3" x14ac:dyDescent="0.45">
      <c r="B364" s="15">
        <v>43805</v>
      </c>
      <c r="C364" s="16">
        <v>2.02</v>
      </c>
    </row>
    <row r="365" spans="2:3" x14ac:dyDescent="0.45">
      <c r="B365" s="16" t="s">
        <v>221</v>
      </c>
      <c r="C365" s="16">
        <v>2</v>
      </c>
    </row>
    <row r="366" spans="2:3" x14ac:dyDescent="0.45">
      <c r="B366" s="16" t="s">
        <v>222</v>
      </c>
      <c r="C366" s="16">
        <v>2</v>
      </c>
    </row>
    <row r="367" spans="2:3" x14ac:dyDescent="0.45">
      <c r="B367" s="16" t="s">
        <v>223</v>
      </c>
      <c r="C367" s="16">
        <v>2.0299999999999998</v>
      </c>
    </row>
    <row r="368" spans="2:3" x14ac:dyDescent="0.45">
      <c r="B368" s="16" t="s">
        <v>224</v>
      </c>
      <c r="C368" s="16">
        <v>2.04</v>
      </c>
    </row>
    <row r="369" spans="2:3" x14ac:dyDescent="0.45">
      <c r="B369" s="16" t="s">
        <v>225</v>
      </c>
      <c r="C369" s="16">
        <v>1.96</v>
      </c>
    </row>
    <row r="370" spans="2:3" x14ac:dyDescent="0.45">
      <c r="B370" s="16" t="s">
        <v>226</v>
      </c>
      <c r="C370" s="16">
        <v>1.91</v>
      </c>
    </row>
    <row r="371" spans="2:3" x14ac:dyDescent="0.45">
      <c r="B371" s="16" t="s">
        <v>227</v>
      </c>
      <c r="C371" s="16">
        <v>1.95</v>
      </c>
    </row>
    <row r="372" spans="2:3" x14ac:dyDescent="0.45">
      <c r="B372" s="16" t="s">
        <v>228</v>
      </c>
      <c r="C372" s="16">
        <v>1.92</v>
      </c>
    </row>
    <row r="373" spans="2:3" x14ac:dyDescent="0.45">
      <c r="B373" s="16" t="s">
        <v>229</v>
      </c>
      <c r="C373" s="16">
        <v>1.93</v>
      </c>
    </row>
    <row r="374" spans="2:3" x14ac:dyDescent="0.45">
      <c r="B374" s="16" t="s">
        <v>230</v>
      </c>
      <c r="C374" s="16">
        <v>1.96</v>
      </c>
    </row>
    <row r="375" spans="2:3" x14ac:dyDescent="0.45">
      <c r="B375" s="16" t="s">
        <v>231</v>
      </c>
      <c r="C375" s="16">
        <v>1.93</v>
      </c>
    </row>
    <row r="376" spans="2:3" x14ac:dyDescent="0.45">
      <c r="B376" s="16" t="s">
        <v>232</v>
      </c>
      <c r="C376" s="16">
        <v>1.92</v>
      </c>
    </row>
    <row r="377" spans="2:3" x14ac:dyDescent="0.45">
      <c r="B377" s="15">
        <v>43472</v>
      </c>
      <c r="C377" s="16">
        <v>1.94</v>
      </c>
    </row>
    <row r="378" spans="2:3" x14ac:dyDescent="0.45">
      <c r="B378" s="15">
        <v>43503</v>
      </c>
      <c r="C378" s="16">
        <v>1.91</v>
      </c>
    </row>
    <row r="379" spans="2:3" x14ac:dyDescent="0.45">
      <c r="B379" s="15">
        <v>43531</v>
      </c>
      <c r="C379" s="16">
        <v>1.91</v>
      </c>
    </row>
    <row r="380" spans="2:3" x14ac:dyDescent="0.45">
      <c r="B380" s="15">
        <v>43592</v>
      </c>
      <c r="C380" s="16">
        <v>1.98</v>
      </c>
    </row>
    <row r="381" spans="2:3" x14ac:dyDescent="0.45">
      <c r="B381" s="15">
        <v>43684</v>
      </c>
      <c r="C381" s="16">
        <v>1.99</v>
      </c>
    </row>
    <row r="382" spans="2:3" x14ac:dyDescent="0.45">
      <c r="B382" s="15">
        <v>43715</v>
      </c>
      <c r="C382" s="16">
        <v>2</v>
      </c>
    </row>
    <row r="383" spans="2:3" x14ac:dyDescent="0.45">
      <c r="B383" s="15">
        <v>43745</v>
      </c>
      <c r="C383" s="16">
        <v>1.93</v>
      </c>
    </row>
    <row r="384" spans="2:3" x14ac:dyDescent="0.45">
      <c r="B384" s="15">
        <v>43776</v>
      </c>
      <c r="C384" s="16">
        <v>1.97</v>
      </c>
    </row>
    <row r="385" spans="2:3" x14ac:dyDescent="0.45">
      <c r="B385" s="15">
        <v>43806</v>
      </c>
      <c r="C385" s="16">
        <v>1.96</v>
      </c>
    </row>
    <row r="386" spans="2:3" x14ac:dyDescent="0.45">
      <c r="B386" s="16" t="s">
        <v>233</v>
      </c>
      <c r="C386" s="16">
        <v>1.95</v>
      </c>
    </row>
    <row r="387" spans="2:3" x14ac:dyDescent="0.45">
      <c r="B387" s="16" t="s">
        <v>234</v>
      </c>
      <c r="C387" s="16">
        <v>2</v>
      </c>
    </row>
    <row r="388" spans="2:3" x14ac:dyDescent="0.45">
      <c r="B388" s="16" t="s">
        <v>235</v>
      </c>
      <c r="C388" s="16">
        <v>1.95</v>
      </c>
    </row>
    <row r="389" spans="2:3" x14ac:dyDescent="0.45">
      <c r="B389" s="16" t="s">
        <v>236</v>
      </c>
      <c r="C389" s="16">
        <v>1.9</v>
      </c>
    </row>
    <row r="390" spans="2:3" x14ac:dyDescent="0.45">
      <c r="B390" s="16" t="s">
        <v>237</v>
      </c>
      <c r="C390" s="16">
        <v>1.94</v>
      </c>
    </row>
    <row r="391" spans="2:3" x14ac:dyDescent="0.45">
      <c r="B391" s="16" t="s">
        <v>238</v>
      </c>
      <c r="C391" s="16">
        <v>1.95</v>
      </c>
    </row>
    <row r="392" spans="2:3" x14ac:dyDescent="0.45">
      <c r="B392" s="16" t="s">
        <v>239</v>
      </c>
      <c r="C392" s="16">
        <v>1.97</v>
      </c>
    </row>
    <row r="393" spans="2:3" x14ac:dyDescent="0.45">
      <c r="B393" s="16" t="s">
        <v>240</v>
      </c>
      <c r="C393" s="16">
        <v>1.98</v>
      </c>
    </row>
    <row r="394" spans="2:3" x14ac:dyDescent="0.45">
      <c r="B394" s="16" t="s">
        <v>241</v>
      </c>
      <c r="C394" s="16">
        <v>1.99</v>
      </c>
    </row>
    <row r="395" spans="2:3" x14ac:dyDescent="0.45">
      <c r="B395" s="16" t="s">
        <v>242</v>
      </c>
      <c r="C395" s="16">
        <v>2</v>
      </c>
    </row>
    <row r="396" spans="2:3" x14ac:dyDescent="0.45">
      <c r="B396" s="16" t="s">
        <v>243</v>
      </c>
      <c r="C396" s="16">
        <v>1.98</v>
      </c>
    </row>
    <row r="397" spans="2:3" x14ac:dyDescent="0.45">
      <c r="B397" s="16" t="s">
        <v>244</v>
      </c>
      <c r="C397" s="16">
        <v>1.97</v>
      </c>
    </row>
    <row r="398" spans="2:3" x14ac:dyDescent="0.45">
      <c r="B398" s="16" t="s">
        <v>245</v>
      </c>
      <c r="C398" s="16">
        <v>2</v>
      </c>
    </row>
    <row r="399" spans="2:3" x14ac:dyDescent="0.45">
      <c r="B399" s="15">
        <v>43473</v>
      </c>
      <c r="C399" s="16">
        <v>1.88</v>
      </c>
    </row>
    <row r="400" spans="2:3" x14ac:dyDescent="0.45">
      <c r="B400" s="15">
        <v>43504</v>
      </c>
      <c r="C400" s="16">
        <v>1.85</v>
      </c>
    </row>
    <row r="401" spans="2:3" x14ac:dyDescent="0.45">
      <c r="B401" s="15">
        <v>43593</v>
      </c>
      <c r="C401" s="16">
        <v>1.78</v>
      </c>
    </row>
    <row r="402" spans="2:3" x14ac:dyDescent="0.45">
      <c r="B402" s="15">
        <v>43624</v>
      </c>
      <c r="C402" s="16">
        <v>1.8</v>
      </c>
    </row>
    <row r="403" spans="2:3" x14ac:dyDescent="0.45">
      <c r="B403" s="15">
        <v>43654</v>
      </c>
      <c r="C403" s="16">
        <v>1.75</v>
      </c>
    </row>
    <row r="404" spans="2:3" x14ac:dyDescent="0.45">
      <c r="B404" s="15">
        <v>43685</v>
      </c>
      <c r="C404" s="16">
        <v>1.79</v>
      </c>
    </row>
    <row r="405" spans="2:3" x14ac:dyDescent="0.45">
      <c r="B405" s="15">
        <v>43716</v>
      </c>
      <c r="C405" s="16">
        <v>1.78</v>
      </c>
    </row>
    <row r="406" spans="2:3" x14ac:dyDescent="0.45">
      <c r="B406" s="15">
        <v>43807</v>
      </c>
      <c r="C406" s="16">
        <v>1.75</v>
      </c>
    </row>
    <row r="407" spans="2:3" x14ac:dyDescent="0.45">
      <c r="B407" s="16" t="s">
        <v>246</v>
      </c>
      <c r="C407" s="16">
        <v>1.86</v>
      </c>
    </row>
    <row r="408" spans="2:3" x14ac:dyDescent="0.45">
      <c r="B408" s="16" t="s">
        <v>247</v>
      </c>
      <c r="C408" s="16">
        <v>1.79</v>
      </c>
    </row>
    <row r="409" spans="2:3" x14ac:dyDescent="0.45">
      <c r="B409" s="16" t="s">
        <v>248</v>
      </c>
      <c r="C409" s="16">
        <v>1.72</v>
      </c>
    </row>
    <row r="410" spans="2:3" x14ac:dyDescent="0.45">
      <c r="B410" s="16" t="s">
        <v>249</v>
      </c>
      <c r="C410" s="16">
        <v>1.71</v>
      </c>
    </row>
    <row r="411" spans="2:3" x14ac:dyDescent="0.45">
      <c r="B411" s="16" t="s">
        <v>250</v>
      </c>
      <c r="C411" s="16">
        <v>1.75</v>
      </c>
    </row>
    <row r="412" spans="2:3" x14ac:dyDescent="0.45">
      <c r="B412" s="16" t="s">
        <v>251</v>
      </c>
      <c r="C412" s="16">
        <v>1.72</v>
      </c>
    </row>
    <row r="413" spans="2:3" x14ac:dyDescent="0.45">
      <c r="B413" s="16" t="s">
        <v>252</v>
      </c>
      <c r="C413" s="16">
        <v>1.77</v>
      </c>
    </row>
    <row r="414" spans="2:3" x14ac:dyDescent="0.45">
      <c r="B414" s="16" t="s">
        <v>253</v>
      </c>
      <c r="C414" s="16">
        <v>1.79</v>
      </c>
    </row>
    <row r="415" spans="2:3" x14ac:dyDescent="0.45">
      <c r="B415" s="16" t="s">
        <v>254</v>
      </c>
      <c r="C415" s="16">
        <v>1.73</v>
      </c>
    </row>
    <row r="416" spans="2:3" x14ac:dyDescent="0.45">
      <c r="B416" s="16" t="s">
        <v>255</v>
      </c>
      <c r="C416" s="16">
        <v>1.75</v>
      </c>
    </row>
    <row r="417" spans="2:3" x14ac:dyDescent="0.45">
      <c r="B417" s="16" t="s">
        <v>256</v>
      </c>
      <c r="C417" s="16">
        <v>1.77</v>
      </c>
    </row>
    <row r="418" spans="2:3" x14ac:dyDescent="0.45">
      <c r="B418" s="16" t="s">
        <v>257</v>
      </c>
      <c r="C418" s="16">
        <v>1.74</v>
      </c>
    </row>
    <row r="419" spans="2:3" x14ac:dyDescent="0.45">
      <c r="B419" s="16" t="s">
        <v>258</v>
      </c>
      <c r="C419" s="16">
        <v>1.75</v>
      </c>
    </row>
    <row r="420" spans="2:3" x14ac:dyDescent="0.45">
      <c r="B420" s="16" t="s">
        <v>259</v>
      </c>
      <c r="C420" s="16">
        <v>1.76</v>
      </c>
    </row>
    <row r="421" spans="2:3" x14ac:dyDescent="0.45">
      <c r="B421" s="15">
        <v>43533</v>
      </c>
      <c r="C421" s="16">
        <v>1.72</v>
      </c>
    </row>
    <row r="422" spans="2:3" x14ac:dyDescent="0.45">
      <c r="B422" s="15">
        <v>43564</v>
      </c>
      <c r="C422" s="16">
        <v>1.69</v>
      </c>
    </row>
    <row r="423" spans="2:3" x14ac:dyDescent="0.45">
      <c r="B423" s="15">
        <v>43594</v>
      </c>
      <c r="C423" s="16">
        <v>1.73</v>
      </c>
    </row>
    <row r="424" spans="2:3" x14ac:dyDescent="0.45">
      <c r="B424" s="15">
        <v>43625</v>
      </c>
      <c r="C424" s="16">
        <v>1.73</v>
      </c>
    </row>
    <row r="425" spans="2:3" x14ac:dyDescent="0.45">
      <c r="B425" s="15">
        <v>43717</v>
      </c>
      <c r="C425" s="16">
        <v>1.74</v>
      </c>
    </row>
    <row r="426" spans="2:3" x14ac:dyDescent="0.45">
      <c r="B426" s="15">
        <v>43747</v>
      </c>
      <c r="C426" s="16">
        <v>1.81</v>
      </c>
    </row>
    <row r="427" spans="2:3" x14ac:dyDescent="0.45">
      <c r="B427" s="15">
        <v>43778</v>
      </c>
      <c r="C427" s="16">
        <v>1.79</v>
      </c>
    </row>
    <row r="428" spans="2:3" x14ac:dyDescent="0.45">
      <c r="B428" s="15">
        <v>43808</v>
      </c>
      <c r="C428" s="16">
        <v>1.82</v>
      </c>
    </row>
    <row r="429" spans="2:3" x14ac:dyDescent="0.45">
      <c r="B429" s="16" t="s">
        <v>260</v>
      </c>
      <c r="C429" s="16">
        <v>1.88</v>
      </c>
    </row>
  </sheetData>
  <hyperlinks>
    <hyperlink ref="A1" r:id="rId1" xr:uid="{E4D4FB3F-E2BF-4311-8BDC-C613893FAA74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A2BAA-3F2A-40F9-86F5-60947574038F}">
  <dimension ref="A1:U58"/>
  <sheetViews>
    <sheetView topLeftCell="B1" workbookViewId="0">
      <pane ySplit="2" topLeftCell="A3" activePane="bottomLeft" state="frozen"/>
      <selection pane="bottomLeft" activeCell="Q21" sqref="Q21"/>
    </sheetView>
  </sheetViews>
  <sheetFormatPr defaultColWidth="9.1328125" defaultRowHeight="14.25" x14ac:dyDescent="0.45"/>
  <cols>
    <col min="1" max="1" width="13.59765625" style="1" customWidth="1"/>
    <col min="2" max="2" width="9.1328125" style="1"/>
    <col min="3" max="3" width="18" style="1" customWidth="1"/>
    <col min="4" max="4" width="20.59765625" style="1" customWidth="1"/>
    <col min="5" max="5" width="19" style="1" customWidth="1"/>
    <col min="6" max="6" width="9.1328125" style="1"/>
    <col min="7" max="7" width="4.59765625" style="1" customWidth="1"/>
    <col min="8" max="8" width="9.1328125" style="1"/>
    <col min="9" max="21" width="8.1328125" style="1" customWidth="1"/>
    <col min="22" max="22" width="4.86328125" style="1" customWidth="1"/>
    <col min="23" max="16384" width="9.1328125" style="1"/>
  </cols>
  <sheetData>
    <row r="1" spans="1:21" x14ac:dyDescent="0.45">
      <c r="A1" s="121" t="s">
        <v>348</v>
      </c>
    </row>
    <row r="3" spans="1:21" x14ac:dyDescent="0.45">
      <c r="C3" s="7" t="s">
        <v>1</v>
      </c>
      <c r="D3" s="7" t="s">
        <v>347</v>
      </c>
      <c r="E3" s="7" t="s">
        <v>2</v>
      </c>
    </row>
    <row r="4" spans="1:21" x14ac:dyDescent="0.45">
      <c r="C4" s="8">
        <v>42004</v>
      </c>
      <c r="D4" s="9">
        <v>25000</v>
      </c>
      <c r="E4" s="10"/>
    </row>
    <row r="5" spans="1:21" x14ac:dyDescent="0.45">
      <c r="C5" s="8">
        <v>42035</v>
      </c>
      <c r="D5" s="9">
        <v>24223.979855238245</v>
      </c>
      <c r="E5" s="11">
        <f>(D5-D4)/D4</f>
        <v>-3.1040805790470187E-2</v>
      </c>
      <c r="I5" s="124"/>
    </row>
    <row r="6" spans="1:21" x14ac:dyDescent="0.45">
      <c r="C6" s="8">
        <v>42063</v>
      </c>
      <c r="D6" s="9">
        <v>25553.694936258245</v>
      </c>
      <c r="E6" s="11">
        <f t="shared" ref="E6:E58" si="0">(D6-D5)/D5</f>
        <v>5.4892511014554023E-2</v>
      </c>
      <c r="I6" s="123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125"/>
    </row>
    <row r="7" spans="1:21" ht="14.65" thickBot="1" x14ac:dyDescent="0.5">
      <c r="C7" s="8">
        <v>42094</v>
      </c>
      <c r="D7" s="9">
        <v>25109.160127105584</v>
      </c>
      <c r="E7" s="11">
        <f t="shared" si="0"/>
        <v>-1.7396106913756291E-2</v>
      </c>
    </row>
    <row r="8" spans="1:21" ht="14.65" thickBot="1" x14ac:dyDescent="0.5">
      <c r="C8" s="8">
        <v>42124</v>
      </c>
      <c r="D8" s="9">
        <v>25323.110754123489</v>
      </c>
      <c r="E8" s="11">
        <f t="shared" si="0"/>
        <v>8.520819730124812E-3</v>
      </c>
      <c r="H8" s="266"/>
      <c r="I8" s="253" t="s">
        <v>350</v>
      </c>
      <c r="J8" s="253" t="s">
        <v>351</v>
      </c>
      <c r="K8" s="253" t="s">
        <v>352</v>
      </c>
      <c r="L8" s="253" t="s">
        <v>353</v>
      </c>
      <c r="M8" s="253" t="s">
        <v>354</v>
      </c>
      <c r="N8" s="253" t="s">
        <v>355</v>
      </c>
      <c r="O8" s="253" t="s">
        <v>356</v>
      </c>
      <c r="P8" s="253" t="s">
        <v>357</v>
      </c>
      <c r="Q8" s="253" t="s">
        <v>358</v>
      </c>
      <c r="R8" s="253" t="s">
        <v>359</v>
      </c>
      <c r="S8" s="253" t="s">
        <v>360</v>
      </c>
      <c r="T8" s="253" t="s">
        <v>361</v>
      </c>
      <c r="U8" s="254" t="s">
        <v>271</v>
      </c>
    </row>
    <row r="9" spans="1:21" x14ac:dyDescent="0.45">
      <c r="C9" s="8">
        <v>42155</v>
      </c>
      <c r="D9" s="9">
        <v>25588.785192433312</v>
      </c>
      <c r="E9" s="11">
        <f t="shared" si="0"/>
        <v>1.0491382393316821E-2</v>
      </c>
      <c r="H9" s="267">
        <v>2015</v>
      </c>
      <c r="I9" s="128">
        <v>-3.1040805790470187E-2</v>
      </c>
      <c r="J9" s="128">
        <v>5.4892511014554023E-2</v>
      </c>
      <c r="K9" s="128">
        <v>-1.7396106913756291E-2</v>
      </c>
      <c r="L9" s="128">
        <v>8.520819730124812E-3</v>
      </c>
      <c r="M9" s="128">
        <v>1.0491382393316821E-2</v>
      </c>
      <c r="N9" s="128">
        <v>-2.1011672375900497E-2</v>
      </c>
      <c r="O9" s="128">
        <v>1.9742029696721435E-2</v>
      </c>
      <c r="P9" s="128">
        <v>2.0500000000000022E-2</v>
      </c>
      <c r="Q9" s="128">
        <v>1.3400000000000054E-2</v>
      </c>
      <c r="R9" s="128">
        <v>3.1087904609582901E-2</v>
      </c>
      <c r="S9" s="128">
        <v>5.8179148311306743E-3</v>
      </c>
      <c r="T9" s="128">
        <v>2.6467138477646899E-2</v>
      </c>
      <c r="U9" s="129">
        <f>((1+I9)*(1+J9)*(1+K9)*(1+L9)*(1+M9)*(1+N9)*(1+O9)*(1+P9)*(1+Q9)*(1+R9)*(1+S9)*(1+T9))-1</f>
        <v>0.12494557456948119</v>
      </c>
    </row>
    <row r="10" spans="1:21" x14ac:dyDescent="0.45">
      <c r="C10" s="8">
        <v>42185</v>
      </c>
      <c r="D10" s="9">
        <v>25051.122021472609</v>
      </c>
      <c r="E10" s="11">
        <f t="shared" si="0"/>
        <v>-2.1011672375900497E-2</v>
      </c>
      <c r="H10" s="268">
        <v>2016</v>
      </c>
      <c r="I10" s="128">
        <v>-1.9999999999999962E-2</v>
      </c>
      <c r="J10" s="128">
        <v>-4.1283604302990457E-3</v>
      </c>
      <c r="K10" s="128">
        <v>3.0000000000000027E-2</v>
      </c>
      <c r="L10" s="128">
        <v>2.6993984808732444E-3</v>
      </c>
      <c r="M10" s="128">
        <v>1.5324602357572634E-2</v>
      </c>
      <c r="N10" s="128">
        <v>9.109211209780637E-4</v>
      </c>
      <c r="O10" s="128">
        <v>3.5609801125254387E-2</v>
      </c>
      <c r="P10" s="128">
        <v>-1.2192431360480221E-3</v>
      </c>
      <c r="Q10" s="128">
        <v>-1.2344508443254268E-3</v>
      </c>
      <c r="R10" s="128">
        <v>-1.9425679279557507E-2</v>
      </c>
      <c r="S10" s="128">
        <v>3.4174522187570451E-2</v>
      </c>
      <c r="T10" s="128">
        <v>1.82007621968951E-2</v>
      </c>
      <c r="U10" s="129">
        <f t="shared" ref="U10:U13" si="1">((1+I10)*(1+J10)*(1+K10)*(1+L10)*(1+M10)*(1+N10)*(1+O10)*(1+P10)*(1+Q10)*(1+R10)*(1+S10)*(1+T10))-1</f>
        <v>9.2635727227145193E-2</v>
      </c>
    </row>
    <row r="11" spans="1:21" x14ac:dyDescent="0.45">
      <c r="C11" s="8">
        <v>42216</v>
      </c>
      <c r="D11" s="9">
        <v>25545.682016356714</v>
      </c>
      <c r="E11" s="11">
        <f t="shared" si="0"/>
        <v>1.9742029696721435E-2</v>
      </c>
      <c r="H11" s="268">
        <v>2017</v>
      </c>
      <c r="I11" s="128">
        <v>1.7884358171464446E-2</v>
      </c>
      <c r="J11" s="128">
        <v>2.3449999999999967E-2</v>
      </c>
      <c r="K11" s="128">
        <v>-3.8919718808454016E-4</v>
      </c>
      <c r="L11" s="128">
        <v>9.0912085493182037E-3</v>
      </c>
      <c r="M11" s="128">
        <v>1.157625139134132E-2</v>
      </c>
      <c r="N11" s="128">
        <v>4.8137750908553824E-3</v>
      </c>
      <c r="O11" s="128">
        <v>1.9348826118030651E-2</v>
      </c>
      <c r="P11" s="128">
        <v>5.4643281108557133E-4</v>
      </c>
      <c r="Q11" s="128">
        <v>1.9302978533243701E-2</v>
      </c>
      <c r="R11" s="128">
        <v>-2.3999999999999969E-2</v>
      </c>
      <c r="S11" s="128">
        <v>3.7200430103365824E-3</v>
      </c>
      <c r="T11" s="128">
        <v>2.3500000000000097E-2</v>
      </c>
      <c r="U11" s="129">
        <f t="shared" si="1"/>
        <v>0.11333091584981725</v>
      </c>
    </row>
    <row r="12" spans="1:21" x14ac:dyDescent="0.45">
      <c r="C12" s="8">
        <v>42247</v>
      </c>
      <c r="D12" s="9">
        <v>26069.368497692027</v>
      </c>
      <c r="E12" s="11">
        <f t="shared" si="0"/>
        <v>2.0500000000000022E-2</v>
      </c>
      <c r="H12" s="268">
        <v>2018</v>
      </c>
      <c r="I12" s="128">
        <v>3.2499999999999932E-2</v>
      </c>
      <c r="J12" s="128">
        <v>5.2000000000000223E-3</v>
      </c>
      <c r="K12" s="128">
        <v>-1.249999999999998E-2</v>
      </c>
      <c r="L12" s="128">
        <v>2.7187751316435586E-3</v>
      </c>
      <c r="M12" s="128">
        <v>2.1608341965291902E-2</v>
      </c>
      <c r="N12" s="128">
        <v>4.8424360241864743E-3</v>
      </c>
      <c r="O12" s="128">
        <v>1.400000000000003E-2</v>
      </c>
      <c r="P12" s="128">
        <v>1.2299999999999991E-2</v>
      </c>
      <c r="Q12" s="128">
        <v>4.2942871026614097E-3</v>
      </c>
      <c r="R12" s="128">
        <v>-3.1999999999999973E-2</v>
      </c>
      <c r="S12" s="128">
        <v>1.7859356788848885E-2</v>
      </c>
      <c r="T12" s="128">
        <v>-2.3000000000000114E-2</v>
      </c>
      <c r="U12" s="129">
        <f t="shared" si="1"/>
        <v>4.6904503430314159E-2</v>
      </c>
    </row>
    <row r="13" spans="1:21" ht="14.65" thickBot="1" x14ac:dyDescent="0.5">
      <c r="C13" s="8">
        <v>42277</v>
      </c>
      <c r="D13" s="9">
        <v>26418.698035561101</v>
      </c>
      <c r="E13" s="11">
        <f t="shared" si="0"/>
        <v>1.3400000000000054E-2</v>
      </c>
      <c r="H13" s="269">
        <v>2019</v>
      </c>
      <c r="I13" s="131">
        <v>2.4499999999999959E-2</v>
      </c>
      <c r="J13" s="131">
        <v>-1.6000000000000032E-2</v>
      </c>
      <c r="K13" s="131">
        <v>1.7924256211817202E-2</v>
      </c>
      <c r="L13" s="131">
        <v>-8.5826978006544822E-3</v>
      </c>
      <c r="M13" s="131">
        <v>-2.0644674726905218E-2</v>
      </c>
      <c r="N13" s="131">
        <v>8.3042542440123542E-3</v>
      </c>
      <c r="O13" s="131"/>
      <c r="P13" s="131"/>
      <c r="Q13" s="131"/>
      <c r="R13" s="131"/>
      <c r="S13" s="131"/>
      <c r="T13" s="131"/>
      <c r="U13" s="132">
        <f t="shared" si="1"/>
        <v>4.6410211895182574E-3</v>
      </c>
    </row>
    <row r="14" spans="1:21" x14ac:dyDescent="0.45">
      <c r="C14" s="8">
        <v>42308</v>
      </c>
      <c r="D14" s="9">
        <v>27240</v>
      </c>
      <c r="E14" s="11">
        <f t="shared" si="0"/>
        <v>3.1087904609582901E-2</v>
      </c>
    </row>
    <row r="15" spans="1:21" x14ac:dyDescent="0.45">
      <c r="C15" s="8">
        <v>42338</v>
      </c>
      <c r="D15" s="9">
        <v>27398.48</v>
      </c>
      <c r="E15" s="11">
        <f t="shared" si="0"/>
        <v>5.8179148311306743E-3</v>
      </c>
    </row>
    <row r="16" spans="1:21" x14ac:dyDescent="0.45">
      <c r="C16" s="8">
        <v>42369</v>
      </c>
      <c r="D16" s="9">
        <v>28123.639364237039</v>
      </c>
      <c r="E16" s="11">
        <f t="shared" si="0"/>
        <v>2.6467138477646899E-2</v>
      </c>
      <c r="F16" s="5">
        <f>(D16-D4)/D4</f>
        <v>0.12494557456948154</v>
      </c>
      <c r="H16" s="122"/>
    </row>
    <row r="17" spans="3:10" x14ac:dyDescent="0.45">
      <c r="C17" s="8">
        <v>42400</v>
      </c>
      <c r="D17" s="9">
        <v>27561.166576952299</v>
      </c>
      <c r="E17" s="11">
        <f t="shared" si="0"/>
        <v>-1.9999999999999962E-2</v>
      </c>
    </row>
    <row r="18" spans="3:10" x14ac:dyDescent="0.45">
      <c r="C18" s="8">
        <v>42429</v>
      </c>
      <c r="D18" s="9">
        <v>27447.384147443128</v>
      </c>
      <c r="E18" s="11">
        <f t="shared" si="0"/>
        <v>-4.1283604302990457E-3</v>
      </c>
    </row>
    <row r="19" spans="3:10" x14ac:dyDescent="0.45">
      <c r="C19" s="8">
        <v>42460</v>
      </c>
      <c r="D19" s="9">
        <v>28270.805671866423</v>
      </c>
      <c r="E19" s="11">
        <f t="shared" si="0"/>
        <v>3.0000000000000027E-2</v>
      </c>
    </row>
    <row r="20" spans="3:10" x14ac:dyDescent="0.45">
      <c r="C20" s="8">
        <v>42490</v>
      </c>
      <c r="D20" s="9">
        <v>28347.119841750122</v>
      </c>
      <c r="E20" s="11">
        <f t="shared" si="0"/>
        <v>2.6993984808732444E-3</v>
      </c>
    </row>
    <row r="21" spans="3:10" x14ac:dyDescent="0.45">
      <c r="C21" s="8">
        <v>42521</v>
      </c>
      <c r="D21" s="9">
        <v>28781.5281813074</v>
      </c>
      <c r="E21" s="11">
        <f t="shared" si="0"/>
        <v>1.5324602357572634E-2</v>
      </c>
    </row>
    <row r="22" spans="3:10" x14ac:dyDescent="0.45">
      <c r="C22" s="8">
        <v>42551</v>
      </c>
      <c r="D22" s="9">
        <v>28807.745883221778</v>
      </c>
      <c r="E22" s="11">
        <f t="shared" si="0"/>
        <v>9.109211209780637E-4</v>
      </c>
    </row>
    <row r="23" spans="3:10" x14ac:dyDescent="0.45">
      <c r="C23" s="8">
        <v>42582</v>
      </c>
      <c r="D23" s="9">
        <v>29833.583984990171</v>
      </c>
      <c r="E23" s="11">
        <f t="shared" si="0"/>
        <v>3.5609801125254387E-2</v>
      </c>
      <c r="J23" s="2"/>
    </row>
    <row r="24" spans="3:10" x14ac:dyDescent="0.45">
      <c r="C24" s="8">
        <v>42613</v>
      </c>
      <c r="D24" s="9">
        <v>29797.20959249276</v>
      </c>
      <c r="E24" s="11">
        <f t="shared" si="0"/>
        <v>-1.2192431360480221E-3</v>
      </c>
      <c r="J24" s="2"/>
    </row>
    <row r="25" spans="3:10" x14ac:dyDescent="0.45">
      <c r="C25" s="8">
        <v>42643</v>
      </c>
      <c r="D25" s="9">
        <v>29760.426401952765</v>
      </c>
      <c r="E25" s="11">
        <f t="shared" si="0"/>
        <v>-1.2344508443254268E-3</v>
      </c>
      <c r="J25" s="5"/>
    </row>
    <row r="26" spans="3:10" x14ac:dyDescent="0.45">
      <c r="C26" s="8">
        <v>42674</v>
      </c>
      <c r="D26" s="9">
        <v>29182.309903445555</v>
      </c>
      <c r="E26" s="11">
        <f t="shared" si="0"/>
        <v>-1.9425679279557507E-2</v>
      </c>
    </row>
    <row r="27" spans="3:10" x14ac:dyDescent="0.45">
      <c r="C27" s="8">
        <v>42704</v>
      </c>
      <c r="D27" s="9">
        <v>30179.601400725413</v>
      </c>
      <c r="E27" s="11">
        <f t="shared" si="0"/>
        <v>3.4174522187570451E-2</v>
      </c>
      <c r="J27" s="6"/>
    </row>
    <row r="28" spans="3:10" x14ac:dyDescent="0.45">
      <c r="C28" s="8">
        <v>42735</v>
      </c>
      <c r="D28" s="9">
        <v>30728.893149017098</v>
      </c>
      <c r="E28" s="11">
        <f t="shared" si="0"/>
        <v>1.82007621968951E-2</v>
      </c>
      <c r="F28" s="5">
        <f>(D28-D16)/D16</f>
        <v>9.2635727227144984E-2</v>
      </c>
    </row>
    <row r="29" spans="3:10" x14ac:dyDescent="0.45">
      <c r="C29" s="8">
        <v>42766</v>
      </c>
      <c r="D29" s="9">
        <v>31278.45968030678</v>
      </c>
      <c r="E29" s="11">
        <f t="shared" si="0"/>
        <v>1.7884358171464446E-2</v>
      </c>
    </row>
    <row r="30" spans="3:10" x14ac:dyDescent="0.45">
      <c r="C30" s="8">
        <v>42794</v>
      </c>
      <c r="D30" s="9">
        <v>32011.939559809973</v>
      </c>
      <c r="E30" s="11">
        <f t="shared" si="0"/>
        <v>2.3449999999999967E-2</v>
      </c>
    </row>
    <row r="31" spans="3:10" x14ac:dyDescent="0.45">
      <c r="C31" s="8">
        <v>42825</v>
      </c>
      <c r="D31" s="9">
        <v>31999.480602948162</v>
      </c>
      <c r="E31" s="11">
        <f t="shared" si="0"/>
        <v>-3.8919718808454016E-4</v>
      </c>
    </row>
    <row r="32" spans="3:10" x14ac:dyDescent="0.45">
      <c r="C32" s="8">
        <v>42855</v>
      </c>
      <c r="D32" s="9">
        <v>32290.394554579427</v>
      </c>
      <c r="E32" s="11">
        <f t="shared" si="0"/>
        <v>9.0912085493182037E-3</v>
      </c>
    </row>
    <row r="33" spans="3:6" x14ac:dyDescent="0.45">
      <c r="C33" s="8">
        <v>42886</v>
      </c>
      <c r="D33" s="9">
        <v>32664.196279468837</v>
      </c>
      <c r="E33" s="11">
        <f t="shared" si="0"/>
        <v>1.157625139134132E-2</v>
      </c>
    </row>
    <row r="34" spans="3:6" x14ac:dyDescent="0.45">
      <c r="C34" s="8">
        <v>42916</v>
      </c>
      <c r="D34" s="9">
        <v>32821.434373881755</v>
      </c>
      <c r="E34" s="11">
        <f t="shared" si="0"/>
        <v>4.8137750908553824E-3</v>
      </c>
    </row>
    <row r="35" spans="3:6" x14ac:dyDescent="0.45">
      <c r="C35" s="8">
        <v>42947</v>
      </c>
      <c r="D35" s="9">
        <v>33456.490600526347</v>
      </c>
      <c r="E35" s="11">
        <f t="shared" si="0"/>
        <v>1.9348826118030651E-2</v>
      </c>
    </row>
    <row r="36" spans="3:6" x14ac:dyDescent="0.45">
      <c r="C36" s="8">
        <v>42978</v>
      </c>
      <c r="D36" s="9">
        <v>33474.772324734251</v>
      </c>
      <c r="E36" s="11">
        <f t="shared" si="0"/>
        <v>5.4643281108557133E-4</v>
      </c>
    </row>
    <row r="37" spans="3:6" x14ac:dyDescent="0.45">
      <c r="C37" s="8">
        <v>43008</v>
      </c>
      <c r="D37" s="9">
        <v>34120.935136323817</v>
      </c>
      <c r="E37" s="11">
        <f t="shared" si="0"/>
        <v>1.9302978533243701E-2</v>
      </c>
    </row>
    <row r="38" spans="3:6" x14ac:dyDescent="0.45">
      <c r="C38" s="8">
        <v>43039</v>
      </c>
      <c r="D38" s="9">
        <v>33302.032693052046</v>
      </c>
      <c r="E38" s="11">
        <f t="shared" si="0"/>
        <v>-2.3999999999999969E-2</v>
      </c>
    </row>
    <row r="39" spans="3:6" x14ac:dyDescent="0.45">
      <c r="C39" s="8">
        <v>43069</v>
      </c>
      <c r="D39" s="9">
        <v>33425.917687001835</v>
      </c>
      <c r="E39" s="11">
        <f t="shared" si="0"/>
        <v>3.7200430103365824E-3</v>
      </c>
    </row>
    <row r="40" spans="3:6" x14ac:dyDescent="0.45">
      <c r="C40" s="8">
        <v>43100</v>
      </c>
      <c r="D40" s="9">
        <v>34211.426752646381</v>
      </c>
      <c r="E40" s="11">
        <f t="shared" si="0"/>
        <v>2.3500000000000097E-2</v>
      </c>
      <c r="F40" s="5">
        <f>(D40-D28)/D28</f>
        <v>0.11333091584981726</v>
      </c>
    </row>
    <row r="41" spans="3:6" x14ac:dyDescent="0.45">
      <c r="C41" s="8">
        <v>43131</v>
      </c>
      <c r="D41" s="9">
        <v>35323.298122107386</v>
      </c>
      <c r="E41" s="11">
        <f t="shared" si="0"/>
        <v>3.2499999999999932E-2</v>
      </c>
    </row>
    <row r="42" spans="3:6" x14ac:dyDescent="0.45">
      <c r="C42" s="8">
        <v>43159</v>
      </c>
      <c r="D42" s="9">
        <v>35506.979272342345</v>
      </c>
      <c r="E42" s="11">
        <f t="shared" si="0"/>
        <v>5.2000000000000223E-3</v>
      </c>
    </row>
    <row r="43" spans="3:6" x14ac:dyDescent="0.45">
      <c r="C43" s="8">
        <v>43190</v>
      </c>
      <c r="D43" s="9">
        <v>35063.142031438067</v>
      </c>
      <c r="E43" s="11">
        <f t="shared" si="0"/>
        <v>-1.249999999999998E-2</v>
      </c>
    </row>
    <row r="44" spans="3:6" x14ac:dyDescent="0.45">
      <c r="C44" s="8">
        <v>43220</v>
      </c>
      <c r="D44" s="9">
        <v>35158.470830030426</v>
      </c>
      <c r="E44" s="11">
        <f t="shared" si="0"/>
        <v>2.7187751316435586E-3</v>
      </c>
    </row>
    <row r="45" spans="3:6" x14ac:dyDescent="0.45">
      <c r="C45" s="8">
        <v>43251</v>
      </c>
      <c r="D45" s="9">
        <v>35918.187090702464</v>
      </c>
      <c r="E45" s="11">
        <f t="shared" si="0"/>
        <v>2.1608341965291902E-2</v>
      </c>
    </row>
    <row r="46" spans="3:6" x14ac:dyDescent="0.45">
      <c r="C46" s="8">
        <v>43281</v>
      </c>
      <c r="D46" s="9">
        <v>36092.118613793951</v>
      </c>
      <c r="E46" s="11">
        <f t="shared" si="0"/>
        <v>4.8424360241864743E-3</v>
      </c>
    </row>
    <row r="47" spans="3:6" x14ac:dyDescent="0.45">
      <c r="C47" s="8">
        <v>43312</v>
      </c>
      <c r="D47" s="9">
        <v>36597.408274387068</v>
      </c>
      <c r="E47" s="11">
        <f t="shared" si="0"/>
        <v>1.400000000000003E-2</v>
      </c>
    </row>
    <row r="48" spans="3:6" x14ac:dyDescent="0.45">
      <c r="C48" s="8">
        <v>43343</v>
      </c>
      <c r="D48" s="9">
        <v>37047.556396162028</v>
      </c>
      <c r="E48" s="11">
        <f t="shared" si="0"/>
        <v>1.2299999999999991E-2</v>
      </c>
    </row>
    <row r="49" spans="3:6" x14ac:dyDescent="0.45">
      <c r="C49" s="8">
        <v>43373</v>
      </c>
      <c r="D49" s="9">
        <v>37206.649239779188</v>
      </c>
      <c r="E49" s="11">
        <f t="shared" si="0"/>
        <v>4.2942871026614097E-3</v>
      </c>
    </row>
    <row r="50" spans="3:6" x14ac:dyDescent="0.45">
      <c r="C50" s="8">
        <v>43404</v>
      </c>
      <c r="D50" s="9">
        <v>36016.036464106255</v>
      </c>
      <c r="E50" s="11">
        <f t="shared" si="0"/>
        <v>-3.1999999999999973E-2</v>
      </c>
    </row>
    <row r="51" spans="3:6" x14ac:dyDescent="0.45">
      <c r="C51" s="8">
        <v>43434</v>
      </c>
      <c r="D51" s="9">
        <v>36659.25970943892</v>
      </c>
      <c r="E51" s="11">
        <f t="shared" si="0"/>
        <v>1.7859356788848885E-2</v>
      </c>
    </row>
    <row r="52" spans="3:6" x14ac:dyDescent="0.45">
      <c r="C52" s="8">
        <v>43465</v>
      </c>
      <c r="D52" s="9">
        <v>35816.096736121821</v>
      </c>
      <c r="E52" s="11">
        <f t="shared" si="0"/>
        <v>-2.3000000000000114E-2</v>
      </c>
      <c r="F52" s="5">
        <f>(D52-D40)/D40</f>
        <v>4.6904503430314048E-2</v>
      </c>
    </row>
    <row r="53" spans="3:6" x14ac:dyDescent="0.45">
      <c r="C53" s="8">
        <v>43496</v>
      </c>
      <c r="D53" s="9">
        <v>36693.591106156804</v>
      </c>
      <c r="E53" s="11">
        <f t="shared" si="0"/>
        <v>2.4499999999999959E-2</v>
      </c>
    </row>
    <row r="54" spans="3:6" x14ac:dyDescent="0.45">
      <c r="C54" s="8">
        <v>43524</v>
      </c>
      <c r="D54" s="9">
        <v>36106.493648458294</v>
      </c>
      <c r="E54" s="11">
        <f t="shared" si="0"/>
        <v>-1.6000000000000032E-2</v>
      </c>
    </row>
    <row r="55" spans="3:6" x14ac:dyDescent="0.45">
      <c r="C55" s="8">
        <v>43555</v>
      </c>
      <c r="D55" s="9">
        <v>36753.675691523611</v>
      </c>
      <c r="E55" s="11">
        <f t="shared" si="0"/>
        <v>1.7924256211817202E-2</v>
      </c>
    </row>
    <row r="56" spans="3:6" x14ac:dyDescent="0.45">
      <c r="C56" s="8">
        <v>43585</v>
      </c>
      <c r="D56" s="9">
        <v>36438.230000000003</v>
      </c>
      <c r="E56" s="11">
        <f t="shared" si="0"/>
        <v>-8.5826978006544822E-3</v>
      </c>
    </row>
    <row r="57" spans="3:6" x14ac:dyDescent="0.45">
      <c r="C57" s="8">
        <v>43616</v>
      </c>
      <c r="D57" s="9">
        <v>35685.974594025844</v>
      </c>
      <c r="E57" s="11">
        <f t="shared" si="0"/>
        <v>-2.0644674726905218E-2</v>
      </c>
    </row>
    <row r="58" spans="3:6" x14ac:dyDescent="0.45">
      <c r="C58" s="8">
        <v>43646</v>
      </c>
      <c r="D58" s="9">
        <v>35982.32</v>
      </c>
      <c r="E58" s="11">
        <f t="shared" si="0"/>
        <v>8.3042542440123542E-3</v>
      </c>
    </row>
  </sheetData>
  <phoneticPr fontId="1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35937-099B-4ABF-B573-53C001FF1F1D}">
  <dimension ref="C4:D23"/>
  <sheetViews>
    <sheetView workbookViewId="0">
      <selection activeCell="D33" sqref="D33"/>
    </sheetView>
  </sheetViews>
  <sheetFormatPr defaultColWidth="9.1328125" defaultRowHeight="14.25" x14ac:dyDescent="0.45"/>
  <cols>
    <col min="1" max="2" width="9.1328125" style="1"/>
    <col min="3" max="3" width="20.59765625" style="3" customWidth="1"/>
    <col min="4" max="4" width="12.73046875" style="3" customWidth="1"/>
    <col min="5" max="16384" width="9.1328125" style="1"/>
  </cols>
  <sheetData>
    <row r="4" spans="3:4" ht="14.65" thickBot="1" x14ac:dyDescent="0.5"/>
    <row r="5" spans="3:4" ht="14.65" thickBot="1" x14ac:dyDescent="0.5">
      <c r="C5" s="266" t="s">
        <v>378</v>
      </c>
      <c r="D5" s="273" t="s">
        <v>379</v>
      </c>
    </row>
    <row r="6" spans="3:4" x14ac:dyDescent="0.45">
      <c r="C6" s="271" t="s">
        <v>362</v>
      </c>
      <c r="D6" s="272">
        <v>9.8000679593801317E-3</v>
      </c>
    </row>
    <row r="7" spans="3:4" x14ac:dyDescent="0.45">
      <c r="C7" s="10" t="s">
        <v>363</v>
      </c>
      <c r="D7" s="11">
        <v>2.3430804806676728E-2</v>
      </c>
    </row>
    <row r="8" spans="3:4" x14ac:dyDescent="0.45">
      <c r="C8" s="10" t="s">
        <v>364</v>
      </c>
      <c r="D8" s="11">
        <v>-4.0720855215175952E-3</v>
      </c>
    </row>
    <row r="9" spans="3:4" x14ac:dyDescent="0.45">
      <c r="C9" s="10" t="s">
        <v>365</v>
      </c>
      <c r="D9" s="11">
        <v>1.5739278094138432E-2</v>
      </c>
    </row>
    <row r="10" spans="3:4" x14ac:dyDescent="0.45">
      <c r="C10" s="10" t="s">
        <v>366</v>
      </c>
      <c r="D10" s="11">
        <v>0.43861441125490797</v>
      </c>
    </row>
    <row r="11" spans="3:4" x14ac:dyDescent="0.45">
      <c r="C11" s="10" t="s">
        <v>367</v>
      </c>
      <c r="D11" s="11">
        <v>9.6384602525727142E-3</v>
      </c>
    </row>
    <row r="12" spans="3:4" x14ac:dyDescent="0.45">
      <c r="C12" s="10" t="s">
        <v>368</v>
      </c>
      <c r="D12" s="11">
        <v>0.15428921336539791</v>
      </c>
    </row>
    <row r="13" spans="3:4" x14ac:dyDescent="0.45">
      <c r="C13" s="10" t="s">
        <v>369</v>
      </c>
      <c r="D13" s="11">
        <v>-1.2831149241402473E-3</v>
      </c>
    </row>
    <row r="14" spans="3:4" x14ac:dyDescent="0.45">
      <c r="C14" s="10" t="s">
        <v>370</v>
      </c>
      <c r="D14" s="11">
        <v>7.0070170115352784E-2</v>
      </c>
    </row>
    <row r="15" spans="3:4" x14ac:dyDescent="0.45">
      <c r="C15" s="10" t="s">
        <v>371</v>
      </c>
      <c r="D15" s="11">
        <v>1.7295616613966442E-3</v>
      </c>
    </row>
    <row r="16" spans="3:4" x14ac:dyDescent="0.45">
      <c r="C16" s="10" t="s">
        <v>372</v>
      </c>
      <c r="D16" s="11">
        <v>0.12328532695393904</v>
      </c>
    </row>
    <row r="17" spans="3:4" x14ac:dyDescent="0.45">
      <c r="C17" s="10" t="s">
        <v>373</v>
      </c>
      <c r="D17" s="11">
        <v>3.1527073795469215E-3</v>
      </c>
    </row>
    <row r="18" spans="3:4" x14ac:dyDescent="0.45">
      <c r="C18" s="10" t="s">
        <v>374</v>
      </c>
      <c r="D18" s="11">
        <v>-1.4380534303056447E-3</v>
      </c>
    </row>
    <row r="19" spans="3:4" x14ac:dyDescent="0.45">
      <c r="C19" s="10" t="s">
        <v>375</v>
      </c>
      <c r="D19" s="11">
        <v>6.9819011500350053E-2</v>
      </c>
    </row>
    <row r="20" spans="3:4" x14ac:dyDescent="0.45">
      <c r="C20" s="10" t="s">
        <v>376</v>
      </c>
      <c r="D20" s="11">
        <v>9.905932587113718E-3</v>
      </c>
    </row>
    <row r="21" spans="3:4" x14ac:dyDescent="0.45">
      <c r="C21" s="10" t="s">
        <v>377</v>
      </c>
      <c r="D21" s="11">
        <v>7.7318307945190554E-2</v>
      </c>
    </row>
    <row r="22" spans="3:4" x14ac:dyDescent="0.45">
      <c r="C22" s="10"/>
      <c r="D22" s="10"/>
    </row>
    <row r="23" spans="3:4" x14ac:dyDescent="0.45">
      <c r="C23" s="10" t="s">
        <v>271</v>
      </c>
      <c r="D23" s="270">
        <f>SUM(D6:D21)</f>
        <v>1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C3DA53-DD7F-438D-84B0-F3AB0F0EDA72}">
  <dimension ref="B1:W38"/>
  <sheetViews>
    <sheetView workbookViewId="0">
      <selection activeCell="S10" sqref="S10"/>
    </sheetView>
  </sheetViews>
  <sheetFormatPr defaultColWidth="9.1328125" defaultRowHeight="14.25" x14ac:dyDescent="0.45"/>
  <cols>
    <col min="1" max="1" width="9.1328125" style="1"/>
    <col min="2" max="22" width="10" style="3" customWidth="1"/>
    <col min="23" max="16384" width="9.1328125" style="1"/>
  </cols>
  <sheetData>
    <row r="1" spans="2:22" ht="14.65" thickBot="1" x14ac:dyDescent="0.5"/>
    <row r="2" spans="2:22" ht="14.65" thickBot="1" x14ac:dyDescent="0.5">
      <c r="B2" s="303" t="s">
        <v>420</v>
      </c>
      <c r="C2" s="305"/>
      <c r="D2" s="305"/>
      <c r="E2" s="305"/>
      <c r="F2" s="305"/>
      <c r="G2" s="305"/>
      <c r="H2" s="305"/>
      <c r="I2" s="305"/>
      <c r="J2" s="306"/>
      <c r="N2" s="303" t="s">
        <v>421</v>
      </c>
      <c r="O2" s="305"/>
      <c r="P2" s="305"/>
      <c r="Q2" s="305"/>
      <c r="R2" s="305"/>
      <c r="S2" s="305"/>
      <c r="T2" s="305"/>
      <c r="U2" s="305"/>
      <c r="V2" s="306"/>
    </row>
    <row r="3" spans="2:22" ht="14.65" thickBot="1" x14ac:dyDescent="0.5"/>
    <row r="4" spans="2:22" ht="42.75" x14ac:dyDescent="0.45">
      <c r="B4" s="249" t="s">
        <v>266</v>
      </c>
      <c r="C4" s="250" t="s">
        <v>387</v>
      </c>
      <c r="D4" s="250" t="s">
        <v>265</v>
      </c>
      <c r="E4" s="250" t="s">
        <v>388</v>
      </c>
      <c r="F4" s="251" t="s">
        <v>389</v>
      </c>
      <c r="G4" s="251" t="s">
        <v>390</v>
      </c>
      <c r="H4" s="250" t="s">
        <v>391</v>
      </c>
      <c r="I4" s="250" t="s">
        <v>392</v>
      </c>
      <c r="J4" s="252" t="s">
        <v>393</v>
      </c>
      <c r="N4" s="249" t="s">
        <v>266</v>
      </c>
      <c r="O4" s="250" t="s">
        <v>387</v>
      </c>
      <c r="P4" s="250" t="s">
        <v>265</v>
      </c>
      <c r="Q4" s="250" t="s">
        <v>388</v>
      </c>
      <c r="R4" s="251" t="s">
        <v>389</v>
      </c>
      <c r="S4" s="251" t="s">
        <v>390</v>
      </c>
      <c r="T4" s="250" t="s">
        <v>391</v>
      </c>
      <c r="U4" s="250" t="s">
        <v>392</v>
      </c>
      <c r="V4" s="252" t="s">
        <v>393</v>
      </c>
    </row>
    <row r="5" spans="2:22" ht="14.65" thickBot="1" x14ac:dyDescent="0.5">
      <c r="B5" s="153">
        <f>COUNT(B10:B30)+COUNT(E10:E20)</f>
        <v>32</v>
      </c>
      <c r="C5" s="154">
        <v>11</v>
      </c>
      <c r="D5" s="154">
        <f>COUNT(B10:B30)</f>
        <v>21</v>
      </c>
      <c r="E5" s="155">
        <f>D5/B5</f>
        <v>0.65625</v>
      </c>
      <c r="F5" s="156">
        <f>SUM(C10:C30)</f>
        <v>27389.104500000001</v>
      </c>
      <c r="G5" s="156">
        <f>SUM(E10:E30)</f>
        <v>-21277.910000000033</v>
      </c>
      <c r="H5" s="154">
        <f>AVERAGE(C10:C30)</f>
        <v>1304.2430714285715</v>
      </c>
      <c r="I5" s="157">
        <f>AVERAGE(E10:E20)</f>
        <v>-1934.3554545454574</v>
      </c>
      <c r="J5" s="238">
        <f>(ABS(I5)/H5)-1</f>
        <v>0.48312496107547442</v>
      </c>
      <c r="N5" s="153">
        <f>COUNT(N10:N30)+COUNT(Q10:Q21)</f>
        <v>25</v>
      </c>
      <c r="O5" s="154">
        <v>11</v>
      </c>
      <c r="P5" s="154">
        <f>COUNT(N10:N30)</f>
        <v>14</v>
      </c>
      <c r="Q5" s="155">
        <f>P5/N5</f>
        <v>0.56000000000000005</v>
      </c>
      <c r="R5" s="156">
        <f>SUM(O10:O30)</f>
        <v>10333.030000000019</v>
      </c>
      <c r="S5" s="156">
        <f>SUM(Q10:Q30)</f>
        <v>-16773.619999999937</v>
      </c>
      <c r="T5" s="154">
        <f>AVERAGE(O10:O30)</f>
        <v>738.07357142857279</v>
      </c>
      <c r="U5" s="157">
        <f>AVERAGE(Q10:Q20)</f>
        <v>-1524.8745454545397</v>
      </c>
      <c r="V5" s="238">
        <v>1.0660197092589025</v>
      </c>
    </row>
    <row r="7" spans="2:22" ht="14.65" thickBot="1" x14ac:dyDescent="0.5"/>
    <row r="8" spans="2:22" ht="14.65" thickBot="1" x14ac:dyDescent="0.5">
      <c r="B8" s="311" t="s">
        <v>380</v>
      </c>
      <c r="C8" s="312"/>
      <c r="D8" s="313"/>
      <c r="E8" s="314" t="s">
        <v>381</v>
      </c>
      <c r="F8" s="315"/>
      <c r="G8" s="316"/>
      <c r="N8" s="311" t="s">
        <v>380</v>
      </c>
      <c r="O8" s="312"/>
      <c r="P8" s="313"/>
      <c r="Q8" s="314" t="s">
        <v>381</v>
      </c>
      <c r="R8" s="315"/>
      <c r="S8" s="316"/>
    </row>
    <row r="9" spans="2:22" x14ac:dyDescent="0.45">
      <c r="B9" s="243" t="s">
        <v>278</v>
      </c>
      <c r="C9" s="244" t="s">
        <v>264</v>
      </c>
      <c r="D9" s="245" t="s">
        <v>382</v>
      </c>
      <c r="E9" s="243" t="s">
        <v>264</v>
      </c>
      <c r="F9" s="244" t="s">
        <v>382</v>
      </c>
      <c r="G9" s="245" t="s">
        <v>278</v>
      </c>
      <c r="N9" s="246" t="s">
        <v>278</v>
      </c>
      <c r="O9" s="247" t="s">
        <v>264</v>
      </c>
      <c r="P9" s="248" t="s">
        <v>382</v>
      </c>
      <c r="Q9" s="246" t="s">
        <v>264</v>
      </c>
      <c r="R9" s="247" t="s">
        <v>382</v>
      </c>
      <c r="S9" s="248" t="s">
        <v>278</v>
      </c>
    </row>
    <row r="10" spans="2:22" x14ac:dyDescent="0.45">
      <c r="B10" s="135">
        <v>61070.2</v>
      </c>
      <c r="C10" s="138">
        <v>59.600000000005821</v>
      </c>
      <c r="D10" s="129">
        <v>9.7592606541334109E-4</v>
      </c>
      <c r="E10" s="133">
        <v>-5880.4000000000233</v>
      </c>
      <c r="F10" s="149">
        <v>-2.0433636203160545E-2</v>
      </c>
      <c r="G10" s="137">
        <v>287780.40000000002</v>
      </c>
      <c r="N10" s="135">
        <v>250965</v>
      </c>
      <c r="O10" s="148">
        <v>872.5</v>
      </c>
      <c r="P10" s="129">
        <v>3.4765803996573228E-3</v>
      </c>
      <c r="Q10" s="133">
        <v>-5082.6999999999825</v>
      </c>
      <c r="R10" s="149">
        <v>-4.6522334876236533E-2</v>
      </c>
      <c r="S10" s="137">
        <v>109252.90000000001</v>
      </c>
    </row>
    <row r="11" spans="2:22" x14ac:dyDescent="0.45">
      <c r="B11" s="135">
        <v>31764.049999999996</v>
      </c>
      <c r="C11" s="138">
        <v>160.70000000000073</v>
      </c>
      <c r="D11" s="129">
        <v>5.059178536742032E-3</v>
      </c>
      <c r="E11" s="133">
        <v>-4242.5</v>
      </c>
      <c r="F11" s="149">
        <v>-0.10869843709966692</v>
      </c>
      <c r="G11" s="137">
        <v>39030</v>
      </c>
      <c r="N11" s="135">
        <v>24300</v>
      </c>
      <c r="O11" s="148">
        <v>39.80000000000291</v>
      </c>
      <c r="P11" s="129">
        <v>1.6378600823046465E-3</v>
      </c>
      <c r="Q11" s="133">
        <v>-4644.8999999999942</v>
      </c>
      <c r="R11" s="149">
        <v>-4.1557886147729109E-2</v>
      </c>
      <c r="S11" s="137">
        <v>111769.40000000001</v>
      </c>
    </row>
    <row r="12" spans="2:22" ht="14.65" thickBot="1" x14ac:dyDescent="0.5">
      <c r="B12" s="135">
        <v>42224.57</v>
      </c>
      <c r="C12" s="138">
        <v>165.56450000000041</v>
      </c>
      <c r="D12" s="129">
        <v>3.9210464428649106E-3</v>
      </c>
      <c r="E12" s="133">
        <v>-2895</v>
      </c>
      <c r="F12" s="149">
        <v>-1.0555176776423491E-2</v>
      </c>
      <c r="G12" s="137">
        <v>274273</v>
      </c>
      <c r="N12" s="135">
        <v>46620.4</v>
      </c>
      <c r="O12" s="148">
        <v>99.19999999999709</v>
      </c>
      <c r="P12" s="129">
        <v>2.1278238710949948E-3</v>
      </c>
      <c r="Q12" s="133">
        <v>-2202.9499999999825</v>
      </c>
      <c r="R12" s="149">
        <v>-2.0078145222149554E-2</v>
      </c>
      <c r="S12" s="137">
        <v>109718.8</v>
      </c>
    </row>
    <row r="13" spans="2:22" ht="14.65" thickBot="1" x14ac:dyDescent="0.5">
      <c r="B13" s="135">
        <v>15063.54</v>
      </c>
      <c r="C13" s="138">
        <v>222.68999999999869</v>
      </c>
      <c r="D13" s="129">
        <v>1.4783377612433642E-2</v>
      </c>
      <c r="E13" s="133">
        <v>-1848</v>
      </c>
      <c r="F13" s="149">
        <v>-3.128491620111732E-2</v>
      </c>
      <c r="G13" s="137">
        <v>59070</v>
      </c>
      <c r="I13" s="303" t="s">
        <v>422</v>
      </c>
      <c r="J13" s="306"/>
      <c r="N13" s="135">
        <v>45205.4</v>
      </c>
      <c r="O13" s="148">
        <v>153.40000000000146</v>
      </c>
      <c r="P13" s="129">
        <v>3.3933999035513779E-3</v>
      </c>
      <c r="Q13" s="133">
        <v>-1779.5999999999767</v>
      </c>
      <c r="R13" s="149">
        <v>-8.9901762773717756E-3</v>
      </c>
      <c r="S13" s="137">
        <v>197949.40000000002</v>
      </c>
      <c r="U13" s="303" t="s">
        <v>422</v>
      </c>
      <c r="V13" s="306"/>
    </row>
    <row r="14" spans="2:22" ht="14.65" thickBot="1" x14ac:dyDescent="0.5">
      <c r="B14" s="135">
        <v>15088.57</v>
      </c>
      <c r="C14" s="138">
        <v>247.6200000000008</v>
      </c>
      <c r="D14" s="129">
        <v>1.6411097937047765E-2</v>
      </c>
      <c r="E14" s="133">
        <v>-1524</v>
      </c>
      <c r="F14" s="149">
        <v>-2.5352675006654245E-2</v>
      </c>
      <c r="G14" s="137">
        <v>60112</v>
      </c>
      <c r="I14" s="307">
        <f>G5+F5</f>
        <v>6111.1944999999687</v>
      </c>
      <c r="J14" s="308"/>
      <c r="N14" s="135">
        <v>10887.7</v>
      </c>
      <c r="O14" s="148">
        <v>326.32999999999993</v>
      </c>
      <c r="P14" s="129">
        <v>2.9972354124378878E-2</v>
      </c>
      <c r="Q14" s="133">
        <v>-1533.0999999999985</v>
      </c>
      <c r="R14" s="149">
        <v>-2.6968833942276713E-2</v>
      </c>
      <c r="S14" s="137">
        <v>56847.1</v>
      </c>
      <c r="U14" s="309">
        <f>S5+R5</f>
        <v>-6440.5899999999183</v>
      </c>
      <c r="V14" s="310"/>
    </row>
    <row r="15" spans="2:22" x14ac:dyDescent="0.45">
      <c r="B15" s="135">
        <v>21097</v>
      </c>
      <c r="C15" s="138">
        <v>271</v>
      </c>
      <c r="D15" s="129">
        <v>1.2845428259942173E-2</v>
      </c>
      <c r="E15" s="133">
        <v>-1268.9300000000003</v>
      </c>
      <c r="F15" s="149">
        <v>-3.2359651077924004E-2</v>
      </c>
      <c r="G15" s="137">
        <v>39213.339999999997</v>
      </c>
      <c r="N15" s="135">
        <v>24300</v>
      </c>
      <c r="O15" s="148">
        <v>400</v>
      </c>
      <c r="P15" s="129">
        <v>1.646090534979424E-2</v>
      </c>
      <c r="Q15" s="133">
        <v>-410</v>
      </c>
      <c r="R15" s="149">
        <v>-1.8981481481481481E-2</v>
      </c>
      <c r="S15" s="137">
        <v>21600</v>
      </c>
    </row>
    <row r="16" spans="2:22" x14ac:dyDescent="0.45">
      <c r="B16" s="135">
        <v>28012</v>
      </c>
      <c r="C16" s="138">
        <v>336</v>
      </c>
      <c r="D16" s="129">
        <v>1.1994859345994573E-2</v>
      </c>
      <c r="E16" s="133">
        <v>-1243.6000000000058</v>
      </c>
      <c r="F16" s="149">
        <v>-1.4056329304214025E-2</v>
      </c>
      <c r="G16" s="137">
        <v>88472.6</v>
      </c>
      <c r="N16" s="135">
        <v>54260.2</v>
      </c>
      <c r="O16" s="148">
        <v>429.60000000000582</v>
      </c>
      <c r="P16" s="129">
        <v>7.9174053910602213E-3</v>
      </c>
      <c r="Q16" s="133">
        <v>-300</v>
      </c>
      <c r="R16" s="149">
        <v>-1.1668611435239206E-2</v>
      </c>
      <c r="S16" s="137">
        <v>25710</v>
      </c>
    </row>
    <row r="17" spans="2:23" x14ac:dyDescent="0.45">
      <c r="B17" s="135">
        <v>58260.5</v>
      </c>
      <c r="C17" s="138">
        <v>348.30999999999767</v>
      </c>
      <c r="D17" s="129">
        <v>5.9784931471579834E-3</v>
      </c>
      <c r="E17" s="133">
        <v>-1035.7200000000012</v>
      </c>
      <c r="F17" s="149">
        <v>-3.0234879932741349E-2</v>
      </c>
      <c r="G17" s="137">
        <v>34255.800000000003</v>
      </c>
      <c r="N17" s="135">
        <v>46810.2</v>
      </c>
      <c r="O17" s="148">
        <v>449.40000000000146</v>
      </c>
      <c r="P17" s="129">
        <v>9.600471692067146E-3</v>
      </c>
      <c r="Q17" s="133">
        <v>-240</v>
      </c>
      <c r="R17" s="149">
        <v>-9.3348891481913644E-3</v>
      </c>
      <c r="S17" s="137">
        <v>25710</v>
      </c>
    </row>
    <row r="18" spans="2:23" x14ac:dyDescent="0.45">
      <c r="B18" s="135">
        <v>65992.5</v>
      </c>
      <c r="C18" s="138">
        <v>462.24000000000524</v>
      </c>
      <c r="D18" s="129">
        <v>7.0044323218548359E-3</v>
      </c>
      <c r="E18" s="133">
        <v>-620</v>
      </c>
      <c r="F18" s="149">
        <v>-8.7274774774774768E-3</v>
      </c>
      <c r="G18" s="137">
        <v>71040</v>
      </c>
      <c r="N18" s="135">
        <v>21425</v>
      </c>
      <c r="O18" s="148">
        <v>662.5</v>
      </c>
      <c r="P18" s="129">
        <v>3.0921820303383897E-2</v>
      </c>
      <c r="Q18" s="133">
        <v>-201.66999999999825</v>
      </c>
      <c r="R18" s="149">
        <v>-4.4819659044338777E-3</v>
      </c>
      <c r="S18" s="137">
        <v>44995.880000000005</v>
      </c>
    </row>
    <row r="19" spans="2:23" x14ac:dyDescent="0.45">
      <c r="B19" s="135">
        <v>97962.200000000012</v>
      </c>
      <c r="C19" s="138">
        <v>505.80000000000291</v>
      </c>
      <c r="D19" s="129">
        <v>5.1632160159735376E-3</v>
      </c>
      <c r="E19" s="133">
        <v>-405.55000000000109</v>
      </c>
      <c r="F19" s="149">
        <v>-4.5414181139369195E-2</v>
      </c>
      <c r="G19" s="137">
        <v>8930.0300000000007</v>
      </c>
      <c r="N19" s="135">
        <v>19675.2</v>
      </c>
      <c r="O19" s="148">
        <v>692.09999999999854</v>
      </c>
      <c r="P19" s="129">
        <v>3.5176262503049449E-2</v>
      </c>
      <c r="Q19" s="133">
        <v>-200.40000000000146</v>
      </c>
      <c r="R19" s="149">
        <v>-7.0988813239910116E-3</v>
      </c>
      <c r="S19" s="137">
        <v>28229.8</v>
      </c>
    </row>
    <row r="20" spans="2:23" x14ac:dyDescent="0.45">
      <c r="B20" s="135">
        <v>14998.939999999999</v>
      </c>
      <c r="C20" s="138">
        <v>513.90999999999985</v>
      </c>
      <c r="D20" s="129">
        <v>3.4263087924880017E-2</v>
      </c>
      <c r="E20" s="133">
        <v>-314.21000000000004</v>
      </c>
      <c r="F20" s="149">
        <v>-3.8997224856154221E-2</v>
      </c>
      <c r="G20" s="137">
        <v>8057.24</v>
      </c>
      <c r="N20" s="135">
        <v>106740</v>
      </c>
      <c r="O20" s="148">
        <v>1060</v>
      </c>
      <c r="P20" s="129">
        <v>9.9306726625444999E-3</v>
      </c>
      <c r="Q20" s="133">
        <v>-178.30000000000291</v>
      </c>
      <c r="R20" s="149">
        <v>-4.5683276282617018E-3</v>
      </c>
      <c r="S20" s="137">
        <v>39029.599999999999</v>
      </c>
    </row>
    <row r="21" spans="2:23" x14ac:dyDescent="0.45">
      <c r="B21" s="135">
        <v>113617.67</v>
      </c>
      <c r="C21" s="138">
        <v>895.27000000000407</v>
      </c>
      <c r="D21" s="129">
        <v>7.8796722376018105E-3</v>
      </c>
      <c r="E21" s="127"/>
      <c r="F21" s="239"/>
      <c r="G21" s="240"/>
      <c r="N21" s="135">
        <v>110010</v>
      </c>
      <c r="O21" s="148">
        <v>1090</v>
      </c>
      <c r="P21" s="129">
        <v>9.9081901645304976E-3</v>
      </c>
      <c r="Q21" s="133"/>
      <c r="R21" s="149"/>
      <c r="S21" s="137"/>
    </row>
    <row r="22" spans="2:23" x14ac:dyDescent="0.45">
      <c r="B22" s="135">
        <v>41531.999999999993</v>
      </c>
      <c r="C22" s="138">
        <v>1312</v>
      </c>
      <c r="D22" s="129">
        <v>3.1590099200616395E-2</v>
      </c>
      <c r="E22" s="133" t="s">
        <v>383</v>
      </c>
      <c r="F22" s="149"/>
      <c r="G22" s="137"/>
      <c r="N22" s="135">
        <v>310670.8</v>
      </c>
      <c r="O22" s="148">
        <v>1978.2000000000116</v>
      </c>
      <c r="P22" s="129">
        <v>6.367511848554842E-3</v>
      </c>
      <c r="Q22" s="133"/>
      <c r="R22" s="149"/>
      <c r="S22" s="137"/>
    </row>
    <row r="23" spans="2:23" x14ac:dyDescent="0.45">
      <c r="B23" s="135">
        <v>231660</v>
      </c>
      <c r="C23" s="138">
        <v>1393</v>
      </c>
      <c r="D23" s="129">
        <v>6.0131226797893464E-3</v>
      </c>
      <c r="E23" s="133" t="s">
        <v>383</v>
      </c>
      <c r="F23" s="149"/>
      <c r="G23" s="137"/>
      <c r="N23" s="135">
        <v>545052.5</v>
      </c>
      <c r="O23" s="148">
        <v>2080</v>
      </c>
      <c r="P23" s="129">
        <v>3.8161461510588428E-3</v>
      </c>
      <c r="Q23" s="133" t="s">
        <v>383</v>
      </c>
      <c r="R23" s="149"/>
      <c r="S23" s="137"/>
    </row>
    <row r="24" spans="2:23" x14ac:dyDescent="0.45">
      <c r="B24" s="135">
        <v>127796</v>
      </c>
      <c r="C24" s="138">
        <v>1432.3999999999942</v>
      </c>
      <c r="D24" s="129">
        <v>1.1208488528592398E-2</v>
      </c>
      <c r="E24" s="133" t="s">
        <v>383</v>
      </c>
      <c r="F24" s="149"/>
      <c r="G24" s="137"/>
      <c r="N24" s="127"/>
      <c r="O24" s="239"/>
      <c r="P24" s="240"/>
      <c r="Q24" s="127"/>
      <c r="R24" s="239"/>
      <c r="S24" s="240"/>
    </row>
    <row r="25" spans="2:23" x14ac:dyDescent="0.45">
      <c r="B25" s="135">
        <v>117343.01</v>
      </c>
      <c r="C25" s="138">
        <v>1754.4199999999837</v>
      </c>
      <c r="D25" s="129">
        <v>1.4951210131732463E-2</v>
      </c>
      <c r="E25" s="133" t="s">
        <v>383</v>
      </c>
      <c r="F25" s="149"/>
      <c r="G25" s="137"/>
      <c r="N25" s="127"/>
      <c r="O25" s="239"/>
      <c r="P25" s="240"/>
      <c r="Q25" s="127"/>
      <c r="R25" s="239"/>
      <c r="S25" s="240"/>
    </row>
    <row r="26" spans="2:23" x14ac:dyDescent="0.45">
      <c r="B26" s="135">
        <v>20496.400000000001</v>
      </c>
      <c r="C26" s="138">
        <v>2053.5999999999985</v>
      </c>
      <c r="D26" s="129">
        <v>0.10019320466033052</v>
      </c>
      <c r="E26" s="133" t="s">
        <v>383</v>
      </c>
      <c r="F26" s="149"/>
      <c r="G26" s="137"/>
      <c r="N26" s="127"/>
      <c r="O26" s="239"/>
      <c r="P26" s="240"/>
      <c r="Q26" s="127"/>
      <c r="R26" s="239"/>
      <c r="S26" s="240"/>
    </row>
    <row r="27" spans="2:23" x14ac:dyDescent="0.45">
      <c r="B27" s="135">
        <v>155046</v>
      </c>
      <c r="C27" s="138">
        <v>2190</v>
      </c>
      <c r="D27" s="129">
        <v>1.4124840369954723E-2</v>
      </c>
      <c r="E27" s="133" t="s">
        <v>383</v>
      </c>
      <c r="F27" s="149"/>
      <c r="G27" s="137"/>
      <c r="N27" s="127"/>
      <c r="O27" s="239"/>
      <c r="P27" s="240"/>
      <c r="Q27" s="127"/>
      <c r="R27" s="239"/>
      <c r="S27" s="240"/>
      <c r="W27" s="3"/>
    </row>
    <row r="28" spans="2:23" x14ac:dyDescent="0.45">
      <c r="B28" s="135">
        <v>239653</v>
      </c>
      <c r="C28" s="138">
        <v>3400</v>
      </c>
      <c r="D28" s="129">
        <v>1.4187178962917218E-2</v>
      </c>
      <c r="E28" s="133" t="s">
        <v>383</v>
      </c>
      <c r="F28" s="149"/>
      <c r="G28" s="137"/>
      <c r="N28" s="127"/>
      <c r="O28" s="239"/>
      <c r="P28" s="240"/>
      <c r="Q28" s="127"/>
      <c r="R28" s="239"/>
      <c r="S28" s="240"/>
    </row>
    <row r="29" spans="2:23" x14ac:dyDescent="0.45">
      <c r="B29" s="135">
        <v>132142.5</v>
      </c>
      <c r="C29" s="138">
        <v>4699.25</v>
      </c>
      <c r="D29" s="129">
        <v>3.5561988005372989E-2</v>
      </c>
      <c r="E29" s="133" t="s">
        <v>383</v>
      </c>
      <c r="F29" s="149"/>
      <c r="G29" s="137"/>
      <c r="N29" s="127"/>
      <c r="O29" s="239"/>
      <c r="P29" s="240"/>
      <c r="Q29" s="127"/>
      <c r="R29" s="239"/>
      <c r="S29" s="240"/>
    </row>
    <row r="30" spans="2:23" ht="14.65" thickBot="1" x14ac:dyDescent="0.5">
      <c r="B30" s="135">
        <v>105871.26999999999</v>
      </c>
      <c r="C30" s="138">
        <v>4965.7300000000105</v>
      </c>
      <c r="D30" s="129">
        <v>4.6903470601609022E-2</v>
      </c>
      <c r="E30" s="152" t="s">
        <v>383</v>
      </c>
      <c r="F30" s="147"/>
      <c r="G30" s="146"/>
      <c r="N30" s="130"/>
      <c r="O30" s="241"/>
      <c r="P30" s="242"/>
      <c r="Q30" s="130"/>
      <c r="R30" s="241"/>
      <c r="S30" s="242"/>
    </row>
    <row r="31" spans="2:23" x14ac:dyDescent="0.45">
      <c r="B31" s="134" t="s">
        <v>384</v>
      </c>
      <c r="C31" s="139">
        <v>1304.2430714285715</v>
      </c>
      <c r="D31" s="140">
        <v>1.9095877094705796E-2</v>
      </c>
      <c r="E31" s="141">
        <v>-1934.3554545454574</v>
      </c>
      <c r="F31" s="142">
        <v>-3.3283144097718431E-2</v>
      </c>
      <c r="G31" s="143"/>
      <c r="N31" s="134" t="s">
        <v>384</v>
      </c>
      <c r="O31" s="139">
        <v>1304.2430714285715</v>
      </c>
      <c r="P31" s="140">
        <v>1.9095877094705796E-2</v>
      </c>
      <c r="Q31" s="141">
        <v>-1934.3554545454574</v>
      </c>
      <c r="R31" s="142">
        <v>-3.3283144097718431E-2</v>
      </c>
      <c r="S31" s="143"/>
    </row>
    <row r="32" spans="2:23" ht="14.65" thickBot="1" x14ac:dyDescent="0.5">
      <c r="B32" s="144" t="s">
        <v>385</v>
      </c>
      <c r="C32" s="151">
        <v>513.90999999999985</v>
      </c>
      <c r="D32" s="147">
        <v>1.2845428259942173E-2</v>
      </c>
      <c r="E32" s="144">
        <v>-1268.9300000000003</v>
      </c>
      <c r="F32" s="147">
        <v>-3.0234879932741349E-2</v>
      </c>
      <c r="G32" s="146"/>
      <c r="N32" s="144" t="s">
        <v>385</v>
      </c>
      <c r="O32" s="151">
        <v>513.90999999999985</v>
      </c>
      <c r="P32" s="147">
        <v>1.2845428259942173E-2</v>
      </c>
      <c r="Q32" s="144">
        <v>-1268.9300000000003</v>
      </c>
      <c r="R32" s="147">
        <v>-3.0234879932741349E-2</v>
      </c>
      <c r="S32" s="146"/>
    </row>
    <row r="33" spans="2:14" x14ac:dyDescent="0.45">
      <c r="B33" s="1"/>
      <c r="C33" s="1"/>
      <c r="D33" s="1"/>
      <c r="E33" s="1"/>
      <c r="F33" s="1"/>
      <c r="G33" s="1"/>
      <c r="H33" s="1"/>
      <c r="I33" s="1"/>
      <c r="J33" s="1"/>
    </row>
    <row r="34" spans="2:14" x14ac:dyDescent="0.45">
      <c r="B34" s="1"/>
      <c r="C34" s="1"/>
      <c r="D34" s="1"/>
      <c r="E34" s="1"/>
      <c r="F34" s="1"/>
      <c r="G34" s="1"/>
      <c r="H34" s="1"/>
      <c r="I34" s="1"/>
      <c r="J34" s="1"/>
    </row>
    <row r="37" spans="2:14" x14ac:dyDescent="0.45">
      <c r="N37" s="277" t="s">
        <v>423</v>
      </c>
    </row>
    <row r="38" spans="2:14" x14ac:dyDescent="0.45">
      <c r="N38" s="277" t="s">
        <v>438</v>
      </c>
    </row>
  </sheetData>
  <mergeCells count="10">
    <mergeCell ref="B2:J2"/>
    <mergeCell ref="N2:V2"/>
    <mergeCell ref="I13:J13"/>
    <mergeCell ref="I14:J14"/>
    <mergeCell ref="U13:V13"/>
    <mergeCell ref="U14:V14"/>
    <mergeCell ref="B8:D8"/>
    <mergeCell ref="E8:G8"/>
    <mergeCell ref="N8:P8"/>
    <mergeCell ref="Q8:S8"/>
  </mergeCells>
  <pageMargins left="0.7" right="0.7" top="0.75" bottom="0.75" header="0.3" footer="0.3"/>
  <ignoredErrors>
    <ignoredError sqref="F5 R5:T5 H5" formulaRange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9C6121-F4F0-45B2-8858-647C6C6335FF}">
  <dimension ref="A1:V176"/>
  <sheetViews>
    <sheetView tabSelected="1" workbookViewId="0">
      <selection activeCell="D31" sqref="D31"/>
    </sheetView>
  </sheetViews>
  <sheetFormatPr defaultColWidth="11.3984375" defaultRowHeight="14.25" x14ac:dyDescent="0.45"/>
  <cols>
    <col min="1" max="2" width="11.59765625" style="1" customWidth="1"/>
    <col min="3" max="6" width="19.59765625" style="1" customWidth="1"/>
    <col min="7" max="8" width="19.59765625" style="158" customWidth="1"/>
    <col min="9" max="11" width="19.59765625" style="1" customWidth="1"/>
    <col min="12" max="13" width="11.3984375" style="1"/>
    <col min="14" max="14" width="19.59765625" style="136" customWidth="1"/>
    <col min="15" max="15" width="11.3984375" style="138"/>
    <col min="16" max="16" width="11.3984375" style="3"/>
    <col min="17" max="17" width="11.3984375" style="138"/>
    <col min="18" max="18" width="11.3984375" style="126"/>
    <col min="19" max="19" width="11.3984375" style="136"/>
    <col min="20" max="20" width="11.59765625" style="1" customWidth="1"/>
    <col min="21" max="21" width="11.3984375" style="1"/>
    <col min="22" max="22" width="11.3984375" style="159"/>
    <col min="23" max="16384" width="11.3984375" style="1"/>
  </cols>
  <sheetData>
    <row r="1" spans="1:20" ht="14.65" thickBot="1" x14ac:dyDescent="0.5"/>
    <row r="2" spans="1:20" ht="28.5" x14ac:dyDescent="0.45">
      <c r="C2" s="176" t="s">
        <v>266</v>
      </c>
      <c r="D2" s="177" t="s">
        <v>387</v>
      </c>
      <c r="E2" s="177" t="s">
        <v>265</v>
      </c>
      <c r="F2" s="177" t="s">
        <v>388</v>
      </c>
      <c r="G2" s="178" t="s">
        <v>389</v>
      </c>
      <c r="H2" s="178" t="s">
        <v>390</v>
      </c>
      <c r="I2" s="177" t="s">
        <v>391</v>
      </c>
      <c r="J2" s="177" t="s">
        <v>392</v>
      </c>
      <c r="K2" s="179" t="s">
        <v>393</v>
      </c>
      <c r="N2" s="1"/>
      <c r="O2" s="1"/>
      <c r="P2" s="1"/>
      <c r="Q2" s="1"/>
      <c r="R2" s="1"/>
      <c r="S2" s="1"/>
    </row>
    <row r="3" spans="1:20" ht="14.65" thickBot="1" x14ac:dyDescent="0.5">
      <c r="C3" s="180">
        <f>D3+E3</f>
        <v>32</v>
      </c>
      <c r="D3" s="160">
        <f>COUNT(F8:F18)</f>
        <v>11</v>
      </c>
      <c r="E3" s="160">
        <v>21</v>
      </c>
      <c r="F3" s="181">
        <v>0.65625</v>
      </c>
      <c r="G3" s="161">
        <f>SUM(D8:D28)</f>
        <v>11934.27450000001</v>
      </c>
      <c r="H3" s="161">
        <f>SUM(G8:G18)</f>
        <v>-6147.9000000000005</v>
      </c>
      <c r="I3" s="160">
        <f>G3/E3</f>
        <v>568.29878571428617</v>
      </c>
      <c r="J3" s="162">
        <f>H3/D3</f>
        <v>-558.90000000000009</v>
      </c>
      <c r="K3" s="175">
        <v>0.48312496107547442</v>
      </c>
      <c r="N3" s="1"/>
      <c r="O3" s="1"/>
      <c r="P3" s="1"/>
      <c r="Q3" s="1"/>
      <c r="R3" s="1"/>
      <c r="S3" s="1"/>
      <c r="T3" s="159"/>
    </row>
    <row r="4" spans="1:20" ht="14.65" thickBot="1" x14ac:dyDescent="0.5">
      <c r="A4" s="3"/>
      <c r="B4" s="3"/>
      <c r="G4" s="182" t="s">
        <v>396</v>
      </c>
      <c r="H4" s="183">
        <f>H3+G3</f>
        <v>5786.3745000000099</v>
      </c>
      <c r="I4" s="159"/>
      <c r="J4" s="159"/>
      <c r="K4" s="159"/>
      <c r="N4" s="1"/>
      <c r="O4" s="1"/>
      <c r="P4" s="1"/>
      <c r="Q4" s="1"/>
      <c r="R4" s="1"/>
      <c r="S4" s="1"/>
    </row>
    <row r="5" spans="1:20" ht="33.75" customHeight="1" thickBot="1" x14ac:dyDescent="0.5">
      <c r="J5" s="185" t="s">
        <v>398</v>
      </c>
      <c r="K5" s="186">
        <f>(I3*F3)+(J3*(1-F3))</f>
        <v>180.82420312500028</v>
      </c>
      <c r="N5" s="1"/>
      <c r="O5" s="1"/>
      <c r="P5" s="1"/>
      <c r="Q5" s="1"/>
      <c r="R5" s="1"/>
      <c r="S5" s="1"/>
    </row>
    <row r="6" spans="1:20" ht="18.399999999999999" thickBot="1" x14ac:dyDescent="0.6">
      <c r="C6" s="317" t="s">
        <v>380</v>
      </c>
      <c r="D6" s="318"/>
      <c r="E6" s="319"/>
      <c r="F6" s="320" t="s">
        <v>381</v>
      </c>
      <c r="G6" s="321"/>
      <c r="H6" s="322"/>
      <c r="K6" s="187">
        <f>K5*C3</f>
        <v>5786.374500000009</v>
      </c>
      <c r="N6" s="1"/>
      <c r="O6" s="1"/>
      <c r="P6" s="1"/>
      <c r="Q6" s="1"/>
      <c r="R6" s="1"/>
      <c r="S6" s="1"/>
    </row>
    <row r="7" spans="1:20" x14ac:dyDescent="0.45">
      <c r="C7" s="172" t="s">
        <v>397</v>
      </c>
      <c r="D7" s="173" t="s">
        <v>264</v>
      </c>
      <c r="E7" s="174" t="s">
        <v>382</v>
      </c>
      <c r="F7" s="172" t="s">
        <v>397</v>
      </c>
      <c r="G7" s="173" t="s">
        <v>264</v>
      </c>
      <c r="H7" s="174" t="s">
        <v>382</v>
      </c>
      <c r="J7" s="163"/>
      <c r="N7" s="1"/>
      <c r="O7" s="1"/>
      <c r="P7" s="1"/>
      <c r="Q7" s="1"/>
      <c r="R7" s="1"/>
      <c r="S7" s="1"/>
    </row>
    <row r="8" spans="1:20" x14ac:dyDescent="0.45">
      <c r="C8" s="135">
        <v>10302</v>
      </c>
      <c r="D8" s="167">
        <v>59.600000000005821</v>
      </c>
      <c r="E8" s="129">
        <f>D8/C8</f>
        <v>5.7852844107945858E-3</v>
      </c>
      <c r="F8" s="165">
        <v>19348.12</v>
      </c>
      <c r="G8" s="167">
        <v>-778.3</v>
      </c>
      <c r="H8" s="166">
        <f>G8/F8</f>
        <v>-4.0226130497433343E-2</v>
      </c>
      <c r="J8" s="163"/>
      <c r="N8" s="1"/>
      <c r="O8" s="1"/>
      <c r="P8" s="1"/>
      <c r="Q8" s="1"/>
      <c r="R8" s="1"/>
      <c r="S8" s="1"/>
      <c r="T8" s="164"/>
    </row>
    <row r="9" spans="1:20" ht="14.65" thickBot="1" x14ac:dyDescent="0.5">
      <c r="C9" s="135">
        <v>7536</v>
      </c>
      <c r="D9" s="167">
        <v>160.70000000000073</v>
      </c>
      <c r="E9" s="129">
        <f t="shared" ref="E9:E28" si="0">D9/C9</f>
        <v>2.1324309978768673E-2</v>
      </c>
      <c r="F9" s="135">
        <v>9030</v>
      </c>
      <c r="G9" s="167">
        <v>-424.3</v>
      </c>
      <c r="H9" s="166">
        <f t="shared" ref="H9:H18" si="1">G9/F9</f>
        <v>-4.6987818383167221E-2</v>
      </c>
      <c r="J9" s="163"/>
      <c r="N9" s="1"/>
      <c r="O9" s="1"/>
      <c r="P9" s="1"/>
      <c r="Q9" s="1"/>
      <c r="R9" s="1"/>
      <c r="S9" s="1"/>
      <c r="T9" s="164"/>
    </row>
    <row r="10" spans="1:20" ht="14.65" thickBot="1" x14ac:dyDescent="0.5">
      <c r="C10" s="135">
        <v>8032</v>
      </c>
      <c r="D10" s="167">
        <v>165.56450000000041</v>
      </c>
      <c r="E10" s="129">
        <f t="shared" si="0"/>
        <v>2.0613110059761006E-2</v>
      </c>
      <c r="F10" s="135">
        <v>14273</v>
      </c>
      <c r="G10" s="167">
        <v>-756</v>
      </c>
      <c r="H10" s="166">
        <f t="shared" si="1"/>
        <v>-5.2967140755272195E-2</v>
      </c>
      <c r="J10" s="323" t="s">
        <v>402</v>
      </c>
      <c r="K10" s="324"/>
      <c r="N10" s="1"/>
      <c r="O10" s="1"/>
      <c r="P10" s="1"/>
      <c r="Q10" s="1"/>
      <c r="R10" s="1"/>
      <c r="S10" s="1"/>
      <c r="T10" s="164"/>
    </row>
    <row r="11" spans="1:20" x14ac:dyDescent="0.45">
      <c r="C11" s="135">
        <v>15046</v>
      </c>
      <c r="D11" s="167">
        <v>222.68999999999869</v>
      </c>
      <c r="E11" s="129">
        <f t="shared" si="0"/>
        <v>1.4800611458194782E-2</v>
      </c>
      <c r="F11" s="135">
        <v>9070</v>
      </c>
      <c r="G11" s="167">
        <v>-348</v>
      </c>
      <c r="H11" s="166">
        <f t="shared" si="1"/>
        <v>-3.8368246968026459E-2</v>
      </c>
      <c r="J11" s="184"/>
      <c r="K11" s="188"/>
      <c r="N11" s="1"/>
      <c r="O11" s="1"/>
      <c r="P11" s="1"/>
      <c r="Q11" s="1"/>
      <c r="R11" s="1"/>
      <c r="S11" s="1"/>
    </row>
    <row r="12" spans="1:20" x14ac:dyDescent="0.45">
      <c r="C12" s="135">
        <v>5432</v>
      </c>
      <c r="D12" s="167">
        <v>247.6200000000008</v>
      </c>
      <c r="E12" s="129">
        <f t="shared" si="0"/>
        <v>4.5585419734904417E-2</v>
      </c>
      <c r="F12" s="135">
        <v>10112</v>
      </c>
      <c r="G12" s="167">
        <v>-987.12</v>
      </c>
      <c r="H12" s="166">
        <f t="shared" si="1"/>
        <v>-9.7618670886075953E-2</v>
      </c>
      <c r="J12" s="189" t="s">
        <v>399</v>
      </c>
      <c r="K12" s="191">
        <f>F3</f>
        <v>0.65625</v>
      </c>
      <c r="N12" s="1"/>
      <c r="O12" s="1"/>
      <c r="P12" s="1"/>
      <c r="Q12" s="1"/>
      <c r="R12" s="1"/>
      <c r="S12" s="1"/>
      <c r="T12" s="164"/>
    </row>
    <row r="13" spans="1:20" x14ac:dyDescent="0.45">
      <c r="C13" s="135">
        <v>17836</v>
      </c>
      <c r="D13" s="167">
        <v>271</v>
      </c>
      <c r="E13" s="129">
        <f t="shared" si="0"/>
        <v>1.5193989683785603E-2</v>
      </c>
      <c r="F13" s="135">
        <v>9213</v>
      </c>
      <c r="G13" s="167">
        <v>-436.14</v>
      </c>
      <c r="H13" s="166">
        <f t="shared" si="1"/>
        <v>-4.7339628785411918E-2</v>
      </c>
      <c r="J13" s="190" t="s">
        <v>400</v>
      </c>
      <c r="K13" s="192">
        <f>(1-F3)</f>
        <v>0.34375</v>
      </c>
      <c r="N13" s="1"/>
      <c r="O13" s="1"/>
      <c r="P13" s="1"/>
      <c r="Q13" s="1"/>
      <c r="R13" s="1"/>
      <c r="S13" s="1"/>
    </row>
    <row r="14" spans="1:20" x14ac:dyDescent="0.45">
      <c r="C14" s="135">
        <v>8012</v>
      </c>
      <c r="D14" s="167">
        <v>336</v>
      </c>
      <c r="E14" s="129">
        <f t="shared" si="0"/>
        <v>4.193709435846231E-2</v>
      </c>
      <c r="F14" s="135">
        <v>8473</v>
      </c>
      <c r="G14" s="167">
        <v>-842.13</v>
      </c>
      <c r="H14" s="166">
        <f t="shared" si="1"/>
        <v>-9.9389826507730442E-2</v>
      </c>
      <c r="J14" s="190" t="s">
        <v>395</v>
      </c>
      <c r="K14" s="193">
        <f>G3/ABS(H3)</f>
        <v>1.9411952861952877</v>
      </c>
      <c r="N14" s="1"/>
      <c r="O14" s="1"/>
      <c r="P14" s="1"/>
      <c r="Q14" s="1"/>
      <c r="R14" s="1"/>
      <c r="S14" s="1"/>
      <c r="T14" s="164"/>
    </row>
    <row r="15" spans="1:20" ht="23.65" thickBot="1" x14ac:dyDescent="0.75">
      <c r="C15" s="135">
        <v>8261</v>
      </c>
      <c r="D15" s="167">
        <v>348.30999999999767</v>
      </c>
      <c r="E15" s="129">
        <f t="shared" si="0"/>
        <v>4.2163176370899128E-2</v>
      </c>
      <c r="F15" s="135">
        <v>4256</v>
      </c>
      <c r="G15" s="167">
        <v>-236.15</v>
      </c>
      <c r="H15" s="166">
        <f t="shared" si="1"/>
        <v>-5.5486372180451132E-2</v>
      </c>
      <c r="J15" s="194" t="s">
        <v>401</v>
      </c>
      <c r="K15" s="195">
        <f>K12-((1-K12)/K14)</f>
        <v>0.47916838309903143</v>
      </c>
      <c r="N15" s="1"/>
      <c r="O15" s="1"/>
      <c r="P15" s="1"/>
      <c r="Q15" s="1"/>
      <c r="R15" s="1"/>
      <c r="S15" s="1"/>
    </row>
    <row r="16" spans="1:20" x14ac:dyDescent="0.45">
      <c r="C16" s="135">
        <v>5993</v>
      </c>
      <c r="D16" s="167">
        <v>462.24000000000524</v>
      </c>
      <c r="E16" s="129">
        <f t="shared" si="0"/>
        <v>7.7129984982480429E-2</v>
      </c>
      <c r="F16" s="135">
        <v>11040</v>
      </c>
      <c r="G16" s="167">
        <v>-620</v>
      </c>
      <c r="H16" s="166">
        <f t="shared" si="1"/>
        <v>-5.6159420289855072E-2</v>
      </c>
      <c r="N16" s="1"/>
      <c r="O16" s="1"/>
      <c r="P16" s="1"/>
      <c r="Q16" s="1"/>
      <c r="R16" s="1"/>
      <c r="S16" s="1"/>
    </row>
    <row r="17" spans="3:19" x14ac:dyDescent="0.45">
      <c r="C17" s="135">
        <v>7962</v>
      </c>
      <c r="D17" s="167">
        <v>505.80000000000291</v>
      </c>
      <c r="E17" s="129">
        <f t="shared" si="0"/>
        <v>6.3526752072343998E-2</v>
      </c>
      <c r="F17" s="135">
        <v>8930.0300000000007</v>
      </c>
      <c r="G17" s="167">
        <v>-405.55000000000109</v>
      </c>
      <c r="H17" s="166">
        <f t="shared" si="1"/>
        <v>-4.5414181139369195E-2</v>
      </c>
      <c r="J17" s="163"/>
      <c r="N17" s="1"/>
      <c r="O17" s="1"/>
      <c r="P17" s="1"/>
      <c r="Q17" s="1"/>
      <c r="R17" s="1"/>
      <c r="S17" s="1"/>
    </row>
    <row r="18" spans="3:19" x14ac:dyDescent="0.45">
      <c r="C18" s="135">
        <v>4999</v>
      </c>
      <c r="D18" s="167">
        <v>513.90999999999985</v>
      </c>
      <c r="E18" s="129">
        <f t="shared" si="0"/>
        <v>0.10280256051210239</v>
      </c>
      <c r="F18" s="135">
        <v>8057.24</v>
      </c>
      <c r="G18" s="167">
        <v>-314.21000000000004</v>
      </c>
      <c r="H18" s="166">
        <f t="shared" si="1"/>
        <v>-3.8997224856154221E-2</v>
      </c>
      <c r="J18" s="163"/>
      <c r="N18" s="1"/>
      <c r="O18" s="1"/>
      <c r="P18" s="1"/>
      <c r="Q18" s="1"/>
      <c r="R18" s="1"/>
      <c r="S18" s="1"/>
    </row>
    <row r="19" spans="3:19" x14ac:dyDescent="0.45">
      <c r="C19" s="135">
        <v>13618</v>
      </c>
      <c r="D19" s="167">
        <v>542.30999999999995</v>
      </c>
      <c r="E19" s="129">
        <f t="shared" si="0"/>
        <v>3.982302834483771E-2</v>
      </c>
      <c r="F19" s="133"/>
      <c r="G19" s="167"/>
      <c r="H19" s="137"/>
      <c r="J19" s="163"/>
      <c r="N19" s="1"/>
      <c r="O19" s="1"/>
      <c r="P19" s="1"/>
      <c r="Q19" s="1"/>
      <c r="R19" s="1"/>
      <c r="S19" s="1"/>
    </row>
    <row r="20" spans="3:19" x14ac:dyDescent="0.45">
      <c r="C20" s="135">
        <v>4532</v>
      </c>
      <c r="D20" s="167">
        <v>612.13</v>
      </c>
      <c r="E20" s="129">
        <f t="shared" si="0"/>
        <v>0.1350684024713151</v>
      </c>
      <c r="F20" s="133" t="s">
        <v>383</v>
      </c>
      <c r="G20" s="149"/>
      <c r="H20" s="137"/>
      <c r="J20" s="163"/>
      <c r="N20" s="1"/>
      <c r="O20" s="1"/>
      <c r="P20" s="1"/>
      <c r="Q20" s="1"/>
      <c r="R20" s="1"/>
      <c r="S20" s="1"/>
    </row>
    <row r="21" spans="3:19" x14ac:dyDescent="0.45">
      <c r="C21" s="135">
        <v>13660</v>
      </c>
      <c r="D21" s="167">
        <v>624.17999999999995</v>
      </c>
      <c r="E21" s="129">
        <f t="shared" si="0"/>
        <v>4.5693997071742307E-2</v>
      </c>
      <c r="F21" s="133" t="s">
        <v>383</v>
      </c>
      <c r="G21" s="149"/>
      <c r="H21" s="137"/>
      <c r="J21" s="163"/>
      <c r="N21" s="1"/>
      <c r="O21" s="1"/>
      <c r="P21" s="1"/>
      <c r="Q21" s="1"/>
      <c r="R21" s="1"/>
      <c r="S21" s="1"/>
    </row>
    <row r="22" spans="3:19" x14ac:dyDescent="0.45">
      <c r="C22" s="135">
        <v>7796</v>
      </c>
      <c r="D22" s="167">
        <v>652.19000000000005</v>
      </c>
      <c r="E22" s="129">
        <f t="shared" si="0"/>
        <v>8.3657003591585441E-2</v>
      </c>
      <c r="F22" s="133" t="s">
        <v>383</v>
      </c>
      <c r="G22" s="149"/>
      <c r="H22" s="137"/>
      <c r="J22" s="163"/>
      <c r="N22" s="1"/>
      <c r="O22" s="1"/>
      <c r="P22" s="1"/>
      <c r="Q22" s="1"/>
      <c r="R22" s="1"/>
      <c r="S22" s="1"/>
    </row>
    <row r="23" spans="3:19" x14ac:dyDescent="0.45">
      <c r="C23" s="135">
        <v>17343</v>
      </c>
      <c r="D23" s="167">
        <v>748.2</v>
      </c>
      <c r="E23" s="129">
        <f t="shared" si="0"/>
        <v>4.3141325030271585E-2</v>
      </c>
      <c r="F23" s="133" t="s">
        <v>383</v>
      </c>
      <c r="G23" s="149"/>
      <c r="H23" s="137"/>
      <c r="J23" s="163"/>
      <c r="N23" s="1"/>
      <c r="O23" s="1"/>
      <c r="P23" s="1"/>
      <c r="Q23" s="1"/>
      <c r="R23" s="1"/>
      <c r="S23" s="1"/>
    </row>
    <row r="24" spans="3:19" x14ac:dyDescent="0.45">
      <c r="C24" s="135">
        <v>20496.400000000001</v>
      </c>
      <c r="D24" s="167">
        <v>851.12</v>
      </c>
      <c r="E24" s="129">
        <f t="shared" si="0"/>
        <v>4.1525341035498917E-2</v>
      </c>
      <c r="F24" s="133" t="s">
        <v>383</v>
      </c>
      <c r="G24" s="149"/>
      <c r="H24" s="137"/>
      <c r="J24" s="163"/>
      <c r="N24" s="1"/>
      <c r="O24" s="1"/>
      <c r="P24" s="1"/>
      <c r="Q24" s="1"/>
      <c r="R24" s="1"/>
      <c r="S24" s="1"/>
    </row>
    <row r="25" spans="3:19" x14ac:dyDescent="0.45">
      <c r="C25" s="135">
        <v>5046</v>
      </c>
      <c r="D25" s="167">
        <v>932.14</v>
      </c>
      <c r="E25" s="129">
        <f t="shared" si="0"/>
        <v>0.18472849782005549</v>
      </c>
      <c r="F25" s="133" t="s">
        <v>383</v>
      </c>
      <c r="G25" s="149"/>
      <c r="H25" s="137"/>
      <c r="J25" s="163"/>
      <c r="N25" s="1"/>
      <c r="O25" s="1"/>
      <c r="P25" s="1"/>
      <c r="Q25" s="1"/>
      <c r="R25" s="1"/>
      <c r="S25" s="1"/>
    </row>
    <row r="26" spans="3:19" x14ac:dyDescent="0.45">
      <c r="C26" s="135">
        <v>9653</v>
      </c>
      <c r="D26" s="167">
        <v>988.14</v>
      </c>
      <c r="E26" s="129">
        <f t="shared" si="0"/>
        <v>0.10236610380192686</v>
      </c>
      <c r="F26" s="133" t="s">
        <v>383</v>
      </c>
      <c r="G26" s="149"/>
      <c r="H26" s="137"/>
      <c r="J26" s="163"/>
      <c r="N26" s="1"/>
      <c r="O26" s="1"/>
      <c r="P26" s="1"/>
      <c r="Q26" s="1"/>
      <c r="R26" s="1"/>
      <c r="S26" s="1"/>
    </row>
    <row r="27" spans="3:19" x14ac:dyDescent="0.45">
      <c r="C27" s="135">
        <v>12143</v>
      </c>
      <c r="D27" s="167">
        <v>1142.3</v>
      </c>
      <c r="E27" s="129">
        <f t="shared" si="0"/>
        <v>9.4070657992258916E-2</v>
      </c>
      <c r="F27" s="133" t="s">
        <v>383</v>
      </c>
      <c r="G27" s="149"/>
      <c r="H27" s="137"/>
      <c r="J27" s="163"/>
      <c r="N27" s="1"/>
      <c r="O27" s="1"/>
      <c r="P27" s="1"/>
      <c r="Q27" s="1"/>
      <c r="R27" s="1"/>
      <c r="S27" s="1"/>
    </row>
    <row r="28" spans="3:19" ht="14.65" thickBot="1" x14ac:dyDescent="0.5">
      <c r="C28" s="144">
        <v>17136.18</v>
      </c>
      <c r="D28" s="168">
        <v>1548.13</v>
      </c>
      <c r="E28" s="132">
        <f t="shared" si="0"/>
        <v>9.0342771842966171E-2</v>
      </c>
      <c r="F28" s="152" t="s">
        <v>383</v>
      </c>
      <c r="G28" s="147"/>
      <c r="H28" s="146"/>
      <c r="J28" s="163"/>
      <c r="N28" s="1"/>
      <c r="O28" s="1"/>
      <c r="P28" s="1"/>
      <c r="Q28" s="1"/>
      <c r="R28" s="1"/>
      <c r="S28" s="1"/>
    </row>
    <row r="29" spans="3:19" x14ac:dyDescent="0.45">
      <c r="C29" s="134" t="s">
        <v>384</v>
      </c>
      <c r="D29" s="139">
        <f>AVERAGE(D8:D28)</f>
        <v>568.29878571428617</v>
      </c>
      <c r="E29" s="140">
        <f>AVERAGE(E8:E28)</f>
        <v>6.244187726785503E-2</v>
      </c>
      <c r="F29" s="169"/>
      <c r="G29" s="170">
        <f>AVERAGE(G8:G18)</f>
        <v>-558.90000000000009</v>
      </c>
      <c r="H29" s="140">
        <f>AVERAGE(H8:H28)</f>
        <v>-5.6268605568086105E-2</v>
      </c>
      <c r="J29" s="163"/>
      <c r="N29" s="1"/>
      <c r="O29" s="1"/>
      <c r="P29" s="136"/>
      <c r="Q29" s="136"/>
    </row>
    <row r="30" spans="3:19" x14ac:dyDescent="0.45">
      <c r="C30" s="135" t="s">
        <v>385</v>
      </c>
      <c r="D30" s="150">
        <f>MEDIAN(D8:D28)</f>
        <v>513.90999999999985</v>
      </c>
      <c r="E30" s="129">
        <f>MEDIAN(E8:E28)</f>
        <v>4.5585419734904417E-2</v>
      </c>
      <c r="F30" s="171"/>
      <c r="G30" s="148">
        <f>MEDIAN(G8:G18)</f>
        <v>-436.14</v>
      </c>
      <c r="H30" s="129">
        <f>MEDIAN(H8:H28)</f>
        <v>-4.7339628785411918E-2</v>
      </c>
      <c r="J30" s="163"/>
      <c r="N30" s="1"/>
      <c r="O30" s="1"/>
      <c r="P30" s="136"/>
      <c r="Q30" s="136"/>
    </row>
    <row r="31" spans="3:19" ht="14.65" thickBot="1" x14ac:dyDescent="0.5">
      <c r="C31" s="144" t="s">
        <v>386</v>
      </c>
      <c r="D31" s="145">
        <f>AVERAGE(C8:C28)</f>
        <v>10515.932380952381</v>
      </c>
      <c r="E31" s="146">
        <f>AVERAGE(D8:D28)</f>
        <v>568.29878571428617</v>
      </c>
      <c r="F31" s="144"/>
      <c r="G31" s="145">
        <f>AVERAGE(F8:F28)</f>
        <v>10163.853636363636</v>
      </c>
      <c r="H31" s="146">
        <f>AVERAGE(G8:G28)</f>
        <v>-558.90000000000009</v>
      </c>
      <c r="J31" s="163"/>
      <c r="N31" s="1"/>
      <c r="O31" s="1"/>
      <c r="P31" s="136"/>
      <c r="Q31" s="136"/>
    </row>
    <row r="32" spans="3:19" x14ac:dyDescent="0.45">
      <c r="G32" s="1"/>
      <c r="H32" s="1"/>
      <c r="J32" s="163"/>
      <c r="N32" s="1"/>
      <c r="O32" s="1"/>
      <c r="P32" s="136"/>
      <c r="Q32" s="136"/>
    </row>
    <row r="33" spans="6:17" x14ac:dyDescent="0.45">
      <c r="J33" s="163"/>
      <c r="N33" s="1"/>
      <c r="O33" s="1"/>
    </row>
    <row r="34" spans="6:17" x14ac:dyDescent="0.45">
      <c r="J34" s="163"/>
      <c r="N34" s="1"/>
      <c r="O34" s="1"/>
      <c r="P34" s="1"/>
      <c r="Q34" s="1"/>
    </row>
    <row r="35" spans="6:17" x14ac:dyDescent="0.45">
      <c r="J35" s="163"/>
      <c r="N35" s="1"/>
      <c r="O35" s="1"/>
      <c r="P35" s="1"/>
      <c r="Q35" s="1"/>
    </row>
    <row r="36" spans="6:17" x14ac:dyDescent="0.45">
      <c r="F36" s="163"/>
      <c r="J36" s="163"/>
      <c r="N36" s="1"/>
      <c r="O36" s="1"/>
      <c r="P36" s="1"/>
      <c r="Q36" s="1"/>
    </row>
    <row r="37" spans="6:17" x14ac:dyDescent="0.45">
      <c r="J37" s="163"/>
      <c r="N37" s="1"/>
      <c r="O37" s="1"/>
      <c r="P37" s="1"/>
      <c r="Q37" s="1"/>
    </row>
    <row r="38" spans="6:17" x14ac:dyDescent="0.45">
      <c r="J38" s="163"/>
      <c r="N38" s="1"/>
      <c r="O38" s="1"/>
      <c r="P38" s="1"/>
      <c r="Q38" s="1"/>
    </row>
    <row r="39" spans="6:17" x14ac:dyDescent="0.45">
      <c r="J39" s="163"/>
      <c r="N39" s="1"/>
      <c r="O39" s="1"/>
      <c r="P39" s="1"/>
      <c r="Q39" s="1"/>
    </row>
    <row r="40" spans="6:17" x14ac:dyDescent="0.45">
      <c r="J40" s="163"/>
      <c r="N40" s="1"/>
      <c r="O40" s="1"/>
      <c r="P40" s="1"/>
      <c r="Q40" s="1"/>
    </row>
    <row r="41" spans="6:17" x14ac:dyDescent="0.45">
      <c r="J41" s="163"/>
      <c r="O41" s="1"/>
      <c r="P41" s="1"/>
      <c r="Q41" s="1"/>
    </row>
    <row r="42" spans="6:17" x14ac:dyDescent="0.45">
      <c r="K42" s="122"/>
      <c r="O42" s="1"/>
      <c r="P42" s="1"/>
      <c r="Q42" s="1"/>
    </row>
    <row r="43" spans="6:17" x14ac:dyDescent="0.45">
      <c r="O43" s="1"/>
      <c r="P43" s="1"/>
      <c r="Q43" s="1"/>
    </row>
    <row r="44" spans="6:17" x14ac:dyDescent="0.45">
      <c r="L44" s="122"/>
      <c r="O44" s="1"/>
      <c r="P44" s="1"/>
      <c r="Q44" s="1"/>
    </row>
    <row r="45" spans="6:17" x14ac:dyDescent="0.45">
      <c r="O45" s="1"/>
      <c r="P45" s="1"/>
      <c r="Q45" s="1"/>
    </row>
    <row r="46" spans="6:17" x14ac:dyDescent="0.45">
      <c r="O46" s="1"/>
      <c r="P46" s="1"/>
      <c r="Q46" s="1"/>
    </row>
    <row r="47" spans="6:17" x14ac:dyDescent="0.45">
      <c r="O47" s="1"/>
      <c r="P47" s="1"/>
      <c r="Q47" s="1"/>
    </row>
    <row r="48" spans="6:17" x14ac:dyDescent="0.45">
      <c r="K48" s="122"/>
      <c r="O48" s="1"/>
      <c r="P48" s="1"/>
      <c r="Q48" s="1"/>
    </row>
    <row r="49" spans="11:17" x14ac:dyDescent="0.45">
      <c r="O49" s="1"/>
      <c r="P49" s="1"/>
      <c r="Q49" s="1"/>
    </row>
    <row r="50" spans="11:17" x14ac:dyDescent="0.45">
      <c r="O50" s="1"/>
      <c r="P50" s="1"/>
      <c r="Q50" s="1"/>
    </row>
    <row r="51" spans="11:17" x14ac:dyDescent="0.45">
      <c r="O51" s="1"/>
      <c r="P51" s="1"/>
      <c r="Q51" s="1"/>
    </row>
    <row r="52" spans="11:17" x14ac:dyDescent="0.45">
      <c r="O52" s="1"/>
      <c r="P52" s="1"/>
      <c r="Q52" s="1"/>
    </row>
    <row r="53" spans="11:17" x14ac:dyDescent="0.45">
      <c r="O53" s="1"/>
      <c r="P53" s="1"/>
      <c r="Q53" s="1"/>
    </row>
    <row r="54" spans="11:17" x14ac:dyDescent="0.45">
      <c r="O54" s="1"/>
      <c r="P54" s="1"/>
      <c r="Q54" s="1"/>
    </row>
    <row r="55" spans="11:17" x14ac:dyDescent="0.45">
      <c r="O55" s="1"/>
      <c r="P55" s="1"/>
      <c r="Q55" s="1"/>
    </row>
    <row r="56" spans="11:17" x14ac:dyDescent="0.45">
      <c r="O56" s="1"/>
      <c r="P56" s="1"/>
      <c r="Q56" s="1"/>
    </row>
    <row r="57" spans="11:17" x14ac:dyDescent="0.45">
      <c r="K57" s="122"/>
      <c r="O57" s="1"/>
      <c r="P57" s="1"/>
      <c r="Q57" s="1"/>
    </row>
    <row r="58" spans="11:17" x14ac:dyDescent="0.45">
      <c r="O58" s="1"/>
      <c r="P58" s="1"/>
      <c r="Q58" s="1"/>
    </row>
    <row r="59" spans="11:17" x14ac:dyDescent="0.45">
      <c r="O59" s="1"/>
      <c r="P59" s="1"/>
      <c r="Q59" s="1"/>
    </row>
    <row r="60" spans="11:17" x14ac:dyDescent="0.45">
      <c r="O60" s="1"/>
      <c r="P60" s="1"/>
      <c r="Q60" s="1"/>
    </row>
    <row r="61" spans="11:17" x14ac:dyDescent="0.45">
      <c r="K61" s="122"/>
      <c r="O61" s="1"/>
      <c r="P61" s="1"/>
      <c r="Q61" s="1"/>
    </row>
    <row r="62" spans="11:17" x14ac:dyDescent="0.45">
      <c r="O62" s="1"/>
      <c r="P62" s="1"/>
      <c r="Q62" s="1"/>
    </row>
    <row r="63" spans="11:17" x14ac:dyDescent="0.45">
      <c r="K63" s="122"/>
      <c r="O63" s="1"/>
      <c r="P63" s="1"/>
      <c r="Q63" s="1"/>
    </row>
    <row r="64" spans="11:17" x14ac:dyDescent="0.45">
      <c r="O64" s="1"/>
      <c r="P64" s="1"/>
      <c r="Q64" s="1"/>
    </row>
    <row r="65" spans="11:17" x14ac:dyDescent="0.45">
      <c r="K65" s="122"/>
      <c r="O65" s="1"/>
      <c r="P65" s="1"/>
      <c r="Q65" s="1"/>
    </row>
    <row r="66" spans="11:17" x14ac:dyDescent="0.45">
      <c r="O66" s="1"/>
      <c r="P66" s="1"/>
      <c r="Q66" s="1"/>
    </row>
    <row r="67" spans="11:17" x14ac:dyDescent="0.45">
      <c r="O67" s="1"/>
      <c r="P67" s="1"/>
      <c r="Q67" s="1"/>
    </row>
    <row r="68" spans="11:17" x14ac:dyDescent="0.45">
      <c r="O68" s="1"/>
      <c r="P68" s="1"/>
      <c r="Q68" s="1"/>
    </row>
    <row r="69" spans="11:17" x14ac:dyDescent="0.45">
      <c r="O69" s="138" t="s">
        <v>383</v>
      </c>
      <c r="Q69" s="138" t="s">
        <v>383</v>
      </c>
    </row>
    <row r="70" spans="11:17" x14ac:dyDescent="0.45">
      <c r="O70" s="138" t="s">
        <v>383</v>
      </c>
      <c r="Q70" s="138" t="s">
        <v>383</v>
      </c>
    </row>
    <row r="71" spans="11:17" x14ac:dyDescent="0.45">
      <c r="O71" s="138" t="s">
        <v>383</v>
      </c>
      <c r="Q71" s="138" t="s">
        <v>383</v>
      </c>
    </row>
    <row r="72" spans="11:17" x14ac:dyDescent="0.45">
      <c r="O72" s="138" t="s">
        <v>383</v>
      </c>
      <c r="Q72" s="138" t="s">
        <v>383</v>
      </c>
    </row>
    <row r="73" spans="11:17" x14ac:dyDescent="0.45">
      <c r="K73" s="122"/>
      <c r="O73" s="138" t="s">
        <v>383</v>
      </c>
      <c r="Q73" s="138" t="s">
        <v>383</v>
      </c>
    </row>
    <row r="74" spans="11:17" x14ac:dyDescent="0.45">
      <c r="O74" s="138" t="s">
        <v>383</v>
      </c>
      <c r="Q74" s="138" t="s">
        <v>383</v>
      </c>
    </row>
    <row r="75" spans="11:17" x14ac:dyDescent="0.45">
      <c r="O75" s="138" t="s">
        <v>383</v>
      </c>
      <c r="Q75" s="138" t="s">
        <v>383</v>
      </c>
    </row>
    <row r="76" spans="11:17" x14ac:dyDescent="0.45">
      <c r="O76" s="138" t="s">
        <v>383</v>
      </c>
      <c r="Q76" s="138" t="s">
        <v>383</v>
      </c>
    </row>
    <row r="77" spans="11:17" x14ac:dyDescent="0.45">
      <c r="O77" s="138" t="s">
        <v>383</v>
      </c>
      <c r="Q77" s="138" t="s">
        <v>383</v>
      </c>
    </row>
    <row r="78" spans="11:17" x14ac:dyDescent="0.45">
      <c r="O78" s="138" t="s">
        <v>383</v>
      </c>
      <c r="Q78" s="138" t="s">
        <v>383</v>
      </c>
    </row>
    <row r="79" spans="11:17" x14ac:dyDescent="0.45">
      <c r="O79" s="138" t="s">
        <v>383</v>
      </c>
      <c r="Q79" s="138" t="s">
        <v>383</v>
      </c>
    </row>
    <row r="80" spans="11:17" x14ac:dyDescent="0.45">
      <c r="O80" s="138" t="s">
        <v>383</v>
      </c>
      <c r="Q80" s="138" t="s">
        <v>383</v>
      </c>
    </row>
    <row r="81" spans="12:17" x14ac:dyDescent="0.45">
      <c r="O81" s="138" t="s">
        <v>383</v>
      </c>
      <c r="Q81" s="138" t="s">
        <v>383</v>
      </c>
    </row>
    <row r="82" spans="12:17" x14ac:dyDescent="0.45">
      <c r="O82" s="138" t="s">
        <v>383</v>
      </c>
      <c r="Q82" s="138" t="s">
        <v>383</v>
      </c>
    </row>
    <row r="83" spans="12:17" x14ac:dyDescent="0.45">
      <c r="L83" s="122"/>
      <c r="O83" s="138" t="s">
        <v>383</v>
      </c>
      <c r="Q83" s="138" t="s">
        <v>383</v>
      </c>
    </row>
    <row r="84" spans="12:17" x14ac:dyDescent="0.45">
      <c r="O84" s="138" t="s">
        <v>383</v>
      </c>
      <c r="Q84" s="138" t="s">
        <v>383</v>
      </c>
    </row>
    <row r="85" spans="12:17" x14ac:dyDescent="0.45">
      <c r="O85" s="138" t="s">
        <v>383</v>
      </c>
      <c r="Q85" s="138" t="s">
        <v>383</v>
      </c>
    </row>
    <row r="86" spans="12:17" x14ac:dyDescent="0.45">
      <c r="O86" s="138" t="s">
        <v>383</v>
      </c>
      <c r="Q86" s="138" t="s">
        <v>383</v>
      </c>
    </row>
    <row r="87" spans="12:17" x14ac:dyDescent="0.45">
      <c r="O87" s="138" t="s">
        <v>383</v>
      </c>
      <c r="Q87" s="138" t="s">
        <v>383</v>
      </c>
    </row>
    <row r="88" spans="12:17" x14ac:dyDescent="0.45">
      <c r="L88" s="122"/>
      <c r="O88" s="138" t="s">
        <v>383</v>
      </c>
      <c r="Q88" s="138" t="s">
        <v>383</v>
      </c>
    </row>
    <row r="89" spans="12:17" x14ac:dyDescent="0.45">
      <c r="O89" s="138" t="s">
        <v>383</v>
      </c>
      <c r="Q89" s="138" t="s">
        <v>383</v>
      </c>
    </row>
    <row r="90" spans="12:17" x14ac:dyDescent="0.45">
      <c r="O90" s="138" t="s">
        <v>383</v>
      </c>
      <c r="Q90" s="138" t="s">
        <v>383</v>
      </c>
    </row>
    <row r="91" spans="12:17" x14ac:dyDescent="0.45">
      <c r="O91" s="138" t="s">
        <v>383</v>
      </c>
      <c r="Q91" s="138" t="s">
        <v>383</v>
      </c>
    </row>
    <row r="92" spans="12:17" x14ac:dyDescent="0.45">
      <c r="L92" s="122"/>
      <c r="O92" s="138" t="s">
        <v>383</v>
      </c>
      <c r="Q92" s="138" t="s">
        <v>383</v>
      </c>
    </row>
    <row r="93" spans="12:17" x14ac:dyDescent="0.45">
      <c r="O93" s="138" t="s">
        <v>383</v>
      </c>
      <c r="Q93" s="138" t="s">
        <v>383</v>
      </c>
    </row>
    <row r="94" spans="12:17" x14ac:dyDescent="0.45">
      <c r="O94" s="138" t="s">
        <v>383</v>
      </c>
      <c r="Q94" s="138" t="s">
        <v>383</v>
      </c>
    </row>
    <row r="95" spans="12:17" x14ac:dyDescent="0.45">
      <c r="O95" s="138" t="s">
        <v>383</v>
      </c>
      <c r="Q95" s="138" t="s">
        <v>383</v>
      </c>
    </row>
    <row r="96" spans="12:17" x14ac:dyDescent="0.45">
      <c r="O96" s="138" t="s">
        <v>383</v>
      </c>
      <c r="Q96" s="138" t="s">
        <v>383</v>
      </c>
    </row>
    <row r="97" spans="11:17" x14ac:dyDescent="0.45">
      <c r="O97" s="138" t="s">
        <v>383</v>
      </c>
      <c r="Q97" s="138" t="s">
        <v>383</v>
      </c>
    </row>
    <row r="98" spans="11:17" x14ac:dyDescent="0.45">
      <c r="O98" s="138" t="s">
        <v>383</v>
      </c>
      <c r="Q98" s="138" t="s">
        <v>383</v>
      </c>
    </row>
    <row r="99" spans="11:17" x14ac:dyDescent="0.45">
      <c r="O99" s="138" t="s">
        <v>383</v>
      </c>
      <c r="Q99" s="138" t="s">
        <v>383</v>
      </c>
    </row>
    <row r="100" spans="11:17" x14ac:dyDescent="0.45">
      <c r="O100" s="138" t="s">
        <v>383</v>
      </c>
      <c r="Q100" s="138" t="s">
        <v>383</v>
      </c>
    </row>
    <row r="101" spans="11:17" x14ac:dyDescent="0.45">
      <c r="O101" s="138" t="s">
        <v>383</v>
      </c>
      <c r="Q101" s="138" t="s">
        <v>383</v>
      </c>
    </row>
    <row r="102" spans="11:17" x14ac:dyDescent="0.45">
      <c r="O102" s="138" t="s">
        <v>383</v>
      </c>
      <c r="Q102" s="138" t="s">
        <v>383</v>
      </c>
    </row>
    <row r="103" spans="11:17" x14ac:dyDescent="0.45">
      <c r="K103" s="122"/>
      <c r="O103" s="138" t="s">
        <v>383</v>
      </c>
      <c r="Q103" s="138" t="s">
        <v>383</v>
      </c>
    </row>
    <row r="104" spans="11:17" x14ac:dyDescent="0.45">
      <c r="O104" s="138" t="s">
        <v>383</v>
      </c>
      <c r="Q104" s="138" t="s">
        <v>383</v>
      </c>
    </row>
    <row r="105" spans="11:17" x14ac:dyDescent="0.45">
      <c r="O105" s="138" t="s">
        <v>383</v>
      </c>
      <c r="Q105" s="138" t="s">
        <v>383</v>
      </c>
    </row>
    <row r="106" spans="11:17" x14ac:dyDescent="0.45">
      <c r="O106" s="138" t="s">
        <v>383</v>
      </c>
      <c r="Q106" s="138" t="s">
        <v>383</v>
      </c>
    </row>
    <row r="107" spans="11:17" x14ac:dyDescent="0.45">
      <c r="O107" s="138" t="s">
        <v>383</v>
      </c>
      <c r="Q107" s="138" t="s">
        <v>383</v>
      </c>
    </row>
    <row r="108" spans="11:17" x14ac:dyDescent="0.45">
      <c r="O108" s="138" t="s">
        <v>383</v>
      </c>
      <c r="Q108" s="138" t="s">
        <v>383</v>
      </c>
    </row>
    <row r="109" spans="11:17" x14ac:dyDescent="0.45">
      <c r="K109" s="122"/>
      <c r="O109" s="138" t="s">
        <v>383</v>
      </c>
      <c r="Q109" s="138" t="s">
        <v>383</v>
      </c>
    </row>
    <row r="110" spans="11:17" x14ac:dyDescent="0.45">
      <c r="O110" s="138" t="s">
        <v>383</v>
      </c>
      <c r="Q110" s="138" t="s">
        <v>383</v>
      </c>
    </row>
    <row r="111" spans="11:17" x14ac:dyDescent="0.45">
      <c r="O111" s="138" t="s">
        <v>383</v>
      </c>
      <c r="Q111" s="138" t="s">
        <v>383</v>
      </c>
    </row>
    <row r="112" spans="11:17" x14ac:dyDescent="0.45">
      <c r="O112" s="138" t="s">
        <v>383</v>
      </c>
      <c r="Q112" s="138" t="s">
        <v>383</v>
      </c>
    </row>
    <row r="113" spans="11:17" x14ac:dyDescent="0.45">
      <c r="O113" s="138" t="s">
        <v>383</v>
      </c>
      <c r="Q113" s="138" t="s">
        <v>383</v>
      </c>
    </row>
    <row r="114" spans="11:17" x14ac:dyDescent="0.45">
      <c r="O114" s="138" t="s">
        <v>383</v>
      </c>
      <c r="Q114" s="138" t="s">
        <v>383</v>
      </c>
    </row>
    <row r="115" spans="11:17" x14ac:dyDescent="0.45">
      <c r="O115" s="138" t="s">
        <v>383</v>
      </c>
      <c r="Q115" s="138" t="s">
        <v>383</v>
      </c>
    </row>
    <row r="116" spans="11:17" x14ac:dyDescent="0.45">
      <c r="O116" s="138" t="s">
        <v>383</v>
      </c>
      <c r="Q116" s="138" t="s">
        <v>383</v>
      </c>
    </row>
    <row r="117" spans="11:17" x14ac:dyDescent="0.45">
      <c r="O117" s="138" t="s">
        <v>383</v>
      </c>
      <c r="Q117" s="138" t="s">
        <v>383</v>
      </c>
    </row>
    <row r="118" spans="11:17" x14ac:dyDescent="0.45">
      <c r="O118" s="138" t="s">
        <v>383</v>
      </c>
      <c r="Q118" s="138" t="s">
        <v>383</v>
      </c>
    </row>
    <row r="119" spans="11:17" x14ac:dyDescent="0.45">
      <c r="O119" s="138" t="s">
        <v>383</v>
      </c>
      <c r="Q119" s="138" t="s">
        <v>383</v>
      </c>
    </row>
    <row r="120" spans="11:17" x14ac:dyDescent="0.45">
      <c r="O120" s="138" t="s">
        <v>383</v>
      </c>
      <c r="Q120" s="138" t="s">
        <v>383</v>
      </c>
    </row>
    <row r="121" spans="11:17" x14ac:dyDescent="0.45">
      <c r="K121" s="122"/>
      <c r="O121" s="138" t="s">
        <v>383</v>
      </c>
      <c r="Q121" s="138" t="s">
        <v>383</v>
      </c>
    </row>
    <row r="122" spans="11:17" x14ac:dyDescent="0.45">
      <c r="O122" s="138" t="s">
        <v>383</v>
      </c>
      <c r="Q122" s="138" t="s">
        <v>383</v>
      </c>
    </row>
    <row r="123" spans="11:17" x14ac:dyDescent="0.45">
      <c r="O123" s="138" t="s">
        <v>383</v>
      </c>
      <c r="Q123" s="138" t="s">
        <v>383</v>
      </c>
    </row>
    <row r="124" spans="11:17" x14ac:dyDescent="0.45">
      <c r="O124" s="138" t="s">
        <v>383</v>
      </c>
      <c r="Q124" s="138" t="s">
        <v>383</v>
      </c>
    </row>
    <row r="125" spans="11:17" x14ac:dyDescent="0.45">
      <c r="O125" s="138" t="s">
        <v>383</v>
      </c>
      <c r="Q125" s="138" t="s">
        <v>383</v>
      </c>
    </row>
    <row r="126" spans="11:17" x14ac:dyDescent="0.45">
      <c r="O126" s="138" t="s">
        <v>383</v>
      </c>
      <c r="Q126" s="138" t="s">
        <v>383</v>
      </c>
    </row>
    <row r="127" spans="11:17" x14ac:dyDescent="0.45">
      <c r="O127" s="138" t="s">
        <v>383</v>
      </c>
      <c r="Q127" s="138" t="s">
        <v>383</v>
      </c>
    </row>
    <row r="128" spans="11:17" x14ac:dyDescent="0.45">
      <c r="O128" s="138" t="s">
        <v>383</v>
      </c>
      <c r="Q128" s="138" t="s">
        <v>383</v>
      </c>
    </row>
    <row r="129" spans="11:17" x14ac:dyDescent="0.45">
      <c r="O129" s="138" t="s">
        <v>383</v>
      </c>
      <c r="Q129" s="138" t="s">
        <v>383</v>
      </c>
    </row>
    <row r="130" spans="11:17" x14ac:dyDescent="0.45">
      <c r="O130" s="138" t="s">
        <v>383</v>
      </c>
      <c r="Q130" s="138" t="s">
        <v>383</v>
      </c>
    </row>
    <row r="131" spans="11:17" x14ac:dyDescent="0.45">
      <c r="O131" s="138" t="s">
        <v>383</v>
      </c>
      <c r="Q131" s="138" t="s">
        <v>383</v>
      </c>
    </row>
    <row r="132" spans="11:17" x14ac:dyDescent="0.45">
      <c r="L132" s="122"/>
      <c r="O132" s="138" t="s">
        <v>383</v>
      </c>
      <c r="Q132" s="138" t="s">
        <v>383</v>
      </c>
    </row>
    <row r="133" spans="11:17" x14ac:dyDescent="0.45">
      <c r="O133" s="138" t="s">
        <v>383</v>
      </c>
      <c r="Q133" s="138" t="s">
        <v>383</v>
      </c>
    </row>
    <row r="134" spans="11:17" x14ac:dyDescent="0.45">
      <c r="K134" s="122"/>
      <c r="L134" s="122"/>
      <c r="O134" s="138" t="s">
        <v>383</v>
      </c>
      <c r="Q134" s="138" t="s">
        <v>383</v>
      </c>
    </row>
    <row r="135" spans="11:17" x14ac:dyDescent="0.45">
      <c r="O135" s="138" t="s">
        <v>383</v>
      </c>
      <c r="Q135" s="138" t="s">
        <v>383</v>
      </c>
    </row>
    <row r="136" spans="11:17" x14ac:dyDescent="0.45">
      <c r="O136" s="138" t="s">
        <v>383</v>
      </c>
      <c r="Q136" s="138" t="s">
        <v>383</v>
      </c>
    </row>
    <row r="137" spans="11:17" x14ac:dyDescent="0.45">
      <c r="O137" s="138" t="s">
        <v>383</v>
      </c>
      <c r="Q137" s="138" t="s">
        <v>383</v>
      </c>
    </row>
    <row r="138" spans="11:17" x14ac:dyDescent="0.45">
      <c r="O138" s="138" t="s">
        <v>383</v>
      </c>
      <c r="Q138" s="138" t="s">
        <v>383</v>
      </c>
    </row>
    <row r="139" spans="11:17" x14ac:dyDescent="0.45">
      <c r="O139" s="138" t="s">
        <v>383</v>
      </c>
      <c r="Q139" s="138" t="s">
        <v>383</v>
      </c>
    </row>
    <row r="140" spans="11:17" x14ac:dyDescent="0.45">
      <c r="L140" s="122"/>
      <c r="O140" s="138" t="s">
        <v>383</v>
      </c>
      <c r="Q140" s="138" t="s">
        <v>383</v>
      </c>
    </row>
    <row r="141" spans="11:17" x14ac:dyDescent="0.45">
      <c r="O141" s="138" t="s">
        <v>383</v>
      </c>
      <c r="Q141" s="138" t="s">
        <v>383</v>
      </c>
    </row>
    <row r="142" spans="11:17" x14ac:dyDescent="0.45">
      <c r="O142" s="138" t="s">
        <v>383</v>
      </c>
      <c r="Q142" s="138" t="s">
        <v>383</v>
      </c>
    </row>
    <row r="143" spans="11:17" x14ac:dyDescent="0.45">
      <c r="K143" s="122"/>
      <c r="O143" s="138" t="s">
        <v>383</v>
      </c>
      <c r="Q143" s="138" t="s">
        <v>383</v>
      </c>
    </row>
    <row r="144" spans="11:17" x14ac:dyDescent="0.45">
      <c r="O144" s="138" t="s">
        <v>383</v>
      </c>
      <c r="Q144" s="138" t="s">
        <v>383</v>
      </c>
    </row>
    <row r="145" spans="11:17" x14ac:dyDescent="0.45">
      <c r="L145" s="122"/>
      <c r="O145" s="138" t="s">
        <v>383</v>
      </c>
      <c r="Q145" s="138" t="s">
        <v>383</v>
      </c>
    </row>
    <row r="146" spans="11:17" x14ac:dyDescent="0.45">
      <c r="O146" s="138" t="s">
        <v>383</v>
      </c>
      <c r="Q146" s="138" t="s">
        <v>383</v>
      </c>
    </row>
    <row r="147" spans="11:17" x14ac:dyDescent="0.45">
      <c r="K147" s="122"/>
      <c r="O147" s="138" t="s">
        <v>383</v>
      </c>
      <c r="Q147" s="138" t="s">
        <v>383</v>
      </c>
    </row>
    <row r="148" spans="11:17" x14ac:dyDescent="0.45">
      <c r="O148" s="138" t="s">
        <v>383</v>
      </c>
      <c r="Q148" s="138" t="s">
        <v>383</v>
      </c>
    </row>
    <row r="149" spans="11:17" x14ac:dyDescent="0.45">
      <c r="O149" s="138" t="s">
        <v>383</v>
      </c>
      <c r="Q149" s="138" t="s">
        <v>383</v>
      </c>
    </row>
    <row r="150" spans="11:17" x14ac:dyDescent="0.45">
      <c r="O150" s="138" t="s">
        <v>383</v>
      </c>
      <c r="Q150" s="138" t="s">
        <v>383</v>
      </c>
    </row>
    <row r="151" spans="11:17" x14ac:dyDescent="0.45">
      <c r="O151" s="138" t="s">
        <v>383</v>
      </c>
      <c r="Q151" s="138" t="s">
        <v>383</v>
      </c>
    </row>
    <row r="152" spans="11:17" x14ac:dyDescent="0.45">
      <c r="O152" s="138" t="s">
        <v>383</v>
      </c>
      <c r="Q152" s="138" t="s">
        <v>383</v>
      </c>
    </row>
    <row r="153" spans="11:17" x14ac:dyDescent="0.45">
      <c r="O153" s="138" t="s">
        <v>383</v>
      </c>
      <c r="Q153" s="138" t="s">
        <v>383</v>
      </c>
    </row>
    <row r="154" spans="11:17" x14ac:dyDescent="0.45">
      <c r="O154" s="138" t="s">
        <v>383</v>
      </c>
      <c r="Q154" s="138" t="s">
        <v>383</v>
      </c>
    </row>
    <row r="155" spans="11:17" x14ac:dyDescent="0.45">
      <c r="O155" s="138" t="s">
        <v>383</v>
      </c>
      <c r="Q155" s="138" t="s">
        <v>383</v>
      </c>
    </row>
    <row r="156" spans="11:17" x14ac:dyDescent="0.45">
      <c r="O156" s="138" t="s">
        <v>383</v>
      </c>
      <c r="Q156" s="138" t="s">
        <v>383</v>
      </c>
    </row>
    <row r="157" spans="11:17" x14ac:dyDescent="0.45">
      <c r="O157" s="138" t="s">
        <v>383</v>
      </c>
      <c r="Q157" s="138" t="s">
        <v>383</v>
      </c>
    </row>
    <row r="158" spans="11:17" x14ac:dyDescent="0.45">
      <c r="O158" s="138" t="s">
        <v>383</v>
      </c>
      <c r="Q158" s="138" t="s">
        <v>383</v>
      </c>
    </row>
    <row r="159" spans="11:17" x14ac:dyDescent="0.45">
      <c r="K159" s="122"/>
      <c r="O159" s="138" t="s">
        <v>383</v>
      </c>
      <c r="Q159" s="138" t="s">
        <v>383</v>
      </c>
    </row>
    <row r="160" spans="11:17" x14ac:dyDescent="0.45">
      <c r="O160" s="138" t="s">
        <v>383</v>
      </c>
      <c r="Q160" s="138" t="s">
        <v>383</v>
      </c>
    </row>
    <row r="161" spans="11:17" x14ac:dyDescent="0.45">
      <c r="O161" s="138" t="s">
        <v>383</v>
      </c>
      <c r="Q161" s="138" t="s">
        <v>383</v>
      </c>
    </row>
    <row r="162" spans="11:17" x14ac:dyDescent="0.45">
      <c r="O162" s="138" t="s">
        <v>383</v>
      </c>
      <c r="Q162" s="138" t="s">
        <v>383</v>
      </c>
    </row>
    <row r="163" spans="11:17" x14ac:dyDescent="0.45">
      <c r="O163" s="138" t="s">
        <v>383</v>
      </c>
      <c r="Q163" s="138" t="s">
        <v>383</v>
      </c>
    </row>
    <row r="164" spans="11:17" x14ac:dyDescent="0.45">
      <c r="O164" s="138" t="s">
        <v>383</v>
      </c>
      <c r="Q164" s="138" t="s">
        <v>383</v>
      </c>
    </row>
    <row r="165" spans="11:17" x14ac:dyDescent="0.45">
      <c r="O165" s="138" t="s">
        <v>383</v>
      </c>
      <c r="Q165" s="138" t="s">
        <v>383</v>
      </c>
    </row>
    <row r="166" spans="11:17" x14ac:dyDescent="0.45">
      <c r="K166" s="122"/>
      <c r="O166" s="138" t="s">
        <v>383</v>
      </c>
      <c r="Q166" s="138" t="s">
        <v>383</v>
      </c>
    </row>
    <row r="167" spans="11:17" x14ac:dyDescent="0.45">
      <c r="O167" s="138" t="s">
        <v>383</v>
      </c>
      <c r="Q167" s="138" t="s">
        <v>383</v>
      </c>
    </row>
    <row r="168" spans="11:17" x14ac:dyDescent="0.45">
      <c r="O168" s="138" t="s">
        <v>383</v>
      </c>
      <c r="Q168" s="138" t="s">
        <v>383</v>
      </c>
    </row>
    <row r="169" spans="11:17" x14ac:dyDescent="0.45">
      <c r="O169" s="138" t="s">
        <v>383</v>
      </c>
      <c r="Q169" s="138" t="s">
        <v>383</v>
      </c>
    </row>
    <row r="170" spans="11:17" x14ac:dyDescent="0.45">
      <c r="O170" s="138" t="s">
        <v>383</v>
      </c>
      <c r="Q170" s="138" t="s">
        <v>383</v>
      </c>
    </row>
    <row r="171" spans="11:17" x14ac:dyDescent="0.45">
      <c r="O171" s="138" t="s">
        <v>383</v>
      </c>
      <c r="Q171" s="138" t="s">
        <v>383</v>
      </c>
    </row>
    <row r="172" spans="11:17" x14ac:dyDescent="0.45">
      <c r="O172" s="138" t="s">
        <v>383</v>
      </c>
      <c r="Q172" s="138" t="s">
        <v>383</v>
      </c>
    </row>
    <row r="173" spans="11:17" x14ac:dyDescent="0.45">
      <c r="K173" s="122"/>
      <c r="O173" s="138" t="s">
        <v>383</v>
      </c>
      <c r="Q173" s="138" t="s">
        <v>383</v>
      </c>
    </row>
    <row r="174" spans="11:17" x14ac:dyDescent="0.45">
      <c r="O174" s="138" t="s">
        <v>383</v>
      </c>
      <c r="Q174" s="138" t="s">
        <v>383</v>
      </c>
    </row>
    <row r="175" spans="11:17" x14ac:dyDescent="0.45">
      <c r="O175" s="138" t="s">
        <v>383</v>
      </c>
      <c r="Q175" s="138" t="s">
        <v>383</v>
      </c>
    </row>
    <row r="176" spans="11:17" x14ac:dyDescent="0.45">
      <c r="O176" s="138" t="s">
        <v>383</v>
      </c>
      <c r="Q176" s="138" t="s">
        <v>383</v>
      </c>
    </row>
  </sheetData>
  <mergeCells count="3">
    <mergeCell ref="C6:E6"/>
    <mergeCell ref="F6:H6"/>
    <mergeCell ref="J10:K1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Note</vt:lpstr>
      <vt:lpstr>Portfolio</vt:lpstr>
      <vt:lpstr>Portfolio Track-Record</vt:lpstr>
      <vt:lpstr>Sharpe Ratio</vt:lpstr>
      <vt:lpstr>Risk Free Rate</vt:lpstr>
      <vt:lpstr>Track Record Monthly</vt:lpstr>
      <vt:lpstr>P&amp;L by country</vt:lpstr>
      <vt:lpstr>P&amp;L study</vt:lpstr>
      <vt:lpstr>Kelly Criterion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markj</cp:lastModifiedBy>
  <dcterms:created xsi:type="dcterms:W3CDTF">2019-09-16T10:38:27Z</dcterms:created>
  <dcterms:modified xsi:type="dcterms:W3CDTF">2021-10-23T12:35:22Z</dcterms:modified>
</cp:coreProperties>
</file>