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user\Desktop\Videos Mentoring\Videos Excel\"/>
    </mc:Choice>
  </mc:AlternateContent>
  <xr:revisionPtr revIDLastSave="0" documentId="13_ncr:1_{79CCA25F-92DB-4757-B5EC-E734B7B85CE2}" xr6:coauthVersionLast="44" xr6:coauthVersionMax="44" xr10:uidLastSave="{00000000-0000-0000-0000-000000000000}"/>
  <bookViews>
    <workbookView xWindow="25080" yWindow="-120" windowWidth="25440" windowHeight="15990" xr2:uid="{00000000-000D-0000-FFFF-FFFF00000000}"/>
  </bookViews>
  <sheets>
    <sheet name="Note" sheetId="4" r:id="rId1"/>
    <sheet name="Pricer" sheetId="1" r:id="rId2"/>
    <sheet name="Disclaimer" sheetId="3" r:id="rId3"/>
  </sheets>
  <functionGroups builtInGroupCount="19"/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Pricer!$D$17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1" i="1" l="1"/>
  <c r="D36" i="1" l="1"/>
  <c r="H36" i="1" s="1"/>
  <c r="G11" i="1"/>
  <c r="N6" i="1"/>
  <c r="N5" i="1"/>
  <c r="J31" i="1"/>
  <c r="D48" i="1"/>
  <c r="E36" i="1" l="1"/>
  <c r="D39" i="1"/>
  <c r="H39" i="1" s="1"/>
  <c r="D38" i="1"/>
  <c r="D37" i="1"/>
  <c r="H37" i="1" s="1"/>
  <c r="G36" i="1"/>
  <c r="F36" i="1"/>
  <c r="C46" i="1"/>
  <c r="E46" i="1" s="1"/>
  <c r="D24" i="1" l="1"/>
  <c r="E39" i="1"/>
  <c r="G39" i="1"/>
  <c r="F39" i="1"/>
  <c r="G37" i="1"/>
  <c r="E37" i="1"/>
  <c r="F37" i="1"/>
  <c r="F38" i="1"/>
  <c r="H38" i="1"/>
  <c r="G38" i="1"/>
  <c r="E38" i="1"/>
  <c r="K24" i="1"/>
  <c r="D46" i="1"/>
  <c r="K18" i="1" s="1"/>
  <c r="D18" i="1" l="1"/>
</calcChain>
</file>

<file path=xl/sharedStrings.xml><?xml version="1.0" encoding="utf-8"?>
<sst xmlns="http://schemas.openxmlformats.org/spreadsheetml/2006/main" count="74" uniqueCount="62">
  <si>
    <t>Spot Price</t>
  </si>
  <si>
    <t>S</t>
  </si>
  <si>
    <t>Strike Price</t>
  </si>
  <si>
    <t>X</t>
  </si>
  <si>
    <t>N -"dash"</t>
  </si>
  <si>
    <t>d1</t>
  </si>
  <si>
    <t>d2</t>
  </si>
  <si>
    <t>(d1)</t>
  </si>
  <si>
    <t>Interest Rate</t>
  </si>
  <si>
    <t>r</t>
  </si>
  <si>
    <t>Dividend Yield</t>
  </si>
  <si>
    <t>q</t>
  </si>
  <si>
    <t>Expiration Date</t>
  </si>
  <si>
    <t>t</t>
  </si>
  <si>
    <t>CALL</t>
  </si>
  <si>
    <t>PUT</t>
  </si>
  <si>
    <t>Theoretical Call Price:</t>
  </si>
  <si>
    <t>Theoretical Put Price:</t>
  </si>
  <si>
    <t>Volatility</t>
  </si>
  <si>
    <t>Call Delta</t>
  </si>
  <si>
    <t>Put Delta</t>
  </si>
  <si>
    <t>Call = Stock - Strike + Put</t>
  </si>
  <si>
    <t>Put = Call - Stock + Strike</t>
  </si>
  <si>
    <t>Call Market Price:</t>
  </si>
  <si>
    <t>Put Market Price</t>
  </si>
  <si>
    <t>https://www.treasury.gov/resource-center/data-chart-center/interest-rates/Pages/TextView.aspx?data=yield</t>
  </si>
  <si>
    <t>Stock Yahoo Ticker</t>
  </si>
  <si>
    <t>http://www.cboe.com/delayedquote/quote-table</t>
  </si>
  <si>
    <t>http://finance.yahoo.com/</t>
  </si>
  <si>
    <t>t:</t>
  </si>
  <si>
    <t>Websites:</t>
  </si>
  <si>
    <t>Data to input</t>
  </si>
  <si>
    <t>Calculated data</t>
  </si>
  <si>
    <t>Disclaimer:</t>
  </si>
  <si>
    <t>Theta</t>
  </si>
  <si>
    <t>Gamma</t>
  </si>
  <si>
    <t>Vega</t>
  </si>
  <si>
    <t>Rho</t>
  </si>
  <si>
    <t>Implied Volatility</t>
  </si>
  <si>
    <t>Annual</t>
  </si>
  <si>
    <t>Monthly</t>
  </si>
  <si>
    <t>Weekly</t>
  </si>
  <si>
    <t>Daily</t>
  </si>
  <si>
    <t xml:space="preserve"> -</t>
  </si>
  <si>
    <t xml:space="preserve"> + </t>
  </si>
  <si>
    <t>1 Std Dev or 68%</t>
  </si>
  <si>
    <t>2 Std Dev or 95%</t>
  </si>
  <si>
    <t>www.dividend.com</t>
  </si>
  <si>
    <t>Nb of days before expiry</t>
  </si>
  <si>
    <t>© 2019, Gregoire Dupont. All Rights Reserved.</t>
  </si>
  <si>
    <t>BUD</t>
  </si>
  <si>
    <t>© GREGOIRE EQUITIES LIMITED 2019</t>
  </si>
  <si>
    <r>
      <t>This document is strictly private and confidential</t>
    </r>
    <r>
      <rPr>
        <sz val="11"/>
        <color theme="1"/>
        <rFont val="Calibri"/>
        <family val="2"/>
        <scheme val="minor"/>
      </rPr>
      <t> and may not be copied nor its contents passed to any third party without the prior written approval of Gregoire Equities Limited. </t>
    </r>
  </si>
  <si>
    <t>Option Pricer</t>
  </si>
  <si>
    <t>https://finance.yahoo.com/quote/?ql=1&amp;p=</t>
  </si>
  <si>
    <t>https://finance.yahoo.com/quote//options?p=</t>
  </si>
  <si>
    <t>WEBSITES</t>
  </si>
  <si>
    <t>DATA</t>
  </si>
  <si>
    <t>Quote Options</t>
  </si>
  <si>
    <t>Stock Summary</t>
  </si>
  <si>
    <t>Stock Options</t>
  </si>
  <si>
    <t>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</si>
</sst>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0" fillId="2" borderId="0" xfId="0" applyFill="1"/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/>
    <xf numFmtId="0" fontId="0" fillId="2" borderId="10" xfId="0" applyFill="1" applyBorder="1"/>
    <xf numFmtId="0" fontId="0" fillId="2" borderId="15" xfId="0" applyFill="1" applyBorder="1"/>
    <xf numFmtId="2" fontId="0" fillId="2" borderId="0" xfId="0" applyNumberFormat="1" applyFill="1"/>
    <xf numFmtId="0" fontId="4" fillId="2" borderId="0" xfId="1" applyFill="1"/>
    <xf numFmtId="0" fontId="0" fillId="4" borderId="0" xfId="0" applyFill="1"/>
    <xf numFmtId="0" fontId="0" fillId="2" borderId="4" xfId="0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10" fontId="1" fillId="3" borderId="13" xfId="0" applyNumberFormat="1" applyFont="1" applyFill="1" applyBorder="1" applyAlignment="1">
      <alignment horizontal="center"/>
    </xf>
    <xf numFmtId="14" fontId="2" fillId="3" borderId="16" xfId="0" applyNumberFormat="1" applyFont="1" applyFill="1" applyBorder="1" applyAlignment="1">
      <alignment horizontal="center"/>
    </xf>
    <xf numFmtId="0" fontId="1" fillId="2" borderId="0" xfId="0" applyFont="1" applyFill="1"/>
    <xf numFmtId="0" fontId="0" fillId="3" borderId="0" xfId="0" applyFill="1" applyAlignment="1">
      <alignment horizontal="center"/>
    </xf>
    <xf numFmtId="2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0" fontId="0" fillId="3" borderId="18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19" xfId="0" applyFill="1" applyBorder="1"/>
    <xf numFmtId="0" fontId="0" fillId="2" borderId="20" xfId="0" applyFill="1" applyBorder="1"/>
    <xf numFmtId="0" fontId="0" fillId="2" borderId="5" xfId="0" applyFill="1" applyBorder="1"/>
    <xf numFmtId="0" fontId="0" fillId="2" borderId="9" xfId="0" applyFill="1" applyBorder="1"/>
    <xf numFmtId="0" fontId="0" fillId="2" borderId="12" xfId="0" applyFill="1" applyBorder="1"/>
    <xf numFmtId="10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2" borderId="13" xfId="0" applyNumberFormat="1" applyFill="1" applyBorder="1" applyAlignment="1">
      <alignment horizontal="center"/>
    </xf>
    <xf numFmtId="0" fontId="0" fillId="2" borderId="14" xfId="0" applyFill="1" applyBorder="1"/>
    <xf numFmtId="10" fontId="0" fillId="2" borderId="15" xfId="0" applyNumberFormat="1" applyFill="1" applyBorder="1" applyAlignment="1">
      <alignment horizontal="center"/>
    </xf>
    <xf numFmtId="2" fontId="0" fillId="2" borderId="15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2" fontId="0" fillId="2" borderId="14" xfId="0" applyNumberFormat="1" applyFill="1" applyBorder="1" applyAlignment="1">
      <alignment horizontal="center"/>
    </xf>
    <xf numFmtId="0" fontId="1" fillId="3" borderId="21" xfId="0" applyFont="1" applyFill="1" applyBorder="1"/>
    <xf numFmtId="2" fontId="1" fillId="5" borderId="22" xfId="0" applyNumberFormat="1" applyFont="1" applyFill="1" applyBorder="1" applyAlignment="1">
      <alignment vertical="center"/>
    </xf>
    <xf numFmtId="9" fontId="1" fillId="3" borderId="13" xfId="0" applyNumberFormat="1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6" fillId="6" borderId="17" xfId="0" applyFont="1" applyFill="1" applyBorder="1"/>
    <xf numFmtId="0" fontId="5" fillId="6" borderId="9" xfId="0" applyFont="1" applyFill="1" applyBorder="1"/>
    <xf numFmtId="0" fontId="5" fillId="6" borderId="12" xfId="0" applyFont="1" applyFill="1" applyBorder="1"/>
    <xf numFmtId="0" fontId="7" fillId="6" borderId="14" xfId="0" applyFont="1" applyFill="1" applyBorder="1"/>
    <xf numFmtId="0" fontId="0" fillId="2" borderId="0" xfId="0" applyFill="1"/>
    <xf numFmtId="0" fontId="0" fillId="0" borderId="0" xfId="0" applyAlignment="1">
      <alignment vertical="center"/>
    </xf>
    <xf numFmtId="0" fontId="1" fillId="7" borderId="24" xfId="0" applyFont="1" applyFill="1" applyBorder="1" applyAlignment="1">
      <alignment horizontal="center"/>
    </xf>
    <xf numFmtId="0" fontId="1" fillId="7" borderId="25" xfId="0" applyFont="1" applyFill="1" applyBorder="1" applyAlignment="1">
      <alignment horizontal="center"/>
    </xf>
    <xf numFmtId="0" fontId="1" fillId="7" borderId="26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5" fillId="6" borderId="17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0" fillId="2" borderId="0" xfId="0" applyFill="1" applyAlignment="1"/>
    <xf numFmtId="0" fontId="0" fillId="0" borderId="0" xfId="0" applyAlignment="1"/>
    <xf numFmtId="0" fontId="0" fillId="2" borderId="0" xfId="0" applyFill="1"/>
    <xf numFmtId="0" fontId="0" fillId="0" borderId="0" xfId="0"/>
    <xf numFmtId="0" fontId="1" fillId="2" borderId="0" xfId="0" applyFont="1" applyFill="1" applyBorder="1" applyAlignment="1">
      <alignment horizontal="center" vertical="center"/>
    </xf>
    <xf numFmtId="0" fontId="4" fillId="0" borderId="0" xfId="1" applyAlignment="1">
      <alignment horizontal="left"/>
    </xf>
    <xf numFmtId="0" fontId="0" fillId="2" borderId="9" xfId="0" applyFill="1" applyBorder="1" applyAlignment="1">
      <alignment wrapText="1"/>
    </xf>
    <xf numFmtId="0" fontId="0" fillId="0" borderId="11" xfId="0" applyBorder="1"/>
    <xf numFmtId="0" fontId="0" fillId="2" borderId="10" xfId="0" applyFill="1" applyBorder="1" applyAlignment="1">
      <alignment wrapText="1"/>
    </xf>
    <xf numFmtId="0" fontId="7" fillId="6" borderId="17" xfId="0" applyFont="1" applyFill="1" applyBorder="1" applyAlignment="1">
      <alignment horizontal="center"/>
    </xf>
    <xf numFmtId="0" fontId="6" fillId="6" borderId="23" xfId="0" applyFont="1" applyFill="1" applyBorder="1" applyAlignment="1">
      <alignment horizontal="center"/>
    </xf>
    <xf numFmtId="0" fontId="6" fillId="6" borderId="18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dividend.com/" TargetMode="External"/><Relationship Id="rId2" Type="http://schemas.openxmlformats.org/officeDocument/2006/relationships/hyperlink" Target="http://finance.yahoo.com/" TargetMode="External"/><Relationship Id="rId1" Type="http://schemas.openxmlformats.org/officeDocument/2006/relationships/hyperlink" Target="https://www.treasury.gov/resource-center/data-chart-center/interest-rates/Pages/TextView.aspx?data=yield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CA45-A178-448F-88A3-B715214EB391}">
  <sheetPr>
    <tabColor rgb="FFFFFF00"/>
  </sheetPr>
  <dimension ref="B1:J17"/>
  <sheetViews>
    <sheetView tabSelected="1" workbookViewId="0">
      <selection activeCell="E17" sqref="E17"/>
    </sheetView>
  </sheetViews>
  <sheetFormatPr defaultRowHeight="15" x14ac:dyDescent="0.25"/>
  <cols>
    <col min="1" max="1" width="9.140625" style="1"/>
    <col min="2" max="10" width="12.85546875" style="1" customWidth="1"/>
    <col min="11" max="16384" width="9.140625" style="1"/>
  </cols>
  <sheetData>
    <row r="1" spans="2:10" x14ac:dyDescent="0.25">
      <c r="B1" s="63" t="s">
        <v>51</v>
      </c>
      <c r="C1" s="63"/>
      <c r="D1" s="63"/>
      <c r="E1" s="63"/>
      <c r="F1" s="63"/>
      <c r="G1" s="63"/>
      <c r="H1" s="63"/>
      <c r="I1" s="63"/>
      <c r="J1" s="63"/>
    </row>
    <row r="2" spans="2:10" ht="15.75" thickBot="1" x14ac:dyDescent="0.3">
      <c r="B2" s="64"/>
      <c r="C2" s="64"/>
      <c r="D2" s="64"/>
      <c r="E2" s="64"/>
      <c r="F2" s="64"/>
      <c r="G2" s="64"/>
      <c r="H2" s="64"/>
      <c r="I2" s="64"/>
      <c r="J2" s="64"/>
    </row>
    <row r="3" spans="2:10" ht="15.75" thickBot="1" x14ac:dyDescent="0.3">
      <c r="B3" s="65" t="s">
        <v>53</v>
      </c>
      <c r="C3" s="66"/>
      <c r="D3" s="66"/>
      <c r="E3" s="66"/>
      <c r="F3" s="66"/>
      <c r="G3" s="66"/>
      <c r="H3" s="66"/>
      <c r="I3" s="66"/>
      <c r="J3" s="67"/>
    </row>
    <row r="6" spans="2:10" x14ac:dyDescent="0.25">
      <c r="B6" s="60" t="s">
        <v>57</v>
      </c>
      <c r="C6" s="61"/>
      <c r="D6" s="61"/>
      <c r="E6" s="61"/>
      <c r="F6" s="62"/>
      <c r="G6" s="60" t="s">
        <v>56</v>
      </c>
      <c r="H6" s="61"/>
      <c r="I6" s="61"/>
      <c r="J6" s="62"/>
    </row>
    <row r="8" spans="2:10" x14ac:dyDescent="0.25">
      <c r="B8" s="1" t="s">
        <v>58</v>
      </c>
      <c r="G8" s="72" t="s">
        <v>27</v>
      </c>
      <c r="H8" s="73"/>
      <c r="I8" s="73"/>
      <c r="J8" s="73"/>
    </row>
    <row r="9" spans="2:10" x14ac:dyDescent="0.25">
      <c r="B9" s="1" t="s">
        <v>59</v>
      </c>
      <c r="G9" s="72" t="s">
        <v>54</v>
      </c>
      <c r="H9" s="73"/>
      <c r="I9" s="73"/>
      <c r="J9" s="73"/>
    </row>
    <row r="10" spans="2:10" x14ac:dyDescent="0.25">
      <c r="B10" s="1" t="s">
        <v>60</v>
      </c>
      <c r="G10" s="72" t="s">
        <v>55</v>
      </c>
      <c r="H10" s="73"/>
      <c r="I10" s="73"/>
      <c r="J10" s="73"/>
    </row>
    <row r="11" spans="2:10" x14ac:dyDescent="0.25">
      <c r="B11" s="1" t="s">
        <v>8</v>
      </c>
      <c r="G11" s="70" t="s">
        <v>25</v>
      </c>
      <c r="H11" s="71"/>
      <c r="I11" s="71"/>
      <c r="J11" s="71"/>
    </row>
    <row r="12" spans="2:10" x14ac:dyDescent="0.25">
      <c r="B12" s="1" t="s">
        <v>61</v>
      </c>
      <c r="G12" s="70" t="s">
        <v>28</v>
      </c>
      <c r="H12" s="71"/>
      <c r="I12" s="71"/>
      <c r="J12" s="71"/>
    </row>
    <row r="13" spans="2:10" x14ac:dyDescent="0.25">
      <c r="B13" s="1" t="s">
        <v>61</v>
      </c>
      <c r="G13" s="70" t="s">
        <v>47</v>
      </c>
      <c r="H13" s="71"/>
      <c r="I13" s="71"/>
      <c r="J13" s="71"/>
    </row>
    <row r="15" spans="2:10" x14ac:dyDescent="0.25">
      <c r="B15" s="27" t="s">
        <v>33</v>
      </c>
    </row>
    <row r="16" spans="2:10" ht="30" customHeight="1" x14ac:dyDescent="0.25">
      <c r="B16" s="68" t="s">
        <v>52</v>
      </c>
      <c r="C16" s="69"/>
      <c r="D16" s="69"/>
      <c r="E16" s="69"/>
      <c r="F16" s="69"/>
      <c r="G16" s="69"/>
      <c r="H16" s="69"/>
      <c r="I16" s="69"/>
      <c r="J16" s="69"/>
    </row>
    <row r="17" spans="2:2" x14ac:dyDescent="0.25">
      <c r="B17" s="59" t="s">
        <v>49</v>
      </c>
    </row>
  </sheetData>
  <mergeCells count="11">
    <mergeCell ref="B6:F6"/>
    <mergeCell ref="G6:J6"/>
    <mergeCell ref="B1:J2"/>
    <mergeCell ref="B3:J3"/>
    <mergeCell ref="B16:J16"/>
    <mergeCell ref="G11:J11"/>
    <mergeCell ref="G12:J12"/>
    <mergeCell ref="G13:J13"/>
    <mergeCell ref="G8:J8"/>
    <mergeCell ref="G9:J9"/>
    <mergeCell ref="G10:J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C1:P48"/>
  <sheetViews>
    <sheetView zoomScale="85" zoomScaleNormal="85" workbookViewId="0">
      <selection activeCell="O33" sqref="O33"/>
    </sheetView>
  </sheetViews>
  <sheetFormatPr defaultRowHeight="15" x14ac:dyDescent="0.25"/>
  <cols>
    <col min="1" max="2" width="4.140625" style="1" customWidth="1"/>
    <col min="3" max="3" width="25.5703125" style="1" customWidth="1"/>
    <col min="4" max="4" width="16.42578125" style="1" customWidth="1"/>
    <col min="5" max="5" width="10.5703125" style="1" bestFit="1" customWidth="1"/>
    <col min="6" max="6" width="9.140625" style="1"/>
    <col min="7" max="7" width="10.140625" style="1" bestFit="1" customWidth="1"/>
    <col min="8" max="9" width="9.140625" style="1"/>
    <col min="10" max="10" width="24.85546875" style="1" customWidth="1"/>
    <col min="11" max="11" width="9.140625" style="1"/>
    <col min="12" max="12" width="4.5703125" style="1" customWidth="1"/>
    <col min="13" max="14" width="9.140625" style="1"/>
    <col min="15" max="15" width="10.7109375" style="1" bestFit="1" customWidth="1"/>
    <col min="16" max="18" width="9.140625" style="1"/>
    <col min="19" max="19" width="20" style="1" customWidth="1"/>
    <col min="20" max="256" width="9.140625" style="1"/>
    <col min="257" max="258" width="4.140625" style="1" customWidth="1"/>
    <col min="259" max="259" width="18.7109375" style="1" customWidth="1"/>
    <col min="260" max="260" width="16.42578125" style="1" customWidth="1"/>
    <col min="261" max="261" width="10.140625" style="1" bestFit="1" customWidth="1"/>
    <col min="262" max="262" width="9.140625" style="1"/>
    <col min="263" max="263" width="10.140625" style="1" bestFit="1" customWidth="1"/>
    <col min="264" max="512" width="9.140625" style="1"/>
    <col min="513" max="514" width="4.140625" style="1" customWidth="1"/>
    <col min="515" max="515" width="18.7109375" style="1" customWidth="1"/>
    <col min="516" max="516" width="16.42578125" style="1" customWidth="1"/>
    <col min="517" max="517" width="10.140625" style="1" bestFit="1" customWidth="1"/>
    <col min="518" max="518" width="9.140625" style="1"/>
    <col min="519" max="519" width="10.140625" style="1" bestFit="1" customWidth="1"/>
    <col min="520" max="768" width="9.140625" style="1"/>
    <col min="769" max="770" width="4.140625" style="1" customWidth="1"/>
    <col min="771" max="771" width="18.7109375" style="1" customWidth="1"/>
    <col min="772" max="772" width="16.42578125" style="1" customWidth="1"/>
    <col min="773" max="773" width="10.140625" style="1" bestFit="1" customWidth="1"/>
    <col min="774" max="774" width="9.140625" style="1"/>
    <col min="775" max="775" width="10.140625" style="1" bestFit="1" customWidth="1"/>
    <col min="776" max="1024" width="9.140625" style="1"/>
    <col min="1025" max="1026" width="4.140625" style="1" customWidth="1"/>
    <col min="1027" max="1027" width="18.7109375" style="1" customWidth="1"/>
    <col min="1028" max="1028" width="16.42578125" style="1" customWidth="1"/>
    <col min="1029" max="1029" width="10.140625" style="1" bestFit="1" customWidth="1"/>
    <col min="1030" max="1030" width="9.140625" style="1"/>
    <col min="1031" max="1031" width="10.140625" style="1" bestFit="1" customWidth="1"/>
    <col min="1032" max="1280" width="9.140625" style="1"/>
    <col min="1281" max="1282" width="4.140625" style="1" customWidth="1"/>
    <col min="1283" max="1283" width="18.7109375" style="1" customWidth="1"/>
    <col min="1284" max="1284" width="16.42578125" style="1" customWidth="1"/>
    <col min="1285" max="1285" width="10.140625" style="1" bestFit="1" customWidth="1"/>
    <col min="1286" max="1286" width="9.140625" style="1"/>
    <col min="1287" max="1287" width="10.140625" style="1" bestFit="1" customWidth="1"/>
    <col min="1288" max="1536" width="9.140625" style="1"/>
    <col min="1537" max="1538" width="4.140625" style="1" customWidth="1"/>
    <col min="1539" max="1539" width="18.7109375" style="1" customWidth="1"/>
    <col min="1540" max="1540" width="16.42578125" style="1" customWidth="1"/>
    <col min="1541" max="1541" width="10.140625" style="1" bestFit="1" customWidth="1"/>
    <col min="1542" max="1542" width="9.140625" style="1"/>
    <col min="1543" max="1543" width="10.140625" style="1" bestFit="1" customWidth="1"/>
    <col min="1544" max="1792" width="9.140625" style="1"/>
    <col min="1793" max="1794" width="4.140625" style="1" customWidth="1"/>
    <col min="1795" max="1795" width="18.7109375" style="1" customWidth="1"/>
    <col min="1796" max="1796" width="16.42578125" style="1" customWidth="1"/>
    <col min="1797" max="1797" width="10.140625" style="1" bestFit="1" customWidth="1"/>
    <col min="1798" max="1798" width="9.140625" style="1"/>
    <col min="1799" max="1799" width="10.140625" style="1" bestFit="1" customWidth="1"/>
    <col min="1800" max="2048" width="9.140625" style="1"/>
    <col min="2049" max="2050" width="4.140625" style="1" customWidth="1"/>
    <col min="2051" max="2051" width="18.7109375" style="1" customWidth="1"/>
    <col min="2052" max="2052" width="16.42578125" style="1" customWidth="1"/>
    <col min="2053" max="2053" width="10.140625" style="1" bestFit="1" customWidth="1"/>
    <col min="2054" max="2054" width="9.140625" style="1"/>
    <col min="2055" max="2055" width="10.140625" style="1" bestFit="1" customWidth="1"/>
    <col min="2056" max="2304" width="9.140625" style="1"/>
    <col min="2305" max="2306" width="4.140625" style="1" customWidth="1"/>
    <col min="2307" max="2307" width="18.7109375" style="1" customWidth="1"/>
    <col min="2308" max="2308" width="16.42578125" style="1" customWidth="1"/>
    <col min="2309" max="2309" width="10.140625" style="1" bestFit="1" customWidth="1"/>
    <col min="2310" max="2310" width="9.140625" style="1"/>
    <col min="2311" max="2311" width="10.140625" style="1" bestFit="1" customWidth="1"/>
    <col min="2312" max="2560" width="9.140625" style="1"/>
    <col min="2561" max="2562" width="4.140625" style="1" customWidth="1"/>
    <col min="2563" max="2563" width="18.7109375" style="1" customWidth="1"/>
    <col min="2564" max="2564" width="16.42578125" style="1" customWidth="1"/>
    <col min="2565" max="2565" width="10.140625" style="1" bestFit="1" customWidth="1"/>
    <col min="2566" max="2566" width="9.140625" style="1"/>
    <col min="2567" max="2567" width="10.140625" style="1" bestFit="1" customWidth="1"/>
    <col min="2568" max="2816" width="9.140625" style="1"/>
    <col min="2817" max="2818" width="4.140625" style="1" customWidth="1"/>
    <col min="2819" max="2819" width="18.7109375" style="1" customWidth="1"/>
    <col min="2820" max="2820" width="16.42578125" style="1" customWidth="1"/>
    <col min="2821" max="2821" width="10.140625" style="1" bestFit="1" customWidth="1"/>
    <col min="2822" max="2822" width="9.140625" style="1"/>
    <col min="2823" max="2823" width="10.140625" style="1" bestFit="1" customWidth="1"/>
    <col min="2824" max="3072" width="9.140625" style="1"/>
    <col min="3073" max="3074" width="4.140625" style="1" customWidth="1"/>
    <col min="3075" max="3075" width="18.7109375" style="1" customWidth="1"/>
    <col min="3076" max="3076" width="16.42578125" style="1" customWidth="1"/>
    <col min="3077" max="3077" width="10.140625" style="1" bestFit="1" customWidth="1"/>
    <col min="3078" max="3078" width="9.140625" style="1"/>
    <col min="3079" max="3079" width="10.140625" style="1" bestFit="1" customWidth="1"/>
    <col min="3080" max="3328" width="9.140625" style="1"/>
    <col min="3329" max="3330" width="4.140625" style="1" customWidth="1"/>
    <col min="3331" max="3331" width="18.7109375" style="1" customWidth="1"/>
    <col min="3332" max="3332" width="16.42578125" style="1" customWidth="1"/>
    <col min="3333" max="3333" width="10.140625" style="1" bestFit="1" customWidth="1"/>
    <col min="3334" max="3334" width="9.140625" style="1"/>
    <col min="3335" max="3335" width="10.140625" style="1" bestFit="1" customWidth="1"/>
    <col min="3336" max="3584" width="9.140625" style="1"/>
    <col min="3585" max="3586" width="4.140625" style="1" customWidth="1"/>
    <col min="3587" max="3587" width="18.7109375" style="1" customWidth="1"/>
    <col min="3588" max="3588" width="16.42578125" style="1" customWidth="1"/>
    <col min="3589" max="3589" width="10.140625" style="1" bestFit="1" customWidth="1"/>
    <col min="3590" max="3590" width="9.140625" style="1"/>
    <col min="3591" max="3591" width="10.140625" style="1" bestFit="1" customWidth="1"/>
    <col min="3592" max="3840" width="9.140625" style="1"/>
    <col min="3841" max="3842" width="4.140625" style="1" customWidth="1"/>
    <col min="3843" max="3843" width="18.7109375" style="1" customWidth="1"/>
    <col min="3844" max="3844" width="16.42578125" style="1" customWidth="1"/>
    <col min="3845" max="3845" width="10.140625" style="1" bestFit="1" customWidth="1"/>
    <col min="3846" max="3846" width="9.140625" style="1"/>
    <col min="3847" max="3847" width="10.140625" style="1" bestFit="1" customWidth="1"/>
    <col min="3848" max="4096" width="9.140625" style="1"/>
    <col min="4097" max="4098" width="4.140625" style="1" customWidth="1"/>
    <col min="4099" max="4099" width="18.7109375" style="1" customWidth="1"/>
    <col min="4100" max="4100" width="16.42578125" style="1" customWidth="1"/>
    <col min="4101" max="4101" width="10.140625" style="1" bestFit="1" customWidth="1"/>
    <col min="4102" max="4102" width="9.140625" style="1"/>
    <col min="4103" max="4103" width="10.140625" style="1" bestFit="1" customWidth="1"/>
    <col min="4104" max="4352" width="9.140625" style="1"/>
    <col min="4353" max="4354" width="4.140625" style="1" customWidth="1"/>
    <col min="4355" max="4355" width="18.7109375" style="1" customWidth="1"/>
    <col min="4356" max="4356" width="16.42578125" style="1" customWidth="1"/>
    <col min="4357" max="4357" width="10.140625" style="1" bestFit="1" customWidth="1"/>
    <col min="4358" max="4358" width="9.140625" style="1"/>
    <col min="4359" max="4359" width="10.140625" style="1" bestFit="1" customWidth="1"/>
    <col min="4360" max="4608" width="9.140625" style="1"/>
    <col min="4609" max="4610" width="4.140625" style="1" customWidth="1"/>
    <col min="4611" max="4611" width="18.7109375" style="1" customWidth="1"/>
    <col min="4612" max="4612" width="16.42578125" style="1" customWidth="1"/>
    <col min="4613" max="4613" width="10.140625" style="1" bestFit="1" customWidth="1"/>
    <col min="4614" max="4614" width="9.140625" style="1"/>
    <col min="4615" max="4615" width="10.140625" style="1" bestFit="1" customWidth="1"/>
    <col min="4616" max="4864" width="9.140625" style="1"/>
    <col min="4865" max="4866" width="4.140625" style="1" customWidth="1"/>
    <col min="4867" max="4867" width="18.7109375" style="1" customWidth="1"/>
    <col min="4868" max="4868" width="16.42578125" style="1" customWidth="1"/>
    <col min="4869" max="4869" width="10.140625" style="1" bestFit="1" customWidth="1"/>
    <col min="4870" max="4870" width="9.140625" style="1"/>
    <col min="4871" max="4871" width="10.140625" style="1" bestFit="1" customWidth="1"/>
    <col min="4872" max="5120" width="9.140625" style="1"/>
    <col min="5121" max="5122" width="4.140625" style="1" customWidth="1"/>
    <col min="5123" max="5123" width="18.7109375" style="1" customWidth="1"/>
    <col min="5124" max="5124" width="16.42578125" style="1" customWidth="1"/>
    <col min="5125" max="5125" width="10.140625" style="1" bestFit="1" customWidth="1"/>
    <col min="5126" max="5126" width="9.140625" style="1"/>
    <col min="5127" max="5127" width="10.140625" style="1" bestFit="1" customWidth="1"/>
    <col min="5128" max="5376" width="9.140625" style="1"/>
    <col min="5377" max="5378" width="4.140625" style="1" customWidth="1"/>
    <col min="5379" max="5379" width="18.7109375" style="1" customWidth="1"/>
    <col min="5380" max="5380" width="16.42578125" style="1" customWidth="1"/>
    <col min="5381" max="5381" width="10.140625" style="1" bestFit="1" customWidth="1"/>
    <col min="5382" max="5382" width="9.140625" style="1"/>
    <col min="5383" max="5383" width="10.140625" style="1" bestFit="1" customWidth="1"/>
    <col min="5384" max="5632" width="9.140625" style="1"/>
    <col min="5633" max="5634" width="4.140625" style="1" customWidth="1"/>
    <col min="5635" max="5635" width="18.7109375" style="1" customWidth="1"/>
    <col min="5636" max="5636" width="16.42578125" style="1" customWidth="1"/>
    <col min="5637" max="5637" width="10.140625" style="1" bestFit="1" customWidth="1"/>
    <col min="5638" max="5638" width="9.140625" style="1"/>
    <col min="5639" max="5639" width="10.140625" style="1" bestFit="1" customWidth="1"/>
    <col min="5640" max="5888" width="9.140625" style="1"/>
    <col min="5889" max="5890" width="4.140625" style="1" customWidth="1"/>
    <col min="5891" max="5891" width="18.7109375" style="1" customWidth="1"/>
    <col min="5892" max="5892" width="16.42578125" style="1" customWidth="1"/>
    <col min="5893" max="5893" width="10.140625" style="1" bestFit="1" customWidth="1"/>
    <col min="5894" max="5894" width="9.140625" style="1"/>
    <col min="5895" max="5895" width="10.140625" style="1" bestFit="1" customWidth="1"/>
    <col min="5896" max="6144" width="9.140625" style="1"/>
    <col min="6145" max="6146" width="4.140625" style="1" customWidth="1"/>
    <col min="6147" max="6147" width="18.7109375" style="1" customWidth="1"/>
    <col min="6148" max="6148" width="16.42578125" style="1" customWidth="1"/>
    <col min="6149" max="6149" width="10.140625" style="1" bestFit="1" customWidth="1"/>
    <col min="6150" max="6150" width="9.140625" style="1"/>
    <col min="6151" max="6151" width="10.140625" style="1" bestFit="1" customWidth="1"/>
    <col min="6152" max="6400" width="9.140625" style="1"/>
    <col min="6401" max="6402" width="4.140625" style="1" customWidth="1"/>
    <col min="6403" max="6403" width="18.7109375" style="1" customWidth="1"/>
    <col min="6404" max="6404" width="16.42578125" style="1" customWidth="1"/>
    <col min="6405" max="6405" width="10.140625" style="1" bestFit="1" customWidth="1"/>
    <col min="6406" max="6406" width="9.140625" style="1"/>
    <col min="6407" max="6407" width="10.140625" style="1" bestFit="1" customWidth="1"/>
    <col min="6408" max="6656" width="9.140625" style="1"/>
    <col min="6657" max="6658" width="4.140625" style="1" customWidth="1"/>
    <col min="6659" max="6659" width="18.7109375" style="1" customWidth="1"/>
    <col min="6660" max="6660" width="16.42578125" style="1" customWidth="1"/>
    <col min="6661" max="6661" width="10.140625" style="1" bestFit="1" customWidth="1"/>
    <col min="6662" max="6662" width="9.140625" style="1"/>
    <col min="6663" max="6663" width="10.140625" style="1" bestFit="1" customWidth="1"/>
    <col min="6664" max="6912" width="9.140625" style="1"/>
    <col min="6913" max="6914" width="4.140625" style="1" customWidth="1"/>
    <col min="6915" max="6915" width="18.7109375" style="1" customWidth="1"/>
    <col min="6916" max="6916" width="16.42578125" style="1" customWidth="1"/>
    <col min="6917" max="6917" width="10.140625" style="1" bestFit="1" customWidth="1"/>
    <col min="6918" max="6918" width="9.140625" style="1"/>
    <col min="6919" max="6919" width="10.140625" style="1" bestFit="1" customWidth="1"/>
    <col min="6920" max="7168" width="9.140625" style="1"/>
    <col min="7169" max="7170" width="4.140625" style="1" customWidth="1"/>
    <col min="7171" max="7171" width="18.7109375" style="1" customWidth="1"/>
    <col min="7172" max="7172" width="16.42578125" style="1" customWidth="1"/>
    <col min="7173" max="7173" width="10.140625" style="1" bestFit="1" customWidth="1"/>
    <col min="7174" max="7174" width="9.140625" style="1"/>
    <col min="7175" max="7175" width="10.140625" style="1" bestFit="1" customWidth="1"/>
    <col min="7176" max="7424" width="9.140625" style="1"/>
    <col min="7425" max="7426" width="4.140625" style="1" customWidth="1"/>
    <col min="7427" max="7427" width="18.7109375" style="1" customWidth="1"/>
    <col min="7428" max="7428" width="16.42578125" style="1" customWidth="1"/>
    <col min="7429" max="7429" width="10.140625" style="1" bestFit="1" customWidth="1"/>
    <col min="7430" max="7430" width="9.140625" style="1"/>
    <col min="7431" max="7431" width="10.140625" style="1" bestFit="1" customWidth="1"/>
    <col min="7432" max="7680" width="9.140625" style="1"/>
    <col min="7681" max="7682" width="4.140625" style="1" customWidth="1"/>
    <col min="7683" max="7683" width="18.7109375" style="1" customWidth="1"/>
    <col min="7684" max="7684" width="16.42578125" style="1" customWidth="1"/>
    <col min="7685" max="7685" width="10.140625" style="1" bestFit="1" customWidth="1"/>
    <col min="7686" max="7686" width="9.140625" style="1"/>
    <col min="7687" max="7687" width="10.140625" style="1" bestFit="1" customWidth="1"/>
    <col min="7688" max="7936" width="9.140625" style="1"/>
    <col min="7937" max="7938" width="4.140625" style="1" customWidth="1"/>
    <col min="7939" max="7939" width="18.7109375" style="1" customWidth="1"/>
    <col min="7940" max="7940" width="16.42578125" style="1" customWidth="1"/>
    <col min="7941" max="7941" width="10.140625" style="1" bestFit="1" customWidth="1"/>
    <col min="7942" max="7942" width="9.140625" style="1"/>
    <col min="7943" max="7943" width="10.140625" style="1" bestFit="1" customWidth="1"/>
    <col min="7944" max="8192" width="9.140625" style="1"/>
    <col min="8193" max="8194" width="4.140625" style="1" customWidth="1"/>
    <col min="8195" max="8195" width="18.7109375" style="1" customWidth="1"/>
    <col min="8196" max="8196" width="16.42578125" style="1" customWidth="1"/>
    <col min="8197" max="8197" width="10.140625" style="1" bestFit="1" customWidth="1"/>
    <col min="8198" max="8198" width="9.140625" style="1"/>
    <col min="8199" max="8199" width="10.140625" style="1" bestFit="1" customWidth="1"/>
    <col min="8200" max="8448" width="9.140625" style="1"/>
    <col min="8449" max="8450" width="4.140625" style="1" customWidth="1"/>
    <col min="8451" max="8451" width="18.7109375" style="1" customWidth="1"/>
    <col min="8452" max="8452" width="16.42578125" style="1" customWidth="1"/>
    <col min="8453" max="8453" width="10.140625" style="1" bestFit="1" customWidth="1"/>
    <col min="8454" max="8454" width="9.140625" style="1"/>
    <col min="8455" max="8455" width="10.140625" style="1" bestFit="1" customWidth="1"/>
    <col min="8456" max="8704" width="9.140625" style="1"/>
    <col min="8705" max="8706" width="4.140625" style="1" customWidth="1"/>
    <col min="8707" max="8707" width="18.7109375" style="1" customWidth="1"/>
    <col min="8708" max="8708" width="16.42578125" style="1" customWidth="1"/>
    <col min="8709" max="8709" width="10.140625" style="1" bestFit="1" customWidth="1"/>
    <col min="8710" max="8710" width="9.140625" style="1"/>
    <col min="8711" max="8711" width="10.140625" style="1" bestFit="1" customWidth="1"/>
    <col min="8712" max="8960" width="9.140625" style="1"/>
    <col min="8961" max="8962" width="4.140625" style="1" customWidth="1"/>
    <col min="8963" max="8963" width="18.7109375" style="1" customWidth="1"/>
    <col min="8964" max="8964" width="16.42578125" style="1" customWidth="1"/>
    <col min="8965" max="8965" width="10.140625" style="1" bestFit="1" customWidth="1"/>
    <col min="8966" max="8966" width="9.140625" style="1"/>
    <col min="8967" max="8967" width="10.140625" style="1" bestFit="1" customWidth="1"/>
    <col min="8968" max="9216" width="9.140625" style="1"/>
    <col min="9217" max="9218" width="4.140625" style="1" customWidth="1"/>
    <col min="9219" max="9219" width="18.7109375" style="1" customWidth="1"/>
    <col min="9220" max="9220" width="16.42578125" style="1" customWidth="1"/>
    <col min="9221" max="9221" width="10.140625" style="1" bestFit="1" customWidth="1"/>
    <col min="9222" max="9222" width="9.140625" style="1"/>
    <col min="9223" max="9223" width="10.140625" style="1" bestFit="1" customWidth="1"/>
    <col min="9224" max="9472" width="9.140625" style="1"/>
    <col min="9473" max="9474" width="4.140625" style="1" customWidth="1"/>
    <col min="9475" max="9475" width="18.7109375" style="1" customWidth="1"/>
    <col min="9476" max="9476" width="16.42578125" style="1" customWidth="1"/>
    <col min="9477" max="9477" width="10.140625" style="1" bestFit="1" customWidth="1"/>
    <col min="9478" max="9478" width="9.140625" style="1"/>
    <col min="9479" max="9479" width="10.140625" style="1" bestFit="1" customWidth="1"/>
    <col min="9480" max="9728" width="9.140625" style="1"/>
    <col min="9729" max="9730" width="4.140625" style="1" customWidth="1"/>
    <col min="9731" max="9731" width="18.7109375" style="1" customWidth="1"/>
    <col min="9732" max="9732" width="16.42578125" style="1" customWidth="1"/>
    <col min="9733" max="9733" width="10.140625" style="1" bestFit="1" customWidth="1"/>
    <col min="9734" max="9734" width="9.140625" style="1"/>
    <col min="9735" max="9735" width="10.140625" style="1" bestFit="1" customWidth="1"/>
    <col min="9736" max="9984" width="9.140625" style="1"/>
    <col min="9985" max="9986" width="4.140625" style="1" customWidth="1"/>
    <col min="9987" max="9987" width="18.7109375" style="1" customWidth="1"/>
    <col min="9988" max="9988" width="16.42578125" style="1" customWidth="1"/>
    <col min="9989" max="9989" width="10.140625" style="1" bestFit="1" customWidth="1"/>
    <col min="9990" max="9990" width="9.140625" style="1"/>
    <col min="9991" max="9991" width="10.140625" style="1" bestFit="1" customWidth="1"/>
    <col min="9992" max="10240" width="9.140625" style="1"/>
    <col min="10241" max="10242" width="4.140625" style="1" customWidth="1"/>
    <col min="10243" max="10243" width="18.7109375" style="1" customWidth="1"/>
    <col min="10244" max="10244" width="16.42578125" style="1" customWidth="1"/>
    <col min="10245" max="10245" width="10.140625" style="1" bestFit="1" customWidth="1"/>
    <col min="10246" max="10246" width="9.140625" style="1"/>
    <col min="10247" max="10247" width="10.140625" style="1" bestFit="1" customWidth="1"/>
    <col min="10248" max="10496" width="9.140625" style="1"/>
    <col min="10497" max="10498" width="4.140625" style="1" customWidth="1"/>
    <col min="10499" max="10499" width="18.7109375" style="1" customWidth="1"/>
    <col min="10500" max="10500" width="16.42578125" style="1" customWidth="1"/>
    <col min="10501" max="10501" width="10.140625" style="1" bestFit="1" customWidth="1"/>
    <col min="10502" max="10502" width="9.140625" style="1"/>
    <col min="10503" max="10503" width="10.140625" style="1" bestFit="1" customWidth="1"/>
    <col min="10504" max="10752" width="9.140625" style="1"/>
    <col min="10753" max="10754" width="4.140625" style="1" customWidth="1"/>
    <col min="10755" max="10755" width="18.7109375" style="1" customWidth="1"/>
    <col min="10756" max="10756" width="16.42578125" style="1" customWidth="1"/>
    <col min="10757" max="10757" width="10.140625" style="1" bestFit="1" customWidth="1"/>
    <col min="10758" max="10758" width="9.140625" style="1"/>
    <col min="10759" max="10759" width="10.140625" style="1" bestFit="1" customWidth="1"/>
    <col min="10760" max="11008" width="9.140625" style="1"/>
    <col min="11009" max="11010" width="4.140625" style="1" customWidth="1"/>
    <col min="11011" max="11011" width="18.7109375" style="1" customWidth="1"/>
    <col min="11012" max="11012" width="16.42578125" style="1" customWidth="1"/>
    <col min="11013" max="11013" width="10.140625" style="1" bestFit="1" customWidth="1"/>
    <col min="11014" max="11014" width="9.140625" style="1"/>
    <col min="11015" max="11015" width="10.140625" style="1" bestFit="1" customWidth="1"/>
    <col min="11016" max="11264" width="9.140625" style="1"/>
    <col min="11265" max="11266" width="4.140625" style="1" customWidth="1"/>
    <col min="11267" max="11267" width="18.7109375" style="1" customWidth="1"/>
    <col min="11268" max="11268" width="16.42578125" style="1" customWidth="1"/>
    <col min="11269" max="11269" width="10.140625" style="1" bestFit="1" customWidth="1"/>
    <col min="11270" max="11270" width="9.140625" style="1"/>
    <col min="11271" max="11271" width="10.140625" style="1" bestFit="1" customWidth="1"/>
    <col min="11272" max="11520" width="9.140625" style="1"/>
    <col min="11521" max="11522" width="4.140625" style="1" customWidth="1"/>
    <col min="11523" max="11523" width="18.7109375" style="1" customWidth="1"/>
    <col min="11524" max="11524" width="16.42578125" style="1" customWidth="1"/>
    <col min="11525" max="11525" width="10.140625" style="1" bestFit="1" customWidth="1"/>
    <col min="11526" max="11526" width="9.140625" style="1"/>
    <col min="11527" max="11527" width="10.140625" style="1" bestFit="1" customWidth="1"/>
    <col min="11528" max="11776" width="9.140625" style="1"/>
    <col min="11777" max="11778" width="4.140625" style="1" customWidth="1"/>
    <col min="11779" max="11779" width="18.7109375" style="1" customWidth="1"/>
    <col min="11780" max="11780" width="16.42578125" style="1" customWidth="1"/>
    <col min="11781" max="11781" width="10.140625" style="1" bestFit="1" customWidth="1"/>
    <col min="11782" max="11782" width="9.140625" style="1"/>
    <col min="11783" max="11783" width="10.140625" style="1" bestFit="1" customWidth="1"/>
    <col min="11784" max="12032" width="9.140625" style="1"/>
    <col min="12033" max="12034" width="4.140625" style="1" customWidth="1"/>
    <col min="12035" max="12035" width="18.7109375" style="1" customWidth="1"/>
    <col min="12036" max="12036" width="16.42578125" style="1" customWidth="1"/>
    <col min="12037" max="12037" width="10.140625" style="1" bestFit="1" customWidth="1"/>
    <col min="12038" max="12038" width="9.140625" style="1"/>
    <col min="12039" max="12039" width="10.140625" style="1" bestFit="1" customWidth="1"/>
    <col min="12040" max="12288" width="9.140625" style="1"/>
    <col min="12289" max="12290" width="4.140625" style="1" customWidth="1"/>
    <col min="12291" max="12291" width="18.7109375" style="1" customWidth="1"/>
    <col min="12292" max="12292" width="16.42578125" style="1" customWidth="1"/>
    <col min="12293" max="12293" width="10.140625" style="1" bestFit="1" customWidth="1"/>
    <col min="12294" max="12294" width="9.140625" style="1"/>
    <col min="12295" max="12295" width="10.140625" style="1" bestFit="1" customWidth="1"/>
    <col min="12296" max="12544" width="9.140625" style="1"/>
    <col min="12545" max="12546" width="4.140625" style="1" customWidth="1"/>
    <col min="12547" max="12547" width="18.7109375" style="1" customWidth="1"/>
    <col min="12548" max="12548" width="16.42578125" style="1" customWidth="1"/>
    <col min="12549" max="12549" width="10.140625" style="1" bestFit="1" customWidth="1"/>
    <col min="12550" max="12550" width="9.140625" style="1"/>
    <col min="12551" max="12551" width="10.140625" style="1" bestFit="1" customWidth="1"/>
    <col min="12552" max="12800" width="9.140625" style="1"/>
    <col min="12801" max="12802" width="4.140625" style="1" customWidth="1"/>
    <col min="12803" max="12803" width="18.7109375" style="1" customWidth="1"/>
    <col min="12804" max="12804" width="16.42578125" style="1" customWidth="1"/>
    <col min="12805" max="12805" width="10.140625" style="1" bestFit="1" customWidth="1"/>
    <col min="12806" max="12806" width="9.140625" style="1"/>
    <col min="12807" max="12807" width="10.140625" style="1" bestFit="1" customWidth="1"/>
    <col min="12808" max="13056" width="9.140625" style="1"/>
    <col min="13057" max="13058" width="4.140625" style="1" customWidth="1"/>
    <col min="13059" max="13059" width="18.7109375" style="1" customWidth="1"/>
    <col min="13060" max="13060" width="16.42578125" style="1" customWidth="1"/>
    <col min="13061" max="13061" width="10.140625" style="1" bestFit="1" customWidth="1"/>
    <col min="13062" max="13062" width="9.140625" style="1"/>
    <col min="13063" max="13063" width="10.140625" style="1" bestFit="1" customWidth="1"/>
    <col min="13064" max="13312" width="9.140625" style="1"/>
    <col min="13313" max="13314" width="4.140625" style="1" customWidth="1"/>
    <col min="13315" max="13315" width="18.7109375" style="1" customWidth="1"/>
    <col min="13316" max="13316" width="16.42578125" style="1" customWidth="1"/>
    <col min="13317" max="13317" width="10.140625" style="1" bestFit="1" customWidth="1"/>
    <col min="13318" max="13318" width="9.140625" style="1"/>
    <col min="13319" max="13319" width="10.140625" style="1" bestFit="1" customWidth="1"/>
    <col min="13320" max="13568" width="9.140625" style="1"/>
    <col min="13569" max="13570" width="4.140625" style="1" customWidth="1"/>
    <col min="13571" max="13571" width="18.7109375" style="1" customWidth="1"/>
    <col min="13572" max="13572" width="16.42578125" style="1" customWidth="1"/>
    <col min="13573" max="13573" width="10.140625" style="1" bestFit="1" customWidth="1"/>
    <col min="13574" max="13574" width="9.140625" style="1"/>
    <col min="13575" max="13575" width="10.140625" style="1" bestFit="1" customWidth="1"/>
    <col min="13576" max="13824" width="9.140625" style="1"/>
    <col min="13825" max="13826" width="4.140625" style="1" customWidth="1"/>
    <col min="13827" max="13827" width="18.7109375" style="1" customWidth="1"/>
    <col min="13828" max="13828" width="16.42578125" style="1" customWidth="1"/>
    <col min="13829" max="13829" width="10.140625" style="1" bestFit="1" customWidth="1"/>
    <col min="13830" max="13830" width="9.140625" style="1"/>
    <col min="13831" max="13831" width="10.140625" style="1" bestFit="1" customWidth="1"/>
    <col min="13832" max="14080" width="9.140625" style="1"/>
    <col min="14081" max="14082" width="4.140625" style="1" customWidth="1"/>
    <col min="14083" max="14083" width="18.7109375" style="1" customWidth="1"/>
    <col min="14084" max="14084" width="16.42578125" style="1" customWidth="1"/>
    <col min="14085" max="14085" width="10.140625" style="1" bestFit="1" customWidth="1"/>
    <col min="14086" max="14086" width="9.140625" style="1"/>
    <col min="14087" max="14087" width="10.140625" style="1" bestFit="1" customWidth="1"/>
    <col min="14088" max="14336" width="9.140625" style="1"/>
    <col min="14337" max="14338" width="4.140625" style="1" customWidth="1"/>
    <col min="14339" max="14339" width="18.7109375" style="1" customWidth="1"/>
    <col min="14340" max="14340" width="16.42578125" style="1" customWidth="1"/>
    <col min="14341" max="14341" width="10.140625" style="1" bestFit="1" customWidth="1"/>
    <col min="14342" max="14342" width="9.140625" style="1"/>
    <col min="14343" max="14343" width="10.140625" style="1" bestFit="1" customWidth="1"/>
    <col min="14344" max="14592" width="9.140625" style="1"/>
    <col min="14593" max="14594" width="4.140625" style="1" customWidth="1"/>
    <col min="14595" max="14595" width="18.7109375" style="1" customWidth="1"/>
    <col min="14596" max="14596" width="16.42578125" style="1" customWidth="1"/>
    <col min="14597" max="14597" width="10.140625" style="1" bestFit="1" customWidth="1"/>
    <col min="14598" max="14598" width="9.140625" style="1"/>
    <col min="14599" max="14599" width="10.140625" style="1" bestFit="1" customWidth="1"/>
    <col min="14600" max="14848" width="9.140625" style="1"/>
    <col min="14849" max="14850" width="4.140625" style="1" customWidth="1"/>
    <col min="14851" max="14851" width="18.7109375" style="1" customWidth="1"/>
    <col min="14852" max="14852" width="16.42578125" style="1" customWidth="1"/>
    <col min="14853" max="14853" width="10.140625" style="1" bestFit="1" customWidth="1"/>
    <col min="14854" max="14854" width="9.140625" style="1"/>
    <col min="14855" max="14855" width="10.140625" style="1" bestFit="1" customWidth="1"/>
    <col min="14856" max="15104" width="9.140625" style="1"/>
    <col min="15105" max="15106" width="4.140625" style="1" customWidth="1"/>
    <col min="15107" max="15107" width="18.7109375" style="1" customWidth="1"/>
    <col min="15108" max="15108" width="16.42578125" style="1" customWidth="1"/>
    <col min="15109" max="15109" width="10.140625" style="1" bestFit="1" customWidth="1"/>
    <col min="15110" max="15110" width="9.140625" style="1"/>
    <col min="15111" max="15111" width="10.140625" style="1" bestFit="1" customWidth="1"/>
    <col min="15112" max="15360" width="9.140625" style="1"/>
    <col min="15361" max="15362" width="4.140625" style="1" customWidth="1"/>
    <col min="15363" max="15363" width="18.7109375" style="1" customWidth="1"/>
    <col min="15364" max="15364" width="16.42578125" style="1" customWidth="1"/>
    <col min="15365" max="15365" width="10.140625" style="1" bestFit="1" customWidth="1"/>
    <col min="15366" max="15366" width="9.140625" style="1"/>
    <col min="15367" max="15367" width="10.140625" style="1" bestFit="1" customWidth="1"/>
    <col min="15368" max="15616" width="9.140625" style="1"/>
    <col min="15617" max="15618" width="4.140625" style="1" customWidth="1"/>
    <col min="15619" max="15619" width="18.7109375" style="1" customWidth="1"/>
    <col min="15620" max="15620" width="16.42578125" style="1" customWidth="1"/>
    <col min="15621" max="15621" width="10.140625" style="1" bestFit="1" customWidth="1"/>
    <col min="15622" max="15622" width="9.140625" style="1"/>
    <col min="15623" max="15623" width="10.140625" style="1" bestFit="1" customWidth="1"/>
    <col min="15624" max="15872" width="9.140625" style="1"/>
    <col min="15873" max="15874" width="4.140625" style="1" customWidth="1"/>
    <col min="15875" max="15875" width="18.7109375" style="1" customWidth="1"/>
    <col min="15876" max="15876" width="16.42578125" style="1" customWidth="1"/>
    <col min="15877" max="15877" width="10.140625" style="1" bestFit="1" customWidth="1"/>
    <col min="15878" max="15878" width="9.140625" style="1"/>
    <col min="15879" max="15879" width="10.140625" style="1" bestFit="1" customWidth="1"/>
    <col min="15880" max="16128" width="9.140625" style="1"/>
    <col min="16129" max="16130" width="4.140625" style="1" customWidth="1"/>
    <col min="16131" max="16131" width="18.7109375" style="1" customWidth="1"/>
    <col min="16132" max="16132" width="16.42578125" style="1" customWidth="1"/>
    <col min="16133" max="16133" width="10.140625" style="1" bestFit="1" customWidth="1"/>
    <col min="16134" max="16134" width="9.140625" style="1"/>
    <col min="16135" max="16135" width="10.140625" style="1" bestFit="1" customWidth="1"/>
    <col min="16136" max="16384" width="9.140625" style="1"/>
  </cols>
  <sheetData>
    <row r="1" spans="3:16" x14ac:dyDescent="0.25">
      <c r="C1" s="74" t="s">
        <v>51</v>
      </c>
      <c r="D1" s="74"/>
      <c r="E1" s="74"/>
      <c r="F1" s="74"/>
      <c r="G1" s="74"/>
      <c r="H1" s="74"/>
      <c r="I1" s="74"/>
      <c r="J1" s="74"/>
      <c r="K1" s="74"/>
    </row>
    <row r="2" spans="3:16" ht="15.75" thickBot="1" x14ac:dyDescent="0.3">
      <c r="C2" s="74"/>
      <c r="D2" s="74"/>
      <c r="E2" s="74"/>
      <c r="F2" s="74"/>
      <c r="G2" s="74"/>
      <c r="H2" s="74"/>
      <c r="I2" s="74"/>
      <c r="J2" s="74"/>
      <c r="K2" s="74"/>
    </row>
    <row r="3" spans="3:16" ht="15.75" thickBot="1" x14ac:dyDescent="0.3">
      <c r="C3" s="54" t="s">
        <v>26</v>
      </c>
      <c r="D3" s="53" t="s">
        <v>50</v>
      </c>
      <c r="J3" s="50" t="s">
        <v>31</v>
      </c>
      <c r="N3" s="27" t="s">
        <v>30</v>
      </c>
    </row>
    <row r="4" spans="3:16" ht="15.75" thickBot="1" x14ac:dyDescent="0.3">
      <c r="J4" s="51" t="s">
        <v>32</v>
      </c>
      <c r="N4" s="1" t="s">
        <v>27</v>
      </c>
    </row>
    <row r="5" spans="3:16" x14ac:dyDescent="0.25">
      <c r="C5" s="55" t="s">
        <v>0</v>
      </c>
      <c r="D5" s="8"/>
      <c r="E5" s="8" t="s">
        <v>1</v>
      </c>
      <c r="F5" s="8"/>
      <c r="G5" s="23">
        <v>95.71</v>
      </c>
      <c r="N5" s="1" t="str">
        <f>"https://finance.yahoo.com/quote/"&amp;D3&amp;"?ql=1&amp;p="&amp;D3</f>
        <v>https://finance.yahoo.com/quote/BUD?ql=1&amp;p=BUD</v>
      </c>
    </row>
    <row r="6" spans="3:16" x14ac:dyDescent="0.25">
      <c r="C6" s="56" t="s">
        <v>2</v>
      </c>
      <c r="E6" s="1" t="s">
        <v>3</v>
      </c>
      <c r="G6" s="24">
        <v>100</v>
      </c>
      <c r="N6" s="1" t="str">
        <f>"https://finance.yahoo.com/quote/"&amp;D3&amp;"/options?p="&amp;D3</f>
        <v>https://finance.yahoo.com/quote/BUD/options?p=BUD</v>
      </c>
    </row>
    <row r="7" spans="3:16" x14ac:dyDescent="0.25">
      <c r="C7" s="56" t="s">
        <v>8</v>
      </c>
      <c r="E7" s="1" t="s">
        <v>9</v>
      </c>
      <c r="G7" s="25">
        <v>1.4999999999999999E-2</v>
      </c>
      <c r="N7" s="11" t="s">
        <v>25</v>
      </c>
    </row>
    <row r="8" spans="3:16" x14ac:dyDescent="0.25">
      <c r="C8" s="56" t="s">
        <v>10</v>
      </c>
      <c r="E8" s="1" t="s">
        <v>11</v>
      </c>
      <c r="G8" s="52">
        <v>0.01</v>
      </c>
      <c r="N8" s="75" t="s">
        <v>28</v>
      </c>
      <c r="O8" s="75"/>
      <c r="P8" s="75"/>
    </row>
    <row r="9" spans="3:16" ht="15.75" thickBot="1" x14ac:dyDescent="0.3">
      <c r="C9" s="57" t="s">
        <v>12</v>
      </c>
      <c r="D9" s="9"/>
      <c r="E9" s="9" t="s">
        <v>13</v>
      </c>
      <c r="F9" s="9"/>
      <c r="G9" s="26">
        <v>43784</v>
      </c>
      <c r="N9" s="11" t="s">
        <v>47</v>
      </c>
    </row>
    <row r="11" spans="3:16" x14ac:dyDescent="0.25">
      <c r="C11" s="1" t="s">
        <v>48</v>
      </c>
      <c r="D11" s="7"/>
      <c r="E11" s="7"/>
      <c r="G11" s="29">
        <f ca="1">G9-TODAY()</f>
        <v>51</v>
      </c>
    </row>
    <row r="14" spans="3:16" ht="15.75" thickBot="1" x14ac:dyDescent="0.3"/>
    <row r="15" spans="3:16" ht="15.75" thickBot="1" x14ac:dyDescent="0.3">
      <c r="C15" s="79" t="s">
        <v>14</v>
      </c>
      <c r="D15" s="80"/>
      <c r="E15" s="80"/>
      <c r="F15" s="81"/>
      <c r="G15" s="79" t="s">
        <v>15</v>
      </c>
      <c r="H15" s="80"/>
      <c r="I15" s="80"/>
      <c r="J15" s="80"/>
      <c r="K15" s="80"/>
      <c r="L15" s="81"/>
    </row>
    <row r="16" spans="3:16" x14ac:dyDescent="0.25">
      <c r="G16" s="13"/>
    </row>
    <row r="17" spans="3:16" x14ac:dyDescent="0.25">
      <c r="C17" s="6" t="s">
        <v>23</v>
      </c>
      <c r="D17" s="28">
        <v>1.97</v>
      </c>
      <c r="G17" s="13"/>
      <c r="J17" s="6" t="s">
        <v>24</v>
      </c>
      <c r="K17" s="32">
        <v>6.23</v>
      </c>
    </row>
    <row r="18" spans="3:16" x14ac:dyDescent="0.25">
      <c r="C18" s="6" t="s">
        <v>16</v>
      </c>
      <c r="D18" s="29">
        <f ca="1">G5*EXP(-G8*D48)*NORMSDIST(C46)-G6*EXP(-G7*D48)*NORMSDIST(D46)</f>
        <v>1.5461797301249227</v>
      </c>
      <c r="G18" s="13"/>
      <c r="J18" s="6" t="s">
        <v>17</v>
      </c>
      <c r="K18" s="29">
        <f ca="1">G6*EXP(-G7*N13)*NORMSDIST(-D46)-G5*EXP(-G8*N13)*NORMSDIST(-C46)</f>
        <v>5.8179035023290453</v>
      </c>
    </row>
    <row r="19" spans="3:16" x14ac:dyDescent="0.25">
      <c r="G19" s="13"/>
    </row>
    <row r="20" spans="3:16" ht="15.75" thickBot="1" x14ac:dyDescent="0.3">
      <c r="G20" s="33"/>
    </row>
    <row r="21" spans="3:16" ht="15.75" thickBot="1" x14ac:dyDescent="0.3">
      <c r="F21" s="54" t="s">
        <v>18</v>
      </c>
      <c r="G21" s="31">
        <v>0.2215</v>
      </c>
    </row>
    <row r="22" spans="3:16" x14ac:dyDescent="0.25">
      <c r="G22" s="34"/>
      <c r="P22"/>
    </row>
    <row r="23" spans="3:16" x14ac:dyDescent="0.25">
      <c r="G23" s="13"/>
    </row>
    <row r="24" spans="3:16" x14ac:dyDescent="0.25">
      <c r="C24" s="6" t="s">
        <v>19</v>
      </c>
      <c r="D24" s="29">
        <f ca="1">EXP(-G8*D48)*NORMSDIST(C46)</f>
        <v>0.32128032595204487</v>
      </c>
      <c r="G24" s="13"/>
      <c r="J24" s="6" t="s">
        <v>20</v>
      </c>
      <c r="K24" s="29">
        <f ca="1">EXP(-G8*D48)*(NORMSDIST(C46)-1)</f>
        <v>-0.67732338948762416</v>
      </c>
    </row>
    <row r="25" spans="3:16" x14ac:dyDescent="0.25">
      <c r="C25" s="1" t="s">
        <v>34</v>
      </c>
      <c r="G25" s="13"/>
    </row>
    <row r="26" spans="3:16" x14ac:dyDescent="0.25">
      <c r="C26" s="1" t="s">
        <v>35</v>
      </c>
      <c r="G26" s="13"/>
    </row>
    <row r="27" spans="3:16" x14ac:dyDescent="0.25">
      <c r="C27" s="1" t="s">
        <v>36</v>
      </c>
      <c r="F27" s="35"/>
    </row>
    <row r="28" spans="3:16" x14ac:dyDescent="0.25">
      <c r="C28" s="1" t="s">
        <v>37</v>
      </c>
      <c r="F28" s="35"/>
    </row>
    <row r="29" spans="3:16" x14ac:dyDescent="0.25">
      <c r="F29" s="35"/>
    </row>
    <row r="30" spans="3:16" x14ac:dyDescent="0.25">
      <c r="C30" s="12" t="s">
        <v>21</v>
      </c>
      <c r="F30" s="35"/>
      <c r="J30" s="12" t="s">
        <v>22</v>
      </c>
    </row>
    <row r="31" spans="3:16" x14ac:dyDescent="0.25">
      <c r="C31" s="30">
        <f>Pricer!G5-Pricer!G6+Pricer!K17</f>
        <v>1.9399999999999942</v>
      </c>
      <c r="F31" s="35"/>
      <c r="J31" s="30">
        <f>D17-G5+G6</f>
        <v>6.2600000000000051</v>
      </c>
    </row>
    <row r="33" spans="3:10" ht="15.75" thickBot="1" x14ac:dyDescent="0.3">
      <c r="J33" s="10"/>
    </row>
    <row r="34" spans="3:10" ht="21" customHeight="1" x14ac:dyDescent="0.25">
      <c r="C34" s="36" t="s">
        <v>38</v>
      </c>
      <c r="D34" s="8"/>
      <c r="E34" s="76" t="s">
        <v>45</v>
      </c>
      <c r="F34" s="77"/>
      <c r="G34" s="78" t="s">
        <v>46</v>
      </c>
      <c r="H34" s="77"/>
    </row>
    <row r="35" spans="3:10" ht="15.75" thickBot="1" x14ac:dyDescent="0.3">
      <c r="C35" s="41"/>
      <c r="D35" s="45"/>
      <c r="E35" s="47" t="s">
        <v>43</v>
      </c>
      <c r="F35" s="46" t="s">
        <v>44</v>
      </c>
      <c r="G35" s="45" t="s">
        <v>43</v>
      </c>
      <c r="H35" s="46" t="s">
        <v>44</v>
      </c>
    </row>
    <row r="36" spans="3:10" x14ac:dyDescent="0.25">
      <c r="C36" s="37" t="s">
        <v>39</v>
      </c>
      <c r="D36" s="38">
        <f>G21</f>
        <v>0.2215</v>
      </c>
      <c r="E36" s="48">
        <f>$G$5-(D36*$G$5)</f>
        <v>74.510234999999994</v>
      </c>
      <c r="F36" s="40">
        <f>$G$5+(D36*$G$5)</f>
        <v>116.90976499999999</v>
      </c>
      <c r="G36" s="39">
        <f>$G$5-2*(D36*$G$5)</f>
        <v>53.310469999999995</v>
      </c>
      <c r="H36" s="40">
        <f>$G$5+2*(D36*$G$5)</f>
        <v>138.10953000000001</v>
      </c>
    </row>
    <row r="37" spans="3:10" x14ac:dyDescent="0.25">
      <c r="C37" s="37" t="s">
        <v>40</v>
      </c>
      <c r="D37" s="38">
        <f>D36/SQRT(12)</f>
        <v>6.3941542312751051E-2</v>
      </c>
      <c r="E37" s="48">
        <f t="shared" ref="E37:E39" si="0">$G$5-(D37*$G$5)</f>
        <v>89.590154985246585</v>
      </c>
      <c r="F37" s="40">
        <f t="shared" ref="F37:F39" si="1">$G$5+(D37*$G$5)</f>
        <v>101.8298450147534</v>
      </c>
      <c r="G37" s="39">
        <f t="shared" ref="G37:G39" si="2">$G$5-2*(D37*$G$5)</f>
        <v>83.47030997049319</v>
      </c>
      <c r="H37" s="40">
        <f t="shared" ref="H37:H39" si="3">$G$5+2*(D37*$G$5)</f>
        <v>107.9496900295068</v>
      </c>
    </row>
    <row r="38" spans="3:10" x14ac:dyDescent="0.25">
      <c r="C38" s="37" t="s">
        <v>41</v>
      </c>
      <c r="D38" s="38">
        <f>D36/SQRT(52)</f>
        <v>3.0716523365972064E-2</v>
      </c>
      <c r="E38" s="48">
        <f t="shared" si="0"/>
        <v>92.770121548642805</v>
      </c>
      <c r="F38" s="40">
        <f t="shared" si="1"/>
        <v>98.649878451357182</v>
      </c>
      <c r="G38" s="39">
        <f t="shared" si="2"/>
        <v>89.830243097285617</v>
      </c>
      <c r="H38" s="40">
        <f t="shared" si="3"/>
        <v>101.58975690271437</v>
      </c>
    </row>
    <row r="39" spans="3:10" ht="15.75" thickBot="1" x14ac:dyDescent="0.3">
      <c r="C39" s="41" t="s">
        <v>42</v>
      </c>
      <c r="D39" s="42">
        <f>D36/SQRT(252)</f>
        <v>1.3953188461923971E-2</v>
      </c>
      <c r="E39" s="49">
        <f t="shared" si="0"/>
        <v>94.374540332309252</v>
      </c>
      <c r="F39" s="44">
        <f t="shared" si="1"/>
        <v>97.045459667690736</v>
      </c>
      <c r="G39" s="43">
        <f t="shared" si="2"/>
        <v>93.03908066461851</v>
      </c>
      <c r="H39" s="44">
        <f t="shared" si="3"/>
        <v>98.380919335381478</v>
      </c>
    </row>
    <row r="44" spans="3:10" x14ac:dyDescent="0.25">
      <c r="C44" s="14"/>
      <c r="D44" s="15"/>
      <c r="E44" s="2" t="s">
        <v>4</v>
      </c>
    </row>
    <row r="45" spans="3:10" x14ac:dyDescent="0.25">
      <c r="C45" s="3" t="s">
        <v>5</v>
      </c>
      <c r="D45" s="4" t="s">
        <v>6</v>
      </c>
      <c r="E45" s="5" t="s">
        <v>7</v>
      </c>
    </row>
    <row r="46" spans="3:10" x14ac:dyDescent="0.25">
      <c r="C46" s="18">
        <f ca="1">(LN(G5/G6)+(G7+(G21^2)/2)*D48)/(G21*SQRT(D48))</f>
        <v>-0.46286783542714782</v>
      </c>
      <c r="D46" s="19">
        <f ca="1">C46-G21*SQRT(D48)</f>
        <v>-0.54566441318052616</v>
      </c>
      <c r="E46" s="20">
        <f ca="1">EXP(  -( C46^2 / 2 )  ) / SQRT( 2*PI( ) )</f>
        <v>0.35841567967641719</v>
      </c>
    </row>
    <row r="47" spans="3:10" x14ac:dyDescent="0.25">
      <c r="C47" s="16"/>
      <c r="D47" s="21"/>
      <c r="E47" s="22"/>
    </row>
    <row r="48" spans="3:10" x14ac:dyDescent="0.25">
      <c r="C48" s="17" t="s">
        <v>29</v>
      </c>
      <c r="D48" s="19">
        <f ca="1">(G9-TODAY())/365</f>
        <v>0.13972602739726028</v>
      </c>
      <c r="E48" s="20"/>
    </row>
  </sheetData>
  <mergeCells count="6">
    <mergeCell ref="C1:K2"/>
    <mergeCell ref="N8:P8"/>
    <mergeCell ref="E34:F34"/>
    <mergeCell ref="G34:H34"/>
    <mergeCell ref="C15:F15"/>
    <mergeCell ref="G15:L15"/>
  </mergeCells>
  <hyperlinks>
    <hyperlink ref="N7" r:id="rId1" xr:uid="{00000000-0004-0000-0000-000000000000}"/>
    <hyperlink ref="N8" r:id="rId2" xr:uid="{00000000-0004-0000-0000-000001000000}"/>
    <hyperlink ref="N9" r:id="rId3" xr:uid="{F0BD532D-C2DC-4AF0-8E1A-3C57190B40C7}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1"/>
  </sheetPr>
  <dimension ref="A1:I3"/>
  <sheetViews>
    <sheetView workbookViewId="0">
      <selection activeCell="A14" sqref="A14"/>
    </sheetView>
  </sheetViews>
  <sheetFormatPr defaultRowHeight="15" x14ac:dyDescent="0.25"/>
  <cols>
    <col min="1" max="1" width="232.85546875" style="58" customWidth="1"/>
    <col min="2" max="8" width="9.140625" style="58"/>
    <col min="9" max="9" width="16.5703125" style="58" customWidth="1"/>
    <col min="10" max="16384" width="9.140625" style="58"/>
  </cols>
  <sheetData>
    <row r="1" spans="1:9" x14ac:dyDescent="0.25">
      <c r="A1" s="27" t="s">
        <v>33</v>
      </c>
    </row>
    <row r="2" spans="1:9" x14ac:dyDescent="0.25">
      <c r="A2" s="68" t="s">
        <v>52</v>
      </c>
      <c r="B2" s="69"/>
      <c r="C2" s="69"/>
      <c r="D2" s="69"/>
      <c r="E2" s="69"/>
      <c r="F2" s="69"/>
      <c r="G2" s="69"/>
      <c r="H2" s="69"/>
      <c r="I2" s="69"/>
    </row>
    <row r="3" spans="1:9" x14ac:dyDescent="0.25">
      <c r="A3" s="59" t="s">
        <v>49</v>
      </c>
    </row>
  </sheetData>
  <mergeCells count="1">
    <mergeCell ref="A2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Pricer</vt:lpstr>
      <vt:lpstr>Disclaimer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g.dupont</cp:lastModifiedBy>
  <dcterms:created xsi:type="dcterms:W3CDTF">2018-07-12T06:25:51Z</dcterms:created>
  <dcterms:modified xsi:type="dcterms:W3CDTF">2019-09-25T14:41:11Z</dcterms:modified>
</cp:coreProperties>
</file>