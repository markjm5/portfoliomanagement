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6320" yWindow="580" windowWidth="46100" windowHeight="26000" tabRatio="600" firstSheet="0" activeTab="2"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s>
  <definedNames/>
  <calcPr calcId="191029" fullCalcOnLoad="1"/>
</workbook>
</file>

<file path=xl/styles.xml><?xml version="1.0" encoding="utf-8"?>
<styleSheet xmlns="http://schemas.openxmlformats.org/spreadsheetml/2006/main">
  <numFmts count="4">
    <numFmt numFmtId="164" formatCode="0.0%"/>
    <numFmt numFmtId="165" formatCode="0.0"/>
    <numFmt numFmtId="166" formatCode="#,##0.0"/>
    <numFmt numFmtId="167" formatCode="0;[Red]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19">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166" fontId="0" fillId="2" borderId="5"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166" fontId="0" fillId="2" borderId="8" applyAlignment="1" pivotButton="0" quotePrefix="0" xfId="0">
      <alignment horizontal="center" wrapText="1"/>
    </xf>
    <xf numFmtId="0" fontId="0" fillId="2" borderId="8" applyAlignment="1" pivotButton="0" quotePrefix="0" xfId="0">
      <alignment horizontal="center"/>
    </xf>
    <xf numFmtId="0" fontId="0" fillId="2" borderId="3" applyAlignment="1" pivotButton="0" quotePrefix="0" xfId="0">
      <alignment wrapText="1"/>
    </xf>
    <xf numFmtId="0" fontId="0" fillId="5" borderId="4" pivotButton="0" quotePrefix="0" xfId="0"/>
    <xf numFmtId="0" fontId="0" fillId="5" borderId="6" pivotButton="0" quotePrefix="0" xfId="0"/>
    <xf numFmtId="0" fontId="2" fillId="2" borderId="0" applyAlignment="1" pivotButton="0" quotePrefix="0" xfId="1">
      <alignment vertical="center" readingOrder="1"/>
    </xf>
    <xf numFmtId="0" fontId="1" fillId="2" borderId="0" pivotButton="0" quotePrefix="0" xfId="0"/>
    <xf numFmtId="3" fontId="0" fillId="2" borderId="7" applyAlignment="1" pivotButton="0" quotePrefix="0" xfId="0">
      <alignment vertical="top" wrapText="1"/>
    </xf>
    <xf numFmtId="3" fontId="0" fillId="2" borderId="2" applyAlignment="1" pivotButton="0" quotePrefix="0" xfId="0">
      <alignment vertical="top" wrapText="1"/>
    </xf>
    <xf numFmtId="10" fontId="0" fillId="2" borderId="7" applyAlignment="1" pivotButton="0" quotePrefix="0" xfId="0">
      <alignment vertical="top" wrapText="1"/>
    </xf>
    <xf numFmtId="3" fontId="0" fillId="2" borderId="0" applyAlignment="1" pivotButton="0" quotePrefix="0" xfId="0">
      <alignment vertical="top" wrapText="1"/>
    </xf>
    <xf numFmtId="167" fontId="0" fillId="2" borderId="2" applyAlignment="1" pivotButton="0" quotePrefix="0" xfId="0">
      <alignment vertical="top"/>
    </xf>
    <xf numFmtId="167" fontId="0" fillId="2" borderId="0" applyAlignment="1" pivotButton="0" quotePrefix="0" xfId="0">
      <alignment vertical="top" wrapText="1"/>
    </xf>
    <xf numFmtId="167" fontId="0" fillId="2" borderId="7" applyAlignment="1" pivotButton="0" quotePrefix="0" xfId="0">
      <alignment vertical="top" wrapText="1"/>
    </xf>
    <xf numFmtId="167" fontId="0" fillId="2" borderId="0" applyAlignment="1" pivotButton="0" quotePrefix="0" xfId="0">
      <alignment vertical="top"/>
    </xf>
    <xf numFmtId="167" fontId="0" fillId="2" borderId="7" applyAlignment="1" pivotButton="0" quotePrefix="0" xfId="0">
      <alignment vertical="top"/>
    </xf>
    <xf numFmtId="10" fontId="0" fillId="2" borderId="3" applyAlignment="1" pivotButton="0" quotePrefix="0" xfId="0">
      <alignment vertical="top"/>
    </xf>
    <xf numFmtId="10" fontId="0" fillId="2" borderId="5" applyAlignment="1" pivotButton="0" quotePrefix="0" xfId="0">
      <alignment vertical="top"/>
    </xf>
    <xf numFmtId="10" fontId="0" fillId="2" borderId="8" applyAlignment="1" pivotButton="0" quotePrefix="0" xfId="0">
      <alignment vertical="top"/>
    </xf>
    <xf numFmtId="0" fontId="0" fillId="2" borderId="0" pivotButton="0" quotePrefix="0" xfId="0"/>
    <xf numFmtId="0" fontId="0" fillId="2" borderId="0" applyAlignment="1" pivotButton="0" quotePrefix="0" xfId="0">
      <alignment wrapText="1"/>
    </xf>
    <xf numFmtId="0" fontId="0" fillId="2" borderId="2" applyAlignment="1" pivotButton="0" quotePrefix="0" xfId="0">
      <alignment vertical="top" wrapText="1"/>
    </xf>
    <xf numFmtId="10" fontId="0" fillId="2" borderId="3" applyAlignment="1" pivotButton="0" quotePrefix="0" xfId="0">
      <alignment vertical="top" wrapText="1"/>
    </xf>
    <xf numFmtId="0" fontId="0" fillId="2" borderId="0" applyAlignment="1" pivotButton="0" quotePrefix="0" xfId="0">
      <alignment vertical="top" wrapText="1"/>
    </xf>
    <xf numFmtId="10" fontId="0" fillId="2" borderId="5" applyAlignment="1" pivotButton="0" quotePrefix="0" xfId="0">
      <alignment vertical="top" wrapText="1"/>
    </xf>
    <xf numFmtId="0" fontId="0" fillId="2" borderId="7" applyAlignment="1" pivotButton="0" quotePrefix="0" xfId="0">
      <alignment vertical="top" wrapText="1"/>
    </xf>
    <xf numFmtId="10" fontId="0" fillId="2" borderId="8" applyAlignment="1" pivotButton="0" quotePrefix="0" xfId="0">
      <alignment vertical="top" wrapText="1"/>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horizontal="left" vertical="top"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cellXfs>
  <cellStyles count="3">
    <cellStyle name="Normal" xfId="0" builtinId="0"/>
    <cellStyle name="Hyperlink" xfId="1" builtinId="8"/>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106" min="1" max="1"/>
    <col width="12.83203125" customWidth="1" style="106" min="2" max="10"/>
    <col width="9.1640625" customWidth="1" style="106" min="11" max="39"/>
    <col width="9.1640625" customWidth="1" style="106" min="40" max="16384"/>
  </cols>
  <sheetData>
    <row r="1">
      <c r="B1" s="105" t="n"/>
    </row>
    <row r="2" ht="16" customHeight="1" thickBot="1">
      <c r="B2" s="107" t="n"/>
      <c r="C2" s="107" t="n"/>
      <c r="D2" s="107" t="n"/>
      <c r="E2" s="107" t="n"/>
      <c r="F2" s="107" t="n"/>
      <c r="G2" s="107" t="n"/>
      <c r="H2" s="107" t="n"/>
      <c r="I2" s="107" t="n"/>
      <c r="J2" s="107" t="n"/>
    </row>
    <row r="3" ht="16" customHeight="1" thickBot="1">
      <c r="B3" s="108" t="inlineStr">
        <is>
          <t>The Quantitative Analysis</t>
        </is>
      </c>
      <c r="C3" s="109" t="n"/>
      <c r="D3" s="109" t="n"/>
      <c r="E3" s="109" t="n"/>
      <c r="F3" s="109" t="n"/>
      <c r="G3" s="109" t="n"/>
      <c r="H3" s="109" t="n"/>
      <c r="I3" s="109" t="n"/>
      <c r="J3" s="110" t="n"/>
    </row>
    <row r="6">
      <c r="B6" s="102" t="inlineStr">
        <is>
          <t>DATA</t>
        </is>
      </c>
      <c r="C6" s="103" t="n"/>
      <c r="D6" s="103" t="n"/>
      <c r="E6" s="103" t="n"/>
      <c r="F6" s="104" t="n"/>
      <c r="G6" s="102" t="inlineStr">
        <is>
          <t>WEBSITES</t>
        </is>
      </c>
      <c r="H6" s="103" t="n"/>
      <c r="I6" s="103" t="n"/>
      <c r="J6" s="104" t="n"/>
    </row>
    <row r="8" ht="64.5" customHeight="1">
      <c r="B8" s="111" t="inlineStr">
        <is>
          <t>Spend 5-20 hours building your own quantitative analysis infrastructure. Either through quick copy and paste but I strongly recommend to do some macro to automatically get the data from different websites.</t>
        </is>
      </c>
      <c r="G8" s="80" t="inlineStr">
        <is>
          <t>https://finance.yahoo.com/</t>
        </is>
      </c>
    </row>
    <row r="9">
      <c r="G9" s="80" t="inlineStr">
        <is>
          <t>https://www.reuters.com</t>
        </is>
      </c>
    </row>
    <row r="10">
      <c r="G10" s="80" t="inlineStr">
        <is>
          <t>https://www.marketwatch.com/</t>
        </is>
      </c>
    </row>
    <row r="11">
      <c r="G11" s="80" t="inlineStr">
        <is>
          <t>https://finviz.com/</t>
        </is>
      </c>
    </row>
    <row r="12">
      <c r="G12" s="80" t="inlineStr">
        <is>
          <t>https://www.marketscreener.com/</t>
        </is>
      </c>
    </row>
    <row r="13">
      <c r="G13" s="80" t="inlineStr">
        <is>
          <t>https://stockrow.com/</t>
        </is>
      </c>
    </row>
    <row r="15">
      <c r="B15" s="81" t="n"/>
    </row>
    <row r="16" ht="30" customHeight="1">
      <c r="B16" s="111"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tabSelected="1" zoomScale="160" zoomScaleNormal="160" workbookViewId="0">
      <selection activeCell="K7" sqref="K7"/>
    </sheetView>
  </sheetViews>
  <sheetFormatPr baseColWidth="10" defaultColWidth="9.1640625" defaultRowHeight="15"/>
  <cols>
    <col width="9.1640625" customWidth="1" style="106" min="1" max="1"/>
    <col width="20.33203125" customWidth="1" style="106" min="2" max="2"/>
    <col width="16.83203125" customWidth="1" style="106" min="3" max="8"/>
    <col width="11.33203125" customWidth="1" style="106" min="9" max="9"/>
    <col width="15" customWidth="1" style="106" min="10" max="10"/>
    <col width="11.33203125" customWidth="1" style="106" min="11" max="14"/>
    <col width="12.83203125" customWidth="1" style="106" min="15" max="15"/>
    <col width="14.6640625" customWidth="1" style="106" min="16" max="16"/>
    <col width="16" customWidth="1" style="106" min="17" max="17"/>
    <col width="17.83203125" customWidth="1" style="106" min="18" max="18"/>
    <col width="13.33203125" customWidth="1" style="106" min="19" max="19"/>
    <col width="9.6640625" customWidth="1" style="106" min="20" max="20"/>
    <col width="9.1640625" customWidth="1" style="106" min="21" max="21"/>
    <col width="1.6640625" customWidth="1" style="106" min="22" max="24"/>
    <col width="9.1640625" customWidth="1" style="106" min="25" max="53"/>
    <col width="9.1640625" customWidth="1" style="106" min="54" max="16384"/>
  </cols>
  <sheetData>
    <row r="1" ht="16" customHeight="1" thickBot="1"/>
    <row r="2" ht="16" customHeight="1" thickBot="1">
      <c r="B2" s="4" t="n"/>
      <c r="G2" s="5" t="n"/>
      <c r="H2" s="6" t="n"/>
    </row>
    <row r="3" ht="16" customHeight="1" thickBot="1"/>
    <row r="4">
      <c r="B4" s="7" t="inlineStr">
        <is>
          <t>Last</t>
        </is>
      </c>
      <c r="C4" s="8" t="n"/>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c r="D6" s="20">
        <f>(C4-C6)/C6</f>
        <v/>
      </c>
      <c r="E6" s="21" t="inlineStr">
        <is>
          <t>Trailing P/E</t>
        </is>
      </c>
      <c r="F6" s="22">
        <f>E25</f>
        <v/>
      </c>
      <c r="G6" s="21" t="inlineStr">
        <is>
          <t>Price to book</t>
        </is>
      </c>
      <c r="H6" s="23">
        <f>C4/F36</f>
        <v/>
      </c>
      <c r="L6" s="24" t="n"/>
      <c r="M6" s="25" t="n"/>
    </row>
    <row r="7">
      <c r="B7" s="18" t="inlineStr">
        <is>
          <t>52 week Low</t>
        </is>
      </c>
      <c r="C7" s="19" t="n"/>
      <c r="D7" s="20">
        <f>(C4-C7)/C7</f>
        <v/>
      </c>
      <c r="E7" s="21" t="inlineStr">
        <is>
          <t>Forward P/E</t>
        </is>
      </c>
      <c r="F7" s="2">
        <f>F25</f>
        <v/>
      </c>
      <c r="G7" s="21" t="inlineStr">
        <is>
          <t>ROE</t>
        </is>
      </c>
      <c r="H7" s="26" t="n"/>
      <c r="J7" s="7" t="inlineStr">
        <is>
          <t>Competitors</t>
        </is>
      </c>
      <c r="K7" s="96" t="n"/>
      <c r="L7" s="97" t="n"/>
      <c r="M7" s="25" t="n"/>
      <c r="N7" s="81" t="n"/>
    </row>
    <row r="8">
      <c r="B8" s="18" t="inlineStr">
        <is>
          <t>YTD Change/%</t>
        </is>
      </c>
      <c r="C8" s="28" t="n"/>
      <c r="D8" s="29" t="n"/>
      <c r="E8" s="21" t="inlineStr">
        <is>
          <t>PEG</t>
        </is>
      </c>
      <c r="F8" s="2" t="n"/>
      <c r="G8" s="21" t="inlineStr">
        <is>
          <t>Exchange</t>
        </is>
      </c>
      <c r="H8" s="14" t="n"/>
      <c r="J8" s="30" t="n"/>
      <c r="K8" s="98" t="n"/>
      <c r="L8" s="99" t="n"/>
    </row>
    <row r="9">
      <c r="B9" s="18" t="inlineStr">
        <is>
          <t>Mkt Cap</t>
        </is>
      </c>
      <c r="C9" s="3" t="n"/>
      <c r="D9" s="2" t="n"/>
      <c r="E9" s="21" t="inlineStr">
        <is>
          <t>Dividend YYYY</t>
        </is>
      </c>
      <c r="F9" s="2" t="n"/>
      <c r="G9" s="21" t="inlineStr">
        <is>
          <t>Sector</t>
        </is>
      </c>
      <c r="H9" s="14" t="n"/>
      <c r="J9" s="30" t="n"/>
      <c r="K9" s="98" t="n"/>
      <c r="L9" s="99" t="n"/>
    </row>
    <row r="10">
      <c r="B10" s="18" t="inlineStr">
        <is>
          <t>EV</t>
        </is>
      </c>
      <c r="C10" s="31" t="n"/>
      <c r="D10" s="3">
        <f>C10-C9</f>
        <v/>
      </c>
      <c r="E10" s="21" t="inlineStr">
        <is>
          <t>Div. yield</t>
        </is>
      </c>
      <c r="F10" s="29">
        <f>IF(F9&lt;"-",F9/C4,"")</f>
        <v/>
      </c>
      <c r="G10" s="21" t="inlineStr">
        <is>
          <t>Industry</t>
        </is>
      </c>
      <c r="H10" s="14" t="n"/>
      <c r="J10" s="30" t="n"/>
      <c r="K10" s="98" t="n"/>
      <c r="L10" s="99" t="n"/>
    </row>
    <row r="11" ht="16" customHeight="1" thickBot="1">
      <c r="B11" s="18" t="inlineStr">
        <is>
          <t>Days to Cover</t>
        </is>
      </c>
      <c r="C11" s="19" t="n"/>
      <c r="D11" s="2" t="n"/>
      <c r="E11" s="21" t="inlineStr">
        <is>
          <t>Beta</t>
        </is>
      </c>
      <c r="F11" s="19" t="n"/>
      <c r="G11" s="21" t="inlineStr">
        <is>
          <t>Website</t>
        </is>
      </c>
      <c r="H11" s="32" t="n"/>
      <c r="J11" s="33" t="n"/>
      <c r="K11" s="100" t="n"/>
      <c r="L11" s="101" t="n"/>
    </row>
    <row r="12" ht="15.75" customHeight="1" thickBot="1">
      <c r="B12" s="34" t="inlineStr">
        <is>
          <t>Target Price</t>
        </is>
      </c>
      <c r="C12" s="35" t="n"/>
      <c r="D12" s="36" t="n"/>
      <c r="E12" s="16" t="n"/>
      <c r="F12" s="16" t="n"/>
      <c r="G12" s="16" t="n"/>
      <c r="H12" s="17" t="n"/>
    </row>
    <row r="13" ht="16" customHeight="1" thickBot="1">
      <c r="D13" s="37" t="n"/>
      <c r="L13" s="27" t="n"/>
      <c r="M13" s="25" t="n"/>
    </row>
    <row r="14" ht="16" customHeight="1" thickBot="1">
      <c r="G14" s="38" t="inlineStr">
        <is>
          <t>Year End</t>
        </is>
      </c>
      <c r="H14" s="39" t="n"/>
    </row>
    <row r="15" ht="16" customHeight="1">
      <c r="B15" s="7" t="n"/>
      <c r="C15" s="40" t="n"/>
      <c r="D15" s="40" t="n"/>
      <c r="E15" s="40" t="n"/>
      <c r="F15" s="40" t="n"/>
      <c r="G15" s="40" t="n"/>
      <c r="H15" s="41" t="n"/>
      <c r="J15" s="42" t="n"/>
      <c r="K15" s="43" t="n"/>
      <c r="L15" s="43" t="n"/>
      <c r="M15" s="43" t="n"/>
      <c r="N15" s="43" t="n"/>
      <c r="O15" s="44" t="inlineStr">
        <is>
          <t>Avg.</t>
        </is>
      </c>
    </row>
    <row r="16">
      <c r="B16" s="18" t="inlineStr">
        <is>
          <t>Sales</t>
        </is>
      </c>
      <c r="C16" s="3" t="n"/>
      <c r="D16" s="3" t="n"/>
      <c r="E16" s="3" t="n"/>
      <c r="F16" s="3" t="n"/>
      <c r="G16" s="3" t="n"/>
      <c r="H16" s="45" t="n"/>
      <c r="J16" s="18" t="inlineStr">
        <is>
          <t>Mkt Cap</t>
        </is>
      </c>
      <c r="K16" s="3" t="n"/>
      <c r="L16" s="3" t="n"/>
      <c r="M16" s="3" t="n"/>
      <c r="N16" s="3" t="n"/>
      <c r="O16" s="45">
        <f>AVERAGE(K16:N16)</f>
        <v/>
      </c>
    </row>
    <row r="17" ht="15" customHeight="1">
      <c r="B17" s="18" t="inlineStr">
        <is>
          <t>yoy</t>
        </is>
      </c>
      <c r="C17" s="2" t="n"/>
      <c r="D17" s="29">
        <f>(D16-C16)/C16</f>
        <v/>
      </c>
      <c r="E17" s="29">
        <f>(E16-D16)/D16</f>
        <v/>
      </c>
      <c r="F17" s="29">
        <f>(F16-E16)/E16</f>
        <v/>
      </c>
      <c r="G17" s="29">
        <f>(G16-F16)/F16</f>
        <v/>
      </c>
      <c r="H17" s="46">
        <f>(H16-G16)/G16</f>
        <v/>
      </c>
      <c r="J17" s="18" t="inlineStr">
        <is>
          <t>EV</t>
        </is>
      </c>
      <c r="K17" s="3" t="n"/>
      <c r="L17" s="3" t="n"/>
      <c r="M17" s="3" t="n"/>
      <c r="N17" s="3" t="n"/>
      <c r="O17" s="45">
        <f>AVERAGE(K17:N17)</f>
        <v/>
      </c>
      <c r="AB17" s="111" t="n"/>
    </row>
    <row r="18" ht="15" customHeight="1">
      <c r="B18" s="18" t="inlineStr">
        <is>
          <t>EBITDA</t>
        </is>
      </c>
      <c r="C18" s="3" t="n"/>
      <c r="D18" s="3" t="n"/>
      <c r="E18" s="3" t="n"/>
      <c r="F18" s="3" t="n"/>
      <c r="G18" s="3" t="n"/>
      <c r="H18" s="45" t="n"/>
      <c r="J18" s="18" t="inlineStr">
        <is>
          <t>P/E</t>
        </is>
      </c>
      <c r="K18" s="47" t="n"/>
      <c r="L18" s="47" t="n"/>
      <c r="M18" s="47" t="n"/>
      <c r="N18" s="47" t="n"/>
      <c r="O18" s="48">
        <f>AVERAGE(K18:N18)</f>
        <v/>
      </c>
      <c r="AB18" s="111" t="n"/>
    </row>
    <row r="19" ht="15" customHeight="1">
      <c r="B19" s="18" t="inlineStr">
        <is>
          <t>EBITDA margin</t>
        </is>
      </c>
      <c r="C19" s="49">
        <f>IF(C18&lt;"-",C18/C16,"")</f>
        <v/>
      </c>
      <c r="D19" s="49">
        <f>IF(D18&lt;"-",D18/D16,"")</f>
        <v/>
      </c>
      <c r="E19" s="49">
        <f>IF(E18&lt;"-",E18/E16,"")</f>
        <v/>
      </c>
      <c r="F19" s="49">
        <f>IF(F18&lt;"-",F18/F16,"")</f>
        <v/>
      </c>
      <c r="G19" s="49">
        <f>IF(G18&lt;"-",G18/G16,"")</f>
        <v/>
      </c>
      <c r="H19" s="50">
        <f>IF(H18&lt;"-",H18/H16,"")</f>
        <v/>
      </c>
      <c r="J19" s="18" t="inlineStr">
        <is>
          <t>EV/EBITDA</t>
        </is>
      </c>
      <c r="K19" s="47" t="n"/>
      <c r="L19" s="47" t="n"/>
      <c r="M19" s="47" t="n"/>
      <c r="N19" s="47" t="n"/>
      <c r="O19" s="48">
        <f>AVERAGE(K19:N19)</f>
        <v/>
      </c>
      <c r="AC19" s="111" t="n"/>
    </row>
    <row r="20" ht="15" customHeight="1">
      <c r="B20" s="18" t="inlineStr">
        <is>
          <t>Operating Profit (EBIT)</t>
        </is>
      </c>
      <c r="C20" s="3" t="n"/>
      <c r="D20" s="3" t="n"/>
      <c r="E20" s="3" t="n"/>
      <c r="F20" s="3" t="n"/>
      <c r="G20" s="3" t="n"/>
      <c r="H20" s="45" t="n"/>
      <c r="J20" s="18" t="inlineStr">
        <is>
          <t>EV/EBIT</t>
        </is>
      </c>
      <c r="K20" s="47" t="n"/>
      <c r="L20" s="47" t="n"/>
      <c r="M20" s="47" t="n"/>
      <c r="N20" s="47" t="n"/>
      <c r="O20" s="48">
        <f>AVERAGE(K20:N20)</f>
        <v/>
      </c>
    </row>
    <row r="21" ht="15" customHeight="1">
      <c r="B21" s="18" t="inlineStr">
        <is>
          <t>EBIT margin</t>
        </is>
      </c>
      <c r="C21" s="49">
        <f>C20/C16</f>
        <v/>
      </c>
      <c r="D21" s="49">
        <f>D20/D16</f>
        <v/>
      </c>
      <c r="E21" s="49">
        <f>E20/E16</f>
        <v/>
      </c>
      <c r="F21" s="49">
        <f>F20/F16</f>
        <v/>
      </c>
      <c r="G21" s="49">
        <f>G20/G16</f>
        <v/>
      </c>
      <c r="H21" s="50">
        <f>H20/H16</f>
        <v/>
      </c>
      <c r="J21" s="18" t="inlineStr">
        <is>
          <t>EV/Revenues</t>
        </is>
      </c>
      <c r="K21" s="47" t="n"/>
      <c r="L21" s="47" t="n"/>
      <c r="M21" s="47" t="n"/>
      <c r="N21" s="47" t="n"/>
      <c r="O21" s="48">
        <f>AVERAGE(K21:N21)</f>
        <v/>
      </c>
      <c r="AC21" s="111" t="n"/>
    </row>
    <row r="22" ht="15" customHeight="1">
      <c r="B22" s="18" t="inlineStr">
        <is>
          <t>Net income</t>
        </is>
      </c>
      <c r="C22" s="3" t="n"/>
      <c r="D22" s="3" t="n"/>
      <c r="E22" s="3" t="n"/>
      <c r="F22" s="3" t="n"/>
      <c r="G22" s="3" t="n"/>
      <c r="H22" s="45" t="n"/>
      <c r="J22" s="18" t="inlineStr">
        <is>
          <t>PB</t>
        </is>
      </c>
      <c r="K22" s="19" t="n"/>
      <c r="L22" s="19" t="n"/>
      <c r="M22" s="19" t="n"/>
      <c r="N22" s="19" t="n"/>
      <c r="O22" s="48">
        <f>AVERAGE(K22:N22)</f>
        <v/>
      </c>
      <c r="AB22" s="111" t="n"/>
      <c r="AC22" s="111" t="n"/>
      <c r="AE22" s="111" t="n"/>
    </row>
    <row r="23" ht="15" customHeight="1">
      <c r="B23" s="18" t="inlineStr">
        <is>
          <t>Net Margin</t>
        </is>
      </c>
      <c r="C23" s="49">
        <f>C22/C16</f>
        <v/>
      </c>
      <c r="D23" s="49">
        <f>D22/D16</f>
        <v/>
      </c>
      <c r="E23" s="49">
        <f>E22/E16</f>
        <v/>
      </c>
      <c r="F23" s="49">
        <f>F22/F16</f>
        <v/>
      </c>
      <c r="G23" s="49">
        <f>G22/G16</f>
        <v/>
      </c>
      <c r="H23" s="50">
        <f>H22/H16</f>
        <v/>
      </c>
      <c r="J23" s="18" t="inlineStr">
        <is>
          <t>EBITDA margin</t>
        </is>
      </c>
      <c r="K23" s="20" t="n"/>
      <c r="L23" s="20" t="n"/>
      <c r="M23" s="20" t="n"/>
      <c r="N23" s="20" t="n"/>
      <c r="O23" s="51">
        <f>AVERAGE(K23:N23)</f>
        <v/>
      </c>
    </row>
    <row r="24" ht="15" customHeight="1">
      <c r="B24" s="18" t="n"/>
      <c r="C24" s="2" t="n"/>
      <c r="D24" s="52">
        <f>(D22-C22)/C22</f>
        <v/>
      </c>
      <c r="E24" s="52">
        <f>(E22-D22)/D22</f>
        <v/>
      </c>
      <c r="F24" s="52">
        <f>(F22-E22)/E22</f>
        <v/>
      </c>
      <c r="G24" s="52">
        <f>(G22-F22)/F22</f>
        <v/>
      </c>
      <c r="H24" s="53">
        <f>(H22-G22)/G22</f>
        <v/>
      </c>
      <c r="J24" s="18" t="inlineStr">
        <is>
          <t>EBIT margin</t>
        </is>
      </c>
      <c r="K24" s="20" t="n"/>
      <c r="L24" s="20" t="n"/>
      <c r="M24" s="20" t="n"/>
      <c r="N24" s="20" t="n"/>
      <c r="O24" s="51">
        <f>AVERAGE(K24:N24)</f>
        <v/>
      </c>
    </row>
    <row r="25" ht="15" customHeight="1">
      <c r="B25" s="18" t="inlineStr">
        <is>
          <t>P/E ratio</t>
        </is>
      </c>
      <c r="C25" s="2" t="n"/>
      <c r="D25" s="2" t="n"/>
      <c r="E25" s="22" t="n"/>
      <c r="F25" s="2" t="n"/>
      <c r="G25" s="2" t="n"/>
      <c r="H25" s="54" t="n"/>
      <c r="J25" s="18" t="inlineStr">
        <is>
          <t>Net margin</t>
        </is>
      </c>
      <c r="K25" s="20" t="n"/>
      <c r="L25" s="20" t="n"/>
      <c r="M25" s="20" t="n"/>
      <c r="N25" s="20" t="n"/>
      <c r="O25" s="51">
        <f>AVERAGE(K25:N25)</f>
        <v/>
      </c>
      <c r="AC25" s="111" t="n"/>
    </row>
    <row r="26" ht="15" customHeight="1">
      <c r="B26" s="18" t="inlineStr">
        <is>
          <t>EPS</t>
        </is>
      </c>
      <c r="C26" s="2" t="n"/>
      <c r="D26" s="2" t="n"/>
      <c r="E26" s="19" t="n"/>
      <c r="F26" s="2" t="n"/>
      <c r="G26" s="2" t="n"/>
      <c r="H26" s="54" t="n"/>
      <c r="J26" s="18" t="inlineStr">
        <is>
          <t>Dividend Yield</t>
        </is>
      </c>
      <c r="K26" s="29" t="n"/>
      <c r="L26" s="29" t="n"/>
      <c r="M26" s="29" t="n"/>
      <c r="N26" s="29" t="n"/>
      <c r="O26" s="46">
        <f>AVERAGE(K26:N26)</f>
        <v/>
      </c>
    </row>
    <row r="27" ht="15" customHeight="1" thickBot="1">
      <c r="B27" s="18" t="inlineStr">
        <is>
          <t>yoy</t>
        </is>
      </c>
      <c r="C27" s="2" t="n"/>
      <c r="D27" s="29">
        <f>(D26-C26)/ABS(C26)</f>
        <v/>
      </c>
      <c r="E27" s="29">
        <f>IF(D26&gt;0,(E26-D26)/D26,"")</f>
        <v/>
      </c>
      <c r="F27" s="29">
        <f>IF(E26&gt;0,(F26-E26)/E26,"")</f>
        <v/>
      </c>
      <c r="G27" s="29">
        <f>IF(F26&gt;0,(G26-F26)/F26,"")</f>
        <v/>
      </c>
      <c r="H27" s="46">
        <f>IF(G26&gt;0,(H26-G26)/G26,"")</f>
        <v/>
      </c>
      <c r="J27" s="34" t="inlineStr">
        <is>
          <t>ROE</t>
        </is>
      </c>
      <c r="K27" s="36" t="n"/>
      <c r="L27" s="36" t="n"/>
      <c r="M27" s="36" t="n"/>
      <c r="N27" s="36" t="n"/>
      <c r="O27" s="55">
        <f>AVERAGE(K27:N27)</f>
        <v/>
      </c>
      <c r="AB27" s="56" t="n"/>
      <c r="AC27" s="25" t="n"/>
      <c r="AD27" s="25" t="n"/>
      <c r="AE27" s="25" t="n"/>
    </row>
    <row r="28" ht="15" customHeight="1">
      <c r="B28" s="18" t="inlineStr">
        <is>
          <t>EV/EBITDA</t>
        </is>
      </c>
      <c r="C28" s="47">
        <f>IF(C18&lt;"-",$C$10/C18,"")</f>
        <v/>
      </c>
      <c r="D28" s="47">
        <f>IF(D18&lt;"-",$C$10/D18,"")</f>
        <v/>
      </c>
      <c r="E28" s="47">
        <f>IF(E18&lt;"-",$C$10/E18,"")</f>
        <v/>
      </c>
      <c r="F28" s="47">
        <f>IF(F18&lt;"-",$C$10/F18,"")</f>
        <v/>
      </c>
      <c r="G28" s="47">
        <f>IF(G18&lt;"-",$C$10/G18,"")</f>
        <v/>
      </c>
      <c r="H28" s="48">
        <f>IF(H18&lt;"-",$C$10/H18,"")</f>
        <v/>
      </c>
    </row>
    <row r="29" ht="15" customHeight="1">
      <c r="B29" s="18" t="inlineStr">
        <is>
          <t>EV/EBIT</t>
        </is>
      </c>
      <c r="C29" s="47">
        <f>$C$10/C20</f>
        <v/>
      </c>
      <c r="D29" s="47">
        <f>$C$10/D20</f>
        <v/>
      </c>
      <c r="E29" s="47">
        <f>$C$10/E20</f>
        <v/>
      </c>
      <c r="F29" s="47">
        <f>$C$10/F20</f>
        <v/>
      </c>
      <c r="G29" s="47">
        <f>$C$10/G20</f>
        <v/>
      </c>
      <c r="H29" s="48">
        <f>$C$10/H20</f>
        <v/>
      </c>
    </row>
    <row r="30" ht="15" customHeight="1" thickBot="1">
      <c r="B30" s="34" t="inlineStr">
        <is>
          <t>EV/Revenues</t>
        </is>
      </c>
      <c r="C30" s="57">
        <f>$C$10/C16</f>
        <v/>
      </c>
      <c r="D30" s="57">
        <f>$C$10/D16</f>
        <v/>
      </c>
      <c r="E30" s="57">
        <f>$C$10/E16</f>
        <v/>
      </c>
      <c r="F30" s="57">
        <f>$C$10/F16</f>
        <v/>
      </c>
      <c r="G30" s="57">
        <f>$C$10/G16</f>
        <v/>
      </c>
      <c r="H30" s="58">
        <f>$C$10/H16</f>
        <v/>
      </c>
      <c r="J30" s="81" t="inlineStr">
        <is>
          <t>Historical Surprises</t>
        </is>
      </c>
    </row>
    <row r="31" ht="16" customHeight="1" thickBot="1">
      <c r="J31" s="42" t="n"/>
      <c r="K31" s="59" t="n"/>
      <c r="L31" s="40" t="inlineStr">
        <is>
          <t>Estimate</t>
        </is>
      </c>
      <c r="M31" s="40" t="inlineStr">
        <is>
          <t xml:space="preserve">Actual </t>
        </is>
      </c>
      <c r="N31" s="40" t="inlineStr">
        <is>
          <t>Diff.m</t>
        </is>
      </c>
      <c r="O31" s="44" t="inlineStr">
        <is>
          <t>Surprise %</t>
        </is>
      </c>
    </row>
    <row r="32">
      <c r="B32" s="7" t="inlineStr">
        <is>
          <t>Debt</t>
        </is>
      </c>
      <c r="C32" s="60" t="n"/>
      <c r="D32" s="61" t="n"/>
      <c r="E32" s="61" t="n"/>
      <c r="F32" s="61" t="n"/>
      <c r="G32" s="61" t="n"/>
      <c r="H32" s="62" t="n"/>
      <c r="J32" s="18" t="inlineStr">
        <is>
          <t>Q-1</t>
        </is>
      </c>
      <c r="K32" s="21" t="inlineStr">
        <is>
          <t>Sales</t>
        </is>
      </c>
      <c r="L32" s="3" t="n"/>
      <c r="M32" s="3" t="n"/>
      <c r="N32" s="3" t="n"/>
      <c r="O32" s="63" t="n"/>
    </row>
    <row r="33">
      <c r="B33" s="18" t="inlineStr">
        <is>
          <t>EBITDA</t>
        </is>
      </c>
      <c r="C33" s="3">
        <f>C18</f>
        <v/>
      </c>
      <c r="D33" s="3">
        <f>D18</f>
        <v/>
      </c>
      <c r="E33" s="3">
        <f>E18</f>
        <v/>
      </c>
      <c r="F33" s="3">
        <f>F18</f>
        <v/>
      </c>
      <c r="G33" s="3">
        <f>G18</f>
        <v/>
      </c>
      <c r="H33" s="45">
        <f>H18</f>
        <v/>
      </c>
      <c r="J33" s="18" t="n"/>
      <c r="K33" s="21" t="inlineStr">
        <is>
          <t>Earnings</t>
        </is>
      </c>
      <c r="L33" s="2" t="n"/>
      <c r="M33" s="2" t="n"/>
      <c r="N33" s="2" t="n"/>
      <c r="O33" s="63"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3" t="n"/>
    </row>
    <row r="35">
      <c r="B35" s="18" t="inlineStr">
        <is>
          <t>Cash Flow per share</t>
        </is>
      </c>
      <c r="C35" s="64" t="n"/>
      <c r="D35" s="64" t="n"/>
      <c r="E35" s="64" t="n"/>
      <c r="F35" s="64" t="n"/>
      <c r="G35" s="64" t="n"/>
      <c r="H35" s="65" t="n"/>
      <c r="J35" s="18" t="n"/>
      <c r="K35" s="21" t="inlineStr">
        <is>
          <t>Earnings</t>
        </is>
      </c>
      <c r="L35" s="2" t="n"/>
      <c r="M35" s="2" t="n"/>
      <c r="N35" s="2" t="n"/>
      <c r="O35" s="63" t="n"/>
    </row>
    <row r="36" ht="16" customHeight="1" thickBot="1">
      <c r="B36" s="34" t="inlineStr">
        <is>
          <t>Book Value per share</t>
        </is>
      </c>
      <c r="C36" s="66" t="n"/>
      <c r="D36" s="66" t="n"/>
      <c r="E36" s="66" t="n"/>
      <c r="F36" s="66" t="n"/>
      <c r="G36" s="66" t="n"/>
      <c r="H36" s="67" t="n"/>
      <c r="J36" s="18" t="inlineStr">
        <is>
          <t>Q-3</t>
        </is>
      </c>
      <c r="K36" s="21" t="inlineStr">
        <is>
          <t>Sales</t>
        </is>
      </c>
      <c r="L36" s="3" t="n"/>
      <c r="M36" s="3" t="n"/>
      <c r="N36" s="3" t="n"/>
      <c r="O36" s="63" t="n"/>
    </row>
    <row r="37" ht="16" customHeight="1" thickBot="1">
      <c r="J37" s="18" t="n"/>
      <c r="K37" s="21" t="inlineStr">
        <is>
          <t>Earnings</t>
        </is>
      </c>
      <c r="L37" s="2" t="n"/>
      <c r="M37" s="2" t="n"/>
      <c r="N37" s="2" t="n"/>
      <c r="O37" s="63" t="n"/>
    </row>
    <row r="38">
      <c r="B38" s="7" t="inlineStr">
        <is>
          <t>Volume</t>
        </is>
      </c>
      <c r="C38" s="68" t="n"/>
      <c r="F38" s="7" t="inlineStr">
        <is>
          <t>50 MAV</t>
        </is>
      </c>
      <c r="G38" s="69" t="n"/>
      <c r="H38" s="70">
        <f>(C4-G38)/G38</f>
        <v/>
      </c>
      <c r="J38" s="18" t="inlineStr">
        <is>
          <t>Q-4</t>
        </is>
      </c>
      <c r="K38" s="21" t="inlineStr">
        <is>
          <t>Sales</t>
        </is>
      </c>
      <c r="L38" s="3" t="n"/>
      <c r="M38" s="3" t="n"/>
      <c r="N38" s="3" t="n"/>
      <c r="O38" s="63" t="n"/>
    </row>
    <row r="39" ht="16" customHeight="1" thickBot="1">
      <c r="B39" s="18" t="inlineStr">
        <is>
          <t>Avg Vol 10 days</t>
        </is>
      </c>
      <c r="C39" s="45" t="n"/>
      <c r="F39" s="34" t="inlineStr">
        <is>
          <t>200 MAV</t>
        </is>
      </c>
      <c r="G39" s="71" t="n"/>
      <c r="H39" s="72">
        <f>(C4-G39)/G39</f>
        <v/>
      </c>
      <c r="J39" s="34" t="n"/>
      <c r="K39" s="73" t="inlineStr">
        <is>
          <t>Earnings</t>
        </is>
      </c>
      <c r="L39" s="74" t="n"/>
      <c r="M39" s="74" t="n"/>
      <c r="N39" s="74" t="n"/>
      <c r="O39" s="75" t="n"/>
    </row>
    <row r="40" ht="16" customHeight="1" thickBot="1">
      <c r="B40" s="34" t="inlineStr">
        <is>
          <t>Avg Vol 3Months</t>
        </is>
      </c>
      <c r="C40" s="76" t="n"/>
    </row>
    <row r="41" ht="16" customHeight="1">
      <c r="F41" s="7" t="inlineStr">
        <is>
          <t>Buyback Year</t>
        </is>
      </c>
      <c r="G41" s="10" t="n"/>
      <c r="H41" s="77" t="n"/>
    </row>
    <row r="42" ht="16" customHeight="1" thickBot="1">
      <c r="F42" s="34" t="inlineStr">
        <is>
          <t>Buyback Quarter</t>
        </is>
      </c>
      <c r="G42" s="16" t="n"/>
      <c r="H42" s="17" t="n"/>
    </row>
    <row r="43" ht="19.5" customHeight="1" thickBot="1"/>
    <row r="44" ht="18" customHeight="1" thickBot="1">
      <c r="B44" s="7" t="inlineStr">
        <is>
          <t>Sales Per Region</t>
        </is>
      </c>
      <c r="C44" s="83" t="n"/>
      <c r="D44" s="86" t="n"/>
      <c r="E44" s="91">
        <f>D44/$E$16</f>
        <v/>
      </c>
      <c r="G44" s="7" t="inlineStr">
        <is>
          <t>Sales Per Business</t>
        </is>
      </c>
      <c r="H44" s="83" t="n"/>
      <c r="I44" s="86" t="n"/>
      <c r="J44" s="91">
        <f>I44/$E$16</f>
        <v/>
      </c>
      <c r="L44" s="112" t="n"/>
      <c r="M44" s="113" t="n"/>
      <c r="N44" s="113" t="n"/>
      <c r="O44" s="113" t="n"/>
      <c r="P44" s="113" t="n"/>
      <c r="Q44" s="114" t="n"/>
    </row>
    <row r="45">
      <c r="B45" s="78" t="n"/>
      <c r="C45" s="85" t="n"/>
      <c r="D45" s="87" t="n"/>
      <c r="E45" s="92">
        <f>D45/$E$16</f>
        <v/>
      </c>
      <c r="G45" s="78" t="n"/>
      <c r="H45" s="85" t="n"/>
      <c r="I45" s="89" t="n"/>
      <c r="J45" s="92">
        <f>I45/$E$16</f>
        <v/>
      </c>
      <c r="L45" s="115" t="n"/>
      <c r="Q45" s="116" t="n"/>
    </row>
    <row r="46" ht="32" customHeight="1">
      <c r="B46" s="78" t="n"/>
      <c r="C46" s="85" t="n"/>
      <c r="D46" s="87" t="n"/>
      <c r="E46" s="92">
        <f>D46/$E$16</f>
        <v/>
      </c>
      <c r="G46" s="78" t="n"/>
      <c r="H46" s="85" t="n"/>
      <c r="I46" s="89" t="n"/>
      <c r="J46" s="92">
        <f>I46/$E$16</f>
        <v/>
      </c>
      <c r="L46" s="115" t="n"/>
      <c r="Q46" s="116" t="n"/>
    </row>
    <row r="47" ht="25.5" customHeight="1" thickBot="1">
      <c r="B47" s="79" t="n"/>
      <c r="C47" s="82" t="n"/>
      <c r="D47" s="88" t="n"/>
      <c r="E47" s="93">
        <f>D47/$E$16</f>
        <v/>
      </c>
      <c r="G47" s="79" t="n"/>
      <c r="H47" s="84" t="n"/>
      <c r="I47" s="90" t="n"/>
      <c r="J47" s="93">
        <f>I47/$E$16</f>
        <v/>
      </c>
      <c r="L47" s="117" t="n"/>
      <c r="M47" s="107" t="n"/>
      <c r="N47" s="107" t="n"/>
      <c r="O47" s="107" t="n"/>
      <c r="P47" s="107" t="n"/>
      <c r="Q47" s="118" t="n"/>
    </row>
    <row r="361">
      <c r="H361" s="106" t="n">
        <v>36.79</v>
      </c>
    </row>
  </sheetData>
  <sheetProtection selectLockedCells="0" selectUnlockedCells="0" sheet="1" objects="1" insertRows="1" insertHyperlinks="1" autoFilter="1" scenarios="1" formatColumns="1" deleteColumns="1" insertColumns="1" pivotTables="1" deleteRows="1" formatCells="1" formatRows="1" sort="1"/>
  <mergeCells count="1">
    <mergeCell ref="L44:Q47"/>
  </mergeCells>
  <conditionalFormatting sqref="D17:H17">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D27:H27">
    <cfRule type="colorScale" priority="1">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O32">
    <cfRule type="cellIs" priority="5" operator="lessThan" dxfId="1">
      <formula>0</formula>
    </cfRule>
    <cfRule type="cellIs" priority="6" operator="greaterThan" dxfId="0">
      <formula>0</formula>
    </cfRule>
  </conditionalFormatting>
  <conditionalFormatting sqref="O33:O39">
    <cfRule type="cellIs" priority="3" operator="lessThan" dxfId="1">
      <formula>0</formula>
    </cfRule>
    <cfRule type="cellIs" priority="4" operator="greaterThan" dxfId="0">
      <formula>0</formula>
    </cfRule>
  </conditionalFormatting>
  <conditionalFormatting sqref="D18:H18">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sheetPr codeName="Sheet3">
    <tabColor rgb="001072BA"/>
    <outlinePr summaryBelow="1" summaryRight="1"/>
    <pageSetUpPr/>
  </sheetPr>
  <dimension ref="B2:AE361"/>
  <sheetViews>
    <sheetView zoomScale="160" workbookViewId="0">
      <selection activeCell="A1" sqref="A1"/>
    </sheetView>
  </sheetViews>
  <sheetFormatPr baseColWidth="10" defaultColWidth="9.1640625" defaultRowHeight="15"/>
  <cols>
    <col width="9.1640625" customWidth="1" style="106" min="1" max="1"/>
    <col width="20.33203125" customWidth="1" style="106" min="2" max="2"/>
    <col width="16.83203125" customWidth="1" style="106" min="3" max="8"/>
    <col width="11.33203125" customWidth="1" style="106" min="9" max="9"/>
    <col width="15" customWidth="1" style="106" min="10" max="10"/>
    <col width="11.33203125" customWidth="1" style="106" min="11" max="14"/>
    <col width="12.83203125" customWidth="1" style="106" min="15" max="15"/>
    <col width="14.6640625" customWidth="1" style="106" min="16" max="16"/>
    <col width="16" customWidth="1" style="106" min="17" max="17"/>
    <col width="17.83203125" customWidth="1" style="106" min="18" max="18"/>
    <col width="13.33203125" customWidth="1" style="106" min="19" max="19"/>
    <col width="9.6640625" customWidth="1" style="106" min="20" max="20"/>
    <col width="9.1640625" customWidth="1" style="106" min="21" max="21"/>
    <col width="1.6640625" customWidth="1" style="106" min="22" max="24"/>
    <col width="9.1640625" customWidth="1" style="106" min="25" max="53"/>
    <col width="9.1640625" customWidth="1" style="106" min="54" max="16384"/>
  </cols>
  <sheetData>
    <row r="1" ht="16" customHeight="1" thickBot="1"/>
    <row r="2" ht="16" customHeight="1" thickBot="1">
      <c r="B2" s="4" t="inlineStr">
        <is>
          <t>AAPL</t>
        </is>
      </c>
      <c r="G2" s="5" t="inlineStr">
        <is>
          <t>Apple Inc.</t>
        </is>
      </c>
      <c r="H2" s="6" t="n"/>
    </row>
    <row r="3" ht="16" customHeight="1" thickBot="1"/>
    <row r="4">
      <c r="B4" s="7" t="inlineStr">
        <is>
          <t>Last</t>
        </is>
      </c>
      <c r="C4" s="8" t="n">
        <v>147.43</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182.01</v>
      </c>
      <c r="D6" s="20">
        <f>(C4-C6)/C6</f>
        <v/>
      </c>
      <c r="E6" s="21" t="inlineStr">
        <is>
          <t>Trailing P/E</t>
        </is>
      </c>
      <c r="F6" s="22" t="n">
        <v>23.76</v>
      </c>
      <c r="G6" s="21" t="inlineStr">
        <is>
          <t>Price to book</t>
        </is>
      </c>
      <c r="H6" s="23">
        <f>C4/F36</f>
        <v/>
      </c>
      <c r="L6" s="24" t="n"/>
      <c r="M6" s="25" t="n"/>
    </row>
    <row r="7">
      <c r="B7" s="18" t="inlineStr">
        <is>
          <t>52 week Low</t>
        </is>
      </c>
      <c r="C7" s="19" t="n">
        <v>130.06</v>
      </c>
      <c r="D7" s="20">
        <f>(C4-C7)/C7</f>
        <v/>
      </c>
      <c r="E7" s="21" t="inlineStr">
        <is>
          <t>Forward P/E</t>
        </is>
      </c>
      <c r="F7" s="2" t="n">
        <v>24</v>
      </c>
      <c r="G7" s="21" t="inlineStr">
        <is>
          <t>ROE</t>
        </is>
      </c>
      <c r="H7" s="26" t="n">
        <v>1.49271</v>
      </c>
      <c r="J7" s="7" t="inlineStr">
        <is>
          <t>Competitors</t>
        </is>
      </c>
      <c r="K7" s="96" t="inlineStr">
        <is>
          <t>Apple</t>
        </is>
      </c>
      <c r="L7" s="97" t="inlineStr">
        <is>
          <t>AAPL</t>
        </is>
      </c>
      <c r="M7" s="25" t="n"/>
      <c r="N7" s="81" t="n"/>
    </row>
    <row r="8">
      <c r="B8" s="18" t="inlineStr">
        <is>
          <t>YTD Change/%</t>
        </is>
      </c>
      <c r="C8" s="28" t="n">
        <v>-0.1758</v>
      </c>
      <c r="D8" s="29" t="n"/>
      <c r="E8" s="21" t="inlineStr">
        <is>
          <t>PEG</t>
        </is>
      </c>
      <c r="F8" s="2" t="n">
        <v>1.92</v>
      </c>
      <c r="G8" s="21" t="inlineStr">
        <is>
          <t>Exchange</t>
        </is>
      </c>
      <c r="H8" s="14" t="inlineStr">
        <is>
          <t>NSDQ</t>
        </is>
      </c>
      <c r="J8" s="30" t="n"/>
      <c r="K8" s="98" t="inlineStr">
        <is>
          <t>3D Systems</t>
        </is>
      </c>
      <c r="L8" s="99" t="inlineStr">
        <is>
          <t>DDD</t>
        </is>
      </c>
    </row>
    <row r="9">
      <c r="B9" s="18" t="inlineStr">
        <is>
          <t>Mkt Cap</t>
        </is>
      </c>
      <c r="C9" s="3" t="n">
        <v>2386183</v>
      </c>
      <c r="D9" s="2" t="n"/>
      <c r="E9" s="21" t="inlineStr">
        <is>
          <t>Dividend 2022</t>
        </is>
      </c>
      <c r="F9" s="2" t="n">
        <v>0.88</v>
      </c>
      <c r="G9" s="21" t="inlineStr">
        <is>
          <t>Sector</t>
        </is>
      </c>
      <c r="H9" s="14" t="inlineStr">
        <is>
          <t>Technology</t>
        </is>
      </c>
      <c r="J9" s="30" t="n"/>
      <c r="K9" s="98" t="inlineStr">
        <is>
          <t>HP</t>
        </is>
      </c>
      <c r="L9" s="99" t="inlineStr">
        <is>
          <t>HPQ</t>
        </is>
      </c>
    </row>
    <row r="10">
      <c r="B10" s="18" t="inlineStr">
        <is>
          <t>EV</t>
        </is>
      </c>
      <c r="C10" s="31" t="n">
        <v>2448338</v>
      </c>
      <c r="D10" s="3">
        <f>C10-C9</f>
        <v/>
      </c>
      <c r="E10" s="21" t="inlineStr">
        <is>
          <t>Div. yield</t>
        </is>
      </c>
      <c r="F10" s="29">
        <f>IF(F9&lt;"-",F9/C4,"")</f>
        <v/>
      </c>
      <c r="G10" s="21" t="inlineStr">
        <is>
          <t>Industry</t>
        </is>
      </c>
      <c r="H10" s="14" t="inlineStr">
        <is>
          <t>Consumer Electronics</t>
        </is>
      </c>
      <c r="J10" s="30" t="n"/>
      <c r="K10" s="98" t="inlineStr">
        <is>
          <t>Lenovo Group</t>
        </is>
      </c>
      <c r="L10" s="99" t="inlineStr">
        <is>
          <t>LNVGY</t>
        </is>
      </c>
    </row>
    <row r="11" ht="16" customHeight="1" thickBot="1">
      <c r="B11" s="18" t="inlineStr">
        <is>
          <t>Days to Cover</t>
        </is>
      </c>
      <c r="C11" s="19" t="n">
        <v>1.3</v>
      </c>
      <c r="D11" s="2" t="n"/>
      <c r="E11" s="21" t="inlineStr">
        <is>
          <t>Beta</t>
        </is>
      </c>
      <c r="F11" s="19" t="n">
        <v>1.19</v>
      </c>
      <c r="G11" s="21" t="inlineStr">
        <is>
          <t>Website</t>
        </is>
      </c>
      <c r="H11" s="32" t="inlineStr">
        <is>
          <t>https://www.apple.com</t>
        </is>
      </c>
      <c r="J11" s="33" t="n"/>
      <c r="K11" s="100" t="n"/>
      <c r="L11" s="101" t="n"/>
    </row>
    <row r="12" ht="15.75" customHeight="1" thickBot="1">
      <c r="B12" s="34" t="inlineStr">
        <is>
          <t>Target Price</t>
        </is>
      </c>
      <c r="C12" s="35" t="n">
        <v>184.89</v>
      </c>
      <c r="D12" s="36" t="n"/>
      <c r="E12" s="16" t="n"/>
      <c r="F12" s="16" t="n"/>
      <c r="G12" s="16" t="n"/>
      <c r="H12" s="17" t="n"/>
    </row>
    <row r="13" ht="16" customHeight="1" thickBot="1">
      <c r="D13" s="37" t="n"/>
      <c r="L13" s="27" t="n"/>
      <c r="M13" s="25" t="n"/>
    </row>
    <row r="14" ht="16" customHeight="1" thickBot="1">
      <c r="G14" s="38" t="inlineStr">
        <is>
          <t>Year End</t>
        </is>
      </c>
      <c r="H14" s="39" t="inlineStr">
        <is>
          <t>September</t>
        </is>
      </c>
    </row>
    <row r="15" ht="16" customHeight="1">
      <c r="B15" s="7" t="n"/>
      <c r="C15" s="40" t="n">
        <v>2019</v>
      </c>
      <c r="D15" s="40" t="n">
        <v>2020</v>
      </c>
      <c r="E15" s="40" t="n">
        <v>2021</v>
      </c>
      <c r="F15" s="40" t="n">
        <v>2022</v>
      </c>
      <c r="G15" s="40" t="n">
        <v>2023</v>
      </c>
      <c r="H15" s="41" t="n">
        <v>2024</v>
      </c>
      <c r="J15" s="42" t="n"/>
      <c r="K15" s="43" t="n"/>
      <c r="L15" s="43" t="n"/>
      <c r="M15" s="43" t="n"/>
      <c r="N15" s="43" t="n"/>
      <c r="O15" s="44" t="inlineStr">
        <is>
          <t>Avg.</t>
        </is>
      </c>
    </row>
    <row r="16">
      <c r="B16" s="18" t="inlineStr">
        <is>
          <t>Sales</t>
        </is>
      </c>
      <c r="C16" s="3" t="n">
        <v>259968</v>
      </c>
      <c r="D16" s="3" t="n">
        <v>274150</v>
      </c>
      <c r="E16" s="3" t="n">
        <v>365817</v>
      </c>
      <c r="F16" s="3" t="n">
        <v>393914</v>
      </c>
      <c r="G16" s="3" t="n">
        <v>415323</v>
      </c>
      <c r="H16" s="45" t="n">
        <v>431853</v>
      </c>
      <c r="J16" s="18" t="inlineStr">
        <is>
          <t>Mkt Cap</t>
        </is>
      </c>
      <c r="K16" s="3" t="n"/>
      <c r="L16" s="3" t="n"/>
      <c r="M16" s="3" t="n"/>
      <c r="N16" s="3" t="n"/>
      <c r="O16" s="45">
        <f>AVERAGE(K16:N16)</f>
        <v/>
      </c>
    </row>
    <row r="17" ht="15" customHeight="1">
      <c r="B17" s="18" t="inlineStr">
        <is>
          <t>yoy</t>
        </is>
      </c>
      <c r="C17" s="2" t="n"/>
      <c r="D17" s="29">
        <f>(D16-C16)/C16</f>
        <v/>
      </c>
      <c r="E17" s="29">
        <f>(E16-D16)/D16</f>
        <v/>
      </c>
      <c r="F17" s="29">
        <f>(F16-E16)/E16</f>
        <v/>
      </c>
      <c r="G17" s="29">
        <f>(G16-F16)/F16</f>
        <v/>
      </c>
      <c r="H17" s="46">
        <f>(H16-G16)/G16</f>
        <v/>
      </c>
      <c r="J17" s="18" t="inlineStr">
        <is>
          <t>EV</t>
        </is>
      </c>
      <c r="K17" s="3" t="n"/>
      <c r="L17" s="3" t="n"/>
      <c r="M17" s="3" t="n"/>
      <c r="N17" s="3" t="n"/>
      <c r="O17" s="45">
        <f>AVERAGE(K17:N17)</f>
        <v/>
      </c>
      <c r="AB17" s="111" t="n"/>
    </row>
    <row r="18" ht="15" customHeight="1">
      <c r="B18" s="18" t="inlineStr">
        <is>
          <t>EBITDA</t>
        </is>
      </c>
      <c r="C18" s="3" t="n">
        <v>74542</v>
      </c>
      <c r="D18" s="3" t="n">
        <v>76395</v>
      </c>
      <c r="E18" s="3" t="n">
        <v>120233</v>
      </c>
      <c r="F18" s="3" t="n">
        <v>0</v>
      </c>
      <c r="G18" s="3" t="n">
        <v>0</v>
      </c>
      <c r="H18" s="45" t="n">
        <v>0</v>
      </c>
      <c r="J18" s="18" t="inlineStr">
        <is>
          <t>P/E</t>
        </is>
      </c>
      <c r="K18" s="47" t="n"/>
      <c r="L18" s="47" t="n"/>
      <c r="M18" s="47" t="n"/>
      <c r="N18" s="47" t="n"/>
      <c r="O18" s="48">
        <f>AVERAGE(K18:N18)</f>
        <v/>
      </c>
      <c r="AB18" s="111" t="n"/>
    </row>
    <row r="19" ht="15" customHeight="1">
      <c r="B19" s="18" t="inlineStr">
        <is>
          <t>EBITDA margin</t>
        </is>
      </c>
      <c r="C19" s="49">
        <f>IF(C18&lt;"-",C18/C16,"")</f>
        <v/>
      </c>
      <c r="D19" s="49">
        <f>IF(D18&lt;"-",D18/D16,"")</f>
        <v/>
      </c>
      <c r="E19" s="49">
        <f>IF(E18&lt;"-",E18/E16,"")</f>
        <v/>
      </c>
      <c r="F19" s="49">
        <f>IF(F18&lt;"-",F18/F16,"")</f>
        <v/>
      </c>
      <c r="G19" s="49">
        <f>IF(G18&lt;"-",G18/G16,"")</f>
        <v/>
      </c>
      <c r="H19" s="50">
        <f>IF(H18&lt;"-",H18/H16,"")</f>
        <v/>
      </c>
      <c r="J19" s="18" t="inlineStr">
        <is>
          <t>EV/EBITDA</t>
        </is>
      </c>
      <c r="K19" s="47" t="n"/>
      <c r="L19" s="47" t="n"/>
      <c r="M19" s="47" t="n"/>
      <c r="N19" s="47" t="n"/>
      <c r="O19" s="48">
        <f>AVERAGE(K19:N19)</f>
        <v/>
      </c>
      <c r="AC19" s="111" t="n"/>
    </row>
    <row r="20" ht="15" customHeight="1">
      <c r="B20" s="18" t="inlineStr">
        <is>
          <t>Operating Profit (EBIT)</t>
        </is>
      </c>
      <c r="C20" s="3" t="n">
        <v>65737</v>
      </c>
      <c r="D20" s="3" t="n">
        <v>67091</v>
      </c>
      <c r="E20" s="3" t="n">
        <v>109207</v>
      </c>
      <c r="F20" s="3" t="n">
        <v>119189</v>
      </c>
      <c r="G20" s="3" t="n">
        <v>124010</v>
      </c>
      <c r="H20" s="45" t="n">
        <v>127381</v>
      </c>
      <c r="J20" s="18" t="inlineStr">
        <is>
          <t>EV/EBIT</t>
        </is>
      </c>
      <c r="K20" s="47" t="n"/>
      <c r="L20" s="47" t="n"/>
      <c r="M20" s="47" t="n"/>
      <c r="N20" s="47" t="n"/>
      <c r="O20" s="48">
        <f>AVERAGE(K20:N20)</f>
        <v/>
      </c>
    </row>
    <row r="21" ht="15" customHeight="1">
      <c r="B21" s="18" t="inlineStr">
        <is>
          <t>EBIT margin</t>
        </is>
      </c>
      <c r="C21" s="49">
        <f>C20/C16</f>
        <v/>
      </c>
      <c r="D21" s="49">
        <f>D20/D16</f>
        <v/>
      </c>
      <c r="E21" s="49">
        <f>E20/E16</f>
        <v/>
      </c>
      <c r="F21" s="49">
        <f>F20/F16</f>
        <v/>
      </c>
      <c r="G21" s="49">
        <f>G20/G16</f>
        <v/>
      </c>
      <c r="H21" s="50">
        <f>H20/H16</f>
        <v/>
      </c>
      <c r="J21" s="18" t="inlineStr">
        <is>
          <t>EV/Revenues</t>
        </is>
      </c>
      <c r="K21" s="47" t="n"/>
      <c r="L21" s="47" t="n"/>
      <c r="M21" s="47" t="n"/>
      <c r="N21" s="47" t="n"/>
      <c r="O21" s="48">
        <f>AVERAGE(K21:N21)</f>
        <v/>
      </c>
      <c r="AC21" s="111" t="n"/>
    </row>
    <row r="22" ht="15" customHeight="1">
      <c r="B22" s="18" t="inlineStr">
        <is>
          <t>Net income</t>
        </is>
      </c>
      <c r="C22" s="3" t="n">
        <v>55256</v>
      </c>
      <c r="D22" s="3" t="n">
        <v>57411</v>
      </c>
      <c r="E22" s="3" t="n">
        <v>94680</v>
      </c>
      <c r="F22" s="3" t="n">
        <v>99856</v>
      </c>
      <c r="G22" s="3" t="n">
        <v>103545</v>
      </c>
      <c r="H22" s="45" t="n">
        <v>106156</v>
      </c>
      <c r="J22" s="18" t="inlineStr">
        <is>
          <t>PB</t>
        </is>
      </c>
      <c r="K22" s="19" t="n"/>
      <c r="L22" s="19" t="n"/>
      <c r="M22" s="19" t="n"/>
      <c r="N22" s="19" t="n"/>
      <c r="O22" s="48">
        <f>AVERAGE(K22:N22)</f>
        <v/>
      </c>
      <c r="AB22" s="111" t="n"/>
      <c r="AC22" s="111" t="n"/>
      <c r="AE22" s="111" t="n"/>
    </row>
    <row r="23" ht="15" customHeight="1">
      <c r="B23" s="18" t="inlineStr">
        <is>
          <t>Net Margin</t>
        </is>
      </c>
      <c r="C23" s="49">
        <f>C22/C16</f>
        <v/>
      </c>
      <c r="D23" s="49">
        <f>D22/D16</f>
        <v/>
      </c>
      <c r="E23" s="49">
        <f>E22/E16</f>
        <v/>
      </c>
      <c r="F23" s="49">
        <f>F22/F16</f>
        <v/>
      </c>
      <c r="G23" s="49">
        <f>G22/G16</f>
        <v/>
      </c>
      <c r="H23" s="50">
        <f>H22/H16</f>
        <v/>
      </c>
      <c r="J23" s="18" t="inlineStr">
        <is>
          <t>EBITDA margin</t>
        </is>
      </c>
      <c r="K23" s="20" t="n"/>
      <c r="L23" s="20" t="n"/>
      <c r="M23" s="20" t="n"/>
      <c r="N23" s="20" t="n"/>
      <c r="O23" s="51">
        <f>AVERAGE(K23:N23)</f>
        <v/>
      </c>
    </row>
    <row r="24" ht="15" customHeight="1">
      <c r="B24" s="18" t="n"/>
      <c r="C24" s="2" t="n"/>
      <c r="D24" s="52">
        <f>(D22-C22)/C22</f>
        <v/>
      </c>
      <c r="E24" s="52">
        <f>(E22-D22)/D22</f>
        <v/>
      </c>
      <c r="F24" s="52">
        <f>(F22-E22)/E22</f>
        <v/>
      </c>
      <c r="G24" s="52">
        <f>(G22-F22)/F22</f>
        <v/>
      </c>
      <c r="H24" s="53">
        <f>(H22-G22)/G22</f>
        <v/>
      </c>
      <c r="J24" s="18" t="inlineStr">
        <is>
          <t>EBIT margin</t>
        </is>
      </c>
      <c r="K24" s="20" t="n"/>
      <c r="L24" s="20" t="n"/>
      <c r="M24" s="20" t="n"/>
      <c r="N24" s="20" t="n"/>
      <c r="O24" s="51">
        <f>AVERAGE(K24:N24)</f>
        <v/>
      </c>
    </row>
    <row r="25" ht="15" customHeight="1">
      <c r="B25" s="18" t="inlineStr">
        <is>
          <t>P/E ratio</t>
        </is>
      </c>
      <c r="C25" s="2" t="n">
        <v>18.76</v>
      </c>
      <c r="D25" s="2" t="n">
        <v>35.12</v>
      </c>
      <c r="E25" s="22" t="n">
        <v>25.09</v>
      </c>
      <c r="F25" s="2" t="n">
        <v>21.2</v>
      </c>
      <c r="G25" s="2" t="n">
        <v>19.9</v>
      </c>
      <c r="H25" s="54" t="n">
        <v>18.9</v>
      </c>
      <c r="J25" s="18" t="inlineStr">
        <is>
          <t>Net margin</t>
        </is>
      </c>
      <c r="K25" s="20" t="n"/>
      <c r="L25" s="20" t="n"/>
      <c r="M25" s="20" t="n"/>
      <c r="N25" s="20" t="n"/>
      <c r="O25" s="51">
        <f>AVERAGE(K25:N25)</f>
        <v/>
      </c>
      <c r="AC25" s="111" t="n"/>
    </row>
    <row r="26" ht="15" customHeight="1">
      <c r="B26" s="18" t="inlineStr">
        <is>
          <t>EPS</t>
        </is>
      </c>
      <c r="C26" s="2" t="n">
        <v>2.97</v>
      </c>
      <c r="D26" s="2" t="n">
        <v>3.28</v>
      </c>
      <c r="E26" s="19" t="n">
        <v>5.61</v>
      </c>
      <c r="F26" s="2" t="n">
        <v>6.14</v>
      </c>
      <c r="G26" s="2" t="n">
        <v>6.53</v>
      </c>
      <c r="H26" s="54" t="n">
        <v>6.89</v>
      </c>
      <c r="J26" s="18" t="inlineStr">
        <is>
          <t>Dividend Yield</t>
        </is>
      </c>
      <c r="K26" s="29" t="n"/>
      <c r="L26" s="29" t="n"/>
      <c r="M26" s="29" t="n"/>
      <c r="N26" s="29" t="n"/>
      <c r="O26" s="46">
        <f>AVERAGE(K26:N26)</f>
        <v/>
      </c>
    </row>
    <row r="27" ht="15" customHeight="1" thickBot="1">
      <c r="B27" s="18" t="inlineStr">
        <is>
          <t>yoy</t>
        </is>
      </c>
      <c r="C27" s="2" t="n"/>
      <c r="D27" s="29">
        <f>(D26-C26)/ABS(C26)</f>
        <v/>
      </c>
      <c r="E27" s="29">
        <f>IF(D26&gt;0,(E26-D26)/D26,"")</f>
        <v/>
      </c>
      <c r="F27" s="29">
        <f>IF(E26&gt;0,(F26-E26)/E26,"")</f>
        <v/>
      </c>
      <c r="G27" s="29">
        <f>IF(F26&gt;0,(G26-F26)/F26,"")</f>
        <v/>
      </c>
      <c r="H27" s="46">
        <f>IF(G26&gt;0,(H26-G26)/G26,"")</f>
        <v/>
      </c>
      <c r="J27" s="34" t="inlineStr">
        <is>
          <t>ROE</t>
        </is>
      </c>
      <c r="K27" s="36" t="n"/>
      <c r="L27" s="36" t="n"/>
      <c r="M27" s="36" t="n"/>
      <c r="N27" s="36" t="n"/>
      <c r="O27" s="55">
        <f>AVERAGE(K27:N27)</f>
        <v/>
      </c>
      <c r="AB27" s="56" t="n"/>
      <c r="AC27" s="25" t="n"/>
      <c r="AD27" s="25" t="n"/>
      <c r="AE27" s="25" t="n"/>
    </row>
    <row r="28" ht="15" customHeight="1">
      <c r="B28" s="18" t="inlineStr">
        <is>
          <t>EV/EBITDA</t>
        </is>
      </c>
      <c r="C28" s="47">
        <f>IF(C18&lt;"-",$C$10/C18,"")</f>
        <v/>
      </c>
      <c r="D28" s="47">
        <f>IF(D18&lt;"-",$C$10/D18,"")</f>
        <v/>
      </c>
      <c r="E28" s="47">
        <f>IF(E18&lt;"-",$C$10/E18,"")</f>
        <v/>
      </c>
      <c r="F28" s="47">
        <f>IF(F18&lt;"-",$C$10/F18,"")</f>
        <v/>
      </c>
      <c r="G28" s="47">
        <f>IF(G18&lt;"-",$C$10/G18,"")</f>
        <v/>
      </c>
      <c r="H28" s="48">
        <f>IF(H18&lt;"-",$C$10/H18,"")</f>
        <v/>
      </c>
    </row>
    <row r="29" ht="15" customHeight="1">
      <c r="B29" s="18" t="inlineStr">
        <is>
          <t>EV/EBIT</t>
        </is>
      </c>
      <c r="C29" s="47">
        <f>$C$10/C20</f>
        <v/>
      </c>
      <c r="D29" s="47">
        <f>$C$10/D20</f>
        <v/>
      </c>
      <c r="E29" s="47">
        <f>$C$10/E20</f>
        <v/>
      </c>
      <c r="F29" s="47">
        <f>$C$10/F20</f>
        <v/>
      </c>
      <c r="G29" s="47">
        <f>$C$10/G20</f>
        <v/>
      </c>
      <c r="H29" s="48">
        <f>$C$10/H20</f>
        <v/>
      </c>
    </row>
    <row r="30" ht="15" customHeight="1" thickBot="1">
      <c r="B30" s="34" t="inlineStr">
        <is>
          <t>EV/Revenues</t>
        </is>
      </c>
      <c r="C30" s="57">
        <f>$C$10/C16</f>
        <v/>
      </c>
      <c r="D30" s="57">
        <f>$C$10/D16</f>
        <v/>
      </c>
      <c r="E30" s="57">
        <f>$C$10/E16</f>
        <v/>
      </c>
      <c r="F30" s="57">
        <f>$C$10/F16</f>
        <v/>
      </c>
      <c r="G30" s="57">
        <f>$C$10/G16</f>
        <v/>
      </c>
      <c r="H30" s="58">
        <f>$C$10/H16</f>
        <v/>
      </c>
      <c r="J30" s="81" t="inlineStr">
        <is>
          <t>Historical Surprises</t>
        </is>
      </c>
    </row>
    <row r="31" ht="16" customHeight="1" thickBot="1">
      <c r="J31" s="42" t="n"/>
      <c r="K31" s="59" t="n"/>
      <c r="L31" s="40" t="inlineStr">
        <is>
          <t>Estimate</t>
        </is>
      </c>
      <c r="M31" s="40" t="inlineStr">
        <is>
          <t xml:space="preserve">Actual </t>
        </is>
      </c>
      <c r="N31" s="40" t="inlineStr">
        <is>
          <t>Diff.m</t>
        </is>
      </c>
      <c r="O31" s="44" t="inlineStr">
        <is>
          <t>Surprise %</t>
        </is>
      </c>
    </row>
    <row r="32">
      <c r="B32" s="7" t="inlineStr">
        <is>
          <t>Debt</t>
        </is>
      </c>
      <c r="C32" s="60" t="n">
        <v>108047</v>
      </c>
      <c r="D32" s="61" t="n">
        <v>122278</v>
      </c>
      <c r="E32" s="61" t="n">
        <v>136522</v>
      </c>
      <c r="F32" s="61" t="n">
        <v>0</v>
      </c>
      <c r="G32" s="61" t="n">
        <v>0</v>
      </c>
      <c r="H32" s="62" t="n">
        <v>0</v>
      </c>
      <c r="J32" s="18" t="inlineStr">
        <is>
          <t>Q-1</t>
        </is>
      </c>
      <c r="K32" s="21" t="inlineStr">
        <is>
          <t>Sales</t>
        </is>
      </c>
      <c r="L32" s="3" t="n"/>
      <c r="M32" s="3" t="n"/>
      <c r="N32" s="3" t="n"/>
      <c r="O32" s="63" t="n"/>
    </row>
    <row r="33">
      <c r="B33" s="18" t="inlineStr">
        <is>
          <t>EBITDA</t>
        </is>
      </c>
      <c r="C33" s="3">
        <f>C18</f>
        <v/>
      </c>
      <c r="D33" s="3">
        <f>D18</f>
        <v/>
      </c>
      <c r="E33" s="3">
        <f>E18</f>
        <v/>
      </c>
      <c r="F33" s="3">
        <f>F18</f>
        <v/>
      </c>
      <c r="G33" s="3">
        <f>G18</f>
        <v/>
      </c>
      <c r="H33" s="45">
        <f>H18</f>
        <v/>
      </c>
      <c r="J33" s="18" t="n"/>
      <c r="K33" s="21" t="inlineStr">
        <is>
          <t>Earnings</t>
        </is>
      </c>
      <c r="L33" s="2" t="n"/>
      <c r="M33" s="2" t="n"/>
      <c r="N33" s="2" t="n"/>
      <c r="O33" s="63"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3" t="n"/>
    </row>
    <row r="35">
      <c r="B35" s="18" t="inlineStr">
        <is>
          <t>Cash Flow per share</t>
        </is>
      </c>
      <c r="C35" s="64" t="n">
        <v>3.76</v>
      </c>
      <c r="D35" s="64" t="n">
        <v>4.65</v>
      </c>
      <c r="E35" s="64" t="n">
        <v>6.23</v>
      </c>
      <c r="F35" s="64" t="n">
        <v>7.14</v>
      </c>
      <c r="G35" s="64" t="n">
        <v>7.6</v>
      </c>
      <c r="H35" s="65" t="n">
        <v>8.58</v>
      </c>
      <c r="J35" s="18" t="n"/>
      <c r="K35" s="21" t="inlineStr">
        <is>
          <t>Earnings</t>
        </is>
      </c>
      <c r="L35" s="2" t="n"/>
      <c r="M35" s="2" t="n"/>
      <c r="N35" s="2" t="n"/>
      <c r="O35" s="63" t="n"/>
    </row>
    <row r="36" ht="16" customHeight="1" thickBot="1">
      <c r="B36" s="34" t="inlineStr">
        <is>
          <t>Book Value per share</t>
        </is>
      </c>
      <c r="C36" s="66" t="n">
        <v>4.9</v>
      </c>
      <c r="D36" s="66" t="n">
        <v>3.77</v>
      </c>
      <c r="E36" s="66" t="n">
        <v>3.78</v>
      </c>
      <c r="F36" s="66" t="n">
        <v>3.69</v>
      </c>
      <c r="G36" s="66" t="n">
        <v>4.1</v>
      </c>
      <c r="H36" s="67" t="n">
        <v>4.82</v>
      </c>
      <c r="J36" s="18" t="inlineStr">
        <is>
          <t>Q-3</t>
        </is>
      </c>
      <c r="K36" s="21" t="inlineStr">
        <is>
          <t>Sales</t>
        </is>
      </c>
      <c r="L36" s="3" t="n"/>
      <c r="M36" s="3" t="n"/>
      <c r="N36" s="3" t="n"/>
      <c r="O36" s="63" t="n"/>
    </row>
    <row r="37" ht="16" customHeight="1" thickBot="1">
      <c r="J37" s="18" t="n"/>
      <c r="K37" s="21" t="inlineStr">
        <is>
          <t>Earnings</t>
        </is>
      </c>
      <c r="L37" s="2" t="n"/>
      <c r="M37" s="2" t="n"/>
      <c r="N37" s="2" t="n"/>
      <c r="O37" s="63" t="n"/>
    </row>
    <row r="38">
      <c r="B38" s="7" t="inlineStr">
        <is>
          <t>Volume</t>
        </is>
      </c>
      <c r="C38" s="68" t="n">
        <v>21645338</v>
      </c>
      <c r="F38" s="7" t="inlineStr">
        <is>
          <t>50 MAV</t>
        </is>
      </c>
      <c r="G38" s="69" t="n">
        <v>144.72</v>
      </c>
      <c r="H38" s="70">
        <f>(C4-G38)/G38</f>
        <v/>
      </c>
      <c r="J38" s="18" t="inlineStr">
        <is>
          <t>Q-4</t>
        </is>
      </c>
      <c r="K38" s="21" t="inlineStr">
        <is>
          <t>Sales</t>
        </is>
      </c>
      <c r="L38" s="3" t="n"/>
      <c r="M38" s="3" t="n"/>
      <c r="N38" s="3" t="n"/>
      <c r="O38" s="63" t="n"/>
    </row>
    <row r="39" ht="16" customHeight="1" thickBot="1">
      <c r="B39" s="18" t="inlineStr">
        <is>
          <t>Avg Vol 10 days</t>
        </is>
      </c>
      <c r="C39" s="45" t="inlineStr">
        <is>
          <t>71.48M</t>
        </is>
      </c>
      <c r="F39" s="34" t="inlineStr">
        <is>
          <t>200 MAV</t>
        </is>
      </c>
      <c r="G39" s="71" t="n">
        <v>158.28</v>
      </c>
      <c r="H39" s="72">
        <f>(C4-G39)/G39</f>
        <v/>
      </c>
      <c r="J39" s="34" t="n"/>
      <c r="K39" s="73" t="inlineStr">
        <is>
          <t>Earnings</t>
        </is>
      </c>
      <c r="L39" s="74" t="n"/>
      <c r="M39" s="74" t="n"/>
      <c r="N39" s="74" t="n"/>
      <c r="O39" s="75" t="n"/>
    </row>
    <row r="40" ht="16" customHeight="1" thickBot="1">
      <c r="B40" s="34" t="inlineStr">
        <is>
          <t>Avg Vol 3Months</t>
        </is>
      </c>
      <c r="C40" s="76" t="inlineStr">
        <is>
          <t>93.78M</t>
        </is>
      </c>
    </row>
    <row r="41" ht="16" customHeight="1">
      <c r="F41" s="7" t="inlineStr">
        <is>
          <t>Buyback Year</t>
        </is>
      </c>
      <c r="G41" s="10" t="n"/>
      <c r="H41" s="77" t="n">
        <v>0</v>
      </c>
    </row>
    <row r="42" ht="16" customHeight="1" thickBot="1">
      <c r="F42" s="34" t="inlineStr">
        <is>
          <t>Buyback Quarter</t>
        </is>
      </c>
      <c r="G42" s="16" t="n"/>
      <c r="H42" s="17" t="n"/>
    </row>
    <row r="43" ht="19.5" customHeight="1" thickBot="1"/>
    <row r="44" ht="18" customHeight="1" thickBot="1">
      <c r="B44" s="7" t="inlineStr">
        <is>
          <t>Sales Per Region</t>
        </is>
      </c>
      <c r="C44" s="83" t="inlineStr">
        <is>
          <t>Geographic Revenue- Americas [M]</t>
        </is>
      </c>
      <c r="D44" s="86" t="n">
        <v>153306</v>
      </c>
      <c r="E44" s="91">
        <f>D44/$E$16</f>
        <v/>
      </c>
      <c r="G44" s="7" t="inlineStr">
        <is>
          <t>Sales Per Business</t>
        </is>
      </c>
      <c r="H44" s="83" t="inlineStr">
        <is>
          <t>Revenue- iPhone [M]</t>
        </is>
      </c>
      <c r="I44" s="86" t="n">
        <v>191973</v>
      </c>
      <c r="J44" s="91">
        <f>I44/$E$16</f>
        <v/>
      </c>
      <c r="L44" s="112"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M44" s="113" t="n"/>
      <c r="N44" s="113" t="n"/>
      <c r="O44" s="113" t="n"/>
      <c r="P44" s="113" t="n"/>
      <c r="Q44" s="114" t="n"/>
    </row>
    <row r="45">
      <c r="B45" s="78" t="n"/>
      <c r="C45" s="85" t="inlineStr">
        <is>
          <t>Geographic Revenue- Europe [M]</t>
        </is>
      </c>
      <c r="D45" s="87" t="n">
        <v>89307</v>
      </c>
      <c r="E45" s="92">
        <f>D45/$E$16</f>
        <v/>
      </c>
      <c r="G45" s="78" t="n"/>
      <c r="H45" s="85" t="inlineStr">
        <is>
          <t>Revenue- Mac [M]</t>
        </is>
      </c>
      <c r="I45" s="89" t="n">
        <v>35190</v>
      </c>
      <c r="J45" s="92">
        <f>I45/$E$16</f>
        <v/>
      </c>
      <c r="L45" s="115" t="n"/>
      <c r="Q45" s="116" t="n"/>
    </row>
    <row r="46" ht="32" customHeight="1">
      <c r="B46" s="78" t="n"/>
      <c r="C46" s="85" t="inlineStr">
        <is>
          <t>Geographic Revenue- Greater China [M]</t>
        </is>
      </c>
      <c r="D46" s="87" t="n">
        <v>68366</v>
      </c>
      <c r="E46" s="92">
        <f>D46/$E$16</f>
        <v/>
      </c>
      <c r="G46" s="78" t="n"/>
      <c r="H46" s="85" t="inlineStr">
        <is>
          <t>Revenue- iPad [M]</t>
        </is>
      </c>
      <c r="I46" s="89" t="n">
        <v>31862</v>
      </c>
      <c r="J46" s="92">
        <f>I46/$E$16</f>
        <v/>
      </c>
      <c r="L46" s="115" t="n"/>
      <c r="Q46" s="116" t="n"/>
    </row>
    <row r="47" ht="25.5" customHeight="1" thickBot="1">
      <c r="B47" s="79" t="n"/>
      <c r="C47" s="82" t="inlineStr">
        <is>
          <t>Geographic Revenue- Japan [M]</t>
        </is>
      </c>
      <c r="D47" s="88" t="n">
        <v>28482</v>
      </c>
      <c r="E47" s="93">
        <f>D47/$E$16</f>
        <v/>
      </c>
      <c r="G47" s="79" t="n"/>
      <c r="H47" s="84" t="inlineStr">
        <is>
          <t>Net sales- Products [M]</t>
        </is>
      </c>
      <c r="I47" s="90" t="n">
        <v>297392</v>
      </c>
      <c r="J47" s="93">
        <f>I47/$E$16</f>
        <v/>
      </c>
      <c r="L47" s="117" t="n"/>
      <c r="M47" s="107" t="n"/>
      <c r="N47" s="107" t="n"/>
      <c r="O47" s="107" t="n"/>
      <c r="P47" s="107" t="n"/>
      <c r="Q47" s="118" t="n"/>
    </row>
    <row r="361">
      <c r="H361" s="106" t="n">
        <v>36.79</v>
      </c>
    </row>
  </sheetData>
  <mergeCells count="1">
    <mergeCell ref="L44:Q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2022-07-12T14:32:47Z</dcterms:modified>
  <cp:lastModifiedBy>Mark Mukherjee</cp:lastModifiedBy>
</cp:coreProperties>
</file>