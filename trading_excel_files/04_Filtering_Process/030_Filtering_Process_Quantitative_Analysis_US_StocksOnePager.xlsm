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4_Filtering_Process/"/>
    </mc:Choice>
  </mc:AlternateContent>
  <xr:revisionPtr revIDLastSave="0" documentId="13_ncr:1_{2D8FE4D4-00EF-0C46-BAF4-6707FCA7E8F8}" xr6:coauthVersionLast="47" xr6:coauthVersionMax="47" xr10:uidLastSave="{00000000-0000-0000-0000-000000000000}"/>
  <bookViews>
    <workbookView xWindow="-66320" yWindow="580" windowWidth="46100" windowHeight="26000" activeTab="2" xr2:uid="{00000000-000D-0000-FFFF-FFFF00000000}"/>
  </bookViews>
  <sheets>
    <sheet name="Note" sheetId="1" r:id="rId1"/>
    <sheet name="Template" sheetId="2" r:id="rId2"/>
    <sheet name="AAPL" sheetId="3"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47" i="3" l="1"/>
  <c r="E47" i="3"/>
  <c r="J46" i="3"/>
  <c r="E46" i="3"/>
  <c r="J45" i="3"/>
  <c r="E45" i="3"/>
  <c r="J44" i="3"/>
  <c r="E44" i="3"/>
  <c r="H39" i="3"/>
  <c r="H38" i="3"/>
  <c r="H34" i="3"/>
  <c r="G34" i="3"/>
  <c r="F34" i="3"/>
  <c r="E34" i="3"/>
  <c r="D34" i="3"/>
  <c r="H33" i="3"/>
  <c r="G33" i="3"/>
  <c r="F33" i="3"/>
  <c r="E33" i="3"/>
  <c r="D33" i="3"/>
  <c r="C33" i="3"/>
  <c r="C34" i="3" s="1"/>
  <c r="H30" i="3"/>
  <c r="G30" i="3"/>
  <c r="F30" i="3"/>
  <c r="E30" i="3"/>
  <c r="D30" i="3"/>
  <c r="C30" i="3"/>
  <c r="H29" i="3"/>
  <c r="G29" i="3"/>
  <c r="F29" i="3"/>
  <c r="E29" i="3"/>
  <c r="D29" i="3"/>
  <c r="C29" i="3"/>
  <c r="H28" i="3"/>
  <c r="G28" i="3"/>
  <c r="F28" i="3"/>
  <c r="E28" i="3"/>
  <c r="D28" i="3"/>
  <c r="C28" i="3"/>
  <c r="O27" i="3"/>
  <c r="H27" i="3"/>
  <c r="G27" i="3"/>
  <c r="F27" i="3"/>
  <c r="E27" i="3"/>
  <c r="D27" i="3"/>
  <c r="O26" i="3"/>
  <c r="O25" i="3"/>
  <c r="O24" i="3"/>
  <c r="H24" i="3"/>
  <c r="G24" i="3"/>
  <c r="F24" i="3"/>
  <c r="E24" i="3"/>
  <c r="D24" i="3"/>
  <c r="O23" i="3"/>
  <c r="H23" i="3"/>
  <c r="G23" i="3"/>
  <c r="F23" i="3"/>
  <c r="E23" i="3"/>
  <c r="D23" i="3"/>
  <c r="C23" i="3"/>
  <c r="O22" i="3"/>
  <c r="O21" i="3"/>
  <c r="H21" i="3"/>
  <c r="G21" i="3"/>
  <c r="F21" i="3"/>
  <c r="E21" i="3"/>
  <c r="D21" i="3"/>
  <c r="C21" i="3"/>
  <c r="O20" i="3"/>
  <c r="O19" i="3"/>
  <c r="H19" i="3"/>
  <c r="G19" i="3"/>
  <c r="F19" i="3"/>
  <c r="E19" i="3"/>
  <c r="D19" i="3"/>
  <c r="C19" i="3"/>
  <c r="O18" i="3"/>
  <c r="O17" i="3"/>
  <c r="H17" i="3"/>
  <c r="G17" i="3"/>
  <c r="F17" i="3"/>
  <c r="E17" i="3"/>
  <c r="D17" i="3"/>
  <c r="O16" i="3"/>
  <c r="F10" i="3"/>
  <c r="D10" i="3"/>
  <c r="D7" i="3"/>
  <c r="H6" i="3"/>
  <c r="D6" i="3"/>
  <c r="J47" i="2"/>
  <c r="E47" i="2"/>
  <c r="J46" i="2"/>
  <c r="E46" i="2"/>
  <c r="J45" i="2"/>
  <c r="E45" i="2"/>
  <c r="J44" i="2"/>
  <c r="E44" i="2"/>
  <c r="H39" i="2"/>
  <c r="H38" i="2"/>
  <c r="H34" i="2"/>
  <c r="G34" i="2"/>
  <c r="F34" i="2"/>
  <c r="E34" i="2"/>
  <c r="D34" i="2"/>
  <c r="C34" i="2"/>
  <c r="H33" i="2"/>
  <c r="G33" i="2"/>
  <c r="F33" i="2"/>
  <c r="E33" i="2"/>
  <c r="D33" i="2"/>
  <c r="C33" i="2"/>
  <c r="H30" i="2"/>
  <c r="G30" i="2"/>
  <c r="F30" i="2"/>
  <c r="E30" i="2"/>
  <c r="D30" i="2"/>
  <c r="C30" i="2"/>
  <c r="H29" i="2"/>
  <c r="G29" i="2"/>
  <c r="F29" i="2"/>
  <c r="E29" i="2"/>
  <c r="D29" i="2"/>
  <c r="C29" i="2"/>
  <c r="H28" i="2"/>
  <c r="G28" i="2"/>
  <c r="F28" i="2"/>
  <c r="E28" i="2"/>
  <c r="D28" i="2"/>
  <c r="C28" i="2"/>
  <c r="O27" i="2"/>
  <c r="H27" i="2"/>
  <c r="G27" i="2"/>
  <c r="F27" i="2"/>
  <c r="E27" i="2"/>
  <c r="D27" i="2"/>
  <c r="O26" i="2"/>
  <c r="O25" i="2"/>
  <c r="O24" i="2"/>
  <c r="H24" i="2"/>
  <c r="G24" i="2"/>
  <c r="F24" i="2"/>
  <c r="E24" i="2"/>
  <c r="D24" i="2"/>
  <c r="O23" i="2"/>
  <c r="H23" i="2"/>
  <c r="G23" i="2"/>
  <c r="F23" i="2"/>
  <c r="E23" i="2"/>
  <c r="D23" i="2"/>
  <c r="C23" i="2"/>
  <c r="O22" i="2"/>
  <c r="O21" i="2"/>
  <c r="H21" i="2"/>
  <c r="G21" i="2"/>
  <c r="F21" i="2"/>
  <c r="E21" i="2"/>
  <c r="D21" i="2"/>
  <c r="C21" i="2"/>
  <c r="O20" i="2"/>
  <c r="O19" i="2"/>
  <c r="H19" i="2"/>
  <c r="G19" i="2"/>
  <c r="F19" i="2"/>
  <c r="E19" i="2"/>
  <c r="D19" i="2"/>
  <c r="C19" i="2"/>
  <c r="O18" i="2"/>
  <c r="O17" i="2"/>
  <c r="H17" i="2"/>
  <c r="G17" i="2"/>
  <c r="F17" i="2"/>
  <c r="E17" i="2"/>
  <c r="D17" i="2"/>
  <c r="O16" i="2"/>
  <c r="F10" i="2"/>
  <c r="D10" i="2"/>
  <c r="F7" i="2"/>
  <c r="D7" i="2"/>
  <c r="H6" i="2"/>
  <c r="F6" i="2"/>
  <c r="D6" i="2"/>
</calcChain>
</file>

<file path=xl/sharedStrings.xml><?xml version="1.0" encoding="utf-8"?>
<sst xmlns="http://schemas.openxmlformats.org/spreadsheetml/2006/main" count="188" uniqueCount="92">
  <si>
    <t>The Quantitative Analysis</t>
  </si>
  <si>
    <t>DATA</t>
  </si>
  <si>
    <t>WEBSITES</t>
  </si>
  <si>
    <t>Spend 5-20 hours building your own quantitative analysis infrastructure. Either through quick copy and paste but I strongly recommend to do some macro to automatically get the data from different websites.</t>
  </si>
  <si>
    <t>https://finance.yahoo.com/</t>
  </si>
  <si>
    <t>https://www.reuters.com</t>
  </si>
  <si>
    <t>https://www.marketwatch.com/</t>
  </si>
  <si>
    <t>https://finviz.com/</t>
  </si>
  <si>
    <t>https://www.marketscreener.com/</t>
  </si>
  <si>
    <t>https://stockrow.com/</t>
  </si>
  <si>
    <t>Last</t>
  </si>
  <si>
    <t>52 week High</t>
  </si>
  <si>
    <t>Trailing P/E</t>
  </si>
  <si>
    <t>Price to book</t>
  </si>
  <si>
    <t>52 week Low</t>
  </si>
  <si>
    <t>Forward P/E</t>
  </si>
  <si>
    <t>ROE</t>
  </si>
  <si>
    <t>Competitors</t>
  </si>
  <si>
    <t>YTD Change/%</t>
  </si>
  <si>
    <t>PEG</t>
  </si>
  <si>
    <t>Exchange</t>
  </si>
  <si>
    <t>Mkt Cap</t>
  </si>
  <si>
    <t>Dividend YYYY</t>
  </si>
  <si>
    <t>Sector</t>
  </si>
  <si>
    <t>EV</t>
  </si>
  <si>
    <t>Div. yield</t>
  </si>
  <si>
    <t>Industry</t>
  </si>
  <si>
    <t>Days to Cover</t>
  </si>
  <si>
    <t>Beta</t>
  </si>
  <si>
    <t>Website</t>
  </si>
  <si>
    <t>Target Price</t>
  </si>
  <si>
    <t>Year End</t>
  </si>
  <si>
    <t>Avg.</t>
  </si>
  <si>
    <t>Sales</t>
  </si>
  <si>
    <t>yoy</t>
  </si>
  <si>
    <t>EBITDA</t>
  </si>
  <si>
    <t>P/E</t>
  </si>
  <si>
    <t>EBITDA margin</t>
  </si>
  <si>
    <t>EV/EBITDA</t>
  </si>
  <si>
    <t>Operating Profit (EBIT)</t>
  </si>
  <si>
    <t>EV/EBIT</t>
  </si>
  <si>
    <t>EBIT margin</t>
  </si>
  <si>
    <t>EV/Revenues</t>
  </si>
  <si>
    <t>Net income</t>
  </si>
  <si>
    <t>PB</t>
  </si>
  <si>
    <t>Net Margin</t>
  </si>
  <si>
    <t>P/E ratio</t>
  </si>
  <si>
    <t>Net margin</t>
  </si>
  <si>
    <t>EPS</t>
  </si>
  <si>
    <t>Dividend Yield</t>
  </si>
  <si>
    <t>Historical Surprises</t>
  </si>
  <si>
    <t>Estimate</t>
  </si>
  <si>
    <t xml:space="preserve">Actual </t>
  </si>
  <si>
    <t>Diff.m</t>
  </si>
  <si>
    <t>Surprise %</t>
  </si>
  <si>
    <t>Debt</t>
  </si>
  <si>
    <t>Q-1</t>
  </si>
  <si>
    <t>Earnings</t>
  </si>
  <si>
    <t>Debt /EBITDA</t>
  </si>
  <si>
    <t>Q-2</t>
  </si>
  <si>
    <t>Cash Flow per share</t>
  </si>
  <si>
    <t>Book Value per share</t>
  </si>
  <si>
    <t>Q-3</t>
  </si>
  <si>
    <t>Volume</t>
  </si>
  <si>
    <t>50 MAV</t>
  </si>
  <si>
    <t>Q-4</t>
  </si>
  <si>
    <t>Avg Vol 10 days</t>
  </si>
  <si>
    <t>200 MAV</t>
  </si>
  <si>
    <t>Avg Vol 3Months</t>
  </si>
  <si>
    <t>Buyback Year</t>
  </si>
  <si>
    <t>Buyback Quarter</t>
  </si>
  <si>
    <t>Sales Per Region</t>
  </si>
  <si>
    <t>Sales Per Business</t>
  </si>
  <si>
    <t>AAPL</t>
  </si>
  <si>
    <t>Apple Inc.</t>
  </si>
  <si>
    <t>NSDQ</t>
  </si>
  <si>
    <t>Dividend 2022</t>
  </si>
  <si>
    <t>Technology</t>
  </si>
  <si>
    <t>Consumer Electronics</t>
  </si>
  <si>
    <t>https://www.apple.com</t>
  </si>
  <si>
    <t>September</t>
  </si>
  <si>
    <t>71.48M</t>
  </si>
  <si>
    <t>93.78M</t>
  </si>
  <si>
    <t>Geographic Revenue- Americas [M]</t>
  </si>
  <si>
    <t>Revenue- iPhone [M]</t>
  </si>
  <si>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</si>
  <si>
    <t>Geographic Revenue- Europe [M]</t>
  </si>
  <si>
    <t>Revenue- Mac [M]</t>
  </si>
  <si>
    <t>Geographic Revenue- Greater China [M]</t>
  </si>
  <si>
    <t>Revenue- iPad [M]</t>
  </si>
  <si>
    <t>Geographic Revenue- Japan [M]</t>
  </si>
  <si>
    <t>Net sales- Products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</si>
</sst>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
    <numFmt numFmtId="167" formatCode="0;[Red]0"/>
  </numFmts>
  <fonts count="7" x14ac:knownFonts="1">
    <font>
      <sz val="11"/>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11"/>
      <color theme="1"/>
      <name val="Calibri"/>
      <family val="2"/>
      <scheme val="minor"/>
    </font>
    <font>
      <sz val="11"/>
      <color rgb="FFFF0000"/>
      <name val="Calibri"/>
      <family val="2"/>
      <scheme val="minor"/>
    </font>
    <font>
      <b/>
      <sz val="11"/>
      <color rgb="FF262626"/>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4" fillId="0" borderId="0"/>
  </cellStyleXfs>
  <cellXfs count="116">
    <xf numFmtId="0" fontId="0" fillId="0" borderId="0" xfId="0"/>
    <xf numFmtId="0" fontId="0" fillId="0" borderId="0" xfId="0" applyAlignment="1">
      <alignment vertical="center"/>
    </xf>
    <xf numFmtId="0" fontId="0" fillId="2" borderId="0" xfId="0" applyFill="1" applyAlignment="1">
      <alignment horizontal="center"/>
    </xf>
    <xf numFmtId="3" fontId="0" fillId="2" borderId="0" xfId="0" applyNumberFormat="1" applyFill="1" applyAlignment="1">
      <alignment horizontal="center"/>
    </xf>
    <xf numFmtId="0" fontId="1" fillId="6" borderId="14" xfId="0" applyFont="1" applyFill="1" applyBorder="1"/>
    <xf numFmtId="0" fontId="6" fillId="6" borderId="9" xfId="0" applyFont="1" applyFill="1" applyBorder="1"/>
    <xf numFmtId="0" fontId="1" fillId="6" borderId="10" xfId="0" applyFont="1" applyFill="1" applyBorder="1"/>
    <xf numFmtId="0" fontId="1" fillId="5" borderId="1" xfId="0" applyFont="1" applyFill="1" applyBorder="1"/>
    <xf numFmtId="2" fontId="0" fillId="2" borderId="2" xfId="0" applyNumberFormat="1" applyFill="1" applyBorder="1" applyAlignment="1">
      <alignment horizontal="center"/>
    </xf>
    <xf numFmtId="0" fontId="0" fillId="2" borderId="2" xfId="0" applyFill="1" applyBorder="1" applyAlignment="1">
      <alignment horizontal="center"/>
    </xf>
    <xf numFmtId="0" fontId="0" fillId="2" borderId="2" xfId="0" applyFill="1" applyBorder="1"/>
    <xf numFmtId="0" fontId="0" fillId="2" borderId="3" xfId="0" applyFill="1" applyBorder="1"/>
    <xf numFmtId="14" fontId="1" fillId="5" borderId="1" xfId="0" applyNumberFormat="1" applyFont="1" applyFill="1" applyBorder="1" applyAlignment="1">
      <alignment horizontal="center"/>
    </xf>
    <xf numFmtId="14" fontId="0" fillId="2" borderId="4" xfId="0" applyNumberFormat="1" applyFill="1" applyBorder="1"/>
    <xf numFmtId="0" fontId="0" fillId="2" borderId="5" xfId="0" applyFill="1" applyBorder="1"/>
    <xf numFmtId="14" fontId="1" fillId="5" borderId="6" xfId="0" applyNumberFormat="1" applyFont="1" applyFill="1" applyBorder="1" applyAlignment="1">
      <alignment horizontal="center"/>
    </xf>
    <xf numFmtId="0" fontId="0" fillId="2" borderId="7" xfId="0" applyFill="1" applyBorder="1"/>
    <xf numFmtId="0" fontId="0" fillId="2" borderId="8" xfId="0" applyFill="1" applyBorder="1"/>
    <xf numFmtId="0" fontId="1" fillId="5" borderId="4" xfId="0" applyFont="1" applyFill="1" applyBorder="1"/>
    <xf numFmtId="2" fontId="0" fillId="2" borderId="0" xfId="0" applyNumberFormat="1" applyFill="1" applyAlignment="1">
      <alignment horizontal="center"/>
    </xf>
    <xf numFmtId="164" fontId="0" fillId="2" borderId="0" xfId="0" applyNumberFormat="1" applyFill="1" applyAlignment="1">
      <alignment horizontal="center"/>
    </xf>
    <xf numFmtId="0" fontId="1" fillId="5"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2" fontId="5" fillId="2" borderId="0" xfId="0" applyNumberFormat="1" applyFont="1" applyFill="1"/>
    <xf numFmtId="10" fontId="0" fillId="2" borderId="0" xfId="0" applyNumberFormat="1" applyFill="1"/>
    <xf numFmtId="10" fontId="0" fillId="2" borderId="5" xfId="0" applyNumberFormat="1" applyFill="1" applyBorder="1" applyAlignment="1">
      <alignment horizontal="center" wrapText="1"/>
    </xf>
    <xf numFmtId="0" fontId="5" fillId="2" borderId="0" xfId="0" applyFont="1" applyFill="1"/>
    <xf numFmtId="10" fontId="0" fillId="2" borderId="3" xfId="0" applyNumberFormat="1" applyFill="1" applyBorder="1"/>
    <xf numFmtId="10" fontId="0" fillId="2" borderId="0" xfId="0" applyNumberFormat="1" applyFill="1" applyAlignment="1">
      <alignment horizontal="center" wrapText="1"/>
    </xf>
    <xf numFmtId="10" fontId="0" fillId="2" borderId="0" xfId="0" applyNumberFormat="1" applyFill="1" applyAlignment="1">
      <alignment horizontal="center"/>
    </xf>
    <xf numFmtId="0" fontId="0" fillId="2" borderId="4" xfId="0" applyFill="1" applyBorder="1"/>
    <xf numFmtId="10" fontId="0" fillId="2" borderId="5" xfId="0" applyNumberFormat="1" applyFill="1" applyBorder="1"/>
    <xf numFmtId="3" fontId="0" fillId="2" borderId="0" xfId="0" applyNumberFormat="1" applyFill="1" applyAlignment="1">
      <alignment horizontal="center" wrapText="1"/>
    </xf>
    <xf numFmtId="0" fontId="0" fillId="2" borderId="5" xfId="0" applyFill="1" applyBorder="1" applyAlignment="1">
      <alignment horizontal="left"/>
    </xf>
    <xf numFmtId="0" fontId="0" fillId="2" borderId="6" xfId="0" applyFill="1" applyBorder="1"/>
    <xf numFmtId="10" fontId="0" fillId="2" borderId="8" xfId="0" applyNumberFormat="1" applyFill="1" applyBorder="1"/>
    <xf numFmtId="0" fontId="1" fillId="5" borderId="6" xfId="0" applyFont="1" applyFill="1" applyBorder="1"/>
    <xf numFmtId="2" fontId="0" fillId="2" borderId="7" xfId="0" applyNumberFormat="1" applyFill="1" applyBorder="1" applyAlignment="1">
      <alignment horizontal="center" wrapText="1"/>
    </xf>
    <xf numFmtId="10" fontId="0" fillId="2" borderId="7" xfId="0" applyNumberFormat="1" applyFill="1" applyBorder="1" applyAlignment="1">
      <alignment horizontal="center"/>
    </xf>
    <xf numFmtId="2" fontId="0" fillId="2" borderId="0" xfId="0" applyNumberFormat="1" applyFill="1"/>
    <xf numFmtId="0" fontId="1" fillId="5" borderId="9" xfId="0" applyFont="1" applyFill="1" applyBorder="1"/>
    <xf numFmtId="0" fontId="0" fillId="2" borderId="10" xfId="0"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wrapText="1"/>
    </xf>
    <xf numFmtId="0" fontId="0" fillId="5" borderId="1" xfId="0" applyFill="1" applyBorder="1"/>
    <xf numFmtId="0" fontId="0" fillId="5" borderId="2" xfId="0" applyFill="1" applyBorder="1" applyAlignment="1">
      <alignment horizontal="center"/>
    </xf>
    <xf numFmtId="0" fontId="1" fillId="5" borderId="3" xfId="0" applyFont="1" applyFill="1" applyBorder="1" applyAlignment="1">
      <alignment horizontal="center"/>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5" fontId="0" fillId="2" borderId="0" xfId="0" applyNumberFormat="1" applyFill="1" applyAlignment="1">
      <alignment horizontal="center"/>
    </xf>
    <xf numFmtId="165" fontId="0" fillId="2" borderId="5" xfId="0" applyNumberFormat="1" applyFill="1" applyBorder="1" applyAlignment="1">
      <alignment horizontal="center"/>
    </xf>
    <xf numFmtId="164" fontId="1" fillId="2" borderId="0" xfId="0" applyNumberFormat="1" applyFont="1" applyFill="1" applyAlignment="1">
      <alignment horizontal="center"/>
    </xf>
    <xf numFmtId="164" fontId="1" fillId="2" borderId="5" xfId="0" applyNumberFormat="1" applyFont="1" applyFill="1" applyBorder="1" applyAlignment="1">
      <alignment horizontal="center"/>
    </xf>
    <xf numFmtId="164" fontId="0" fillId="2" borderId="5" xfId="0" applyNumberForma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5" xfId="0" applyFill="1" applyBorder="1" applyAlignment="1">
      <alignment horizontal="center"/>
    </xf>
    <xf numFmtId="10" fontId="0" fillId="2" borderId="8" xfId="0" applyNumberFormat="1" applyFill="1" applyBorder="1" applyAlignment="1">
      <alignment horizontal="center"/>
    </xf>
    <xf numFmtId="10" fontId="0" fillId="2" borderId="0" xfId="0" applyNumberFormat="1" applyFill="1" applyAlignment="1">
      <alignment wrapText="1"/>
    </xf>
    <xf numFmtId="165" fontId="0" fillId="2" borderId="7" xfId="0" applyNumberFormat="1" applyFill="1" applyBorder="1" applyAlignment="1">
      <alignment horizontal="center"/>
    </xf>
    <xf numFmtId="165" fontId="0" fillId="2" borderId="8" xfId="0" applyNumberFormat="1" applyFill="1" applyBorder="1" applyAlignment="1">
      <alignment horizontal="center"/>
    </xf>
    <xf numFmtId="0" fontId="0" fillId="5" borderId="2" xfId="0" applyFill="1" applyBorder="1"/>
    <xf numFmtId="3" fontId="0" fillId="2" borderId="2" xfId="0" applyNumberFormat="1" applyFill="1" applyBorder="1" applyAlignment="1">
      <alignment horizontal="center"/>
    </xf>
    <xf numFmtId="3" fontId="0" fillId="2" borderId="2" xfId="0" applyNumberFormat="1" applyFill="1" applyBorder="1" applyAlignment="1">
      <alignment horizontal="center" wrapText="1"/>
    </xf>
    <xf numFmtId="3" fontId="0" fillId="2" borderId="3" xfId="0" applyNumberFormat="1" applyFill="1" applyBorder="1" applyAlignment="1">
      <alignment horizontal="center" wrapText="1"/>
    </xf>
    <xf numFmtId="166" fontId="0" fillId="2" borderId="5" xfId="0" applyNumberFormat="1" applyFill="1" applyBorder="1" applyAlignment="1">
      <alignment horizontal="center" wrapText="1"/>
    </xf>
    <xf numFmtId="0" fontId="0" fillId="2" borderId="0" xfId="0" applyFill="1" applyAlignment="1">
      <alignment horizont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0" fillId="2" borderId="3" xfId="0" applyNumberFormat="1" applyFill="1" applyBorder="1" applyAlignment="1">
      <alignment horizontal="center"/>
    </xf>
    <xf numFmtId="4" fontId="0" fillId="2" borderId="2" xfId="0" applyNumberFormat="1" applyFill="1" applyBorder="1" applyAlignment="1">
      <alignment horizontal="center"/>
    </xf>
    <xf numFmtId="164" fontId="0" fillId="2" borderId="3" xfId="2" applyNumberFormat="1" applyFont="1" applyFill="1" applyBorder="1" applyAlignment="1">
      <alignment horizontal="center"/>
    </xf>
    <xf numFmtId="4" fontId="0" fillId="2" borderId="7" xfId="0" applyNumberFormat="1" applyFill="1" applyBorder="1" applyAlignment="1">
      <alignment horizontal="center"/>
    </xf>
    <xf numFmtId="164" fontId="0" fillId="2" borderId="8" xfId="2" applyNumberFormat="1" applyFont="1" applyFill="1" applyBorder="1" applyAlignment="1">
      <alignment horizontal="center"/>
    </xf>
    <xf numFmtId="0" fontId="1" fillId="5" borderId="7" xfId="0" applyFont="1" applyFill="1" applyBorder="1"/>
    <xf numFmtId="0" fontId="0" fillId="2" borderId="7" xfId="0" applyFill="1" applyBorder="1" applyAlignment="1">
      <alignment horizontal="center"/>
    </xf>
    <xf numFmtId="166" fontId="0" fillId="2" borderId="8" xfId="0" applyNumberFormat="1" applyFill="1" applyBorder="1" applyAlignment="1">
      <alignment horizontal="center" wrapText="1"/>
    </xf>
    <xf numFmtId="0" fontId="0" fillId="2" borderId="8" xfId="0" applyFill="1" applyBorder="1" applyAlignment="1">
      <alignment horizontal="center"/>
    </xf>
    <xf numFmtId="0" fontId="0" fillId="2" borderId="3" xfId="0" applyFill="1" applyBorder="1" applyAlignment="1">
      <alignment wrapText="1"/>
    </xf>
    <xf numFmtId="0" fontId="0" fillId="5" borderId="4" xfId="0" applyFill="1" applyBorder="1"/>
    <xf numFmtId="0" fontId="0" fillId="5" borderId="6" xfId="0" applyFill="1" applyBorder="1"/>
    <xf numFmtId="0" fontId="2" fillId="2" borderId="0" xfId="1" applyFill="1" applyAlignment="1">
      <alignment vertical="center" readingOrder="1"/>
    </xf>
    <xf numFmtId="0" fontId="1" fillId="2" borderId="0" xfId="0" applyFont="1" applyFill="1"/>
    <xf numFmtId="3" fontId="0" fillId="2" borderId="7" xfId="0" applyNumberFormat="1" applyFill="1" applyBorder="1" applyAlignment="1">
      <alignment vertical="top" wrapText="1"/>
    </xf>
    <xf numFmtId="3" fontId="0" fillId="2" borderId="2" xfId="0" applyNumberFormat="1" applyFill="1" applyBorder="1" applyAlignment="1">
      <alignment vertical="top" wrapText="1"/>
    </xf>
    <xf numFmtId="10" fontId="0" fillId="2" borderId="7" xfId="0" applyNumberFormat="1" applyFill="1" applyBorder="1" applyAlignment="1">
      <alignment vertical="top" wrapText="1"/>
    </xf>
    <xf numFmtId="3" fontId="0" fillId="2" borderId="0" xfId="0" applyNumberFormat="1" applyFill="1" applyAlignment="1">
      <alignment vertical="top" wrapText="1"/>
    </xf>
    <xf numFmtId="167" fontId="0" fillId="2" borderId="2" xfId="0" applyNumberFormat="1" applyFill="1" applyBorder="1" applyAlignment="1">
      <alignment vertical="top"/>
    </xf>
    <xf numFmtId="167" fontId="0" fillId="2" borderId="0" xfId="0" applyNumberFormat="1" applyFill="1" applyAlignment="1">
      <alignment vertical="top" wrapText="1"/>
    </xf>
    <xf numFmtId="167" fontId="0" fillId="2" borderId="7" xfId="0" applyNumberFormat="1" applyFill="1" applyBorder="1" applyAlignment="1">
      <alignment vertical="top" wrapText="1"/>
    </xf>
    <xf numFmtId="167" fontId="0" fillId="2" borderId="0" xfId="0" applyNumberFormat="1" applyFill="1" applyAlignment="1">
      <alignment vertical="top"/>
    </xf>
    <xf numFmtId="167" fontId="0" fillId="2" borderId="7" xfId="0" applyNumberFormat="1" applyFill="1" applyBorder="1" applyAlignment="1">
      <alignment vertical="top"/>
    </xf>
    <xf numFmtId="10" fontId="0" fillId="2" borderId="3" xfId="0" applyNumberFormat="1" applyFill="1" applyBorder="1" applyAlignment="1">
      <alignment vertical="top"/>
    </xf>
    <xf numFmtId="10" fontId="0" fillId="2" borderId="5" xfId="0" applyNumberFormat="1" applyFill="1" applyBorder="1" applyAlignment="1">
      <alignment vertical="top"/>
    </xf>
    <xf numFmtId="10" fontId="0" fillId="2" borderId="8" xfId="0" applyNumberFormat="1" applyFill="1" applyBorder="1" applyAlignment="1">
      <alignment vertical="top"/>
    </xf>
    <xf numFmtId="0" fontId="0" fillId="2" borderId="0" xfId="0" applyFill="1"/>
    <xf numFmtId="0" fontId="0" fillId="2" borderId="0" xfId="0" applyFill="1" applyAlignment="1">
      <alignment wrapText="1"/>
    </xf>
    <xf numFmtId="0" fontId="1" fillId="4" borderId="15" xfId="0" applyFont="1" applyFill="1" applyBorder="1" applyAlignment="1">
      <alignment horizontal="center"/>
    </xf>
    <xf numFmtId="0" fontId="0" fillId="0" borderId="12" xfId="0" applyBorder="1"/>
    <xf numFmtId="0" fontId="0" fillId="0" borderId="13" xfId="0" applyBorder="1"/>
    <xf numFmtId="0" fontId="1" fillId="2" borderId="7" xfId="0" applyFont="1" applyFill="1" applyBorder="1" applyAlignment="1">
      <alignment horizontal="center" vertical="center"/>
    </xf>
    <xf numFmtId="0" fontId="0" fillId="2" borderId="0" xfId="0" applyFill="1"/>
    <xf numFmtId="0" fontId="0" fillId="0" borderId="7" xfId="0" applyBorder="1"/>
    <xf numFmtId="0" fontId="3" fillId="3" borderId="14" xfId="0" applyFont="1" applyFill="1" applyBorder="1" applyAlignment="1">
      <alignment horizontal="center"/>
    </xf>
    <xf numFmtId="0" fontId="0" fillId="0" borderId="11" xfId="0" applyBorder="1"/>
    <xf numFmtId="0" fontId="0" fillId="0" borderId="10" xfId="0" applyBorder="1"/>
    <xf numFmtId="0" fontId="0" fillId="2" borderId="0" xfId="0" applyFill="1" applyAlignment="1">
      <alignment wrapText="1"/>
    </xf>
    <xf numFmtId="0" fontId="0" fillId="2" borderId="14" xfId="0" applyFill="1" applyBorder="1" applyAlignment="1">
      <alignment horizontal="left" vertical="top" wrapText="1"/>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8" xfId="0" applyBorder="1"/>
  </cellXfs>
  <cellStyles count="3">
    <cellStyle name="Hyperlink" xfId="1" builtinId="8"/>
    <cellStyle name="Normal" xfId="0" builtinId="0"/>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arketwatch.com/" TargetMode="External"/><Relationship Id="rId2" Type="http://schemas.openxmlformats.org/officeDocument/2006/relationships/hyperlink" Target="https://www.reuters.com/" TargetMode="External"/><Relationship Id="rId1" Type="http://schemas.openxmlformats.org/officeDocument/2006/relationships/hyperlink" Target="https://finance.yahoo.com/" TargetMode="External"/><Relationship Id="rId6" Type="http://schemas.openxmlformats.org/officeDocument/2006/relationships/hyperlink" Target="https://stockrow.com/" TargetMode="External"/><Relationship Id="rId5" Type="http://schemas.openxmlformats.org/officeDocument/2006/relationships/hyperlink" Target="https://www.marketscreener.com/" TargetMode="External"/><Relationship Id="rId4" Type="http://schemas.openxmlformats.org/officeDocument/2006/relationships/hyperlink" Target="https://finvi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J17"/>
  <sheetViews>
    <sheetView zoomScale="150" zoomScaleNormal="150" workbookViewId="0"/>
  </sheetViews>
  <sheetFormatPr baseColWidth="10" defaultColWidth="9.1640625" defaultRowHeight="15" x14ac:dyDescent="0.2"/>
  <cols>
    <col min="1" max="1" width="9.1640625" style="97" customWidth="1"/>
    <col min="2" max="10" width="12.83203125" style="97" customWidth="1"/>
    <col min="11" max="38" width="9.1640625" style="97" customWidth="1"/>
    <col min="39" max="16384" width="9.1640625" style="97"/>
  </cols>
  <sheetData>
    <row r="1" spans="2:10" x14ac:dyDescent="0.2">
      <c r="B1" s="102"/>
      <c r="C1" s="103"/>
      <c r="D1" s="103"/>
      <c r="E1" s="103"/>
      <c r="F1" s="103"/>
      <c r="G1" s="103"/>
      <c r="H1" s="103"/>
      <c r="I1" s="103"/>
      <c r="J1" s="103"/>
    </row>
    <row r="2" spans="2:10" ht="16" customHeight="1" thickBot="1" x14ac:dyDescent="0.25">
      <c r="B2" s="104"/>
      <c r="C2" s="104"/>
      <c r="D2" s="104"/>
      <c r="E2" s="104"/>
      <c r="F2" s="104"/>
      <c r="G2" s="104"/>
      <c r="H2" s="104"/>
      <c r="I2" s="104"/>
      <c r="J2" s="104"/>
    </row>
    <row r="3" spans="2:10" ht="16" customHeight="1" thickBot="1" x14ac:dyDescent="0.25">
      <c r="B3" s="105" t="s">
        <v>0</v>
      </c>
      <c r="C3" s="106"/>
      <c r="D3" s="106"/>
      <c r="E3" s="106"/>
      <c r="F3" s="106"/>
      <c r="G3" s="106"/>
      <c r="H3" s="106"/>
      <c r="I3" s="106"/>
      <c r="J3" s="107"/>
    </row>
    <row r="6" spans="2:10" x14ac:dyDescent="0.2">
      <c r="B6" s="99" t="s">
        <v>1</v>
      </c>
      <c r="C6" s="100"/>
      <c r="D6" s="100"/>
      <c r="E6" s="100"/>
      <c r="F6" s="101"/>
      <c r="G6" s="99" t="s">
        <v>2</v>
      </c>
      <c r="H6" s="100"/>
      <c r="I6" s="100"/>
      <c r="J6" s="101"/>
    </row>
    <row r="8" spans="2:10" ht="64.5" customHeight="1" x14ac:dyDescent="0.2">
      <c r="B8" s="108" t="s">
        <v>3</v>
      </c>
      <c r="C8" s="103"/>
      <c r="D8" s="103"/>
      <c r="E8" s="103"/>
      <c r="F8" s="103"/>
      <c r="G8" s="83" t="s">
        <v>4</v>
      </c>
    </row>
    <row r="9" spans="2:10" x14ac:dyDescent="0.2">
      <c r="G9" s="83" t="s">
        <v>5</v>
      </c>
    </row>
    <row r="10" spans="2:10" x14ac:dyDescent="0.2">
      <c r="G10" s="83" t="s">
        <v>6</v>
      </c>
    </row>
    <row r="11" spans="2:10" x14ac:dyDescent="0.2">
      <c r="G11" s="83" t="s">
        <v>7</v>
      </c>
    </row>
    <row r="12" spans="2:10" x14ac:dyDescent="0.2">
      <c r="G12" s="83" t="s">
        <v>8</v>
      </c>
    </row>
    <row r="13" spans="2:10" x14ac:dyDescent="0.2">
      <c r="G13" s="83" t="s">
        <v>9</v>
      </c>
    </row>
    <row r="15" spans="2:10" x14ac:dyDescent="0.2">
      <c r="B15" s="84"/>
    </row>
    <row r="16" spans="2:10" ht="30" customHeight="1" x14ac:dyDescent="0.2">
      <c r="B16" s="108"/>
      <c r="C16" s="103"/>
      <c r="D16" s="103"/>
      <c r="E16" s="103"/>
      <c r="F16" s="103"/>
      <c r="G16" s="103"/>
      <c r="H16" s="103"/>
      <c r="I16" s="103"/>
      <c r="J16" s="103"/>
    </row>
    <row r="17" spans="2:2" x14ac:dyDescent="0.2">
      <c r="B17" s="1"/>
    </row>
  </sheetData>
  <mergeCells count="6">
    <mergeCell ref="B6:F6"/>
    <mergeCell ref="G6:J6"/>
    <mergeCell ref="B1:J2"/>
    <mergeCell ref="B3:J3"/>
    <mergeCell ref="B16:J16"/>
    <mergeCell ref="B8:F8"/>
  </mergeCells>
  <hyperlinks>
    <hyperlink ref="G8" r:id="rId1" xr:uid="{00000000-0004-0000-0000-000000000000}"/>
    <hyperlink ref="G9" r:id="rId2" display="https://www.reuters.com/" xr:uid="{00000000-0004-0000-0000-000001000000}"/>
    <hyperlink ref="G10" r:id="rId3" xr:uid="{00000000-0004-0000-0000-000002000000}"/>
    <hyperlink ref="G11" r:id="rId4" xr:uid="{00000000-0004-0000-0000-000003000000}"/>
    <hyperlink ref="G12" r:id="rId5" xr:uid="{00000000-0004-0000-0000-000004000000}"/>
    <hyperlink ref="G13" r:id="rId6" xr:uid="{00000000-0004-0000-0000-000005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2" tint="-0.249977111117893"/>
  </sheetPr>
  <dimension ref="B1:AE361"/>
  <sheetViews>
    <sheetView tabSelected="1" topLeftCell="A21" zoomScale="160" zoomScaleNormal="160" workbookViewId="0"/>
  </sheetViews>
  <sheetFormatPr baseColWidth="10" defaultColWidth="9.1640625" defaultRowHeight="15" x14ac:dyDescent="0.2"/>
  <cols>
    <col min="1" max="1" width="9.1640625" style="97" customWidth="1"/>
    <col min="2" max="2" width="20.33203125" style="97" customWidth="1"/>
    <col min="3" max="8" width="16.83203125" style="97" customWidth="1"/>
    <col min="9" max="9" width="11.33203125" style="97" customWidth="1"/>
    <col min="10" max="10" width="15" style="97" customWidth="1"/>
    <col min="11" max="14" width="11.33203125" style="97" customWidth="1"/>
    <col min="15" max="15" width="12.83203125" style="97" customWidth="1"/>
    <col min="16" max="16" width="14.6640625" style="97" customWidth="1"/>
    <col min="17" max="17" width="16" style="97" customWidth="1"/>
    <col min="18" max="18" width="17.83203125" style="97" customWidth="1"/>
    <col min="19" max="19" width="13.33203125" style="97" customWidth="1"/>
    <col min="20" max="20" width="9.6640625" style="97" customWidth="1"/>
    <col min="21" max="21" width="9.1640625" style="97" customWidth="1"/>
    <col min="22" max="24" width="1.6640625" style="97" customWidth="1"/>
    <col min="25" max="52" width="9.1640625" style="97" customWidth="1"/>
    <col min="53" max="16384" width="9.1640625" style="97"/>
  </cols>
  <sheetData>
    <row r="1" spans="2:19" ht="16" customHeight="1" thickBot="1" x14ac:dyDescent="0.25"/>
    <row r="2" spans="2:19" ht="16" customHeight="1" thickBot="1" x14ac:dyDescent="0.25">
      <c r="B2" s="4"/>
      <c r="G2" s="5"/>
      <c r="H2" s="6"/>
    </row>
    <row r="3" spans="2:19" ht="16" customHeight="1" thickBot="1" x14ac:dyDescent="0.25"/>
    <row r="4" spans="2:19" x14ac:dyDescent="0.2">
      <c r="B4" s="7" t="s">
        <v>10</v>
      </c>
      <c r="C4" s="8"/>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11</v>
      </c>
      <c r="C6" s="19"/>
      <c r="D6" s="20" t="e">
        <f>(C4-C6)/C6</f>
        <v>#DIV/0!</v>
      </c>
      <c r="E6" s="21" t="s">
        <v>12</v>
      </c>
      <c r="F6" s="22">
        <f>E25</f>
        <v>0</v>
      </c>
      <c r="G6" s="21" t="s">
        <v>13</v>
      </c>
      <c r="H6" s="23" t="e">
        <f>C4/F36</f>
        <v>#DIV/0!</v>
      </c>
      <c r="L6" s="24"/>
      <c r="M6" s="25"/>
    </row>
    <row r="7" spans="2:19" x14ac:dyDescent="0.2">
      <c r="B7" s="18" t="s">
        <v>14</v>
      </c>
      <c r="C7" s="19"/>
      <c r="D7" s="20" t="e">
        <f>(C4-C7)/C7</f>
        <v>#DIV/0!</v>
      </c>
      <c r="E7" s="21" t="s">
        <v>15</v>
      </c>
      <c r="F7" s="2">
        <f>F25</f>
        <v>0</v>
      </c>
      <c r="G7" s="21" t="s">
        <v>16</v>
      </c>
      <c r="H7" s="26"/>
      <c r="L7" s="27"/>
      <c r="M7" s="25"/>
      <c r="N7" s="84"/>
      <c r="Q7" s="7" t="s">
        <v>17</v>
      </c>
      <c r="R7" s="10"/>
      <c r="S7" s="28"/>
    </row>
    <row r="8" spans="2:19" x14ac:dyDescent="0.2">
      <c r="B8" s="18" t="s">
        <v>18</v>
      </c>
      <c r="C8" s="29"/>
      <c r="D8" s="30"/>
      <c r="E8" s="21" t="s">
        <v>19</v>
      </c>
      <c r="F8" s="2"/>
      <c r="G8" s="21" t="s">
        <v>20</v>
      </c>
      <c r="H8" s="14"/>
      <c r="Q8" s="31"/>
      <c r="S8" s="32"/>
    </row>
    <row r="9" spans="2:19" x14ac:dyDescent="0.2">
      <c r="B9" s="18" t="s">
        <v>21</v>
      </c>
      <c r="C9" s="3"/>
      <c r="D9" s="2"/>
      <c r="E9" s="21" t="s">
        <v>22</v>
      </c>
      <c r="F9" s="2"/>
      <c r="G9" s="21" t="s">
        <v>23</v>
      </c>
      <c r="H9" s="14"/>
      <c r="Q9" s="31"/>
      <c r="S9" s="32"/>
    </row>
    <row r="10" spans="2:19" x14ac:dyDescent="0.2">
      <c r="B10" s="18" t="s">
        <v>24</v>
      </c>
      <c r="C10" s="33"/>
      <c r="D10" s="3">
        <f>C10-C9</f>
        <v>0</v>
      </c>
      <c r="E10" s="21" t="s">
        <v>25</v>
      </c>
      <c r="F10" s="30" t="e">
        <f>IF(F9&lt;"-",F9/C4,"")</f>
        <v>#DIV/0!</v>
      </c>
      <c r="G10" s="21" t="s">
        <v>26</v>
      </c>
      <c r="H10" s="14"/>
      <c r="Q10" s="31"/>
      <c r="S10" s="32"/>
    </row>
    <row r="11" spans="2:19" ht="16" customHeight="1" thickBot="1" x14ac:dyDescent="0.25">
      <c r="B11" s="18" t="s">
        <v>27</v>
      </c>
      <c r="C11" s="19"/>
      <c r="D11" s="2"/>
      <c r="E11" s="21" t="s">
        <v>28</v>
      </c>
      <c r="F11" s="19"/>
      <c r="G11" s="21" t="s">
        <v>29</v>
      </c>
      <c r="H11" s="34"/>
      <c r="Q11" s="35"/>
      <c r="R11" s="16"/>
      <c r="S11" s="36"/>
    </row>
    <row r="12" spans="2:19" ht="15.75" customHeight="1" thickBot="1" x14ac:dyDescent="0.25">
      <c r="B12" s="37" t="s">
        <v>30</v>
      </c>
      <c r="C12" s="38"/>
      <c r="D12" s="39"/>
      <c r="E12" s="16"/>
      <c r="F12" s="16"/>
      <c r="G12" s="16"/>
      <c r="H12" s="17"/>
    </row>
    <row r="13" spans="2:19" ht="16" customHeight="1" thickBot="1" x14ac:dyDescent="0.25">
      <c r="D13" s="40"/>
      <c r="L13" s="27"/>
      <c r="M13" s="25"/>
    </row>
    <row r="14" spans="2:19" ht="16" customHeight="1" thickBot="1" x14ac:dyDescent="0.25">
      <c r="G14" s="41" t="s">
        <v>31</v>
      </c>
      <c r="H14" s="42"/>
    </row>
    <row r="15" spans="2:19" ht="16" customHeight="1" x14ac:dyDescent="0.2">
      <c r="B15" s="7"/>
      <c r="C15" s="43"/>
      <c r="D15" s="43"/>
      <c r="E15" s="43"/>
      <c r="F15" s="43"/>
      <c r="G15" s="43"/>
      <c r="H15" s="44"/>
      <c r="J15" s="45"/>
      <c r="K15" s="46"/>
      <c r="L15" s="46"/>
      <c r="M15" s="46"/>
      <c r="N15" s="46"/>
      <c r="O15" s="47" t="s">
        <v>32</v>
      </c>
    </row>
    <row r="16" spans="2:19" x14ac:dyDescent="0.2">
      <c r="B16" s="18" t="s">
        <v>33</v>
      </c>
      <c r="C16" s="3"/>
      <c r="D16" s="3"/>
      <c r="E16" s="3"/>
      <c r="F16" s="3"/>
      <c r="G16" s="3"/>
      <c r="H16" s="48"/>
      <c r="J16" s="18" t="s">
        <v>21</v>
      </c>
      <c r="K16" s="3"/>
      <c r="L16" s="3"/>
      <c r="M16" s="3"/>
      <c r="N16" s="3"/>
      <c r="O16" s="48" t="e">
        <f t="shared" ref="O16:O27" si="0">AVERAGE(K16:N16)</f>
        <v>#DIV/0!</v>
      </c>
    </row>
    <row r="17" spans="2:31" ht="15" customHeight="1" x14ac:dyDescent="0.2">
      <c r="B17" s="18" t="s">
        <v>34</v>
      </c>
      <c r="C17" s="2"/>
      <c r="D17" s="30" t="e">
        <f>(D16-C16)/C16</f>
        <v>#DIV/0!</v>
      </c>
      <c r="E17" s="30" t="e">
        <f>(E16-D16)/D16</f>
        <v>#DIV/0!</v>
      </c>
      <c r="F17" s="30" t="e">
        <f>(F16-E16)/E16</f>
        <v>#DIV/0!</v>
      </c>
      <c r="G17" s="30" t="e">
        <f>(G16-F16)/F16</f>
        <v>#DIV/0!</v>
      </c>
      <c r="H17" s="49" t="e">
        <f>(H16-G16)/G16</f>
        <v>#DIV/0!</v>
      </c>
      <c r="J17" s="18" t="s">
        <v>24</v>
      </c>
      <c r="K17" s="3"/>
      <c r="L17" s="3"/>
      <c r="M17" s="3"/>
      <c r="N17" s="3"/>
      <c r="O17" s="48" t="e">
        <f t="shared" si="0"/>
        <v>#DIV/0!</v>
      </c>
      <c r="AB17" s="98"/>
    </row>
    <row r="18" spans="2:31" ht="15" customHeight="1" x14ac:dyDescent="0.2">
      <c r="B18" s="18" t="s">
        <v>35</v>
      </c>
      <c r="C18" s="3"/>
      <c r="D18" s="3"/>
      <c r="E18" s="3"/>
      <c r="F18" s="3"/>
      <c r="G18" s="3"/>
      <c r="H18" s="48"/>
      <c r="J18" s="18" t="s">
        <v>36</v>
      </c>
      <c r="K18" s="50"/>
      <c r="L18" s="50"/>
      <c r="M18" s="50"/>
      <c r="N18" s="50"/>
      <c r="O18" s="51" t="e">
        <f t="shared" si="0"/>
        <v>#DIV/0!</v>
      </c>
      <c r="AB18" s="98"/>
    </row>
    <row r="19" spans="2:31" ht="15" customHeight="1" x14ac:dyDescent="0.2">
      <c r="B19" s="18" t="s">
        <v>37</v>
      </c>
      <c r="C19" s="52" t="e">
        <f t="shared" ref="C19:H19" si="1">IF(C18&lt;"-",C18/C16,"")</f>
        <v>#DIV/0!</v>
      </c>
      <c r="D19" s="52" t="e">
        <f t="shared" si="1"/>
        <v>#DIV/0!</v>
      </c>
      <c r="E19" s="52" t="e">
        <f t="shared" si="1"/>
        <v>#DIV/0!</v>
      </c>
      <c r="F19" s="52" t="e">
        <f t="shared" si="1"/>
        <v>#DIV/0!</v>
      </c>
      <c r="G19" s="52" t="e">
        <f t="shared" si="1"/>
        <v>#DIV/0!</v>
      </c>
      <c r="H19" s="53" t="e">
        <f t="shared" si="1"/>
        <v>#DIV/0!</v>
      </c>
      <c r="J19" s="18" t="s">
        <v>38</v>
      </c>
      <c r="K19" s="50"/>
      <c r="L19" s="50"/>
      <c r="M19" s="50"/>
      <c r="N19" s="50"/>
      <c r="O19" s="51" t="e">
        <f t="shared" si="0"/>
        <v>#DIV/0!</v>
      </c>
      <c r="AC19" s="98"/>
    </row>
    <row r="20" spans="2:31" ht="15" customHeight="1" x14ac:dyDescent="0.2">
      <c r="B20" s="18" t="s">
        <v>39</v>
      </c>
      <c r="C20" s="3"/>
      <c r="D20" s="3"/>
      <c r="E20" s="3"/>
      <c r="F20" s="3"/>
      <c r="G20" s="3"/>
      <c r="H20" s="48"/>
      <c r="J20" s="18" t="s">
        <v>40</v>
      </c>
      <c r="K20" s="50"/>
      <c r="L20" s="50"/>
      <c r="M20" s="50"/>
      <c r="N20" s="50"/>
      <c r="O20" s="51" t="e">
        <f t="shared" si="0"/>
        <v>#DIV/0!</v>
      </c>
    </row>
    <row r="21" spans="2:31" ht="15" customHeight="1" x14ac:dyDescent="0.2">
      <c r="B21" s="18" t="s">
        <v>41</v>
      </c>
      <c r="C21" s="52" t="e">
        <f t="shared" ref="C21:H21" si="2">C20/C16</f>
        <v>#DIV/0!</v>
      </c>
      <c r="D21" s="52" t="e">
        <f t="shared" si="2"/>
        <v>#DIV/0!</v>
      </c>
      <c r="E21" s="52" t="e">
        <f t="shared" si="2"/>
        <v>#DIV/0!</v>
      </c>
      <c r="F21" s="52" t="e">
        <f t="shared" si="2"/>
        <v>#DIV/0!</v>
      </c>
      <c r="G21" s="52" t="e">
        <f t="shared" si="2"/>
        <v>#DIV/0!</v>
      </c>
      <c r="H21" s="53" t="e">
        <f t="shared" si="2"/>
        <v>#DIV/0!</v>
      </c>
      <c r="J21" s="18" t="s">
        <v>42</v>
      </c>
      <c r="K21" s="50"/>
      <c r="L21" s="50"/>
      <c r="M21" s="50"/>
      <c r="N21" s="50"/>
      <c r="O21" s="51" t="e">
        <f t="shared" si="0"/>
        <v>#DIV/0!</v>
      </c>
      <c r="AC21" s="98"/>
    </row>
    <row r="22" spans="2:31" ht="15" customHeight="1" x14ac:dyDescent="0.2">
      <c r="B22" s="18" t="s">
        <v>43</v>
      </c>
      <c r="C22" s="3"/>
      <c r="D22" s="3"/>
      <c r="E22" s="3"/>
      <c r="F22" s="3"/>
      <c r="G22" s="3"/>
      <c r="H22" s="48"/>
      <c r="J22" s="18" t="s">
        <v>44</v>
      </c>
      <c r="K22" s="19"/>
      <c r="L22" s="19"/>
      <c r="M22" s="19"/>
      <c r="N22" s="19"/>
      <c r="O22" s="51" t="e">
        <f t="shared" si="0"/>
        <v>#DIV/0!</v>
      </c>
      <c r="AB22" s="98"/>
      <c r="AC22" s="98"/>
      <c r="AE22" s="98"/>
    </row>
    <row r="23" spans="2:31" ht="15" customHeight="1" x14ac:dyDescent="0.2">
      <c r="B23" s="18" t="s">
        <v>45</v>
      </c>
      <c r="C23" s="52" t="e">
        <f t="shared" ref="C23:H23" si="3">C22/C16</f>
        <v>#DIV/0!</v>
      </c>
      <c r="D23" s="52" t="e">
        <f t="shared" si="3"/>
        <v>#DIV/0!</v>
      </c>
      <c r="E23" s="52" t="e">
        <f t="shared" si="3"/>
        <v>#DIV/0!</v>
      </c>
      <c r="F23" s="52" t="e">
        <f t="shared" si="3"/>
        <v>#DIV/0!</v>
      </c>
      <c r="G23" s="52" t="e">
        <f t="shared" si="3"/>
        <v>#DIV/0!</v>
      </c>
      <c r="H23" s="53" t="e">
        <f t="shared" si="3"/>
        <v>#DIV/0!</v>
      </c>
      <c r="J23" s="18" t="s">
        <v>37</v>
      </c>
      <c r="K23" s="20"/>
      <c r="L23" s="20"/>
      <c r="M23" s="20"/>
      <c r="N23" s="20"/>
      <c r="O23" s="54" t="e">
        <f t="shared" si="0"/>
        <v>#DIV/0!</v>
      </c>
    </row>
    <row r="24" spans="2:31" ht="15" customHeight="1" x14ac:dyDescent="0.2">
      <c r="B24" s="18"/>
      <c r="C24" s="2"/>
      <c r="D24" s="55" t="e">
        <f>(D22-C22)/C22</f>
        <v>#DIV/0!</v>
      </c>
      <c r="E24" s="55" t="e">
        <f>(E22-D22)/D22</f>
        <v>#DIV/0!</v>
      </c>
      <c r="F24" s="55" t="e">
        <f>(F22-E22)/E22</f>
        <v>#DIV/0!</v>
      </c>
      <c r="G24" s="55" t="e">
        <f>(G22-F22)/F22</f>
        <v>#DIV/0!</v>
      </c>
      <c r="H24" s="56" t="e">
        <f>(H22-G22)/G22</f>
        <v>#DIV/0!</v>
      </c>
      <c r="J24" s="18" t="s">
        <v>41</v>
      </c>
      <c r="K24" s="20"/>
      <c r="L24" s="20"/>
      <c r="M24" s="20"/>
      <c r="N24" s="20"/>
      <c r="O24" s="54" t="e">
        <f t="shared" si="0"/>
        <v>#DIV/0!</v>
      </c>
    </row>
    <row r="25" spans="2:31" ht="15" customHeight="1" x14ac:dyDescent="0.2">
      <c r="B25" s="18" t="s">
        <v>46</v>
      </c>
      <c r="C25" s="2"/>
      <c r="D25" s="2"/>
      <c r="E25" s="22"/>
      <c r="F25" s="2"/>
      <c r="G25" s="2"/>
      <c r="H25" s="57"/>
      <c r="J25" s="18" t="s">
        <v>47</v>
      </c>
      <c r="K25" s="20"/>
      <c r="L25" s="20"/>
      <c r="M25" s="20"/>
      <c r="N25" s="20"/>
      <c r="O25" s="54" t="e">
        <f t="shared" si="0"/>
        <v>#DIV/0!</v>
      </c>
      <c r="AC25" s="98"/>
    </row>
    <row r="26" spans="2:31" ht="15" customHeight="1" x14ac:dyDescent="0.2">
      <c r="B26" s="18" t="s">
        <v>48</v>
      </c>
      <c r="C26" s="2"/>
      <c r="D26" s="2"/>
      <c r="E26" s="19"/>
      <c r="F26" s="2"/>
      <c r="G26" s="2"/>
      <c r="H26" s="57"/>
      <c r="J26" s="18" t="s">
        <v>49</v>
      </c>
      <c r="K26" s="30"/>
      <c r="L26" s="30"/>
      <c r="M26" s="30"/>
      <c r="N26" s="30"/>
      <c r="O26" s="49" t="e">
        <f t="shared" si="0"/>
        <v>#DIV/0!</v>
      </c>
    </row>
    <row r="27" spans="2:31" ht="15" customHeight="1" thickBot="1" x14ac:dyDescent="0.25">
      <c r="B27" s="18" t="s">
        <v>34</v>
      </c>
      <c r="C27" s="2"/>
      <c r="D27" s="30" t="e">
        <f>(D26-C26)/ABS(C26)</f>
        <v>#DIV/0!</v>
      </c>
      <c r="E27" s="30" t="str">
        <f>IF(D26&gt;0,(E26-D26)/D26,"")</f>
        <v/>
      </c>
      <c r="F27" s="30" t="str">
        <f>IF(E26&gt;0,(F26-E26)/E26,"")</f>
        <v/>
      </c>
      <c r="G27" s="30" t="str">
        <f>IF(F26&gt;0,(G26-F26)/F26,"")</f>
        <v/>
      </c>
      <c r="H27" s="49" t="str">
        <f>IF(G26&gt;0,(H26-G26)/G26,"")</f>
        <v/>
      </c>
      <c r="J27" s="37" t="s">
        <v>16</v>
      </c>
      <c r="K27" s="39"/>
      <c r="L27" s="39"/>
      <c r="M27" s="39"/>
      <c r="N27" s="39"/>
      <c r="O27" s="58" t="e">
        <f t="shared" si="0"/>
        <v>#DIV/0!</v>
      </c>
      <c r="AB27" s="59"/>
      <c r="AC27" s="25"/>
      <c r="AD27" s="25"/>
      <c r="AE27" s="25"/>
    </row>
    <row r="28" spans="2:31" ht="15" customHeight="1" x14ac:dyDescent="0.2">
      <c r="B28" s="18" t="s">
        <v>38</v>
      </c>
      <c r="C28" s="50" t="e">
        <f t="shared" ref="C28:H28" si="4">IF(C18&lt;"-",$C$10/C18,"")</f>
        <v>#DIV/0!</v>
      </c>
      <c r="D28" s="50" t="e">
        <f t="shared" si="4"/>
        <v>#DIV/0!</v>
      </c>
      <c r="E28" s="50" t="e">
        <f t="shared" si="4"/>
        <v>#DIV/0!</v>
      </c>
      <c r="F28" s="50" t="e">
        <f t="shared" si="4"/>
        <v>#DIV/0!</v>
      </c>
      <c r="G28" s="50" t="e">
        <f t="shared" si="4"/>
        <v>#DIV/0!</v>
      </c>
      <c r="H28" s="51" t="e">
        <f t="shared" si="4"/>
        <v>#DIV/0!</v>
      </c>
    </row>
    <row r="29" spans="2:31" ht="15" customHeight="1" x14ac:dyDescent="0.2">
      <c r="B29" s="18" t="s">
        <v>40</v>
      </c>
      <c r="C29" s="50" t="e">
        <f t="shared" ref="C29:H29" si="5">$C$10/C20</f>
        <v>#DIV/0!</v>
      </c>
      <c r="D29" s="50" t="e">
        <f t="shared" si="5"/>
        <v>#DIV/0!</v>
      </c>
      <c r="E29" s="50" t="e">
        <f t="shared" si="5"/>
        <v>#DIV/0!</v>
      </c>
      <c r="F29" s="50" t="e">
        <f t="shared" si="5"/>
        <v>#DIV/0!</v>
      </c>
      <c r="G29" s="50" t="e">
        <f t="shared" si="5"/>
        <v>#DIV/0!</v>
      </c>
      <c r="H29" s="51" t="e">
        <f t="shared" si="5"/>
        <v>#DIV/0!</v>
      </c>
    </row>
    <row r="30" spans="2:31" ht="15" customHeight="1" thickBot="1" x14ac:dyDescent="0.25">
      <c r="B30" s="37" t="s">
        <v>42</v>
      </c>
      <c r="C30" s="60" t="e">
        <f t="shared" ref="C30:H30" si="6">$C$10/C16</f>
        <v>#DIV/0!</v>
      </c>
      <c r="D30" s="60" t="e">
        <f t="shared" si="6"/>
        <v>#DIV/0!</v>
      </c>
      <c r="E30" s="60" t="e">
        <f t="shared" si="6"/>
        <v>#DIV/0!</v>
      </c>
      <c r="F30" s="60" t="e">
        <f t="shared" si="6"/>
        <v>#DIV/0!</v>
      </c>
      <c r="G30" s="60" t="e">
        <f t="shared" si="6"/>
        <v>#DIV/0!</v>
      </c>
      <c r="H30" s="61" t="e">
        <f t="shared" si="6"/>
        <v>#DIV/0!</v>
      </c>
      <c r="J30" s="84" t="s">
        <v>50</v>
      </c>
    </row>
    <row r="31" spans="2:31" ht="16" customHeight="1" thickBot="1" x14ac:dyDescent="0.25">
      <c r="J31" s="45"/>
      <c r="K31" s="62"/>
      <c r="L31" s="43" t="s">
        <v>51</v>
      </c>
      <c r="M31" s="43" t="s">
        <v>52</v>
      </c>
      <c r="N31" s="43" t="s">
        <v>53</v>
      </c>
      <c r="O31" s="47" t="s">
        <v>54</v>
      </c>
    </row>
    <row r="32" spans="2:31" x14ac:dyDescent="0.2">
      <c r="B32" s="7" t="s">
        <v>55</v>
      </c>
      <c r="C32" s="63"/>
      <c r="D32" s="64"/>
      <c r="E32" s="64"/>
      <c r="F32" s="64"/>
      <c r="G32" s="64"/>
      <c r="H32" s="65"/>
      <c r="J32" s="18" t="s">
        <v>56</v>
      </c>
      <c r="K32" s="21" t="s">
        <v>33</v>
      </c>
      <c r="L32" s="3"/>
      <c r="M32" s="3"/>
      <c r="N32" s="3"/>
      <c r="O32" s="66"/>
    </row>
    <row r="33" spans="2:17" x14ac:dyDescent="0.2">
      <c r="B33" s="18" t="s">
        <v>35</v>
      </c>
      <c r="C33" s="3">
        <f t="shared" ref="C33:H33" si="7">C18</f>
        <v>0</v>
      </c>
      <c r="D33" s="3">
        <f t="shared" si="7"/>
        <v>0</v>
      </c>
      <c r="E33" s="3">
        <f t="shared" si="7"/>
        <v>0</v>
      </c>
      <c r="F33" s="3">
        <f t="shared" si="7"/>
        <v>0</v>
      </c>
      <c r="G33" s="3">
        <f t="shared" si="7"/>
        <v>0</v>
      </c>
      <c r="H33" s="48">
        <f t="shared" si="7"/>
        <v>0</v>
      </c>
      <c r="J33" s="18"/>
      <c r="K33" s="21" t="s">
        <v>57</v>
      </c>
      <c r="L33" s="2"/>
      <c r="M33" s="2"/>
      <c r="N33" s="2"/>
      <c r="O33" s="66"/>
    </row>
    <row r="34" spans="2:17" x14ac:dyDescent="0.2">
      <c r="B34" s="18" t="s">
        <v>58</v>
      </c>
      <c r="C34" s="19" t="str">
        <f t="shared" ref="C34:H34" si="8">IF(C32&gt;0,C32/C33,"")</f>
        <v/>
      </c>
      <c r="D34" s="19" t="str">
        <f t="shared" si="8"/>
        <v/>
      </c>
      <c r="E34" s="19" t="str">
        <f t="shared" si="8"/>
        <v/>
      </c>
      <c r="F34" s="19" t="str">
        <f t="shared" si="8"/>
        <v/>
      </c>
      <c r="G34" s="19" t="str">
        <f t="shared" si="8"/>
        <v/>
      </c>
      <c r="H34" s="23" t="str">
        <f t="shared" si="8"/>
        <v/>
      </c>
      <c r="J34" s="18" t="s">
        <v>59</v>
      </c>
      <c r="K34" s="21" t="s">
        <v>33</v>
      </c>
      <c r="L34" s="3"/>
      <c r="M34" s="3"/>
      <c r="N34" s="3"/>
      <c r="O34" s="66"/>
    </row>
    <row r="35" spans="2:17" x14ac:dyDescent="0.2">
      <c r="B35" s="18" t="s">
        <v>60</v>
      </c>
      <c r="C35" s="67"/>
      <c r="D35" s="67"/>
      <c r="E35" s="67"/>
      <c r="F35" s="67"/>
      <c r="G35" s="67"/>
      <c r="H35" s="68"/>
      <c r="J35" s="18"/>
      <c r="K35" s="21" t="s">
        <v>57</v>
      </c>
      <c r="L35" s="2"/>
      <c r="M35" s="2"/>
      <c r="N35" s="2"/>
      <c r="O35" s="66"/>
    </row>
    <row r="36" spans="2:17" ht="16" customHeight="1" thickBot="1" x14ac:dyDescent="0.25">
      <c r="B36" s="37" t="s">
        <v>61</v>
      </c>
      <c r="C36" s="69"/>
      <c r="D36" s="69"/>
      <c r="E36" s="69"/>
      <c r="F36" s="69"/>
      <c r="G36" s="69"/>
      <c r="H36" s="70"/>
      <c r="J36" s="18" t="s">
        <v>62</v>
      </c>
      <c r="K36" s="21" t="s">
        <v>33</v>
      </c>
      <c r="L36" s="3"/>
      <c r="M36" s="3"/>
      <c r="N36" s="3"/>
      <c r="O36" s="66"/>
    </row>
    <row r="37" spans="2:17" ht="16" customHeight="1" thickBot="1" x14ac:dyDescent="0.25">
      <c r="J37" s="18"/>
      <c r="K37" s="21" t="s">
        <v>57</v>
      </c>
      <c r="L37" s="2"/>
      <c r="M37" s="2"/>
      <c r="N37" s="2"/>
      <c r="O37" s="66"/>
    </row>
    <row r="38" spans="2:17" x14ac:dyDescent="0.2">
      <c r="B38" s="7" t="s">
        <v>63</v>
      </c>
      <c r="C38" s="71"/>
      <c r="F38" s="7" t="s">
        <v>64</v>
      </c>
      <c r="G38" s="72"/>
      <c r="H38" s="73" t="e">
        <f>(C4-G38)/G38</f>
        <v>#DIV/0!</v>
      </c>
      <c r="J38" s="18" t="s">
        <v>65</v>
      </c>
      <c r="K38" s="21" t="s">
        <v>33</v>
      </c>
      <c r="L38" s="3"/>
      <c r="M38" s="3"/>
      <c r="N38" s="3"/>
      <c r="O38" s="66"/>
    </row>
    <row r="39" spans="2:17" ht="16" customHeight="1" thickBot="1" x14ac:dyDescent="0.25">
      <c r="B39" s="18" t="s">
        <v>66</v>
      </c>
      <c r="C39" s="48"/>
      <c r="F39" s="37" t="s">
        <v>67</v>
      </c>
      <c r="G39" s="74"/>
      <c r="H39" s="75" t="e">
        <f>(C4-G39)/G39</f>
        <v>#DIV/0!</v>
      </c>
      <c r="J39" s="37"/>
      <c r="K39" s="76" t="s">
        <v>57</v>
      </c>
      <c r="L39" s="77"/>
      <c r="M39" s="77"/>
      <c r="N39" s="77"/>
      <c r="O39" s="78"/>
    </row>
    <row r="40" spans="2:17" ht="16" customHeight="1" thickBot="1" x14ac:dyDescent="0.25">
      <c r="B40" s="37" t="s">
        <v>68</v>
      </c>
      <c r="C40" s="79"/>
    </row>
    <row r="41" spans="2:17" ht="16" customHeight="1" x14ac:dyDescent="0.2">
      <c r="F41" s="7" t="s">
        <v>69</v>
      </c>
      <c r="G41" s="10"/>
      <c r="H41" s="80"/>
    </row>
    <row r="42" spans="2:17" ht="16" customHeight="1" thickBot="1" x14ac:dyDescent="0.25">
      <c r="F42" s="37" t="s">
        <v>70</v>
      </c>
      <c r="G42" s="16"/>
      <c r="H42" s="17"/>
    </row>
    <row r="43" spans="2:17" ht="19.5" customHeight="1" thickBot="1" x14ac:dyDescent="0.25"/>
    <row r="44" spans="2:17" ht="18" customHeight="1" thickBot="1" x14ac:dyDescent="0.25">
      <c r="B44" s="7" t="s">
        <v>71</v>
      </c>
      <c r="C44" s="86"/>
      <c r="D44" s="89"/>
      <c r="E44" s="94" t="e">
        <f>D44/$E$16</f>
        <v>#DIV/0!</v>
      </c>
      <c r="G44" s="7" t="s">
        <v>72</v>
      </c>
      <c r="H44" s="86"/>
      <c r="I44" s="89"/>
      <c r="J44" s="94" t="e">
        <f>I44/$E$16</f>
        <v>#DIV/0!</v>
      </c>
      <c r="L44" s="109"/>
      <c r="M44" s="110"/>
      <c r="N44" s="110"/>
      <c r="O44" s="110"/>
      <c r="P44" s="110"/>
      <c r="Q44" s="111"/>
    </row>
    <row r="45" spans="2:17" x14ac:dyDescent="0.2">
      <c r="B45" s="81"/>
      <c r="C45" s="88"/>
      <c r="D45" s="90"/>
      <c r="E45" s="95" t="e">
        <f>D45/$E$16</f>
        <v>#DIV/0!</v>
      </c>
      <c r="G45" s="81"/>
      <c r="H45" s="88"/>
      <c r="I45" s="92"/>
      <c r="J45" s="95" t="e">
        <f>I45/$E$16</f>
        <v>#DIV/0!</v>
      </c>
      <c r="L45" s="112"/>
      <c r="M45" s="103"/>
      <c r="N45" s="103"/>
      <c r="O45" s="103"/>
      <c r="P45" s="103"/>
      <c r="Q45" s="113"/>
    </row>
    <row r="46" spans="2:17" ht="32" customHeight="1" x14ac:dyDescent="0.2">
      <c r="B46" s="81"/>
      <c r="C46" s="88"/>
      <c r="D46" s="90"/>
      <c r="E46" s="95" t="e">
        <f>D46/$E$16</f>
        <v>#DIV/0!</v>
      </c>
      <c r="G46" s="81"/>
      <c r="H46" s="88"/>
      <c r="I46" s="92"/>
      <c r="J46" s="95" t="e">
        <f>I46/$E$16</f>
        <v>#DIV/0!</v>
      </c>
      <c r="L46" s="112"/>
      <c r="M46" s="103"/>
      <c r="N46" s="103"/>
      <c r="O46" s="103"/>
      <c r="P46" s="103"/>
      <c r="Q46" s="113"/>
    </row>
    <row r="47" spans="2:17" ht="25.5" customHeight="1" thickBot="1" x14ac:dyDescent="0.25">
      <c r="B47" s="82"/>
      <c r="C47" s="85"/>
      <c r="D47" s="91"/>
      <c r="E47" s="96" t="e">
        <f>D47/$E$16</f>
        <v>#DIV/0!</v>
      </c>
      <c r="G47" s="82"/>
      <c r="H47" s="87"/>
      <c r="I47" s="93"/>
      <c r="J47" s="96" t="e">
        <f>I47/$E$16</f>
        <v>#DIV/0!</v>
      </c>
      <c r="L47" s="114"/>
      <c r="M47" s="104"/>
      <c r="N47" s="104"/>
      <c r="O47" s="104"/>
      <c r="P47" s="104"/>
      <c r="Q47" s="115"/>
    </row>
    <row r="361" spans="8:8" x14ac:dyDescent="0.2">
      <c r="H361" s="97">
        <v>36.79</v>
      </c>
    </row>
  </sheetData>
  <sheetProtection sheet="1" objects="1" scenarios="1"/>
  <mergeCells count="1">
    <mergeCell ref="L44:Q47"/>
  </mergeCells>
  <conditionalFormatting sqref="D17:H17">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D27:H27">
    <cfRule type="colorScale" priority="1">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O32">
    <cfRule type="cellIs" dxfId="3" priority="5" operator="lessThan">
      <formula>0</formula>
    </cfRule>
    <cfRule type="cellIs" dxfId="2" priority="6" operator="greaterThan">
      <formula>0</formula>
    </cfRule>
  </conditionalFormatting>
  <conditionalFormatting sqref="O33:O39">
    <cfRule type="cellIs" dxfId="1" priority="3" operator="lessThan">
      <formula>0</formula>
    </cfRule>
    <cfRule type="cellIs" dxfId="0" priority="4" operator="greaterThan">
      <formula>0</formula>
    </cfRule>
  </conditionalFormatting>
  <conditionalFormatting sqref="D18:H18">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1072BA"/>
  </sheetPr>
  <dimension ref="B1:AE361"/>
  <sheetViews>
    <sheetView tabSelected="1" zoomScale="160" workbookViewId="0"/>
  </sheetViews>
  <sheetFormatPr baseColWidth="10" defaultColWidth="9.1640625" defaultRowHeight="15" x14ac:dyDescent="0.2"/>
  <cols>
    <col min="1" max="1" width="9.1640625" style="97" customWidth="1"/>
    <col min="2" max="2" width="20.33203125" style="97" customWidth="1"/>
    <col min="3" max="8" width="16.83203125" style="97" customWidth="1"/>
    <col min="9" max="9" width="11.33203125" style="97" customWidth="1"/>
    <col min="10" max="10" width="15" style="97" customWidth="1"/>
    <col min="11" max="14" width="11.33203125" style="97" customWidth="1"/>
    <col min="15" max="15" width="12.83203125" style="97" customWidth="1"/>
    <col min="16" max="16" width="14.6640625" style="97" customWidth="1"/>
    <col min="17" max="17" width="16" style="97" customWidth="1"/>
    <col min="18" max="18" width="17.83203125" style="97" customWidth="1"/>
    <col min="19" max="19" width="13.33203125" style="97" customWidth="1"/>
    <col min="20" max="20" width="9.6640625" style="97" customWidth="1"/>
    <col min="21" max="21" width="9.1640625" style="97" customWidth="1"/>
    <col min="22" max="24" width="1.6640625" style="97" customWidth="1"/>
    <col min="25" max="52" width="9.1640625" style="97" customWidth="1"/>
    <col min="53" max="16384" width="9.1640625" style="97"/>
  </cols>
  <sheetData>
    <row r="1" spans="2:19" ht="16" customHeight="1" thickBot="1" x14ac:dyDescent="0.25"/>
    <row r="2" spans="2:19" ht="16" customHeight="1" thickBot="1" x14ac:dyDescent="0.25">
      <c r="B2" s="4" t="s">
        <v>73</v>
      </c>
      <c r="G2" s="5" t="s">
        <v>74</v>
      </c>
      <c r="H2" s="6"/>
    </row>
    <row r="3" spans="2:19" ht="16" customHeight="1" thickBot="1" x14ac:dyDescent="0.25"/>
    <row r="4" spans="2:19" x14ac:dyDescent="0.2">
      <c r="B4" s="7" t="s">
        <v>10</v>
      </c>
      <c r="C4" s="8">
        <v>146.59</v>
      </c>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11</v>
      </c>
      <c r="C6" s="19">
        <v>182.01</v>
      </c>
      <c r="D6" s="20">
        <f>(C4-C6)/C6</f>
        <v>-0.19460469204988731</v>
      </c>
      <c r="E6" s="21" t="s">
        <v>12</v>
      </c>
      <c r="F6" s="22">
        <v>23.76</v>
      </c>
      <c r="G6" s="21" t="s">
        <v>13</v>
      </c>
      <c r="H6" s="23">
        <f>C4/F36</f>
        <v>39.726287262872631</v>
      </c>
      <c r="L6" s="24"/>
      <c r="M6" s="25"/>
    </row>
    <row r="7" spans="2:19" x14ac:dyDescent="0.2">
      <c r="B7" s="18" t="s">
        <v>14</v>
      </c>
      <c r="C7" s="19">
        <v>130.06</v>
      </c>
      <c r="D7" s="20">
        <f>(C4-C7)/C7</f>
        <v>0.12709518683684454</v>
      </c>
      <c r="E7" s="21" t="s">
        <v>15</v>
      </c>
      <c r="F7" s="2">
        <v>24</v>
      </c>
      <c r="G7" s="21" t="s">
        <v>16</v>
      </c>
      <c r="H7" s="26">
        <v>1.49271</v>
      </c>
      <c r="L7" s="27"/>
      <c r="M7" s="25"/>
      <c r="N7" s="84"/>
      <c r="Q7" s="7" t="s">
        <v>17</v>
      </c>
      <c r="R7" s="10"/>
      <c r="S7" s="28"/>
    </row>
    <row r="8" spans="2:19" x14ac:dyDescent="0.2">
      <c r="B8" s="18" t="s">
        <v>18</v>
      </c>
      <c r="C8" s="29">
        <v>-0.17580000000000001</v>
      </c>
      <c r="D8" s="30"/>
      <c r="E8" s="21" t="s">
        <v>19</v>
      </c>
      <c r="F8" s="2">
        <v>1.92</v>
      </c>
      <c r="G8" s="21" t="s">
        <v>20</v>
      </c>
      <c r="H8" s="14" t="s">
        <v>75</v>
      </c>
      <c r="Q8" s="31"/>
      <c r="S8" s="32"/>
    </row>
    <row r="9" spans="2:19" x14ac:dyDescent="0.2">
      <c r="B9" s="18" t="s">
        <v>21</v>
      </c>
      <c r="C9" s="3">
        <v>2372588</v>
      </c>
      <c r="D9" s="2"/>
      <c r="E9" s="21" t="s">
        <v>76</v>
      </c>
      <c r="F9" s="2">
        <v>0.88</v>
      </c>
      <c r="G9" s="21" t="s">
        <v>23</v>
      </c>
      <c r="H9" s="14" t="s">
        <v>77</v>
      </c>
      <c r="Q9" s="31"/>
      <c r="S9" s="32"/>
    </row>
    <row r="10" spans="2:19" x14ac:dyDescent="0.2">
      <c r="B10" s="18" t="s">
        <v>24</v>
      </c>
      <c r="C10" s="33">
        <v>2448338</v>
      </c>
      <c r="D10" s="3">
        <f>C10-C9</f>
        <v>75750</v>
      </c>
      <c r="E10" s="21" t="s">
        <v>25</v>
      </c>
      <c r="F10" s="30">
        <f>IF(F9&lt;"-",F9/C4,"")</f>
        <v>6.0031380039566136E-3</v>
      </c>
      <c r="G10" s="21" t="s">
        <v>26</v>
      </c>
      <c r="H10" s="14" t="s">
        <v>78</v>
      </c>
      <c r="Q10" s="31"/>
      <c r="S10" s="32"/>
    </row>
    <row r="11" spans="2:19" ht="16" customHeight="1" thickBot="1" x14ac:dyDescent="0.25">
      <c r="B11" s="18" t="s">
        <v>27</v>
      </c>
      <c r="C11" s="19">
        <v>1.3</v>
      </c>
      <c r="D11" s="2"/>
      <c r="E11" s="21" t="s">
        <v>28</v>
      </c>
      <c r="F11" s="19">
        <v>1.19</v>
      </c>
      <c r="G11" s="21" t="s">
        <v>29</v>
      </c>
      <c r="H11" s="34" t="s">
        <v>79</v>
      </c>
      <c r="Q11" s="35"/>
      <c r="R11" s="16"/>
      <c r="S11" s="36"/>
    </row>
    <row r="12" spans="2:19" ht="15.75" customHeight="1" thickBot="1" x14ac:dyDescent="0.25">
      <c r="B12" s="37" t="s">
        <v>30</v>
      </c>
      <c r="C12" s="38">
        <v>184.89</v>
      </c>
      <c r="D12" s="39"/>
      <c r="E12" s="16"/>
      <c r="F12" s="16"/>
      <c r="G12" s="16"/>
      <c r="H12" s="17"/>
    </row>
    <row r="13" spans="2:19" ht="16" customHeight="1" thickBot="1" x14ac:dyDescent="0.25">
      <c r="D13" s="40"/>
      <c r="L13" s="27"/>
      <c r="M13" s="25"/>
    </row>
    <row r="14" spans="2:19" ht="16" customHeight="1" thickBot="1" x14ac:dyDescent="0.25">
      <c r="G14" s="41" t="s">
        <v>31</v>
      </c>
      <c r="H14" s="42" t="s">
        <v>80</v>
      </c>
    </row>
    <row r="15" spans="2:19" ht="16" customHeight="1" x14ac:dyDescent="0.2">
      <c r="B15" s="7"/>
      <c r="C15" s="43">
        <v>2019</v>
      </c>
      <c r="D15" s="43">
        <v>2020</v>
      </c>
      <c r="E15" s="43">
        <v>2021</v>
      </c>
      <c r="F15" s="43">
        <v>2022</v>
      </c>
      <c r="G15" s="43">
        <v>2023</v>
      </c>
      <c r="H15" s="44">
        <v>2024</v>
      </c>
      <c r="J15" s="45"/>
      <c r="K15" s="46"/>
      <c r="L15" s="46"/>
      <c r="M15" s="46"/>
      <c r="N15" s="46"/>
      <c r="O15" s="47" t="s">
        <v>32</v>
      </c>
    </row>
    <row r="16" spans="2:19" x14ac:dyDescent="0.2">
      <c r="B16" s="18" t="s">
        <v>33</v>
      </c>
      <c r="C16" s="3">
        <v>259968</v>
      </c>
      <c r="D16" s="3">
        <v>274150</v>
      </c>
      <c r="E16" s="3">
        <v>365817</v>
      </c>
      <c r="F16" s="3">
        <v>393914</v>
      </c>
      <c r="G16" s="3">
        <v>415323</v>
      </c>
      <c r="H16" s="48">
        <v>431853</v>
      </c>
      <c r="J16" s="18" t="s">
        <v>21</v>
      </c>
      <c r="K16" s="3"/>
      <c r="L16" s="3"/>
      <c r="M16" s="3"/>
      <c r="N16" s="3"/>
      <c r="O16" s="48" t="e">
        <f t="shared" ref="O16:O27" si="0">AVERAGE(K16:N16)</f>
        <v>#DIV/0!</v>
      </c>
    </row>
    <row r="17" spans="2:31" ht="15" customHeight="1" x14ac:dyDescent="0.2">
      <c r="B17" s="18" t="s">
        <v>34</v>
      </c>
      <c r="C17" s="2"/>
      <c r="D17" s="30">
        <f>(D16-C16)/C16</f>
        <v>5.4552868045297881E-2</v>
      </c>
      <c r="E17" s="30">
        <f>(E16-D16)/D16</f>
        <v>0.33436804668976838</v>
      </c>
      <c r="F17" s="30">
        <f>(F16-E16)/E16</f>
        <v>7.6806162644163609E-2</v>
      </c>
      <c r="G17" s="30">
        <f>(G16-F16)/F16</f>
        <v>5.4349426524571351E-2</v>
      </c>
      <c r="H17" s="49">
        <f>(H16-G16)/G16</f>
        <v>3.9800348162755253E-2</v>
      </c>
      <c r="J17" s="18" t="s">
        <v>24</v>
      </c>
      <c r="K17" s="3"/>
      <c r="L17" s="3"/>
      <c r="M17" s="3"/>
      <c r="N17" s="3"/>
      <c r="O17" s="48" t="e">
        <f t="shared" si="0"/>
        <v>#DIV/0!</v>
      </c>
      <c r="AB17" s="98"/>
    </row>
    <row r="18" spans="2:31" ht="15" customHeight="1" x14ac:dyDescent="0.2">
      <c r="B18" s="18" t="s">
        <v>35</v>
      </c>
      <c r="C18" s="3">
        <v>74542</v>
      </c>
      <c r="D18" s="3">
        <v>76395</v>
      </c>
      <c r="E18" s="3">
        <v>120233</v>
      </c>
      <c r="F18" s="3">
        <v>0</v>
      </c>
      <c r="G18" s="3">
        <v>0</v>
      </c>
      <c r="H18" s="48">
        <v>0</v>
      </c>
      <c r="J18" s="18" t="s">
        <v>36</v>
      </c>
      <c r="K18" s="50"/>
      <c r="L18" s="50"/>
      <c r="M18" s="50"/>
      <c r="N18" s="50"/>
      <c r="O18" s="51" t="e">
        <f t="shared" si="0"/>
        <v>#DIV/0!</v>
      </c>
      <c r="AB18" s="98"/>
    </row>
    <row r="19" spans="2:31" ht="15" customHeight="1" x14ac:dyDescent="0.2">
      <c r="B19" s="18" t="s">
        <v>37</v>
      </c>
      <c r="C19" s="52">
        <f t="shared" ref="C19:H19" si="1">IF(C18&lt;"-",C18/C16,"")</f>
        <v>0.28673529049729196</v>
      </c>
      <c r="D19" s="52">
        <f t="shared" si="1"/>
        <v>0.27866131679737371</v>
      </c>
      <c r="E19" s="52">
        <f t="shared" si="1"/>
        <v>0.32866979938056462</v>
      </c>
      <c r="F19" s="52">
        <f t="shared" si="1"/>
        <v>0</v>
      </c>
      <c r="G19" s="52">
        <f t="shared" si="1"/>
        <v>0</v>
      </c>
      <c r="H19" s="53">
        <f t="shared" si="1"/>
        <v>0</v>
      </c>
      <c r="J19" s="18" t="s">
        <v>38</v>
      </c>
      <c r="K19" s="50"/>
      <c r="L19" s="50"/>
      <c r="M19" s="50"/>
      <c r="N19" s="50"/>
      <c r="O19" s="51" t="e">
        <f t="shared" si="0"/>
        <v>#DIV/0!</v>
      </c>
      <c r="AC19" s="98"/>
    </row>
    <row r="20" spans="2:31" ht="15" customHeight="1" x14ac:dyDescent="0.2">
      <c r="B20" s="18" t="s">
        <v>39</v>
      </c>
      <c r="C20" s="3">
        <v>65737</v>
      </c>
      <c r="D20" s="3">
        <v>67091</v>
      </c>
      <c r="E20" s="3">
        <v>109207</v>
      </c>
      <c r="F20" s="3">
        <v>119189</v>
      </c>
      <c r="G20" s="3">
        <v>124010</v>
      </c>
      <c r="H20" s="48">
        <v>127381</v>
      </c>
      <c r="J20" s="18" t="s">
        <v>40</v>
      </c>
      <c r="K20" s="50"/>
      <c r="L20" s="50"/>
      <c r="M20" s="50"/>
      <c r="N20" s="50"/>
      <c r="O20" s="51" t="e">
        <f t="shared" si="0"/>
        <v>#DIV/0!</v>
      </c>
    </row>
    <row r="21" spans="2:31" ht="15" customHeight="1" x14ac:dyDescent="0.2">
      <c r="B21" s="18" t="s">
        <v>41</v>
      </c>
      <c r="C21" s="52">
        <f t="shared" ref="C21:H21" si="2">C20/C16</f>
        <v>0.25286573732151651</v>
      </c>
      <c r="D21" s="52">
        <f t="shared" si="2"/>
        <v>0.24472369140981215</v>
      </c>
      <c r="E21" s="52">
        <f t="shared" si="2"/>
        <v>0.29852904594373691</v>
      </c>
      <c r="F21" s="52">
        <f t="shared" si="2"/>
        <v>0.3025761968348421</v>
      </c>
      <c r="G21" s="52">
        <f t="shared" si="2"/>
        <v>0.29858688298023467</v>
      </c>
      <c r="H21" s="53">
        <f t="shared" si="2"/>
        <v>0.29496379555080088</v>
      </c>
      <c r="J21" s="18" t="s">
        <v>42</v>
      </c>
      <c r="K21" s="50"/>
      <c r="L21" s="50"/>
      <c r="M21" s="50"/>
      <c r="N21" s="50"/>
      <c r="O21" s="51" t="e">
        <f t="shared" si="0"/>
        <v>#DIV/0!</v>
      </c>
      <c r="AC21" s="98"/>
    </row>
    <row r="22" spans="2:31" ht="15" customHeight="1" x14ac:dyDescent="0.2">
      <c r="B22" s="18" t="s">
        <v>43</v>
      </c>
      <c r="C22" s="3">
        <v>55256</v>
      </c>
      <c r="D22" s="3">
        <v>57411</v>
      </c>
      <c r="E22" s="3">
        <v>94680</v>
      </c>
      <c r="F22" s="3">
        <v>99856</v>
      </c>
      <c r="G22" s="3">
        <v>103545</v>
      </c>
      <c r="H22" s="48">
        <v>106156</v>
      </c>
      <c r="J22" s="18" t="s">
        <v>44</v>
      </c>
      <c r="K22" s="19"/>
      <c r="L22" s="19"/>
      <c r="M22" s="19"/>
      <c r="N22" s="19"/>
      <c r="O22" s="51" t="e">
        <f t="shared" si="0"/>
        <v>#DIV/0!</v>
      </c>
      <c r="AB22" s="98"/>
      <c r="AC22" s="98"/>
      <c r="AE22" s="98"/>
    </row>
    <row r="23" spans="2:31" ht="15" customHeight="1" x14ac:dyDescent="0.2">
      <c r="B23" s="18" t="s">
        <v>45</v>
      </c>
      <c r="C23" s="52">
        <f t="shared" ref="C23:H23" si="3">C22/C16</f>
        <v>0.2125492368291482</v>
      </c>
      <c r="D23" s="52">
        <f t="shared" si="3"/>
        <v>0.20941455407623563</v>
      </c>
      <c r="E23" s="52">
        <f t="shared" si="3"/>
        <v>0.25881793355694238</v>
      </c>
      <c r="F23" s="52">
        <f t="shared" si="3"/>
        <v>0.25349695618840662</v>
      </c>
      <c r="G23" s="52">
        <f t="shared" si="3"/>
        <v>0.24931198127722279</v>
      </c>
      <c r="H23" s="53">
        <f t="shared" si="3"/>
        <v>0.24581512690660942</v>
      </c>
      <c r="J23" s="18" t="s">
        <v>37</v>
      </c>
      <c r="K23" s="20"/>
      <c r="L23" s="20"/>
      <c r="M23" s="20"/>
      <c r="N23" s="20"/>
      <c r="O23" s="54" t="e">
        <f t="shared" si="0"/>
        <v>#DIV/0!</v>
      </c>
    </row>
    <row r="24" spans="2:31" ht="15" customHeight="1" x14ac:dyDescent="0.2">
      <c r="B24" s="18"/>
      <c r="C24" s="2"/>
      <c r="D24" s="55">
        <f>(D22-C22)/C22</f>
        <v>3.9000289561314606E-2</v>
      </c>
      <c r="E24" s="55">
        <f>(E22-D22)/D22</f>
        <v>0.64916131055024295</v>
      </c>
      <c r="F24" s="55">
        <f>(F22-E22)/E22</f>
        <v>5.4668356569497256E-2</v>
      </c>
      <c r="G24" s="55">
        <f>(G22-F22)/F22</f>
        <v>3.6943198205415799E-2</v>
      </c>
      <c r="H24" s="56">
        <f>(H22-G22)/G22</f>
        <v>2.5216089622869284E-2</v>
      </c>
      <c r="J24" s="18" t="s">
        <v>41</v>
      </c>
      <c r="K24" s="20"/>
      <c r="L24" s="20"/>
      <c r="M24" s="20"/>
      <c r="N24" s="20"/>
      <c r="O24" s="54" t="e">
        <f t="shared" si="0"/>
        <v>#DIV/0!</v>
      </c>
    </row>
    <row r="25" spans="2:31" ht="15" customHeight="1" x14ac:dyDescent="0.2">
      <c r="B25" s="18" t="s">
        <v>46</v>
      </c>
      <c r="C25" s="2">
        <v>18.760000000000002</v>
      </c>
      <c r="D25" s="2">
        <v>35.119999999999997</v>
      </c>
      <c r="E25" s="22">
        <v>25.09</v>
      </c>
      <c r="F25" s="2">
        <v>21.2</v>
      </c>
      <c r="G25" s="2">
        <v>19.899999999999999</v>
      </c>
      <c r="H25" s="57">
        <v>18.899999999999999</v>
      </c>
      <c r="J25" s="18" t="s">
        <v>47</v>
      </c>
      <c r="K25" s="20"/>
      <c r="L25" s="20"/>
      <c r="M25" s="20"/>
      <c r="N25" s="20"/>
      <c r="O25" s="54" t="e">
        <f t="shared" si="0"/>
        <v>#DIV/0!</v>
      </c>
      <c r="AC25" s="98"/>
    </row>
    <row r="26" spans="2:31" ht="15" customHeight="1" x14ac:dyDescent="0.2">
      <c r="B26" s="18" t="s">
        <v>48</v>
      </c>
      <c r="C26" s="2">
        <v>2.97</v>
      </c>
      <c r="D26" s="2">
        <v>3.28</v>
      </c>
      <c r="E26" s="19">
        <v>5.61</v>
      </c>
      <c r="F26" s="2">
        <v>6.14</v>
      </c>
      <c r="G26" s="2">
        <v>6.53</v>
      </c>
      <c r="H26" s="57">
        <v>6.89</v>
      </c>
      <c r="J26" s="18" t="s">
        <v>49</v>
      </c>
      <c r="K26" s="30"/>
      <c r="L26" s="30"/>
      <c r="M26" s="30"/>
      <c r="N26" s="30"/>
      <c r="O26" s="49" t="e">
        <f t="shared" si="0"/>
        <v>#DIV/0!</v>
      </c>
    </row>
    <row r="27" spans="2:31" ht="15" customHeight="1" thickBot="1" x14ac:dyDescent="0.25">
      <c r="B27" s="18" t="s">
        <v>34</v>
      </c>
      <c r="C27" s="2"/>
      <c r="D27" s="30">
        <f>(D26-C26)/ABS(C26)</f>
        <v>0.10437710437710424</v>
      </c>
      <c r="E27" s="30">
        <f>IF(D26&gt;0,(E26-D26)/D26,"")</f>
        <v>0.71036585365853677</v>
      </c>
      <c r="F27" s="30">
        <f>IF(E26&gt;0,(F26-E26)/E26,"")</f>
        <v>9.4474153297682592E-2</v>
      </c>
      <c r="G27" s="30">
        <f>IF(F26&gt;0,(G26-F26)/F26,"")</f>
        <v>6.3517915309446352E-2</v>
      </c>
      <c r="H27" s="49">
        <f>IF(G26&gt;0,(H26-G26)/G26,"")</f>
        <v>5.5130168453292404E-2</v>
      </c>
      <c r="J27" s="37" t="s">
        <v>16</v>
      </c>
      <c r="K27" s="39"/>
      <c r="L27" s="39"/>
      <c r="M27" s="39"/>
      <c r="N27" s="39"/>
      <c r="O27" s="58" t="e">
        <f t="shared" si="0"/>
        <v>#DIV/0!</v>
      </c>
      <c r="AB27" s="59"/>
      <c r="AC27" s="25"/>
      <c r="AD27" s="25"/>
      <c r="AE27" s="25"/>
    </row>
    <row r="28" spans="2:31" ht="15" customHeight="1" x14ac:dyDescent="0.2">
      <c r="B28" s="18" t="s">
        <v>38</v>
      </c>
      <c r="C28" s="50">
        <f t="shared" ref="C28:H28" si="4">IF(C18&lt;"-",$C$10/C18,"")</f>
        <v>32.84508062568753</v>
      </c>
      <c r="D28" s="50">
        <f t="shared" si="4"/>
        <v>32.048406309313435</v>
      </c>
      <c r="E28" s="50">
        <f t="shared" si="4"/>
        <v>20.363277968610948</v>
      </c>
      <c r="F28" s="50" t="e">
        <f t="shared" si="4"/>
        <v>#DIV/0!</v>
      </c>
      <c r="G28" s="50" t="e">
        <f t="shared" si="4"/>
        <v>#DIV/0!</v>
      </c>
      <c r="H28" s="51" t="e">
        <f t="shared" si="4"/>
        <v>#DIV/0!</v>
      </c>
    </row>
    <row r="29" spans="2:31" ht="15" customHeight="1" x14ac:dyDescent="0.2">
      <c r="B29" s="18" t="s">
        <v>40</v>
      </c>
      <c r="C29" s="50">
        <f t="shared" ref="C29:H29" si="5">$C$10/C20</f>
        <v>37.244443768349633</v>
      </c>
      <c r="D29" s="50">
        <f t="shared" si="5"/>
        <v>36.492793370198683</v>
      </c>
      <c r="E29" s="50">
        <f t="shared" si="5"/>
        <v>22.41924052487478</v>
      </c>
      <c r="F29" s="50">
        <f t="shared" si="5"/>
        <v>20.541643943652517</v>
      </c>
      <c r="G29" s="50">
        <f t="shared" si="5"/>
        <v>19.743069107330054</v>
      </c>
      <c r="H29" s="51">
        <f t="shared" si="5"/>
        <v>19.220590197910205</v>
      </c>
    </row>
    <row r="30" spans="2:31" ht="15" customHeight="1" thickBot="1" x14ac:dyDescent="0.25">
      <c r="B30" s="37" t="s">
        <v>42</v>
      </c>
      <c r="C30" s="60">
        <f t="shared" ref="C30:H30" si="6">$C$10/C16</f>
        <v>9.4178437346134913</v>
      </c>
      <c r="D30" s="60">
        <f t="shared" si="6"/>
        <v>8.9306511034105416</v>
      </c>
      <c r="E30" s="60">
        <f t="shared" si="6"/>
        <v>6.6927944846740308</v>
      </c>
      <c r="F30" s="60">
        <f t="shared" si="6"/>
        <v>6.2154125012058472</v>
      </c>
      <c r="G30" s="60">
        <f t="shared" si="6"/>
        <v>5.8950214652210446</v>
      </c>
      <c r="H30" s="61">
        <f t="shared" si="6"/>
        <v>5.6693782375021131</v>
      </c>
      <c r="J30" s="84" t="s">
        <v>50</v>
      </c>
    </row>
    <row r="31" spans="2:31" ht="16" customHeight="1" thickBot="1" x14ac:dyDescent="0.25">
      <c r="J31" s="45"/>
      <c r="K31" s="62"/>
      <c r="L31" s="43" t="s">
        <v>51</v>
      </c>
      <c r="M31" s="43" t="s">
        <v>52</v>
      </c>
      <c r="N31" s="43" t="s">
        <v>53</v>
      </c>
      <c r="O31" s="47" t="s">
        <v>54</v>
      </c>
    </row>
    <row r="32" spans="2:31" x14ac:dyDescent="0.2">
      <c r="B32" s="7" t="s">
        <v>55</v>
      </c>
      <c r="C32" s="63">
        <v>108047</v>
      </c>
      <c r="D32" s="64">
        <v>122278</v>
      </c>
      <c r="E32" s="64">
        <v>136522</v>
      </c>
      <c r="F32" s="64">
        <v>0</v>
      </c>
      <c r="G32" s="64">
        <v>0</v>
      </c>
      <c r="H32" s="65">
        <v>0</v>
      </c>
      <c r="J32" s="18" t="s">
        <v>56</v>
      </c>
      <c r="K32" s="21" t="s">
        <v>33</v>
      </c>
      <c r="L32" s="3"/>
      <c r="M32" s="3"/>
      <c r="N32" s="3"/>
      <c r="O32" s="66"/>
    </row>
    <row r="33" spans="2:17" x14ac:dyDescent="0.2">
      <c r="B33" s="18" t="s">
        <v>35</v>
      </c>
      <c r="C33" s="3">
        <f t="shared" ref="C33:H33" si="7">C18</f>
        <v>74542</v>
      </c>
      <c r="D33" s="3">
        <f t="shared" si="7"/>
        <v>76395</v>
      </c>
      <c r="E33" s="3">
        <f t="shared" si="7"/>
        <v>120233</v>
      </c>
      <c r="F33" s="3">
        <f t="shared" si="7"/>
        <v>0</v>
      </c>
      <c r="G33" s="3">
        <f t="shared" si="7"/>
        <v>0</v>
      </c>
      <c r="H33" s="48">
        <f t="shared" si="7"/>
        <v>0</v>
      </c>
      <c r="J33" s="18"/>
      <c r="K33" s="21" t="s">
        <v>57</v>
      </c>
      <c r="L33" s="2"/>
      <c r="M33" s="2"/>
      <c r="N33" s="2"/>
      <c r="O33" s="66"/>
    </row>
    <row r="34" spans="2:17" x14ac:dyDescent="0.2">
      <c r="B34" s="18" t="s">
        <v>58</v>
      </c>
      <c r="C34" s="19">
        <f t="shared" ref="C34:H34" si="8">IF(C32&gt;0,C32/C33,"")</f>
        <v>1.4494781465482547</v>
      </c>
      <c r="D34" s="19">
        <f t="shared" si="8"/>
        <v>1.60060213364749</v>
      </c>
      <c r="E34" s="19">
        <f t="shared" si="8"/>
        <v>1.135478612360999</v>
      </c>
      <c r="F34" s="19" t="str">
        <f t="shared" si="8"/>
        <v/>
      </c>
      <c r="G34" s="19" t="str">
        <f t="shared" si="8"/>
        <v/>
      </c>
      <c r="H34" s="23" t="str">
        <f t="shared" si="8"/>
        <v/>
      </c>
      <c r="J34" s="18" t="s">
        <v>59</v>
      </c>
      <c r="K34" s="21" t="s">
        <v>33</v>
      </c>
      <c r="L34" s="3"/>
      <c r="M34" s="3"/>
      <c r="N34" s="3"/>
      <c r="O34" s="66"/>
    </row>
    <row r="35" spans="2:17" x14ac:dyDescent="0.2">
      <c r="B35" s="18" t="s">
        <v>60</v>
      </c>
      <c r="C35" s="67">
        <v>3.76</v>
      </c>
      <c r="D35" s="67">
        <v>4.6500000000000004</v>
      </c>
      <c r="E35" s="67">
        <v>6.23</v>
      </c>
      <c r="F35" s="67">
        <v>7.14</v>
      </c>
      <c r="G35" s="67">
        <v>7.6</v>
      </c>
      <c r="H35" s="68">
        <v>8.58</v>
      </c>
      <c r="J35" s="18"/>
      <c r="K35" s="21" t="s">
        <v>57</v>
      </c>
      <c r="L35" s="2"/>
      <c r="M35" s="2"/>
      <c r="N35" s="2"/>
      <c r="O35" s="66"/>
    </row>
    <row r="36" spans="2:17" ht="16" customHeight="1" thickBot="1" x14ac:dyDescent="0.25">
      <c r="B36" s="37" t="s">
        <v>61</v>
      </c>
      <c r="C36" s="69">
        <v>4.9000000000000004</v>
      </c>
      <c r="D36" s="69">
        <v>3.77</v>
      </c>
      <c r="E36" s="69">
        <v>3.78</v>
      </c>
      <c r="F36" s="69">
        <v>3.69</v>
      </c>
      <c r="G36" s="69">
        <v>4.0999999999999996</v>
      </c>
      <c r="H36" s="70">
        <v>4.82</v>
      </c>
      <c r="J36" s="18" t="s">
        <v>62</v>
      </c>
      <c r="K36" s="21" t="s">
        <v>33</v>
      </c>
      <c r="L36" s="3"/>
      <c r="M36" s="3"/>
      <c r="N36" s="3"/>
      <c r="O36" s="66"/>
    </row>
    <row r="37" spans="2:17" ht="16" customHeight="1" thickBot="1" x14ac:dyDescent="0.25">
      <c r="J37" s="18"/>
      <c r="K37" s="21" t="s">
        <v>57</v>
      </c>
      <c r="L37" s="2"/>
      <c r="M37" s="2"/>
      <c r="N37" s="2"/>
      <c r="O37" s="66"/>
    </row>
    <row r="38" spans="2:17" x14ac:dyDescent="0.2">
      <c r="B38" s="7" t="s">
        <v>63</v>
      </c>
      <c r="C38" s="71">
        <v>19669130</v>
      </c>
      <c r="F38" s="7" t="s">
        <v>64</v>
      </c>
      <c r="G38" s="72">
        <v>144.72</v>
      </c>
      <c r="H38" s="73">
        <f>(C4-G38)/G38</f>
        <v>1.2921503593145416E-2</v>
      </c>
      <c r="J38" s="18" t="s">
        <v>65</v>
      </c>
      <c r="K38" s="21" t="s">
        <v>33</v>
      </c>
      <c r="L38" s="3"/>
      <c r="M38" s="3"/>
      <c r="N38" s="3"/>
      <c r="O38" s="66"/>
    </row>
    <row r="39" spans="2:17" ht="16" customHeight="1" thickBot="1" x14ac:dyDescent="0.25">
      <c r="B39" s="18" t="s">
        <v>66</v>
      </c>
      <c r="C39" s="48" t="s">
        <v>81</v>
      </c>
      <c r="F39" s="37" t="s">
        <v>67</v>
      </c>
      <c r="G39" s="74">
        <v>158.28</v>
      </c>
      <c r="H39" s="75">
        <f>(C4-G39)/G39</f>
        <v>-7.3856456911801857E-2</v>
      </c>
      <c r="J39" s="37"/>
      <c r="K39" s="76" t="s">
        <v>57</v>
      </c>
      <c r="L39" s="77"/>
      <c r="M39" s="77"/>
      <c r="N39" s="77"/>
      <c r="O39" s="78"/>
    </row>
    <row r="40" spans="2:17" ht="16" customHeight="1" thickBot="1" x14ac:dyDescent="0.25">
      <c r="B40" s="37" t="s">
        <v>68</v>
      </c>
      <c r="C40" s="79" t="s">
        <v>82</v>
      </c>
    </row>
    <row r="41" spans="2:17" ht="16" customHeight="1" x14ac:dyDescent="0.2">
      <c r="F41" s="7" t="s">
        <v>69</v>
      </c>
      <c r="G41" s="10"/>
      <c r="H41" s="80">
        <v>0</v>
      </c>
    </row>
    <row r="42" spans="2:17" ht="16" customHeight="1" thickBot="1" x14ac:dyDescent="0.25">
      <c r="F42" s="37" t="s">
        <v>70</v>
      </c>
      <c r="G42" s="16"/>
      <c r="H42" s="17"/>
    </row>
    <row r="43" spans="2:17" ht="19.5" customHeight="1" thickBot="1" x14ac:dyDescent="0.25"/>
    <row r="44" spans="2:17" ht="18" customHeight="1" thickBot="1" x14ac:dyDescent="0.25">
      <c r="B44" s="7" t="s">
        <v>71</v>
      </c>
      <c r="C44" s="86" t="s">
        <v>83</v>
      </c>
      <c r="D44" s="89">
        <v>153306</v>
      </c>
      <c r="E44" s="94">
        <f>D44/$E$16</f>
        <v>0.41907839165484384</v>
      </c>
      <c r="G44" s="7" t="s">
        <v>72</v>
      </c>
      <c r="H44" s="86" t="s">
        <v>84</v>
      </c>
      <c r="I44" s="89">
        <v>191973</v>
      </c>
      <c r="J44" s="94">
        <f>I44/$E$16</f>
        <v>0.52477878283404</v>
      </c>
      <c r="L44" s="109" t="s">
        <v>85</v>
      </c>
      <c r="M44" s="110"/>
      <c r="N44" s="110"/>
      <c r="O44" s="110"/>
      <c r="P44" s="110"/>
      <c r="Q44" s="111"/>
    </row>
    <row r="45" spans="2:17" ht="32" x14ac:dyDescent="0.2">
      <c r="B45" s="81"/>
      <c r="C45" s="88" t="s">
        <v>86</v>
      </c>
      <c r="D45" s="90">
        <v>89307</v>
      </c>
      <c r="E45" s="95">
        <f>D45/$E$16</f>
        <v>0.2441302618522376</v>
      </c>
      <c r="G45" s="81"/>
      <c r="H45" s="88" t="s">
        <v>87</v>
      </c>
      <c r="I45" s="92">
        <v>35190</v>
      </c>
      <c r="J45" s="95">
        <f>I45/$E$16</f>
        <v>9.6195638803008063E-2</v>
      </c>
      <c r="L45" s="112"/>
      <c r="M45" s="103"/>
      <c r="N45" s="103"/>
      <c r="O45" s="103"/>
      <c r="P45" s="103"/>
      <c r="Q45" s="113"/>
    </row>
    <row r="46" spans="2:17" ht="32" customHeight="1" x14ac:dyDescent="0.2">
      <c r="B46" s="81"/>
      <c r="C46" s="88" t="s">
        <v>88</v>
      </c>
      <c r="D46" s="90">
        <v>68366</v>
      </c>
      <c r="E46" s="95">
        <f>D46/$E$16</f>
        <v>0.18688579262308749</v>
      </c>
      <c r="G46" s="81"/>
      <c r="H46" s="88" t="s">
        <v>89</v>
      </c>
      <c r="I46" s="92">
        <v>31862</v>
      </c>
      <c r="J46" s="95">
        <f>I46/$E$16</f>
        <v>8.7098193905696022E-2</v>
      </c>
      <c r="L46" s="112"/>
      <c r="M46" s="103"/>
      <c r="N46" s="103"/>
      <c r="O46" s="103"/>
      <c r="P46" s="103"/>
      <c r="Q46" s="113"/>
    </row>
    <row r="47" spans="2:17" ht="25.5" customHeight="1" thickBot="1" x14ac:dyDescent="0.25">
      <c r="B47" s="82"/>
      <c r="C47" s="85" t="s">
        <v>90</v>
      </c>
      <c r="D47" s="91">
        <v>28482</v>
      </c>
      <c r="E47" s="96">
        <f>D47/$E$16</f>
        <v>7.7858601431863475E-2</v>
      </c>
      <c r="G47" s="82"/>
      <c r="H47" s="87" t="s">
        <v>91</v>
      </c>
      <c r="I47" s="93">
        <v>297392</v>
      </c>
      <c r="J47" s="96">
        <f>I47/$E$16</f>
        <v>0.81295292454970658</v>
      </c>
      <c r="L47" s="114"/>
      <c r="M47" s="104"/>
      <c r="N47" s="104"/>
      <c r="O47" s="104"/>
      <c r="P47" s="104"/>
      <c r="Q47" s="115"/>
    </row>
    <row r="361" spans="8:8" x14ac:dyDescent="0.2">
      <c r="H361" s="97">
        <v>36.79</v>
      </c>
    </row>
  </sheetData>
  <mergeCells count="1">
    <mergeCell ref="L44:Q4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Note</vt:lpstr>
      <vt:lpstr>Template</vt:lpstr>
      <vt:lpstr>AAPL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2018-07-12T06:25:51Z</dcterms:created>
  <dcterms:modified xsi:type="dcterms:W3CDTF">2022-07-12T14:26:26Z</dcterms:modified>
</cp:coreProperties>
</file>