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44960" yWindow="1320" windowWidth="38920" windowHeight="2182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4"/>
    <col width="9.1640625" customWidth="1" style="98" min="25"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2019</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priority="3" operator="lessThan" dxfId="1">
      <formula>0</formula>
    </cfRule>
    <cfRule type="cellIs" priority="4" operator="greaterThan" dxfId="0">
      <formula>0</formula>
    </cfRule>
  </conditionalFormatting>
  <conditionalFormatting sqref="O33:O39">
    <cfRule type="cellIs" priority="1" operator="lessThan" dxfId="1">
      <formula>0</formula>
    </cfRule>
    <cfRule type="cellIs" priority="2" operator="greaterThan" dxfId="0">
      <formula>0</formula>
    </cfRule>
  </conditionalFormatting>
  <pageMargins left="0.7" right="0.7" top="0.75" bottom="0.75" header="0.3" footer="0.3"/>
</worksheet>
</file>

<file path=xl/worksheets/sheet3.xml><?xml version="1.0" encoding="utf-8"?>
<worksheet xmlns="http://schemas.openxmlformats.org/spreadsheetml/2006/main">
  <sheetPr codeName="Sheet3">
    <tabColor rgb="FF1072BA"/>
    <outlinePr summaryBelow="1" summaryRight="1"/>
    <pageSetUpPr/>
  </sheetPr>
  <dimension ref="B2:AE361"/>
  <sheetViews>
    <sheetView tabSelected="1" zoomScale="160" workbookViewId="0">
      <selection activeCell="A1" sqref="A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38"/>
    <col width="9.1640625" customWidth="1" style="98" min="39" max="16384"/>
  </cols>
  <sheetData>
    <row r="1" ht="16" customHeight="1" thickBot="1"/>
    <row r="2" ht="16" customHeight="1" thickBot="1">
      <c r="B2" s="4" t="inlineStr">
        <is>
          <t>AAPL</t>
        </is>
      </c>
      <c r="G2" s="5" t="inlineStr">
        <is>
          <t>Apple</t>
        </is>
      </c>
      <c r="H2" s="6" t="n"/>
    </row>
    <row r="3" ht="16" customHeight="1" thickBot="1"/>
    <row r="4">
      <c r="B4" s="7" t="inlineStr">
        <is>
          <t>Last</t>
        </is>
      </c>
      <c r="C4" s="8" t="n">
        <v>131.56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22.26</v>
      </c>
      <c r="G6" s="21" t="inlineStr">
        <is>
          <t>Price to book</t>
        </is>
      </c>
      <c r="H6" s="23">
        <f>C4/F36</f>
        <v/>
      </c>
      <c r="L6" s="24" t="n"/>
      <c r="M6" s="25" t="n"/>
    </row>
    <row r="7">
      <c r="B7" s="18" t="inlineStr">
        <is>
          <t>52 week Low</t>
        </is>
      </c>
      <c r="C7" s="19" t="n">
        <v>126.11</v>
      </c>
      <c r="D7" s="20">
        <f>(C4-C7)/C7</f>
        <v/>
      </c>
      <c r="E7" s="21" t="inlineStr">
        <is>
          <t>Forward P/E</t>
        </is>
      </c>
      <c r="F7" s="2" t="n">
        <v>22.44</v>
      </c>
      <c r="G7" s="21" t="inlineStr">
        <is>
          <t>ROE</t>
        </is>
      </c>
      <c r="H7" s="26" t="n">
        <v>1.49271</v>
      </c>
      <c r="L7" s="27" t="n"/>
      <c r="M7" s="25" t="n"/>
      <c r="N7" s="91" t="n"/>
      <c r="Q7" s="7" t="inlineStr">
        <is>
          <t>Competitors</t>
        </is>
      </c>
      <c r="R7" s="10" t="n"/>
      <c r="S7" s="28" t="n"/>
    </row>
    <row r="8">
      <c r="B8" s="18" t="inlineStr">
        <is>
          <t>YTD Change/%</t>
        </is>
      </c>
      <c r="C8" s="29" t="n">
        <v>-0.2277</v>
      </c>
      <c r="D8" s="30" t="n"/>
      <c r="E8" s="21" t="inlineStr">
        <is>
          <t>PEG</t>
        </is>
      </c>
      <c r="F8" s="2" t="n">
        <v>1.79</v>
      </c>
      <c r="G8" s="21" t="inlineStr">
        <is>
          <t>Exchange</t>
        </is>
      </c>
      <c r="H8" s="14" t="inlineStr">
        <is>
          <t>NSDQ</t>
        </is>
      </c>
      <c r="Q8" s="31" t="n"/>
      <c r="S8" s="32" t="n"/>
    </row>
    <row r="9">
      <c r="B9" s="18" t="inlineStr">
        <is>
          <t>Mkt Cap</t>
        </is>
      </c>
      <c r="C9" s="3" t="n">
        <v>2219474</v>
      </c>
      <c r="D9" s="2" t="n"/>
      <c r="E9" s="21" t="inlineStr">
        <is>
          <t>Dividend 2019</t>
        </is>
      </c>
      <c r="F9" s="2" t="n"/>
      <c r="G9" s="21" t="inlineStr">
        <is>
          <t>Sector</t>
        </is>
      </c>
      <c r="H9" s="14" t="inlineStr">
        <is>
          <t>Technology</t>
        </is>
      </c>
      <c r="Q9" s="31" t="n"/>
      <c r="S9" s="32" t="n"/>
    </row>
    <row r="10">
      <c r="B10" s="18" t="inlineStr">
        <is>
          <t>EV</t>
        </is>
      </c>
      <c r="C10" s="33" t="n"/>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c r="D11" s="2" t="n"/>
      <c r="E11" s="21" t="inlineStr">
        <is>
          <t>Beta</t>
        </is>
      </c>
      <c r="F11" s="19" t="n">
        <v>1.2</v>
      </c>
      <c r="G11" s="21" t="inlineStr">
        <is>
          <t>Website</t>
        </is>
      </c>
      <c r="H11" s="34" t="inlineStr">
        <is>
          <t>https://www.apple.com</t>
        </is>
      </c>
      <c r="Q11" s="35" t="n"/>
      <c r="R11" s="16" t="n"/>
      <c r="S11" s="36" t="n"/>
    </row>
    <row r="12" ht="15.75" customHeight="1" thickBot="1">
      <c r="B12" s="37" t="inlineStr">
        <is>
          <t>Target Price</t>
        </is>
      </c>
      <c r="C12" s="38" t="n">
        <v>187.43</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259968</v>
      </c>
      <c r="D16" s="3" t="n">
        <v>274150</v>
      </c>
      <c r="E16" s="3" t="n">
        <v>365817</v>
      </c>
      <c r="F16" s="3" t="n">
        <v>393914</v>
      </c>
      <c r="G16" s="3" t="n">
        <v>415323</v>
      </c>
      <c r="H16" s="48" t="n">
        <v>431853</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65737</v>
      </c>
      <c r="D20" s="3" t="n">
        <v>67091</v>
      </c>
      <c r="E20" s="3" t="n">
        <v>109207</v>
      </c>
      <c r="F20" s="3" t="n">
        <v>119189</v>
      </c>
      <c r="G20" s="3" t="n">
        <v>124010</v>
      </c>
      <c r="H20" s="48" t="n">
        <v>127381</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55256</v>
      </c>
      <c r="D22" s="3" t="n">
        <v>57411</v>
      </c>
      <c r="E22" s="3" t="n">
        <v>94680</v>
      </c>
      <c r="F22" s="3" t="n">
        <v>99856</v>
      </c>
      <c r="G22" s="3" t="n">
        <v>103545</v>
      </c>
      <c r="H22" s="48" t="n">
        <v>106156</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18.76</v>
      </c>
      <c r="D25" s="2" t="n">
        <v>35.12</v>
      </c>
      <c r="E25" s="22" t="n">
        <v>25.09</v>
      </c>
      <c r="F25" s="2" t="n">
        <v>21.2</v>
      </c>
      <c r="G25" s="2" t="n">
        <v>19.9</v>
      </c>
      <c r="H25" s="57" t="n">
        <v>18.9</v>
      </c>
      <c r="J25" s="18" t="inlineStr">
        <is>
          <t>Net margin</t>
        </is>
      </c>
      <c r="K25" s="20" t="n"/>
      <c r="L25" s="20" t="n"/>
      <c r="M25" s="20" t="n"/>
      <c r="N25" s="20" t="n"/>
      <c r="O25" s="54">
        <f>AVERAGE(K25:N25)</f>
        <v/>
      </c>
      <c r="AC25" s="103" t="n"/>
    </row>
    <row r="26" ht="15" customHeight="1">
      <c r="B26" s="18" t="inlineStr">
        <is>
          <t>EPS</t>
        </is>
      </c>
      <c r="C26" s="2" t="n">
        <v>2.97</v>
      </c>
      <c r="D26" s="2" t="n">
        <v>3.28</v>
      </c>
      <c r="E26" s="19" t="n">
        <v>5.61</v>
      </c>
      <c r="F26" s="2" t="n">
        <v>6.14</v>
      </c>
      <c r="G26" s="2" t="n">
        <v>6.53</v>
      </c>
      <c r="H26" s="57" t="n">
        <v>6.89</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2022-06-11T14:00:08Z</dcterms:modified>
  <cp:lastModifiedBy>Mark Mukherjee</cp:lastModifiedBy>
</cp:coreProperties>
</file>