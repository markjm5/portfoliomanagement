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0220" yWindow="1640" windowWidth="38920" windowHeight="21820" tabRatio="600" firstSheet="0" activeTab="3" autoFilterDateGrouping="1"/>
  </bookViews>
  <sheets>
    <sheet xmlns:r="http://schemas.openxmlformats.org/officeDocument/2006/relationships" name="Note" sheetId="1" state="visible" r:id="rId1"/>
    <sheet xmlns:r="http://schemas.openxmlformats.org/officeDocument/2006/relationships" name="Template" sheetId="2" state="visible" r:id="rId2"/>
    <sheet xmlns:r="http://schemas.openxmlformats.org/officeDocument/2006/relationships" name="AAPL" sheetId="3" state="visible" r:id="rId3"/>
    <sheet xmlns:r="http://schemas.openxmlformats.org/officeDocument/2006/relationships" name="CRM" sheetId="4" state="visible" r:id="rId4"/>
  </sheets>
  <definedNames/>
  <calcPr calcId="191029" fullCalcOnLoad="1"/>
</workbook>
</file>

<file path=xl/styles.xml><?xml version="1.0" encoding="utf-8"?>
<styleSheet xmlns="http://schemas.openxmlformats.org/spreadsheetml/2006/main">
  <numFmts count="3">
    <numFmt numFmtId="164" formatCode="0.0%"/>
    <numFmt numFmtId="165" formatCode="0.0"/>
    <numFmt numFmtId="166" formatCode="#,##0.0"/>
  </numFmts>
  <fonts count="7">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0"/>
      <sz val="11"/>
      <scheme val="minor"/>
    </font>
    <font>
      <name val="Calibri"/>
      <family val="2"/>
      <color theme="1"/>
      <sz val="11"/>
      <scheme val="minor"/>
    </font>
    <font>
      <name val="Calibri"/>
      <family val="2"/>
      <color rgb="FFFF0000"/>
      <sz val="11"/>
      <scheme val="minor"/>
    </font>
    <font>
      <name val="Calibri"/>
      <family val="2"/>
      <b val="1"/>
      <color rgb="FF262626"/>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9" tint="0.5999938962981048"/>
        <bgColor indexed="64"/>
      </patternFill>
    </fill>
    <fill>
      <patternFill patternType="solid">
        <fgColor rgb="FFFFFF0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4" fillId="0" borderId="0"/>
    <xf numFmtId="0" fontId="2" fillId="0" borderId="0"/>
    <xf numFmtId="9" fontId="4" fillId="0" borderId="0"/>
  </cellStyleXfs>
  <cellXfs count="111">
    <xf numFmtId="0" fontId="0" fillId="0" borderId="0" pivotButton="0" quotePrefix="0" xfId="0"/>
    <xf numFmtId="0" fontId="0" fillId="0" borderId="0" applyAlignment="1" pivotButton="0" quotePrefix="0" xfId="0">
      <alignment vertical="center"/>
    </xf>
    <xf numFmtId="0" fontId="0" fillId="2" borderId="0" applyAlignment="1" pivotButton="0" quotePrefix="0" xfId="0">
      <alignment horizontal="center"/>
    </xf>
    <xf numFmtId="3" fontId="0" fillId="2" borderId="0" applyAlignment="1" pivotButton="0" quotePrefix="0" xfId="0">
      <alignment horizontal="center"/>
    </xf>
    <xf numFmtId="0" fontId="1" fillId="6" borderId="14" pivotButton="0" quotePrefix="0" xfId="0"/>
    <xf numFmtId="0" fontId="6" fillId="6" borderId="9" pivotButton="0" quotePrefix="0" xfId="0"/>
    <xf numFmtId="0" fontId="1" fillId="6" borderId="10" pivotButton="0" quotePrefix="0" xfId="0"/>
    <xf numFmtId="0" fontId="1" fillId="5" borderId="1" pivotButton="0" quotePrefix="0" xfId="0"/>
    <xf numFmtId="2" fontId="0" fillId="2" borderId="2" applyAlignment="1" pivotButton="0" quotePrefix="0" xfId="0">
      <alignment horizontal="center"/>
    </xf>
    <xf numFmtId="0" fontId="0" fillId="2" borderId="2" applyAlignment="1" pivotButton="0" quotePrefix="0" xfId="0">
      <alignment horizontal="center"/>
    </xf>
    <xf numFmtId="0" fontId="0" fillId="2" borderId="2" pivotButton="0" quotePrefix="0" xfId="0"/>
    <xf numFmtId="0" fontId="0" fillId="2" borderId="3" pivotButton="0" quotePrefix="0" xfId="0"/>
    <xf numFmtId="14" fontId="1" fillId="5" borderId="1" applyAlignment="1" pivotButton="0" quotePrefix="0" xfId="0">
      <alignment horizontal="center"/>
    </xf>
    <xf numFmtId="14" fontId="0" fillId="2" borderId="4" pivotButton="0" quotePrefix="0" xfId="0"/>
    <xf numFmtId="0" fontId="0" fillId="2" borderId="5" pivotButton="0" quotePrefix="0" xfId="0"/>
    <xf numFmtId="14" fontId="1" fillId="5" borderId="6" applyAlignment="1" pivotButton="0" quotePrefix="0" xfId="0">
      <alignment horizontal="center"/>
    </xf>
    <xf numFmtId="0" fontId="0" fillId="2" borderId="7" pivotButton="0" quotePrefix="0" xfId="0"/>
    <xf numFmtId="0" fontId="0" fillId="2" borderId="8" pivotButton="0" quotePrefix="0" xfId="0"/>
    <xf numFmtId="0" fontId="1" fillId="5" borderId="4" pivotButton="0" quotePrefix="0" xfId="0"/>
    <xf numFmtId="2" fontId="0" fillId="2" borderId="0" applyAlignment="1" pivotButton="0" quotePrefix="0" xfId="0">
      <alignment horizontal="center"/>
    </xf>
    <xf numFmtId="164" fontId="0" fillId="2" borderId="0" applyAlignment="1" pivotButton="0" quotePrefix="0" xfId="0">
      <alignment horizontal="center"/>
    </xf>
    <xf numFmtId="0" fontId="1" fillId="5" borderId="0" pivotButton="0" quotePrefix="0" xfId="0"/>
    <xf numFmtId="1" fontId="0" fillId="2" borderId="0" applyAlignment="1" pivotButton="0" quotePrefix="0" xfId="0">
      <alignment horizontal="center"/>
    </xf>
    <xf numFmtId="2" fontId="0" fillId="2" borderId="5" applyAlignment="1" pivotButton="0" quotePrefix="0" xfId="0">
      <alignment horizontal="center"/>
    </xf>
    <xf numFmtId="2" fontId="5" fillId="2" borderId="0" pivotButton="0" quotePrefix="0" xfId="0"/>
    <xf numFmtId="10" fontId="0" fillId="2" borderId="0" pivotButton="0" quotePrefix="0" xfId="0"/>
    <xf numFmtId="10" fontId="0" fillId="2" borderId="5" applyAlignment="1" pivotButton="0" quotePrefix="0" xfId="0">
      <alignment horizontal="center" wrapText="1"/>
    </xf>
    <xf numFmtId="0" fontId="5" fillId="2" borderId="0" pivotButton="0" quotePrefix="0" xfId="0"/>
    <xf numFmtId="10" fontId="0" fillId="2" borderId="3" pivotButton="0" quotePrefix="0" xfId="0"/>
    <xf numFmtId="10" fontId="0" fillId="2" borderId="0" applyAlignment="1" pivotButton="0" quotePrefix="0" xfId="0">
      <alignment horizontal="center" wrapText="1"/>
    </xf>
    <xf numFmtId="10" fontId="0" fillId="2" borderId="0" applyAlignment="1" pivotButton="0" quotePrefix="0" xfId="0">
      <alignment horizontal="center"/>
    </xf>
    <xf numFmtId="0" fontId="0" fillId="2" borderId="4" pivotButton="0" quotePrefix="0" xfId="0"/>
    <xf numFmtId="10" fontId="0" fillId="2" borderId="5" pivotButton="0" quotePrefix="0" xfId="0"/>
    <xf numFmtId="3" fontId="0" fillId="2" borderId="0" applyAlignment="1" pivotButton="0" quotePrefix="0" xfId="0">
      <alignment horizontal="center" wrapText="1"/>
    </xf>
    <xf numFmtId="0" fontId="0" fillId="2" borderId="5" applyAlignment="1" pivotButton="0" quotePrefix="0" xfId="0">
      <alignment horizontal="left"/>
    </xf>
    <xf numFmtId="0" fontId="0" fillId="2" borderId="6" pivotButton="0" quotePrefix="0" xfId="0"/>
    <xf numFmtId="10" fontId="0" fillId="2" borderId="8" pivotButton="0" quotePrefix="0" xfId="0"/>
    <xf numFmtId="0" fontId="1" fillId="5" borderId="6" pivotButton="0" quotePrefix="0" xfId="0"/>
    <xf numFmtId="2" fontId="0" fillId="2" borderId="7" applyAlignment="1" pivotButton="0" quotePrefix="0" xfId="0">
      <alignment horizontal="center" wrapText="1"/>
    </xf>
    <xf numFmtId="10" fontId="0" fillId="2" borderId="7" applyAlignment="1" pivotButton="0" quotePrefix="0" xfId="0">
      <alignment horizontal="center"/>
    </xf>
    <xf numFmtId="2" fontId="0" fillId="2" borderId="0" pivotButton="0" quotePrefix="0" xfId="0"/>
    <xf numFmtId="0" fontId="1" fillId="5" borderId="9" pivotButton="0" quotePrefix="0" xfId="0"/>
    <xf numFmtId="0" fontId="0" fillId="2" borderId="10" applyAlignment="1" pivotButton="0" quotePrefix="0" xfId="0">
      <alignment horizontal="center"/>
    </xf>
    <xf numFmtId="0" fontId="1" fillId="5" borderId="2" applyAlignment="1" pivotButton="0" quotePrefix="0" xfId="0">
      <alignment horizontal="center"/>
    </xf>
    <xf numFmtId="0" fontId="1" fillId="5" borderId="3" applyAlignment="1" pivotButton="0" quotePrefix="0" xfId="0">
      <alignment horizontal="center" wrapText="1"/>
    </xf>
    <xf numFmtId="0" fontId="0" fillId="5" borderId="1" pivotButton="0" quotePrefix="0" xfId="0"/>
    <xf numFmtId="0" fontId="0" fillId="5" borderId="2" applyAlignment="1" pivotButton="0" quotePrefix="0" xfId="0">
      <alignment horizontal="center"/>
    </xf>
    <xf numFmtId="0" fontId="1" fillId="5" borderId="3" applyAlignment="1" pivotButton="0" quotePrefix="0" xfId="0">
      <alignment horizontal="center"/>
    </xf>
    <xf numFmtId="3" fontId="0" fillId="2" borderId="5" applyAlignment="1" pivotButton="0" quotePrefix="0" xfId="0">
      <alignment horizontal="center"/>
    </xf>
    <xf numFmtId="10" fontId="0" fillId="2" borderId="5" applyAlignment="1" pivotButton="0" quotePrefix="0" xfId="0">
      <alignment horizontal="center"/>
    </xf>
    <xf numFmtId="165" fontId="0" fillId="2" borderId="0" applyAlignment="1" pivotButton="0" quotePrefix="0" xfId="0">
      <alignment horizontal="center"/>
    </xf>
    <xf numFmtId="165" fontId="0" fillId="2" borderId="5" applyAlignment="1" pivotButton="0" quotePrefix="0" xfId="0">
      <alignment horizontal="center"/>
    </xf>
    <xf numFmtId="164" fontId="1" fillId="2" borderId="0" applyAlignment="1" pivotButton="0" quotePrefix="0" xfId="0">
      <alignment horizontal="center"/>
    </xf>
    <xf numFmtId="164" fontId="1" fillId="2" borderId="5" applyAlignment="1" pivotButton="0" quotePrefix="0" xfId="0">
      <alignment horizontal="center"/>
    </xf>
    <xf numFmtId="164" fontId="0" fillId="2" borderId="5" applyAlignment="1" pivotButton="0" quotePrefix="0" xfId="0">
      <alignment horizontal="center"/>
    </xf>
    <xf numFmtId="9" fontId="0" fillId="2" borderId="0" applyAlignment="1" pivotButton="0" quotePrefix="0" xfId="0">
      <alignment horizontal="center"/>
    </xf>
    <xf numFmtId="9" fontId="0" fillId="2" borderId="5" applyAlignment="1" pivotButton="0" quotePrefix="0" xfId="0">
      <alignment horizontal="center"/>
    </xf>
    <xf numFmtId="0" fontId="0" fillId="2" borderId="5" applyAlignment="1" pivotButton="0" quotePrefix="0" xfId="0">
      <alignment horizontal="center"/>
    </xf>
    <xf numFmtId="10" fontId="0" fillId="2" borderId="8" applyAlignment="1" pivotButton="0" quotePrefix="0" xfId="0">
      <alignment horizontal="center"/>
    </xf>
    <xf numFmtId="10" fontId="0" fillId="2" borderId="0" applyAlignment="1" pivotButton="0" quotePrefix="0" xfId="0">
      <alignment wrapText="1"/>
    </xf>
    <xf numFmtId="165" fontId="0" fillId="2" borderId="7" applyAlignment="1" pivotButton="0" quotePrefix="0" xfId="0">
      <alignment horizontal="center"/>
    </xf>
    <xf numFmtId="165" fontId="0" fillId="2" borderId="8" applyAlignment="1" pivotButton="0" quotePrefix="0" xfId="0">
      <alignment horizontal="center"/>
    </xf>
    <xf numFmtId="0" fontId="0" fillId="5" borderId="2" pivotButton="0" quotePrefix="0" xfId="0"/>
    <xf numFmtId="3" fontId="0" fillId="2" borderId="2" applyAlignment="1" pivotButton="0" quotePrefix="0" xfId="0">
      <alignment horizontal="center"/>
    </xf>
    <xf numFmtId="3" fontId="0" fillId="2" borderId="2" applyAlignment="1" pivotButton="0" quotePrefix="0" xfId="0">
      <alignment horizontal="center" wrapText="1"/>
    </xf>
    <xf numFmtId="3" fontId="0" fillId="2" borderId="3" applyAlignment="1" pivotButton="0" quotePrefix="0" xfId="0">
      <alignment horizontal="center" wrapText="1"/>
    </xf>
    <xf numFmtId="166" fontId="0" fillId="2" borderId="5" applyAlignment="1" pivotButton="0" quotePrefix="0" xfId="0">
      <alignment horizontal="center" wrapText="1"/>
    </xf>
    <xf numFmtId="0" fontId="0" fillId="2" borderId="0" applyAlignment="1" pivotButton="0" quotePrefix="0" xfId="0">
      <alignment horizontal="center" wrapText="1"/>
    </xf>
    <xf numFmtId="0" fontId="0" fillId="2" borderId="5" applyAlignment="1" pivotButton="0" quotePrefix="0" xfId="0">
      <alignment horizontal="center" wrapText="1"/>
    </xf>
    <xf numFmtId="0" fontId="0" fillId="2" borderId="7" applyAlignment="1" pivotButton="0" quotePrefix="0" xfId="0">
      <alignment horizontal="center" wrapText="1"/>
    </xf>
    <xf numFmtId="0" fontId="0" fillId="2" borderId="8" applyAlignment="1" pivotButton="0" quotePrefix="0" xfId="0">
      <alignment horizontal="center" wrapText="1"/>
    </xf>
    <xf numFmtId="3" fontId="0" fillId="2" borderId="3" applyAlignment="1" pivotButton="0" quotePrefix="0" xfId="0">
      <alignment horizontal="center"/>
    </xf>
    <xf numFmtId="4" fontId="0" fillId="2" borderId="2" applyAlignment="1" pivotButton="0" quotePrefix="0" xfId="0">
      <alignment horizontal="center"/>
    </xf>
    <xf numFmtId="164" fontId="0" fillId="2" borderId="3" applyAlignment="1" pivotButton="0" quotePrefix="0" xfId="2">
      <alignment horizontal="center"/>
    </xf>
    <xf numFmtId="4" fontId="0" fillId="2" borderId="7" applyAlignment="1" pivotButton="0" quotePrefix="0" xfId="0">
      <alignment horizontal="center"/>
    </xf>
    <xf numFmtId="164" fontId="0" fillId="2" borderId="8" applyAlignment="1" pivotButton="0" quotePrefix="0" xfId="2">
      <alignment horizontal="center"/>
    </xf>
    <xf numFmtId="0" fontId="1" fillId="5" borderId="7" pivotButton="0" quotePrefix="0" xfId="0"/>
    <xf numFmtId="0" fontId="0" fillId="2" borderId="7" applyAlignment="1" pivotButton="0" quotePrefix="0" xfId="0">
      <alignment horizontal="center"/>
    </xf>
    <xf numFmtId="166" fontId="0" fillId="2" borderId="8" applyAlignment="1" pivotButton="0" quotePrefix="0" xfId="0">
      <alignment horizontal="center" wrapText="1"/>
    </xf>
    <xf numFmtId="0" fontId="0" fillId="2" borderId="8" applyAlignment="1" pivotButton="0" quotePrefix="0" xfId="0">
      <alignment horizontal="center"/>
    </xf>
    <xf numFmtId="0" fontId="0" fillId="2" borderId="3" applyAlignment="1" pivotButton="0" quotePrefix="0" xfId="0">
      <alignment wrapText="1"/>
    </xf>
    <xf numFmtId="3" fontId="0" fillId="2" borderId="2" pivotButton="0" quotePrefix="0" xfId="0"/>
    <xf numFmtId="0" fontId="0" fillId="5" borderId="4" pivotButton="0" quotePrefix="0" xfId="0"/>
    <xf numFmtId="3" fontId="0" fillId="2" borderId="0" pivotButton="0" quotePrefix="0" xfId="0"/>
    <xf numFmtId="10" fontId="0" fillId="2" borderId="5" applyAlignment="1" pivotButton="0" quotePrefix="0" xfId="0">
      <alignment wrapText="1"/>
    </xf>
    <xf numFmtId="3" fontId="0" fillId="2" borderId="0" applyAlignment="1" pivotButton="0" quotePrefix="0" xfId="0">
      <alignment wrapText="1"/>
    </xf>
    <xf numFmtId="0" fontId="0" fillId="5" borderId="6" pivotButton="0" quotePrefix="0" xfId="0"/>
    <xf numFmtId="3" fontId="0" fillId="2" borderId="7" applyAlignment="1" pivotButton="0" quotePrefix="0" xfId="0">
      <alignment wrapText="1"/>
    </xf>
    <xf numFmtId="10" fontId="0" fillId="2" borderId="8" applyAlignment="1" pivotButton="0" quotePrefix="0" xfId="0">
      <alignment wrapText="1"/>
    </xf>
    <xf numFmtId="10" fontId="0" fillId="2" borderId="7" applyAlignment="1" pivotButton="0" quotePrefix="0" xfId="0">
      <alignment wrapText="1"/>
    </xf>
    <xf numFmtId="0" fontId="2" fillId="2" borderId="0" applyAlignment="1" pivotButton="0" quotePrefix="0" xfId="1">
      <alignment vertical="center" readingOrder="1"/>
    </xf>
    <xf numFmtId="0" fontId="1" fillId="2" borderId="0" pivotButton="0" quotePrefix="0" xfId="0"/>
    <xf numFmtId="0" fontId="0" fillId="2" borderId="0" pivotButton="0" quotePrefix="0" xfId="0"/>
    <xf numFmtId="0" fontId="0" fillId="2" borderId="0" applyAlignment="1" pivotButton="0" quotePrefix="0" xfId="0">
      <alignment wrapText="1"/>
    </xf>
    <xf numFmtId="0" fontId="1" fillId="4" borderId="15" applyAlignment="1" pivotButton="0" quotePrefix="0" xfId="0">
      <alignment horizontal="center"/>
    </xf>
    <xf numFmtId="0" fontId="0" fillId="0" borderId="12" pivotButton="0" quotePrefix="0" xfId="0"/>
    <xf numFmtId="0" fontId="0" fillId="0" borderId="13" pivotButton="0" quotePrefix="0" xfId="0"/>
    <xf numFmtId="0" fontId="1" fillId="2" borderId="7" applyAlignment="1" pivotButton="0" quotePrefix="0" xfId="0">
      <alignment horizontal="center" vertical="center"/>
    </xf>
    <xf numFmtId="0" fontId="0" fillId="2" borderId="0" pivotButton="0" quotePrefix="0" xfId="0"/>
    <xf numFmtId="0" fontId="0" fillId="0" borderId="7" pivotButton="0" quotePrefix="0" xfId="0"/>
    <xf numFmtId="0" fontId="3" fillId="3" borderId="14" applyAlignment="1" pivotButton="0" quotePrefix="0" xfId="0">
      <alignment horizontal="center"/>
    </xf>
    <xf numFmtId="0" fontId="0" fillId="0" borderId="11" pivotButton="0" quotePrefix="0" xfId="0"/>
    <xf numFmtId="0" fontId="0" fillId="0" borderId="10" pivotButton="0" quotePrefix="0" xfId="0"/>
    <xf numFmtId="0" fontId="0" fillId="2" borderId="0" applyAlignment="1" pivotButton="0" quotePrefix="0" xfId="0">
      <alignment wrapText="1"/>
    </xf>
    <xf numFmtId="0" fontId="0" fillId="2" borderId="14" applyAlignment="1" pivotButton="0" quotePrefix="0" xfId="0">
      <alignment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8" pivotButton="0" quotePrefix="0" xfId="0"/>
  </cellXfs>
  <cellStyles count="3">
    <cellStyle name="Normal" xfId="0" builtinId="0"/>
    <cellStyle name="Hyperlink" xfId="1" builtinId="8"/>
    <cellStyle name="Per cent" xfId="2" builtinId="5"/>
  </cellStyles>
  <dxfs count="4">
    <dxf>
      <font>
        <color rgb="FF00B050"/>
      </font>
    </dxf>
    <dxf>
      <font>
        <color rgb="FFFF0000"/>
      </font>
    </dxf>
    <dxf>
      <font>
        <color rgb="FF00B05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finance.yahoo.com/" TargetMode="External" Id="rId1"/><Relationship Type="http://schemas.openxmlformats.org/officeDocument/2006/relationships/hyperlink" Target="https://www.reuters.com/" TargetMode="External" Id="rId2"/><Relationship Type="http://schemas.openxmlformats.org/officeDocument/2006/relationships/hyperlink" Target="https://www.marketwatch.com/" TargetMode="External" Id="rId3"/><Relationship Type="http://schemas.openxmlformats.org/officeDocument/2006/relationships/hyperlink" Target="https://finviz.com/" TargetMode="External" Id="rId4"/><Relationship Type="http://schemas.openxmlformats.org/officeDocument/2006/relationships/hyperlink" Target="https://www.marketscreener.com/" TargetMode="External" Id="rId5"/><Relationship Type="http://schemas.openxmlformats.org/officeDocument/2006/relationships/hyperlink" Target="https://stockrow.com/" TargetMode="External" Id="rId6"/></Relationships>
</file>

<file path=xl/worksheets/sheet1.xml><?xml version="1.0" encoding="utf-8"?>
<worksheet xmlns="http://schemas.openxmlformats.org/spreadsheetml/2006/main">
  <sheetPr codeName="Sheet1">
    <tabColor rgb="FFFFFF00"/>
    <outlinePr summaryBelow="1" summaryRight="1"/>
    <pageSetUpPr/>
  </sheetPr>
  <dimension ref="B1:J17"/>
  <sheetViews>
    <sheetView zoomScale="150" zoomScaleNormal="150" workbookViewId="0">
      <selection activeCell="A1" sqref="A1"/>
    </sheetView>
  </sheetViews>
  <sheetFormatPr baseColWidth="10" defaultColWidth="9.1640625" defaultRowHeight="15"/>
  <cols>
    <col width="9.1640625" customWidth="1" style="98" min="1" max="1"/>
    <col width="12.83203125" customWidth="1" style="98" min="2" max="10"/>
    <col width="9.1640625" customWidth="1" style="98" min="11" max="27"/>
    <col width="9.1640625" customWidth="1" style="98" min="28" max="16384"/>
  </cols>
  <sheetData>
    <row r="1">
      <c r="B1" s="97" t="n"/>
    </row>
    <row r="2" ht="16" customHeight="1" thickBot="1">
      <c r="B2" s="99" t="n"/>
      <c r="C2" s="99" t="n"/>
      <c r="D2" s="99" t="n"/>
      <c r="E2" s="99" t="n"/>
      <c r="F2" s="99" t="n"/>
      <c r="G2" s="99" t="n"/>
      <c r="H2" s="99" t="n"/>
      <c r="I2" s="99" t="n"/>
      <c r="J2" s="99" t="n"/>
    </row>
    <row r="3" ht="16" customHeight="1" thickBot="1">
      <c r="B3" s="100" t="inlineStr">
        <is>
          <t>The Quantitative Analysis</t>
        </is>
      </c>
      <c r="C3" s="101" t="n"/>
      <c r="D3" s="101" t="n"/>
      <c r="E3" s="101" t="n"/>
      <c r="F3" s="101" t="n"/>
      <c r="G3" s="101" t="n"/>
      <c r="H3" s="101" t="n"/>
      <c r="I3" s="101" t="n"/>
      <c r="J3" s="102" t="n"/>
    </row>
    <row r="6">
      <c r="B6" s="94" t="inlineStr">
        <is>
          <t>DATA</t>
        </is>
      </c>
      <c r="C6" s="95" t="n"/>
      <c r="D6" s="95" t="n"/>
      <c r="E6" s="95" t="n"/>
      <c r="F6" s="96" t="n"/>
      <c r="G6" s="94" t="inlineStr">
        <is>
          <t>WEBSITES</t>
        </is>
      </c>
      <c r="H6" s="95" t="n"/>
      <c r="I6" s="95" t="n"/>
      <c r="J6" s="96" t="n"/>
    </row>
    <row r="8" ht="64.5" customHeight="1">
      <c r="B8" s="103" t="inlineStr">
        <is>
          <t>Spend 5-20 hours building your own quantitative analysis infrastructure. Either through quick copy and paste but I strongly recommend to do some macro to automatically get the data from different websites.</t>
        </is>
      </c>
      <c r="G8" s="90" t="inlineStr">
        <is>
          <t>https://finance.yahoo.com/</t>
        </is>
      </c>
    </row>
    <row r="9">
      <c r="G9" s="90" t="inlineStr">
        <is>
          <t>https://www.reuters.com</t>
        </is>
      </c>
    </row>
    <row r="10">
      <c r="G10" s="90" t="inlineStr">
        <is>
          <t>https://www.marketwatch.com/</t>
        </is>
      </c>
    </row>
    <row r="11">
      <c r="G11" s="90" t="inlineStr">
        <is>
          <t>https://finviz.com/</t>
        </is>
      </c>
    </row>
    <row r="12">
      <c r="G12" s="90" t="inlineStr">
        <is>
          <t>https://www.marketscreener.com/</t>
        </is>
      </c>
    </row>
    <row r="13">
      <c r="G13" s="90" t="inlineStr">
        <is>
          <t>https://stockrow.com/</t>
        </is>
      </c>
    </row>
    <row r="15">
      <c r="B15" s="91" t="n"/>
    </row>
    <row r="16" ht="30" customHeight="1">
      <c r="B16" s="103" t="n"/>
    </row>
    <row r="17">
      <c r="B17" s="1" t="n"/>
    </row>
  </sheetData>
  <mergeCells count="6">
    <mergeCell ref="B6:F6"/>
    <mergeCell ref="G6:J6"/>
    <mergeCell ref="B1:J2"/>
    <mergeCell ref="B3:J3"/>
    <mergeCell ref="B16:J16"/>
    <mergeCell ref="B8:F8"/>
  </mergeCells>
  <hyperlinks>
    <hyperlink xmlns:r="http://schemas.openxmlformats.org/officeDocument/2006/relationships" ref="G8" r:id="rId1"/>
    <hyperlink xmlns:r="http://schemas.openxmlformats.org/officeDocument/2006/relationships" ref="G9" display="https://www.reuters.com/" r:id="rId2"/>
    <hyperlink xmlns:r="http://schemas.openxmlformats.org/officeDocument/2006/relationships" ref="G10" r:id="rId3"/>
    <hyperlink xmlns:r="http://schemas.openxmlformats.org/officeDocument/2006/relationships" ref="G11" r:id="rId4"/>
    <hyperlink xmlns:r="http://schemas.openxmlformats.org/officeDocument/2006/relationships" ref="G12" r:id="rId5"/>
    <hyperlink xmlns:r="http://schemas.openxmlformats.org/officeDocument/2006/relationships" ref="G13" r:id="rId6"/>
  </hyperlinks>
  <pageMargins left="0.7" right="0.7" top="0.75" bottom="0.75" header="0.3" footer="0.3"/>
</worksheet>
</file>

<file path=xl/worksheets/sheet2.xml><?xml version="1.0" encoding="utf-8"?>
<worksheet xmlns="http://schemas.openxmlformats.org/spreadsheetml/2006/main">
  <sheetPr codeName="Sheet3">
    <tabColor theme="2" tint="-0.249977111117893"/>
    <outlinePr summaryBelow="1" summaryRight="1"/>
    <pageSetUpPr/>
  </sheetPr>
  <dimension ref="B2:AE361"/>
  <sheetViews>
    <sheetView tabSelected="1" zoomScale="160" zoomScaleNormal="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41"/>
    <col width="9.1640625" customWidth="1" style="98" min="42" max="16384"/>
  </cols>
  <sheetData>
    <row r="1" ht="16" customHeight="1" thickBot="1"/>
    <row r="2" ht="16" customHeight="1" thickBot="1">
      <c r="B2" s="4" t="n"/>
      <c r="G2" s="5" t="n"/>
      <c r="H2" s="6" t="n"/>
    </row>
    <row r="3" ht="16" customHeight="1" thickBot="1"/>
    <row r="4">
      <c r="B4" s="7" t="inlineStr">
        <is>
          <t>Last</t>
        </is>
      </c>
      <c r="C4" s="8" t="n"/>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c r="D6" s="20">
        <f>(C4-C6)/C6</f>
        <v/>
      </c>
      <c r="E6" s="21" t="inlineStr">
        <is>
          <t>Trailing P/E</t>
        </is>
      </c>
      <c r="F6" s="22">
        <f>E25</f>
        <v/>
      </c>
      <c r="G6" s="21" t="inlineStr">
        <is>
          <t>Price to book</t>
        </is>
      </c>
      <c r="H6" s="23">
        <f>C4/F36</f>
        <v/>
      </c>
      <c r="L6" s="24" t="n"/>
      <c r="M6" s="25" t="n"/>
    </row>
    <row r="7">
      <c r="B7" s="18" t="inlineStr">
        <is>
          <t>52 week Low</t>
        </is>
      </c>
      <c r="C7" s="19" t="n"/>
      <c r="D7" s="20">
        <f>(C4-C7)/C7</f>
        <v/>
      </c>
      <c r="E7" s="21" t="inlineStr">
        <is>
          <t>Forward P/E</t>
        </is>
      </c>
      <c r="F7" s="2">
        <f>F25</f>
        <v/>
      </c>
      <c r="G7" s="21" t="inlineStr">
        <is>
          <t>ROE</t>
        </is>
      </c>
      <c r="H7" s="26" t="n"/>
      <c r="L7" s="27" t="n"/>
      <c r="M7" s="25" t="n"/>
      <c r="N7" s="91" t="n"/>
      <c r="Q7" s="7" t="inlineStr">
        <is>
          <t>Competitors</t>
        </is>
      </c>
      <c r="R7" s="10" t="n"/>
      <c r="S7" s="28" t="n"/>
    </row>
    <row r="8">
      <c r="B8" s="18" t="inlineStr">
        <is>
          <t>YTD Change/%</t>
        </is>
      </c>
      <c r="C8" s="29" t="n"/>
      <c r="D8" s="30" t="n"/>
      <c r="E8" s="21" t="inlineStr">
        <is>
          <t>PEG</t>
        </is>
      </c>
      <c r="F8" s="2" t="n"/>
      <c r="G8" s="21" t="inlineStr">
        <is>
          <t>Exchange</t>
        </is>
      </c>
      <c r="H8" s="14" t="n"/>
      <c r="Q8" s="31" t="n"/>
      <c r="S8" s="32" t="n"/>
    </row>
    <row r="9">
      <c r="B9" s="18" t="inlineStr">
        <is>
          <t>Mkt Cap</t>
        </is>
      </c>
      <c r="C9" s="3" t="n"/>
      <c r="D9" s="2" t="n"/>
      <c r="E9" s="21" t="inlineStr">
        <is>
          <t>Dividend 2019</t>
        </is>
      </c>
      <c r="F9" s="2" t="n"/>
      <c r="G9" s="21" t="inlineStr">
        <is>
          <t>Sector</t>
        </is>
      </c>
      <c r="H9" s="14" t="n"/>
      <c r="Q9" s="31" t="n"/>
      <c r="S9" s="32" t="n"/>
    </row>
    <row r="10">
      <c r="B10" s="18" t="inlineStr">
        <is>
          <t>EV</t>
        </is>
      </c>
      <c r="C10" s="33" t="n"/>
      <c r="D10" s="3">
        <f>C10-C9</f>
        <v/>
      </c>
      <c r="E10" s="21" t="inlineStr">
        <is>
          <t>Div. yield</t>
        </is>
      </c>
      <c r="F10" s="30">
        <f>IF(F9&lt;"-",F9/C4,"")</f>
        <v/>
      </c>
      <c r="G10" s="21" t="inlineStr">
        <is>
          <t>Industry</t>
        </is>
      </c>
      <c r="H10" s="14" t="n"/>
      <c r="Q10" s="31" t="n"/>
      <c r="S10" s="32" t="n"/>
    </row>
    <row r="11" ht="16" customHeight="1" thickBot="1">
      <c r="B11" s="18" t="inlineStr">
        <is>
          <t>Days to Cover</t>
        </is>
      </c>
      <c r="C11" s="19" t="n"/>
      <c r="D11" s="2" t="n"/>
      <c r="E11" s="21" t="inlineStr">
        <is>
          <t>Beta</t>
        </is>
      </c>
      <c r="F11" s="19" t="n"/>
      <c r="G11" s="21" t="inlineStr">
        <is>
          <t>Website</t>
        </is>
      </c>
      <c r="H11" s="34" t="n"/>
      <c r="Q11" s="35" t="n"/>
      <c r="R11" s="16" t="n"/>
      <c r="S11" s="36" t="n"/>
    </row>
    <row r="12" ht="15.75" customHeight="1" thickBot="1">
      <c r="B12" s="37" t="inlineStr">
        <is>
          <t>Target Price</t>
        </is>
      </c>
      <c r="C12" s="38" t="n"/>
      <c r="D12" s="39" t="n"/>
      <c r="E12" s="16" t="n"/>
      <c r="F12" s="16" t="n"/>
      <c r="G12" s="16" t="n"/>
      <c r="H12" s="17" t="n"/>
    </row>
    <row r="13" ht="16" customHeight="1" thickBot="1">
      <c r="D13" s="40" t="n"/>
      <c r="L13" s="27" t="n"/>
      <c r="M13" s="25" t="n"/>
    </row>
    <row r="14" ht="16" customHeight="1" thickBot="1">
      <c r="G14" s="41" t="inlineStr">
        <is>
          <t>Year End</t>
        </is>
      </c>
      <c r="H14" s="42" t="n"/>
    </row>
    <row r="15" ht="16" customHeight="1">
      <c r="B15" s="7" t="n"/>
      <c r="C15" s="43" t="n"/>
      <c r="D15" s="43" t="n"/>
      <c r="E15" s="43" t="n"/>
      <c r="F15" s="43" t="n"/>
      <c r="G15" s="43" t="n"/>
      <c r="H15" s="44" t="n"/>
      <c r="J15" s="45" t="n"/>
      <c r="K15" s="46" t="n"/>
      <c r="L15" s="46" t="n"/>
      <c r="M15" s="46" t="n"/>
      <c r="N15" s="46" t="n"/>
      <c r="O15" s="47" t="inlineStr">
        <is>
          <t>Avg.</t>
        </is>
      </c>
    </row>
    <row r="16">
      <c r="B16" s="18" t="inlineStr">
        <is>
          <t>Sales</t>
        </is>
      </c>
      <c r="C16" s="3" t="n"/>
      <c r="D16" s="3" t="n"/>
      <c r="E16" s="3" t="n"/>
      <c r="F16" s="3" t="n"/>
      <c r="G16" s="3" t="n"/>
      <c r="H16" s="48" t="n"/>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c r="D18" s="3" t="n"/>
      <c r="E18" s="3" t="n"/>
      <c r="F18" s="3" t="n"/>
      <c r="G18" s="3" t="n"/>
      <c r="H18" s="48" t="n"/>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c r="D20" s="3" t="n"/>
      <c r="E20" s="3" t="n"/>
      <c r="F20" s="3" t="n"/>
      <c r="G20" s="3" t="n"/>
      <c r="H20" s="48" t="n"/>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c r="D22" s="3" t="n"/>
      <c r="E22" s="3" t="n"/>
      <c r="F22" s="3" t="n"/>
      <c r="G22" s="3" t="n"/>
      <c r="H22" s="48" t="n"/>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c r="D25" s="2" t="n"/>
      <c r="E25" s="22" t="n"/>
      <c r="F25" s="2" t="n"/>
      <c r="G25" s="2" t="n"/>
      <c r="H25" s="57" t="n"/>
      <c r="J25" s="18" t="inlineStr">
        <is>
          <t>Net margin</t>
        </is>
      </c>
      <c r="K25" s="20" t="n"/>
      <c r="L25" s="20" t="n"/>
      <c r="M25" s="20" t="n"/>
      <c r="N25" s="20" t="n"/>
      <c r="O25" s="54">
        <f>AVERAGE(K25:N25)</f>
        <v/>
      </c>
      <c r="AC25" s="103" t="n"/>
    </row>
    <row r="26" ht="15" customHeight="1">
      <c r="B26" s="18" t="inlineStr">
        <is>
          <t>EPS</t>
        </is>
      </c>
      <c r="C26" s="2" t="n"/>
      <c r="D26" s="2" t="n"/>
      <c r="E26" s="19" t="n"/>
      <c r="F26" s="2" t="n"/>
      <c r="G26" s="2" t="n"/>
      <c r="H26" s="57" t="n"/>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4" t="n"/>
      <c r="E32" s="64" t="n"/>
      <c r="F32" s="64" t="n"/>
      <c r="G32" s="64" t="n"/>
      <c r="H32" s="65" t="n"/>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c r="D35" s="67" t="n"/>
      <c r="E35" s="67" t="n"/>
      <c r="F35" s="67" t="n"/>
      <c r="G35" s="67" t="n"/>
      <c r="H35" s="68" t="n"/>
      <c r="J35" s="18" t="n"/>
      <c r="K35" s="21" t="inlineStr">
        <is>
          <t>Earnings</t>
        </is>
      </c>
      <c r="L35" s="2" t="n"/>
      <c r="M35" s="2" t="n"/>
      <c r="N35" s="2" t="n"/>
      <c r="O35" s="66" t="n"/>
    </row>
    <row r="36" ht="16" customHeight="1" thickBot="1">
      <c r="B36" s="37" t="inlineStr">
        <is>
          <t>Book Value per share</t>
        </is>
      </c>
      <c r="C36" s="69" t="n"/>
      <c r="D36" s="69" t="n"/>
      <c r="E36" s="69" t="n"/>
      <c r="F36" s="69" t="n"/>
      <c r="G36" s="69" t="n"/>
      <c r="H36" s="70" t="n"/>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c r="F38" s="7" t="inlineStr">
        <is>
          <t>50 MAV</t>
        </is>
      </c>
      <c r="G38" s="72" t="n"/>
      <c r="H38" s="73">
        <f>(C4-G38)/G38</f>
        <v/>
      </c>
      <c r="J38" s="18" t="inlineStr">
        <is>
          <t>Q-4</t>
        </is>
      </c>
      <c r="K38" s="21" t="inlineStr">
        <is>
          <t>Sales</t>
        </is>
      </c>
      <c r="L38" s="3" t="n"/>
      <c r="M38" s="3" t="n"/>
      <c r="N38" s="3" t="n"/>
      <c r="O38" s="66" t="n"/>
    </row>
    <row r="39" ht="16" customHeight="1" thickBot="1">
      <c r="B39" s="18" t="inlineStr">
        <is>
          <t>Avg Vol 10 days</t>
        </is>
      </c>
      <c r="C39" s="48" t="n"/>
      <c r="F39" s="37" t="inlineStr">
        <is>
          <t>200 MAV</t>
        </is>
      </c>
      <c r="G39" s="74" t="n"/>
      <c r="H39" s="75">
        <f>(C4-G39)/G39</f>
        <v/>
      </c>
      <c r="J39" s="37" t="n"/>
      <c r="K39" s="76" t="inlineStr">
        <is>
          <t>Earnings</t>
        </is>
      </c>
      <c r="L39" s="77" t="n"/>
      <c r="M39" s="77" t="n"/>
      <c r="N39" s="77" t="n"/>
      <c r="O39" s="78" t="n"/>
    </row>
    <row r="40" ht="16" customHeight="1" thickBot="1">
      <c r="B40" s="37" t="inlineStr">
        <is>
          <t>Avg Vol 3Months</t>
        </is>
      </c>
      <c r="C40" s="79" t="n"/>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n"/>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sheetProtection selectLockedCells="1" selectUnlockedCells="1" sheet="1" objects="1" insertRows="1" insertHyperlinks="1" autoFilter="1" scenarios="1" formatColumns="1" deleteColumns="1" insertColumns="1" pivotTables="1" deleteRows="1" formatCells="1" formatRows="1" sort="1"/>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priority="3" operator="lessThan" dxfId="1">
      <formula>0</formula>
    </cfRule>
    <cfRule type="cellIs" priority="4" operator="greaterThan" dxfId="0">
      <formula>0</formula>
    </cfRule>
  </conditionalFormatting>
  <conditionalFormatting sqref="O33:O39">
    <cfRule type="cellIs" priority="1" operator="lessThan" dxfId="1">
      <formula>0</formula>
    </cfRule>
    <cfRule type="cellIs" priority="2" operator="greaterThan" dxfId="0">
      <formula>0</formula>
    </cfRule>
  </conditionalFormatting>
  <pageMargins left="0.7" right="0.7" top="0.75" bottom="0.75" header="0.3" footer="0.3"/>
</worksheet>
</file>

<file path=xl/worksheets/sheet3.xml><?xml version="1.0" encoding="utf-8"?>
<worksheet xmlns="http://schemas.openxmlformats.org/spreadsheetml/2006/main">
  <sheetPr codeName="Sheet3">
    <tabColor rgb="001072BA"/>
    <outlinePr summaryBelow="1" summaryRight="1"/>
    <pageSetUpPr/>
  </sheetPr>
  <dimension ref="B2:AE361"/>
  <sheetViews>
    <sheetView zoomScale="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41"/>
    <col width="9.1640625" customWidth="1" style="98" min="42" max="16384"/>
  </cols>
  <sheetData>
    <row r="1" ht="16" customHeight="1" thickBot="1"/>
    <row r="2" ht="16" customHeight="1" thickBot="1">
      <c r="B2" s="4" t="inlineStr">
        <is>
          <t>AAPL</t>
        </is>
      </c>
      <c r="G2" s="5" t="inlineStr">
        <is>
          <t>Apple Inc.</t>
        </is>
      </c>
      <c r="H2" s="6" t="n"/>
    </row>
    <row r="3" ht="16" customHeight="1" thickBot="1"/>
    <row r="4">
      <c r="B4" s="7" t="inlineStr">
        <is>
          <t>Last</t>
        </is>
      </c>
      <c r="C4" s="8" t="n">
        <v>131.56</v>
      </c>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v>182.01</v>
      </c>
      <c r="D6" s="20">
        <f>(C4-C6)/C6</f>
        <v/>
      </c>
      <c r="E6" s="21" t="inlineStr">
        <is>
          <t>Trailing P/E</t>
        </is>
      </c>
      <c r="F6" s="22" t="n">
        <v>22.26</v>
      </c>
      <c r="G6" s="21" t="inlineStr">
        <is>
          <t>Price to book</t>
        </is>
      </c>
      <c r="H6" s="23">
        <f>C4/F36</f>
        <v/>
      </c>
      <c r="L6" s="24" t="n"/>
      <c r="M6" s="25" t="n"/>
    </row>
    <row r="7">
      <c r="B7" s="18" t="inlineStr">
        <is>
          <t>52 week Low</t>
        </is>
      </c>
      <c r="C7" s="19" t="n">
        <v>126.11</v>
      </c>
      <c r="D7" s="20">
        <f>(C4-C7)/C7</f>
        <v/>
      </c>
      <c r="E7" s="21" t="inlineStr">
        <is>
          <t>Forward P/E</t>
        </is>
      </c>
      <c r="F7" s="2" t="n">
        <v>22.44</v>
      </c>
      <c r="G7" s="21" t="inlineStr">
        <is>
          <t>ROE</t>
        </is>
      </c>
      <c r="H7" s="26" t="n">
        <v>1.49271</v>
      </c>
      <c r="L7" s="27" t="n"/>
      <c r="M7" s="25" t="n"/>
      <c r="N7" s="91" t="n"/>
      <c r="Q7" s="7" t="inlineStr">
        <is>
          <t>Competitors</t>
        </is>
      </c>
      <c r="R7" s="10" t="n"/>
      <c r="S7" s="28" t="n"/>
    </row>
    <row r="8">
      <c r="B8" s="18" t="inlineStr">
        <is>
          <t>YTD Change/%</t>
        </is>
      </c>
      <c r="C8" s="29" t="n">
        <v>-0.2277</v>
      </c>
      <c r="D8" s="30" t="n"/>
      <c r="E8" s="21" t="inlineStr">
        <is>
          <t>PEG</t>
        </is>
      </c>
      <c r="F8" s="2" t="n">
        <v>1.79</v>
      </c>
      <c r="G8" s="21" t="inlineStr">
        <is>
          <t>Exchange</t>
        </is>
      </c>
      <c r="H8" s="14" t="inlineStr">
        <is>
          <t>NSDQ</t>
        </is>
      </c>
      <c r="Q8" s="31" t="n"/>
      <c r="S8" s="32" t="n"/>
    </row>
    <row r="9">
      <c r="B9" s="18" t="inlineStr">
        <is>
          <t>Mkt Cap</t>
        </is>
      </c>
      <c r="C9" s="3" t="n">
        <v>2129324</v>
      </c>
      <c r="D9" s="2" t="n"/>
      <c r="E9" s="21" t="inlineStr">
        <is>
          <t>Dividend 2022</t>
        </is>
      </c>
      <c r="F9" s="2" t="n">
        <v>0.88</v>
      </c>
      <c r="G9" s="21" t="inlineStr">
        <is>
          <t>Sector</t>
        </is>
      </c>
      <c r="H9" s="14" t="inlineStr">
        <is>
          <t>Technology</t>
        </is>
      </c>
      <c r="Q9" s="31" t="n"/>
      <c r="S9" s="32" t="n"/>
    </row>
    <row r="10">
      <c r="B10" s="18" t="inlineStr">
        <is>
          <t>EV</t>
        </is>
      </c>
      <c r="C10" s="33" t="n">
        <v>2197792</v>
      </c>
      <c r="D10" s="3">
        <f>C10-C9</f>
        <v/>
      </c>
      <c r="E10" s="21" t="inlineStr">
        <is>
          <t>Div. yield</t>
        </is>
      </c>
      <c r="F10" s="30">
        <f>IF(F9&lt;"-",F9/C4,"")</f>
        <v/>
      </c>
      <c r="G10" s="21" t="inlineStr">
        <is>
          <t>Industry</t>
        </is>
      </c>
      <c r="H10" s="14" t="inlineStr">
        <is>
          <t>Consumer Electronics</t>
        </is>
      </c>
      <c r="Q10" s="31" t="n"/>
      <c r="S10" s="32" t="n"/>
    </row>
    <row r="11" ht="16" customHeight="1" thickBot="1">
      <c r="B11" s="18" t="inlineStr">
        <is>
          <t>Days to Cover</t>
        </is>
      </c>
      <c r="C11" s="19" t="n"/>
      <c r="D11" s="2" t="n"/>
      <c r="E11" s="21" t="inlineStr">
        <is>
          <t>Beta</t>
        </is>
      </c>
      <c r="F11" s="19" t="n">
        <v>1.2</v>
      </c>
      <c r="G11" s="21" t="inlineStr">
        <is>
          <t>Website</t>
        </is>
      </c>
      <c r="H11" s="34" t="inlineStr">
        <is>
          <t>https://www.apple.com</t>
        </is>
      </c>
      <c r="Q11" s="35" t="n"/>
      <c r="R11" s="16" t="n"/>
      <c r="S11" s="36" t="n"/>
    </row>
    <row r="12" ht="15.75" customHeight="1" thickBot="1">
      <c r="B12" s="37" t="inlineStr">
        <is>
          <t>Target Price</t>
        </is>
      </c>
      <c r="C12" s="38" t="n">
        <v>187.43</v>
      </c>
      <c r="D12" s="39" t="n"/>
      <c r="E12" s="16" t="n"/>
      <c r="F12" s="16" t="n"/>
      <c r="G12" s="16" t="n"/>
      <c r="H12" s="17" t="n"/>
    </row>
    <row r="13" ht="16" customHeight="1" thickBot="1">
      <c r="D13" s="40" t="n"/>
      <c r="L13" s="27" t="n"/>
      <c r="M13" s="25" t="n"/>
    </row>
    <row r="14" ht="16" customHeight="1" thickBot="1">
      <c r="G14" s="41" t="inlineStr">
        <is>
          <t>Year End</t>
        </is>
      </c>
      <c r="H14" s="42" t="inlineStr">
        <is>
          <t>September</t>
        </is>
      </c>
    </row>
    <row r="15" ht="16" customHeight="1">
      <c r="B15" s="7" t="n"/>
      <c r="C15" s="43" t="n">
        <v>2019</v>
      </c>
      <c r="D15" s="43" t="n">
        <v>2020</v>
      </c>
      <c r="E15" s="43" t="n">
        <v>2021</v>
      </c>
      <c r="F15" s="43" t="n">
        <v>2022</v>
      </c>
      <c r="G15" s="43" t="n">
        <v>2023</v>
      </c>
      <c r="H15" s="44" t="n">
        <v>2024</v>
      </c>
      <c r="J15" s="45" t="n"/>
      <c r="K15" s="46" t="n"/>
      <c r="L15" s="46" t="n"/>
      <c r="M15" s="46" t="n"/>
      <c r="N15" s="46" t="n"/>
      <c r="O15" s="47" t="inlineStr">
        <is>
          <t>Avg.</t>
        </is>
      </c>
    </row>
    <row r="16">
      <c r="B16" s="18" t="inlineStr">
        <is>
          <t>Sales</t>
        </is>
      </c>
      <c r="C16" s="3" t="n">
        <v>259968</v>
      </c>
      <c r="D16" s="3" t="n">
        <v>274150</v>
      </c>
      <c r="E16" s="3" t="n">
        <v>365817</v>
      </c>
      <c r="F16" s="3" t="n">
        <v>393914</v>
      </c>
      <c r="G16" s="3" t="n">
        <v>415323</v>
      </c>
      <c r="H16" s="48" t="n">
        <v>431853</v>
      </c>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v>74542</v>
      </c>
      <c r="D18" s="3" t="n">
        <v>76395</v>
      </c>
      <c r="E18" s="3" t="n">
        <v>120233</v>
      </c>
      <c r="F18" s="3" t="n">
        <v>0</v>
      </c>
      <c r="G18" s="3" t="n">
        <v>0</v>
      </c>
      <c r="H18" s="48" t="n">
        <v>0</v>
      </c>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v>65737</v>
      </c>
      <c r="D20" s="3" t="n">
        <v>67091</v>
      </c>
      <c r="E20" s="3" t="n">
        <v>109207</v>
      </c>
      <c r="F20" s="3" t="n">
        <v>119189</v>
      </c>
      <c r="G20" s="3" t="n">
        <v>124010</v>
      </c>
      <c r="H20" s="48" t="n">
        <v>127381</v>
      </c>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v>55256</v>
      </c>
      <c r="D22" s="3" t="n">
        <v>57411</v>
      </c>
      <c r="E22" s="3" t="n">
        <v>94680</v>
      </c>
      <c r="F22" s="3" t="n">
        <v>99856</v>
      </c>
      <c r="G22" s="3" t="n">
        <v>103545</v>
      </c>
      <c r="H22" s="48" t="n">
        <v>106156</v>
      </c>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v>18.76</v>
      </c>
      <c r="D25" s="2" t="n">
        <v>35.12</v>
      </c>
      <c r="E25" s="22" t="n">
        <v>25.09</v>
      </c>
      <c r="F25" s="2" t="n">
        <v>21.2</v>
      </c>
      <c r="G25" s="2" t="n">
        <v>19.9</v>
      </c>
      <c r="H25" s="57" t="n">
        <v>18.9</v>
      </c>
      <c r="J25" s="18" t="inlineStr">
        <is>
          <t>Net margin</t>
        </is>
      </c>
      <c r="K25" s="20" t="n"/>
      <c r="L25" s="20" t="n"/>
      <c r="M25" s="20" t="n"/>
      <c r="N25" s="20" t="n"/>
      <c r="O25" s="54">
        <f>AVERAGE(K25:N25)</f>
        <v/>
      </c>
      <c r="AC25" s="103" t="n"/>
    </row>
    <row r="26" ht="15" customHeight="1">
      <c r="B26" s="18" t="inlineStr">
        <is>
          <t>EPS</t>
        </is>
      </c>
      <c r="C26" s="2" t="n">
        <v>2.97</v>
      </c>
      <c r="D26" s="2" t="n">
        <v>3.28</v>
      </c>
      <c r="E26" s="19" t="n">
        <v>5.61</v>
      </c>
      <c r="F26" s="2" t="n">
        <v>6.14</v>
      </c>
      <c r="G26" s="2" t="n">
        <v>6.53</v>
      </c>
      <c r="H26" s="57" t="n">
        <v>6.89</v>
      </c>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108047</v>
      </c>
      <c r="D32" s="64" t="n">
        <v>122278</v>
      </c>
      <c r="E32" s="64" t="n">
        <v>136522</v>
      </c>
      <c r="F32" s="64" t="n">
        <v>0</v>
      </c>
      <c r="G32" s="64" t="n">
        <v>0</v>
      </c>
      <c r="H32" s="65" t="n">
        <v>0</v>
      </c>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v>3.76</v>
      </c>
      <c r="D35" s="67" t="n">
        <v>4.65</v>
      </c>
      <c r="E35" s="67" t="n">
        <v>6.23</v>
      </c>
      <c r="F35" s="67" t="n">
        <v>7.14</v>
      </c>
      <c r="G35" s="67" t="n">
        <v>7.6</v>
      </c>
      <c r="H35" s="68" t="n">
        <v>8.58</v>
      </c>
      <c r="J35" s="18" t="n"/>
      <c r="K35" s="21" t="inlineStr">
        <is>
          <t>Earnings</t>
        </is>
      </c>
      <c r="L35" s="2" t="n"/>
      <c r="M35" s="2" t="n"/>
      <c r="N35" s="2" t="n"/>
      <c r="O35" s="66" t="n"/>
    </row>
    <row r="36" ht="16" customHeight="1" thickBot="1">
      <c r="B36" s="37" t="inlineStr">
        <is>
          <t>Book Value per share</t>
        </is>
      </c>
      <c r="C36" s="69" t="n">
        <v>4.9</v>
      </c>
      <c r="D36" s="69" t="n">
        <v>3.77</v>
      </c>
      <c r="E36" s="69" t="n">
        <v>3.78</v>
      </c>
      <c r="F36" s="69" t="n">
        <v>3.69</v>
      </c>
      <c r="G36" s="69" t="n">
        <v>4.1</v>
      </c>
      <c r="H36" s="70" t="n">
        <v>4.82</v>
      </c>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v>134520290</v>
      </c>
      <c r="F38" s="7" t="inlineStr">
        <is>
          <t>50 MAV</t>
        </is>
      </c>
      <c r="G38" s="72" t="n">
        <v>151.67</v>
      </c>
      <c r="H38" s="73">
        <f>(C4-G38)/G38</f>
        <v/>
      </c>
      <c r="J38" s="18" t="inlineStr">
        <is>
          <t>Q-4</t>
        </is>
      </c>
      <c r="K38" s="21" t="inlineStr">
        <is>
          <t>Sales</t>
        </is>
      </c>
      <c r="L38" s="3" t="n"/>
      <c r="M38" s="3" t="n"/>
      <c r="N38" s="3" t="n"/>
      <c r="O38" s="66" t="n"/>
    </row>
    <row r="39" ht="16" customHeight="1" thickBot="1">
      <c r="B39" s="18" t="inlineStr">
        <is>
          <t>Avg Vol 10 days</t>
        </is>
      </c>
      <c r="C39" s="48" t="inlineStr">
        <is>
          <t>89.5M</t>
        </is>
      </c>
      <c r="F39" s="37" t="inlineStr">
        <is>
          <t>200 MAV</t>
        </is>
      </c>
      <c r="G39" s="74" t="n">
        <v>158.93</v>
      </c>
      <c r="H39" s="75">
        <f>(C4-G39)/G39</f>
        <v/>
      </c>
      <c r="J39" s="37" t="n"/>
      <c r="K39" s="76" t="inlineStr">
        <is>
          <t>Earnings</t>
        </is>
      </c>
      <c r="L39" s="77" t="n"/>
      <c r="M39" s="77" t="n"/>
      <c r="N39" s="77" t="n"/>
      <c r="O39" s="78" t="n"/>
    </row>
    <row r="40" ht="16" customHeight="1" thickBot="1">
      <c r="B40" s="37" t="inlineStr">
        <is>
          <t>Avg Vol 3Months</t>
        </is>
      </c>
      <c r="C40" s="79" t="inlineStr">
        <is>
          <t>96.06M</t>
        </is>
      </c>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inlineStr">
        <is>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is>
      </c>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mergeCells count="1">
    <mergeCell ref="J44:O47"/>
  </mergeCells>
  <pageMargins left="0.7" right="0.7" top="0.75" bottom="0.75" header="0.3" footer="0.3"/>
</worksheet>
</file>

<file path=xl/worksheets/sheet4.xml><?xml version="1.0" encoding="utf-8"?>
<worksheet xmlns="http://schemas.openxmlformats.org/spreadsheetml/2006/main">
  <sheetPr codeName="Sheet3">
    <tabColor rgb="001072BA"/>
    <outlinePr summaryBelow="1" summaryRight="1"/>
    <pageSetUpPr/>
  </sheetPr>
  <dimension ref="B2:AE361"/>
  <sheetViews>
    <sheetView zoomScale="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41"/>
    <col width="9.1640625" customWidth="1" style="98" min="42" max="16384"/>
  </cols>
  <sheetData>
    <row r="1" ht="16" customHeight="1" thickBot="1"/>
    <row r="2" ht="16" customHeight="1" thickBot="1">
      <c r="B2" s="4" t="inlineStr">
        <is>
          <t>CRM</t>
        </is>
      </c>
      <c r="G2" s="5" t="inlineStr">
        <is>
          <t>Salesforce, Inc.</t>
        </is>
      </c>
      <c r="H2" s="6" t="n"/>
    </row>
    <row r="3" ht="16" customHeight="1" thickBot="1"/>
    <row r="4">
      <c r="B4" s="7" t="inlineStr">
        <is>
          <t>Last</t>
        </is>
      </c>
      <c r="C4" s="8" t="n">
        <v>163.26</v>
      </c>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v>309.96</v>
      </c>
      <c r="D6" s="20">
        <f>(C4-C6)/C6</f>
        <v/>
      </c>
      <c r="E6" s="21" t="inlineStr">
        <is>
          <t>Trailing P/E</t>
        </is>
      </c>
      <c r="F6" s="22" t="n">
        <v>39.05</v>
      </c>
      <c r="G6" s="21" t="inlineStr">
        <is>
          <t>Price to book</t>
        </is>
      </c>
      <c r="H6" s="23">
        <f>C4/F36</f>
        <v/>
      </c>
      <c r="L6" s="24" t="n"/>
      <c r="M6" s="25" t="n"/>
    </row>
    <row r="7">
      <c r="B7" s="18" t="inlineStr">
        <is>
          <t>52 week Low</t>
        </is>
      </c>
      <c r="C7" s="19" t="n">
        <v>155.6</v>
      </c>
      <c r="D7" s="20">
        <f>(C4-C7)/C7</f>
        <v/>
      </c>
      <c r="E7" s="21" t="inlineStr">
        <is>
          <t>Forward P/E</t>
        </is>
      </c>
      <c r="F7" s="2" t="n">
        <v>37.54</v>
      </c>
      <c r="G7" s="21" t="inlineStr">
        <is>
          <t>ROE</t>
        </is>
      </c>
      <c r="H7" s="26" t="n">
        <v>0.01977</v>
      </c>
      <c r="L7" s="27" t="n"/>
      <c r="M7" s="25" t="n"/>
      <c r="N7" s="91" t="n"/>
      <c r="Q7" s="7" t="inlineStr">
        <is>
          <t>Competitors</t>
        </is>
      </c>
      <c r="R7" s="10" t="n"/>
      <c r="S7" s="28" t="n"/>
    </row>
    <row r="8">
      <c r="B8" s="18" t="inlineStr">
        <is>
          <t>YTD Change/%</t>
        </is>
      </c>
      <c r="C8" s="29" t="n">
        <v>-0.2978</v>
      </c>
      <c r="D8" s="30" t="n"/>
      <c r="E8" s="21" t="inlineStr">
        <is>
          <t>PEG</t>
        </is>
      </c>
      <c r="F8" s="2" t="n">
        <v>2.24</v>
      </c>
      <c r="G8" s="21" t="inlineStr">
        <is>
          <t>Exchange</t>
        </is>
      </c>
      <c r="H8" s="14" t="inlineStr">
        <is>
          <t>NYSE</t>
        </is>
      </c>
      <c r="Q8" s="31" t="n"/>
      <c r="S8" s="32" t="n"/>
    </row>
    <row r="9">
      <c r="B9" s="18" t="inlineStr">
        <is>
          <t>Mkt Cap</t>
        </is>
      </c>
      <c r="C9" s="3" t="n">
        <v>162443</v>
      </c>
      <c r="D9" s="2" t="n"/>
      <c r="E9" s="21" t="inlineStr">
        <is>
          <t>Dividend 2022</t>
        </is>
      </c>
      <c r="F9" s="2" t="n">
        <v>0</v>
      </c>
      <c r="G9" s="21" t="inlineStr">
        <is>
          <t>Sector</t>
        </is>
      </c>
      <c r="H9" s="14" t="inlineStr">
        <is>
          <t>Technology</t>
        </is>
      </c>
      <c r="Q9" s="31" t="n"/>
      <c r="S9" s="32" t="n"/>
    </row>
    <row r="10">
      <c r="B10" s="18" t="inlineStr">
        <is>
          <t>EV</t>
        </is>
      </c>
      <c r="C10" s="33" t="n">
        <v>163315</v>
      </c>
      <c r="D10" s="3">
        <f>C10-C9</f>
        <v/>
      </c>
      <c r="E10" s="21" t="inlineStr">
        <is>
          <t>Div. yield</t>
        </is>
      </c>
      <c r="F10" s="30">
        <f>IF(F9&lt;"-",F9/C4,"")</f>
        <v/>
      </c>
      <c r="G10" s="21" t="inlineStr">
        <is>
          <t>Industry</t>
        </is>
      </c>
      <c r="H10" s="14" t="inlineStr">
        <is>
          <t>Software—Application</t>
        </is>
      </c>
      <c r="Q10" s="31" t="n"/>
      <c r="S10" s="32" t="n"/>
    </row>
    <row r="11" ht="16" customHeight="1" thickBot="1">
      <c r="B11" s="18" t="inlineStr">
        <is>
          <t>Days to Cover</t>
        </is>
      </c>
      <c r="C11" s="19" t="n"/>
      <c r="D11" s="2" t="n"/>
      <c r="E11" s="21" t="inlineStr">
        <is>
          <t>Beta</t>
        </is>
      </c>
      <c r="F11" s="19" t="n">
        <v>1.16</v>
      </c>
      <c r="G11" s="21" t="inlineStr">
        <is>
          <t>Website</t>
        </is>
      </c>
      <c r="H11" s="34" t="inlineStr">
        <is>
          <t>https://www.salesforce.com</t>
        </is>
      </c>
      <c r="Q11" s="35" t="n"/>
      <c r="R11" s="16" t="n"/>
      <c r="S11" s="36" t="n"/>
    </row>
    <row r="12" ht="15.75" customHeight="1" thickBot="1">
      <c r="B12" s="37" t="inlineStr">
        <is>
          <t>Target Price</t>
        </is>
      </c>
      <c r="C12" s="38" t="n">
        <v>247.25</v>
      </c>
      <c r="D12" s="39" t="n"/>
      <c r="E12" s="16" t="n"/>
      <c r="F12" s="16" t="n"/>
      <c r="G12" s="16" t="n"/>
      <c r="H12" s="17" t="n"/>
    </row>
    <row r="13" ht="16" customHeight="1" thickBot="1">
      <c r="D13" s="40" t="n"/>
      <c r="L13" s="27" t="n"/>
      <c r="M13" s="25" t="n"/>
    </row>
    <row r="14" ht="16" customHeight="1" thickBot="1">
      <c r="G14" s="41" t="inlineStr">
        <is>
          <t>Year End</t>
        </is>
      </c>
      <c r="H14" s="42" t="inlineStr">
        <is>
          <t>January</t>
        </is>
      </c>
    </row>
    <row r="15" ht="16" customHeight="1">
      <c r="B15" s="7" t="n"/>
      <c r="C15" s="43" t="n">
        <v>2019</v>
      </c>
      <c r="D15" s="43" t="n">
        <v>2020</v>
      </c>
      <c r="E15" s="43" t="n">
        <v>2021</v>
      </c>
      <c r="F15" s="43" t="n">
        <v>2022</v>
      </c>
      <c r="G15" s="43" t="n">
        <v>2023</v>
      </c>
      <c r="H15" s="44" t="n">
        <v>2024</v>
      </c>
      <c r="J15" s="45" t="n"/>
      <c r="K15" s="46" t="n"/>
      <c r="L15" s="46" t="n"/>
      <c r="M15" s="46" t="n"/>
      <c r="N15" s="46" t="n"/>
      <c r="O15" s="47" t="inlineStr">
        <is>
          <t>Avg.</t>
        </is>
      </c>
    </row>
    <row r="16">
      <c r="B16" s="18" t="inlineStr">
        <is>
          <t>Sales</t>
        </is>
      </c>
      <c r="C16" s="3" t="n">
        <v>13282</v>
      </c>
      <c r="D16" s="3" t="n">
        <v>17098</v>
      </c>
      <c r="E16" s="3" t="n">
        <v>21252</v>
      </c>
      <c r="F16" s="3" t="n">
        <v>26492</v>
      </c>
      <c r="G16" s="3" t="n">
        <v>0</v>
      </c>
      <c r="H16" s="48" t="n">
        <v>0</v>
      </c>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v>2261</v>
      </c>
      <c r="D18" s="3" t="n">
        <v>3514</v>
      </c>
      <c r="E18" s="3" t="n">
        <v>4359</v>
      </c>
      <c r="F18" s="3" t="n">
        <v>5194</v>
      </c>
      <c r="G18" s="3" t="n">
        <v>0</v>
      </c>
      <c r="H18" s="48" t="n">
        <v>0</v>
      </c>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v>983</v>
      </c>
      <c r="D20" s="3" t="n">
        <v>706</v>
      </c>
      <c r="E20" s="3" t="n">
        <v>2561</v>
      </c>
      <c r="F20" s="3" t="n">
        <v>1532</v>
      </c>
      <c r="G20" s="3" t="n">
        <v>0</v>
      </c>
      <c r="H20" s="48" t="n">
        <v>0</v>
      </c>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v>1110</v>
      </c>
      <c r="D22" s="3" t="n">
        <v>126</v>
      </c>
      <c r="E22" s="3" t="n">
        <v>4072</v>
      </c>
      <c r="F22" s="3" t="n">
        <v>1444</v>
      </c>
      <c r="G22" s="3" t="n">
        <v>0</v>
      </c>
      <c r="H22" s="48" t="n">
        <v>0</v>
      </c>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v>102.68</v>
      </c>
      <c r="D25" s="2" t="n">
        <v>792.65</v>
      </c>
      <c r="E25" s="22" t="n">
        <v>50.88</v>
      </c>
      <c r="F25" s="2" t="n">
        <v>155.09</v>
      </c>
      <c r="G25" s="2" t="n">
        <v>0</v>
      </c>
      <c r="H25" s="57" t="n">
        <v>0</v>
      </c>
      <c r="J25" s="18" t="inlineStr">
        <is>
          <t>Net margin</t>
        </is>
      </c>
      <c r="K25" s="20" t="n"/>
      <c r="L25" s="20" t="n"/>
      <c r="M25" s="20" t="n"/>
      <c r="N25" s="20" t="n"/>
      <c r="O25" s="54">
        <f>AVERAGE(K25:N25)</f>
        <v/>
      </c>
      <c r="AC25" s="103" t="n"/>
    </row>
    <row r="26" ht="15" customHeight="1">
      <c r="B26" s="18" t="inlineStr">
        <is>
          <t>EPS</t>
        </is>
      </c>
      <c r="C26" s="2" t="n">
        <v>1.43</v>
      </c>
      <c r="D26" s="2" t="n">
        <v>0.15</v>
      </c>
      <c r="E26" s="19" t="n">
        <v>4.38</v>
      </c>
      <c r="F26" s="2" t="n">
        <v>1.48</v>
      </c>
      <c r="G26" s="2" t="n">
        <v>0</v>
      </c>
      <c r="H26" s="57" t="n">
        <v>0</v>
      </c>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3376</v>
      </c>
      <c r="D32" s="64" t="n">
        <v>6253</v>
      </c>
      <c r="E32" s="64" t="n">
        <v>6409</v>
      </c>
      <c r="F32" s="64" t="n">
        <v>14366</v>
      </c>
      <c r="G32" s="64" t="n">
        <v>0</v>
      </c>
      <c r="H32" s="65" t="n">
        <v>0</v>
      </c>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v>4.52</v>
      </c>
      <c r="D35" s="67" t="n">
        <v>6.1</v>
      </c>
      <c r="E35" s="67" t="n">
        <v>6.2</v>
      </c>
      <c r="F35" s="67" t="n">
        <v>7.12</v>
      </c>
      <c r="G35" s="67" t="n">
        <v>0</v>
      </c>
      <c r="H35" s="68" t="n">
        <v>0</v>
      </c>
      <c r="J35" s="18" t="n"/>
      <c r="K35" s="21" t="inlineStr">
        <is>
          <t>Earnings</t>
        </is>
      </c>
      <c r="L35" s="2" t="n"/>
      <c r="M35" s="2" t="n"/>
      <c r="N35" s="2" t="n"/>
      <c r="O35" s="66" t="n"/>
    </row>
    <row r="36" ht="16" customHeight="1" thickBot="1">
      <c r="B36" s="37" t="inlineStr">
        <is>
          <t>Book Value per share</t>
        </is>
      </c>
      <c r="C36" s="69" t="n">
        <v>20.78</v>
      </c>
      <c r="D36" s="69" t="n">
        <v>40.87</v>
      </c>
      <c r="E36" s="69" t="n">
        <v>45.7</v>
      </c>
      <c r="F36" s="69" t="n">
        <v>60.87</v>
      </c>
      <c r="G36" s="69" t="n">
        <v>0</v>
      </c>
      <c r="H36" s="70" t="n">
        <v>0</v>
      </c>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v>13074626</v>
      </c>
      <c r="F38" s="7" t="inlineStr">
        <is>
          <t>50 MAV</t>
        </is>
      </c>
      <c r="G38" s="72" t="n">
        <v>174.62</v>
      </c>
      <c r="H38" s="73">
        <f>(C4-G38)/G38</f>
        <v/>
      </c>
      <c r="J38" s="18" t="inlineStr">
        <is>
          <t>Q-4</t>
        </is>
      </c>
      <c r="K38" s="21" t="inlineStr">
        <is>
          <t>Sales</t>
        </is>
      </c>
      <c r="L38" s="3" t="n"/>
      <c r="M38" s="3" t="n"/>
      <c r="N38" s="3" t="n"/>
      <c r="O38" s="66" t="n"/>
    </row>
    <row r="39" ht="16" customHeight="1" thickBot="1">
      <c r="B39" s="18" t="inlineStr">
        <is>
          <t>Avg Vol 10 days</t>
        </is>
      </c>
      <c r="C39" s="48" t="inlineStr">
        <is>
          <t>8.28M</t>
        </is>
      </c>
      <c r="F39" s="37" t="inlineStr">
        <is>
          <t>200 MAV</t>
        </is>
      </c>
      <c r="G39" s="74" t="n">
        <v>230.97</v>
      </c>
      <c r="H39" s="75">
        <f>(C4-G39)/G39</f>
        <v/>
      </c>
      <c r="J39" s="37" t="n"/>
      <c r="K39" s="76" t="inlineStr">
        <is>
          <t>Earnings</t>
        </is>
      </c>
      <c r="L39" s="77" t="n"/>
      <c r="M39" s="77" t="n"/>
      <c r="N39" s="77" t="n"/>
      <c r="O39" s="78" t="n"/>
    </row>
    <row r="40" ht="16" customHeight="1" thickBot="1">
      <c r="B40" s="37" t="inlineStr">
        <is>
          <t>Avg Vol 3Months</t>
        </is>
      </c>
      <c r="C40" s="79" t="inlineStr">
        <is>
          <t>8.05M</t>
        </is>
      </c>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inlineStr">
        <is>
          <t>Salesforce, Inc. provides customer relationship management technology that brings companies and customers together worldwide. Its Customer 360 platform empowers its customers to work together to deliver connected experiences for their customers. The company's service offerings include Sales to store data, monitor leads and progress, forecast opportunities, gain insights through analytics and relationship intelligence, and deliver quotes, contracts, and invoices; and Service that enables companies to deliver trusted and highly personalized customer service and support at scale. Its service offerings also comprise flexible platform that enables companies of various sizes, locations, and industries to build business apps to bring them closer to their customers with drag-and-drop tools; online learning platform that allows anyone to learn in-demand Salesforce skills; and Slack, a system of engagement. In addition, the company's service offerings include Marketing offering that enables companies to plan, personalize, and optimize one-to-one customer marketing journeys; and Commerce offering, which empowers brands to unify the customer experience across mobile, web, social, and store commerce points. Further, its service offerings comprise Tableau, an end-to-end analytics solution serving various enterprise use cases; and MuleSoft, an integration offering that allows its customers to unlock data across their enterprise. The company provides its service offering for customers in financial services, healthcare and life sciences, manufacturing, and other industries. It also offers professional services; and in-person and online courses to certify its customers and partners on architecting, administering, deploying, and developing its service offerings. The company provides its services through direct sales; and consulting firms, systems integrators, and other partners. Salesforce, Inc. was incorporated in 1999 and is headquartered in San Francisco, California.</t>
        </is>
      </c>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mergeCells count="1">
    <mergeCell ref="J44:O47"/>
  </mergeCell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2018-07-12T06:25:51Z</dcterms:created>
  <dcterms:modified xmlns:dcterms="http://purl.org/dc/terms/" xmlns:xsi="http://www.w3.org/2001/XMLSchema-instance" xsi:type="dcterms:W3CDTF">2022-06-19T17:27:28Z</dcterms:modified>
  <cp:lastModifiedBy>Mark Mukherjee</cp:lastModifiedBy>
</cp:coreProperties>
</file>