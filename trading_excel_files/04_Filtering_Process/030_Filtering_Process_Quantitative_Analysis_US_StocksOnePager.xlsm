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180" yWindow="500" windowWidth="50900" windowHeight="26000" tabRatio="600" firstSheet="0" activeTab="6"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QDEL" sheetId="3" state="visible" r:id="rId3"/>
    <sheet xmlns:r="http://schemas.openxmlformats.org/officeDocument/2006/relationships" name="CRUS" sheetId="4" state="visible" r:id="rId4"/>
    <sheet xmlns:r="http://schemas.openxmlformats.org/officeDocument/2006/relationships" name="LNTH" sheetId="5" state="visible" r:id="rId5"/>
    <sheet xmlns:r="http://schemas.openxmlformats.org/officeDocument/2006/relationships" name="PGNY" sheetId="6" state="visible" r:id="rId6"/>
    <sheet xmlns:r="http://schemas.openxmlformats.org/officeDocument/2006/relationships" name="ASAI" sheetId="7" state="visible" r:id="rId7"/>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27">
    <xf numFmtId="0" fontId="0" fillId="0" borderId="0" pivotButton="0" quotePrefix="0" xfId="0"/>
    <xf numFmtId="0" fontId="0" fillId="0" borderId="0" applyAlignment="1" pivotButton="0" quotePrefix="0" xfId="0">
      <alignment vertic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10" fontId="0" fillId="2" borderId="0" applyAlignment="1" pivotButton="0" quotePrefix="0" xfId="0">
      <alignment horizontal="center" wrapText="1"/>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4" fontId="0" fillId="2" borderId="5" applyAlignment="1" pivotButton="0" quotePrefix="0" xfId="0">
      <alignment horizontal="center"/>
    </xf>
    <xf numFmtId="165" fontId="1" fillId="2" borderId="0" applyAlignment="1" pivotButton="0" quotePrefix="0" xfId="0">
      <alignment horizontal="center"/>
    </xf>
    <xf numFmtId="165" fontId="1"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0" applyAlignment="1" pivotButton="0" quotePrefix="0" xfId="0">
      <alignment wrapText="1"/>
    </xf>
    <xf numFmtId="164" fontId="0" fillId="2" borderId="7" applyAlignment="1" pivotButton="0" quotePrefix="0" xfId="0">
      <alignment horizontal="center"/>
    </xf>
    <xf numFmtId="164"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5" fontId="0" fillId="2" borderId="3" applyAlignment="1" pivotButton="0" quotePrefix="0" xfId="2">
      <alignment horizontal="center"/>
    </xf>
    <xf numFmtId="4" fontId="0" fillId="2" borderId="7" applyAlignment="1" pivotButton="0" quotePrefix="0" xfId="0">
      <alignment horizontal="center"/>
    </xf>
    <xf numFmtId="165"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2" applyAlignment="1" pivotButton="0" quotePrefix="0" xfId="0">
      <alignment vertical="top" wrapText="1"/>
    </xf>
    <xf numFmtId="10" fontId="0" fillId="2" borderId="3" applyAlignment="1" pivotButton="0" quotePrefix="0" xfId="0">
      <alignment vertical="top" wrapText="1"/>
    </xf>
    <xf numFmtId="10" fontId="0" fillId="2" borderId="5" applyAlignment="1" pivotButton="0" quotePrefix="0" xfId="0">
      <alignment vertical="top" wrapText="1"/>
    </xf>
    <xf numFmtId="0" fontId="1" fillId="5" borderId="0" pivotButton="0" quotePrefix="0" xfId="0"/>
    <xf numFmtId="40" fontId="0" fillId="2" borderId="0" applyAlignment="1" pivotButton="0" quotePrefix="0" xfId="0">
      <alignment horizontal="center"/>
    </xf>
    <xf numFmtId="0" fontId="0" fillId="2" borderId="0" applyAlignment="1" pivotButton="0" quotePrefix="0" xfId="0">
      <alignment horizontal="center"/>
    </xf>
    <xf numFmtId="40" fontId="0" fillId="2" borderId="7" applyAlignment="1" pivotButton="0" quotePrefix="0" xfId="0">
      <alignment horizontal="center"/>
    </xf>
    <xf numFmtId="10" fontId="0" fillId="2" borderId="8" applyAlignment="1" pivotButton="0" quotePrefix="0" xfId="0">
      <alignment horizontal="center" wrapText="1"/>
    </xf>
    <xf numFmtId="166" fontId="0" fillId="2" borderId="2" applyAlignment="1" pivotButton="0" quotePrefix="0" xfId="0">
      <alignment vertical="top"/>
    </xf>
    <xf numFmtId="166" fontId="0" fillId="2" borderId="0" applyAlignment="1" pivotButton="0" quotePrefix="0" xfId="0">
      <alignment vertical="top" wrapText="1"/>
    </xf>
    <xf numFmtId="166" fontId="0" fillId="2" borderId="0" applyAlignment="1" pivotButton="0" quotePrefix="0" xfId="0">
      <alignment vertical="top"/>
    </xf>
    <xf numFmtId="166" fontId="0" fillId="2" borderId="7" applyAlignment="1" pivotButton="0" quotePrefix="0" xfId="0">
      <alignment vertical="top" wrapText="1"/>
    </xf>
    <xf numFmtId="166" fontId="0" fillId="2" borderId="7" applyAlignment="1" pivotButton="0" quotePrefix="0" xfId="0">
      <alignment vertical="top"/>
    </xf>
    <xf numFmtId="0" fontId="0" fillId="2" borderId="0" applyAlignment="1" pivotButton="0" quotePrefix="0" xfId="0">
      <alignment wrapText="1"/>
    </xf>
    <xf numFmtId="3" fontId="0" fillId="2" borderId="0" applyAlignment="1" pivotButton="0" quotePrefix="0" xfId="0">
      <alignment horizontal="center"/>
    </xf>
    <xf numFmtId="164" fontId="0" fillId="2" borderId="0" applyAlignment="1" pivotButton="0" quotePrefix="0" xfId="0">
      <alignment horizontal="center"/>
    </xf>
    <xf numFmtId="2" fontId="0" fillId="2" borderId="0" applyAlignment="1" pivotButton="0" quotePrefix="0" xfId="0">
      <alignment horizontal="center"/>
    </xf>
    <xf numFmtId="165" fontId="0" fillId="2" borderId="0" applyAlignment="1" pivotButton="0" quotePrefix="0" xfId="0">
      <alignment horizontal="center"/>
    </xf>
    <xf numFmtId="10" fontId="0" fillId="2" borderId="0" applyAlignment="1" pivotButton="0" quotePrefix="0" xfId="0">
      <alignment horizontal="center"/>
    </xf>
    <xf numFmtId="3" fontId="0" fillId="2" borderId="8" applyAlignment="1" pivotButton="0" quotePrefix="0" xfId="0">
      <alignment horizontal="center"/>
    </xf>
    <xf numFmtId="0" fontId="0" fillId="2" borderId="0" pivotButton="0" quotePrefix="0" xfId="0"/>
    <xf numFmtId="14" fontId="1" fillId="5" borderId="4" applyAlignment="1" pivotButton="0" quotePrefix="0" xfId="0">
      <alignment horizontal="center"/>
    </xf>
    <xf numFmtId="0" fontId="0" fillId="2" borderId="0" applyAlignment="1" pivotButton="0" quotePrefix="0" xfId="0">
      <alignment vertical="top" wrapText="1"/>
    </xf>
    <xf numFmtId="0" fontId="5" fillId="2" borderId="5" pivotButton="0" quotePrefix="0" xfId="0"/>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xf numFmtId="165" fontId="0" fillId="2" borderId="0" applyAlignment="1" pivotButton="0" quotePrefix="0" xfId="0">
      <alignment horizontal="center"/>
    </xf>
    <xf numFmtId="165" fontId="1" fillId="2" borderId="0" applyAlignment="1" pivotButton="0" quotePrefix="0" xfId="0">
      <alignment horizontal="center"/>
    </xf>
    <xf numFmtId="165" fontId="1" fillId="2" borderId="5" applyAlignment="1" pivotButton="0" quotePrefix="0" xfId="0">
      <alignment horizontal="center"/>
    </xf>
    <xf numFmtId="164" fontId="0" fillId="2" borderId="0" applyAlignment="1" pivotButton="0" quotePrefix="0" xfId="0">
      <alignment horizontal="center"/>
    </xf>
    <xf numFmtId="164" fontId="0" fillId="2" borderId="5" applyAlignment="1" pivotButton="0" quotePrefix="0" xfId="0">
      <alignment horizontal="center"/>
    </xf>
    <xf numFmtId="164" fontId="0" fillId="2" borderId="7" applyAlignment="1" pivotButton="0" quotePrefix="0" xfId="0">
      <alignment horizontal="center"/>
    </xf>
    <xf numFmtId="164" fontId="0" fillId="2" borderId="8" applyAlignment="1" pivotButton="0" quotePrefix="0" xfId="0">
      <alignment horizontal="center"/>
    </xf>
    <xf numFmtId="165" fontId="0" fillId="2" borderId="3" applyAlignment="1" pivotButton="0" quotePrefix="0" xfId="2">
      <alignment horizontal="center"/>
    </xf>
    <xf numFmtId="165" fontId="0" fillId="2" borderId="8" applyAlignment="1" pivotButton="0" quotePrefix="0" xfId="2">
      <alignment horizontal="center"/>
    </xf>
  </cellXfs>
  <cellStyles count="3">
    <cellStyle name="Normal" xfId="0" builtinId="0"/>
    <cellStyle name="Hyperlink" xfId="1" builtinId="8"/>
    <cellStyle name="Per cent" xfId="2" builtinId="5"/>
  </cellStyles>
  <dxfs count="2">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5" min="1" max="1"/>
    <col width="12.83203125" customWidth="1" style="105" min="2" max="10"/>
    <col width="9.1640625" customWidth="1" style="105" min="11" max="46"/>
    <col width="9.1640625" customWidth="1" style="105" min="47" max="16384"/>
  </cols>
  <sheetData>
    <row r="1">
      <c r="B1" s="104" t="n"/>
    </row>
    <row r="2" ht="16" customHeight="1" thickBot="1">
      <c r="B2" s="106" t="n"/>
      <c r="C2" s="106" t="n"/>
      <c r="D2" s="106" t="n"/>
      <c r="E2" s="106" t="n"/>
      <c r="F2" s="106" t="n"/>
      <c r="G2" s="106" t="n"/>
      <c r="H2" s="106" t="n"/>
      <c r="I2" s="106" t="n"/>
      <c r="J2" s="106" t="n"/>
    </row>
    <row r="3" ht="16" customHeight="1" thickBot="1">
      <c r="B3" s="107" t="inlineStr">
        <is>
          <t>The Quantitative Analysis</t>
        </is>
      </c>
      <c r="C3" s="108" t="n"/>
      <c r="D3" s="108" t="n"/>
      <c r="E3" s="108" t="n"/>
      <c r="F3" s="108" t="n"/>
      <c r="G3" s="108" t="n"/>
      <c r="H3" s="108" t="n"/>
      <c r="I3" s="108" t="n"/>
      <c r="J3" s="109" t="n"/>
    </row>
    <row r="6">
      <c r="B6" s="101" t="inlineStr">
        <is>
          <t>DATA</t>
        </is>
      </c>
      <c r="C6" s="102" t="n"/>
      <c r="D6" s="102" t="n"/>
      <c r="E6" s="102" t="n"/>
      <c r="F6" s="103" t="n"/>
      <c r="G6" s="101" t="inlineStr">
        <is>
          <t>WEBSITES</t>
        </is>
      </c>
      <c r="H6" s="102" t="n"/>
      <c r="I6" s="102" t="n"/>
      <c r="J6" s="103" t="n"/>
    </row>
    <row r="8" ht="64.5" customHeight="1">
      <c r="B8" s="110" t="inlineStr">
        <is>
          <t>Spend 5-20 hours building your own quantitative analysis infrastructure. Either through quick copy and paste but I strongly recommend to do some macro to automatically get the data from different websites.</t>
        </is>
      </c>
      <c r="G8" s="68" t="inlineStr">
        <is>
          <t>https://finance.yahoo.com/</t>
        </is>
      </c>
    </row>
    <row r="9">
      <c r="G9" s="68" t="inlineStr">
        <is>
          <t>https://www.reuters.com</t>
        </is>
      </c>
    </row>
    <row r="10">
      <c r="G10" s="68" t="inlineStr">
        <is>
          <t>https://www.marketwatch.com/</t>
        </is>
      </c>
    </row>
    <row r="11">
      <c r="G11" s="68" t="inlineStr">
        <is>
          <t>https://finviz.com/</t>
        </is>
      </c>
    </row>
    <row r="12">
      <c r="G12" s="68" t="inlineStr">
        <is>
          <t>https://www.marketscreener.com/</t>
        </is>
      </c>
    </row>
    <row r="13">
      <c r="G13" s="68" t="inlineStr">
        <is>
          <t>https://stockrow.com/</t>
        </is>
      </c>
    </row>
    <row r="15">
      <c r="B15" s="69" t="n"/>
    </row>
    <row r="16" ht="30" customHeight="1">
      <c r="B16" s="110"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1:AE361"/>
  <sheetViews>
    <sheetView tabSelected="1" zoomScale="160" zoomScaleNormal="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n"/>
      <c r="G2" s="3" t="n"/>
      <c r="H2" s="4" t="n"/>
      <c r="J2" s="98" t="n"/>
      <c r="N2" s="12" t="n"/>
    </row>
    <row r="3" ht="16" customHeight="1" thickBot="1">
      <c r="J3" s="98" t="n"/>
      <c r="N3" s="12" t="n"/>
    </row>
    <row r="4">
      <c r="B4" s="5" t="inlineStr">
        <is>
          <t>Last</t>
        </is>
      </c>
      <c r="C4" s="6" t="n"/>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c r="D6" s="118">
        <f>(C4-C6)/C6</f>
        <v/>
      </c>
      <c r="E6" s="80" t="inlineStr">
        <is>
          <t>Trailing P/E</t>
        </is>
      </c>
      <c r="F6" s="17">
        <f>E25</f>
        <v/>
      </c>
      <c r="G6" s="80" t="inlineStr">
        <is>
          <t>Price to book</t>
        </is>
      </c>
      <c r="H6" s="18">
        <f>C4/F36</f>
        <v/>
      </c>
      <c r="L6" s="19" t="n"/>
      <c r="M6" s="20" t="n"/>
    </row>
    <row r="7">
      <c r="B7" s="16" t="inlineStr">
        <is>
          <t>52 week Low</t>
        </is>
      </c>
      <c r="C7" s="93" t="n"/>
      <c r="D7" s="118">
        <f>(C4-C7)/C7</f>
        <v/>
      </c>
      <c r="E7" s="80" t="inlineStr">
        <is>
          <t>Forward P/E</t>
        </is>
      </c>
      <c r="F7" s="82">
        <f>F25</f>
        <v/>
      </c>
      <c r="G7" s="80" t="inlineStr">
        <is>
          <t>ROE</t>
        </is>
      </c>
      <c r="H7" s="21" t="n"/>
      <c r="J7" s="5" t="inlineStr">
        <is>
          <t>Competitors</t>
        </is>
      </c>
      <c r="K7" s="77" t="n"/>
      <c r="L7" s="78" t="n"/>
      <c r="M7" s="20" t="n"/>
      <c r="N7" s="69" t="n"/>
    </row>
    <row r="8">
      <c r="B8" s="16" t="inlineStr">
        <is>
          <t>YTD Change/%</t>
        </is>
      </c>
      <c r="C8" s="22" t="n"/>
      <c r="D8" s="95" t="n"/>
      <c r="E8" s="80" t="inlineStr">
        <is>
          <t>PEG</t>
        </is>
      </c>
      <c r="F8" s="82" t="n"/>
      <c r="G8" s="80" t="inlineStr">
        <is>
          <t>Exchange</t>
        </is>
      </c>
      <c r="H8" s="12" t="n"/>
      <c r="J8" s="23" t="n"/>
      <c r="K8" s="99" t="n"/>
      <c r="L8" s="79" t="n"/>
    </row>
    <row r="9">
      <c r="B9" s="16" t="inlineStr">
        <is>
          <t>Mkt Cap</t>
        </is>
      </c>
      <c r="C9" s="91" t="n"/>
      <c r="D9" s="82" t="n"/>
      <c r="E9" s="80" t="inlineStr">
        <is>
          <t>Dividend YYYY</t>
        </is>
      </c>
      <c r="F9" s="82" t="n"/>
      <c r="G9" s="80" t="inlineStr">
        <is>
          <t>Sector</t>
        </is>
      </c>
      <c r="H9" s="12" t="n"/>
      <c r="J9" s="23" t="n"/>
      <c r="K9" s="99" t="n"/>
      <c r="L9" s="79" t="n"/>
    </row>
    <row r="10">
      <c r="B10" s="16" t="inlineStr">
        <is>
          <t>EV</t>
        </is>
      </c>
      <c r="C10" s="24" t="n"/>
      <c r="D10" s="91">
        <f>C10-C9</f>
        <v/>
      </c>
      <c r="E10" s="80" t="inlineStr">
        <is>
          <t>Div. yield</t>
        </is>
      </c>
      <c r="F10" s="95">
        <f>IF(F9&lt;"-",F9/C4,"")</f>
        <v/>
      </c>
      <c r="G10" s="80" t="inlineStr">
        <is>
          <t>Industry</t>
        </is>
      </c>
      <c r="H10" s="12" t="n"/>
      <c r="J10" s="23" t="n"/>
      <c r="K10" s="99" t="n"/>
      <c r="L10" s="79" t="n"/>
    </row>
    <row r="11" ht="16" customHeight="1">
      <c r="B11" s="16" t="inlineStr">
        <is>
          <t>Days to Cover</t>
        </is>
      </c>
      <c r="C11" s="93" t="n"/>
      <c r="D11" s="82" t="n"/>
      <c r="E11" s="80" t="inlineStr">
        <is>
          <t>Beta</t>
        </is>
      </c>
      <c r="F11" s="93" t="n"/>
      <c r="G11" s="80" t="inlineStr">
        <is>
          <t>Website</t>
        </is>
      </c>
      <c r="H11" s="25" t="n"/>
      <c r="J11" s="23" t="n"/>
      <c r="K11" s="99" t="n"/>
      <c r="L11" s="79" t="n"/>
    </row>
    <row r="12" ht="15.75" customHeight="1" thickBot="1">
      <c r="B12" s="27" t="inlineStr">
        <is>
          <t>Target Price</t>
        </is>
      </c>
      <c r="C12" s="28" t="n"/>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n"/>
      <c r="J14" s="26" t="n"/>
      <c r="K14" s="14" t="n"/>
      <c r="L14" s="15" t="n"/>
    </row>
    <row r="15" ht="16" customHeight="1" thickBot="1">
      <c r="B15" s="5" t="n"/>
      <c r="C15" s="33" t="n"/>
      <c r="D15" s="33" t="n"/>
      <c r="E15" s="33" t="n"/>
      <c r="F15" s="33" t="n"/>
      <c r="G15" s="33" t="n"/>
      <c r="H15" s="34" t="n"/>
    </row>
    <row r="16">
      <c r="B16" s="16" t="inlineStr">
        <is>
          <t>Sales</t>
        </is>
      </c>
      <c r="C16" s="91" t="n"/>
      <c r="D16" s="91" t="n"/>
      <c r="E16" s="91" t="n"/>
      <c r="F16" s="91" t="n"/>
      <c r="G16" s="91" t="n"/>
      <c r="H16" s="38" t="n"/>
      <c r="J16" s="35" t="n"/>
      <c r="K16" s="36" t="n"/>
      <c r="L16" s="36" t="n"/>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c r="L17" s="91" t="n"/>
      <c r="M17" s="91" t="n"/>
      <c r="N17" s="91" t="n"/>
      <c r="O17" s="91" t="n"/>
      <c r="P17" s="91" t="n"/>
      <c r="Q17" s="91" t="n"/>
      <c r="R17" s="91" t="n"/>
      <c r="S17" s="38">
        <f>AVERAGE(K17:R17)</f>
        <v/>
      </c>
      <c r="AB17" s="110" t="n"/>
    </row>
    <row r="18" ht="15" customHeight="1">
      <c r="B18" s="16" t="inlineStr">
        <is>
          <t>EBITDA</t>
        </is>
      </c>
      <c r="C18" s="91" t="n"/>
      <c r="D18" s="91" t="n"/>
      <c r="E18" s="91" t="n"/>
      <c r="F18" s="91" t="n"/>
      <c r="G18" s="91" t="n"/>
      <c r="H18" s="38" t="n"/>
      <c r="J18" s="16" t="inlineStr">
        <is>
          <t>EV</t>
        </is>
      </c>
      <c r="K18" s="91" t="n"/>
      <c r="L18" s="91" t="n"/>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c r="L19" s="121" t="n"/>
      <c r="M19" s="121" t="n"/>
      <c r="N19" s="121" t="n"/>
      <c r="O19" s="121" t="n"/>
      <c r="P19" s="121" t="n"/>
      <c r="Q19" s="121" t="n"/>
      <c r="R19" s="121" t="n"/>
      <c r="S19" s="38">
        <f>AVERAGE(K19:R19)</f>
        <v/>
      </c>
      <c r="AC19" s="110" t="n"/>
    </row>
    <row r="20" ht="15" customHeight="1">
      <c r="B20" s="16" t="inlineStr">
        <is>
          <t>Operating Profit (EBIT)</t>
        </is>
      </c>
      <c r="C20" s="91" t="n"/>
      <c r="D20" s="91" t="n"/>
      <c r="E20" s="91" t="n"/>
      <c r="F20" s="91" t="n"/>
      <c r="G20" s="91" t="n"/>
      <c r="H20" s="38" t="n"/>
      <c r="J20" s="16" t="inlineStr">
        <is>
          <t>EV/EBITDA</t>
        </is>
      </c>
      <c r="K20" s="121" t="n"/>
      <c r="L20" s="121" t="n"/>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c r="L21" s="121" t="n"/>
      <c r="M21" s="121" t="n"/>
      <c r="N21" s="121" t="n"/>
      <c r="O21" s="121" t="n"/>
      <c r="P21" s="121" t="n"/>
      <c r="Q21" s="121" t="n"/>
      <c r="R21" s="121" t="n"/>
      <c r="S21" s="38">
        <f>AVERAGE(K21:R21)</f>
        <v/>
      </c>
      <c r="AC21" s="110" t="n"/>
    </row>
    <row r="22" ht="15" customHeight="1">
      <c r="B22" s="16" t="inlineStr">
        <is>
          <t>Net income</t>
        </is>
      </c>
      <c r="C22" s="91" t="n"/>
      <c r="D22" s="91" t="n"/>
      <c r="E22" s="91" t="n"/>
      <c r="F22" s="91" t="n"/>
      <c r="G22" s="91" t="n"/>
      <c r="H22" s="38" t="n"/>
      <c r="J22" s="16" t="inlineStr">
        <is>
          <t>EV/Revenues</t>
        </is>
      </c>
      <c r="K22" s="121" t="n"/>
      <c r="L22" s="121" t="n"/>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c r="L23" s="93" t="n"/>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c r="L24" s="118" t="n"/>
      <c r="M24" s="118" t="n"/>
      <c r="N24" s="118" t="n"/>
      <c r="O24" s="118" t="n"/>
      <c r="P24" s="118" t="n"/>
      <c r="Q24" s="118" t="n"/>
      <c r="R24" s="118" t="n"/>
      <c r="S24" s="38">
        <f>AVERAGE(K24:R24)</f>
        <v/>
      </c>
    </row>
    <row r="25" ht="15" customHeight="1">
      <c r="B25" s="16" t="inlineStr">
        <is>
          <t>P/E ratio</t>
        </is>
      </c>
      <c r="C25" s="82" t="n"/>
      <c r="D25" s="82" t="n"/>
      <c r="E25" s="17" t="n"/>
      <c r="F25" s="82" t="n"/>
      <c r="G25" s="82" t="n"/>
      <c r="H25" s="45" t="n"/>
      <c r="J25" s="16" t="inlineStr">
        <is>
          <t>EBIT margin</t>
        </is>
      </c>
      <c r="K25" s="118" t="n"/>
      <c r="L25" s="118" t="n"/>
      <c r="M25" s="118" t="n"/>
      <c r="N25" s="118" t="n"/>
      <c r="O25" s="118" t="n"/>
      <c r="P25" s="118" t="n"/>
      <c r="Q25" s="118" t="n"/>
      <c r="R25" s="118" t="n"/>
      <c r="S25" s="38">
        <f>AVERAGE(K25:R25)</f>
        <v/>
      </c>
      <c r="AC25" s="110" t="n"/>
    </row>
    <row r="26" ht="15" customHeight="1">
      <c r="B26" s="16" t="inlineStr">
        <is>
          <t>EPS</t>
        </is>
      </c>
      <c r="C26" s="82" t="n"/>
      <c r="D26" s="82" t="n"/>
      <c r="E26" s="93" t="n"/>
      <c r="F26" s="82" t="n"/>
      <c r="G26" s="82" t="n"/>
      <c r="H26" s="45" t="n"/>
      <c r="J26" s="16" t="inlineStr">
        <is>
          <t>Net margin</t>
        </is>
      </c>
      <c r="K26" s="118" t="n"/>
      <c r="L26" s="118" t="n"/>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c r="L27" s="95" t="n"/>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c r="L28" s="29" t="n"/>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c r="D32" s="51" t="n"/>
      <c r="E32" s="51" t="n"/>
      <c r="F32" s="51" t="n"/>
      <c r="G32" s="51" t="n"/>
      <c r="H32" s="52" t="n"/>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c r="D35" s="53" t="n"/>
      <c r="E35" s="53" t="n"/>
      <c r="F35" s="53" t="n"/>
      <c r="G35" s="53" t="n"/>
      <c r="H35" s="54" t="n"/>
      <c r="J35" s="16" t="n"/>
      <c r="K35" s="80" t="inlineStr">
        <is>
          <t>Earnings</t>
        </is>
      </c>
      <c r="L35" s="82" t="n"/>
      <c r="M35" s="82" t="n"/>
      <c r="N35" s="81">
        <f>M35-L35</f>
        <v/>
      </c>
      <c r="O35" s="21">
        <f>N35/L35</f>
        <v/>
      </c>
    </row>
    <row r="36" ht="16" customHeight="1" thickBot="1">
      <c r="B36" s="27" t="inlineStr">
        <is>
          <t>Book Value per share</t>
        </is>
      </c>
      <c r="C36" s="55" t="n"/>
      <c r="D36" s="55" t="n"/>
      <c r="E36" s="55" t="n"/>
      <c r="F36" s="55" t="n"/>
      <c r="G36" s="55" t="n"/>
      <c r="H36" s="56" t="n"/>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c r="F38" s="5" t="inlineStr">
        <is>
          <t>50 MAV</t>
        </is>
      </c>
      <c r="G38" s="58" t="n"/>
      <c r="H38" s="125">
        <f>(C4-G38)/G38</f>
        <v/>
      </c>
      <c r="J38" s="16" t="inlineStr">
        <is>
          <t>Q-4</t>
        </is>
      </c>
      <c r="K38" s="80" t="inlineStr">
        <is>
          <t>Sales</t>
        </is>
      </c>
      <c r="L38" s="91" t="n"/>
      <c r="M38" s="91" t="n"/>
      <c r="N38" s="81">
        <f>M38-L38</f>
        <v/>
      </c>
      <c r="O38" s="21">
        <f>N38/L38</f>
        <v/>
      </c>
    </row>
    <row r="39" ht="16" customHeight="1" thickBot="1">
      <c r="B39" s="16" t="inlineStr">
        <is>
          <t>Avg Vol 10 days</t>
        </is>
      </c>
      <c r="C39" s="38" t="n"/>
      <c r="F39" s="27" t="inlineStr">
        <is>
          <t>200 MAV</t>
        </is>
      </c>
      <c r="G39" s="60" t="n"/>
      <c r="H39" s="126">
        <f>(C4-G39)/G39</f>
        <v/>
      </c>
      <c r="J39" s="27" t="n"/>
      <c r="K39" s="62" t="inlineStr">
        <is>
          <t>Earnings</t>
        </is>
      </c>
      <c r="L39" s="63" t="n"/>
      <c r="M39" s="63" t="n"/>
      <c r="N39" s="83">
        <f>M39-L39</f>
        <v/>
      </c>
      <c r="O39" s="84">
        <f>N39/L39</f>
        <v/>
      </c>
    </row>
    <row r="40" ht="16" customHeight="1" thickBot="1">
      <c r="B40" s="27" t="inlineStr">
        <is>
          <t>Avg Vol 3Months</t>
        </is>
      </c>
      <c r="C40" s="64" t="n"/>
    </row>
    <row r="41" ht="16" customHeight="1">
      <c r="F41" s="5" t="inlineStr">
        <is>
          <t>Buyback Year</t>
        </is>
      </c>
      <c r="G41" s="8" t="n"/>
      <c r="H41" s="65" t="n"/>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n"/>
      <c r="I44" s="85" t="n"/>
      <c r="J44" s="74">
        <f>I44/$E$16</f>
        <v/>
      </c>
      <c r="L44" s="111" t="n"/>
      <c r="M44" s="112" t="n"/>
      <c r="N44" s="112" t="n"/>
      <c r="O44" s="112" t="n"/>
      <c r="P44" s="112" t="n"/>
      <c r="Q44" s="113" t="n"/>
    </row>
    <row r="45">
      <c r="B45" s="66" t="n"/>
      <c r="C45" s="73" t="n"/>
      <c r="D45" s="86" t="n"/>
      <c r="E45" s="75">
        <f>D45/$E$16</f>
        <v/>
      </c>
      <c r="G45" s="66" t="n"/>
      <c r="H45" s="73" t="n"/>
      <c r="I45" s="87" t="n"/>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O39">
    <cfRule type="cellIs" priority="5" operator="lessThan" dxfId="1">
      <formula>0</formula>
    </cfRule>
    <cfRule type="cellIs" priority="6"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1:AE361"/>
  <sheetViews>
    <sheetView zoomScale="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inlineStr">
        <is>
          <t>QDEL</t>
        </is>
      </c>
      <c r="G2" s="3" t="inlineStr">
        <is>
          <t>QuidelOrtho Corporation</t>
        </is>
      </c>
      <c r="H2" s="4" t="n"/>
      <c r="J2" s="98" t="n"/>
      <c r="N2" s="12" t="n"/>
    </row>
    <row r="3" ht="16" customHeight="1" thickBot="1">
      <c r="J3" s="98" t="n"/>
      <c r="N3" s="12" t="n"/>
    </row>
    <row r="4">
      <c r="B4" s="5" t="inlineStr">
        <is>
          <t>Last</t>
        </is>
      </c>
      <c r="C4" s="6" t="n">
        <v>76.29000000000001</v>
      </c>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v>174.59</v>
      </c>
      <c r="D6" s="118">
        <f>(C4-C6)/C6</f>
        <v/>
      </c>
      <c r="E6" s="80" t="inlineStr">
        <is>
          <t>Trailing P/E</t>
        </is>
      </c>
      <c r="F6" s="17" t="n">
        <v>2.82</v>
      </c>
      <c r="G6" s="80" t="inlineStr">
        <is>
          <t>Price to book</t>
        </is>
      </c>
      <c r="H6" s="18">
        <f>C4/F36</f>
        <v/>
      </c>
      <c r="L6" s="19" t="n"/>
      <c r="M6" s="20" t="n"/>
    </row>
    <row r="7">
      <c r="B7" s="16" t="inlineStr">
        <is>
          <t>52 week Low</t>
        </is>
      </c>
      <c r="C7" s="93" t="n">
        <v>67.48999999999999</v>
      </c>
      <c r="D7" s="118">
        <f>(C4-C7)/C7</f>
        <v/>
      </c>
      <c r="E7" s="80" t="inlineStr">
        <is>
          <t>Forward P/E</t>
        </is>
      </c>
      <c r="F7" s="82" t="n">
        <v>6.16</v>
      </c>
      <c r="G7" s="80" t="inlineStr">
        <is>
          <t>ROE</t>
        </is>
      </c>
      <c r="H7" s="21" t="n">
        <v>0.31789</v>
      </c>
      <c r="J7" s="5" t="inlineStr">
        <is>
          <t>Competitors</t>
        </is>
      </c>
      <c r="K7" s="77" t="inlineStr">
        <is>
          <t>Agios Pharmaceuticals</t>
        </is>
      </c>
      <c r="L7" s="78" t="inlineStr">
        <is>
          <t>AGIO</t>
        </is>
      </c>
      <c r="M7" s="20" t="n"/>
      <c r="N7" s="69" t="n"/>
    </row>
    <row r="8">
      <c r="B8" s="16" t="inlineStr">
        <is>
          <t>YTD Change/%</t>
        </is>
      </c>
      <c r="C8" s="22" t="n">
        <v>-0.4474</v>
      </c>
      <c r="D8" s="95" t="n"/>
      <c r="E8" s="80" t="inlineStr">
        <is>
          <t>PEG</t>
        </is>
      </c>
      <c r="F8" s="82" t="n"/>
      <c r="G8" s="80" t="inlineStr">
        <is>
          <t>Exchange</t>
        </is>
      </c>
      <c r="H8" s="12" t="inlineStr">
        <is>
          <t>NSDQ</t>
        </is>
      </c>
      <c r="J8" s="23" t="n"/>
      <c r="K8" s="99" t="inlineStr">
        <is>
          <t>Akerna</t>
        </is>
      </c>
      <c r="L8" s="79" t="inlineStr">
        <is>
          <t>KERN</t>
        </is>
      </c>
    </row>
    <row r="9">
      <c r="B9" s="16" t="inlineStr">
        <is>
          <t>Mkt Cap</t>
        </is>
      </c>
      <c r="C9" s="91" t="n">
        <v>5107</v>
      </c>
      <c r="D9" s="82" t="n"/>
      <c r="E9" s="80" t="inlineStr">
        <is>
          <t>Dividend 2022</t>
        </is>
      </c>
      <c r="F9" s="82" t="n">
        <v>0</v>
      </c>
      <c r="G9" s="80" t="inlineStr">
        <is>
          <t>Sector</t>
        </is>
      </c>
      <c r="H9" s="12" t="inlineStr">
        <is>
          <t>Healthcare</t>
        </is>
      </c>
      <c r="J9" s="23" t="n"/>
      <c r="K9" s="99" t="inlineStr">
        <is>
          <t>Aurora Cannabis</t>
        </is>
      </c>
      <c r="L9" s="79" t="inlineStr">
        <is>
          <t>ACB</t>
        </is>
      </c>
    </row>
    <row r="10">
      <c r="B10" s="16" t="inlineStr">
        <is>
          <t>EV</t>
        </is>
      </c>
      <c r="C10" s="24" t="n">
        <v>7495</v>
      </c>
      <c r="D10" s="91">
        <f>C10-C9</f>
        <v/>
      </c>
      <c r="E10" s="80" t="inlineStr">
        <is>
          <t>Div. yield</t>
        </is>
      </c>
      <c r="F10" s="95">
        <f>IF(F9&lt;"-",F9/C4,"")</f>
        <v/>
      </c>
      <c r="G10" s="80" t="inlineStr">
        <is>
          <t>Industry</t>
        </is>
      </c>
      <c r="H10" s="12" t="inlineStr">
        <is>
          <t>Medical Instruments &amp; Supplies</t>
        </is>
      </c>
      <c r="J10" s="23" t="n"/>
      <c r="K10" s="99" t="inlineStr">
        <is>
          <t>Canopy Growth</t>
        </is>
      </c>
      <c r="L10" s="79" t="inlineStr">
        <is>
          <t>CGC</t>
        </is>
      </c>
    </row>
    <row r="11" ht="16" customHeight="1">
      <c r="B11" s="16" t="inlineStr">
        <is>
          <t>Days to Cover</t>
        </is>
      </c>
      <c r="C11" s="93" t="n">
        <v>4.67</v>
      </c>
      <c r="D11" s="82" t="n"/>
      <c r="E11" s="80" t="inlineStr">
        <is>
          <t>Beta</t>
        </is>
      </c>
      <c r="F11" s="93" t="n">
        <v>0.18</v>
      </c>
      <c r="G11" s="80" t="inlineStr">
        <is>
          <t>Website</t>
        </is>
      </c>
      <c r="H11" s="25" t="inlineStr">
        <is>
          <t>https://www.quidelortho.com</t>
        </is>
      </c>
      <c r="J11" s="23" t="n"/>
      <c r="K11" s="99" t="n"/>
      <c r="L11" s="79" t="n"/>
    </row>
    <row r="12" ht="15.75" customHeight="1" thickBot="1">
      <c r="B12" s="27" t="inlineStr">
        <is>
          <t>Target Price</t>
        </is>
      </c>
      <c r="C12" s="28" t="n">
        <v>122.67</v>
      </c>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inlineStr">
        <is>
          <t>December</t>
        </is>
      </c>
      <c r="J14" s="26" t="n"/>
      <c r="K14" s="14" t="n"/>
      <c r="L14" s="15" t="n"/>
    </row>
    <row r="15" ht="16" customHeight="1" thickBot="1">
      <c r="B15" s="5" t="n"/>
      <c r="C15" s="33" t="n">
        <v>2019</v>
      </c>
      <c r="D15" s="33" t="n">
        <v>2020</v>
      </c>
      <c r="E15" s="33" t="n">
        <v>2021</v>
      </c>
      <c r="F15" s="33" t="n">
        <v>2022</v>
      </c>
      <c r="G15" s="33" t="n">
        <v>2023</v>
      </c>
      <c r="H15" s="34" t="n">
        <v>2024</v>
      </c>
    </row>
    <row r="16">
      <c r="B16" s="16" t="inlineStr">
        <is>
          <t>Sales</t>
        </is>
      </c>
      <c r="C16" s="91" t="n">
        <v>535</v>
      </c>
      <c r="D16" s="91" t="n">
        <v>1662</v>
      </c>
      <c r="E16" s="91" t="n">
        <v>1699</v>
      </c>
      <c r="F16" s="91" t="n">
        <v>1703</v>
      </c>
      <c r="G16" s="91" t="n">
        <v>790</v>
      </c>
      <c r="H16" s="38" t="n">
        <v>982</v>
      </c>
      <c r="J16" s="35" t="n"/>
      <c r="K16" s="36" t="n"/>
      <c r="L16" s="36" t="n"/>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c r="L17" s="91" t="n"/>
      <c r="M17" s="91" t="n"/>
      <c r="N17" s="91" t="n"/>
      <c r="O17" s="91" t="n"/>
      <c r="P17" s="91" t="n"/>
      <c r="Q17" s="91" t="n"/>
      <c r="R17" s="91" t="n"/>
      <c r="S17" s="38">
        <f>AVERAGE(K17:R17)</f>
        <v/>
      </c>
      <c r="AB17" s="110" t="n"/>
    </row>
    <row r="18" ht="15" customHeight="1">
      <c r="B18" s="16" t="inlineStr">
        <is>
          <t>EBITDA</t>
        </is>
      </c>
      <c r="C18" s="91" t="n">
        <v>158</v>
      </c>
      <c r="D18" s="91" t="n">
        <v>1115</v>
      </c>
      <c r="E18" s="91" t="n">
        <v>970</v>
      </c>
      <c r="F18" s="91" t="n">
        <v>0</v>
      </c>
      <c r="G18" s="91" t="n">
        <v>0</v>
      </c>
      <c r="H18" s="38" t="n">
        <v>0</v>
      </c>
      <c r="J18" s="16" t="inlineStr">
        <is>
          <t>EV</t>
        </is>
      </c>
      <c r="K18" s="91" t="n"/>
      <c r="L18" s="91" t="n"/>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c r="L19" s="121" t="n"/>
      <c r="M19" s="121" t="n"/>
      <c r="N19" s="121" t="n"/>
      <c r="O19" s="121" t="n"/>
      <c r="P19" s="121" t="n"/>
      <c r="Q19" s="121" t="n"/>
      <c r="R19" s="121" t="n"/>
      <c r="S19" s="38">
        <f>AVERAGE(K19:R19)</f>
        <v/>
      </c>
      <c r="AC19" s="110" t="n"/>
    </row>
    <row r="20" ht="15" customHeight="1">
      <c r="B20" s="16" t="inlineStr">
        <is>
          <t>Operating Profit (EBIT)</t>
        </is>
      </c>
      <c r="C20" s="91" t="n">
        <v>77</v>
      </c>
      <c r="D20" s="91" t="n">
        <v>1040</v>
      </c>
      <c r="E20" s="91" t="n">
        <v>900</v>
      </c>
      <c r="F20" s="91" t="n">
        <v>825</v>
      </c>
      <c r="G20" s="91" t="n">
        <v>271</v>
      </c>
      <c r="H20" s="38" t="n">
        <v>276</v>
      </c>
      <c r="J20" s="16" t="inlineStr">
        <is>
          <t>EV/EBITDA</t>
        </is>
      </c>
      <c r="K20" s="121" t="n"/>
      <c r="L20" s="121" t="n"/>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c r="L21" s="121" t="n"/>
      <c r="M21" s="121" t="n"/>
      <c r="N21" s="121" t="n"/>
      <c r="O21" s="121" t="n"/>
      <c r="P21" s="121" t="n"/>
      <c r="Q21" s="121" t="n"/>
      <c r="R21" s="121" t="n"/>
      <c r="S21" s="38">
        <f>AVERAGE(K21:R21)</f>
        <v/>
      </c>
      <c r="AC21" s="110" t="n"/>
    </row>
    <row r="22" ht="15" customHeight="1">
      <c r="B22" s="16" t="inlineStr">
        <is>
          <t>Net income</t>
        </is>
      </c>
      <c r="C22" s="91" t="n">
        <v>73</v>
      </c>
      <c r="D22" s="91" t="n">
        <v>810</v>
      </c>
      <c r="E22" s="91" t="n">
        <v>704</v>
      </c>
      <c r="F22" s="91" t="n">
        <v>643</v>
      </c>
      <c r="G22" s="91" t="n">
        <v>217</v>
      </c>
      <c r="H22" s="38" t="n">
        <v>221</v>
      </c>
      <c r="J22" s="16" t="inlineStr">
        <is>
          <t>EV/Revenues</t>
        </is>
      </c>
      <c r="K22" s="121" t="n"/>
      <c r="L22" s="121" t="n"/>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c r="L23" s="93" t="n"/>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c r="L24" s="118" t="n"/>
      <c r="M24" s="118" t="n"/>
      <c r="N24" s="118" t="n"/>
      <c r="O24" s="118" t="n"/>
      <c r="P24" s="118" t="n"/>
      <c r="Q24" s="118" t="n"/>
      <c r="R24" s="118" t="n"/>
      <c r="S24" s="38">
        <f>AVERAGE(K24:R24)</f>
        <v/>
      </c>
    </row>
    <row r="25" ht="15" customHeight="1">
      <c r="B25" s="16" t="inlineStr">
        <is>
          <t>P/E ratio</t>
        </is>
      </c>
      <c r="C25" s="82" t="n">
        <v>42.15</v>
      </c>
      <c r="D25" s="82" t="n">
        <v>9.34</v>
      </c>
      <c r="E25" s="17" t="n">
        <v>8.199999999999999</v>
      </c>
      <c r="F25" s="82" t="n">
        <v>6.56</v>
      </c>
      <c r="G25" s="82" t="n">
        <v>19.6</v>
      </c>
      <c r="H25" s="45" t="n">
        <v>19.4</v>
      </c>
      <c r="J25" s="16" t="inlineStr">
        <is>
          <t>EBIT margin</t>
        </is>
      </c>
      <c r="K25" s="118" t="n"/>
      <c r="L25" s="118" t="n"/>
      <c r="M25" s="118" t="n"/>
      <c r="N25" s="118" t="n"/>
      <c r="O25" s="118" t="n"/>
      <c r="P25" s="118" t="n"/>
      <c r="Q25" s="118" t="n"/>
      <c r="R25" s="118" t="n"/>
      <c r="S25" s="38">
        <f>AVERAGE(K25:R25)</f>
        <v/>
      </c>
      <c r="AC25" s="110" t="n"/>
    </row>
    <row r="26" ht="15" customHeight="1">
      <c r="B26" s="16" t="inlineStr">
        <is>
          <t>EPS</t>
        </is>
      </c>
      <c r="C26" s="82" t="n">
        <v>1.73</v>
      </c>
      <c r="D26" s="82" t="n">
        <v>18.6</v>
      </c>
      <c r="E26" s="93" t="n">
        <v>16.43</v>
      </c>
      <c r="F26" s="82" t="n">
        <v>15.1</v>
      </c>
      <c r="G26" s="82" t="n">
        <v>5.04</v>
      </c>
      <c r="H26" s="45" t="n">
        <v>5.09</v>
      </c>
      <c r="J26" s="16" t="inlineStr">
        <is>
          <t>Net margin</t>
        </is>
      </c>
      <c r="K26" s="118" t="n"/>
      <c r="L26" s="118" t="n"/>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c r="L27" s="95" t="n"/>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c r="L28" s="29" t="n"/>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v>118</v>
      </c>
      <c r="D32" s="51" t="n">
        <v>113</v>
      </c>
      <c r="E32" s="51" t="n">
        <v>139</v>
      </c>
      <c r="F32" s="51" t="n">
        <v>0</v>
      </c>
      <c r="G32" s="51" t="n">
        <v>0</v>
      </c>
      <c r="H32" s="52" t="n">
        <v>0</v>
      </c>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v>3.26</v>
      </c>
      <c r="D35" s="53" t="n">
        <v>14.99</v>
      </c>
      <c r="E35" s="53" t="n">
        <v>19.19</v>
      </c>
      <c r="F35" s="53" t="n">
        <v>0</v>
      </c>
      <c r="G35" s="53" t="n">
        <v>0</v>
      </c>
      <c r="H35" s="54" t="n">
        <v>0</v>
      </c>
      <c r="J35" s="16" t="n"/>
      <c r="K35" s="80" t="inlineStr">
        <is>
          <t>Earnings</t>
        </is>
      </c>
      <c r="L35" s="82" t="n"/>
      <c r="M35" s="82" t="n"/>
      <c r="N35" s="81">
        <f>M35-L35</f>
        <v/>
      </c>
      <c r="O35" s="21">
        <f>N35/L35</f>
        <v/>
      </c>
    </row>
    <row r="36" ht="16" customHeight="1" thickBot="1">
      <c r="B36" s="27" t="inlineStr">
        <is>
          <t>Book Value per share</t>
        </is>
      </c>
      <c r="C36" s="55" t="n">
        <v>13.66</v>
      </c>
      <c r="D36" s="55" t="n">
        <v>31.74</v>
      </c>
      <c r="E36" s="55" t="n">
        <v>45.93</v>
      </c>
      <c r="F36" s="55" t="n">
        <v>62.2</v>
      </c>
      <c r="G36" s="55" t="n">
        <v>65.3</v>
      </c>
      <c r="H36" s="56" t="n">
        <v>68.7</v>
      </c>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v>732632</v>
      </c>
      <c r="F38" s="5" t="inlineStr">
        <is>
          <t>50 MAV</t>
        </is>
      </c>
      <c r="G38" s="58" t="n">
        <v>79.81</v>
      </c>
      <c r="H38" s="125">
        <f>(C4-G38)/G38</f>
        <v/>
      </c>
      <c r="J38" s="16" t="inlineStr">
        <is>
          <t>Q-4</t>
        </is>
      </c>
      <c r="K38" s="80" t="inlineStr">
        <is>
          <t>Sales</t>
        </is>
      </c>
      <c r="L38" s="91" t="n"/>
      <c r="M38" s="91" t="n"/>
      <c r="N38" s="81">
        <f>M38-L38</f>
        <v/>
      </c>
      <c r="O38" s="21">
        <f>N38/L38</f>
        <v/>
      </c>
    </row>
    <row r="39" ht="16" customHeight="1" thickBot="1">
      <c r="B39" s="16" t="inlineStr">
        <is>
          <t>Avg Vol 10 days</t>
        </is>
      </c>
      <c r="C39" s="38" t="inlineStr">
        <is>
          <t>707.76k</t>
        </is>
      </c>
      <c r="F39" s="27" t="inlineStr">
        <is>
          <t>200 MAV</t>
        </is>
      </c>
      <c r="G39" s="60" t="n">
        <v>98.2</v>
      </c>
      <c r="H39" s="126">
        <f>(C4-G39)/G39</f>
        <v/>
      </c>
      <c r="J39" s="27" t="n"/>
      <c r="K39" s="62" t="inlineStr">
        <is>
          <t>Earnings</t>
        </is>
      </c>
      <c r="L39" s="63" t="n"/>
      <c r="M39" s="63" t="n"/>
      <c r="N39" s="83">
        <f>M39-L39</f>
        <v/>
      </c>
      <c r="O39" s="84">
        <f>N39/L39</f>
        <v/>
      </c>
    </row>
    <row r="40" ht="16" customHeight="1" thickBot="1">
      <c r="B40" s="27" t="inlineStr">
        <is>
          <t>Avg Vol 3Months</t>
        </is>
      </c>
      <c r="C40" s="64" t="inlineStr">
        <is>
          <t>721.6k</t>
        </is>
      </c>
    </row>
    <row r="41" ht="16" customHeight="1">
      <c r="F41" s="5" t="inlineStr">
        <is>
          <t>Buyback Year</t>
        </is>
      </c>
      <c r="G41" s="8" t="n"/>
      <c r="H41" s="65" t="n">
        <v>0</v>
      </c>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n"/>
      <c r="I44" s="85" t="n"/>
      <c r="J44" s="74">
        <f>I44/$E$16</f>
        <v/>
      </c>
      <c r="L44" s="111" t="inlineStr">
        <is>
          <t>QuidelOrtho Corporation focuses on the development and manufacture of diagnostic testing technologies across the continuum of healthcare testing needs. The company operates through Labs, Transfusion Medicine, Point-of-Care, and Molecular Diagnostics business units. The Labs business unit provides clinical chemistry laboratory instruments and tests that measure target chemicals in bodily fluids for the evaluation of health and the clinical management of patients; immunoassay laboratory instruments and tests, which measure proteins as they act as antigens in the spread of disease, antibodies in the immune response spurred by disease, or markers of proper organ function and health; testing products to detect and monitor disease progression across a spectrum of therapeutic areas; and specialized diagnostic solutions. The Transfusion Medicine business unit offers immunohematology instruments and tests used for blood typing to ensure patient-donor compatibility in blood transfusions; and donor screening instruments and tests used for blood and plasma screening for infectious diseases. The Point-of-Care business unit provides tests to provide rapid results across a continuum of point-of-care settings. The Molecular Diagnostics business unit offers polymerase chain reaction thermocyclers; and analyzers and amplification systems. The company sells its products directly to end users through a direct sales force; and through a network of distributors for professional use in physician offices, hospitals, clinical laboratories, reference laboratories, urgent care clinics, universities, retail clinics, pharmacies, wellness screening centers, blood banks, and donor centers, as well as for individual, non-professional, and over-the-counter use. It operates in North America, Europe, the Middle East, Africa, China, and internationally. The company was founded in 1979 and is headquartered in San Diego, California.</t>
        </is>
      </c>
      <c r="M44" s="112" t="n"/>
      <c r="N44" s="112" t="n"/>
      <c r="O44" s="112" t="n"/>
      <c r="P44" s="112" t="n"/>
      <c r="Q44" s="113" t="n"/>
    </row>
    <row r="45">
      <c r="B45" s="66" t="n"/>
      <c r="C45" s="73" t="n"/>
      <c r="D45" s="86" t="n"/>
      <c r="E45" s="75">
        <f>D45/$E$16</f>
        <v/>
      </c>
      <c r="G45" s="66" t="n"/>
      <c r="H45" s="73" t="n"/>
      <c r="I45" s="87" t="n"/>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mergeCells count="1">
    <mergeCell ref="L44:Q47"/>
  </mergeCells>
  <pageMargins left="0.7" right="0.7" top="0.75" bottom="0.75" header="0.3" footer="0.3"/>
</worksheet>
</file>

<file path=xl/worksheets/sheet4.xml><?xml version="1.0" encoding="utf-8"?>
<worksheet xmlns="http://schemas.openxmlformats.org/spreadsheetml/2006/main">
  <sheetPr codeName="Sheet3">
    <tabColor rgb="001072BA"/>
    <outlinePr summaryBelow="1" summaryRight="1"/>
    <pageSetUpPr/>
  </sheetPr>
  <dimension ref="B1:AE361"/>
  <sheetViews>
    <sheetView zoomScale="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inlineStr">
        <is>
          <t>CRUS</t>
        </is>
      </c>
      <c r="G2" s="3" t="inlineStr">
        <is>
          <t>Cirrus Logic, Inc.</t>
        </is>
      </c>
      <c r="H2" s="4" t="n"/>
      <c r="J2" s="98" t="n"/>
      <c r="N2" s="12" t="n"/>
    </row>
    <row r="3" ht="16" customHeight="1" thickBot="1">
      <c r="J3" s="98" t="n"/>
      <c r="N3" s="12" t="n"/>
    </row>
    <row r="4">
      <c r="B4" s="5" t="inlineStr">
        <is>
          <t>Last</t>
        </is>
      </c>
      <c r="C4" s="6" t="n">
        <v>64.58</v>
      </c>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v>94.3</v>
      </c>
      <c r="D6" s="118">
        <f>(C4-C6)/C6</f>
        <v/>
      </c>
      <c r="E6" s="80" t="inlineStr">
        <is>
          <t>Trailing P/E</t>
        </is>
      </c>
      <c r="F6" s="17" t="n">
        <v>8.92</v>
      </c>
      <c r="G6" s="80" t="inlineStr">
        <is>
          <t>Price to book</t>
        </is>
      </c>
      <c r="H6" s="18">
        <f>C4/F36</f>
        <v/>
      </c>
      <c r="L6" s="19" t="n"/>
      <c r="M6" s="20" t="n"/>
    </row>
    <row r="7">
      <c r="B7" s="16" t="inlineStr">
        <is>
          <t>52 week Low</t>
        </is>
      </c>
      <c r="C7" s="93" t="n">
        <v>63.88</v>
      </c>
      <c r="D7" s="118">
        <f>(C4-C7)/C7</f>
        <v/>
      </c>
      <c r="E7" s="80" t="inlineStr">
        <is>
          <t>Forward P/E</t>
        </is>
      </c>
      <c r="F7" s="82" t="n">
        <v>11.94</v>
      </c>
      <c r="G7" s="80" t="inlineStr">
        <is>
          <t>ROE</t>
        </is>
      </c>
      <c r="H7" s="21" t="n">
        <v>0.23211001</v>
      </c>
      <c r="J7" s="5" t="inlineStr">
        <is>
          <t>Competitors</t>
        </is>
      </c>
      <c r="K7" s="77" t="inlineStr">
        <is>
          <t>Sequans Communications</t>
        </is>
      </c>
      <c r="L7" s="78" t="inlineStr">
        <is>
          <t>SQNS</t>
        </is>
      </c>
      <c r="M7" s="20" t="n"/>
      <c r="N7" s="69" t="n"/>
    </row>
    <row r="8">
      <c r="B8" s="16" t="inlineStr">
        <is>
          <t>YTD Change/%</t>
        </is>
      </c>
      <c r="C8" s="22" t="n">
        <v>-0.2737</v>
      </c>
      <c r="D8" s="95" t="n"/>
      <c r="E8" s="80" t="inlineStr">
        <is>
          <t>PEG</t>
        </is>
      </c>
      <c r="F8" s="82" t="n">
        <v>4.38</v>
      </c>
      <c r="G8" s="80" t="inlineStr">
        <is>
          <t>Exchange</t>
        </is>
      </c>
      <c r="H8" s="12" t="inlineStr">
        <is>
          <t>NSDQ</t>
        </is>
      </c>
      <c r="J8" s="23" t="n"/>
      <c r="K8" s="99" t="inlineStr">
        <is>
          <t>Navitas Semiconductor</t>
        </is>
      </c>
      <c r="L8" s="79" t="inlineStr">
        <is>
          <t>NVTS</t>
        </is>
      </c>
    </row>
    <row r="9">
      <c r="B9" s="16" t="inlineStr">
        <is>
          <t>Mkt Cap</t>
        </is>
      </c>
      <c r="C9" s="91" t="n">
        <v>3612</v>
      </c>
      <c r="D9" s="82" t="n"/>
      <c r="E9" s="80" t="inlineStr">
        <is>
          <t>Dividend 2022</t>
        </is>
      </c>
      <c r="F9" s="82" t="n">
        <v>0</v>
      </c>
      <c r="G9" s="80" t="inlineStr">
        <is>
          <t>Sector</t>
        </is>
      </c>
      <c r="H9" s="12" t="inlineStr">
        <is>
          <t>Technology</t>
        </is>
      </c>
      <c r="J9" s="23" t="n"/>
      <c r="K9" s="99" t="inlineStr">
        <is>
          <t>SkyWater Technology</t>
        </is>
      </c>
      <c r="L9" s="79" t="inlineStr">
        <is>
          <t>SKYT</t>
        </is>
      </c>
    </row>
    <row r="10">
      <c r="B10" s="16" t="inlineStr">
        <is>
          <t>EV</t>
        </is>
      </c>
      <c r="C10" s="24" t="n">
        <v>3442</v>
      </c>
      <c r="D10" s="91">
        <f>C10-C9</f>
        <v/>
      </c>
      <c r="E10" s="80" t="inlineStr">
        <is>
          <t>Div. yield</t>
        </is>
      </c>
      <c r="F10" s="95">
        <f>IF(F9&lt;"-",F9/C4,"")</f>
        <v/>
      </c>
      <c r="G10" s="80" t="inlineStr">
        <is>
          <t>Industry</t>
        </is>
      </c>
      <c r="H10" s="12" t="inlineStr">
        <is>
          <t>Semiconductors</t>
        </is>
      </c>
      <c r="J10" s="23" t="n"/>
      <c r="K10" s="99" t="inlineStr">
        <is>
          <t>AXT</t>
        </is>
      </c>
      <c r="L10" s="79" t="inlineStr">
        <is>
          <t>AXTI</t>
        </is>
      </c>
    </row>
    <row r="11" ht="16" customHeight="1">
      <c r="B11" s="16" t="inlineStr">
        <is>
          <t>Days to Cover</t>
        </is>
      </c>
      <c r="C11" s="93" t="n">
        <v>2.92</v>
      </c>
      <c r="D11" s="82" t="n"/>
      <c r="E11" s="80" t="inlineStr">
        <is>
          <t>Beta</t>
        </is>
      </c>
      <c r="F11" s="93" t="n">
        <v>1.01</v>
      </c>
      <c r="G11" s="80" t="inlineStr">
        <is>
          <t>Website</t>
        </is>
      </c>
      <c r="H11" s="25" t="inlineStr">
        <is>
          <t>https://www.cirrus.com</t>
        </is>
      </c>
      <c r="J11" s="23" t="n"/>
      <c r="K11" s="99" t="n"/>
      <c r="L11" s="79" t="n"/>
    </row>
    <row r="12" ht="15.75" customHeight="1" thickBot="1">
      <c r="B12" s="27" t="inlineStr">
        <is>
          <t>Target Price</t>
        </is>
      </c>
      <c r="C12" s="28" t="n">
        <v>100.09</v>
      </c>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inlineStr">
        <is>
          <t>March</t>
        </is>
      </c>
      <c r="J14" s="26" t="n"/>
      <c r="K14" s="14" t="n"/>
      <c r="L14" s="15" t="n"/>
    </row>
    <row r="15" ht="16" customHeight="1" thickBot="1">
      <c r="B15" s="5" t="n"/>
      <c r="C15" s="33" t="n">
        <v>2019</v>
      </c>
      <c r="D15" s="33" t="n">
        <v>2020</v>
      </c>
      <c r="E15" s="33" t="n">
        <v>2021</v>
      </c>
      <c r="F15" s="33" t="n">
        <v>2022</v>
      </c>
      <c r="G15" s="33" t="n">
        <v>2023</v>
      </c>
      <c r="H15" s="34" t="n">
        <v>2024</v>
      </c>
    </row>
    <row r="16">
      <c r="B16" s="16" t="inlineStr">
        <is>
          <t>Sales</t>
        </is>
      </c>
      <c r="C16" s="91" t="n">
        <v>1186</v>
      </c>
      <c r="D16" s="91" t="n">
        <v>1281</v>
      </c>
      <c r="E16" s="91" t="n">
        <v>1369</v>
      </c>
      <c r="F16" s="91" t="n">
        <v>1781</v>
      </c>
      <c r="G16" s="91" t="n">
        <v>1763</v>
      </c>
      <c r="H16" s="38" t="n">
        <v>1891</v>
      </c>
      <c r="J16" s="35" t="n"/>
      <c r="K16" s="36" t="n"/>
      <c r="L16" s="36" t="n"/>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c r="L17" s="91" t="n"/>
      <c r="M17" s="91" t="n"/>
      <c r="N17" s="91" t="n"/>
      <c r="O17" s="91" t="n"/>
      <c r="P17" s="91" t="n"/>
      <c r="Q17" s="91" t="n"/>
      <c r="R17" s="91" t="n"/>
      <c r="S17" s="38">
        <f>AVERAGE(K17:R17)</f>
        <v/>
      </c>
      <c r="AB17" s="110" t="n"/>
    </row>
    <row r="18" ht="15" customHeight="1">
      <c r="B18" s="16" t="inlineStr">
        <is>
          <t>EBITDA</t>
        </is>
      </c>
      <c r="C18" s="91" t="n">
        <v>176</v>
      </c>
      <c r="D18" s="91" t="n">
        <v>256</v>
      </c>
      <c r="E18" s="91" t="n">
        <v>277</v>
      </c>
      <c r="F18" s="91" t="n">
        <v>420</v>
      </c>
      <c r="G18" s="91" t="n">
        <v>0</v>
      </c>
      <c r="H18" s="38" t="n">
        <v>0</v>
      </c>
      <c r="J18" s="16" t="inlineStr">
        <is>
          <t>EV</t>
        </is>
      </c>
      <c r="K18" s="91" t="n"/>
      <c r="L18" s="91" t="n"/>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c r="L19" s="121" t="n"/>
      <c r="M19" s="121" t="n"/>
      <c r="N19" s="121" t="n"/>
      <c r="O19" s="121" t="n"/>
      <c r="P19" s="121" t="n"/>
      <c r="Q19" s="121" t="n"/>
      <c r="R19" s="121" t="n"/>
      <c r="S19" s="38">
        <f>AVERAGE(K19:R19)</f>
        <v/>
      </c>
      <c r="AC19" s="110" t="n"/>
    </row>
    <row r="20" ht="15" customHeight="1">
      <c r="B20" s="16" t="inlineStr">
        <is>
          <t>Operating Profit (EBIT)</t>
        </is>
      </c>
      <c r="C20" s="91" t="n">
        <v>94</v>
      </c>
      <c r="D20" s="91" t="n">
        <v>181</v>
      </c>
      <c r="E20" s="91" t="n">
        <v>245</v>
      </c>
      <c r="F20" s="91" t="n">
        <v>369</v>
      </c>
      <c r="G20" s="91" t="n">
        <v>0</v>
      </c>
      <c r="H20" s="38" t="n">
        <v>0</v>
      </c>
      <c r="J20" s="16" t="inlineStr">
        <is>
          <t>EV/EBITDA</t>
        </is>
      </c>
      <c r="K20" s="121" t="n"/>
      <c r="L20" s="121" t="n"/>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c r="L21" s="121" t="n"/>
      <c r="M21" s="121" t="n"/>
      <c r="N21" s="121" t="n"/>
      <c r="O21" s="121" t="n"/>
      <c r="P21" s="121" t="n"/>
      <c r="Q21" s="121" t="n"/>
      <c r="R21" s="121" t="n"/>
      <c r="S21" s="38">
        <f>AVERAGE(K21:R21)</f>
        <v/>
      </c>
      <c r="AC21" s="110" t="n"/>
    </row>
    <row r="22" ht="15" customHeight="1">
      <c r="B22" s="16" t="inlineStr">
        <is>
          <t>Net income</t>
        </is>
      </c>
      <c r="C22" s="91" t="n">
        <v>90</v>
      </c>
      <c r="D22" s="91" t="n">
        <v>159</v>
      </c>
      <c r="E22" s="91" t="n">
        <v>217</v>
      </c>
      <c r="F22" s="91" t="n">
        <v>326</v>
      </c>
      <c r="G22" s="91" t="n">
        <v>208</v>
      </c>
      <c r="H22" s="38" t="n">
        <v>254</v>
      </c>
      <c r="J22" s="16" t="inlineStr">
        <is>
          <t>EV/Revenues</t>
        </is>
      </c>
      <c r="K22" s="121" t="n"/>
      <c r="L22" s="121" t="n"/>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c r="L23" s="93" t="n"/>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c r="L24" s="118" t="n"/>
      <c r="M24" s="118" t="n"/>
      <c r="N24" s="118" t="n"/>
      <c r="O24" s="118" t="n"/>
      <c r="P24" s="118" t="n"/>
      <c r="Q24" s="118" t="n"/>
      <c r="R24" s="118" t="n"/>
      <c r="S24" s="38">
        <f>AVERAGE(K24:R24)</f>
        <v/>
      </c>
    </row>
    <row r="25" ht="15" customHeight="1">
      <c r="B25" s="16" t="inlineStr">
        <is>
          <t>P/E ratio</t>
        </is>
      </c>
      <c r="C25" s="82" t="n">
        <v>27.2</v>
      </c>
      <c r="D25" s="82" t="n">
        <v>23.95</v>
      </c>
      <c r="E25" s="17" t="n">
        <v>22.67</v>
      </c>
      <c r="F25" s="82" t="n">
        <v>15.36</v>
      </c>
      <c r="G25" s="82" t="n">
        <v>18.3</v>
      </c>
      <c r="H25" s="45" t="n">
        <v>15.1</v>
      </c>
      <c r="J25" s="16" t="inlineStr">
        <is>
          <t>EBIT margin</t>
        </is>
      </c>
      <c r="K25" s="118" t="n"/>
      <c r="L25" s="118" t="n"/>
      <c r="M25" s="118" t="n"/>
      <c r="N25" s="118" t="n"/>
      <c r="O25" s="118" t="n"/>
      <c r="P25" s="118" t="n"/>
      <c r="Q25" s="118" t="n"/>
      <c r="R25" s="118" t="n"/>
      <c r="S25" s="38">
        <f>AVERAGE(K25:R25)</f>
        <v/>
      </c>
      <c r="AC25" s="110" t="n"/>
    </row>
    <row r="26" ht="15" customHeight="1">
      <c r="B26" s="16" t="inlineStr">
        <is>
          <t>EPS</t>
        </is>
      </c>
      <c r="C26" s="82" t="n">
        <v>1.46</v>
      </c>
      <c r="D26" s="82" t="n">
        <v>2.64</v>
      </c>
      <c r="E26" s="93" t="n">
        <v>3.62</v>
      </c>
      <c r="F26" s="82" t="n">
        <v>5.52</v>
      </c>
      <c r="G26" s="82" t="n">
        <v>3.65</v>
      </c>
      <c r="H26" s="45" t="n">
        <v>4.42</v>
      </c>
      <c r="J26" s="16" t="inlineStr">
        <is>
          <t>Net margin</t>
        </is>
      </c>
      <c r="K26" s="118" t="n"/>
      <c r="L26" s="118" t="n"/>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c r="L27" s="95" t="n"/>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c r="L28" s="29" t="n"/>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v>0</v>
      </c>
      <c r="D32" s="51" t="n">
        <v>143</v>
      </c>
      <c r="E32" s="51" t="n">
        <v>143</v>
      </c>
      <c r="F32" s="51" t="n">
        <v>178</v>
      </c>
      <c r="G32" s="51" t="n">
        <v>0</v>
      </c>
      <c r="H32" s="52" t="n">
        <v>0</v>
      </c>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v>3.44</v>
      </c>
      <c r="D35" s="53" t="n">
        <v>5.1</v>
      </c>
      <c r="E35" s="53" t="n">
        <v>6.02</v>
      </c>
      <c r="F35" s="53" t="n">
        <v>2.16</v>
      </c>
      <c r="G35" s="53" t="n">
        <v>6.33</v>
      </c>
      <c r="H35" s="54" t="n">
        <v>6.23</v>
      </c>
      <c r="J35" s="16" t="n"/>
      <c r="K35" s="80" t="inlineStr">
        <is>
          <t>Earnings</t>
        </is>
      </c>
      <c r="L35" s="82" t="n"/>
      <c r="M35" s="82" t="n"/>
      <c r="N35" s="81">
        <f>M35-L35</f>
        <v/>
      </c>
      <c r="O35" s="21">
        <f>N35/L35</f>
        <v/>
      </c>
    </row>
    <row r="36" ht="16" customHeight="1" thickBot="1">
      <c r="B36" s="27" t="inlineStr">
        <is>
          <t>Book Value per share</t>
        </is>
      </c>
      <c r="C36" s="55" t="n">
        <v>19</v>
      </c>
      <c r="D36" s="55" t="n">
        <v>21.21</v>
      </c>
      <c r="E36" s="55" t="n">
        <v>23.95</v>
      </c>
      <c r="F36" s="55" t="n">
        <v>28.07</v>
      </c>
      <c r="G36" s="55" t="n">
        <v>29.6</v>
      </c>
      <c r="H36" s="56" t="n">
        <v>33.1</v>
      </c>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v>367618</v>
      </c>
      <c r="F38" s="5" t="inlineStr">
        <is>
          <t>50 MAV</t>
        </is>
      </c>
      <c r="G38" s="58" t="n">
        <v>76.92</v>
      </c>
      <c r="H38" s="125">
        <f>(C4-G38)/G38</f>
        <v/>
      </c>
      <c r="J38" s="16" t="inlineStr">
        <is>
          <t>Q-4</t>
        </is>
      </c>
      <c r="K38" s="80" t="inlineStr">
        <is>
          <t>Sales</t>
        </is>
      </c>
      <c r="L38" s="91" t="n"/>
      <c r="M38" s="91" t="n"/>
      <c r="N38" s="81">
        <f>M38-L38</f>
        <v/>
      </c>
      <c r="O38" s="21">
        <f>N38/L38</f>
        <v/>
      </c>
    </row>
    <row r="39" ht="16" customHeight="1" thickBot="1">
      <c r="B39" s="16" t="inlineStr">
        <is>
          <t>Avg Vol 10 days</t>
        </is>
      </c>
      <c r="C39" s="38" t="inlineStr">
        <is>
          <t>501.16k</t>
        </is>
      </c>
      <c r="F39" s="27" t="inlineStr">
        <is>
          <t>200 MAV</t>
        </is>
      </c>
      <c r="G39" s="60" t="n">
        <v>80.09999999999999</v>
      </c>
      <c r="H39" s="126">
        <f>(C4-G39)/G39</f>
        <v/>
      </c>
      <c r="J39" s="27" t="n"/>
      <c r="K39" s="62" t="inlineStr">
        <is>
          <t>Earnings</t>
        </is>
      </c>
      <c r="L39" s="63" t="n"/>
      <c r="M39" s="63" t="n"/>
      <c r="N39" s="83">
        <f>M39-L39</f>
        <v/>
      </c>
      <c r="O39" s="84">
        <f>N39/L39</f>
        <v/>
      </c>
    </row>
    <row r="40" ht="16" customHeight="1" thickBot="1">
      <c r="B40" s="27" t="inlineStr">
        <is>
          <t>Avg Vol 3Months</t>
        </is>
      </c>
      <c r="C40" s="64" t="inlineStr">
        <is>
          <t>456.8k</t>
        </is>
      </c>
    </row>
    <row r="41" ht="16" customHeight="1">
      <c r="F41" s="5" t="inlineStr">
        <is>
          <t>Buyback Year</t>
        </is>
      </c>
      <c r="G41" s="8" t="n"/>
      <c r="H41" s="65" t="n">
        <v>0</v>
      </c>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inlineStr">
        <is>
          <t>Net Sales - Audio [M]</t>
        </is>
      </c>
      <c r="I44" s="85" t="n">
        <v>1104</v>
      </c>
      <c r="J44" s="74">
        <f>I44/$E$16</f>
        <v/>
      </c>
      <c r="L44" s="111" t="inlineStr">
        <is>
          <t>Cirrus Logic, Inc., a fabless semiconductor company, provides low-power and high-precision mixed-signal processing solutions in the United States and internationally. It offers portable products, including codecs components that integrate analog-to-digital converters (ADCs) and digital-to-analog converters (DACs) into a single integrated circuit (IC); smart codecs, a codec with digital signal processer; boosted amplifiers; digital signal processors; and SoundClear technology, which consists of a portfolio of tools, software, and algorithms that helps to enhance user experience with features, such as louder, high-fidelity sound, audio playback, voice capture, hearing augmentation, and active noise cancellation. The company's audio products are used in smartphones, tablets, wireless headsets, laptops, AR/VR headsets, home theater systems, automotive entertainment systems, and professional audio systems. It also provides high-performance mixed-signal products, such as haptic driver and sensing solutions, camera controllers, power conversion, and control ICs and fast-charging ICs used in various industrial and energy applications comprising digital utility meters, power supplies, energy control, energy measurement, and energy exploration. The company markets and sells its products through direct sales force, external sales representatives, and distributors. Cirrus Logic, Inc. was incorporated in 1984 and is headquartered in Austin, Texas.</t>
        </is>
      </c>
      <c r="M44" s="112" t="n"/>
      <c r="N44" s="112" t="n"/>
      <c r="O44" s="112" t="n"/>
      <c r="P44" s="112" t="n"/>
      <c r="Q44" s="113" t="n"/>
    </row>
    <row r="45">
      <c r="B45" s="66" t="n"/>
      <c r="C45" s="73" t="n"/>
      <c r="D45" s="86" t="n"/>
      <c r="E45" s="75">
        <f>D45/$E$16</f>
        <v/>
      </c>
      <c r="G45" s="66" t="n"/>
      <c r="H45" s="73" t="inlineStr">
        <is>
          <t>Net Sales - High-Performance Mixed-Signal [M]</t>
        </is>
      </c>
      <c r="I45" s="87" t="n">
        <v>265</v>
      </c>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mergeCells count="1">
    <mergeCell ref="L44:Q47"/>
  </mergeCells>
  <pageMargins left="0.7" right="0.7" top="0.75" bottom="0.75" header="0.3" footer="0.3"/>
</worksheet>
</file>

<file path=xl/worksheets/sheet5.xml><?xml version="1.0" encoding="utf-8"?>
<worksheet xmlns="http://schemas.openxmlformats.org/spreadsheetml/2006/main">
  <sheetPr codeName="Sheet3">
    <tabColor rgb="001072BA"/>
    <outlinePr summaryBelow="1" summaryRight="1"/>
    <pageSetUpPr/>
  </sheetPr>
  <dimension ref="B1:AE361"/>
  <sheetViews>
    <sheetView zoomScale="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inlineStr">
        <is>
          <t>LNTH</t>
        </is>
      </c>
      <c r="G2" s="3" t="inlineStr">
        <is>
          <t>Lantheus Holdings, Inc.</t>
        </is>
      </c>
      <c r="H2" s="4" t="n"/>
      <c r="J2" s="98" t="n"/>
      <c r="N2" s="12" t="n"/>
    </row>
    <row r="3" ht="16" customHeight="1" thickBot="1">
      <c r="J3" s="98" t="n"/>
      <c r="N3" s="12" t="n"/>
    </row>
    <row r="4">
      <c r="B4" s="5" t="inlineStr">
        <is>
          <t>Last</t>
        </is>
      </c>
      <c r="C4" s="6" t="n">
        <v>68.84</v>
      </c>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v>86.59999999999999</v>
      </c>
      <c r="D6" s="118">
        <f>(C4-C6)/C6</f>
        <v/>
      </c>
      <c r="E6" s="80" t="inlineStr">
        <is>
          <t>Trailing P/E</t>
        </is>
      </c>
      <c r="F6" s="17" t="n">
        <v>32.39</v>
      </c>
      <c r="G6" s="80" t="inlineStr">
        <is>
          <t>Price to book</t>
        </is>
      </c>
      <c r="H6" s="18">
        <f>C4/F36</f>
        <v/>
      </c>
      <c r="L6" s="19" t="n"/>
      <c r="M6" s="20" t="n"/>
    </row>
    <row r="7">
      <c r="B7" s="16" t="inlineStr">
        <is>
          <t>52 week Low</t>
        </is>
      </c>
      <c r="C7" s="93" t="n">
        <v>22.54</v>
      </c>
      <c r="D7" s="118">
        <f>(C4-C7)/C7</f>
        <v/>
      </c>
      <c r="E7" s="80" t="inlineStr">
        <is>
          <t>Forward P/E</t>
        </is>
      </c>
      <c r="F7" s="82" t="n">
        <v>20.08</v>
      </c>
      <c r="G7" s="80" t="inlineStr">
        <is>
          <t>ROE</t>
        </is>
      </c>
      <c r="H7" s="21" t="n">
        <v>0.060229998</v>
      </c>
      <c r="J7" s="5" t="inlineStr">
        <is>
          <t>Competitors</t>
        </is>
      </c>
      <c r="K7" s="77" t="inlineStr">
        <is>
          <t>Agios Pharmaceuticals</t>
        </is>
      </c>
      <c r="L7" s="78" t="inlineStr">
        <is>
          <t>AGIO</t>
        </is>
      </c>
      <c r="M7" s="20" t="n"/>
      <c r="N7" s="69" t="n"/>
    </row>
    <row r="8">
      <c r="B8" s="16" t="inlineStr">
        <is>
          <t>YTD Change/%</t>
        </is>
      </c>
      <c r="C8" s="22" t="n">
        <v>1.4555</v>
      </c>
      <c r="D8" s="95" t="n"/>
      <c r="E8" s="80" t="inlineStr">
        <is>
          <t>PEG</t>
        </is>
      </c>
      <c r="F8" s="82" t="n"/>
      <c r="G8" s="80" t="inlineStr">
        <is>
          <t>Exchange</t>
        </is>
      </c>
      <c r="H8" s="12" t="inlineStr">
        <is>
          <t>NSDQ</t>
        </is>
      </c>
      <c r="J8" s="23" t="n"/>
      <c r="K8" s="99" t="inlineStr">
        <is>
          <t>Akerna</t>
        </is>
      </c>
      <c r="L8" s="79" t="inlineStr">
        <is>
          <t>KERN</t>
        </is>
      </c>
    </row>
    <row r="9">
      <c r="B9" s="16" t="inlineStr">
        <is>
          <t>Mkt Cap</t>
        </is>
      </c>
      <c r="C9" s="91" t="n">
        <v>4732</v>
      </c>
      <c r="D9" s="82" t="n"/>
      <c r="E9" s="80" t="inlineStr">
        <is>
          <t>Dividend 2022</t>
        </is>
      </c>
      <c r="F9" s="82" t="n">
        <v>0</v>
      </c>
      <c r="G9" s="80" t="inlineStr">
        <is>
          <t>Sector</t>
        </is>
      </c>
      <c r="H9" s="12" t="inlineStr">
        <is>
          <t>Healthcare</t>
        </is>
      </c>
      <c r="J9" s="23" t="n"/>
      <c r="K9" s="99" t="inlineStr">
        <is>
          <t>Aurora Cannabis</t>
        </is>
      </c>
      <c r="L9" s="79" t="inlineStr">
        <is>
          <t>ACB</t>
        </is>
      </c>
    </row>
    <row r="10">
      <c r="B10" s="16" t="inlineStr">
        <is>
          <t>EV</t>
        </is>
      </c>
      <c r="C10" s="24" t="n">
        <v>4892</v>
      </c>
      <c r="D10" s="91">
        <f>C10-C9</f>
        <v/>
      </c>
      <c r="E10" s="80" t="inlineStr">
        <is>
          <t>Div. yield</t>
        </is>
      </c>
      <c r="F10" s="95">
        <f>IF(F9&lt;"-",F9/C4,"")</f>
        <v/>
      </c>
      <c r="G10" s="80" t="inlineStr">
        <is>
          <t>Industry</t>
        </is>
      </c>
      <c r="H10" s="12" t="inlineStr">
        <is>
          <t>Drug Manufacturers—Specialty &amp; Generic</t>
        </is>
      </c>
      <c r="J10" s="23" t="n"/>
      <c r="K10" s="99" t="inlineStr">
        <is>
          <t>Canopy Growth</t>
        </is>
      </c>
      <c r="L10" s="79" t="inlineStr">
        <is>
          <t>CGC</t>
        </is>
      </c>
    </row>
    <row r="11" ht="16" customHeight="1">
      <c r="B11" s="16" t="inlineStr">
        <is>
          <t>Days to Cover</t>
        </is>
      </c>
      <c r="C11" s="93" t="n">
        <v>3.75</v>
      </c>
      <c r="D11" s="82" t="n"/>
      <c r="E11" s="80" t="inlineStr">
        <is>
          <t>Beta</t>
        </is>
      </c>
      <c r="F11" s="93" t="n">
        <v>0.82</v>
      </c>
      <c r="G11" s="80" t="inlineStr">
        <is>
          <t>Website</t>
        </is>
      </c>
      <c r="H11" s="25" t="inlineStr">
        <is>
          <t>https://www.lantheus.com</t>
        </is>
      </c>
      <c r="J11" s="23" t="n"/>
      <c r="K11" s="99" t="n"/>
      <c r="L11" s="79" t="n"/>
    </row>
    <row r="12" ht="15.75" customHeight="1" thickBot="1">
      <c r="B12" s="27" t="inlineStr">
        <is>
          <t>Target Price</t>
        </is>
      </c>
      <c r="C12" s="28" t="n">
        <v>103.57</v>
      </c>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inlineStr">
        <is>
          <t>December</t>
        </is>
      </c>
      <c r="J14" s="26" t="n"/>
      <c r="K14" s="14" t="n"/>
      <c r="L14" s="15" t="n"/>
    </row>
    <row r="15" ht="16" customHeight="1" thickBot="1">
      <c r="B15" s="5" t="n"/>
      <c r="C15" s="33" t="n">
        <v>2019</v>
      </c>
      <c r="D15" s="33" t="n">
        <v>2020</v>
      </c>
      <c r="E15" s="33" t="n">
        <v>2021</v>
      </c>
      <c r="F15" s="33" t="n">
        <v>2022</v>
      </c>
      <c r="G15" s="33" t="n">
        <v>2023</v>
      </c>
      <c r="H15" s="34" t="n">
        <v>2024</v>
      </c>
    </row>
    <row r="16">
      <c r="B16" s="16" t="inlineStr">
        <is>
          <t>Sales</t>
        </is>
      </c>
      <c r="C16" s="91" t="n">
        <v>347.34</v>
      </c>
      <c r="D16" s="91" t="n">
        <v>339.41</v>
      </c>
      <c r="E16" s="91" t="n">
        <v>425.21</v>
      </c>
      <c r="F16" s="91" t="n">
        <v>899</v>
      </c>
      <c r="G16" s="91" t="n">
        <v>1013</v>
      </c>
      <c r="H16" s="38" t="n">
        <v>1104</v>
      </c>
      <c r="J16" s="35" t="n"/>
      <c r="K16" s="36" t="n"/>
      <c r="L16" s="36" t="n"/>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c r="L17" s="91" t="n"/>
      <c r="M17" s="91" t="n"/>
      <c r="N17" s="91" t="n"/>
      <c r="O17" s="91" t="n"/>
      <c r="P17" s="91" t="n"/>
      <c r="Q17" s="91" t="n"/>
      <c r="R17" s="91" t="n"/>
      <c r="S17" s="38">
        <f>AVERAGE(K17:R17)</f>
        <v/>
      </c>
      <c r="AB17" s="110" t="n"/>
    </row>
    <row r="18" ht="15" customHeight="1">
      <c r="B18" s="16" t="inlineStr">
        <is>
          <t>EBITDA</t>
        </is>
      </c>
      <c r="C18" s="91" t="n">
        <v>65040</v>
      </c>
      <c r="D18" s="91" t="n">
        <v>28041</v>
      </c>
      <c r="E18" s="91" t="n">
        <v>38600</v>
      </c>
      <c r="F18" s="91" t="n">
        <v>0</v>
      </c>
      <c r="G18" s="91" t="n">
        <v>0</v>
      </c>
      <c r="H18" s="38" t="n">
        <v>0</v>
      </c>
      <c r="J18" s="16" t="inlineStr">
        <is>
          <t>EV</t>
        </is>
      </c>
      <c r="K18" s="91" t="n"/>
      <c r="L18" s="91" t="n"/>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c r="L19" s="121" t="n"/>
      <c r="M19" s="121" t="n"/>
      <c r="N19" s="121" t="n"/>
      <c r="O19" s="121" t="n"/>
      <c r="P19" s="121" t="n"/>
      <c r="Q19" s="121" t="n"/>
      <c r="R19" s="121" t="n"/>
      <c r="S19" s="38">
        <f>AVERAGE(K19:R19)</f>
        <v/>
      </c>
      <c r="AC19" s="110" t="n"/>
    </row>
    <row r="20" ht="15" customHeight="1">
      <c r="B20" s="16" t="inlineStr">
        <is>
          <t>Operating Profit (EBIT)</t>
        </is>
      </c>
      <c r="C20" s="91" t="n">
        <v>28.63</v>
      </c>
      <c r="D20" s="91" t="n">
        <v>-11.48</v>
      </c>
      <c r="E20" s="91" t="n">
        <v>-75.04000000000001</v>
      </c>
      <c r="F20" s="91" t="n">
        <v>237</v>
      </c>
      <c r="G20" s="91" t="n">
        <v>216</v>
      </c>
      <c r="H20" s="38" t="n">
        <v>0</v>
      </c>
      <c r="J20" s="16" t="inlineStr">
        <is>
          <t>EV/EBITDA</t>
        </is>
      </c>
      <c r="K20" s="121" t="n"/>
      <c r="L20" s="121" t="n"/>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c r="L21" s="121" t="n"/>
      <c r="M21" s="121" t="n"/>
      <c r="N21" s="121" t="n"/>
      <c r="O21" s="121" t="n"/>
      <c r="P21" s="121" t="n"/>
      <c r="Q21" s="121" t="n"/>
      <c r="R21" s="121" t="n"/>
      <c r="S21" s="38">
        <f>AVERAGE(K21:R21)</f>
        <v/>
      </c>
      <c r="AC21" s="110" t="n"/>
    </row>
    <row r="22" ht="15" customHeight="1">
      <c r="B22" s="16" t="inlineStr">
        <is>
          <t>Net income</t>
        </is>
      </c>
      <c r="C22" s="91" t="n">
        <v>31.67</v>
      </c>
      <c r="D22" s="91" t="n">
        <v>-13.47</v>
      </c>
      <c r="E22" s="91" t="n">
        <v>-71.28</v>
      </c>
      <c r="F22" s="91" t="n">
        <v>175</v>
      </c>
      <c r="G22" s="91" t="n">
        <v>200</v>
      </c>
      <c r="H22" s="38" t="n">
        <v>281</v>
      </c>
      <c r="J22" s="16" t="inlineStr">
        <is>
          <t>EV/Revenues</t>
        </is>
      </c>
      <c r="K22" s="121" t="n"/>
      <c r="L22" s="121" t="n"/>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c r="L23" s="93" t="n"/>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c r="L24" s="118" t="n"/>
      <c r="M24" s="118" t="n"/>
      <c r="N24" s="118" t="n"/>
      <c r="O24" s="118" t="n"/>
      <c r="P24" s="118" t="n"/>
      <c r="Q24" s="118" t="n"/>
      <c r="R24" s="118" t="n"/>
      <c r="S24" s="38">
        <f>AVERAGE(K24:R24)</f>
        <v/>
      </c>
    </row>
    <row r="25" ht="15" customHeight="1">
      <c r="B25" s="16" t="inlineStr">
        <is>
          <t>P/E ratio</t>
        </is>
      </c>
      <c r="C25" s="82" t="n">
        <v>25.32</v>
      </c>
      <c r="D25" s="82" t="n">
        <v>0</v>
      </c>
      <c r="E25" s="17" t="n">
        <v>0</v>
      </c>
      <c r="F25" s="82" t="n">
        <v>30.3</v>
      </c>
      <c r="G25" s="82" t="n">
        <v>32.3</v>
      </c>
      <c r="H25" s="45" t="n">
        <v>21.6</v>
      </c>
      <c r="J25" s="16" t="inlineStr">
        <is>
          <t>EBIT margin</t>
        </is>
      </c>
      <c r="K25" s="118" t="n"/>
      <c r="L25" s="118" t="n"/>
      <c r="M25" s="118" t="n"/>
      <c r="N25" s="118" t="n"/>
      <c r="O25" s="118" t="n"/>
      <c r="P25" s="118" t="n"/>
      <c r="Q25" s="118" t="n"/>
      <c r="R25" s="118" t="n"/>
      <c r="S25" s="38">
        <f>AVERAGE(K25:R25)</f>
        <v/>
      </c>
      <c r="AC25" s="110" t="n"/>
    </row>
    <row r="26" ht="15" customHeight="1">
      <c r="B26" s="16" t="inlineStr">
        <is>
          <t>EPS</t>
        </is>
      </c>
      <c r="C26" s="82" t="n">
        <v>0.79</v>
      </c>
      <c r="D26" s="82" t="n">
        <v>-0.25</v>
      </c>
      <c r="E26" s="93" t="n">
        <v>-1.06</v>
      </c>
      <c r="F26" s="82" t="n">
        <v>2.34</v>
      </c>
      <c r="G26" s="82" t="n">
        <v>2.2</v>
      </c>
      <c r="H26" s="45" t="n">
        <v>3.29</v>
      </c>
      <c r="J26" s="16" t="inlineStr">
        <is>
          <t>Net margin</t>
        </is>
      </c>
      <c r="K26" s="118" t="n"/>
      <c r="L26" s="118" t="n"/>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c r="L27" s="95" t="n"/>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c r="L28" s="29" t="n"/>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v>195.07</v>
      </c>
      <c r="D32" s="51" t="n">
        <v>237.06</v>
      </c>
      <c r="E32" s="51" t="n">
        <v>192.91</v>
      </c>
      <c r="F32" s="51" t="n">
        <v>0</v>
      </c>
      <c r="G32" s="51" t="n">
        <v>0</v>
      </c>
      <c r="H32" s="52" t="n">
        <v>0</v>
      </c>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v>2.06</v>
      </c>
      <c r="D35" s="53" t="n">
        <v>0.3</v>
      </c>
      <c r="E35" s="53" t="n">
        <v>0.8</v>
      </c>
      <c r="F35" s="53" t="n">
        <v>0</v>
      </c>
      <c r="G35" s="53" t="n">
        <v>0</v>
      </c>
      <c r="H35" s="54" t="n">
        <v>0</v>
      </c>
      <c r="J35" s="16" t="n"/>
      <c r="K35" s="80" t="inlineStr">
        <is>
          <t>Earnings</t>
        </is>
      </c>
      <c r="L35" s="82" t="n"/>
      <c r="M35" s="82" t="n"/>
      <c r="N35" s="81">
        <f>M35-L35</f>
        <v/>
      </c>
      <c r="O35" s="21">
        <f>N35/L35</f>
        <v/>
      </c>
    </row>
    <row r="36" ht="16" customHeight="1" thickBot="1">
      <c r="B36" s="27" t="inlineStr">
        <is>
          <t>Book Value per share</t>
        </is>
      </c>
      <c r="C36" s="55" t="n">
        <v>2.94</v>
      </c>
      <c r="D36" s="55" t="n">
        <v>9.5</v>
      </c>
      <c r="E36" s="55" t="n">
        <v>6.88</v>
      </c>
      <c r="F36" s="55" t="n">
        <v>0</v>
      </c>
      <c r="G36" s="55" t="n">
        <v>0</v>
      </c>
      <c r="H36" s="56" t="n">
        <v>0</v>
      </c>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v>822608</v>
      </c>
      <c r="F38" s="5" t="inlineStr">
        <is>
          <t>50 MAV</t>
        </is>
      </c>
      <c r="G38" s="58" t="n">
        <v>77.56999999999999</v>
      </c>
      <c r="H38" s="125">
        <f>(C4-G38)/G38</f>
        <v/>
      </c>
      <c r="J38" s="16" t="inlineStr">
        <is>
          <t>Q-4</t>
        </is>
      </c>
      <c r="K38" s="80" t="inlineStr">
        <is>
          <t>Sales</t>
        </is>
      </c>
      <c r="L38" s="91" t="n"/>
      <c r="M38" s="91" t="n"/>
      <c r="N38" s="81">
        <f>M38-L38</f>
        <v/>
      </c>
      <c r="O38" s="21">
        <f>N38/L38</f>
        <v/>
      </c>
    </row>
    <row r="39" ht="16" customHeight="1" thickBot="1">
      <c r="B39" s="16" t="inlineStr">
        <is>
          <t>Avg Vol 10 days</t>
        </is>
      </c>
      <c r="C39" s="38" t="inlineStr">
        <is>
          <t>2.84M</t>
        </is>
      </c>
      <c r="F39" s="27" t="inlineStr">
        <is>
          <t>200 MAV</t>
        </is>
      </c>
      <c r="G39" s="60" t="n">
        <v>59.25</v>
      </c>
      <c r="H39" s="126">
        <f>(C4-G39)/G39</f>
        <v/>
      </c>
      <c r="J39" s="27" t="n"/>
      <c r="K39" s="62" t="inlineStr">
        <is>
          <t>Earnings</t>
        </is>
      </c>
      <c r="L39" s="63" t="n"/>
      <c r="M39" s="63" t="n"/>
      <c r="N39" s="83">
        <f>M39-L39</f>
        <v/>
      </c>
      <c r="O39" s="84">
        <f>N39/L39</f>
        <v/>
      </c>
    </row>
    <row r="40" ht="16" customHeight="1" thickBot="1">
      <c r="B40" s="27" t="inlineStr">
        <is>
          <t>Avg Vol 3Months</t>
        </is>
      </c>
      <c r="C40" s="64" t="inlineStr">
        <is>
          <t>1.34M</t>
        </is>
      </c>
    </row>
    <row r="41" ht="16" customHeight="1">
      <c r="F41" s="5" t="inlineStr">
        <is>
          <t>Buyback Year</t>
        </is>
      </c>
      <c r="G41" s="8" t="n"/>
      <c r="H41" s="65" t="n">
        <v>0</v>
      </c>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n"/>
      <c r="I44" s="85" t="n"/>
      <c r="J44" s="74">
        <f>I44/$E$16</f>
        <v/>
      </c>
      <c r="L44" s="111" t="inlineStr">
        <is>
          <t>Lantheus Holdings, Inc. develops, manufactures, and commercializes diagnostic and therapeutic products that assist clinicians in the diagnosis and treatment of heart, cancer, and other diseases worldwide. It provides DEFINITY, a microbubble ultrasound enhancing agent used in ultrasound exams of the heart; TechneLite, a technetium generator for nuclear medicine; Xenon-133 to assess pulmonary function; Neurolite to identify the area within the brain where blood flow has been blocked or reduced due to stroke; Cardiolite, an injectable Tc-99m-labeled imaging agent; Thallium-201 to detect cardiovascular disease; and Gallium-67 to detect various infections and cancerous tumors. The company also offers AZEDRA, a radiotherapeutic to treat adult and pediatric patients; Automated Bone Scan Index that calculates the disease burden of prostate cancer by quantifying the hotspots on bone scans; and Cobalt (Co 57), a non-pharmaceutical radiochemical; RELISTOR for opioid-induced constipation; and PYLARIFY for visualization of lymph nodes, bone, and soft tissue metastases to determine the presence or absence of recurrent and/or metastatic prostate cancer. It also develops flurpiridaz F 18 to assess blood flow to the heart; 1095, a PSMA-targeted iodine-131 labeled small molecule; LMI 1195 for neuroblastoma tumors in pediatric and adults; PYLARIFY AI, an AI-based medical device software to perform standardized quantitative assessment of PSMA PET/CT images in prostate cancer; and leronlimab, an investigational humanized monoclonal antibody. The company serves radio pharmacies, distributors, integrated delivery networks, hospitals, clinics, and group practices. It has strategic partnerships with NanoMab Technology Limited; Bausch Health Companies, Inc.; GE Healthcare Limited; Curium; Bayer AG; CytoDyn Inc.; ROTOP; FUJIFILM; Regeneron Pharmaceuticals, Inc.; and POINT Biopharma US Inc. The company was founded in 1956 and is headquartered in North Billerica, Massachusetts.</t>
        </is>
      </c>
      <c r="M44" s="112" t="n"/>
      <c r="N44" s="112" t="n"/>
      <c r="O44" s="112" t="n"/>
      <c r="P44" s="112" t="n"/>
      <c r="Q44" s="113" t="n"/>
    </row>
    <row r="45">
      <c r="B45" s="66" t="n"/>
      <c r="C45" s="73" t="n"/>
      <c r="D45" s="86" t="n"/>
      <c r="E45" s="75">
        <f>D45/$E$16</f>
        <v/>
      </c>
      <c r="G45" s="66" t="n"/>
      <c r="H45" s="73" t="n"/>
      <c r="I45" s="87" t="n"/>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mergeCells count="1">
    <mergeCell ref="L44:Q47"/>
  </mergeCells>
  <pageMargins left="0.7" right="0.7" top="0.75" bottom="0.75" header="0.3" footer="0.3"/>
</worksheet>
</file>

<file path=xl/worksheets/sheet6.xml><?xml version="1.0" encoding="utf-8"?>
<worksheet xmlns="http://schemas.openxmlformats.org/spreadsheetml/2006/main">
  <sheetPr codeName="Sheet3">
    <tabColor rgb="001072BA"/>
    <outlinePr summaryBelow="1" summaryRight="1"/>
    <pageSetUpPr/>
  </sheetPr>
  <dimension ref="B1:AE361"/>
  <sheetViews>
    <sheetView zoomScale="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inlineStr">
        <is>
          <t>PGNY</t>
        </is>
      </c>
      <c r="G2" s="3" t="inlineStr">
        <is>
          <t>Progyny, Inc.</t>
        </is>
      </c>
      <c r="H2" s="4" t="n"/>
      <c r="J2" s="98" t="n"/>
      <c r="N2" s="12" t="n"/>
    </row>
    <row r="3" ht="16" customHeight="1" thickBot="1">
      <c r="J3" s="98" t="n"/>
      <c r="N3" s="12" t="n"/>
    </row>
    <row r="4">
      <c r="B4" s="5" t="inlineStr">
        <is>
          <t>Last</t>
        </is>
      </c>
      <c r="C4" s="6" t="n">
        <v>37.02</v>
      </c>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v>66.66</v>
      </c>
      <c r="D6" s="118">
        <f>(C4-C6)/C6</f>
        <v/>
      </c>
      <c r="E6" s="80" t="inlineStr">
        <is>
          <t>Trailing P/E</t>
        </is>
      </c>
      <c r="F6" s="17" t="n">
        <v>84.59</v>
      </c>
      <c r="G6" s="80" t="inlineStr">
        <is>
          <t>Price to book</t>
        </is>
      </c>
      <c r="H6" s="18">
        <f>C4/F36</f>
        <v/>
      </c>
      <c r="L6" s="19" t="n"/>
      <c r="M6" s="20" t="n"/>
    </row>
    <row r="7">
      <c r="B7" s="16" t="inlineStr">
        <is>
          <t>52 week Low</t>
        </is>
      </c>
      <c r="C7" s="93" t="n">
        <v>26.06</v>
      </c>
      <c r="D7" s="118">
        <f>(C4-C7)/C7</f>
        <v/>
      </c>
      <c r="E7" s="80" t="inlineStr">
        <is>
          <t>Forward P/E</t>
        </is>
      </c>
      <c r="F7" s="82" t="n">
        <v>194.55</v>
      </c>
      <c r="G7" s="80" t="inlineStr">
        <is>
          <t>ROE</t>
        </is>
      </c>
      <c r="H7" s="21" t="n">
        <v>0.17695</v>
      </c>
      <c r="J7" s="5" t="inlineStr">
        <is>
          <t>Competitors</t>
        </is>
      </c>
      <c r="K7" s="77" t="inlineStr">
        <is>
          <t>AMN Healthcare Services</t>
        </is>
      </c>
      <c r="L7" s="78" t="inlineStr">
        <is>
          <t>AMN</t>
        </is>
      </c>
      <c r="M7" s="20" t="n"/>
      <c r="N7" s="69" t="n"/>
    </row>
    <row r="8">
      <c r="B8" s="16" t="inlineStr">
        <is>
          <t>YTD Change/%</t>
        </is>
      </c>
      <c r="C8" s="22" t="n">
        <v>-0.2272</v>
      </c>
      <c r="D8" s="95" t="n"/>
      <c r="E8" s="80" t="inlineStr">
        <is>
          <t>PEG</t>
        </is>
      </c>
      <c r="F8" s="82" t="n">
        <v>9.24</v>
      </c>
      <c r="G8" s="80" t="inlineStr">
        <is>
          <t>Exchange</t>
        </is>
      </c>
      <c r="H8" s="12" t="inlineStr">
        <is>
          <t>NSDQ</t>
        </is>
      </c>
      <c r="J8" s="23" t="n"/>
      <c r="K8" s="99" t="inlineStr">
        <is>
          <t>DermTech</t>
        </is>
      </c>
      <c r="L8" s="79" t="inlineStr">
        <is>
          <t>DMTK</t>
        </is>
      </c>
    </row>
    <row r="9">
      <c r="B9" s="16" t="inlineStr">
        <is>
          <t>Mkt Cap</t>
        </is>
      </c>
      <c r="C9" s="91" t="n">
        <v>3408</v>
      </c>
      <c r="D9" s="82" t="n"/>
      <c r="E9" s="80" t="inlineStr">
        <is>
          <t>Dividend 2022</t>
        </is>
      </c>
      <c r="F9" s="82" t="n">
        <v>0</v>
      </c>
      <c r="G9" s="80" t="inlineStr">
        <is>
          <t>Sector</t>
        </is>
      </c>
      <c r="H9" s="12" t="inlineStr">
        <is>
          <t>Healthcare</t>
        </is>
      </c>
      <c r="J9" s="23" t="n"/>
      <c r="K9" s="99" t="inlineStr">
        <is>
          <t>GoodRx</t>
        </is>
      </c>
      <c r="L9" s="79" t="inlineStr">
        <is>
          <t>GDRX</t>
        </is>
      </c>
    </row>
    <row r="10">
      <c r="B10" s="16" t="inlineStr">
        <is>
          <t>EV</t>
        </is>
      </c>
      <c r="C10" s="24" t="n">
        <v>3468</v>
      </c>
      <c r="D10" s="91">
        <f>C10-C9</f>
        <v/>
      </c>
      <c r="E10" s="80" t="inlineStr">
        <is>
          <t>Div. yield</t>
        </is>
      </c>
      <c r="F10" s="95">
        <f>IF(F9&lt;"-",F9/C4,"")</f>
        <v/>
      </c>
      <c r="G10" s="80" t="inlineStr">
        <is>
          <t>Industry</t>
        </is>
      </c>
      <c r="H10" s="12" t="inlineStr">
        <is>
          <t>Health Information Services</t>
        </is>
      </c>
      <c r="J10" s="23" t="n"/>
      <c r="K10" s="99" t="inlineStr">
        <is>
          <t>HealthEquity</t>
        </is>
      </c>
      <c r="L10" s="79" t="inlineStr">
        <is>
          <t>HQY</t>
        </is>
      </c>
    </row>
    <row r="11" ht="16" customHeight="1">
      <c r="B11" s="16" t="inlineStr">
        <is>
          <t>Days to Cover</t>
        </is>
      </c>
      <c r="C11" s="93" t="n">
        <v>9.06</v>
      </c>
      <c r="D11" s="82" t="n"/>
      <c r="E11" s="80" t="inlineStr">
        <is>
          <t>Beta</t>
        </is>
      </c>
      <c r="F11" s="93" t="n">
        <v>1.63</v>
      </c>
      <c r="G11" s="80" t="inlineStr">
        <is>
          <t>Website</t>
        </is>
      </c>
      <c r="H11" s="25" t="inlineStr">
        <is>
          <t>https://www.progyny.com</t>
        </is>
      </c>
      <c r="J11" s="23" t="n"/>
      <c r="K11" s="99" t="n"/>
      <c r="L11" s="79" t="n"/>
    </row>
    <row r="12" ht="15.75" customHeight="1" thickBot="1">
      <c r="B12" s="27" t="inlineStr">
        <is>
          <t>Target Price</t>
        </is>
      </c>
      <c r="C12" s="28" t="n">
        <v>60.75</v>
      </c>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inlineStr">
        <is>
          <t>December</t>
        </is>
      </c>
      <c r="J14" s="26" t="n"/>
      <c r="K14" s="14" t="n"/>
      <c r="L14" s="15" t="n"/>
    </row>
    <row r="15" ht="16" customHeight="1" thickBot="1">
      <c r="B15" s="5" t="n"/>
      <c r="C15" s="33" t="n">
        <v>2019</v>
      </c>
      <c r="D15" s="33" t="n">
        <v>2020</v>
      </c>
      <c r="E15" s="33" t="n">
        <v>2021</v>
      </c>
      <c r="F15" s="33" t="n">
        <v>2022</v>
      </c>
      <c r="G15" s="33" t="n">
        <v>2023</v>
      </c>
      <c r="H15" s="34" t="n">
        <v>2024</v>
      </c>
    </row>
    <row r="16">
      <c r="B16" s="16" t="inlineStr">
        <is>
          <t>Sales</t>
        </is>
      </c>
      <c r="C16" s="91" t="n">
        <v>229.68</v>
      </c>
      <c r="D16" s="91" t="n">
        <v>344.86</v>
      </c>
      <c r="E16" s="91" t="n">
        <v>500.62</v>
      </c>
      <c r="F16" s="91" t="n">
        <v>767</v>
      </c>
      <c r="G16" s="91" t="n">
        <v>1043</v>
      </c>
      <c r="H16" s="38" t="n">
        <v>1366</v>
      </c>
      <c r="J16" s="35" t="n"/>
      <c r="K16" s="36" t="inlineStr">
        <is>
          <t>AMN</t>
        </is>
      </c>
      <c r="L16" s="36" t="inlineStr">
        <is>
          <t>HQY</t>
        </is>
      </c>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v>4909.71</v>
      </c>
      <c r="L17" s="91" t="n">
        <v>6135.24</v>
      </c>
      <c r="M17" s="91" t="n"/>
      <c r="N17" s="91" t="n"/>
      <c r="O17" s="91" t="n"/>
      <c r="P17" s="91" t="n"/>
      <c r="Q17" s="91" t="n"/>
      <c r="R17" s="91" t="n"/>
      <c r="S17" s="38">
        <f>AVERAGE(K17:R17)</f>
        <v/>
      </c>
      <c r="AB17" s="110" t="n"/>
    </row>
    <row r="18" ht="15" customHeight="1">
      <c r="B18" s="16" t="inlineStr">
        <is>
          <t>EBITDA</t>
        </is>
      </c>
      <c r="C18" s="91" t="n">
        <v>11810</v>
      </c>
      <c r="D18" s="91" t="n">
        <v>10254</v>
      </c>
      <c r="E18" s="91" t="n">
        <v>33641</v>
      </c>
      <c r="F18" s="91" t="n">
        <v>0</v>
      </c>
      <c r="G18" s="91" t="n">
        <v>0</v>
      </c>
      <c r="H18" s="38" t="n">
        <v>0</v>
      </c>
      <c r="J18" s="16" t="inlineStr">
        <is>
          <t>EV</t>
        </is>
      </c>
      <c r="K18" s="91" t="n">
        <v>5372.35</v>
      </c>
      <c r="L18" s="91" t="n">
        <v>6859.17</v>
      </c>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v>9.880000000000001</v>
      </c>
      <c r="L19" s="121" t="n">
        <v>63.11</v>
      </c>
      <c r="M19" s="121" t="n"/>
      <c r="N19" s="121" t="n"/>
      <c r="O19" s="121" t="n"/>
      <c r="P19" s="121" t="n"/>
      <c r="Q19" s="121" t="n"/>
      <c r="R19" s="121" t="n"/>
      <c r="S19" s="38">
        <f>AVERAGE(K19:R19)</f>
        <v/>
      </c>
      <c r="AC19" s="110" t="n"/>
    </row>
    <row r="20" ht="15" customHeight="1">
      <c r="B20" s="16" t="inlineStr">
        <is>
          <t>Operating Profit (EBIT)</t>
        </is>
      </c>
      <c r="C20" s="91" t="n">
        <v>-8.56</v>
      </c>
      <c r="D20" s="91" t="n">
        <v>8.68</v>
      </c>
      <c r="E20" s="91" t="n">
        <v>32.44</v>
      </c>
      <c r="F20" s="91" t="n">
        <v>14.1</v>
      </c>
      <c r="G20" s="91" t="n">
        <v>48.8</v>
      </c>
      <c r="H20" s="38" t="n">
        <v>97.8</v>
      </c>
      <c r="J20" s="16" t="inlineStr">
        <is>
          <t>EV/EBITDA</t>
        </is>
      </c>
      <c r="K20" s="121" t="n">
        <v>9.24</v>
      </c>
      <c r="L20" s="121" t="n">
        <v>61.54</v>
      </c>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v>11.24</v>
      </c>
      <c r="L21" s="121" t="n">
        <v>-227.36</v>
      </c>
      <c r="M21" s="121" t="n"/>
      <c r="N21" s="121" t="n"/>
      <c r="O21" s="121" t="n"/>
      <c r="P21" s="121" t="n"/>
      <c r="Q21" s="121" t="n"/>
      <c r="R21" s="121" t="n"/>
      <c r="S21" s="38">
        <f>AVERAGE(K21:R21)</f>
        <v/>
      </c>
      <c r="AC21" s="110" t="n"/>
    </row>
    <row r="22" ht="15" customHeight="1">
      <c r="B22" s="16" t="inlineStr">
        <is>
          <t>Net income</t>
        </is>
      </c>
      <c r="C22" s="91" t="n">
        <v>-8.57</v>
      </c>
      <c r="D22" s="91" t="n">
        <v>46.46</v>
      </c>
      <c r="E22" s="91" t="n">
        <v>65.77</v>
      </c>
      <c r="F22" s="91" t="n">
        <v>17.9</v>
      </c>
      <c r="G22" s="91" t="n">
        <v>36.8</v>
      </c>
      <c r="H22" s="38" t="n">
        <v>73</v>
      </c>
      <c r="J22" s="16" t="inlineStr">
        <is>
          <t>EV/Revenues</t>
        </is>
      </c>
      <c r="K22" s="121" t="n">
        <v>1.35</v>
      </c>
      <c r="L22" s="121" t="n">
        <v>9.07</v>
      </c>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v>4.88</v>
      </c>
      <c r="L23" s="93" t="n">
        <v>3.28</v>
      </c>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v>0.15</v>
      </c>
      <c r="L24" s="118" t="n">
        <v>0.15</v>
      </c>
      <c r="M24" s="118" t="n"/>
      <c r="N24" s="118" t="n"/>
      <c r="O24" s="118" t="n"/>
      <c r="P24" s="118" t="n"/>
      <c r="Q24" s="118" t="n"/>
      <c r="R24" s="118" t="n"/>
      <c r="S24" s="38">
        <f>AVERAGE(K24:R24)</f>
        <v/>
      </c>
    </row>
    <row r="25" ht="15" customHeight="1">
      <c r="B25" s="16" t="inlineStr">
        <is>
          <t>P/E ratio</t>
        </is>
      </c>
      <c r="C25" s="82" t="n">
        <v>0</v>
      </c>
      <c r="D25" s="82" t="n">
        <v>78.5</v>
      </c>
      <c r="E25" s="17" t="n">
        <v>74.04000000000001</v>
      </c>
      <c r="F25" s="82" t="n">
        <v>189</v>
      </c>
      <c r="G25" s="82" t="n">
        <v>90.5</v>
      </c>
      <c r="H25" s="45" t="n">
        <v>50.1</v>
      </c>
      <c r="J25" s="16" t="inlineStr">
        <is>
          <t>EBIT margin</t>
        </is>
      </c>
      <c r="K25" s="118" t="n">
        <v>0.12</v>
      </c>
      <c r="L25" s="118" t="n">
        <v>-0.04</v>
      </c>
      <c r="M25" s="118" t="n"/>
      <c r="N25" s="118" t="n"/>
      <c r="O25" s="118" t="n"/>
      <c r="P25" s="118" t="n"/>
      <c r="Q25" s="118" t="n"/>
      <c r="R25" s="118" t="n"/>
      <c r="S25" s="38">
        <f>AVERAGE(K25:R25)</f>
        <v/>
      </c>
      <c r="AC25" s="110" t="n"/>
    </row>
    <row r="26" ht="15" customHeight="1">
      <c r="B26" s="16" t="inlineStr">
        <is>
          <t>EPS</t>
        </is>
      </c>
      <c r="C26" s="82" t="n">
        <v>-0.1</v>
      </c>
      <c r="D26" s="82" t="n">
        <v>0.47</v>
      </c>
      <c r="E26" s="93" t="n">
        <v>0.66</v>
      </c>
      <c r="F26" s="82" t="n">
        <v>0.21</v>
      </c>
      <c r="G26" s="82" t="n">
        <v>0.43</v>
      </c>
      <c r="H26" s="45" t="n">
        <v>0.78</v>
      </c>
      <c r="J26" s="16" t="inlineStr">
        <is>
          <t>Net margin</t>
        </is>
      </c>
      <c r="K26" s="118" t="n">
        <v>0.08810000000000001</v>
      </c>
      <c r="L26" s="118" t="n">
        <v>-0.07820000000000001</v>
      </c>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v>0</v>
      </c>
      <c r="L27" s="95" t="n">
        <v>0</v>
      </c>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v>0.4978</v>
      </c>
      <c r="L28" s="29" t="n">
        <v>0.0286</v>
      </c>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v>0</v>
      </c>
      <c r="D32" s="51" t="n">
        <v>8.32</v>
      </c>
      <c r="E32" s="51" t="n">
        <v>8.65</v>
      </c>
      <c r="F32" s="51" t="n">
        <v>0</v>
      </c>
      <c r="G32" s="51" t="n">
        <v>0</v>
      </c>
      <c r="H32" s="52" t="n">
        <v>0</v>
      </c>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v>-0.02</v>
      </c>
      <c r="D35" s="53" t="n">
        <v>0.42</v>
      </c>
      <c r="E35" s="53" t="n">
        <v>0.29</v>
      </c>
      <c r="F35" s="53" t="n">
        <v>0.49</v>
      </c>
      <c r="G35" s="53" t="n">
        <v>0.93</v>
      </c>
      <c r="H35" s="54" t="n">
        <v>0</v>
      </c>
      <c r="J35" s="16" t="n"/>
      <c r="K35" s="80" t="inlineStr">
        <is>
          <t>Earnings</t>
        </is>
      </c>
      <c r="L35" s="82" t="n"/>
      <c r="M35" s="82" t="n"/>
      <c r="N35" s="81">
        <f>M35-L35</f>
        <v/>
      </c>
      <c r="O35" s="21">
        <f>N35/L35</f>
        <v/>
      </c>
    </row>
    <row r="36" ht="16" customHeight="1" thickBot="1">
      <c r="B36" s="27" t="inlineStr">
        <is>
          <t>Book Value per share</t>
        </is>
      </c>
      <c r="C36" s="55" t="n">
        <v>1.37</v>
      </c>
      <c r="D36" s="55" t="n">
        <v>1.95</v>
      </c>
      <c r="E36" s="55" t="n">
        <v>2.83</v>
      </c>
      <c r="F36" s="55" t="n">
        <v>3.69</v>
      </c>
      <c r="G36" s="55" t="n">
        <v>5.13</v>
      </c>
      <c r="H36" s="56" t="n">
        <v>6.94</v>
      </c>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v>621402</v>
      </c>
      <c r="F38" s="5" t="inlineStr">
        <is>
          <t>50 MAV</t>
        </is>
      </c>
      <c r="G38" s="58" t="n">
        <v>40.8</v>
      </c>
      <c r="H38" s="125">
        <f>(C4-G38)/G38</f>
        <v/>
      </c>
      <c r="J38" s="16" t="inlineStr">
        <is>
          <t>Q-4</t>
        </is>
      </c>
      <c r="K38" s="80" t="inlineStr">
        <is>
          <t>Sales</t>
        </is>
      </c>
      <c r="L38" s="91" t="n"/>
      <c r="M38" s="91" t="n"/>
      <c r="N38" s="81">
        <f>M38-L38</f>
        <v/>
      </c>
      <c r="O38" s="21">
        <f>N38/L38</f>
        <v/>
      </c>
    </row>
    <row r="39" ht="16" customHeight="1" thickBot="1">
      <c r="B39" s="16" t="inlineStr">
        <is>
          <t>Avg Vol 10 days</t>
        </is>
      </c>
      <c r="C39" s="38" t="inlineStr">
        <is>
          <t>558.71k</t>
        </is>
      </c>
      <c r="F39" s="27" t="inlineStr">
        <is>
          <t>200 MAV</t>
        </is>
      </c>
      <c r="G39" s="60" t="n">
        <v>38.79</v>
      </c>
      <c r="H39" s="126">
        <f>(C4-G39)/G39</f>
        <v/>
      </c>
      <c r="J39" s="27" t="n"/>
      <c r="K39" s="62" t="inlineStr">
        <is>
          <t>Earnings</t>
        </is>
      </c>
      <c r="L39" s="63" t="n"/>
      <c r="M39" s="63" t="n"/>
      <c r="N39" s="83">
        <f>M39-L39</f>
        <v/>
      </c>
      <c r="O39" s="84">
        <f>N39/L39</f>
        <v/>
      </c>
    </row>
    <row r="40" ht="16" customHeight="1" thickBot="1">
      <c r="B40" s="27" t="inlineStr">
        <is>
          <t>Avg Vol 3Months</t>
        </is>
      </c>
      <c r="C40" s="64" t="inlineStr">
        <is>
          <t>676.14k</t>
        </is>
      </c>
    </row>
    <row r="41" ht="16" customHeight="1">
      <c r="F41" s="5" t="inlineStr">
        <is>
          <t>Buyback Year</t>
        </is>
      </c>
      <c r="G41" s="8" t="n"/>
      <c r="H41" s="65" t="n">
        <v>1</v>
      </c>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n"/>
      <c r="I44" s="85" t="n"/>
      <c r="J44" s="74">
        <f>I44/$E$16</f>
        <v/>
      </c>
      <c r="L44" s="111" t="inlineStr">
        <is>
          <t>Progyny, Inc., a benefits management company, specializes in fertility and family building benefits solutions for employers in the United States. Its fertility benefits solution includes differentiated benefits plan design, personalized concierge-style member support services, and selective network of fertility specialists. The company also offers Progyny Rx, an integrated pharmacy benefits solution that provides its members with access to the medications needed during their treatment. In addition, it provides surrogacy and adoption reimbursement programs for employers. The company was formerly known as Auxogyn, Inc. and changed its name to Progyny, Inc. in 2015. Progyny, Inc. was incorporated in 2008 and is headquartered in New York, New York.</t>
        </is>
      </c>
      <c r="M44" s="112" t="n"/>
      <c r="N44" s="112" t="n"/>
      <c r="O44" s="112" t="n"/>
      <c r="P44" s="112" t="n"/>
      <c r="Q44" s="113" t="n"/>
    </row>
    <row r="45">
      <c r="B45" s="66" t="n"/>
      <c r="C45" s="73" t="n"/>
      <c r="D45" s="86" t="n"/>
      <c r="E45" s="75">
        <f>D45/$E$16</f>
        <v/>
      </c>
      <c r="G45" s="66" t="n"/>
      <c r="H45" s="73" t="n"/>
      <c r="I45" s="87" t="n"/>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mergeCells count="1">
    <mergeCell ref="L44:Q47"/>
  </mergeCells>
  <pageMargins left="0.7" right="0.7" top="0.75" bottom="0.75" header="0.3" footer="0.3"/>
</worksheet>
</file>

<file path=xl/worksheets/sheet7.xml><?xml version="1.0" encoding="utf-8"?>
<worksheet xmlns="http://schemas.openxmlformats.org/spreadsheetml/2006/main">
  <sheetPr codeName="Sheet3">
    <tabColor rgb="001072BA"/>
    <outlinePr summaryBelow="1" summaryRight="1"/>
    <pageSetUpPr/>
  </sheetPr>
  <dimension ref="B1:AE361"/>
  <sheetViews>
    <sheetView zoomScale="160" workbookViewId="0">
      <selection activeCell="A1" sqref="A1"/>
    </sheetView>
  </sheetViews>
  <sheetFormatPr baseColWidth="10" defaultColWidth="9.1640625" defaultRowHeight="15"/>
  <cols>
    <col width="9.1640625" customWidth="1" style="105" min="1" max="1"/>
    <col width="20.33203125" customWidth="1" style="105" min="2" max="2"/>
    <col width="16.83203125" customWidth="1" style="105" min="3" max="8"/>
    <col width="11.33203125" customWidth="1" style="105" min="9" max="9"/>
    <col width="15" customWidth="1" style="105" min="10" max="10"/>
    <col width="11.33203125" customWidth="1" style="105" min="11" max="14"/>
    <col width="12.83203125" customWidth="1" style="105" min="15" max="15"/>
    <col width="14.6640625" customWidth="1" style="105" min="16" max="16"/>
    <col width="16" customWidth="1" style="105" min="17" max="17"/>
    <col width="17.83203125" customWidth="1" style="105" min="18" max="18"/>
    <col width="13.33203125" customWidth="1" style="105" min="19" max="19"/>
    <col width="9.6640625" customWidth="1" style="105" min="20" max="20"/>
    <col width="9.1640625" customWidth="1" style="105" min="21" max="21"/>
    <col width="1.6640625" customWidth="1" style="105" min="22" max="24"/>
    <col width="9.1640625" customWidth="1" style="105" min="25" max="60"/>
    <col width="9.1640625" customWidth="1" style="105" min="61" max="16384"/>
  </cols>
  <sheetData>
    <row r="1" ht="16" customHeight="1" thickBot="1">
      <c r="J1" s="10" t="n"/>
      <c r="K1" s="8" t="n"/>
      <c r="L1" s="8" t="n"/>
      <c r="M1" s="8" t="n"/>
      <c r="N1" s="9" t="n"/>
    </row>
    <row r="2" ht="16" customHeight="1" thickBot="1">
      <c r="B2" s="2" t="inlineStr">
        <is>
          <t>ASAI</t>
        </is>
      </c>
      <c r="G2" s="3" t="inlineStr">
        <is>
          <t>Sendas Distribuidora S.A.</t>
        </is>
      </c>
      <c r="H2" s="4" t="n"/>
      <c r="J2" s="98" t="n"/>
      <c r="N2" s="12" t="n"/>
    </row>
    <row r="3" ht="16" customHeight="1" thickBot="1">
      <c r="J3" s="98" t="n"/>
      <c r="N3" s="12" t="n"/>
    </row>
    <row r="4">
      <c r="B4" s="5" t="inlineStr">
        <is>
          <t>Last</t>
        </is>
      </c>
      <c r="C4" s="6" t="n">
        <v>17.83</v>
      </c>
      <c r="D4" s="7" t="n"/>
      <c r="E4" s="8" t="n"/>
      <c r="F4" s="8" t="n"/>
      <c r="G4" s="8" t="n"/>
      <c r="H4" s="9" t="n"/>
      <c r="J4" s="98" t="n"/>
      <c r="N4" s="12" t="n"/>
    </row>
    <row r="5" ht="16" customHeight="1" thickBot="1">
      <c r="B5" s="11" t="n"/>
      <c r="C5" s="82" t="n"/>
      <c r="D5" s="82" t="n"/>
      <c r="H5" s="12" t="n"/>
      <c r="J5" s="13" t="n"/>
      <c r="K5" s="14" t="n"/>
      <c r="L5" s="14" t="n"/>
      <c r="M5" s="14" t="n"/>
      <c r="N5" s="15" t="n"/>
    </row>
    <row r="6" ht="16" customHeight="1" thickBot="1">
      <c r="B6" s="16" t="inlineStr">
        <is>
          <t>52 week High</t>
        </is>
      </c>
      <c r="C6" s="93" t="n">
        <v>18.54</v>
      </c>
      <c r="D6" s="118">
        <f>(C4-C6)/C6</f>
        <v/>
      </c>
      <c r="E6" s="80" t="inlineStr">
        <is>
          <t>Trailing P/E</t>
        </is>
      </c>
      <c r="F6" s="17" t="n"/>
      <c r="G6" s="80" t="inlineStr">
        <is>
          <t>Price to book</t>
        </is>
      </c>
      <c r="H6" s="18">
        <f>C4/F36</f>
        <v/>
      </c>
      <c r="L6" s="19" t="n"/>
      <c r="M6" s="20" t="n"/>
    </row>
    <row r="7">
      <c r="B7" s="16" t="inlineStr">
        <is>
          <t>52 week Low</t>
        </is>
      </c>
      <c r="C7" s="93" t="n">
        <v>10</v>
      </c>
      <c r="D7" s="118">
        <f>(C4-C7)/C7</f>
        <v/>
      </c>
      <c r="E7" s="80" t="inlineStr">
        <is>
          <t>Forward P/E</t>
        </is>
      </c>
      <c r="F7" s="82" t="n">
        <v>132.43</v>
      </c>
      <c r="G7" s="80" t="inlineStr">
        <is>
          <t>ROE</t>
        </is>
      </c>
      <c r="H7" s="21" t="n">
        <v>0.61132</v>
      </c>
      <c r="J7" s="5" t="inlineStr">
        <is>
          <t>Competitors</t>
        </is>
      </c>
      <c r="K7" s="77" t="inlineStr">
        <is>
          <t>Genius Brands International</t>
        </is>
      </c>
      <c r="L7" s="78" t="inlineStr">
        <is>
          <t>GNUS</t>
        </is>
      </c>
      <c r="M7" s="20" t="n"/>
      <c r="N7" s="69" t="n"/>
    </row>
    <row r="8">
      <c r="B8" s="16" t="inlineStr">
        <is>
          <t>YTD Change/%</t>
        </is>
      </c>
      <c r="C8" s="22" t="n">
        <v>0.5646</v>
      </c>
      <c r="D8" s="95" t="n"/>
      <c r="E8" s="80" t="inlineStr">
        <is>
          <t>PEG</t>
        </is>
      </c>
      <c r="F8" s="82" t="n"/>
      <c r="G8" s="80" t="inlineStr">
        <is>
          <t>Exchange</t>
        </is>
      </c>
      <c r="H8" s="12" t="inlineStr">
        <is>
          <t>NYSE</t>
        </is>
      </c>
      <c r="J8" s="23" t="n"/>
      <c r="K8" s="99" t="inlineStr">
        <is>
          <t>Swedish Match</t>
        </is>
      </c>
      <c r="L8" s="79" t="inlineStr">
        <is>
          <t>SWMAY</t>
        </is>
      </c>
    </row>
    <row r="9">
      <c r="B9" s="16" t="inlineStr">
        <is>
          <t>Mkt Cap</t>
        </is>
      </c>
      <c r="C9" s="91" t="n">
        <v>4846</v>
      </c>
      <c r="D9" s="82" t="n"/>
      <c r="E9" s="80" t="inlineStr">
        <is>
          <t>Dividend 2022</t>
        </is>
      </c>
      <c r="F9" s="82" t="n">
        <v>0.125</v>
      </c>
      <c r="G9" s="80" t="inlineStr">
        <is>
          <t>Sector</t>
        </is>
      </c>
      <c r="H9" s="12" t="inlineStr">
        <is>
          <t>Consumer Defensive</t>
        </is>
      </c>
      <c r="J9" s="23" t="n"/>
      <c r="K9" s="99" t="inlineStr">
        <is>
          <t>Alto Ingredients</t>
        </is>
      </c>
      <c r="L9" s="79" t="inlineStr">
        <is>
          <t>ALTO</t>
        </is>
      </c>
    </row>
    <row r="10">
      <c r="B10" s="16" t="inlineStr">
        <is>
          <t>EV</t>
        </is>
      </c>
      <c r="C10" s="24" t="n">
        <v>20328</v>
      </c>
      <c r="D10" s="91">
        <f>C10-C9</f>
        <v/>
      </c>
      <c r="E10" s="80" t="inlineStr">
        <is>
          <t>Div. yield</t>
        </is>
      </c>
      <c r="F10" s="95">
        <f>IF(F9&lt;"-",F9/C4,"")</f>
        <v/>
      </c>
      <c r="G10" s="80" t="inlineStr">
        <is>
          <t>Industry</t>
        </is>
      </c>
      <c r="H10" s="12" t="inlineStr">
        <is>
          <t>Grocery Stores</t>
        </is>
      </c>
      <c r="J10" s="23" t="n"/>
      <c r="K10" s="99" t="inlineStr">
        <is>
          <t>Betterware de Mexico SAPI de C</t>
        </is>
      </c>
      <c r="L10" s="79" t="inlineStr">
        <is>
          <t>BWMX</t>
        </is>
      </c>
    </row>
    <row r="11" ht="16" customHeight="1">
      <c r="B11" s="16" t="inlineStr">
        <is>
          <t>Days to Cover</t>
        </is>
      </c>
      <c r="C11" s="93" t="n">
        <v>1.58</v>
      </c>
      <c r="D11" s="82" t="n"/>
      <c r="E11" s="80" t="inlineStr">
        <is>
          <t>Beta</t>
        </is>
      </c>
      <c r="F11" s="93" t="n">
        <v>0.77</v>
      </c>
      <c r="G11" s="80" t="inlineStr">
        <is>
          <t>Website</t>
        </is>
      </c>
      <c r="H11" s="25" t="inlineStr">
        <is>
          <t>https://www.assai.com.br</t>
        </is>
      </c>
      <c r="J11" s="23" t="n"/>
      <c r="K11" s="99" t="n"/>
      <c r="L11" s="79" t="n"/>
    </row>
    <row r="12" ht="15.75" customHeight="1" thickBot="1">
      <c r="B12" s="27" t="inlineStr">
        <is>
          <t>Target Price</t>
        </is>
      </c>
      <c r="C12" s="28" t="n">
        <v>22.09</v>
      </c>
      <c r="D12" s="29" t="n"/>
      <c r="E12" s="14" t="n"/>
      <c r="F12" s="14" t="n"/>
      <c r="G12" s="14" t="n"/>
      <c r="H12" s="15" t="n"/>
      <c r="J12" s="23" t="n"/>
      <c r="L12" s="12" t="n"/>
    </row>
    <row r="13" ht="16" customHeight="1" thickBot="1">
      <c r="D13" s="30" t="n"/>
      <c r="J13" s="23" t="n"/>
      <c r="L13" s="100" t="n"/>
      <c r="M13" s="20" t="n"/>
    </row>
    <row r="14" ht="16" customHeight="1" thickBot="1">
      <c r="G14" s="31" t="inlineStr">
        <is>
          <t>Year End</t>
        </is>
      </c>
      <c r="H14" s="32" t="inlineStr">
        <is>
          <t>December</t>
        </is>
      </c>
      <c r="J14" s="26" t="n"/>
      <c r="K14" s="14" t="n"/>
      <c r="L14" s="15" t="n"/>
    </row>
    <row r="15" ht="16" customHeight="1" thickBot="1">
      <c r="B15" s="5" t="n"/>
      <c r="C15" s="33" t="n">
        <v>2019</v>
      </c>
      <c r="D15" s="33" t="n">
        <v>2020</v>
      </c>
      <c r="E15" s="33" t="n">
        <v>2021</v>
      </c>
      <c r="F15" s="33" t="n">
        <v>2022</v>
      </c>
      <c r="G15" s="33" t="n">
        <v>2023</v>
      </c>
      <c r="H15" s="34" t="n">
        <v>2024</v>
      </c>
    </row>
    <row r="16">
      <c r="B16" s="16" t="inlineStr">
        <is>
          <t>Sales</t>
        </is>
      </c>
      <c r="C16" s="91" t="n">
        <v>6985.57</v>
      </c>
      <c r="D16" s="91" t="n">
        <v>6944.7</v>
      </c>
      <c r="E16" s="91" t="n">
        <v>7522.08</v>
      </c>
      <c r="F16" s="91" t="n">
        <v>85.73</v>
      </c>
      <c r="G16" s="91" t="n">
        <v>184.27</v>
      </c>
      <c r="H16" s="38" t="n">
        <v>210.11</v>
      </c>
      <c r="J16" s="35" t="n"/>
      <c r="K16" s="36" t="inlineStr">
        <is>
          <t>SWMAY</t>
        </is>
      </c>
      <c r="L16" s="36" t="n"/>
      <c r="M16" s="36" t="n"/>
      <c r="N16" s="36" t="n"/>
      <c r="O16" s="36" t="n"/>
      <c r="P16" s="36" t="n"/>
      <c r="Q16" s="36" t="n"/>
      <c r="R16" s="36" t="n"/>
      <c r="S16" s="37" t="inlineStr">
        <is>
          <t>Avg.</t>
        </is>
      </c>
    </row>
    <row r="17" ht="15" customHeight="1">
      <c r="B17" s="16" t="inlineStr">
        <is>
          <t>yoy</t>
        </is>
      </c>
      <c r="C17" s="82" t="n"/>
      <c r="D17" s="95">
        <f>(D16-C16)/C16</f>
        <v/>
      </c>
      <c r="E17" s="95">
        <f>(E16-D16)/D16</f>
        <v/>
      </c>
      <c r="F17" s="95">
        <f>(F16-E16)/E16</f>
        <v/>
      </c>
      <c r="G17" s="95">
        <f>(G16-F16)/F16</f>
        <v/>
      </c>
      <c r="H17" s="39">
        <f>(H16-G16)/G16</f>
        <v/>
      </c>
      <c r="J17" s="16" t="inlineStr">
        <is>
          <t>Mkt Cap</t>
        </is>
      </c>
      <c r="K17" s="91" t="n">
        <v>14853.5</v>
      </c>
      <c r="L17" s="91" t="n"/>
      <c r="M17" s="91" t="n"/>
      <c r="N17" s="91" t="n"/>
      <c r="O17" s="91" t="n"/>
      <c r="P17" s="91" t="n"/>
      <c r="Q17" s="91" t="n"/>
      <c r="R17" s="91" t="n"/>
      <c r="S17" s="38">
        <f>AVERAGE(K17:R17)</f>
        <v/>
      </c>
      <c r="AB17" s="110" t="n"/>
    </row>
    <row r="18" ht="15" customHeight="1">
      <c r="B18" s="16" t="inlineStr">
        <is>
          <t>EBITDA</t>
        </is>
      </c>
      <c r="C18" s="91" t="n">
        <v>2193</v>
      </c>
      <c r="D18" s="91" t="n">
        <v>3475</v>
      </c>
      <c r="E18" s="91" t="n">
        <v>3272</v>
      </c>
      <c r="F18" s="91" t="n">
        <v>0</v>
      </c>
      <c r="G18" s="91" t="n">
        <v>0</v>
      </c>
      <c r="H18" s="38" t="n">
        <v>0</v>
      </c>
      <c r="J18" s="16" t="inlineStr">
        <is>
          <t>EV</t>
        </is>
      </c>
      <c r="K18" s="91" t="n">
        <v>16253.63</v>
      </c>
      <c r="L18" s="91" t="n"/>
      <c r="M18" s="91" t="n"/>
      <c r="N18" s="91" t="n"/>
      <c r="O18" s="91" t="n"/>
      <c r="P18" s="91" t="n"/>
      <c r="Q18" s="91" t="n"/>
      <c r="R18" s="91" t="n"/>
      <c r="S18" s="38">
        <f>AVERAGE(K18:R18)</f>
        <v/>
      </c>
      <c r="AB18" s="110" t="n"/>
    </row>
    <row r="19" ht="15" customHeight="1">
      <c r="B19" s="16" t="inlineStr">
        <is>
          <t>EBITDA margin</t>
        </is>
      </c>
      <c r="C19" s="119">
        <f>IF(C18&lt;"-",C18/C16,"")</f>
        <v/>
      </c>
      <c r="D19" s="119">
        <f>IF(D18&lt;"-",D18/D16,"")</f>
        <v/>
      </c>
      <c r="E19" s="119">
        <f>IF(E18&lt;"-",E18/E16,"")</f>
        <v/>
      </c>
      <c r="F19" s="119">
        <f>IF(F18&lt;"-",F18/F16,"")</f>
        <v/>
      </c>
      <c r="G19" s="119">
        <f>IF(G18&lt;"-",G18/G16,"")</f>
        <v/>
      </c>
      <c r="H19" s="120">
        <f>IF(H18&lt;"-",H18/H16,"")</f>
        <v/>
      </c>
      <c r="J19" s="16" t="inlineStr">
        <is>
          <t>P/E</t>
        </is>
      </c>
      <c r="K19" s="121" t="n">
        <v>22.14</v>
      </c>
      <c r="L19" s="121" t="n"/>
      <c r="M19" s="121" t="n"/>
      <c r="N19" s="121" t="n"/>
      <c r="O19" s="121" t="n"/>
      <c r="P19" s="121" t="n"/>
      <c r="Q19" s="121" t="n"/>
      <c r="R19" s="121" t="n"/>
      <c r="S19" s="38">
        <f>AVERAGE(K19:R19)</f>
        <v/>
      </c>
      <c r="AC19" s="110" t="n"/>
    </row>
    <row r="20" ht="15" customHeight="1">
      <c r="B20" s="16" t="inlineStr">
        <is>
          <t>Operating Profit (EBIT)</t>
        </is>
      </c>
      <c r="C20" s="91" t="n">
        <v>373.63</v>
      </c>
      <c r="D20" s="91" t="n">
        <v>313.1</v>
      </c>
      <c r="E20" s="91" t="n">
        <v>323.52</v>
      </c>
      <c r="F20" s="91" t="n">
        <v>26.74</v>
      </c>
      <c r="G20" s="91" t="n">
        <v>49.1</v>
      </c>
      <c r="H20" s="38" t="n">
        <v>62.58</v>
      </c>
      <c r="J20" s="16" t="inlineStr">
        <is>
          <t>EV/EBITDA</t>
        </is>
      </c>
      <c r="K20" s="121" t="n">
        <v>15.6</v>
      </c>
      <c r="L20" s="121" t="n"/>
      <c r="M20" s="121" t="n"/>
      <c r="N20" s="121" t="n"/>
      <c r="O20" s="121" t="n"/>
      <c r="P20" s="121" t="n"/>
      <c r="Q20" s="121" t="n"/>
      <c r="R20" s="121" t="n"/>
      <c r="S20" s="38">
        <f>AVERAGE(K20:R20)</f>
        <v/>
      </c>
    </row>
    <row r="21" ht="15" customHeight="1">
      <c r="B21" s="16" t="inlineStr">
        <is>
          <t>EBIT margin</t>
        </is>
      </c>
      <c r="C21" s="119">
        <f>C20/C16</f>
        <v/>
      </c>
      <c r="D21" s="119">
        <f>D20/D16</f>
        <v/>
      </c>
      <c r="E21" s="119">
        <f>E20/E16</f>
        <v/>
      </c>
      <c r="F21" s="119">
        <f>F20/F16</f>
        <v/>
      </c>
      <c r="G21" s="119">
        <f>G20/G16</f>
        <v/>
      </c>
      <c r="H21" s="120">
        <f>H20/H16</f>
        <v/>
      </c>
      <c r="J21" s="16" t="inlineStr">
        <is>
          <t>EV/EBIT</t>
        </is>
      </c>
      <c r="K21" s="121" t="n">
        <v>16.75</v>
      </c>
      <c r="L21" s="121" t="n"/>
      <c r="M21" s="121" t="n"/>
      <c r="N21" s="121" t="n"/>
      <c r="O21" s="121" t="n"/>
      <c r="P21" s="121" t="n"/>
      <c r="Q21" s="121" t="n"/>
      <c r="R21" s="121" t="n"/>
      <c r="S21" s="38">
        <f>AVERAGE(K21:R21)</f>
        <v/>
      </c>
      <c r="AC21" s="110" t="n"/>
    </row>
    <row r="22" ht="15" customHeight="1">
      <c r="B22" s="16" t="inlineStr">
        <is>
          <t>Net income</t>
        </is>
      </c>
      <c r="C22" s="91" t="n">
        <v>264.43</v>
      </c>
      <c r="D22" s="91" t="n">
        <v>198.65</v>
      </c>
      <c r="E22" s="91" t="n">
        <v>289.05</v>
      </c>
      <c r="F22" s="91" t="n">
        <v>14.83</v>
      </c>
      <c r="G22" s="91" t="n">
        <v>32.13</v>
      </c>
      <c r="H22" s="38" t="n">
        <v>41.12</v>
      </c>
      <c r="J22" s="16" t="inlineStr">
        <is>
          <t>EV/Revenues</t>
        </is>
      </c>
      <c r="K22" s="121" t="n">
        <v>7.54</v>
      </c>
      <c r="L22" s="121" t="n"/>
      <c r="M22" s="121" t="n"/>
      <c r="N22" s="121" t="n"/>
      <c r="O22" s="121" t="n"/>
      <c r="P22" s="121" t="n"/>
      <c r="Q22" s="121" t="n"/>
      <c r="R22" s="121" t="n"/>
      <c r="S22" s="38">
        <f>AVERAGE(K22:R22)</f>
        <v/>
      </c>
      <c r="AB22" s="110" t="n"/>
      <c r="AC22" s="110" t="n"/>
      <c r="AE22" s="110" t="n"/>
    </row>
    <row r="23" ht="15" customHeight="1">
      <c r="B23" s="16" t="inlineStr">
        <is>
          <t>Net Margin</t>
        </is>
      </c>
      <c r="C23" s="119">
        <f>C22/C16</f>
        <v/>
      </c>
      <c r="D23" s="119">
        <f>D22/D16</f>
        <v/>
      </c>
      <c r="E23" s="119">
        <f>E22/E16</f>
        <v/>
      </c>
      <c r="F23" s="119">
        <f>F22/F16</f>
        <v/>
      </c>
      <c r="G23" s="119">
        <f>G22/G16</f>
        <v/>
      </c>
      <c r="H23" s="120">
        <f>H22/H16</f>
        <v/>
      </c>
      <c r="J23" s="16" t="inlineStr">
        <is>
          <t>PB</t>
        </is>
      </c>
      <c r="K23" s="93" t="n"/>
      <c r="L23" s="93" t="n"/>
      <c r="M23" s="93" t="n"/>
      <c r="N23" s="93" t="n"/>
      <c r="O23" s="93" t="n"/>
      <c r="P23" s="93" t="n"/>
      <c r="Q23" s="93" t="n"/>
      <c r="R23" s="93" t="n"/>
      <c r="S23" s="38">
        <f>AVERAGE(K23:R23)</f>
        <v/>
      </c>
    </row>
    <row r="24" ht="15" customHeight="1">
      <c r="B24" s="16" t="n"/>
      <c r="C24" s="82" t="n"/>
      <c r="D24" s="43">
        <f>(D22-C22)/C22</f>
        <v/>
      </c>
      <c r="E24" s="43">
        <f>(E22-D22)/D22</f>
        <v/>
      </c>
      <c r="F24" s="43">
        <f>(F22-E22)/E22</f>
        <v/>
      </c>
      <c r="G24" s="43">
        <f>(G22-F22)/F22</f>
        <v/>
      </c>
      <c r="H24" s="44">
        <f>(H22-G22)/G22</f>
        <v/>
      </c>
      <c r="J24" s="16" t="inlineStr">
        <is>
          <t>EBITDA margin</t>
        </is>
      </c>
      <c r="K24" s="118" t="n">
        <v>0.48</v>
      </c>
      <c r="L24" s="118" t="n"/>
      <c r="M24" s="118" t="n"/>
      <c r="N24" s="118" t="n"/>
      <c r="O24" s="118" t="n"/>
      <c r="P24" s="118" t="n"/>
      <c r="Q24" s="118" t="n"/>
      <c r="R24" s="118" t="n"/>
      <c r="S24" s="38">
        <f>AVERAGE(K24:R24)</f>
        <v/>
      </c>
    </row>
    <row r="25" ht="15" customHeight="1">
      <c r="B25" s="16" t="inlineStr">
        <is>
          <t>P/E ratio</t>
        </is>
      </c>
      <c r="C25" s="82" t="n">
        <v>38.01</v>
      </c>
      <c r="D25" s="82" t="n">
        <v>38.01</v>
      </c>
      <c r="E25" s="17" t="n">
        <v>53.5</v>
      </c>
      <c r="F25" s="82" t="n">
        <v>4.59</v>
      </c>
      <c r="G25" s="82" t="n">
        <v>3.78</v>
      </c>
      <c r="H25" s="45" t="n">
        <v>2.94</v>
      </c>
      <c r="J25" s="16" t="inlineStr">
        <is>
          <t>EBIT margin</t>
        </is>
      </c>
      <c r="K25" s="118" t="n">
        <v>0.45</v>
      </c>
      <c r="L25" s="118" t="n"/>
      <c r="M25" s="118" t="n"/>
      <c r="N25" s="118" t="n"/>
      <c r="O25" s="118" t="n"/>
      <c r="P25" s="118" t="n"/>
      <c r="Q25" s="118" t="n"/>
      <c r="R25" s="118" t="n"/>
      <c r="S25" s="38">
        <f>AVERAGE(K25:R25)</f>
        <v/>
      </c>
      <c r="AC25" s="110" t="n"/>
    </row>
    <row r="26" ht="15" customHeight="1">
      <c r="B26" s="16" t="inlineStr">
        <is>
          <t>EPS</t>
        </is>
      </c>
      <c r="C26" s="82" t="n">
        <v>0.2</v>
      </c>
      <c r="D26" s="82" t="n">
        <v>0.2</v>
      </c>
      <c r="E26" s="93" t="n">
        <v>0.22</v>
      </c>
      <c r="F26" s="82" t="n">
        <v>0.12</v>
      </c>
      <c r="G26" s="82" t="n">
        <v>0.28</v>
      </c>
      <c r="H26" s="45" t="n">
        <v>0.36</v>
      </c>
      <c r="J26" s="16" t="inlineStr">
        <is>
          <t>Net margin</t>
        </is>
      </c>
      <c r="K26" s="118" t="n">
        <v>0.3135</v>
      </c>
      <c r="L26" s="118" t="n"/>
      <c r="M26" s="118" t="n"/>
      <c r="N26" s="118" t="n"/>
      <c r="O26" s="118" t="n"/>
      <c r="P26" s="118" t="n"/>
      <c r="Q26" s="118" t="n"/>
      <c r="R26" s="118" t="n"/>
      <c r="S26" s="38">
        <f>AVERAGE(K26:R26)</f>
        <v/>
      </c>
    </row>
    <row r="27" ht="15" customHeight="1">
      <c r="B27" s="16" t="inlineStr">
        <is>
          <t>yoy</t>
        </is>
      </c>
      <c r="C27" s="82" t="n"/>
      <c r="D27" s="95">
        <f>(D26-C26)/ABS(C26)</f>
        <v/>
      </c>
      <c r="E27" s="95">
        <f>IF(D26&gt;0,(E26-D26)/D26,"")</f>
        <v/>
      </c>
      <c r="F27" s="95">
        <f>IF(E26&gt;0,(F26-E26)/E26,"")</f>
        <v/>
      </c>
      <c r="G27" s="95">
        <f>IF(F26&gt;0,(G26-F26)/F26,"")</f>
        <v/>
      </c>
      <c r="H27" s="39">
        <f>IF(G26&gt;0,(H26-G26)/G26,"")</f>
        <v/>
      </c>
      <c r="J27" s="16" t="inlineStr">
        <is>
          <t>Dividend Yield</t>
        </is>
      </c>
      <c r="K27" s="95" t="n">
        <v>0.006500000000000001</v>
      </c>
      <c r="L27" s="95" t="n"/>
      <c r="M27" s="95" t="n"/>
      <c r="N27" s="95" t="n"/>
      <c r="O27" s="95" t="n"/>
      <c r="P27" s="95" t="n"/>
      <c r="Q27" s="95" t="n"/>
      <c r="R27" s="95" t="n"/>
      <c r="S27" s="38">
        <f>AVERAGE(K27:R27)</f>
        <v/>
      </c>
      <c r="AB27" s="46" t="n"/>
      <c r="AC27" s="20" t="n"/>
      <c r="AD27" s="20" t="n"/>
      <c r="AE27" s="20" t="n"/>
    </row>
    <row r="28" ht="15" customHeight="1" thickBot="1">
      <c r="B28" s="16" t="inlineStr">
        <is>
          <t>EV/EBITDA</t>
        </is>
      </c>
      <c r="C28" s="121">
        <f>IF(C18&lt;"-",$C$10/C18,"")</f>
        <v/>
      </c>
      <c r="D28" s="121">
        <f>IF(D18&lt;"-",$C$10/D18,"")</f>
        <v/>
      </c>
      <c r="E28" s="121">
        <f>IF(E18&lt;"-",$C$10/E18,"")</f>
        <v/>
      </c>
      <c r="F28" s="121">
        <f>IF(F18&lt;"-",$C$10/F18,"")</f>
        <v/>
      </c>
      <c r="G28" s="121">
        <f>IF(G18&lt;"-",$C$10/G18,"")</f>
        <v/>
      </c>
      <c r="H28" s="122">
        <f>IF(H18&lt;"-",$C$10/H18,"")</f>
        <v/>
      </c>
      <c r="J28" s="27" t="inlineStr">
        <is>
          <t>ROE</t>
        </is>
      </c>
      <c r="K28" s="29" t="n">
        <v>-0.8803</v>
      </c>
      <c r="L28" s="29" t="n"/>
      <c r="M28" s="29" t="n"/>
      <c r="N28" s="29" t="n"/>
      <c r="O28" s="29" t="n"/>
      <c r="P28" s="29" t="n"/>
      <c r="Q28" s="29" t="n"/>
      <c r="R28" s="29" t="n"/>
      <c r="S28" s="96">
        <f>AVERAGE(K28:R28)</f>
        <v/>
      </c>
    </row>
    <row r="29" ht="15" customHeight="1">
      <c r="B29" s="16" t="inlineStr">
        <is>
          <t>EV/EBIT</t>
        </is>
      </c>
      <c r="C29" s="121">
        <f>$C$10/C20</f>
        <v/>
      </c>
      <c r="D29" s="121">
        <f>$C$10/D20</f>
        <v/>
      </c>
      <c r="E29" s="121">
        <f>$C$10/E20</f>
        <v/>
      </c>
      <c r="F29" s="121">
        <f>$C$10/F20</f>
        <v/>
      </c>
      <c r="G29" s="121">
        <f>$C$10/G20</f>
        <v/>
      </c>
      <c r="H29" s="122">
        <f>$C$10/H20</f>
        <v/>
      </c>
    </row>
    <row r="30" ht="15" customHeight="1" thickBot="1">
      <c r="B30" s="27" t="inlineStr">
        <is>
          <t>EV/Revenues</t>
        </is>
      </c>
      <c r="C30" s="123">
        <f>$C$10/C16</f>
        <v/>
      </c>
      <c r="D30" s="123">
        <f>$C$10/D16</f>
        <v/>
      </c>
      <c r="E30" s="123">
        <f>$C$10/E16</f>
        <v/>
      </c>
      <c r="F30" s="123">
        <f>$C$10/F16</f>
        <v/>
      </c>
      <c r="G30" s="123">
        <f>$C$10/G16</f>
        <v/>
      </c>
      <c r="H30" s="124">
        <f>$C$10/H16</f>
        <v/>
      </c>
      <c r="J30" s="69" t="inlineStr">
        <is>
          <t>Historical Surprises</t>
        </is>
      </c>
    </row>
    <row r="31" ht="16" customHeight="1" thickBot="1">
      <c r="J31" s="35" t="n"/>
      <c r="K31" s="49" t="n"/>
      <c r="L31" s="33" t="inlineStr">
        <is>
          <t>Estimate</t>
        </is>
      </c>
      <c r="M31" s="33" t="inlineStr">
        <is>
          <t xml:space="preserve">Actual </t>
        </is>
      </c>
      <c r="N31" s="33" t="inlineStr">
        <is>
          <t>Diff.m</t>
        </is>
      </c>
      <c r="O31" s="37" t="inlineStr">
        <is>
          <t>Surprise %</t>
        </is>
      </c>
    </row>
    <row r="32" ht="16" customHeight="1">
      <c r="B32" s="5" t="inlineStr">
        <is>
          <t>Debt</t>
        </is>
      </c>
      <c r="C32" s="50" t="n">
        <v>3127.36</v>
      </c>
      <c r="D32" s="51" t="n">
        <v>2043.74</v>
      </c>
      <c r="E32" s="51" t="n">
        <v>2169.48</v>
      </c>
      <c r="F32" s="51" t="n">
        <v>0</v>
      </c>
      <c r="G32" s="51" t="n">
        <v>0</v>
      </c>
      <c r="H32" s="52" t="n">
        <v>0</v>
      </c>
      <c r="J32" s="16" t="inlineStr">
        <is>
          <t>Q-1</t>
        </is>
      </c>
      <c r="K32" s="80" t="inlineStr">
        <is>
          <t>Sales</t>
        </is>
      </c>
      <c r="L32" s="91" t="n"/>
      <c r="M32" s="91" t="n"/>
      <c r="N32" s="81">
        <f>M32-L32</f>
        <v/>
      </c>
      <c r="O32" s="21">
        <f>N32/L32</f>
        <v/>
      </c>
    </row>
    <row r="33" ht="16" customHeight="1">
      <c r="B33" s="16" t="inlineStr">
        <is>
          <t>EBITDA</t>
        </is>
      </c>
      <c r="C33" s="91">
        <f>C18</f>
        <v/>
      </c>
      <c r="D33" s="91">
        <f>D18</f>
        <v/>
      </c>
      <c r="E33" s="91">
        <f>E18</f>
        <v/>
      </c>
      <c r="F33" s="91">
        <f>F18</f>
        <v/>
      </c>
      <c r="G33" s="91">
        <f>G18</f>
        <v/>
      </c>
      <c r="H33" s="38">
        <f>H18</f>
        <v/>
      </c>
      <c r="J33" s="16" t="n"/>
      <c r="K33" s="80" t="inlineStr">
        <is>
          <t>Earnings</t>
        </is>
      </c>
      <c r="L33" s="82" t="n"/>
      <c r="M33" s="82" t="n"/>
      <c r="N33" s="81">
        <f>M33-L33</f>
        <v/>
      </c>
      <c r="O33" s="21">
        <f>N33/L33</f>
        <v/>
      </c>
    </row>
    <row r="34" ht="16" customHeight="1">
      <c r="B34" s="16" t="inlineStr">
        <is>
          <t>Debt /EBITDA</t>
        </is>
      </c>
      <c r="C34" s="93">
        <f>IF(C32&gt;0,C32/C33,"")</f>
        <v/>
      </c>
      <c r="D34" s="93">
        <f>IF(D32&gt;0,D32/D33,"")</f>
        <v/>
      </c>
      <c r="E34" s="93">
        <f>IF(E32&gt;0,E32/E33,"")</f>
        <v/>
      </c>
      <c r="F34" s="93">
        <f>IF(F32&gt;0,F32/F33,"")</f>
        <v/>
      </c>
      <c r="G34" s="93">
        <f>IF(G32&gt;0,G32/G33,"")</f>
        <v/>
      </c>
      <c r="H34" s="18">
        <f>IF(H32&gt;0,H32/H33,"")</f>
        <v/>
      </c>
      <c r="J34" s="16" t="inlineStr">
        <is>
          <t>Q-2</t>
        </is>
      </c>
      <c r="K34" s="80" t="inlineStr">
        <is>
          <t>Sales</t>
        </is>
      </c>
      <c r="L34" s="91" t="n"/>
      <c r="M34" s="91" t="n"/>
      <c r="N34" s="81">
        <f>M34-L34</f>
        <v/>
      </c>
      <c r="O34" s="21">
        <f>N34/L34</f>
        <v/>
      </c>
    </row>
    <row r="35" ht="16" customHeight="1">
      <c r="B35" s="16" t="inlineStr">
        <is>
          <t>Cash Flow per share</t>
        </is>
      </c>
      <c r="C35" s="53" t="n">
        <v>3.04</v>
      </c>
      <c r="D35" s="53" t="n">
        <v>2.51</v>
      </c>
      <c r="E35" s="53" t="n">
        <v>2.18</v>
      </c>
      <c r="F35" s="53" t="n">
        <v>0</v>
      </c>
      <c r="G35" s="53" t="n">
        <v>0</v>
      </c>
      <c r="H35" s="54" t="n">
        <v>0</v>
      </c>
      <c r="J35" s="16" t="n"/>
      <c r="K35" s="80" t="inlineStr">
        <is>
          <t>Earnings</t>
        </is>
      </c>
      <c r="L35" s="82" t="n"/>
      <c r="M35" s="82" t="n"/>
      <c r="N35" s="81">
        <f>M35-L35</f>
        <v/>
      </c>
      <c r="O35" s="21">
        <f>N35/L35</f>
        <v/>
      </c>
    </row>
    <row r="36" ht="16" customHeight="1" thickBot="1">
      <c r="B36" s="27" t="inlineStr">
        <is>
          <t>Book Value per share</t>
        </is>
      </c>
      <c r="C36" s="55" t="n">
        <v>6.84</v>
      </c>
      <c r="D36" s="55" t="n">
        <v>1.01</v>
      </c>
      <c r="E36" s="55" t="n">
        <v>1.85</v>
      </c>
      <c r="F36" s="55" t="n">
        <v>1.09</v>
      </c>
      <c r="G36" s="55" t="n">
        <v>1.21</v>
      </c>
      <c r="H36" s="56" t="n">
        <v>1.4</v>
      </c>
      <c r="J36" s="16" t="inlineStr">
        <is>
          <t>Q-3</t>
        </is>
      </c>
      <c r="K36" s="80" t="inlineStr">
        <is>
          <t>Sales</t>
        </is>
      </c>
      <c r="L36" s="91" t="n"/>
      <c r="M36" s="91" t="n"/>
      <c r="N36" s="81">
        <f>M36-L36</f>
        <v/>
      </c>
      <c r="O36" s="21">
        <f>N36/L36</f>
        <v/>
      </c>
    </row>
    <row r="37" ht="16" customHeight="1" thickBot="1">
      <c r="J37" s="16" t="n"/>
      <c r="K37" s="80" t="inlineStr">
        <is>
          <t>Earnings</t>
        </is>
      </c>
      <c r="L37" s="82" t="n"/>
      <c r="M37" s="82" t="n"/>
      <c r="N37" s="81">
        <f>M37-L37</f>
        <v/>
      </c>
      <c r="O37" s="21">
        <f>N37/L37</f>
        <v/>
      </c>
    </row>
    <row r="38" ht="16" customHeight="1">
      <c r="B38" s="5" t="inlineStr">
        <is>
          <t>Volume</t>
        </is>
      </c>
      <c r="C38" s="57" t="n">
        <v>279568</v>
      </c>
      <c r="F38" s="5" t="inlineStr">
        <is>
          <t>50 MAV</t>
        </is>
      </c>
      <c r="G38" s="58" t="n">
        <v>17.48</v>
      </c>
      <c r="H38" s="125">
        <f>(C4-G38)/G38</f>
        <v/>
      </c>
      <c r="J38" s="16" t="inlineStr">
        <is>
          <t>Q-4</t>
        </is>
      </c>
      <c r="K38" s="80" t="inlineStr">
        <is>
          <t>Sales</t>
        </is>
      </c>
      <c r="L38" s="91" t="n"/>
      <c r="M38" s="91" t="n"/>
      <c r="N38" s="81">
        <f>M38-L38</f>
        <v/>
      </c>
      <c r="O38" s="21">
        <f>N38/L38</f>
        <v/>
      </c>
    </row>
    <row r="39" ht="16" customHeight="1" thickBot="1">
      <c r="B39" s="16" t="inlineStr">
        <is>
          <t>Avg Vol 10 days</t>
        </is>
      </c>
      <c r="C39" s="38" t="inlineStr">
        <is>
          <t>253.95k</t>
        </is>
      </c>
      <c r="F39" s="27" t="inlineStr">
        <is>
          <t>200 MAV</t>
        </is>
      </c>
      <c r="G39" s="60" t="n">
        <v>15.04</v>
      </c>
      <c r="H39" s="126">
        <f>(C4-G39)/G39</f>
        <v/>
      </c>
      <c r="J39" s="27" t="n"/>
      <c r="K39" s="62" t="inlineStr">
        <is>
          <t>Earnings</t>
        </is>
      </c>
      <c r="L39" s="63" t="n"/>
      <c r="M39" s="63" t="n"/>
      <c r="N39" s="83">
        <f>M39-L39</f>
        <v/>
      </c>
      <c r="O39" s="84">
        <f>N39/L39</f>
        <v/>
      </c>
    </row>
    <row r="40" ht="16" customHeight="1" thickBot="1">
      <c r="B40" s="27" t="inlineStr">
        <is>
          <t>Avg Vol 3Months</t>
        </is>
      </c>
      <c r="C40" s="64" t="inlineStr">
        <is>
          <t>256.3k</t>
        </is>
      </c>
    </row>
    <row r="41" ht="16" customHeight="1">
      <c r="F41" s="5" t="inlineStr">
        <is>
          <t>Buyback Year</t>
        </is>
      </c>
      <c r="G41" s="8" t="n"/>
      <c r="H41" s="65" t="n">
        <v>0</v>
      </c>
    </row>
    <row r="42" ht="16" customHeight="1" thickBot="1">
      <c r="F42" s="27" t="inlineStr">
        <is>
          <t>Buyback Quarter</t>
        </is>
      </c>
      <c r="G42" s="14" t="n"/>
      <c r="H42" s="15" t="n"/>
    </row>
    <row r="43" ht="19.5" customHeight="1" thickBot="1"/>
    <row r="44" ht="18" customHeight="1" thickBot="1">
      <c r="B44" s="5" t="inlineStr">
        <is>
          <t>Sales Per Region</t>
        </is>
      </c>
      <c r="C44" s="71" t="n"/>
      <c r="D44" s="85" t="n"/>
      <c r="E44" s="74">
        <f>D44/$E$16</f>
        <v/>
      </c>
      <c r="G44" s="5" t="inlineStr">
        <is>
          <t>Sales Per Business</t>
        </is>
      </c>
      <c r="H44" s="71" t="n"/>
      <c r="I44" s="85" t="n"/>
      <c r="J44" s="74">
        <f>I44/$E$16</f>
        <v/>
      </c>
      <c r="L44" s="111" t="inlineStr">
        <is>
          <t>Sendas Distribuidora S.A. engages in the retail and wholesale sale of food products, bazaar items, and other products in Brazil. As of March 31, 2022, the company operated 216 stores under the Assaí banner, as well as 13 distribution centers. It serves restaurants, pizzerias, snack bars, schools, small businesses, religious institutions, hospitals, hotels, grocery stores, neighborhood supermarkets, and individuals. The company sells its products through brick-and-mortar stores, as well as through telesales. Sendas Distribuidora S.A. was founded in 1974 and is headquartered in Rio de Janeiro, Brazil.</t>
        </is>
      </c>
      <c r="M44" s="112" t="n"/>
      <c r="N44" s="112" t="n"/>
      <c r="O44" s="112" t="n"/>
      <c r="P44" s="112" t="n"/>
      <c r="Q44" s="113" t="n"/>
    </row>
    <row r="45">
      <c r="B45" s="66" t="n"/>
      <c r="C45" s="73" t="n"/>
      <c r="D45" s="86" t="n"/>
      <c r="E45" s="75">
        <f>D45/$E$16</f>
        <v/>
      </c>
      <c r="G45" s="66" t="n"/>
      <c r="H45" s="73" t="n"/>
      <c r="I45" s="87" t="n"/>
      <c r="J45" s="75">
        <f>I45/$E$16</f>
        <v/>
      </c>
      <c r="L45" s="114" t="n"/>
      <c r="Q45" s="115" t="n"/>
    </row>
    <row r="46" ht="32" customHeight="1">
      <c r="B46" s="66" t="n"/>
      <c r="C46" s="73" t="n"/>
      <c r="D46" s="86" t="n"/>
      <c r="E46" s="75">
        <f>D46/$E$16</f>
        <v/>
      </c>
      <c r="G46" s="66" t="n"/>
      <c r="H46" s="73" t="n"/>
      <c r="I46" s="87" t="n"/>
      <c r="J46" s="75">
        <f>I46/$E$16</f>
        <v/>
      </c>
      <c r="L46" s="114" t="n"/>
      <c r="Q46" s="115" t="n"/>
    </row>
    <row r="47" ht="25.5" customHeight="1" thickBot="1">
      <c r="B47" s="67" t="n"/>
      <c r="C47" s="70" t="n"/>
      <c r="D47" s="88" t="n"/>
      <c r="E47" s="76">
        <f>D47/$E$16</f>
        <v/>
      </c>
      <c r="G47" s="67" t="n"/>
      <c r="H47" s="72" t="n"/>
      <c r="I47" s="89" t="n"/>
      <c r="J47" s="76">
        <f>I47/$E$16</f>
        <v/>
      </c>
      <c r="L47" s="116" t="n"/>
      <c r="M47" s="106" t="n"/>
      <c r="N47" s="106" t="n"/>
      <c r="O47" s="106" t="n"/>
      <c r="P47" s="106" t="n"/>
      <c r="Q47" s="117" t="n"/>
    </row>
    <row r="361">
      <c r="H361" s="105"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2022-10-15T06:29:51Z</dcterms:modified>
  <cp:lastModifiedBy>Mark Mukherjee</cp:lastModifiedBy>
</cp:coreProperties>
</file>