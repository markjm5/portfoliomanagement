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80D6B80E-C0F4-2B48-8D93-3D32B30CC706}" xr6:coauthVersionLast="47" xr6:coauthVersionMax="47" xr10:uidLastSave="{00000000-0000-0000-0000-000000000000}"/>
  <bookViews>
    <workbookView xWindow="-50900" yWindow="660" windowWidth="50900" windowHeight="26000" activeTab="1" xr2:uid="{00000000-000D-0000-FFFF-FFFF00000000}"/>
  </bookViews>
  <sheets>
    <sheet name="Note" sheetId="1" r:id="rId1"/>
    <sheet name="Template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8" i="2" l="1"/>
  <c r="S19" i="2"/>
  <c r="S20" i="2"/>
  <c r="S21" i="2"/>
  <c r="S22" i="2"/>
  <c r="S23" i="2"/>
  <c r="S24" i="2"/>
  <c r="S25" i="2"/>
  <c r="S26" i="2"/>
  <c r="S27" i="2"/>
  <c r="S28" i="2"/>
  <c r="S17" i="2"/>
  <c r="J47" i="2"/>
  <c r="E47" i="2"/>
  <c r="J46" i="2"/>
  <c r="E46" i="2"/>
  <c r="J45" i="2"/>
  <c r="E45" i="2"/>
  <c r="J44" i="2"/>
  <c r="E44" i="2"/>
  <c r="N39" i="2"/>
  <c r="O39" i="2" s="1"/>
  <c r="H39" i="2"/>
  <c r="O38" i="2"/>
  <c r="N38" i="2"/>
  <c r="H38" i="2"/>
  <c r="O37" i="2"/>
  <c r="N37" i="2"/>
  <c r="N36" i="2"/>
  <c r="O36" i="2" s="1"/>
  <c r="N35" i="2"/>
  <c r="O35" i="2" s="1"/>
  <c r="N34" i="2"/>
  <c r="O34" i="2" s="1"/>
  <c r="H34" i="2"/>
  <c r="G34" i="2"/>
  <c r="F34" i="2"/>
  <c r="E34" i="2"/>
  <c r="D34" i="2"/>
  <c r="C34" i="2"/>
  <c r="N33" i="2"/>
  <c r="O33" i="2" s="1"/>
  <c r="H33" i="2"/>
  <c r="G33" i="2"/>
  <c r="F33" i="2"/>
  <c r="E33" i="2"/>
  <c r="D33" i="2"/>
  <c r="C33" i="2"/>
  <c r="N32" i="2"/>
  <c r="O32" i="2" s="1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H27" i="2"/>
  <c r="G27" i="2"/>
  <c r="F27" i="2"/>
  <c r="E27" i="2"/>
  <c r="D27" i="2"/>
  <c r="H24" i="2"/>
  <c r="G24" i="2"/>
  <c r="F24" i="2"/>
  <c r="E24" i="2"/>
  <c r="D24" i="2"/>
  <c r="H23" i="2"/>
  <c r="G23" i="2"/>
  <c r="F23" i="2"/>
  <c r="E23" i="2"/>
  <c r="D23" i="2"/>
  <c r="C23" i="2"/>
  <c r="H21" i="2"/>
  <c r="G21" i="2"/>
  <c r="F21" i="2"/>
  <c r="E21" i="2"/>
  <c r="D21" i="2"/>
  <c r="C21" i="2"/>
  <c r="H19" i="2"/>
  <c r="G19" i="2"/>
  <c r="F19" i="2"/>
  <c r="E19" i="2"/>
  <c r="D19" i="2"/>
  <c r="C19" i="2"/>
  <c r="H17" i="2"/>
  <c r="G17" i="2"/>
  <c r="F17" i="2"/>
  <c r="E17" i="2"/>
  <c r="D17" i="2"/>
  <c r="F10" i="2"/>
  <c r="D10" i="2"/>
  <c r="F7" i="2"/>
  <c r="D7" i="2"/>
  <c r="H6" i="2"/>
  <c r="F6" i="2"/>
  <c r="D6" i="2"/>
</calcChain>
</file>

<file path=xl/sharedStrings.xml><?xml version="1.0" encoding="utf-8"?>
<sst xmlns="http://schemas.openxmlformats.org/spreadsheetml/2006/main" count="90" uniqueCount="73">
  <si>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</si>
  <si>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</si>
  <si>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</si>
  <si>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</si>
  <si>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</si>
  <si>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</si>
  <si>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</si>
  <si>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</si>
  <si>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</si>
  <si>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</si>
  <si>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Last</t>
  </si>
  <si>
    <t>52 week High</t>
  </si>
  <si>
    <t>Trailing P/E</t>
  </si>
  <si>
    <t>Price to book</t>
  </si>
  <si>
    <t>52 week Low</t>
  </si>
  <si>
    <t>Forward P/E</t>
  </si>
  <si>
    <t>ROE</t>
  </si>
  <si>
    <t>Competitors</t>
  </si>
  <si>
    <t>YTD Change/%</t>
  </si>
  <si>
    <t>PEG</t>
  </si>
  <si>
    <t>Exchange</t>
  </si>
  <si>
    <t>Mkt Cap</t>
  </si>
  <si>
    <t>Dividend YYYY</t>
  </si>
  <si>
    <t>Sector</t>
  </si>
  <si>
    <t>EV</t>
  </si>
  <si>
    <t>Div. yield</t>
  </si>
  <si>
    <t>Industry</t>
  </si>
  <si>
    <t>Days to Cover</t>
  </si>
  <si>
    <t>Beta</t>
  </si>
  <si>
    <t>Website</t>
  </si>
  <si>
    <t>Target Price</t>
  </si>
  <si>
    <t>Year End</t>
  </si>
  <si>
    <t>Avg.</t>
  </si>
  <si>
    <t>Sales</t>
  </si>
  <si>
    <t>yoy</t>
  </si>
  <si>
    <t>EBITDA</t>
  </si>
  <si>
    <t>P/E</t>
  </si>
  <si>
    <t>EBITDA margin</t>
  </si>
  <si>
    <t>EV/EBITDA</t>
  </si>
  <si>
    <t>Operating Profit (EBIT)</t>
  </si>
  <si>
    <t>EV/EBIT</t>
  </si>
  <si>
    <t>EBIT margin</t>
  </si>
  <si>
    <t>EV/Revenues</t>
  </si>
  <si>
    <t>Net income</t>
  </si>
  <si>
    <t>PB</t>
  </si>
  <si>
    <t>Net Margin</t>
  </si>
  <si>
    <t>P/E ratio</t>
  </si>
  <si>
    <t>Net margin</t>
  </si>
  <si>
    <t>EPS</t>
  </si>
  <si>
    <t>Dividend Yield</t>
  </si>
  <si>
    <t>Historical Surprises</t>
  </si>
  <si>
    <t>Estimate</t>
  </si>
  <si>
    <t xml:space="preserve">Actual </t>
  </si>
  <si>
    <t>Diff.m</t>
  </si>
  <si>
    <t>Surprise %</t>
  </si>
  <si>
    <t>Debt</t>
  </si>
  <si>
    <t>Q-1</t>
  </si>
  <si>
    <t>Earnings</t>
  </si>
  <si>
    <t>Debt /EBITDA</t>
  </si>
  <si>
    <t>Q-2</t>
  </si>
  <si>
    <t>Cash Flow per share</t>
  </si>
  <si>
    <t>Book Value per share</t>
  </si>
  <si>
    <t>Q-3</t>
  </si>
  <si>
    <t>Volume</t>
  </si>
  <si>
    <t>50 MAV</t>
  </si>
  <si>
    <t>Q-4</t>
  </si>
  <si>
    <t>Avg Vol 10 days</t>
  </si>
  <si>
    <t>200 MAV</t>
  </si>
  <si>
    <t>Avg Vol 3Months</t>
  </si>
  <si>
    <t>Buyback Year</t>
  </si>
  <si>
    <t>Buyback Quarter</t>
  </si>
  <si>
    <t>Sales Per Region</t>
  </si>
  <si>
    <t>Sales Per 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</si>
</sst>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;[Red]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26262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124">
    <xf numFmtId="0" fontId="0" fillId="0" borderId="0" xfId="0"/>
    <xf numFmtId="0" fontId="0" fillId="0" borderId="0" xfId="0" applyAlignment="1">
      <alignment vertical="center"/>
    </xf>
    <xf numFmtId="0" fontId="1" fillId="6" borderId="14" xfId="0" applyFont="1" applyFill="1" applyBorder="1"/>
    <xf numFmtId="0" fontId="6" fillId="6" borderId="9" xfId="0" applyFont="1" applyFill="1" applyBorder="1"/>
    <xf numFmtId="0" fontId="1" fillId="6" borderId="10" xfId="0" applyFont="1" applyFill="1" applyBorder="1"/>
    <xf numFmtId="0" fontId="1" fillId="5" borderId="1" xfId="0" applyFont="1" applyFill="1" applyBorder="1"/>
    <xf numFmtId="2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14" fontId="1" fillId="5" borderId="1" xfId="0" applyNumberFormat="1" applyFont="1" applyFill="1" applyBorder="1" applyAlignment="1">
      <alignment horizontal="center"/>
    </xf>
    <xf numFmtId="14" fontId="0" fillId="2" borderId="4" xfId="0" applyNumberFormat="1" applyFill="1" applyBorder="1"/>
    <xf numFmtId="0" fontId="0" fillId="2" borderId="5" xfId="0" applyFill="1" applyBorder="1"/>
    <xf numFmtId="14" fontId="1" fillId="5" borderId="6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1" fillId="5" borderId="4" xfId="0" applyFont="1" applyFill="1" applyBorder="1"/>
    <xf numFmtId="2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2" borderId="5" xfId="0" applyNumberFormat="1" applyFill="1" applyBorder="1" applyAlignment="1">
      <alignment horizontal="center"/>
    </xf>
    <xf numFmtId="2" fontId="5" fillId="2" borderId="0" xfId="0" applyNumberFormat="1" applyFont="1" applyFill="1"/>
    <xf numFmtId="10" fontId="0" fillId="2" borderId="0" xfId="0" applyNumberFormat="1" applyFill="1"/>
    <xf numFmtId="10" fontId="0" fillId="2" borderId="5" xfId="0" applyNumberFormat="1" applyFill="1" applyBorder="1" applyAlignment="1">
      <alignment horizontal="center" wrapText="1"/>
    </xf>
    <xf numFmtId="10" fontId="0" fillId="2" borderId="0" xfId="0" applyNumberFormat="1" applyFill="1" applyAlignment="1">
      <alignment horizontal="center" wrapText="1"/>
    </xf>
    <xf numFmtId="10" fontId="0" fillId="2" borderId="0" xfId="0" applyNumberFormat="1" applyFill="1" applyAlignment="1">
      <alignment horizontal="center"/>
    </xf>
    <xf numFmtId="0" fontId="0" fillId="2" borderId="4" xfId="0" applyFill="1" applyBorder="1"/>
    <xf numFmtId="3" fontId="0" fillId="2" borderId="0" xfId="0" applyNumberFormat="1" applyFill="1" applyAlignment="1">
      <alignment horizontal="center" wrapText="1"/>
    </xf>
    <xf numFmtId="0" fontId="0" fillId="2" borderId="5" xfId="0" applyFill="1" applyBorder="1" applyAlignment="1">
      <alignment horizontal="left"/>
    </xf>
    <xf numFmtId="0" fontId="0" fillId="2" borderId="6" xfId="0" applyFill="1" applyBorder="1"/>
    <xf numFmtId="0" fontId="1" fillId="5" borderId="6" xfId="0" applyFont="1" applyFill="1" applyBorder="1"/>
    <xf numFmtId="2" fontId="0" fillId="2" borderId="7" xfId="0" applyNumberFormat="1" applyFill="1" applyBorder="1" applyAlignment="1">
      <alignment horizontal="center" wrapText="1"/>
    </xf>
    <xf numFmtId="10" fontId="0" fillId="2" borderId="7" xfId="0" applyNumberFormat="1" applyFill="1" applyBorder="1" applyAlignment="1">
      <alignment horizontal="center"/>
    </xf>
    <xf numFmtId="2" fontId="0" fillId="2" borderId="0" xfId="0" applyNumberFormat="1" applyFill="1"/>
    <xf numFmtId="0" fontId="1" fillId="5" borderId="9" xfId="0" applyFont="1" applyFill="1" applyBorder="1"/>
    <xf numFmtId="0" fontId="0" fillId="2" borderId="10" xfId="0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0" fillId="5" borderId="1" xfId="0" applyFill="1" applyBorder="1"/>
    <xf numFmtId="0" fontId="0" fillId="5" borderId="2" xfId="0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10" fontId="0" fillId="2" borderId="5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2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0" fontId="0" fillId="2" borderId="0" xfId="0" applyNumberFormat="1" applyFill="1" applyAlignment="1">
      <alignment wrapText="1"/>
    </xf>
    <xf numFmtId="165" fontId="0" fillId="2" borderId="7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0" fontId="0" fillId="5" borderId="2" xfId="0" applyFill="1" applyBorder="1"/>
    <xf numFmtId="3" fontId="0" fillId="2" borderId="2" xfId="0" applyNumberFormat="1" applyFill="1" applyBorder="1" applyAlignment="1">
      <alignment horizontal="center"/>
    </xf>
    <xf numFmtId="3" fontId="0" fillId="2" borderId="2" xfId="0" applyNumberFormat="1" applyFill="1" applyBorder="1" applyAlignment="1">
      <alignment horizontal="center" wrapText="1"/>
    </xf>
    <xf numFmtId="3" fontId="0" fillId="2" borderId="3" xfId="0" applyNumberForma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2" borderId="7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3" fontId="0" fillId="2" borderId="3" xfId="0" applyNumberFormat="1" applyFill="1" applyBorder="1" applyAlignment="1">
      <alignment horizontal="center"/>
    </xf>
    <xf numFmtId="4" fontId="0" fillId="2" borderId="2" xfId="0" applyNumberFormat="1" applyFill="1" applyBorder="1" applyAlignment="1">
      <alignment horizontal="center"/>
    </xf>
    <xf numFmtId="164" fontId="0" fillId="2" borderId="3" xfId="2" applyNumberFormat="1" applyFont="1" applyFill="1" applyBorder="1" applyAlignment="1">
      <alignment horizontal="center"/>
    </xf>
    <xf numFmtId="4" fontId="0" fillId="2" borderId="7" xfId="0" applyNumberFormat="1" applyFill="1" applyBorder="1" applyAlignment="1">
      <alignment horizontal="center"/>
    </xf>
    <xf numFmtId="164" fontId="0" fillId="2" borderId="8" xfId="2" applyNumberFormat="1" applyFont="1" applyFill="1" applyBorder="1" applyAlignment="1">
      <alignment horizontal="center"/>
    </xf>
    <xf numFmtId="0" fontId="1" fillId="5" borderId="7" xfId="0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wrapText="1"/>
    </xf>
    <xf numFmtId="0" fontId="0" fillId="5" borderId="4" xfId="0" applyFill="1" applyBorder="1"/>
    <xf numFmtId="0" fontId="0" fillId="5" borderId="6" xfId="0" applyFill="1" applyBorder="1"/>
    <xf numFmtId="0" fontId="2" fillId="2" borderId="0" xfId="1" applyFill="1" applyAlignment="1">
      <alignment vertical="center" readingOrder="1"/>
    </xf>
    <xf numFmtId="0" fontId="1" fillId="2" borderId="0" xfId="0" applyFont="1" applyFill="1"/>
    <xf numFmtId="3" fontId="0" fillId="2" borderId="7" xfId="0" applyNumberFormat="1" applyFill="1" applyBorder="1" applyAlignment="1">
      <alignment vertical="top" wrapText="1"/>
    </xf>
    <xf numFmtId="3" fontId="0" fillId="2" borderId="2" xfId="0" applyNumberFormat="1" applyFill="1" applyBorder="1" applyAlignment="1">
      <alignment vertical="top" wrapText="1"/>
    </xf>
    <xf numFmtId="10" fontId="0" fillId="2" borderId="7" xfId="0" applyNumberFormat="1" applyFill="1" applyBorder="1" applyAlignment="1">
      <alignment vertical="top" wrapText="1"/>
    </xf>
    <xf numFmtId="3" fontId="0" fillId="2" borderId="0" xfId="0" applyNumberFormat="1" applyFill="1" applyAlignment="1">
      <alignment vertical="top" wrapText="1"/>
    </xf>
    <xf numFmtId="10" fontId="0" fillId="2" borderId="3" xfId="0" applyNumberFormat="1" applyFill="1" applyBorder="1" applyAlignment="1">
      <alignment vertical="top"/>
    </xf>
    <xf numFmtId="10" fontId="0" fillId="2" borderId="5" xfId="0" applyNumberFormat="1" applyFill="1" applyBorder="1" applyAlignment="1">
      <alignment vertical="top"/>
    </xf>
    <xf numFmtId="10" fontId="0" fillId="2" borderId="8" xfId="0" applyNumberFormat="1" applyFill="1" applyBorder="1" applyAlignment="1">
      <alignment vertical="top"/>
    </xf>
    <xf numFmtId="0" fontId="0" fillId="2" borderId="2" xfId="0" applyFill="1" applyBorder="1" applyAlignment="1">
      <alignment vertical="top" wrapText="1"/>
    </xf>
    <xf numFmtId="10" fontId="0" fillId="2" borderId="3" xfId="0" applyNumberFormat="1" applyFill="1" applyBorder="1" applyAlignment="1">
      <alignment vertical="top" wrapText="1"/>
    </xf>
    <xf numFmtId="10" fontId="0" fillId="2" borderId="5" xfId="0" applyNumberFormat="1" applyFill="1" applyBorder="1" applyAlignment="1">
      <alignment vertical="top" wrapText="1"/>
    </xf>
    <xf numFmtId="0" fontId="1" fillId="5" borderId="0" xfId="0" applyFont="1" applyFill="1"/>
    <xf numFmtId="3" fontId="0" fillId="2" borderId="0" xfId="0" applyNumberFormat="1" applyFill="1" applyAlignment="1">
      <alignment horizontal="center"/>
    </xf>
    <xf numFmtId="40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40" fontId="0" fillId="2" borderId="7" xfId="0" applyNumberFormat="1" applyFill="1" applyBorder="1" applyAlignment="1">
      <alignment horizontal="center"/>
    </xf>
    <xf numFmtId="10" fontId="0" fillId="2" borderId="8" xfId="0" applyNumberFormat="1" applyFill="1" applyBorder="1" applyAlignment="1">
      <alignment horizontal="center" wrapText="1"/>
    </xf>
    <xf numFmtId="166" fontId="0" fillId="2" borderId="2" xfId="0" applyNumberFormat="1" applyFill="1" applyBorder="1" applyAlignment="1">
      <alignment vertical="top"/>
    </xf>
    <xf numFmtId="166" fontId="0" fillId="2" borderId="0" xfId="0" applyNumberFormat="1" applyFill="1" applyAlignment="1">
      <alignment vertical="top" wrapText="1"/>
    </xf>
    <xf numFmtId="166" fontId="0" fillId="2" borderId="0" xfId="0" applyNumberFormat="1" applyFill="1" applyAlignment="1">
      <alignment vertical="top"/>
    </xf>
    <xf numFmtId="166" fontId="0" fillId="2" borderId="7" xfId="0" applyNumberFormat="1" applyFill="1" applyBorder="1" applyAlignment="1">
      <alignment vertical="top" wrapText="1"/>
    </xf>
    <xf numFmtId="166" fontId="0" fillId="2" borderId="7" xfId="0" applyNumberFormat="1" applyFill="1" applyBorder="1" applyAlignment="1">
      <alignment vertical="top"/>
    </xf>
    <xf numFmtId="0" fontId="0" fillId="2" borderId="0" xfId="0" applyFill="1"/>
    <xf numFmtId="0" fontId="0" fillId="2" borderId="0" xfId="0" applyFill="1" applyAlignment="1">
      <alignment wrapText="1"/>
    </xf>
    <xf numFmtId="0" fontId="1" fillId="4" borderId="15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1" fillId="2" borderId="7" xfId="0" applyFont="1" applyFill="1" applyBorder="1" applyAlignment="1">
      <alignment horizontal="center" vertical="center"/>
    </xf>
    <xf numFmtId="0" fontId="0" fillId="2" borderId="0" xfId="0" applyFill="1"/>
    <xf numFmtId="0" fontId="0" fillId="0" borderId="7" xfId="0" applyBorder="1"/>
    <xf numFmtId="0" fontId="3" fillId="3" borderId="14" xfId="0" applyFont="1" applyFill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0" fillId="2" borderId="0" xfId="0" applyFill="1" applyAlignment="1">
      <alignment wrapText="1"/>
    </xf>
    <xf numFmtId="0" fontId="0" fillId="2" borderId="14" xfId="0" applyFill="1" applyBorder="1" applyAlignment="1">
      <alignment horizontal="left" vertical="top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3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3" fontId="0" fillId="2" borderId="8" xfId="0" applyNumberFormat="1" applyFill="1" applyBorder="1" applyAlignment="1">
      <alignment horizontal="center"/>
    </xf>
    <xf numFmtId="0" fontId="0" fillId="2" borderId="0" xfId="0" applyFill="1" applyBorder="1"/>
    <xf numFmtId="14" fontId="1" fillId="5" borderId="4" xfId="0" applyNumberFormat="1" applyFont="1" applyFill="1" applyBorder="1" applyAlignment="1">
      <alignment horizontal="center"/>
    </xf>
    <xf numFmtId="0" fontId="0" fillId="2" borderId="0" xfId="0" applyFill="1" applyBorder="1" applyAlignment="1">
      <alignment vertical="top" wrapText="1"/>
    </xf>
    <xf numFmtId="0" fontId="5" fillId="2" borderId="5" xfId="0" applyFont="1" applyFill="1" applyBorder="1"/>
  </cellXfs>
  <cellStyles count="3">
    <cellStyle name="Hyperlink" xfId="1" builtinId="8"/>
    <cellStyle name="Normal" xfId="0" builtinId="0"/>
    <cellStyle name="Per cent" xfId="2" builtinId="5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17"/>
  <sheetViews>
    <sheetView zoomScale="150" zoomScaleNormal="150" workbookViewId="0"/>
  </sheetViews>
  <sheetFormatPr baseColWidth="10" defaultColWidth="9.1640625" defaultRowHeight="15" x14ac:dyDescent="0.2"/>
  <cols>
    <col min="1" max="1" width="9.1640625" style="95" customWidth="1"/>
    <col min="2" max="10" width="12.83203125" style="95" customWidth="1"/>
    <col min="11" max="45" width="9.1640625" style="95" customWidth="1"/>
    <col min="46" max="16384" width="9.1640625" style="95"/>
  </cols>
  <sheetData>
    <row r="1" spans="2:10" x14ac:dyDescent="0.2">
      <c r="B1" s="100"/>
      <c r="C1" s="101"/>
      <c r="D1" s="101"/>
      <c r="E1" s="101"/>
      <c r="F1" s="101"/>
      <c r="G1" s="101"/>
      <c r="H1" s="101"/>
      <c r="I1" s="101"/>
      <c r="J1" s="101"/>
    </row>
    <row r="2" spans="2:10" ht="16" customHeight="1" thickBot="1" x14ac:dyDescent="0.25">
      <c r="B2" s="102"/>
      <c r="C2" s="102"/>
      <c r="D2" s="102"/>
      <c r="E2" s="102"/>
      <c r="F2" s="102"/>
      <c r="G2" s="102"/>
      <c r="H2" s="102"/>
      <c r="I2" s="102"/>
      <c r="J2" s="102"/>
    </row>
    <row r="3" spans="2:10" ht="16" customHeight="1" thickBot="1" x14ac:dyDescent="0.25">
      <c r="B3" s="103" t="s">
        <v>0</v>
      </c>
      <c r="C3" s="104"/>
      <c r="D3" s="104"/>
      <c r="E3" s="104"/>
      <c r="F3" s="104"/>
      <c r="G3" s="104"/>
      <c r="H3" s="104"/>
      <c r="I3" s="104"/>
      <c r="J3" s="105"/>
    </row>
    <row r="6" spans="2:10" x14ac:dyDescent="0.2">
      <c r="B6" s="97" t="s">
        <v>1</v>
      </c>
      <c r="C6" s="98"/>
      <c r="D6" s="98"/>
      <c r="E6" s="98"/>
      <c r="F6" s="99"/>
      <c r="G6" s="97" t="s">
        <v>2</v>
      </c>
      <c r="H6" s="98"/>
      <c r="I6" s="98"/>
      <c r="J6" s="99"/>
    </row>
    <row r="8" spans="2:10" ht="64.5" customHeight="1" x14ac:dyDescent="0.2">
      <c r="B8" s="106" t="s">
        <v>3</v>
      </c>
      <c r="C8" s="101"/>
      <c r="D8" s="101"/>
      <c r="E8" s="101"/>
      <c r="F8" s="101"/>
      <c r="G8" s="72" t="s">
        <v>4</v>
      </c>
    </row>
    <row r="9" spans="2:10" x14ac:dyDescent="0.2">
      <c r="G9" s="72" t="s">
        <v>5</v>
      </c>
    </row>
    <row r="10" spans="2:10" x14ac:dyDescent="0.2">
      <c r="G10" s="72" t="s">
        <v>6</v>
      </c>
    </row>
    <row r="11" spans="2:10" x14ac:dyDescent="0.2">
      <c r="G11" s="72" t="s">
        <v>7</v>
      </c>
    </row>
    <row r="12" spans="2:10" x14ac:dyDescent="0.2">
      <c r="G12" s="72" t="s">
        <v>8</v>
      </c>
    </row>
    <row r="13" spans="2:10" x14ac:dyDescent="0.2">
      <c r="G13" s="72" t="s">
        <v>9</v>
      </c>
    </row>
    <row r="15" spans="2:10" x14ac:dyDescent="0.2">
      <c r="B15" s="73"/>
    </row>
    <row r="16" spans="2:10" ht="30" customHeight="1" x14ac:dyDescent="0.2">
      <c r="B16" s="106"/>
      <c r="C16" s="101"/>
      <c r="D16" s="101"/>
      <c r="E16" s="101"/>
      <c r="F16" s="101"/>
      <c r="G16" s="101"/>
      <c r="H16" s="101"/>
      <c r="I16" s="101"/>
      <c r="J16" s="101"/>
    </row>
    <row r="17" spans="2:2" x14ac:dyDescent="0.2">
      <c r="B17" s="1"/>
    </row>
  </sheetData>
  <mergeCells count="6">
    <mergeCell ref="B6:F6"/>
    <mergeCell ref="G6:J6"/>
    <mergeCell ref="B1:J2"/>
    <mergeCell ref="B3:J3"/>
    <mergeCell ref="B16:J16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249977111117893"/>
  </sheetPr>
  <dimension ref="B1:AE361"/>
  <sheetViews>
    <sheetView tabSelected="1" zoomScale="160" zoomScaleNormal="160" workbookViewId="0">
      <selection activeCell="J1" sqref="J1"/>
    </sheetView>
  </sheetViews>
  <sheetFormatPr baseColWidth="10" defaultColWidth="9.1640625" defaultRowHeight="15" x14ac:dyDescent="0.2"/>
  <cols>
    <col min="1" max="1" width="9.1640625" style="95" customWidth="1"/>
    <col min="2" max="2" width="20.33203125" style="95" customWidth="1"/>
    <col min="3" max="8" width="16.83203125" style="95" customWidth="1"/>
    <col min="9" max="9" width="11.33203125" style="95" customWidth="1"/>
    <col min="10" max="10" width="15" style="95" customWidth="1"/>
    <col min="11" max="14" width="11.33203125" style="95" customWidth="1"/>
    <col min="15" max="15" width="12.83203125" style="95" customWidth="1"/>
    <col min="16" max="16" width="14.6640625" style="95" customWidth="1"/>
    <col min="17" max="17" width="16" style="95" customWidth="1"/>
    <col min="18" max="18" width="17.83203125" style="95" customWidth="1"/>
    <col min="19" max="19" width="13.33203125" style="95" customWidth="1"/>
    <col min="20" max="20" width="9.6640625" style="95" customWidth="1"/>
    <col min="21" max="21" width="9.1640625" style="95" customWidth="1"/>
    <col min="22" max="24" width="1.6640625" style="95" customWidth="1"/>
    <col min="25" max="59" width="9.1640625" style="95" customWidth="1"/>
    <col min="60" max="16384" width="9.1640625" style="95"/>
  </cols>
  <sheetData>
    <row r="1" spans="2:19" ht="16" customHeight="1" thickBot="1" x14ac:dyDescent="0.25">
      <c r="J1" s="10"/>
      <c r="K1" s="8"/>
      <c r="L1" s="8"/>
      <c r="M1" s="8"/>
      <c r="N1" s="9"/>
    </row>
    <row r="2" spans="2:19" ht="16" customHeight="1" thickBot="1" x14ac:dyDescent="0.25">
      <c r="B2" s="2"/>
      <c r="G2" s="3"/>
      <c r="H2" s="4"/>
      <c r="J2" s="121"/>
      <c r="K2" s="120"/>
      <c r="L2" s="120"/>
      <c r="M2" s="120"/>
      <c r="N2" s="12"/>
    </row>
    <row r="3" spans="2:19" ht="16" customHeight="1" thickBot="1" x14ac:dyDescent="0.25">
      <c r="J3" s="121"/>
      <c r="K3" s="120"/>
      <c r="L3" s="120"/>
      <c r="M3" s="120"/>
      <c r="N3" s="12"/>
    </row>
    <row r="4" spans="2:19" x14ac:dyDescent="0.2">
      <c r="B4" s="5" t="s">
        <v>10</v>
      </c>
      <c r="C4" s="6"/>
      <c r="D4" s="7"/>
      <c r="E4" s="8"/>
      <c r="F4" s="8"/>
      <c r="G4" s="8"/>
      <c r="H4" s="9"/>
      <c r="J4" s="121"/>
      <c r="K4" s="120"/>
      <c r="L4" s="120"/>
      <c r="M4" s="120"/>
      <c r="N4" s="12"/>
    </row>
    <row r="5" spans="2:19" ht="16" customHeight="1" thickBot="1" x14ac:dyDescent="0.25">
      <c r="B5" s="11"/>
      <c r="C5" s="87"/>
      <c r="D5" s="87"/>
      <c r="H5" s="12"/>
      <c r="J5" s="13"/>
      <c r="K5" s="14"/>
      <c r="L5" s="14"/>
      <c r="M5" s="14"/>
      <c r="N5" s="15"/>
    </row>
    <row r="6" spans="2:19" ht="16" customHeight="1" thickBot="1" x14ac:dyDescent="0.25">
      <c r="B6" s="16" t="s">
        <v>11</v>
      </c>
      <c r="C6" s="17"/>
      <c r="D6" s="18" t="e">
        <f>(C4-C6)/C6</f>
        <v>#DIV/0!</v>
      </c>
      <c r="E6" s="84" t="s">
        <v>12</v>
      </c>
      <c r="F6" s="19">
        <f>E25</f>
        <v>0</v>
      </c>
      <c r="G6" s="84" t="s">
        <v>13</v>
      </c>
      <c r="H6" s="20" t="e">
        <f>C4/F36</f>
        <v>#DIV/0!</v>
      </c>
      <c r="L6" s="21"/>
      <c r="M6" s="22"/>
    </row>
    <row r="7" spans="2:19" x14ac:dyDescent="0.2">
      <c r="B7" s="16" t="s">
        <v>14</v>
      </c>
      <c r="C7" s="17"/>
      <c r="D7" s="18" t="e">
        <f>(C4-C7)/C7</f>
        <v>#DIV/0!</v>
      </c>
      <c r="E7" s="84" t="s">
        <v>15</v>
      </c>
      <c r="F7" s="87">
        <f>F25</f>
        <v>0</v>
      </c>
      <c r="G7" s="84" t="s">
        <v>16</v>
      </c>
      <c r="H7" s="23"/>
      <c r="J7" s="5" t="s">
        <v>17</v>
      </c>
      <c r="K7" s="81"/>
      <c r="L7" s="82"/>
      <c r="M7" s="22"/>
      <c r="N7" s="73"/>
    </row>
    <row r="8" spans="2:19" x14ac:dyDescent="0.2">
      <c r="B8" s="16" t="s">
        <v>18</v>
      </c>
      <c r="C8" s="24"/>
      <c r="D8" s="25"/>
      <c r="E8" s="84" t="s">
        <v>19</v>
      </c>
      <c r="F8" s="87"/>
      <c r="G8" s="84" t="s">
        <v>20</v>
      </c>
      <c r="H8" s="12"/>
      <c r="J8" s="26"/>
      <c r="K8" s="122"/>
      <c r="L8" s="83"/>
    </row>
    <row r="9" spans="2:19" x14ac:dyDescent="0.2">
      <c r="B9" s="16" t="s">
        <v>21</v>
      </c>
      <c r="C9" s="85"/>
      <c r="D9" s="87"/>
      <c r="E9" s="84" t="s">
        <v>22</v>
      </c>
      <c r="F9" s="87"/>
      <c r="G9" s="84" t="s">
        <v>23</v>
      </c>
      <c r="H9" s="12"/>
      <c r="J9" s="26"/>
      <c r="K9" s="122"/>
      <c r="L9" s="83"/>
    </row>
    <row r="10" spans="2:19" x14ac:dyDescent="0.2">
      <c r="B10" s="16" t="s">
        <v>24</v>
      </c>
      <c r="C10" s="27"/>
      <c r="D10" s="85">
        <f>C10-C9</f>
        <v>0</v>
      </c>
      <c r="E10" s="84" t="s">
        <v>25</v>
      </c>
      <c r="F10" s="25" t="e">
        <f>IF(F9&lt;"-",F9/C4,"")</f>
        <v>#DIV/0!</v>
      </c>
      <c r="G10" s="84" t="s">
        <v>26</v>
      </c>
      <c r="H10" s="12"/>
      <c r="J10" s="26"/>
      <c r="K10" s="122"/>
      <c r="L10" s="83"/>
    </row>
    <row r="11" spans="2:19" ht="16" customHeight="1" x14ac:dyDescent="0.2">
      <c r="B11" s="16" t="s">
        <v>27</v>
      </c>
      <c r="C11" s="17"/>
      <c r="D11" s="87"/>
      <c r="E11" s="84" t="s">
        <v>28</v>
      </c>
      <c r="F11" s="17"/>
      <c r="G11" s="84" t="s">
        <v>29</v>
      </c>
      <c r="H11" s="28"/>
      <c r="J11" s="26"/>
      <c r="K11" s="122"/>
      <c r="L11" s="83"/>
    </row>
    <row r="12" spans="2:19" ht="15.75" customHeight="1" thickBot="1" x14ac:dyDescent="0.25">
      <c r="B12" s="30" t="s">
        <v>30</v>
      </c>
      <c r="C12" s="31"/>
      <c r="D12" s="32"/>
      <c r="E12" s="14"/>
      <c r="F12" s="14"/>
      <c r="G12" s="14"/>
      <c r="H12" s="15"/>
      <c r="J12" s="26"/>
      <c r="K12" s="120"/>
      <c r="L12" s="12"/>
    </row>
    <row r="13" spans="2:19" ht="16" customHeight="1" thickBot="1" x14ac:dyDescent="0.25">
      <c r="D13" s="33"/>
      <c r="J13" s="26"/>
      <c r="K13" s="120"/>
      <c r="L13" s="123"/>
      <c r="M13" s="22"/>
    </row>
    <row r="14" spans="2:19" ht="16" customHeight="1" thickBot="1" x14ac:dyDescent="0.25">
      <c r="G14" s="34" t="s">
        <v>31</v>
      </c>
      <c r="H14" s="35"/>
      <c r="J14" s="29"/>
      <c r="K14" s="14"/>
      <c r="L14" s="15"/>
    </row>
    <row r="15" spans="2:19" ht="16" customHeight="1" thickBot="1" x14ac:dyDescent="0.25">
      <c r="B15" s="5"/>
      <c r="C15" s="36"/>
      <c r="D15" s="36"/>
      <c r="E15" s="36"/>
      <c r="F15" s="36"/>
      <c r="G15" s="36"/>
      <c r="H15" s="37"/>
    </row>
    <row r="16" spans="2:19" x14ac:dyDescent="0.2">
      <c r="B16" s="16" t="s">
        <v>33</v>
      </c>
      <c r="C16" s="85"/>
      <c r="D16" s="85"/>
      <c r="E16" s="85"/>
      <c r="F16" s="85"/>
      <c r="G16" s="85"/>
      <c r="H16" s="41"/>
      <c r="J16" s="38"/>
      <c r="K16" s="39"/>
      <c r="L16" s="39"/>
      <c r="M16" s="39"/>
      <c r="N16" s="39"/>
      <c r="O16" s="39"/>
      <c r="P16" s="39"/>
      <c r="Q16" s="39"/>
      <c r="R16" s="39"/>
      <c r="S16" s="40" t="s">
        <v>32</v>
      </c>
    </row>
    <row r="17" spans="2:31" ht="15" customHeight="1" x14ac:dyDescent="0.2">
      <c r="B17" s="16" t="s">
        <v>34</v>
      </c>
      <c r="C17" s="87"/>
      <c r="D17" s="25" t="e">
        <f>(D16-C16)/C16</f>
        <v>#DIV/0!</v>
      </c>
      <c r="E17" s="25" t="e">
        <f>(E16-D16)/D16</f>
        <v>#DIV/0!</v>
      </c>
      <c r="F17" s="25" t="e">
        <f>(F16-E16)/E16</f>
        <v>#DIV/0!</v>
      </c>
      <c r="G17" s="25" t="e">
        <f>(G16-F16)/F16</f>
        <v>#DIV/0!</v>
      </c>
      <c r="H17" s="42" t="e">
        <f>(H16-G16)/G16</f>
        <v>#DIV/0!</v>
      </c>
      <c r="J17" s="16" t="s">
        <v>21</v>
      </c>
      <c r="K17" s="114"/>
      <c r="L17" s="114"/>
      <c r="M17" s="114"/>
      <c r="N17" s="114"/>
      <c r="O17" s="114"/>
      <c r="P17" s="114"/>
      <c r="Q17" s="114"/>
      <c r="R17" s="114"/>
      <c r="S17" s="41" t="e">
        <f>AVERAGE(K17:R17)</f>
        <v>#DIV/0!</v>
      </c>
      <c r="AB17" s="96"/>
    </row>
    <row r="18" spans="2:31" ht="15" customHeight="1" x14ac:dyDescent="0.2">
      <c r="B18" s="16" t="s">
        <v>35</v>
      </c>
      <c r="C18" s="85"/>
      <c r="D18" s="85"/>
      <c r="E18" s="85"/>
      <c r="F18" s="85"/>
      <c r="G18" s="85"/>
      <c r="H18" s="41"/>
      <c r="J18" s="16" t="s">
        <v>24</v>
      </c>
      <c r="K18" s="114"/>
      <c r="L18" s="114"/>
      <c r="M18" s="114"/>
      <c r="N18" s="114"/>
      <c r="O18" s="114"/>
      <c r="P18" s="114"/>
      <c r="Q18" s="114"/>
      <c r="R18" s="114"/>
      <c r="S18" s="41" t="e">
        <f t="shared" ref="S18:S28" si="0">AVERAGE(K18:R18)</f>
        <v>#DIV/0!</v>
      </c>
      <c r="AB18" s="96"/>
    </row>
    <row r="19" spans="2:31" ht="15" customHeight="1" x14ac:dyDescent="0.2">
      <c r="B19" s="16" t="s">
        <v>37</v>
      </c>
      <c r="C19" s="45" t="e">
        <f t="shared" ref="C19:H19" si="1">IF(C18&lt;"-",C18/C16,"")</f>
        <v>#DIV/0!</v>
      </c>
      <c r="D19" s="45" t="e">
        <f t="shared" si="1"/>
        <v>#DIV/0!</v>
      </c>
      <c r="E19" s="45" t="e">
        <f t="shared" si="1"/>
        <v>#DIV/0!</v>
      </c>
      <c r="F19" s="45" t="e">
        <f t="shared" si="1"/>
        <v>#DIV/0!</v>
      </c>
      <c r="G19" s="45" t="e">
        <f t="shared" si="1"/>
        <v>#DIV/0!</v>
      </c>
      <c r="H19" s="46" t="e">
        <f t="shared" si="1"/>
        <v>#DIV/0!</v>
      </c>
      <c r="J19" s="16" t="s">
        <v>36</v>
      </c>
      <c r="K19" s="115"/>
      <c r="L19" s="115"/>
      <c r="M19" s="115"/>
      <c r="N19" s="115"/>
      <c r="O19" s="115"/>
      <c r="P19" s="115"/>
      <c r="Q19" s="115"/>
      <c r="R19" s="115"/>
      <c r="S19" s="41" t="e">
        <f t="shared" si="0"/>
        <v>#DIV/0!</v>
      </c>
      <c r="AC19" s="96"/>
    </row>
    <row r="20" spans="2:31" ht="15" customHeight="1" x14ac:dyDescent="0.2">
      <c r="B20" s="16" t="s">
        <v>39</v>
      </c>
      <c r="C20" s="85"/>
      <c r="D20" s="85"/>
      <c r="E20" s="85"/>
      <c r="F20" s="85"/>
      <c r="G20" s="85"/>
      <c r="H20" s="41"/>
      <c r="J20" s="16" t="s">
        <v>38</v>
      </c>
      <c r="K20" s="115"/>
      <c r="L20" s="115"/>
      <c r="M20" s="115"/>
      <c r="N20" s="115"/>
      <c r="O20" s="115"/>
      <c r="P20" s="115"/>
      <c r="Q20" s="115"/>
      <c r="R20" s="115"/>
      <c r="S20" s="41" t="e">
        <f t="shared" si="0"/>
        <v>#DIV/0!</v>
      </c>
    </row>
    <row r="21" spans="2:31" ht="15" customHeight="1" x14ac:dyDescent="0.2">
      <c r="B21" s="16" t="s">
        <v>41</v>
      </c>
      <c r="C21" s="45" t="e">
        <f t="shared" ref="C21:H21" si="2">C20/C16</f>
        <v>#DIV/0!</v>
      </c>
      <c r="D21" s="45" t="e">
        <f t="shared" si="2"/>
        <v>#DIV/0!</v>
      </c>
      <c r="E21" s="45" t="e">
        <f t="shared" si="2"/>
        <v>#DIV/0!</v>
      </c>
      <c r="F21" s="45" t="e">
        <f t="shared" si="2"/>
        <v>#DIV/0!</v>
      </c>
      <c r="G21" s="45" t="e">
        <f t="shared" si="2"/>
        <v>#DIV/0!</v>
      </c>
      <c r="H21" s="46" t="e">
        <f t="shared" si="2"/>
        <v>#DIV/0!</v>
      </c>
      <c r="J21" s="16" t="s">
        <v>40</v>
      </c>
      <c r="K21" s="115"/>
      <c r="L21" s="115"/>
      <c r="M21" s="115"/>
      <c r="N21" s="115"/>
      <c r="O21" s="115"/>
      <c r="P21" s="115"/>
      <c r="Q21" s="115"/>
      <c r="R21" s="115"/>
      <c r="S21" s="41" t="e">
        <f t="shared" si="0"/>
        <v>#DIV/0!</v>
      </c>
      <c r="AC21" s="96"/>
    </row>
    <row r="22" spans="2:31" ht="15" customHeight="1" x14ac:dyDescent="0.2">
      <c r="B22" s="16" t="s">
        <v>43</v>
      </c>
      <c r="C22" s="85"/>
      <c r="D22" s="85"/>
      <c r="E22" s="85"/>
      <c r="F22" s="85"/>
      <c r="G22" s="85"/>
      <c r="H22" s="41"/>
      <c r="J22" s="16" t="s">
        <v>42</v>
      </c>
      <c r="K22" s="115"/>
      <c r="L22" s="115"/>
      <c r="M22" s="115"/>
      <c r="N22" s="115"/>
      <c r="O22" s="115"/>
      <c r="P22" s="115"/>
      <c r="Q22" s="115"/>
      <c r="R22" s="115"/>
      <c r="S22" s="41" t="e">
        <f t="shared" si="0"/>
        <v>#DIV/0!</v>
      </c>
      <c r="AB22" s="96"/>
      <c r="AC22" s="96"/>
      <c r="AE22" s="96"/>
    </row>
    <row r="23" spans="2:31" ht="15" customHeight="1" x14ac:dyDescent="0.2">
      <c r="B23" s="16" t="s">
        <v>45</v>
      </c>
      <c r="C23" s="45" t="e">
        <f t="shared" ref="C23:H23" si="3">C22/C16</f>
        <v>#DIV/0!</v>
      </c>
      <c r="D23" s="45" t="e">
        <f t="shared" si="3"/>
        <v>#DIV/0!</v>
      </c>
      <c r="E23" s="45" t="e">
        <f t="shared" si="3"/>
        <v>#DIV/0!</v>
      </c>
      <c r="F23" s="45" t="e">
        <f t="shared" si="3"/>
        <v>#DIV/0!</v>
      </c>
      <c r="G23" s="45" t="e">
        <f t="shared" si="3"/>
        <v>#DIV/0!</v>
      </c>
      <c r="H23" s="46" t="e">
        <f t="shared" si="3"/>
        <v>#DIV/0!</v>
      </c>
      <c r="J23" s="16" t="s">
        <v>44</v>
      </c>
      <c r="K23" s="116"/>
      <c r="L23" s="116"/>
      <c r="M23" s="116"/>
      <c r="N23" s="116"/>
      <c r="O23" s="116"/>
      <c r="P23" s="116"/>
      <c r="Q23" s="116"/>
      <c r="R23" s="116"/>
      <c r="S23" s="41" t="e">
        <f t="shared" si="0"/>
        <v>#DIV/0!</v>
      </c>
    </row>
    <row r="24" spans="2:31" ht="15" customHeight="1" x14ac:dyDescent="0.2">
      <c r="B24" s="16"/>
      <c r="C24" s="87"/>
      <c r="D24" s="47" t="e">
        <f>(D22-C22)/C22</f>
        <v>#DIV/0!</v>
      </c>
      <c r="E24" s="47" t="e">
        <f>(E22-D22)/D22</f>
        <v>#DIV/0!</v>
      </c>
      <c r="F24" s="47" t="e">
        <f>(F22-E22)/E22</f>
        <v>#DIV/0!</v>
      </c>
      <c r="G24" s="47" t="e">
        <f>(G22-F22)/F22</f>
        <v>#DIV/0!</v>
      </c>
      <c r="H24" s="48" t="e">
        <f>(H22-G22)/G22</f>
        <v>#DIV/0!</v>
      </c>
      <c r="J24" s="16" t="s">
        <v>37</v>
      </c>
      <c r="K24" s="117"/>
      <c r="L24" s="117"/>
      <c r="M24" s="117"/>
      <c r="N24" s="117"/>
      <c r="O24" s="117"/>
      <c r="P24" s="117"/>
      <c r="Q24" s="117"/>
      <c r="R24" s="117"/>
      <c r="S24" s="41" t="e">
        <f t="shared" si="0"/>
        <v>#DIV/0!</v>
      </c>
    </row>
    <row r="25" spans="2:31" ht="15" customHeight="1" x14ac:dyDescent="0.2">
      <c r="B25" s="16" t="s">
        <v>46</v>
      </c>
      <c r="C25" s="87"/>
      <c r="D25" s="87"/>
      <c r="E25" s="19"/>
      <c r="F25" s="87"/>
      <c r="G25" s="87"/>
      <c r="H25" s="49"/>
      <c r="J25" s="16" t="s">
        <v>41</v>
      </c>
      <c r="K25" s="117"/>
      <c r="L25" s="117"/>
      <c r="M25" s="117"/>
      <c r="N25" s="117"/>
      <c r="O25" s="117"/>
      <c r="P25" s="117"/>
      <c r="Q25" s="117"/>
      <c r="R25" s="117"/>
      <c r="S25" s="41" t="e">
        <f t="shared" si="0"/>
        <v>#DIV/0!</v>
      </c>
      <c r="AC25" s="96"/>
    </row>
    <row r="26" spans="2:31" ht="15" customHeight="1" x14ac:dyDescent="0.2">
      <c r="B26" s="16" t="s">
        <v>48</v>
      </c>
      <c r="C26" s="87"/>
      <c r="D26" s="87"/>
      <c r="E26" s="17"/>
      <c r="F26" s="87"/>
      <c r="G26" s="87"/>
      <c r="H26" s="49"/>
      <c r="J26" s="16" t="s">
        <v>47</v>
      </c>
      <c r="K26" s="117"/>
      <c r="L26" s="117"/>
      <c r="M26" s="117"/>
      <c r="N26" s="117"/>
      <c r="O26" s="117"/>
      <c r="P26" s="117"/>
      <c r="Q26" s="117"/>
      <c r="R26" s="117"/>
      <c r="S26" s="41" t="e">
        <f t="shared" si="0"/>
        <v>#DIV/0!</v>
      </c>
    </row>
    <row r="27" spans="2:31" ht="15" customHeight="1" x14ac:dyDescent="0.2">
      <c r="B27" s="16" t="s">
        <v>34</v>
      </c>
      <c r="C27" s="87"/>
      <c r="D27" s="25" t="e">
        <f>(D26-C26)/ABS(C26)</f>
        <v>#DIV/0!</v>
      </c>
      <c r="E27" s="25" t="str">
        <f>IF(D26&gt;0,(E26-D26)/D26,"")</f>
        <v/>
      </c>
      <c r="F27" s="25" t="str">
        <f>IF(E26&gt;0,(F26-E26)/E26,"")</f>
        <v/>
      </c>
      <c r="G27" s="25" t="str">
        <f>IF(F26&gt;0,(G26-F26)/F26,"")</f>
        <v/>
      </c>
      <c r="H27" s="42" t="str">
        <f>IF(G26&gt;0,(H26-G26)/G26,"")</f>
        <v/>
      </c>
      <c r="J27" s="16" t="s">
        <v>49</v>
      </c>
      <c r="K27" s="118"/>
      <c r="L27" s="118"/>
      <c r="M27" s="118"/>
      <c r="N27" s="118"/>
      <c r="O27" s="118"/>
      <c r="P27" s="118"/>
      <c r="Q27" s="118"/>
      <c r="R27" s="118"/>
      <c r="S27" s="41" t="e">
        <f t="shared" si="0"/>
        <v>#DIV/0!</v>
      </c>
      <c r="AB27" s="50"/>
      <c r="AC27" s="22"/>
      <c r="AD27" s="22"/>
      <c r="AE27" s="22"/>
    </row>
    <row r="28" spans="2:31" ht="15" customHeight="1" thickBot="1" x14ac:dyDescent="0.25">
      <c r="B28" s="16" t="s">
        <v>38</v>
      </c>
      <c r="C28" s="43" t="e">
        <f t="shared" ref="C28:H28" si="4">IF(C18&lt;"-",$C$10/C18,"")</f>
        <v>#DIV/0!</v>
      </c>
      <c r="D28" s="43" t="e">
        <f t="shared" si="4"/>
        <v>#DIV/0!</v>
      </c>
      <c r="E28" s="43" t="e">
        <f t="shared" si="4"/>
        <v>#DIV/0!</v>
      </c>
      <c r="F28" s="43" t="e">
        <f t="shared" si="4"/>
        <v>#DIV/0!</v>
      </c>
      <c r="G28" s="43" t="e">
        <f t="shared" si="4"/>
        <v>#DIV/0!</v>
      </c>
      <c r="H28" s="44" t="e">
        <f t="shared" si="4"/>
        <v>#DIV/0!</v>
      </c>
      <c r="J28" s="30" t="s">
        <v>16</v>
      </c>
      <c r="K28" s="32"/>
      <c r="L28" s="32"/>
      <c r="M28" s="32"/>
      <c r="N28" s="32"/>
      <c r="O28" s="32"/>
      <c r="P28" s="32"/>
      <c r="Q28" s="32"/>
      <c r="R28" s="32"/>
      <c r="S28" s="119" t="e">
        <f t="shared" si="0"/>
        <v>#DIV/0!</v>
      </c>
    </row>
    <row r="29" spans="2:31" ht="15" customHeight="1" x14ac:dyDescent="0.2">
      <c r="B29" s="16" t="s">
        <v>40</v>
      </c>
      <c r="C29" s="43" t="e">
        <f t="shared" ref="C29:H29" si="5">$C$10/C20</f>
        <v>#DIV/0!</v>
      </c>
      <c r="D29" s="43" t="e">
        <f t="shared" si="5"/>
        <v>#DIV/0!</v>
      </c>
      <c r="E29" s="43" t="e">
        <f t="shared" si="5"/>
        <v>#DIV/0!</v>
      </c>
      <c r="F29" s="43" t="e">
        <f t="shared" si="5"/>
        <v>#DIV/0!</v>
      </c>
      <c r="G29" s="43" t="e">
        <f t="shared" si="5"/>
        <v>#DIV/0!</v>
      </c>
      <c r="H29" s="44" t="e">
        <f t="shared" si="5"/>
        <v>#DIV/0!</v>
      </c>
    </row>
    <row r="30" spans="2:31" ht="15" customHeight="1" thickBot="1" x14ac:dyDescent="0.25">
      <c r="B30" s="30" t="s">
        <v>42</v>
      </c>
      <c r="C30" s="51" t="e">
        <f t="shared" ref="C30:H30" si="6">$C$10/C16</f>
        <v>#DIV/0!</v>
      </c>
      <c r="D30" s="51" t="e">
        <f t="shared" si="6"/>
        <v>#DIV/0!</v>
      </c>
      <c r="E30" s="51" t="e">
        <f t="shared" si="6"/>
        <v>#DIV/0!</v>
      </c>
      <c r="F30" s="51" t="e">
        <f t="shared" si="6"/>
        <v>#DIV/0!</v>
      </c>
      <c r="G30" s="51" t="e">
        <f t="shared" si="6"/>
        <v>#DIV/0!</v>
      </c>
      <c r="H30" s="52" t="e">
        <f t="shared" si="6"/>
        <v>#DIV/0!</v>
      </c>
      <c r="J30" s="73" t="s">
        <v>50</v>
      </c>
    </row>
    <row r="31" spans="2:31" ht="16" customHeight="1" thickBot="1" x14ac:dyDescent="0.25">
      <c r="J31" s="38"/>
      <c r="K31" s="53"/>
      <c r="L31" s="36" t="s">
        <v>51</v>
      </c>
      <c r="M31" s="36" t="s">
        <v>52</v>
      </c>
      <c r="N31" s="36" t="s">
        <v>53</v>
      </c>
      <c r="O31" s="40" t="s">
        <v>54</v>
      </c>
    </row>
    <row r="32" spans="2:31" ht="16" customHeight="1" x14ac:dyDescent="0.2">
      <c r="B32" s="5" t="s">
        <v>55</v>
      </c>
      <c r="C32" s="54"/>
      <c r="D32" s="55"/>
      <c r="E32" s="55"/>
      <c r="F32" s="55"/>
      <c r="G32" s="55"/>
      <c r="H32" s="56"/>
      <c r="J32" s="16" t="s">
        <v>56</v>
      </c>
      <c r="K32" s="84" t="s">
        <v>33</v>
      </c>
      <c r="L32" s="85"/>
      <c r="M32" s="85"/>
      <c r="N32" s="86">
        <f t="shared" ref="N32:N39" si="7">M32-L32</f>
        <v>0</v>
      </c>
      <c r="O32" s="23" t="e">
        <f t="shared" ref="O32:O39" si="8">N32/L32</f>
        <v>#DIV/0!</v>
      </c>
    </row>
    <row r="33" spans="2:17" ht="16" customHeight="1" x14ac:dyDescent="0.2">
      <c r="B33" s="16" t="s">
        <v>35</v>
      </c>
      <c r="C33" s="85">
        <f t="shared" ref="C33:H33" si="9">C18</f>
        <v>0</v>
      </c>
      <c r="D33" s="85">
        <f t="shared" si="9"/>
        <v>0</v>
      </c>
      <c r="E33" s="85">
        <f t="shared" si="9"/>
        <v>0</v>
      </c>
      <c r="F33" s="85">
        <f t="shared" si="9"/>
        <v>0</v>
      </c>
      <c r="G33" s="85">
        <f t="shared" si="9"/>
        <v>0</v>
      </c>
      <c r="H33" s="41">
        <f t="shared" si="9"/>
        <v>0</v>
      </c>
      <c r="J33" s="16"/>
      <c r="K33" s="84" t="s">
        <v>57</v>
      </c>
      <c r="L33" s="87"/>
      <c r="M33" s="87"/>
      <c r="N33" s="86">
        <f t="shared" si="7"/>
        <v>0</v>
      </c>
      <c r="O33" s="23" t="e">
        <f t="shared" si="8"/>
        <v>#DIV/0!</v>
      </c>
    </row>
    <row r="34" spans="2:17" ht="16" customHeight="1" x14ac:dyDescent="0.2">
      <c r="B34" s="16" t="s">
        <v>58</v>
      </c>
      <c r="C34" s="17" t="str">
        <f t="shared" ref="C34:H34" si="10">IF(C32&gt;0,C32/C33,"")</f>
        <v/>
      </c>
      <c r="D34" s="17" t="str">
        <f t="shared" si="10"/>
        <v/>
      </c>
      <c r="E34" s="17" t="str">
        <f t="shared" si="10"/>
        <v/>
      </c>
      <c r="F34" s="17" t="str">
        <f t="shared" si="10"/>
        <v/>
      </c>
      <c r="G34" s="17" t="str">
        <f t="shared" si="10"/>
        <v/>
      </c>
      <c r="H34" s="20" t="str">
        <f t="shared" si="10"/>
        <v/>
      </c>
      <c r="J34" s="16" t="s">
        <v>59</v>
      </c>
      <c r="K34" s="84" t="s">
        <v>33</v>
      </c>
      <c r="L34" s="85"/>
      <c r="M34" s="85"/>
      <c r="N34" s="86">
        <f t="shared" si="7"/>
        <v>0</v>
      </c>
      <c r="O34" s="23" t="e">
        <f t="shared" si="8"/>
        <v>#DIV/0!</v>
      </c>
    </row>
    <row r="35" spans="2:17" ht="16" customHeight="1" x14ac:dyDescent="0.2">
      <c r="B35" s="16" t="s">
        <v>60</v>
      </c>
      <c r="C35" s="57"/>
      <c r="D35" s="57"/>
      <c r="E35" s="57"/>
      <c r="F35" s="57"/>
      <c r="G35" s="57"/>
      <c r="H35" s="58"/>
      <c r="J35" s="16"/>
      <c r="K35" s="84" t="s">
        <v>57</v>
      </c>
      <c r="L35" s="87"/>
      <c r="M35" s="87"/>
      <c r="N35" s="86">
        <f t="shared" si="7"/>
        <v>0</v>
      </c>
      <c r="O35" s="23" t="e">
        <f t="shared" si="8"/>
        <v>#DIV/0!</v>
      </c>
    </row>
    <row r="36" spans="2:17" ht="16" customHeight="1" thickBot="1" x14ac:dyDescent="0.25">
      <c r="B36" s="30" t="s">
        <v>61</v>
      </c>
      <c r="C36" s="59"/>
      <c r="D36" s="59"/>
      <c r="E36" s="59"/>
      <c r="F36" s="59"/>
      <c r="G36" s="59"/>
      <c r="H36" s="60"/>
      <c r="J36" s="16" t="s">
        <v>62</v>
      </c>
      <c r="K36" s="84" t="s">
        <v>33</v>
      </c>
      <c r="L36" s="85"/>
      <c r="M36" s="85"/>
      <c r="N36" s="86">
        <f t="shared" si="7"/>
        <v>0</v>
      </c>
      <c r="O36" s="23" t="e">
        <f t="shared" si="8"/>
        <v>#DIV/0!</v>
      </c>
    </row>
    <row r="37" spans="2:17" ht="16" customHeight="1" thickBot="1" x14ac:dyDescent="0.25">
      <c r="J37" s="16"/>
      <c r="K37" s="84" t="s">
        <v>57</v>
      </c>
      <c r="L37" s="87"/>
      <c r="M37" s="87"/>
      <c r="N37" s="86">
        <f t="shared" si="7"/>
        <v>0</v>
      </c>
      <c r="O37" s="23" t="e">
        <f t="shared" si="8"/>
        <v>#DIV/0!</v>
      </c>
    </row>
    <row r="38" spans="2:17" ht="16" customHeight="1" x14ac:dyDescent="0.2">
      <c r="B38" s="5" t="s">
        <v>63</v>
      </c>
      <c r="C38" s="61"/>
      <c r="F38" s="5" t="s">
        <v>64</v>
      </c>
      <c r="G38" s="62"/>
      <c r="H38" s="63" t="e">
        <f>(C4-G38)/G38</f>
        <v>#DIV/0!</v>
      </c>
      <c r="J38" s="16" t="s">
        <v>65</v>
      </c>
      <c r="K38" s="84" t="s">
        <v>33</v>
      </c>
      <c r="L38" s="85"/>
      <c r="M38" s="85"/>
      <c r="N38" s="86">
        <f t="shared" si="7"/>
        <v>0</v>
      </c>
      <c r="O38" s="23" t="e">
        <f t="shared" si="8"/>
        <v>#DIV/0!</v>
      </c>
    </row>
    <row r="39" spans="2:17" ht="16" customHeight="1" thickBot="1" x14ac:dyDescent="0.25">
      <c r="B39" s="16" t="s">
        <v>66</v>
      </c>
      <c r="C39" s="41"/>
      <c r="F39" s="30" t="s">
        <v>67</v>
      </c>
      <c r="G39" s="64"/>
      <c r="H39" s="65" t="e">
        <f>(C4-G39)/G39</f>
        <v>#DIV/0!</v>
      </c>
      <c r="J39" s="30"/>
      <c r="K39" s="66" t="s">
        <v>57</v>
      </c>
      <c r="L39" s="67"/>
      <c r="M39" s="67"/>
      <c r="N39" s="88">
        <f t="shared" si="7"/>
        <v>0</v>
      </c>
      <c r="O39" s="89" t="e">
        <f t="shared" si="8"/>
        <v>#DIV/0!</v>
      </c>
    </row>
    <row r="40" spans="2:17" ht="16" customHeight="1" thickBot="1" x14ac:dyDescent="0.25">
      <c r="B40" s="30" t="s">
        <v>68</v>
      </c>
      <c r="C40" s="68"/>
    </row>
    <row r="41" spans="2:17" ht="16" customHeight="1" x14ac:dyDescent="0.2">
      <c r="F41" s="5" t="s">
        <v>69</v>
      </c>
      <c r="G41" s="8"/>
      <c r="H41" s="69"/>
    </row>
    <row r="42" spans="2:17" ht="16" customHeight="1" thickBot="1" x14ac:dyDescent="0.25">
      <c r="F42" s="30" t="s">
        <v>70</v>
      </c>
      <c r="G42" s="14"/>
      <c r="H42" s="15"/>
    </row>
    <row r="43" spans="2:17" ht="19.5" customHeight="1" thickBot="1" x14ac:dyDescent="0.25"/>
    <row r="44" spans="2:17" ht="18" customHeight="1" thickBot="1" x14ac:dyDescent="0.25">
      <c r="B44" s="5" t="s">
        <v>71</v>
      </c>
      <c r="C44" s="75"/>
      <c r="D44" s="90"/>
      <c r="E44" s="78" t="e">
        <f>D44/$E$16</f>
        <v>#DIV/0!</v>
      </c>
      <c r="G44" s="5" t="s">
        <v>72</v>
      </c>
      <c r="H44" s="75"/>
      <c r="I44" s="90"/>
      <c r="J44" s="78" t="e">
        <f>I44/$E$16</f>
        <v>#DIV/0!</v>
      </c>
      <c r="L44" s="107"/>
      <c r="M44" s="108"/>
      <c r="N44" s="108"/>
      <c r="O44" s="108"/>
      <c r="P44" s="108"/>
      <c r="Q44" s="109"/>
    </row>
    <row r="45" spans="2:17" x14ac:dyDescent="0.2">
      <c r="B45" s="70"/>
      <c r="C45" s="77"/>
      <c r="D45" s="91"/>
      <c r="E45" s="79" t="e">
        <f>D45/$E$16</f>
        <v>#DIV/0!</v>
      </c>
      <c r="G45" s="70"/>
      <c r="H45" s="77"/>
      <c r="I45" s="92"/>
      <c r="J45" s="79" t="e">
        <f>I45/$E$16</f>
        <v>#DIV/0!</v>
      </c>
      <c r="L45" s="110"/>
      <c r="M45" s="101"/>
      <c r="N45" s="101"/>
      <c r="O45" s="101"/>
      <c r="P45" s="101"/>
      <c r="Q45" s="111"/>
    </row>
    <row r="46" spans="2:17" ht="32" customHeight="1" x14ac:dyDescent="0.2">
      <c r="B46" s="70"/>
      <c r="C46" s="77"/>
      <c r="D46" s="91"/>
      <c r="E46" s="79" t="e">
        <f>D46/$E$16</f>
        <v>#DIV/0!</v>
      </c>
      <c r="G46" s="70"/>
      <c r="H46" s="77"/>
      <c r="I46" s="92"/>
      <c r="J46" s="79" t="e">
        <f>I46/$E$16</f>
        <v>#DIV/0!</v>
      </c>
      <c r="L46" s="110"/>
      <c r="M46" s="101"/>
      <c r="N46" s="101"/>
      <c r="O46" s="101"/>
      <c r="P46" s="101"/>
      <c r="Q46" s="111"/>
    </row>
    <row r="47" spans="2:17" ht="25.5" customHeight="1" thickBot="1" x14ac:dyDescent="0.25">
      <c r="B47" s="71"/>
      <c r="C47" s="74"/>
      <c r="D47" s="93"/>
      <c r="E47" s="80" t="e">
        <f>D47/$E$16</f>
        <v>#DIV/0!</v>
      </c>
      <c r="G47" s="71"/>
      <c r="H47" s="76"/>
      <c r="I47" s="94"/>
      <c r="J47" s="80" t="e">
        <f>I47/$E$16</f>
        <v>#DIV/0!</v>
      </c>
      <c r="L47" s="112"/>
      <c r="M47" s="102"/>
      <c r="N47" s="102"/>
      <c r="O47" s="102"/>
      <c r="P47" s="102"/>
      <c r="Q47" s="113"/>
    </row>
    <row r="361" spans="8:8" x14ac:dyDescent="0.2">
      <c r="H361" s="95">
        <v>36.79</v>
      </c>
    </row>
  </sheetData>
  <sheetProtection sheet="1" objects="1" scenarios="1"/>
  <mergeCells count="1">
    <mergeCell ref="L44:Q47"/>
  </mergeCells>
  <conditionalFormatting sqref="D17:H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max"/>
        <color rgb="FFFCFCFF"/>
        <color rgb="FF63BE7B"/>
      </colorScale>
    </cfRule>
  </conditionalFormatting>
  <conditionalFormatting sqref="D27:H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CFCFF"/>
        <color rgb="FF63BE7B"/>
      </colorScale>
    </cfRule>
  </conditionalFormatting>
  <conditionalFormatting sqref="O32:O39">
    <cfRule type="cellIs" dxfId="1" priority="5" operator="lessThan">
      <formula>0</formula>
    </cfRule>
    <cfRule type="cellIs" dxfId="0" priority="6" operator="greaterThan">
      <formula>0</formula>
    </cfRule>
  </conditionalFormatting>
  <conditionalFormatting sqref="D18:H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2022-07-17T02:24:07Z</dcterms:modified>
</cp:coreProperties>
</file>