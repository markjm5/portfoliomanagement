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esktop\Trading Excel Files\New folder\"/>
    </mc:Choice>
  </mc:AlternateContent>
  <xr:revisionPtr revIDLastSave="0" documentId="13_ncr:1_{ADB7934C-65FE-4CF9-ABE6-D7389C9B891C}" xr6:coauthVersionLast="47" xr6:coauthVersionMax="47" xr10:uidLastSave="{00000000-0000-0000-0000-000000000000}"/>
  <bookViews>
    <workbookView xWindow="368" yWindow="368" windowWidth="21997" windowHeight="9285" activeTab="5" xr2:uid="{00000000-000D-0000-FFFF-FFFF00000000}"/>
  </bookViews>
  <sheets>
    <sheet name="Note" sheetId="4" r:id="rId1"/>
    <sheet name="Europe ETF" sheetId="7" r:id="rId2"/>
    <sheet name="Market Cap + Growth vs Value" sheetId="17" r:id="rId3"/>
    <sheet name="Countries ETF" sheetId="15" r:id="rId4"/>
    <sheet name="Industries ETF" sheetId="16" r:id="rId5"/>
    <sheet name="Commodities" sheetId="18" r:id="rId6"/>
  </sheets>
  <functionGroups builtInGroupCount="19"/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" l="1"/>
  <c r="E23" i="7" l="1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4" i="7"/>
  <c r="E25" i="7"/>
  <c r="E26" i="7"/>
  <c r="E27" i="7"/>
</calcChain>
</file>

<file path=xl/sharedStrings.xml><?xml version="1.0" encoding="utf-8"?>
<sst xmlns="http://schemas.openxmlformats.org/spreadsheetml/2006/main" count="386" uniqueCount="329">
  <si>
    <t>WEBSITES</t>
  </si>
  <si>
    <t>DATA</t>
  </si>
  <si>
    <t>Ticker</t>
  </si>
  <si>
    <t>Oil &amp; Gas</t>
  </si>
  <si>
    <t>Chemicals</t>
  </si>
  <si>
    <t>Basic Resources</t>
  </si>
  <si>
    <t>Industrials</t>
  </si>
  <si>
    <t>Construction &amp; Materials</t>
  </si>
  <si>
    <t>Industrial Goods &amp; Services</t>
  </si>
  <si>
    <t>Automobiles &amp; Parts</t>
  </si>
  <si>
    <t>Food &amp; Beverage</t>
  </si>
  <si>
    <t>Personal &amp; Household Goods</t>
  </si>
  <si>
    <t>Health Care</t>
  </si>
  <si>
    <t>Retail</t>
  </si>
  <si>
    <t>Media</t>
  </si>
  <si>
    <t>Travel &amp; Leisure</t>
  </si>
  <si>
    <t>Telecommunications</t>
  </si>
  <si>
    <t>Utilities</t>
  </si>
  <si>
    <t>Financials</t>
  </si>
  <si>
    <t>Banks</t>
  </si>
  <si>
    <t>Insurance</t>
  </si>
  <si>
    <t>Real Estate</t>
  </si>
  <si>
    <t>Financial Services</t>
  </si>
  <si>
    <t>Technology</t>
  </si>
  <si>
    <t>Stoxx Europe 600</t>
  </si>
  <si>
    <t>EXSA.DE</t>
  </si>
  <si>
    <t>EXI5.DE</t>
  </si>
  <si>
    <t>EXV3.DE</t>
  </si>
  <si>
    <t>EXV2.DE</t>
  </si>
  <si>
    <t>EXV9.DE</t>
  </si>
  <si>
    <t>EXH9.DE</t>
  </si>
  <si>
    <t>EXH1.DE</t>
  </si>
  <si>
    <t>EXH7.DE</t>
  </si>
  <si>
    <t>EXH8.DE</t>
  </si>
  <si>
    <t>EXV4.DE</t>
  </si>
  <si>
    <t>EXH4.DE</t>
  </si>
  <si>
    <t>EXH5.DE</t>
  </si>
  <si>
    <t>EXH6.DE</t>
  </si>
  <si>
    <t>EXV7.DE</t>
  </si>
  <si>
    <t>EXV8.DE</t>
  </si>
  <si>
    <t>EXH2.DE</t>
  </si>
  <si>
    <t>EXH3.DE</t>
  </si>
  <si>
    <t>EXV5.DE</t>
  </si>
  <si>
    <t>EXV1.DE</t>
  </si>
  <si>
    <t>EXV6.DE</t>
  </si>
  <si>
    <t>Sectors ETF</t>
  </si>
  <si>
    <t>Link</t>
  </si>
  <si>
    <t>Components</t>
  </si>
  <si>
    <t>https://finance.yahoo.com/quote/EXV5.DE?p=EXV5.DE</t>
  </si>
  <si>
    <t>Energy</t>
  </si>
  <si>
    <t>Aerospace &amp; Defense</t>
  </si>
  <si>
    <t>Metals &amp; Mining</t>
  </si>
  <si>
    <t>Coal</t>
  </si>
  <si>
    <t>ACWI</t>
  </si>
  <si>
    <t>DIA</t>
  </si>
  <si>
    <t>EEM</t>
  </si>
  <si>
    <t>EWA</t>
  </si>
  <si>
    <t>EWG</t>
  </si>
  <si>
    <t>EWH</t>
  </si>
  <si>
    <t>EWJ</t>
  </si>
  <si>
    <t>EWL</t>
  </si>
  <si>
    <t>EWP</t>
  </si>
  <si>
    <t>EWQ</t>
  </si>
  <si>
    <t>EWS</t>
  </si>
  <si>
    <t>EWU</t>
  </si>
  <si>
    <t>EWY</t>
  </si>
  <si>
    <t>EWZ</t>
  </si>
  <si>
    <t>FDN</t>
  </si>
  <si>
    <t>FXI</t>
  </si>
  <si>
    <t>GLD</t>
  </si>
  <si>
    <t>IBB</t>
  </si>
  <si>
    <t>IJH</t>
  </si>
  <si>
    <t>IJJ</t>
  </si>
  <si>
    <t>IJK</t>
  </si>
  <si>
    <t>IJR</t>
  </si>
  <si>
    <t>IJS</t>
  </si>
  <si>
    <t>IJT</t>
  </si>
  <si>
    <t>IWD</t>
  </si>
  <si>
    <t>IWF</t>
  </si>
  <si>
    <t>IWM</t>
  </si>
  <si>
    <t>IWN</t>
  </si>
  <si>
    <t>IWO</t>
  </si>
  <si>
    <t>IWP</t>
  </si>
  <si>
    <t>IWS</t>
  </si>
  <si>
    <t>IYR</t>
  </si>
  <si>
    <t>OIH</t>
  </si>
  <si>
    <t>QQQ</t>
  </si>
  <si>
    <t>SPY</t>
  </si>
  <si>
    <t>THD</t>
  </si>
  <si>
    <t>TLT</t>
  </si>
  <si>
    <t>USO</t>
  </si>
  <si>
    <t>XLB</t>
  </si>
  <si>
    <t>XLF</t>
  </si>
  <si>
    <t>XLU</t>
  </si>
  <si>
    <t>XLY</t>
  </si>
  <si>
    <t>Consumer Staples</t>
  </si>
  <si>
    <t>Consumer Discretionary</t>
  </si>
  <si>
    <t>Solar</t>
  </si>
  <si>
    <t>Gold</t>
  </si>
  <si>
    <t>Airlines</t>
  </si>
  <si>
    <t>Steel</t>
  </si>
  <si>
    <t>Copper</t>
  </si>
  <si>
    <t>Semiconductors</t>
  </si>
  <si>
    <t>Silver</t>
  </si>
  <si>
    <t>ETF Data</t>
  </si>
  <si>
    <t>https://finance.yahoo.com/</t>
  </si>
  <si>
    <t>https://www.investing.com/</t>
  </si>
  <si>
    <t>YTD</t>
  </si>
  <si>
    <t>Last 5 days</t>
  </si>
  <si>
    <t>Last Month</t>
  </si>
  <si>
    <t>Last 3months</t>
  </si>
  <si>
    <t>Last 5 years</t>
  </si>
  <si>
    <t>Last</t>
  </si>
  <si>
    <t>%</t>
  </si>
  <si>
    <t>AMERICA</t>
  </si>
  <si>
    <t>Global Equities</t>
  </si>
  <si>
    <t>S&amp;P 500</t>
  </si>
  <si>
    <t>Nasdaq</t>
  </si>
  <si>
    <t>Dow Industrials</t>
  </si>
  <si>
    <t>IYT</t>
  </si>
  <si>
    <t>Dow Transports</t>
  </si>
  <si>
    <t>IDU</t>
  </si>
  <si>
    <t>Dow Utilities</t>
  </si>
  <si>
    <t>Russell 2000</t>
  </si>
  <si>
    <t>EWC</t>
  </si>
  <si>
    <t>Canada</t>
  </si>
  <si>
    <t>EWW</t>
  </si>
  <si>
    <t>Mexico</t>
  </si>
  <si>
    <t>ARGT</t>
  </si>
  <si>
    <t>Argentina</t>
  </si>
  <si>
    <t>Brazil</t>
  </si>
  <si>
    <t>GXG</t>
  </si>
  <si>
    <t>Colombia</t>
  </si>
  <si>
    <t>ECH</t>
  </si>
  <si>
    <t>Chile</t>
  </si>
  <si>
    <t>EPU</t>
  </si>
  <si>
    <t>Peru</t>
  </si>
  <si>
    <t>EMA</t>
  </si>
  <si>
    <t>UK</t>
  </si>
  <si>
    <t>EIRL</t>
  </si>
  <si>
    <t>Ireland</t>
  </si>
  <si>
    <t>Germany</t>
  </si>
  <si>
    <t>France</t>
  </si>
  <si>
    <t>EWO</t>
  </si>
  <si>
    <t>Austria</t>
  </si>
  <si>
    <t>EWN</t>
  </si>
  <si>
    <t>Netherlands</t>
  </si>
  <si>
    <t>EDEN</t>
  </si>
  <si>
    <t>Denmark</t>
  </si>
  <si>
    <t>EFNL</t>
  </si>
  <si>
    <t>Finland</t>
  </si>
  <si>
    <t>EWK</t>
  </si>
  <si>
    <t>Belgium</t>
  </si>
  <si>
    <t>EPOL</t>
  </si>
  <si>
    <t>Poland</t>
  </si>
  <si>
    <t>NORW</t>
  </si>
  <si>
    <t>Norway</t>
  </si>
  <si>
    <t>EWI</t>
  </si>
  <si>
    <t>Italy</t>
  </si>
  <si>
    <t>EWD</t>
  </si>
  <si>
    <t>Sweden</t>
  </si>
  <si>
    <t>Switzerland</t>
  </si>
  <si>
    <t>Spain</t>
  </si>
  <si>
    <t>PGAL</t>
  </si>
  <si>
    <t>Portugal</t>
  </si>
  <si>
    <t>GREK</t>
  </si>
  <si>
    <t>Greece</t>
  </si>
  <si>
    <t>TUR</t>
  </si>
  <si>
    <t>Turkey</t>
  </si>
  <si>
    <t>EIS</t>
  </si>
  <si>
    <t>Israel</t>
  </si>
  <si>
    <t>NGE</t>
  </si>
  <si>
    <t>Nigeria</t>
  </si>
  <si>
    <t>EZA</t>
  </si>
  <si>
    <t>South Africa</t>
  </si>
  <si>
    <t>EGPT</t>
  </si>
  <si>
    <t>Egypt</t>
  </si>
  <si>
    <t>Asia + Oceania</t>
  </si>
  <si>
    <t>Japan</t>
  </si>
  <si>
    <t>China</t>
  </si>
  <si>
    <t>Hong Kong</t>
  </si>
  <si>
    <t>ENZL</t>
  </si>
  <si>
    <t>New Zealand</t>
  </si>
  <si>
    <t>Singapore</t>
  </si>
  <si>
    <t>INDY</t>
  </si>
  <si>
    <t>India</t>
  </si>
  <si>
    <t>South Korea</t>
  </si>
  <si>
    <t>Australia</t>
  </si>
  <si>
    <t>EWM</t>
  </si>
  <si>
    <t>Malaysia</t>
  </si>
  <si>
    <t>Thailand</t>
  </si>
  <si>
    <t>IDX</t>
  </si>
  <si>
    <t>Indonesia</t>
  </si>
  <si>
    <t>EWT</t>
  </si>
  <si>
    <t>Taiwan</t>
  </si>
  <si>
    <t>VNM</t>
  </si>
  <si>
    <t>Vietnam</t>
  </si>
  <si>
    <t>EPHE</t>
  </si>
  <si>
    <t>Philippines</t>
  </si>
  <si>
    <t>XAR</t>
  </si>
  <si>
    <t>MOO</t>
  </si>
  <si>
    <t>Agribusiness</t>
  </si>
  <si>
    <t>JETS</t>
  </si>
  <si>
    <t>KBE</t>
  </si>
  <si>
    <t>Biotech</t>
  </si>
  <si>
    <t>IAI</t>
  </si>
  <si>
    <t>Brokers/Dealers</t>
  </si>
  <si>
    <t>BJK</t>
  </si>
  <si>
    <t>Casinos</t>
  </si>
  <si>
    <t>SKYY</t>
  </si>
  <si>
    <t>Cloud Computing</t>
  </si>
  <si>
    <t>KOL</t>
  </si>
  <si>
    <t>XLP</t>
  </si>
  <si>
    <t>HACK</t>
  </si>
  <si>
    <t>Cyber Security</t>
  </si>
  <si>
    <t>Emerging Markets</t>
  </si>
  <si>
    <t>XLE</t>
  </si>
  <si>
    <t>PBJ</t>
  </si>
  <si>
    <t>GDX</t>
  </si>
  <si>
    <t>Gold Miners</t>
  </si>
  <si>
    <t>XLV</t>
  </si>
  <si>
    <t>XHE</t>
  </si>
  <si>
    <t>Health Care Equipment</t>
  </si>
  <si>
    <t>XHS</t>
  </si>
  <si>
    <t>Health Care Services</t>
  </si>
  <si>
    <t>XHB</t>
  </si>
  <si>
    <t>Housing</t>
  </si>
  <si>
    <t>XLI</t>
  </si>
  <si>
    <t>KIE</t>
  </si>
  <si>
    <t>Internet</t>
  </si>
  <si>
    <t>Materials</t>
  </si>
  <si>
    <t>PBS</t>
  </si>
  <si>
    <t>XME</t>
  </si>
  <si>
    <t>IGN</t>
  </si>
  <si>
    <t>Networking</t>
  </si>
  <si>
    <t>Oil Services</t>
  </si>
  <si>
    <t>IHE</t>
  </si>
  <si>
    <t>Pharma</t>
  </si>
  <si>
    <t>KRE</t>
  </si>
  <si>
    <t>Regional Banks</t>
  </si>
  <si>
    <t>REITs</t>
  </si>
  <si>
    <t>XRT</t>
  </si>
  <si>
    <t>SMH</t>
  </si>
  <si>
    <t>SEA</t>
  </si>
  <si>
    <t>Shipping</t>
  </si>
  <si>
    <t>SLV</t>
  </si>
  <si>
    <t>SOCL</t>
  </si>
  <si>
    <t>Social Media</t>
  </si>
  <si>
    <t>XSW</t>
  </si>
  <si>
    <t>Software</t>
  </si>
  <si>
    <t>TAN</t>
  </si>
  <si>
    <t>S&amp;P</t>
  </si>
  <si>
    <t>SLX</t>
  </si>
  <si>
    <t>XLK</t>
  </si>
  <si>
    <t>IYZ</t>
  </si>
  <si>
    <t>Telecoms</t>
  </si>
  <si>
    <t>CUT</t>
  </si>
  <si>
    <t>Timber</t>
  </si>
  <si>
    <t>XTN</t>
  </si>
  <si>
    <t>Transports</t>
  </si>
  <si>
    <t>UUP</t>
  </si>
  <si>
    <t>US Dollar</t>
  </si>
  <si>
    <t>PHO</t>
  </si>
  <si>
    <t>Water</t>
  </si>
  <si>
    <t>IWV</t>
  </si>
  <si>
    <t>Broad Market - Russell 3000</t>
  </si>
  <si>
    <t>OEF</t>
  </si>
  <si>
    <t>Largecap - S&amp;P100</t>
  </si>
  <si>
    <t>Midcap - S&amp;P400</t>
  </si>
  <si>
    <t>Smallcap - S&amp;P SmallCap600</t>
  </si>
  <si>
    <t>IWC</t>
  </si>
  <si>
    <t>Microcap</t>
  </si>
  <si>
    <t>PFM</t>
  </si>
  <si>
    <t>Dividend Appreciation</t>
  </si>
  <si>
    <t>PEY</t>
  </si>
  <si>
    <t>High Yield Dividend</t>
  </si>
  <si>
    <t>VUG</t>
  </si>
  <si>
    <t>Growth - General</t>
  </si>
  <si>
    <t>Smallcap Growth - General</t>
  </si>
  <si>
    <t>Midcap Growth - General</t>
  </si>
  <si>
    <t>S&amp;P Midcap 400 Growth</t>
  </si>
  <si>
    <t>IVW</t>
  </si>
  <si>
    <t>S&amp;P 500 Growth</t>
  </si>
  <si>
    <t>Russell 2000 Growth</t>
  </si>
  <si>
    <t>Russell 1000 Growth</t>
  </si>
  <si>
    <t>VTV</t>
  </si>
  <si>
    <t>Value - General</t>
  </si>
  <si>
    <t>Smallcap Value - General</t>
  </si>
  <si>
    <t>Midcap Value - General</t>
  </si>
  <si>
    <t>PWV</t>
  </si>
  <si>
    <t>Largecap Value - General</t>
  </si>
  <si>
    <t>S&amp;P Midcap 400 Value</t>
  </si>
  <si>
    <t>IVE</t>
  </si>
  <si>
    <t>S&amp;P500 Value</t>
  </si>
  <si>
    <t>Russell 2000 Value</t>
  </si>
  <si>
    <t>Russell 1000 Value</t>
  </si>
  <si>
    <t>JJU</t>
  </si>
  <si>
    <t>Aluminium</t>
  </si>
  <si>
    <t>Base Metals</t>
  </si>
  <si>
    <t>JO</t>
  </si>
  <si>
    <t>Coffee</t>
  </si>
  <si>
    <t>JJC</t>
  </si>
  <si>
    <t>CORN</t>
  </si>
  <si>
    <t>Corn</t>
  </si>
  <si>
    <t>BAL</t>
  </si>
  <si>
    <t>Cotton</t>
  </si>
  <si>
    <t>UGA</t>
  </si>
  <si>
    <t>Gasoline</t>
  </si>
  <si>
    <t>JJG</t>
  </si>
  <si>
    <t>Grains</t>
  </si>
  <si>
    <t>DJP</t>
  </si>
  <si>
    <t>iPath Bloomberg Cmdty TR ETN</t>
  </si>
  <si>
    <t>COW</t>
  </si>
  <si>
    <t>Livestock</t>
  </si>
  <si>
    <t>UNG</t>
  </si>
  <si>
    <t>Natural Gas</t>
  </si>
  <si>
    <t>JJN</t>
  </si>
  <si>
    <t>Nickel</t>
  </si>
  <si>
    <t>Oil</t>
  </si>
  <si>
    <t>PALL</t>
  </si>
  <si>
    <t>Palladium</t>
  </si>
  <si>
    <t>SOYB</t>
  </si>
  <si>
    <t>Soybeans</t>
  </si>
  <si>
    <t>SGG</t>
  </si>
  <si>
    <t>Sugar</t>
  </si>
  <si>
    <t>WEAT</t>
  </si>
  <si>
    <t>Wheat</t>
  </si>
  <si>
    <t>WOOD</t>
  </si>
  <si>
    <t>Wood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</si>
</sst>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0" fillId="0" borderId="0" xfId="0"/>
    <xf numFmtId="0" fontId="0" fillId="2" borderId="0" xfId="0" applyFill="1"/>
    <xf numFmtId="0" fontId="0" fillId="2" borderId="0" xfId="0" applyFont="1" applyFill="1"/>
    <xf numFmtId="0" fontId="2" fillId="0" borderId="0" xfId="1"/>
    <xf numFmtId="0" fontId="0" fillId="2" borderId="8" xfId="0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0" fontId="0" fillId="2" borderId="14" xfId="0" applyFont="1" applyFill="1" applyBorder="1" applyAlignment="1">
      <alignment horizontal="center"/>
    </xf>
    <xf numFmtId="0" fontId="0" fillId="2" borderId="15" xfId="0" applyFont="1" applyFill="1" applyBorder="1" applyAlignment="1">
      <alignment horizontal="center"/>
    </xf>
    <xf numFmtId="0" fontId="0" fillId="2" borderId="17" xfId="0" applyFont="1" applyFill="1" applyBorder="1" applyAlignment="1">
      <alignment horizontal="center"/>
    </xf>
    <xf numFmtId="0" fontId="0" fillId="2" borderId="18" xfId="0" applyFont="1" applyFill="1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0" fontId="1" fillId="4" borderId="20" xfId="0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0" fillId="0" borderId="8" xfId="0" applyFill="1" applyBorder="1"/>
    <xf numFmtId="0" fontId="0" fillId="0" borderId="13" xfId="0" applyFill="1" applyBorder="1"/>
    <xf numFmtId="0" fontId="0" fillId="0" borderId="15" xfId="0" applyFill="1" applyBorder="1"/>
    <xf numFmtId="0" fontId="0" fillId="0" borderId="16" xfId="0" applyFill="1" applyBorder="1"/>
    <xf numFmtId="14" fontId="1" fillId="4" borderId="23" xfId="0" applyNumberFormat="1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14" fontId="1" fillId="4" borderId="26" xfId="0" applyNumberFormat="1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10" xfId="0" applyFont="1" applyFill="1" applyBorder="1"/>
    <xf numFmtId="2" fontId="0" fillId="2" borderId="10" xfId="0" applyNumberFormat="1" applyFill="1" applyBorder="1" applyAlignment="1">
      <alignment horizontal="center"/>
    </xf>
    <xf numFmtId="10" fontId="0" fillId="2" borderId="10" xfId="2" applyNumberFormat="1" applyFont="1" applyFill="1" applyBorder="1" applyAlignment="1">
      <alignment horizontal="center"/>
    </xf>
    <xf numFmtId="10" fontId="0" fillId="2" borderId="10" xfId="0" applyNumberFormat="1" applyFill="1" applyBorder="1" applyAlignment="1">
      <alignment horizontal="center"/>
    </xf>
    <xf numFmtId="9" fontId="0" fillId="2" borderId="10" xfId="2" applyFont="1" applyFill="1" applyBorder="1" applyAlignment="1">
      <alignment horizontal="center"/>
    </xf>
    <xf numFmtId="0" fontId="1" fillId="4" borderId="8" xfId="0" applyFont="1" applyFill="1" applyBorder="1"/>
    <xf numFmtId="2" fontId="0" fillId="2" borderId="8" xfId="0" applyNumberFormat="1" applyFill="1" applyBorder="1" applyAlignment="1">
      <alignment horizontal="center"/>
    </xf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9" fontId="0" fillId="2" borderId="8" xfId="2" applyFont="1" applyFill="1" applyBorder="1" applyAlignment="1">
      <alignment horizontal="center"/>
    </xf>
    <xf numFmtId="0" fontId="1" fillId="4" borderId="15" xfId="0" applyFont="1" applyFill="1" applyBorder="1"/>
    <xf numFmtId="2" fontId="0" fillId="2" borderId="15" xfId="0" applyNumberFormat="1" applyFill="1" applyBorder="1" applyAlignment="1">
      <alignment horizontal="center"/>
    </xf>
    <xf numFmtId="10" fontId="0" fillId="2" borderId="15" xfId="2" applyNumberFormat="1" applyFont="1" applyFill="1" applyBorder="1" applyAlignment="1">
      <alignment horizontal="center"/>
    </xf>
    <xf numFmtId="10" fontId="0" fillId="2" borderId="15" xfId="0" applyNumberFormat="1" applyFill="1" applyBorder="1" applyAlignment="1">
      <alignment horizontal="center"/>
    </xf>
    <xf numFmtId="9" fontId="0" fillId="2" borderId="15" xfId="2" applyFont="1" applyFill="1" applyBorder="1" applyAlignment="1">
      <alignment horizontal="center"/>
    </xf>
    <xf numFmtId="0" fontId="1" fillId="4" borderId="28" xfId="0" applyFont="1" applyFill="1" applyBorder="1"/>
    <xf numFmtId="0" fontId="1" fillId="4" borderId="29" xfId="0" applyFont="1" applyFill="1" applyBorder="1"/>
    <xf numFmtId="0" fontId="1" fillId="4" borderId="30" xfId="0" applyFont="1" applyFill="1" applyBorder="1"/>
    <xf numFmtId="9" fontId="0" fillId="2" borderId="11" xfId="2" applyFont="1" applyFill="1" applyBorder="1" applyAlignment="1">
      <alignment horizontal="center"/>
    </xf>
    <xf numFmtId="9" fontId="0" fillId="2" borderId="13" xfId="2" applyFont="1" applyFill="1" applyBorder="1" applyAlignment="1">
      <alignment horizontal="center"/>
    </xf>
    <xf numFmtId="9" fontId="0" fillId="2" borderId="16" xfId="2" applyFont="1" applyFill="1" applyBorder="1" applyAlignment="1">
      <alignment horizontal="center"/>
    </xf>
    <xf numFmtId="14" fontId="1" fillId="5" borderId="0" xfId="0" applyNumberFormat="1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2" fillId="2" borderId="0" xfId="1" applyFill="1" applyAlignment="1"/>
    <xf numFmtId="0" fontId="0" fillId="0" borderId="0" xfId="0" applyAlignment="1"/>
    <xf numFmtId="0" fontId="0" fillId="2" borderId="0" xfId="0" applyFill="1" applyAlignment="1"/>
    <xf numFmtId="0" fontId="2" fillId="2" borderId="0" xfId="1" applyFill="1"/>
    <xf numFmtId="0" fontId="0" fillId="0" borderId="0" xfId="0"/>
    <xf numFmtId="0" fontId="0" fillId="2" borderId="0" xfId="0" applyFill="1"/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 vertical="center" textRotation="90"/>
    </xf>
    <xf numFmtId="0" fontId="5" fillId="4" borderId="12" xfId="0" applyFont="1" applyFill="1" applyBorder="1" applyAlignment="1">
      <alignment horizontal="center" vertical="center" textRotation="90"/>
    </xf>
    <xf numFmtId="0" fontId="5" fillId="4" borderId="12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95c667e34a8965ed/Desktop/Mentoring/ET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loombergdatabase"/>
      <sheetName val="BloombergEurope"/>
      <sheetName val="IN"/>
      <sheetName val="OUT"/>
      <sheetName val="XLIISM"/>
      <sheetName val="XLISPYvsISM"/>
      <sheetName val="XLYXLPISM"/>
      <sheetName val="Base for 2 indexes"/>
      <sheetName val="Base"/>
      <sheetName val="Base 2015"/>
      <sheetName val="Correlation Matrix 2"/>
      <sheetName val="Correlation Matrix"/>
      <sheetName val="RecapYearsGICS"/>
      <sheetName val="RecapYears2"/>
      <sheetName val="RecapYears"/>
      <sheetName val="Note"/>
      <sheetName val="Recap 31122019"/>
      <sheetName val="Recap Adj close"/>
      <sheetName val="Recap Bonds"/>
      <sheetName val="Recap Commodities"/>
      <sheetName val="Recap Industry"/>
      <sheetName val="Investment Styles"/>
      <sheetName val="Recap World"/>
      <sheetName val="Data"/>
      <sheetName val="Recap"/>
      <sheetName val="Open Price"/>
      <sheetName val="High Price"/>
      <sheetName val="Low Price"/>
      <sheetName val="Close Price"/>
      <sheetName val="Adjusted Close Price"/>
      <sheetName val="Trading Volume"/>
      <sheetName val="Vix"/>
      <sheetName val="Gold Data"/>
      <sheetName val="Gold"/>
      <sheetName val="EEM"/>
      <sheetName val="IBB"/>
      <sheetName val="SPY"/>
      <sheetName val="BIL"/>
      <sheetName val="DJP"/>
      <sheetName val="AGG"/>
      <sheetName val="TIP"/>
      <sheetName val="EFA"/>
      <sheetName val="SLY"/>
      <sheetName val="MDY"/>
      <sheetName val="VNQ"/>
      <sheetName val="HYG"/>
      <sheetName val="IWM"/>
      <sheetName val="QQQ"/>
      <sheetName val="USO"/>
      <sheetName val="XLU"/>
      <sheetName val="XTL"/>
      <sheetName val="XLRE"/>
      <sheetName val="XLB"/>
      <sheetName val="XLK"/>
      <sheetName val="XLV"/>
      <sheetName val="XLF"/>
      <sheetName val="XLE"/>
      <sheetName val="XLI"/>
      <sheetName val="XLP"/>
      <sheetName val="RXI"/>
      <sheetName val="DXY"/>
      <sheetName val="XLY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">
          <cell r="D1">
            <v>43872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investing.com/" TargetMode="External"/><Relationship Id="rId1" Type="http://schemas.openxmlformats.org/officeDocument/2006/relationships/hyperlink" Target="https://finance.yaho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CA45-A178-448F-88A3-B715214EB391}">
  <sheetPr codeName="Sheet1">
    <tabColor rgb="FFFFFF00"/>
  </sheetPr>
  <dimension ref="B1:J17"/>
  <sheetViews>
    <sheetView topLeftCell="A13" workbookViewId="0">
      <selection activeCell="B15" sqref="B15:J18"/>
    </sheetView>
  </sheetViews>
  <sheetFormatPr defaultColWidth="9.1328125" defaultRowHeight="14.25" x14ac:dyDescent="0.45"/>
  <cols>
    <col min="1" max="1" width="9.1328125" style="1"/>
    <col min="2" max="10" width="12.86328125" style="1" customWidth="1"/>
    <col min="11" max="16384" width="9.1328125" style="1"/>
  </cols>
  <sheetData>
    <row r="1" spans="2:10" x14ac:dyDescent="0.45">
      <c r="B1" s="52"/>
      <c r="C1" s="52"/>
      <c r="D1" s="52"/>
      <c r="E1" s="52"/>
      <c r="F1" s="52"/>
      <c r="G1" s="52"/>
      <c r="H1" s="52"/>
      <c r="I1" s="52"/>
      <c r="J1" s="52"/>
    </row>
    <row r="2" spans="2:10" ht="14.65" thickBot="1" x14ac:dyDescent="0.5">
      <c r="B2" s="53"/>
      <c r="C2" s="53"/>
      <c r="D2" s="53"/>
      <c r="E2" s="53"/>
      <c r="F2" s="53"/>
      <c r="G2" s="53"/>
      <c r="H2" s="53"/>
      <c r="I2" s="53"/>
      <c r="J2" s="53"/>
    </row>
    <row r="3" spans="2:10" ht="14.65" thickBot="1" x14ac:dyDescent="0.5">
      <c r="B3" s="54" t="s">
        <v>104</v>
      </c>
      <c r="C3" s="55"/>
      <c r="D3" s="55"/>
      <c r="E3" s="55"/>
      <c r="F3" s="55"/>
      <c r="G3" s="55"/>
      <c r="H3" s="55"/>
      <c r="I3" s="55"/>
      <c r="J3" s="56"/>
    </row>
    <row r="6" spans="2:10" x14ac:dyDescent="0.45">
      <c r="B6" s="49" t="s">
        <v>1</v>
      </c>
      <c r="C6" s="50"/>
      <c r="D6" s="50"/>
      <c r="E6" s="50"/>
      <c r="F6" s="51"/>
      <c r="G6" s="49" t="s">
        <v>0</v>
      </c>
      <c r="H6" s="50"/>
      <c r="I6" s="50"/>
      <c r="J6" s="51"/>
    </row>
    <row r="8" spans="2:10" x14ac:dyDescent="0.45">
      <c r="G8" s="7" t="s">
        <v>105</v>
      </c>
      <c r="H8" s="4"/>
      <c r="I8" s="4"/>
      <c r="J8" s="4"/>
    </row>
    <row r="9" spans="2:10" x14ac:dyDescent="0.45">
      <c r="G9" s="62" t="s">
        <v>106</v>
      </c>
      <c r="H9" s="63"/>
      <c r="I9" s="63"/>
      <c r="J9" s="63"/>
    </row>
    <row r="10" spans="2:10" x14ac:dyDescent="0.45">
      <c r="G10" s="64"/>
      <c r="H10" s="63"/>
      <c r="I10" s="63"/>
      <c r="J10" s="63"/>
    </row>
    <row r="11" spans="2:10" x14ac:dyDescent="0.45">
      <c r="G11" s="59"/>
      <c r="H11" s="60"/>
      <c r="I11" s="60"/>
      <c r="J11" s="60"/>
    </row>
    <row r="12" spans="2:10" x14ac:dyDescent="0.45">
      <c r="G12" s="61"/>
      <c r="H12" s="60"/>
      <c r="I12" s="60"/>
      <c r="J12" s="60"/>
    </row>
    <row r="13" spans="2:10" x14ac:dyDescent="0.45">
      <c r="G13" s="61"/>
      <c r="H13" s="60"/>
      <c r="I13" s="60"/>
      <c r="J13" s="60"/>
    </row>
    <row r="15" spans="2:10" x14ac:dyDescent="0.45">
      <c r="B15" s="2"/>
    </row>
    <row r="16" spans="2:10" ht="30" customHeight="1" x14ac:dyDescent="0.45">
      <c r="B16" s="57"/>
      <c r="C16" s="58"/>
      <c r="D16" s="58"/>
      <c r="E16" s="58"/>
      <c r="F16" s="58"/>
      <c r="G16" s="58"/>
      <c r="H16" s="58"/>
      <c r="I16" s="58"/>
      <c r="J16" s="58"/>
    </row>
    <row r="17" spans="2:2" x14ac:dyDescent="0.45">
      <c r="B17" s="3"/>
    </row>
  </sheetData>
  <mergeCells count="10">
    <mergeCell ref="B6:F6"/>
    <mergeCell ref="G6:J6"/>
    <mergeCell ref="B1:J2"/>
    <mergeCell ref="B3:J3"/>
    <mergeCell ref="B16:J16"/>
    <mergeCell ref="G11:J11"/>
    <mergeCell ref="G12:J12"/>
    <mergeCell ref="G13:J13"/>
    <mergeCell ref="G9:J9"/>
    <mergeCell ref="G10:J10"/>
  </mergeCells>
  <hyperlinks>
    <hyperlink ref="G8" r:id="rId1" xr:uid="{5B929029-9E37-47ED-AF96-4468C868F73E}"/>
    <hyperlink ref="G9" r:id="rId2" xr:uid="{5570E710-13E3-46B1-A3CC-85C2EEBD037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3E17A-F712-49E0-88CA-FA9259C00462}">
  <sheetPr codeName="Sheet5"/>
  <dimension ref="C6:F27"/>
  <sheetViews>
    <sheetView workbookViewId="0">
      <selection activeCell="G39" sqref="G39"/>
    </sheetView>
  </sheetViews>
  <sheetFormatPr defaultColWidth="9.1328125" defaultRowHeight="14.25" x14ac:dyDescent="0.45"/>
  <cols>
    <col min="1" max="2" width="9.1328125" style="6"/>
    <col min="3" max="3" width="36.3984375" style="6" customWidth="1"/>
    <col min="4" max="4" width="18.3984375" style="6" customWidth="1"/>
    <col min="5" max="5" width="61" style="6" customWidth="1"/>
    <col min="6" max="6" width="58.59765625" style="6" customWidth="1"/>
    <col min="7" max="16384" width="9.1328125" style="6"/>
  </cols>
  <sheetData>
    <row r="6" spans="3:6" ht="14.65" thickBot="1" x14ac:dyDescent="0.5"/>
    <row r="7" spans="3:6" ht="14.65" thickBot="1" x14ac:dyDescent="0.5">
      <c r="C7" s="14" t="s">
        <v>45</v>
      </c>
      <c r="D7" s="15" t="s">
        <v>2</v>
      </c>
      <c r="E7" s="16" t="s">
        <v>46</v>
      </c>
      <c r="F7" s="17" t="s">
        <v>47</v>
      </c>
    </row>
    <row r="8" spans="3:6" x14ac:dyDescent="0.45">
      <c r="C8" s="12" t="s">
        <v>9</v>
      </c>
      <c r="D8" s="13" t="s">
        <v>42</v>
      </c>
      <c r="E8" s="18" t="s">
        <v>48</v>
      </c>
      <c r="F8" s="19" t="str">
        <f>"https://finance.yahoo.com/quote/"&amp;D8&amp;"?p="&amp;D8&amp;"holdings"</f>
        <v>https://finance.yahoo.com/quote/EXV5.DE?p=EXV5.DEholdings</v>
      </c>
    </row>
    <row r="9" spans="3:6" x14ac:dyDescent="0.45">
      <c r="C9" s="9" t="s">
        <v>19</v>
      </c>
      <c r="D9" s="8" t="s">
        <v>43</v>
      </c>
      <c r="E9" s="18" t="str">
        <f t="shared" ref="E9:E27" si="0">"https://finance.yahoo.com/quote/"&amp;D9&amp;"?p="&amp;D9</f>
        <v>https://finance.yahoo.com/quote/EXV1.DE?p=EXV1.DE</v>
      </c>
      <c r="F9" s="19" t="str">
        <f t="shared" ref="F9:F27" si="1">"https://finance.yahoo.com/quote/"&amp;D9&amp;"?p="&amp;D9&amp;"holdings"</f>
        <v>https://finance.yahoo.com/quote/EXV1.DE?p=EXV1.DEholdings</v>
      </c>
    </row>
    <row r="10" spans="3:6" x14ac:dyDescent="0.45">
      <c r="C10" s="9" t="s">
        <v>5</v>
      </c>
      <c r="D10" s="8" t="s">
        <v>44</v>
      </c>
      <c r="E10" s="18" t="str">
        <f t="shared" si="0"/>
        <v>https://finance.yahoo.com/quote/EXV6.DE?p=EXV6.DE</v>
      </c>
      <c r="F10" s="19" t="str">
        <f t="shared" si="1"/>
        <v>https://finance.yahoo.com/quote/EXV6.DE?p=EXV6.DEholdings</v>
      </c>
    </row>
    <row r="11" spans="3:6" x14ac:dyDescent="0.45">
      <c r="C11" s="9" t="s">
        <v>4</v>
      </c>
      <c r="D11" s="8" t="s">
        <v>38</v>
      </c>
      <c r="E11" s="18" t="str">
        <f t="shared" si="0"/>
        <v>https://finance.yahoo.com/quote/EXV7.DE?p=EXV7.DE</v>
      </c>
      <c r="F11" s="19" t="str">
        <f t="shared" si="1"/>
        <v>https://finance.yahoo.com/quote/EXV7.DE?p=EXV7.DEholdings</v>
      </c>
    </row>
    <row r="12" spans="3:6" x14ac:dyDescent="0.45">
      <c r="C12" s="9" t="s">
        <v>7</v>
      </c>
      <c r="D12" s="8" t="s">
        <v>39</v>
      </c>
      <c r="E12" s="18" t="str">
        <f t="shared" si="0"/>
        <v>https://finance.yahoo.com/quote/EXV8.DE?p=EXV8.DE</v>
      </c>
      <c r="F12" s="19" t="str">
        <f t="shared" si="1"/>
        <v>https://finance.yahoo.com/quote/EXV8.DE?p=EXV8.DEholdings</v>
      </c>
    </row>
    <row r="13" spans="3:6" x14ac:dyDescent="0.45">
      <c r="C13" s="9" t="s">
        <v>22</v>
      </c>
      <c r="D13" s="8" t="s">
        <v>40</v>
      </c>
      <c r="E13" s="18" t="str">
        <f t="shared" si="0"/>
        <v>https://finance.yahoo.com/quote/EXH2.DE?p=EXH2.DE</v>
      </c>
      <c r="F13" s="19" t="str">
        <f t="shared" si="1"/>
        <v>https://finance.yahoo.com/quote/EXH2.DE?p=EXH2.DEholdings</v>
      </c>
    </row>
    <row r="14" spans="3:6" x14ac:dyDescent="0.45">
      <c r="C14" s="9" t="s">
        <v>10</v>
      </c>
      <c r="D14" s="8" t="s">
        <v>41</v>
      </c>
      <c r="E14" s="18" t="str">
        <f t="shared" si="0"/>
        <v>https://finance.yahoo.com/quote/EXH3.DE?p=EXH3.DE</v>
      </c>
      <c r="F14" s="19" t="str">
        <f t="shared" si="1"/>
        <v>https://finance.yahoo.com/quote/EXH3.DE?p=EXH3.DEholdings</v>
      </c>
    </row>
    <row r="15" spans="3:6" x14ac:dyDescent="0.45">
      <c r="C15" s="9" t="s">
        <v>12</v>
      </c>
      <c r="D15" s="8" t="s">
        <v>34</v>
      </c>
      <c r="E15" s="18" t="str">
        <f t="shared" si="0"/>
        <v>https://finance.yahoo.com/quote/EXV4.DE?p=EXV4.DE</v>
      </c>
      <c r="F15" s="19" t="str">
        <f t="shared" si="1"/>
        <v>https://finance.yahoo.com/quote/EXV4.DE?p=EXV4.DEholdings</v>
      </c>
    </row>
    <row r="16" spans="3:6" x14ac:dyDescent="0.45">
      <c r="C16" s="9" t="s">
        <v>8</v>
      </c>
      <c r="D16" s="8" t="s">
        <v>35</v>
      </c>
      <c r="E16" s="18" t="str">
        <f t="shared" si="0"/>
        <v>https://finance.yahoo.com/quote/EXH4.DE?p=EXH4.DE</v>
      </c>
      <c r="F16" s="19" t="str">
        <f t="shared" si="1"/>
        <v>https://finance.yahoo.com/quote/EXH4.DE?p=EXH4.DEholdings</v>
      </c>
    </row>
    <row r="17" spans="3:6" x14ac:dyDescent="0.45">
      <c r="C17" s="9" t="s">
        <v>20</v>
      </c>
      <c r="D17" s="8" t="s">
        <v>36</v>
      </c>
      <c r="E17" s="18" t="str">
        <f t="shared" si="0"/>
        <v>https://finance.yahoo.com/quote/EXH5.DE?p=EXH5.DE</v>
      </c>
      <c r="F17" s="19" t="str">
        <f t="shared" si="1"/>
        <v>https://finance.yahoo.com/quote/EXH5.DE?p=EXH5.DEholdings</v>
      </c>
    </row>
    <row r="18" spans="3:6" x14ac:dyDescent="0.45">
      <c r="C18" s="9" t="s">
        <v>14</v>
      </c>
      <c r="D18" s="8" t="s">
        <v>37</v>
      </c>
      <c r="E18" s="18" t="str">
        <f t="shared" si="0"/>
        <v>https://finance.yahoo.com/quote/EXH6.DE?p=EXH6.DE</v>
      </c>
      <c r="F18" s="19" t="str">
        <f t="shared" si="1"/>
        <v>https://finance.yahoo.com/quote/EXH6.DE?p=EXH6.DEholdings</v>
      </c>
    </row>
    <row r="19" spans="3:6" x14ac:dyDescent="0.45">
      <c r="C19" s="9" t="s">
        <v>3</v>
      </c>
      <c r="D19" s="8" t="s">
        <v>31</v>
      </c>
      <c r="E19" s="18" t="str">
        <f t="shared" si="0"/>
        <v>https://finance.yahoo.com/quote/EXH1.DE?p=EXH1.DE</v>
      </c>
      <c r="F19" s="19" t="str">
        <f t="shared" si="1"/>
        <v>https://finance.yahoo.com/quote/EXH1.DE?p=EXH1.DEholdings</v>
      </c>
    </row>
    <row r="20" spans="3:6" x14ac:dyDescent="0.45">
      <c r="C20" s="9" t="s">
        <v>11</v>
      </c>
      <c r="D20" s="8" t="s">
        <v>32</v>
      </c>
      <c r="E20" s="18" t="str">
        <f t="shared" si="0"/>
        <v>https://finance.yahoo.com/quote/EXH7.DE?p=EXH7.DE</v>
      </c>
      <c r="F20" s="19" t="str">
        <f t="shared" si="1"/>
        <v>https://finance.yahoo.com/quote/EXH7.DE?p=EXH7.DEholdings</v>
      </c>
    </row>
    <row r="21" spans="3:6" x14ac:dyDescent="0.45">
      <c r="C21" s="9" t="s">
        <v>21</v>
      </c>
      <c r="D21" s="8" t="s">
        <v>26</v>
      </c>
      <c r="E21" s="18" t="str">
        <f t="shared" si="0"/>
        <v>https://finance.yahoo.com/quote/EXI5.DE?p=EXI5.DE</v>
      </c>
      <c r="F21" s="19" t="str">
        <f t="shared" si="1"/>
        <v>https://finance.yahoo.com/quote/EXI5.DE?p=EXI5.DEholdings</v>
      </c>
    </row>
    <row r="22" spans="3:6" x14ac:dyDescent="0.45">
      <c r="C22" s="9" t="s">
        <v>13</v>
      </c>
      <c r="D22" s="8" t="s">
        <v>33</v>
      </c>
      <c r="E22" s="18" t="str">
        <f t="shared" si="0"/>
        <v>https://finance.yahoo.com/quote/EXH8.DE?p=EXH8.DE</v>
      </c>
      <c r="F22" s="19" t="str">
        <f t="shared" si="1"/>
        <v>https://finance.yahoo.com/quote/EXH8.DE?p=EXH8.DEholdings</v>
      </c>
    </row>
    <row r="23" spans="3:6" x14ac:dyDescent="0.45">
      <c r="C23" s="9" t="s">
        <v>24</v>
      </c>
      <c r="D23" s="8" t="s">
        <v>25</v>
      </c>
      <c r="E23" s="18" t="str">
        <f>"https://finance.yahoo.com/quote/"&amp;D23&amp;"?p="&amp;D23</f>
        <v>https://finance.yahoo.com/quote/EXSA.DE?p=EXSA.DE</v>
      </c>
      <c r="F23" s="19" t="str">
        <f t="shared" si="1"/>
        <v>https://finance.yahoo.com/quote/EXSA.DE?p=EXSA.DEholdings</v>
      </c>
    </row>
    <row r="24" spans="3:6" x14ac:dyDescent="0.45">
      <c r="C24" s="9" t="s">
        <v>23</v>
      </c>
      <c r="D24" s="8" t="s">
        <v>27</v>
      </c>
      <c r="E24" s="18" t="str">
        <f t="shared" si="0"/>
        <v>https://finance.yahoo.com/quote/EXV3.DE?p=EXV3.DE</v>
      </c>
      <c r="F24" s="19" t="str">
        <f t="shared" si="1"/>
        <v>https://finance.yahoo.com/quote/EXV3.DE?p=EXV3.DEholdings</v>
      </c>
    </row>
    <row r="25" spans="3:6" x14ac:dyDescent="0.45">
      <c r="C25" s="9" t="s">
        <v>16</v>
      </c>
      <c r="D25" s="8" t="s">
        <v>28</v>
      </c>
      <c r="E25" s="18" t="str">
        <f t="shared" si="0"/>
        <v>https://finance.yahoo.com/quote/EXV2.DE?p=EXV2.DE</v>
      </c>
      <c r="F25" s="19" t="str">
        <f t="shared" si="1"/>
        <v>https://finance.yahoo.com/quote/EXV2.DE?p=EXV2.DEholdings</v>
      </c>
    </row>
    <row r="26" spans="3:6" x14ac:dyDescent="0.45">
      <c r="C26" s="9" t="s">
        <v>15</v>
      </c>
      <c r="D26" s="8" t="s">
        <v>29</v>
      </c>
      <c r="E26" s="18" t="str">
        <f t="shared" si="0"/>
        <v>https://finance.yahoo.com/quote/EXV9.DE?p=EXV9.DE</v>
      </c>
      <c r="F26" s="19" t="str">
        <f t="shared" si="1"/>
        <v>https://finance.yahoo.com/quote/EXV9.DE?p=EXV9.DEholdings</v>
      </c>
    </row>
    <row r="27" spans="3:6" ht="14.65" thickBot="1" x14ac:dyDescent="0.5">
      <c r="C27" s="10" t="s">
        <v>17</v>
      </c>
      <c r="D27" s="11" t="s">
        <v>30</v>
      </c>
      <c r="E27" s="20" t="str">
        <f t="shared" si="0"/>
        <v>https://finance.yahoo.com/quote/EXH9.DE?p=EXH9.DE</v>
      </c>
      <c r="F27" s="21" t="str">
        <f t="shared" si="1"/>
        <v>https://finance.yahoo.com/quote/EXH9.DE?p=EXH9.DEholdings</v>
      </c>
    </row>
  </sheetData>
  <sortState xmlns:xlrd2="http://schemas.microsoft.com/office/spreadsheetml/2017/richdata2" ref="C8:D27">
    <sortCondition ref="C8:C2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B026A-A51B-41B6-B006-F24283EC6298}">
  <dimension ref="C1:O29"/>
  <sheetViews>
    <sheetView workbookViewId="0">
      <selection activeCell="C1" sqref="C1:D1"/>
    </sheetView>
  </sheetViews>
  <sheetFormatPr defaultColWidth="9.1328125" defaultRowHeight="14.25" x14ac:dyDescent="0.45"/>
  <cols>
    <col min="1" max="3" width="9.1328125" style="5"/>
    <col min="4" max="4" width="29.265625" style="5" customWidth="1"/>
    <col min="5" max="15" width="14.59765625" style="5" customWidth="1"/>
    <col min="16" max="16384" width="9.1328125" style="5"/>
  </cols>
  <sheetData>
    <row r="1" spans="3:15" x14ac:dyDescent="0.45">
      <c r="C1" s="2" t="s">
        <v>112</v>
      </c>
      <c r="D1" s="48">
        <f>'[1]Recap Bonds'!D1</f>
        <v>43872</v>
      </c>
    </row>
    <row r="5" spans="3:15" ht="14.65" thickBot="1" x14ac:dyDescent="0.5"/>
    <row r="6" spans="3:15" x14ac:dyDescent="0.45">
      <c r="E6" s="65" t="s">
        <v>107</v>
      </c>
      <c r="F6" s="66"/>
      <c r="G6" s="67"/>
      <c r="H6" s="65" t="s">
        <v>108</v>
      </c>
      <c r="I6" s="67"/>
      <c r="J6" s="65" t="s">
        <v>109</v>
      </c>
      <c r="K6" s="67"/>
      <c r="L6" s="65" t="s">
        <v>110</v>
      </c>
      <c r="M6" s="67"/>
      <c r="N6" s="65" t="s">
        <v>111</v>
      </c>
      <c r="O6" s="67"/>
    </row>
    <row r="7" spans="3:15" ht="14.65" thickBot="1" x14ac:dyDescent="0.5">
      <c r="E7" s="22">
        <v>43830</v>
      </c>
      <c r="F7" s="23" t="s">
        <v>112</v>
      </c>
      <c r="G7" s="24" t="s">
        <v>113</v>
      </c>
      <c r="H7" s="25">
        <v>43865</v>
      </c>
      <c r="I7" s="26" t="s">
        <v>113</v>
      </c>
      <c r="J7" s="25">
        <v>43843</v>
      </c>
      <c r="K7" s="26" t="s">
        <v>113</v>
      </c>
      <c r="L7" s="25">
        <v>43782</v>
      </c>
      <c r="M7" s="26" t="s">
        <v>113</v>
      </c>
      <c r="N7" s="25">
        <v>42047</v>
      </c>
      <c r="O7" s="26" t="s">
        <v>113</v>
      </c>
    </row>
    <row r="8" spans="3:15" x14ac:dyDescent="0.45">
      <c r="C8" s="42" t="s">
        <v>264</v>
      </c>
      <c r="D8" s="42" t="s">
        <v>265</v>
      </c>
      <c r="E8" s="28">
        <v>188.490005</v>
      </c>
      <c r="F8" s="28">
        <v>196.05999800000001</v>
      </c>
      <c r="G8" s="29">
        <v>4.0161243563020817E-2</v>
      </c>
      <c r="H8" s="28">
        <v>192.83000200000001</v>
      </c>
      <c r="I8" s="30">
        <v>1.6750484709324432E-2</v>
      </c>
      <c r="J8" s="28">
        <v>191.88999899999999</v>
      </c>
      <c r="K8" s="30">
        <v>2.1731195068691509E-2</v>
      </c>
      <c r="L8" s="28">
        <v>180.07797199999999</v>
      </c>
      <c r="M8" s="30">
        <v>8.875058855060862E-2</v>
      </c>
      <c r="N8" s="28">
        <v>113.621651</v>
      </c>
      <c r="O8" s="45">
        <v>0.72555139160933335</v>
      </c>
    </row>
    <row r="9" spans="3:15" x14ac:dyDescent="0.45">
      <c r="C9" s="43" t="s">
        <v>266</v>
      </c>
      <c r="D9" s="43" t="s">
        <v>267</v>
      </c>
      <c r="E9" s="33">
        <v>144.08999600000001</v>
      </c>
      <c r="F9" s="33">
        <v>151.050003</v>
      </c>
      <c r="G9" s="34">
        <v>4.8303193790080953E-2</v>
      </c>
      <c r="H9" s="33">
        <v>148.14999399999999</v>
      </c>
      <c r="I9" s="35">
        <v>1.9574816857569441E-2</v>
      </c>
      <c r="J9" s="33">
        <v>147.35000600000001</v>
      </c>
      <c r="K9" s="35">
        <v>2.5110260260186184E-2</v>
      </c>
      <c r="L9" s="33">
        <v>137.492355</v>
      </c>
      <c r="M9" s="35">
        <v>9.8606558888310547E-2</v>
      </c>
      <c r="N9" s="33">
        <v>83.341881000000001</v>
      </c>
      <c r="O9" s="46">
        <v>0.81241413305754406</v>
      </c>
    </row>
    <row r="10" spans="3:15" x14ac:dyDescent="0.45">
      <c r="C10" s="43" t="s">
        <v>71</v>
      </c>
      <c r="D10" s="43" t="s">
        <v>268</v>
      </c>
      <c r="E10" s="33">
        <v>205.820007</v>
      </c>
      <c r="F10" s="33">
        <v>207.529999</v>
      </c>
      <c r="G10" s="34">
        <v>8.3081913411848229E-3</v>
      </c>
      <c r="H10" s="33">
        <v>205.39999399999999</v>
      </c>
      <c r="I10" s="35">
        <v>1.0370034382766395E-2</v>
      </c>
      <c r="J10" s="33">
        <v>206.39999399999999</v>
      </c>
      <c r="K10" s="35">
        <v>5.4748305855086962E-3</v>
      </c>
      <c r="L10" s="33">
        <v>197.78857400000001</v>
      </c>
      <c r="M10" s="35">
        <v>4.9251707532913365E-2</v>
      </c>
      <c r="N10" s="33">
        <v>138.08296200000001</v>
      </c>
      <c r="O10" s="46">
        <v>0.50293704591881505</v>
      </c>
    </row>
    <row r="11" spans="3:15" x14ac:dyDescent="0.45">
      <c r="C11" s="43" t="s">
        <v>74</v>
      </c>
      <c r="D11" s="43" t="s">
        <v>269</v>
      </c>
      <c r="E11" s="33">
        <v>83.849997999999999</v>
      </c>
      <c r="F11" s="33">
        <v>83.290001000000004</v>
      </c>
      <c r="G11" s="34">
        <v>-6.6785571062267122E-3</v>
      </c>
      <c r="H11" s="33">
        <v>82.260002</v>
      </c>
      <c r="I11" s="35">
        <v>1.2521261548230982E-2</v>
      </c>
      <c r="J11" s="33">
        <v>83.760002</v>
      </c>
      <c r="K11" s="35">
        <v>-5.6112821009722076E-3</v>
      </c>
      <c r="L11" s="33">
        <v>80.249236999999994</v>
      </c>
      <c r="M11" s="35">
        <v>3.7891500451275449E-2</v>
      </c>
      <c r="N11" s="33">
        <v>53.756138</v>
      </c>
      <c r="O11" s="46">
        <v>0.54940447916849988</v>
      </c>
    </row>
    <row r="12" spans="3:15" ht="14.65" thickBot="1" x14ac:dyDescent="0.5">
      <c r="C12" s="44" t="s">
        <v>270</v>
      </c>
      <c r="D12" s="44" t="s">
        <v>271</v>
      </c>
      <c r="E12" s="33">
        <v>99.489998</v>
      </c>
      <c r="F12" s="33">
        <v>98.199996999999996</v>
      </c>
      <c r="G12" s="34">
        <v>-1.2966137560883294E-2</v>
      </c>
      <c r="H12" s="33">
        <v>96.610000999999997</v>
      </c>
      <c r="I12" s="35">
        <v>1.6457882036457067E-2</v>
      </c>
      <c r="J12" s="33">
        <v>98.690002000000007</v>
      </c>
      <c r="K12" s="35">
        <v>-4.9650926139408798E-3</v>
      </c>
      <c r="L12" s="33">
        <v>91.563637</v>
      </c>
      <c r="M12" s="35">
        <v>7.2478117049893903E-2</v>
      </c>
      <c r="N12" s="33">
        <v>72.058464000000001</v>
      </c>
      <c r="O12" s="46">
        <v>0.36278226802058944</v>
      </c>
    </row>
    <row r="13" spans="3:15" x14ac:dyDescent="0.45">
      <c r="C13" s="42" t="s">
        <v>272</v>
      </c>
      <c r="D13" s="42" t="s">
        <v>273</v>
      </c>
      <c r="E13" s="33">
        <v>30.709999</v>
      </c>
      <c r="F13" s="33">
        <v>31.459999</v>
      </c>
      <c r="G13" s="34">
        <v>2.4422013169065879E-2</v>
      </c>
      <c r="H13" s="33">
        <v>31.07</v>
      </c>
      <c r="I13" s="35">
        <v>1.2552269069842277E-2</v>
      </c>
      <c r="J13" s="33">
        <v>30.959999</v>
      </c>
      <c r="K13" s="35">
        <v>1.6149871322670262E-2</v>
      </c>
      <c r="L13" s="33">
        <v>29.691638999999999</v>
      </c>
      <c r="M13" s="35">
        <v>5.9557507081370663E-2</v>
      </c>
      <c r="N13" s="33">
        <v>19.543139</v>
      </c>
      <c r="O13" s="46">
        <v>0.60977205350685981</v>
      </c>
    </row>
    <row r="14" spans="3:15" ht="14.65" thickBot="1" x14ac:dyDescent="0.5">
      <c r="C14" s="44" t="s">
        <v>274</v>
      </c>
      <c r="D14" s="44" t="s">
        <v>275</v>
      </c>
      <c r="E14" s="33">
        <v>18.924994000000002</v>
      </c>
      <c r="F14" s="33">
        <v>19.049999</v>
      </c>
      <c r="G14" s="34">
        <v>6.605286109998134E-3</v>
      </c>
      <c r="H14" s="33">
        <v>18.690000999999999</v>
      </c>
      <c r="I14" s="35">
        <v>1.9261529199490195E-2</v>
      </c>
      <c r="J14" s="33">
        <v>19.024650999999999</v>
      </c>
      <c r="K14" s="35">
        <v>1.3323766096944979E-3</v>
      </c>
      <c r="L14" s="33">
        <v>18.154720000000001</v>
      </c>
      <c r="M14" s="35">
        <v>4.9313842350639313E-2</v>
      </c>
      <c r="N14" s="33">
        <v>11.224220000000001</v>
      </c>
      <c r="O14" s="46">
        <v>0.69722252414867125</v>
      </c>
    </row>
    <row r="15" spans="3:15" x14ac:dyDescent="0.45">
      <c r="C15" s="42" t="s">
        <v>276</v>
      </c>
      <c r="D15" s="42" t="s">
        <v>277</v>
      </c>
      <c r="E15" s="33">
        <v>182.16999799999999</v>
      </c>
      <c r="F15" s="33">
        <v>197.300003</v>
      </c>
      <c r="G15" s="34">
        <v>8.3054318307672223E-2</v>
      </c>
      <c r="H15" s="33">
        <v>194.10000600000001</v>
      </c>
      <c r="I15" s="35">
        <v>1.6486331278114417E-2</v>
      </c>
      <c r="J15" s="33">
        <v>189.35000600000001</v>
      </c>
      <c r="K15" s="35">
        <v>4.1985723517748375E-2</v>
      </c>
      <c r="L15" s="33">
        <v>172.84631300000001</v>
      </c>
      <c r="M15" s="35">
        <v>0.14147649189369746</v>
      </c>
      <c r="N15" s="33">
        <v>101.010521</v>
      </c>
      <c r="O15" s="46">
        <v>0.95326190823231183</v>
      </c>
    </row>
    <row r="16" spans="3:15" x14ac:dyDescent="0.45">
      <c r="C16" s="43" t="s">
        <v>76</v>
      </c>
      <c r="D16" s="43" t="s">
        <v>278</v>
      </c>
      <c r="E16" s="33">
        <v>193.300003</v>
      </c>
      <c r="F16" s="33">
        <v>197.41999799999999</v>
      </c>
      <c r="G16" s="34">
        <v>2.1313993461241635E-2</v>
      </c>
      <c r="H16" s="33">
        <v>194.25</v>
      </c>
      <c r="I16" s="35">
        <v>1.6319166023165986E-2</v>
      </c>
      <c r="J16" s="33">
        <v>195.14999399999999</v>
      </c>
      <c r="K16" s="35">
        <v>1.163209874349266E-2</v>
      </c>
      <c r="L16" s="33">
        <v>183.33322100000001</v>
      </c>
      <c r="M16" s="35">
        <v>7.6837012534678492E-2</v>
      </c>
      <c r="N16" s="33">
        <v>120.060379</v>
      </c>
      <c r="O16" s="46">
        <v>0.64433928698492615</v>
      </c>
    </row>
    <row r="17" spans="3:15" x14ac:dyDescent="0.45">
      <c r="C17" s="43" t="s">
        <v>82</v>
      </c>
      <c r="D17" s="43" t="s">
        <v>279</v>
      </c>
      <c r="E17" s="33">
        <v>152.58000200000001</v>
      </c>
      <c r="F17" s="33">
        <v>159.75</v>
      </c>
      <c r="G17" s="34">
        <v>4.6991728313124495E-2</v>
      </c>
      <c r="H17" s="33">
        <v>158.429993</v>
      </c>
      <c r="I17" s="35">
        <v>8.3317999010452774E-3</v>
      </c>
      <c r="J17" s="33">
        <v>156.91999799999999</v>
      </c>
      <c r="K17" s="35">
        <v>1.8034680321624828E-2</v>
      </c>
      <c r="L17" s="33">
        <v>146.14318800000001</v>
      </c>
      <c r="M17" s="35">
        <v>9.3106029683709859E-2</v>
      </c>
      <c r="N17" s="33">
        <v>91.852363999999994</v>
      </c>
      <c r="O17" s="46">
        <v>0.73920401221246745</v>
      </c>
    </row>
    <row r="18" spans="3:15" x14ac:dyDescent="0.45">
      <c r="C18" s="43" t="s">
        <v>73</v>
      </c>
      <c r="D18" s="43" t="s">
        <v>280</v>
      </c>
      <c r="E18" s="33">
        <v>238.11000100000001</v>
      </c>
      <c r="F18" s="33">
        <v>243.41000399999999</v>
      </c>
      <c r="G18" s="34">
        <v>2.2258632471300419E-2</v>
      </c>
      <c r="H18" s="33">
        <v>241.58999600000001</v>
      </c>
      <c r="I18" s="35">
        <v>7.5334576353897238E-3</v>
      </c>
      <c r="J18" s="33">
        <v>240.35000600000001</v>
      </c>
      <c r="K18" s="35">
        <v>1.2731424687378534E-2</v>
      </c>
      <c r="L18" s="33">
        <v>228.022064</v>
      </c>
      <c r="M18" s="35">
        <v>6.7484434313339017E-2</v>
      </c>
      <c r="N18" s="33">
        <v>157.36511200000001</v>
      </c>
      <c r="O18" s="46">
        <v>0.54678505868568872</v>
      </c>
    </row>
    <row r="19" spans="3:15" x14ac:dyDescent="0.45">
      <c r="C19" s="43" t="s">
        <v>281</v>
      </c>
      <c r="D19" s="43" t="s">
        <v>282</v>
      </c>
      <c r="E19" s="33">
        <v>193.63999899999999</v>
      </c>
      <c r="F19" s="33">
        <v>207.36999499999999</v>
      </c>
      <c r="G19" s="34">
        <v>7.0904751450654571E-2</v>
      </c>
      <c r="H19" s="33">
        <v>203.740005</v>
      </c>
      <c r="I19" s="35">
        <v>1.7816775846255586E-2</v>
      </c>
      <c r="J19" s="33">
        <v>200.08000200000001</v>
      </c>
      <c r="K19" s="35">
        <v>3.6435390479454217E-2</v>
      </c>
      <c r="L19" s="33">
        <v>184.15107699999999</v>
      </c>
      <c r="M19" s="35">
        <v>0.1260862460228783</v>
      </c>
      <c r="N19" s="33">
        <v>106.35837600000001</v>
      </c>
      <c r="O19" s="46">
        <v>0.94972885821423203</v>
      </c>
    </row>
    <row r="20" spans="3:15" x14ac:dyDescent="0.45">
      <c r="C20" s="43" t="s">
        <v>81</v>
      </c>
      <c r="D20" s="43" t="s">
        <v>283</v>
      </c>
      <c r="E20" s="33">
        <v>214.220001</v>
      </c>
      <c r="F20" s="33">
        <v>222.08000200000001</v>
      </c>
      <c r="G20" s="34">
        <v>3.6691256480761623E-2</v>
      </c>
      <c r="H20" s="33">
        <v>218.66000399999999</v>
      </c>
      <c r="I20" s="35">
        <v>1.5640711320941993E-2</v>
      </c>
      <c r="J20" s="33">
        <v>216.770004</v>
      </c>
      <c r="K20" s="35">
        <v>2.4495999917036524E-2</v>
      </c>
      <c r="L20" s="33">
        <v>202.006744</v>
      </c>
      <c r="M20" s="35">
        <v>9.9369246800988034E-2</v>
      </c>
      <c r="N20" s="33">
        <v>139.85475199999999</v>
      </c>
      <c r="O20" s="46">
        <v>0.58793318656773297</v>
      </c>
    </row>
    <row r="21" spans="3:15" ht="14.65" thickBot="1" x14ac:dyDescent="0.5">
      <c r="C21" s="44" t="s">
        <v>78</v>
      </c>
      <c r="D21" s="44" t="s">
        <v>284</v>
      </c>
      <c r="E21" s="33">
        <v>175.91999799999999</v>
      </c>
      <c r="F21" s="33">
        <v>188.85000600000001</v>
      </c>
      <c r="G21" s="34">
        <v>7.3499364182575855E-2</v>
      </c>
      <c r="H21" s="33">
        <v>185.66000399999999</v>
      </c>
      <c r="I21" s="35">
        <v>1.7181955893957761E-2</v>
      </c>
      <c r="J21" s="33">
        <v>182.08000200000001</v>
      </c>
      <c r="K21" s="35">
        <v>3.718148025943014E-2</v>
      </c>
      <c r="L21" s="33">
        <v>166.793442</v>
      </c>
      <c r="M21" s="35">
        <v>0.13223879629512059</v>
      </c>
      <c r="N21" s="33">
        <v>92.613517999999999</v>
      </c>
      <c r="O21" s="46">
        <v>1.0391192352718963</v>
      </c>
    </row>
    <row r="22" spans="3:15" x14ac:dyDescent="0.45">
      <c r="C22" s="43" t="s">
        <v>285</v>
      </c>
      <c r="D22" s="43" t="s">
        <v>286</v>
      </c>
      <c r="E22" s="33">
        <v>119.849998</v>
      </c>
      <c r="F22" s="33">
        <v>120.94000200000001</v>
      </c>
      <c r="G22" s="34">
        <v>9.0947352372922653E-3</v>
      </c>
      <c r="H22" s="33">
        <v>118.660004</v>
      </c>
      <c r="I22" s="35">
        <v>1.9214545113280176E-2</v>
      </c>
      <c r="J22" s="33">
        <v>120.099998</v>
      </c>
      <c r="K22" s="35">
        <v>6.9942049457819939E-3</v>
      </c>
      <c r="L22" s="33">
        <v>115.325394</v>
      </c>
      <c r="M22" s="35">
        <v>4.8684923634425246E-2</v>
      </c>
      <c r="N22" s="33">
        <v>74.871161999999998</v>
      </c>
      <c r="O22" s="46">
        <v>0.61530820104007478</v>
      </c>
    </row>
    <row r="23" spans="3:15" x14ac:dyDescent="0.45">
      <c r="C23" s="43" t="s">
        <v>75</v>
      </c>
      <c r="D23" s="43" t="s">
        <v>287</v>
      </c>
      <c r="E23" s="33">
        <v>160.800003</v>
      </c>
      <c r="F23" s="33">
        <v>155.03999300000001</v>
      </c>
      <c r="G23" s="34">
        <v>-3.582095704314131E-2</v>
      </c>
      <c r="H23" s="33">
        <v>153.570007</v>
      </c>
      <c r="I23" s="35">
        <v>9.5720904668579309E-3</v>
      </c>
      <c r="J23" s="33">
        <v>159.050003</v>
      </c>
      <c r="K23" s="35">
        <v>-2.5212259819951049E-2</v>
      </c>
      <c r="L23" s="33">
        <v>155.52610799999999</v>
      </c>
      <c r="M23" s="35">
        <v>-3.1256166971013245E-3</v>
      </c>
      <c r="N23" s="33">
        <v>108.290604</v>
      </c>
      <c r="O23" s="46">
        <v>0.43170309586600891</v>
      </c>
    </row>
    <row r="24" spans="3:15" x14ac:dyDescent="0.45">
      <c r="C24" s="43" t="s">
        <v>83</v>
      </c>
      <c r="D24" s="43" t="s">
        <v>288</v>
      </c>
      <c r="E24" s="33">
        <v>94.769997000000004</v>
      </c>
      <c r="F24" s="33">
        <v>95.970000999999996</v>
      </c>
      <c r="G24" s="34">
        <v>1.2662277492738475E-2</v>
      </c>
      <c r="H24" s="33">
        <v>94.540001000000004</v>
      </c>
      <c r="I24" s="35">
        <v>1.5125872486504337E-2</v>
      </c>
      <c r="J24" s="33">
        <v>94.93</v>
      </c>
      <c r="K24" s="35">
        <v>1.0955451385231112E-2</v>
      </c>
      <c r="L24" s="33">
        <v>91.096778999999998</v>
      </c>
      <c r="M24" s="35">
        <v>5.3494997885710084E-2</v>
      </c>
      <c r="N24" s="33">
        <v>67.891746999999995</v>
      </c>
      <c r="O24" s="46">
        <v>0.41357389138918466</v>
      </c>
    </row>
    <row r="25" spans="3:15" x14ac:dyDescent="0.45">
      <c r="C25" s="43" t="s">
        <v>289</v>
      </c>
      <c r="D25" s="43" t="s">
        <v>290</v>
      </c>
      <c r="E25" s="33">
        <v>41.349997999999999</v>
      </c>
      <c r="F25" s="33">
        <v>41.880001</v>
      </c>
      <c r="G25" s="34">
        <v>1.2817485505077912E-2</v>
      </c>
      <c r="H25" s="33">
        <v>40.75</v>
      </c>
      <c r="I25" s="35">
        <v>2.7730085889570554E-2</v>
      </c>
      <c r="J25" s="33">
        <v>41.490001999999997</v>
      </c>
      <c r="K25" s="35">
        <v>9.3998308315338987E-3</v>
      </c>
      <c r="L25" s="33">
        <v>40.147263000000002</v>
      </c>
      <c r="M25" s="35">
        <v>4.3159554861809571E-2</v>
      </c>
      <c r="N25" s="33">
        <v>28.305835999999999</v>
      </c>
      <c r="O25" s="46">
        <v>0.47955358039946255</v>
      </c>
    </row>
    <row r="26" spans="3:15" x14ac:dyDescent="0.45">
      <c r="C26" s="43" t="s">
        <v>72</v>
      </c>
      <c r="D26" s="43" t="s">
        <v>291</v>
      </c>
      <c r="E26" s="33">
        <v>170.729996</v>
      </c>
      <c r="F26" s="33">
        <v>169.36999499999999</v>
      </c>
      <c r="G26" s="34">
        <v>-7.9657999874843972E-3</v>
      </c>
      <c r="H26" s="33">
        <v>167.240005</v>
      </c>
      <c r="I26" s="35">
        <v>1.2736127339866992E-2</v>
      </c>
      <c r="J26" s="33">
        <v>170.08999600000001</v>
      </c>
      <c r="K26" s="35">
        <v>-4.2330590683300664E-3</v>
      </c>
      <c r="L26" s="33">
        <v>164.636383</v>
      </c>
      <c r="M26" s="35">
        <v>2.8751919312998961E-2</v>
      </c>
      <c r="N26" s="33">
        <v>119.55922700000001</v>
      </c>
      <c r="O26" s="46">
        <v>0.41662002381464025</v>
      </c>
    </row>
    <row r="27" spans="3:15" x14ac:dyDescent="0.45">
      <c r="C27" s="43" t="s">
        <v>292</v>
      </c>
      <c r="D27" s="43" t="s">
        <v>293</v>
      </c>
      <c r="E27" s="33">
        <v>130.08999600000001</v>
      </c>
      <c r="F27" s="33">
        <v>131.16999799999999</v>
      </c>
      <c r="G27" s="34">
        <v>8.3019604366809177E-3</v>
      </c>
      <c r="H27" s="33">
        <v>128.61000100000001</v>
      </c>
      <c r="I27" s="35">
        <v>1.9905116088133622E-2</v>
      </c>
      <c r="J27" s="33">
        <v>130.30999800000001</v>
      </c>
      <c r="K27" s="35">
        <v>6.5996470969171923E-3</v>
      </c>
      <c r="L27" s="33">
        <v>124.92852000000001</v>
      </c>
      <c r="M27" s="35">
        <v>4.9960393351333919E-2</v>
      </c>
      <c r="N27" s="33">
        <v>83.812568999999996</v>
      </c>
      <c r="O27" s="46">
        <v>0.5650397018614236</v>
      </c>
    </row>
    <row r="28" spans="3:15" x14ac:dyDescent="0.45">
      <c r="C28" s="43" t="s">
        <v>80</v>
      </c>
      <c r="D28" s="43" t="s">
        <v>294</v>
      </c>
      <c r="E28" s="33">
        <v>128.58000200000001</v>
      </c>
      <c r="F28" s="33">
        <v>125.69000200000001</v>
      </c>
      <c r="G28" s="34">
        <v>-2.2476279009546137E-2</v>
      </c>
      <c r="H28" s="33">
        <v>124.339996</v>
      </c>
      <c r="I28" s="35">
        <v>1.0857375288961787E-2</v>
      </c>
      <c r="J28" s="33">
        <v>127.470001</v>
      </c>
      <c r="K28" s="35">
        <v>-1.3964062022718502E-2</v>
      </c>
      <c r="L28" s="33">
        <v>123.339485</v>
      </c>
      <c r="M28" s="35">
        <v>1.9057295398955256E-2</v>
      </c>
      <c r="N28" s="33">
        <v>92.126182999999997</v>
      </c>
      <c r="O28" s="46">
        <v>0.36432442881086269</v>
      </c>
    </row>
    <row r="29" spans="3:15" ht="14.65" thickBot="1" x14ac:dyDescent="0.5">
      <c r="C29" s="44" t="s">
        <v>77</v>
      </c>
      <c r="D29" s="44" t="s">
        <v>295</v>
      </c>
      <c r="E29" s="38">
        <v>136.479996</v>
      </c>
      <c r="F29" s="38">
        <v>137.990005</v>
      </c>
      <c r="G29" s="39">
        <v>1.1063958413363353E-2</v>
      </c>
      <c r="H29" s="38">
        <v>135.63999899999999</v>
      </c>
      <c r="I29" s="40">
        <v>1.7325317143359813E-2</v>
      </c>
      <c r="J29" s="38">
        <v>136.96000699999999</v>
      </c>
      <c r="K29" s="40">
        <v>7.5204289380622347E-3</v>
      </c>
      <c r="L29" s="38">
        <v>131.570572</v>
      </c>
      <c r="M29" s="40">
        <v>4.8790796470809583E-2</v>
      </c>
      <c r="N29" s="38">
        <v>93.122009000000006</v>
      </c>
      <c r="O29" s="47">
        <v>0.48181945902820877</v>
      </c>
    </row>
  </sheetData>
  <mergeCells count="5">
    <mergeCell ref="E6:G6"/>
    <mergeCell ref="H6:I6"/>
    <mergeCell ref="J6:K6"/>
    <mergeCell ref="L6:M6"/>
    <mergeCell ref="N6:O6"/>
  </mergeCells>
  <conditionalFormatting sqref="G8:G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:K2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2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:O2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2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BBD92-19BE-4ADE-94F4-4628486C16A6}">
  <dimension ref="B3:O55"/>
  <sheetViews>
    <sheetView topLeftCell="A22" zoomScale="85" zoomScaleNormal="85" workbookViewId="0">
      <selection activeCell="E5" sqref="E5:O55"/>
    </sheetView>
  </sheetViews>
  <sheetFormatPr defaultColWidth="9.1328125" defaultRowHeight="14.25" x14ac:dyDescent="0.45"/>
  <cols>
    <col min="1" max="3" width="9.1328125" style="5"/>
    <col min="4" max="4" width="23.1328125" style="5" customWidth="1"/>
    <col min="5" max="15" width="10.3984375" style="5" customWidth="1"/>
    <col min="16" max="16384" width="9.1328125" style="5"/>
  </cols>
  <sheetData>
    <row r="3" spans="2:15" ht="14.65" thickBot="1" x14ac:dyDescent="0.5"/>
    <row r="4" spans="2:15" x14ac:dyDescent="0.45">
      <c r="E4" s="65" t="s">
        <v>107</v>
      </c>
      <c r="F4" s="66"/>
      <c r="G4" s="67"/>
      <c r="H4" s="65" t="s">
        <v>108</v>
      </c>
      <c r="I4" s="67"/>
      <c r="J4" s="65" t="s">
        <v>109</v>
      </c>
      <c r="K4" s="67"/>
      <c r="L4" s="65" t="s">
        <v>110</v>
      </c>
      <c r="M4" s="67"/>
      <c r="N4" s="65" t="s">
        <v>111</v>
      </c>
      <c r="O4" s="67"/>
    </row>
    <row r="5" spans="2:15" ht="14.65" thickBot="1" x14ac:dyDescent="0.5">
      <c r="E5" s="22">
        <v>43830</v>
      </c>
      <c r="F5" s="23" t="s">
        <v>112</v>
      </c>
      <c r="G5" s="24" t="s">
        <v>113</v>
      </c>
      <c r="H5" s="25">
        <v>43865</v>
      </c>
      <c r="I5" s="26" t="s">
        <v>113</v>
      </c>
      <c r="J5" s="25">
        <v>43843</v>
      </c>
      <c r="K5" s="26" t="s">
        <v>113</v>
      </c>
      <c r="L5" s="25">
        <v>43782</v>
      </c>
      <c r="M5" s="26" t="s">
        <v>113</v>
      </c>
      <c r="N5" s="25">
        <v>42047</v>
      </c>
      <c r="O5" s="26" t="s">
        <v>113</v>
      </c>
    </row>
    <row r="6" spans="2:15" ht="15" customHeight="1" x14ac:dyDescent="0.45">
      <c r="B6" s="68" t="s">
        <v>114</v>
      </c>
      <c r="C6" s="27" t="s">
        <v>53</v>
      </c>
      <c r="D6" s="27" t="s">
        <v>115</v>
      </c>
      <c r="E6" s="28">
        <v>79.25</v>
      </c>
      <c r="F6" s="28">
        <v>81.190002000000007</v>
      </c>
      <c r="G6" s="29">
        <v>2.4479520504731948E-2</v>
      </c>
      <c r="H6" s="28">
        <v>79.989998</v>
      </c>
      <c r="I6" s="30">
        <v>1.5001925615750197E-2</v>
      </c>
      <c r="J6" s="28">
        <v>80.620002999999997</v>
      </c>
      <c r="K6" s="30">
        <v>7.0701932372789662E-3</v>
      </c>
      <c r="L6" s="28">
        <v>75.951035000000005</v>
      </c>
      <c r="M6" s="30">
        <v>6.89782173475319E-2</v>
      </c>
      <c r="N6" s="28">
        <v>53.664020999999998</v>
      </c>
      <c r="O6" s="31">
        <v>0.51293176484110292</v>
      </c>
    </row>
    <row r="7" spans="2:15" x14ac:dyDescent="0.45">
      <c r="B7" s="69"/>
      <c r="C7" s="32" t="s">
        <v>87</v>
      </c>
      <c r="D7" s="32" t="s">
        <v>116</v>
      </c>
      <c r="E7" s="33">
        <v>321.85998499999999</v>
      </c>
      <c r="F7" s="33">
        <v>335.26001000000002</v>
      </c>
      <c r="G7" s="34">
        <v>4.1633087753981064E-2</v>
      </c>
      <c r="H7" s="33">
        <v>329.05999800000001</v>
      </c>
      <c r="I7" s="35">
        <v>1.8841585235772156E-2</v>
      </c>
      <c r="J7" s="33">
        <v>327.95001200000002</v>
      </c>
      <c r="K7" s="35">
        <v>2.2289976315048914E-2</v>
      </c>
      <c r="L7" s="33">
        <v>307.587738</v>
      </c>
      <c r="M7" s="35">
        <v>8.9965458896154107E-2</v>
      </c>
      <c r="N7" s="33">
        <v>189.32193000000001</v>
      </c>
      <c r="O7" s="36">
        <v>0.77084614550464392</v>
      </c>
    </row>
    <row r="8" spans="2:15" x14ac:dyDescent="0.45">
      <c r="B8" s="69"/>
      <c r="C8" s="32" t="s">
        <v>86</v>
      </c>
      <c r="D8" s="32" t="s">
        <v>117</v>
      </c>
      <c r="E8" s="33">
        <v>212.61000100000001</v>
      </c>
      <c r="F8" s="33">
        <v>232.009995</v>
      </c>
      <c r="G8" s="34">
        <v>9.1246855316086437E-2</v>
      </c>
      <c r="H8" s="33">
        <v>227.470001</v>
      </c>
      <c r="I8" s="35">
        <v>1.995864940449887E-2</v>
      </c>
      <c r="J8" s="33">
        <v>220.949997</v>
      </c>
      <c r="K8" s="35">
        <v>5.0056565513327468E-2</v>
      </c>
      <c r="L8" s="33">
        <v>201.153885</v>
      </c>
      <c r="M8" s="35">
        <v>0.153395545902581</v>
      </c>
      <c r="N8" s="33">
        <v>101.148849</v>
      </c>
      <c r="O8" s="36">
        <v>1.2937482462108889</v>
      </c>
    </row>
    <row r="9" spans="2:15" x14ac:dyDescent="0.45">
      <c r="B9" s="69"/>
      <c r="C9" s="32" t="s">
        <v>54</v>
      </c>
      <c r="D9" s="32" t="s">
        <v>118</v>
      </c>
      <c r="E9" s="33">
        <v>284.96569799999997</v>
      </c>
      <c r="F9" s="33">
        <v>292.94000199999999</v>
      </c>
      <c r="G9" s="34">
        <v>2.7983382056039667E-2</v>
      </c>
      <c r="H9" s="33">
        <v>288.040009</v>
      </c>
      <c r="I9" s="35">
        <v>1.7011501343204009E-2</v>
      </c>
      <c r="J9" s="33">
        <v>288.88382000000001</v>
      </c>
      <c r="K9" s="35">
        <v>1.404087636337673E-2</v>
      </c>
      <c r="L9" s="33">
        <v>276.561035</v>
      </c>
      <c r="M9" s="35">
        <v>5.9223697221121509E-2</v>
      </c>
      <c r="N9" s="33">
        <v>160.602081</v>
      </c>
      <c r="O9" s="36">
        <v>0.82401124677830295</v>
      </c>
    </row>
    <row r="10" spans="2:15" x14ac:dyDescent="0.45">
      <c r="B10" s="69"/>
      <c r="C10" s="32" t="s">
        <v>119</v>
      </c>
      <c r="D10" s="32" t="s">
        <v>120</v>
      </c>
      <c r="E10" s="33">
        <v>195.55999800000001</v>
      </c>
      <c r="F10" s="33">
        <v>195.66999799999999</v>
      </c>
      <c r="G10" s="34">
        <v>5.6248722195213568E-4</v>
      </c>
      <c r="H10" s="33">
        <v>193.33000200000001</v>
      </c>
      <c r="I10" s="35">
        <v>1.210363614437859E-2</v>
      </c>
      <c r="J10" s="33">
        <v>198.449997</v>
      </c>
      <c r="K10" s="35">
        <v>-1.4008561562235769E-2</v>
      </c>
      <c r="L10" s="33">
        <v>194.10063199999999</v>
      </c>
      <c r="M10" s="35">
        <v>8.0853214326473827E-3</v>
      </c>
      <c r="N10" s="33">
        <v>152.71106</v>
      </c>
      <c r="O10" s="36">
        <v>0.28130862296417813</v>
      </c>
    </row>
    <row r="11" spans="2:15" x14ac:dyDescent="0.45">
      <c r="B11" s="69"/>
      <c r="C11" s="32" t="s">
        <v>121</v>
      </c>
      <c r="D11" s="32" t="s">
        <v>122</v>
      </c>
      <c r="E11" s="33">
        <v>162.050003</v>
      </c>
      <c r="F11" s="33">
        <v>172.61999499999999</v>
      </c>
      <c r="G11" s="34">
        <v>6.5226731282442399E-2</v>
      </c>
      <c r="H11" s="33">
        <v>171.009995</v>
      </c>
      <c r="I11" s="35">
        <v>9.4146543890606237E-3</v>
      </c>
      <c r="J11" s="33">
        <v>162.25</v>
      </c>
      <c r="K11" s="35">
        <v>6.3913682588597767E-2</v>
      </c>
      <c r="L11" s="33">
        <v>155.66629</v>
      </c>
      <c r="M11" s="35">
        <v>0.10891057402344455</v>
      </c>
      <c r="N11" s="33">
        <v>98.401054000000002</v>
      </c>
      <c r="O11" s="36">
        <v>0.75424945143372124</v>
      </c>
    </row>
    <row r="12" spans="2:15" x14ac:dyDescent="0.45">
      <c r="B12" s="69"/>
      <c r="C12" s="32" t="s">
        <v>79</v>
      </c>
      <c r="D12" s="32" t="s">
        <v>123</v>
      </c>
      <c r="E12" s="33">
        <v>165.66999799999999</v>
      </c>
      <c r="F12" s="33">
        <v>166.96000699999999</v>
      </c>
      <c r="G12" s="34">
        <v>7.7866180694949839E-3</v>
      </c>
      <c r="H12" s="33">
        <v>164.770004</v>
      </c>
      <c r="I12" s="35">
        <v>1.3291272360471571E-2</v>
      </c>
      <c r="J12" s="33">
        <v>165.96000699999999</v>
      </c>
      <c r="K12" s="35">
        <v>6.0255480707469486E-3</v>
      </c>
      <c r="L12" s="33">
        <v>157.57193000000001</v>
      </c>
      <c r="M12" s="35">
        <v>5.9579628173621918E-2</v>
      </c>
      <c r="N12" s="33">
        <v>112.813919</v>
      </c>
      <c r="O12" s="36">
        <v>0.47995928587499909</v>
      </c>
    </row>
    <row r="13" spans="2:15" x14ac:dyDescent="0.45">
      <c r="B13" s="69"/>
      <c r="C13" s="32" t="s">
        <v>124</v>
      </c>
      <c r="D13" s="32" t="s">
        <v>125</v>
      </c>
      <c r="E13" s="33">
        <v>29.889999</v>
      </c>
      <c r="F13" s="33">
        <v>30.43</v>
      </c>
      <c r="G13" s="34">
        <v>1.8066276951029681E-2</v>
      </c>
      <c r="H13" s="33">
        <v>30.01</v>
      </c>
      <c r="I13" s="35">
        <v>1.3995334888370481E-2</v>
      </c>
      <c r="J13" s="33">
        <v>30.17</v>
      </c>
      <c r="K13" s="35">
        <v>8.6178322837254882E-3</v>
      </c>
      <c r="L13" s="33">
        <v>29.157726</v>
      </c>
      <c r="M13" s="35">
        <v>4.3634198359638866E-2</v>
      </c>
      <c r="N13" s="33">
        <v>25.149635</v>
      </c>
      <c r="O13" s="36">
        <v>0.20995791787833104</v>
      </c>
    </row>
    <row r="14" spans="2:15" x14ac:dyDescent="0.45">
      <c r="B14" s="69"/>
      <c r="C14" s="32" t="s">
        <v>126</v>
      </c>
      <c r="D14" s="32" t="s">
        <v>127</v>
      </c>
      <c r="E14" s="33">
        <v>45.029998999999997</v>
      </c>
      <c r="F14" s="33">
        <v>47.189999</v>
      </c>
      <c r="G14" s="34">
        <v>4.7968022384366558E-2</v>
      </c>
      <c r="H14" s="33">
        <v>47.240001999999997</v>
      </c>
      <c r="I14" s="35">
        <v>-1.0584885241960128E-3</v>
      </c>
      <c r="J14" s="33">
        <v>46.709999000000003</v>
      </c>
      <c r="K14" s="35">
        <v>1.027617234588245E-2</v>
      </c>
      <c r="L14" s="33">
        <v>43.364688999999998</v>
      </c>
      <c r="M14" s="35">
        <v>8.8212554689369546E-2</v>
      </c>
      <c r="N14" s="33">
        <v>52.615616000000003</v>
      </c>
      <c r="O14" s="36">
        <v>-0.10311799827640529</v>
      </c>
    </row>
    <row r="15" spans="2:15" x14ac:dyDescent="0.45">
      <c r="B15" s="69"/>
      <c r="C15" s="32" t="s">
        <v>128</v>
      </c>
      <c r="D15" s="32" t="s">
        <v>129</v>
      </c>
      <c r="E15" s="33">
        <v>26.59</v>
      </c>
      <c r="F15" s="33">
        <v>25.469999000000001</v>
      </c>
      <c r="G15" s="34">
        <v>-4.2121135765325252E-2</v>
      </c>
      <c r="H15" s="33">
        <v>26.16</v>
      </c>
      <c r="I15" s="35">
        <v>-2.6376185015290474E-2</v>
      </c>
      <c r="J15" s="33">
        <v>26.959999</v>
      </c>
      <c r="K15" s="35">
        <v>-5.5267064364505299E-2</v>
      </c>
      <c r="L15" s="33">
        <v>21.737577000000002</v>
      </c>
      <c r="M15" s="35">
        <v>0.17170368160167987</v>
      </c>
      <c r="N15" s="33">
        <v>18.897960999999999</v>
      </c>
      <c r="O15" s="36">
        <v>0.3477643963811759</v>
      </c>
    </row>
    <row r="16" spans="2:15" x14ac:dyDescent="0.45">
      <c r="B16" s="69"/>
      <c r="C16" s="32" t="s">
        <v>66</v>
      </c>
      <c r="D16" s="32" t="s">
        <v>130</v>
      </c>
      <c r="E16" s="33">
        <v>47.450001</v>
      </c>
      <c r="F16" s="33">
        <v>43.91</v>
      </c>
      <c r="G16" s="34">
        <v>-7.4604866710118803E-2</v>
      </c>
      <c r="H16" s="33">
        <v>44.720001000000003</v>
      </c>
      <c r="I16" s="35">
        <v>-1.8112723208570741E-2</v>
      </c>
      <c r="J16" s="33">
        <v>46.669998</v>
      </c>
      <c r="K16" s="35">
        <v>-5.9138592635037249E-2</v>
      </c>
      <c r="L16" s="33">
        <v>41.778717</v>
      </c>
      <c r="M16" s="35">
        <v>5.1013605803165191E-2</v>
      </c>
      <c r="N16" s="33">
        <v>30.365062999999999</v>
      </c>
      <c r="O16" s="36">
        <v>0.44606978091894617</v>
      </c>
    </row>
    <row r="17" spans="2:15" x14ac:dyDescent="0.45">
      <c r="B17" s="69"/>
      <c r="C17" s="32" t="s">
        <v>131</v>
      </c>
      <c r="D17" s="32" t="s">
        <v>132</v>
      </c>
      <c r="E17" s="33">
        <v>9.85</v>
      </c>
      <c r="F17" s="33">
        <v>9.4700000000000006</v>
      </c>
      <c r="G17" s="34">
        <v>-3.8578680203045584E-2</v>
      </c>
      <c r="H17" s="33">
        <v>9.56</v>
      </c>
      <c r="I17" s="35">
        <v>-9.4142259414225788E-3</v>
      </c>
      <c r="J17" s="33">
        <v>9.99</v>
      </c>
      <c r="K17" s="35">
        <v>-5.205205205205201E-2</v>
      </c>
      <c r="L17" s="33">
        <v>9.1137239999999995</v>
      </c>
      <c r="M17" s="35">
        <v>3.9092252519387374E-2</v>
      </c>
      <c r="N17" s="33">
        <v>10.699683</v>
      </c>
      <c r="O17" s="36">
        <v>-0.11492704970792121</v>
      </c>
    </row>
    <row r="18" spans="2:15" x14ac:dyDescent="0.45">
      <c r="B18" s="69"/>
      <c r="C18" s="32" t="s">
        <v>133</v>
      </c>
      <c r="D18" s="32" t="s">
        <v>134</v>
      </c>
      <c r="E18" s="33">
        <v>33.330002</v>
      </c>
      <c r="F18" s="33">
        <v>31.389999</v>
      </c>
      <c r="G18" s="34">
        <v>-5.8205907098355436E-2</v>
      </c>
      <c r="H18" s="33">
        <v>31.799999</v>
      </c>
      <c r="I18" s="35">
        <v>-1.2893082166449129E-2</v>
      </c>
      <c r="J18" s="33">
        <v>34.340000000000003</v>
      </c>
      <c r="K18" s="35">
        <v>-8.5905678509027472E-2</v>
      </c>
      <c r="L18" s="33">
        <v>30.672975999999998</v>
      </c>
      <c r="M18" s="35">
        <v>2.3376375347472025E-2</v>
      </c>
      <c r="N18" s="33">
        <v>36.832053999999999</v>
      </c>
      <c r="O18" s="36">
        <v>-0.14775323146517977</v>
      </c>
    </row>
    <row r="19" spans="2:15" x14ac:dyDescent="0.45">
      <c r="B19" s="69"/>
      <c r="C19" s="32" t="s">
        <v>135</v>
      </c>
      <c r="D19" s="32" t="s">
        <v>136</v>
      </c>
      <c r="E19" s="33">
        <v>37.049999</v>
      </c>
      <c r="F19" s="33">
        <v>34.549999</v>
      </c>
      <c r="G19" s="34">
        <v>-6.7476385087081925E-2</v>
      </c>
      <c r="H19" s="33">
        <v>35.119999</v>
      </c>
      <c r="I19" s="35">
        <v>-1.6230068799261647E-2</v>
      </c>
      <c r="J19" s="33">
        <v>36.529998999999997</v>
      </c>
      <c r="K19" s="35">
        <v>-5.4202027216042274E-2</v>
      </c>
      <c r="L19" s="33">
        <v>34.003124</v>
      </c>
      <c r="M19" s="35">
        <v>1.6083081072197955E-2</v>
      </c>
      <c r="N19" s="33">
        <v>27.459398</v>
      </c>
      <c r="O19" s="36">
        <v>0.25822128365669195</v>
      </c>
    </row>
    <row r="20" spans="2:15" ht="15" customHeight="1" x14ac:dyDescent="0.45">
      <c r="B20" s="69" t="s">
        <v>137</v>
      </c>
      <c r="C20" s="32" t="s">
        <v>64</v>
      </c>
      <c r="D20" s="32" t="s">
        <v>138</v>
      </c>
      <c r="E20" s="33">
        <v>34.099997999999999</v>
      </c>
      <c r="F20" s="33">
        <v>33.020000000000003</v>
      </c>
      <c r="G20" s="34">
        <v>-3.1671497458738741E-2</v>
      </c>
      <c r="H20" s="33">
        <v>32.900002000000001</v>
      </c>
      <c r="I20" s="35">
        <v>3.6473554013766469E-3</v>
      </c>
      <c r="J20" s="33">
        <v>33.720001000000003</v>
      </c>
      <c r="K20" s="35">
        <v>-2.0759222397413339E-2</v>
      </c>
      <c r="L20" s="33">
        <v>32.046996999999998</v>
      </c>
      <c r="M20" s="35">
        <v>3.0361752772030581E-2</v>
      </c>
      <c r="N20" s="33">
        <v>30.672429999999999</v>
      </c>
      <c r="O20" s="36">
        <v>7.6536811723101325E-2</v>
      </c>
    </row>
    <row r="21" spans="2:15" x14ac:dyDescent="0.45">
      <c r="B21" s="69"/>
      <c r="C21" s="32" t="s">
        <v>139</v>
      </c>
      <c r="D21" s="32" t="s">
        <v>140</v>
      </c>
      <c r="E21" s="33">
        <v>46.369999</v>
      </c>
      <c r="F21" s="33">
        <v>44.23</v>
      </c>
      <c r="G21" s="34">
        <v>-4.6150507788451818E-2</v>
      </c>
      <c r="H21" s="33">
        <v>44.77</v>
      </c>
      <c r="I21" s="35">
        <v>-1.2061648425284928E-2</v>
      </c>
      <c r="J21" s="33">
        <v>46.080002</v>
      </c>
      <c r="K21" s="35">
        <v>-4.0147611104704453E-2</v>
      </c>
      <c r="L21" s="33">
        <v>43.705463000000002</v>
      </c>
      <c r="M21" s="35">
        <v>1.2001634669789337E-2</v>
      </c>
      <c r="N21" s="33">
        <v>33.865482</v>
      </c>
      <c r="O21" s="36">
        <v>0.30604962303504191</v>
      </c>
    </row>
    <row r="22" spans="2:15" x14ac:dyDescent="0.45">
      <c r="B22" s="69"/>
      <c r="C22" s="32" t="s">
        <v>57</v>
      </c>
      <c r="D22" s="32" t="s">
        <v>141</v>
      </c>
      <c r="E22" s="33">
        <v>29.4</v>
      </c>
      <c r="F22" s="33">
        <v>29.48</v>
      </c>
      <c r="G22" s="34">
        <v>2.7210884353742128E-3</v>
      </c>
      <c r="H22" s="33">
        <v>29.1</v>
      </c>
      <c r="I22" s="35">
        <v>1.305841924398622E-2</v>
      </c>
      <c r="J22" s="33">
        <v>29.84</v>
      </c>
      <c r="K22" s="35">
        <v>-1.2064343163538854E-2</v>
      </c>
      <c r="L22" s="33">
        <v>28.879999000000002</v>
      </c>
      <c r="M22" s="35">
        <v>2.0775658614115563E-2</v>
      </c>
      <c r="N22" s="33">
        <v>26.056429000000001</v>
      </c>
      <c r="O22" s="36">
        <v>0.13139064451233892</v>
      </c>
    </row>
    <row r="23" spans="2:15" x14ac:dyDescent="0.45">
      <c r="B23" s="69"/>
      <c r="C23" s="32" t="s">
        <v>62</v>
      </c>
      <c r="D23" s="32" t="s">
        <v>142</v>
      </c>
      <c r="E23" s="33">
        <v>32.709999000000003</v>
      </c>
      <c r="F23" s="33">
        <v>32.349997999999999</v>
      </c>
      <c r="G23" s="34">
        <v>-1.100583952937461E-2</v>
      </c>
      <c r="H23" s="33">
        <v>31.98</v>
      </c>
      <c r="I23" s="35">
        <v>1.1569668542839241E-2</v>
      </c>
      <c r="J23" s="33">
        <v>32.700001</v>
      </c>
      <c r="K23" s="35">
        <v>-1.070345533016959E-2</v>
      </c>
      <c r="L23" s="33">
        <v>31.582007999999998</v>
      </c>
      <c r="M23" s="35">
        <v>2.4317326498049179E-2</v>
      </c>
      <c r="N23" s="33">
        <v>23.163509000000001</v>
      </c>
      <c r="O23" s="36">
        <v>0.39659315002748496</v>
      </c>
    </row>
    <row r="24" spans="2:15" x14ac:dyDescent="0.45">
      <c r="B24" s="69"/>
      <c r="C24" s="32" t="s">
        <v>143</v>
      </c>
      <c r="D24" s="32" t="s">
        <v>144</v>
      </c>
      <c r="E24" s="33">
        <v>20.799999</v>
      </c>
      <c r="F24" s="33">
        <v>20.360001</v>
      </c>
      <c r="G24" s="34">
        <v>-2.1153751017007224E-2</v>
      </c>
      <c r="H24" s="33">
        <v>19.98</v>
      </c>
      <c r="I24" s="35">
        <v>1.9019069069069069E-2</v>
      </c>
      <c r="J24" s="33">
        <v>20.99</v>
      </c>
      <c r="K24" s="35">
        <v>-3.0014244878513483E-2</v>
      </c>
      <c r="L24" s="33">
        <v>20.643608</v>
      </c>
      <c r="M24" s="35">
        <v>-1.3738247693910868E-2</v>
      </c>
      <c r="N24" s="33">
        <v>14.074617</v>
      </c>
      <c r="O24" s="36">
        <v>0.44657584643333459</v>
      </c>
    </row>
    <row r="25" spans="2:15" x14ac:dyDescent="0.45">
      <c r="B25" s="69"/>
      <c r="C25" s="32" t="s">
        <v>145</v>
      </c>
      <c r="D25" s="32" t="s">
        <v>146</v>
      </c>
      <c r="E25" s="33">
        <v>33.860000999999997</v>
      </c>
      <c r="F25" s="33">
        <v>34.380001</v>
      </c>
      <c r="G25" s="34">
        <v>1.5357353356250733E-2</v>
      </c>
      <c r="H25" s="33">
        <v>33.639999000000003</v>
      </c>
      <c r="I25" s="35">
        <v>2.1997681985662272E-2</v>
      </c>
      <c r="J25" s="33">
        <v>33.909999999999997</v>
      </c>
      <c r="K25" s="35">
        <v>1.3860247714538587E-2</v>
      </c>
      <c r="L25" s="33">
        <v>32.464976999999998</v>
      </c>
      <c r="M25" s="35">
        <v>5.8987382002457685E-2</v>
      </c>
      <c r="N25" s="33">
        <v>22.200700999999999</v>
      </c>
      <c r="O25" s="36">
        <v>0.54859979421370531</v>
      </c>
    </row>
    <row r="26" spans="2:15" x14ac:dyDescent="0.45">
      <c r="B26" s="69"/>
      <c r="C26" s="32" t="s">
        <v>147</v>
      </c>
      <c r="D26" s="32" t="s">
        <v>148</v>
      </c>
      <c r="E26" s="33">
        <v>68.849997999999999</v>
      </c>
      <c r="F26" s="33">
        <v>72.069999999999993</v>
      </c>
      <c r="G26" s="34">
        <v>4.6768367371630044E-2</v>
      </c>
      <c r="H26" s="33">
        <v>70.180000000000007</v>
      </c>
      <c r="I26" s="35">
        <v>2.6930749501282221E-2</v>
      </c>
      <c r="J26" s="33">
        <v>68.319999999999993</v>
      </c>
      <c r="K26" s="35">
        <v>5.4888758782201411E-2</v>
      </c>
      <c r="L26" s="33">
        <v>64.859795000000005</v>
      </c>
      <c r="M26" s="35">
        <v>0.11116601586545236</v>
      </c>
      <c r="N26" s="33">
        <v>43.685707000000001</v>
      </c>
      <c r="O26" s="36">
        <v>0.6497386662415694</v>
      </c>
    </row>
    <row r="27" spans="2:15" x14ac:dyDescent="0.45">
      <c r="B27" s="69"/>
      <c r="C27" s="32" t="s">
        <v>149</v>
      </c>
      <c r="D27" s="32" t="s">
        <v>150</v>
      </c>
      <c r="E27" s="33">
        <v>38.099997999999999</v>
      </c>
      <c r="F27" s="33">
        <v>39.689999</v>
      </c>
      <c r="G27" s="34">
        <v>4.1732311901958655E-2</v>
      </c>
      <c r="H27" s="33">
        <v>38.509998000000003</v>
      </c>
      <c r="I27" s="35">
        <v>3.0641419404903555E-2</v>
      </c>
      <c r="J27" s="33">
        <v>38.459999000000003</v>
      </c>
      <c r="K27" s="35">
        <v>3.1981280082716508E-2</v>
      </c>
      <c r="L27" s="33">
        <v>36.627029</v>
      </c>
      <c r="M27" s="35">
        <v>8.3625947384375621E-2</v>
      </c>
      <c r="N27" s="33">
        <v>29.111816000000001</v>
      </c>
      <c r="O27" s="36">
        <v>0.36336390007411418</v>
      </c>
    </row>
    <row r="28" spans="2:15" x14ac:dyDescent="0.45">
      <c r="B28" s="69"/>
      <c r="C28" s="32" t="s">
        <v>151</v>
      </c>
      <c r="D28" s="32" t="s">
        <v>152</v>
      </c>
      <c r="E28" s="33">
        <v>19.969999000000001</v>
      </c>
      <c r="F28" s="33">
        <v>19.950001</v>
      </c>
      <c r="G28" s="34">
        <v>-1.0014021533001113E-3</v>
      </c>
      <c r="H28" s="33">
        <v>19.82</v>
      </c>
      <c r="I28" s="35">
        <v>6.5590817356205866E-3</v>
      </c>
      <c r="J28" s="33">
        <v>19.870000999999998</v>
      </c>
      <c r="K28" s="35">
        <v>4.0261699030614976E-3</v>
      </c>
      <c r="L28" s="33">
        <v>19.158374999999999</v>
      </c>
      <c r="M28" s="35">
        <v>4.132010152218029E-2</v>
      </c>
      <c r="N28" s="33">
        <v>15.187779000000001</v>
      </c>
      <c r="O28" s="36">
        <v>0.31355618224363146</v>
      </c>
    </row>
    <row r="29" spans="2:15" x14ac:dyDescent="0.45">
      <c r="B29" s="69"/>
      <c r="C29" s="32" t="s">
        <v>153</v>
      </c>
      <c r="D29" s="32" t="s">
        <v>154</v>
      </c>
      <c r="E29" s="33">
        <v>21.08</v>
      </c>
      <c r="F29" s="33">
        <v>20.329999999999998</v>
      </c>
      <c r="G29" s="34">
        <v>-3.5578747628083496E-2</v>
      </c>
      <c r="H29" s="33">
        <v>20.41</v>
      </c>
      <c r="I29" s="35">
        <v>-3.9196472317492327E-3</v>
      </c>
      <c r="J29" s="33">
        <v>21.83</v>
      </c>
      <c r="K29" s="35">
        <v>-6.8712780577187368E-2</v>
      </c>
      <c r="L29" s="33">
        <v>21.254266999999999</v>
      </c>
      <c r="M29" s="35">
        <v>-4.3486185620986148E-2</v>
      </c>
      <c r="N29" s="33">
        <v>21.355544999999999</v>
      </c>
      <c r="O29" s="36">
        <v>-4.8022422279553209E-2</v>
      </c>
    </row>
    <row r="30" spans="2:15" x14ac:dyDescent="0.45">
      <c r="B30" s="69"/>
      <c r="C30" s="32" t="s">
        <v>155</v>
      </c>
      <c r="D30" s="32" t="s">
        <v>156</v>
      </c>
      <c r="E30" s="33">
        <v>12.53</v>
      </c>
      <c r="F30" s="33">
        <v>11.79</v>
      </c>
      <c r="G30" s="34">
        <v>-5.9058260175578629E-2</v>
      </c>
      <c r="H30" s="33">
        <v>11.68</v>
      </c>
      <c r="I30" s="35">
        <v>9.4178082191780331E-3</v>
      </c>
      <c r="J30" s="33">
        <v>12.59</v>
      </c>
      <c r="K30" s="35">
        <v>-6.3542494042891237E-2</v>
      </c>
      <c r="L30" s="33">
        <v>11.757763000000001</v>
      </c>
      <c r="M30" s="35">
        <v>2.7417630377477853E-3</v>
      </c>
      <c r="N30" s="33">
        <v>10.418246999999999</v>
      </c>
      <c r="O30" s="36">
        <v>0.13166831233699874</v>
      </c>
    </row>
    <row r="31" spans="2:15" x14ac:dyDescent="0.45">
      <c r="B31" s="69"/>
      <c r="C31" s="32" t="s">
        <v>157</v>
      </c>
      <c r="D31" s="32" t="s">
        <v>158</v>
      </c>
      <c r="E31" s="33">
        <v>29.5</v>
      </c>
      <c r="F31" s="33">
        <v>30.040001</v>
      </c>
      <c r="G31" s="34">
        <v>1.8305118644067801E-2</v>
      </c>
      <c r="H31" s="33">
        <v>29.42</v>
      </c>
      <c r="I31" s="35">
        <v>2.1074133242691993E-2</v>
      </c>
      <c r="J31" s="33">
        <v>29.68</v>
      </c>
      <c r="K31" s="35">
        <v>1.2129413746630744E-2</v>
      </c>
      <c r="L31" s="33">
        <v>29.165164999999998</v>
      </c>
      <c r="M31" s="35">
        <v>2.9995921504301519E-2</v>
      </c>
      <c r="N31" s="33">
        <v>24.453482000000001</v>
      </c>
      <c r="O31" s="36">
        <v>0.22845494968773766</v>
      </c>
    </row>
    <row r="32" spans="2:15" x14ac:dyDescent="0.45">
      <c r="B32" s="69"/>
      <c r="C32" s="32" t="s">
        <v>159</v>
      </c>
      <c r="D32" s="32" t="s">
        <v>160</v>
      </c>
      <c r="E32" s="33">
        <v>32.900002000000001</v>
      </c>
      <c r="F32" s="33">
        <v>33.970001000000003</v>
      </c>
      <c r="G32" s="34">
        <v>3.2522763980379177E-2</v>
      </c>
      <c r="H32" s="33">
        <v>32.950001</v>
      </c>
      <c r="I32" s="35">
        <v>3.0955992990713509E-2</v>
      </c>
      <c r="J32" s="33">
        <v>33.029998999999997</v>
      </c>
      <c r="K32" s="35">
        <v>2.8459038100485771E-2</v>
      </c>
      <c r="L32" s="33">
        <v>31.480779999999999</v>
      </c>
      <c r="M32" s="35">
        <v>7.9071134832110396E-2</v>
      </c>
      <c r="N32" s="33">
        <v>27.301017999999999</v>
      </c>
      <c r="O32" s="36">
        <v>0.24427598267581102</v>
      </c>
    </row>
    <row r="33" spans="2:15" x14ac:dyDescent="0.45">
      <c r="B33" s="69"/>
      <c r="C33" s="32" t="s">
        <v>60</v>
      </c>
      <c r="D33" s="32" t="s">
        <v>161</v>
      </c>
      <c r="E33" s="33">
        <v>40.639999000000003</v>
      </c>
      <c r="F33" s="33">
        <v>41.970001000000003</v>
      </c>
      <c r="G33" s="34">
        <v>3.2726427970630613E-2</v>
      </c>
      <c r="H33" s="33">
        <v>41.27</v>
      </c>
      <c r="I33" s="35">
        <v>1.6961497455779021E-2</v>
      </c>
      <c r="J33" s="33">
        <v>40.639999000000003</v>
      </c>
      <c r="K33" s="35">
        <v>3.2726427970630613E-2</v>
      </c>
      <c r="L33" s="33">
        <v>38.709999000000003</v>
      </c>
      <c r="M33" s="35">
        <v>8.4216018708757903E-2</v>
      </c>
      <c r="N33" s="33">
        <v>29.201589999999999</v>
      </c>
      <c r="O33" s="36">
        <v>0.43725054012469883</v>
      </c>
    </row>
    <row r="34" spans="2:15" ht="15" customHeight="1" x14ac:dyDescent="0.45">
      <c r="B34" s="70"/>
      <c r="C34" s="32" t="s">
        <v>61</v>
      </c>
      <c r="D34" s="32" t="s">
        <v>162</v>
      </c>
      <c r="E34" s="33">
        <v>28.92</v>
      </c>
      <c r="F34" s="33">
        <v>29.08</v>
      </c>
      <c r="G34" s="34">
        <v>5.5325034578145426E-3</v>
      </c>
      <c r="H34" s="33">
        <v>28.469999000000001</v>
      </c>
      <c r="I34" s="35">
        <v>2.1426098399230604E-2</v>
      </c>
      <c r="J34" s="33">
        <v>28.66</v>
      </c>
      <c r="K34" s="35">
        <v>1.4654570830425616E-2</v>
      </c>
      <c r="L34" s="33">
        <v>27.272162999999999</v>
      </c>
      <c r="M34" s="35">
        <v>6.62887281804527E-2</v>
      </c>
      <c r="N34" s="33">
        <v>28.442374999999998</v>
      </c>
      <c r="O34" s="36">
        <v>2.2418134913135768E-2</v>
      </c>
    </row>
    <row r="35" spans="2:15" ht="15" customHeight="1" x14ac:dyDescent="0.45">
      <c r="B35" s="70"/>
      <c r="C35" s="32" t="s">
        <v>163</v>
      </c>
      <c r="D35" s="32" t="s">
        <v>164</v>
      </c>
      <c r="E35" s="33">
        <v>11.12</v>
      </c>
      <c r="F35" s="33">
        <v>11.18</v>
      </c>
      <c r="G35" s="34">
        <v>5.3956834532374555E-3</v>
      </c>
      <c r="H35" s="33">
        <v>11.1</v>
      </c>
      <c r="I35" s="35">
        <v>7.2072072072072143E-3</v>
      </c>
      <c r="J35" s="33">
        <v>11.22</v>
      </c>
      <c r="K35" s="35">
        <v>-3.5650623885918825E-3</v>
      </c>
      <c r="L35" s="33">
        <v>10.865563999999999</v>
      </c>
      <c r="M35" s="35">
        <v>2.8938764706553717E-2</v>
      </c>
      <c r="N35" s="33">
        <v>8.8532189999999993</v>
      </c>
      <c r="O35" s="36">
        <v>0.26281751304243128</v>
      </c>
    </row>
    <row r="36" spans="2:15" ht="15" customHeight="1" x14ac:dyDescent="0.45">
      <c r="B36" s="70"/>
      <c r="C36" s="32" t="s">
        <v>165</v>
      </c>
      <c r="D36" s="32" t="s">
        <v>166</v>
      </c>
      <c r="E36" s="33">
        <v>10.130000000000001</v>
      </c>
      <c r="F36" s="33">
        <v>9.34</v>
      </c>
      <c r="G36" s="34">
        <v>-7.7986179664363359E-2</v>
      </c>
      <c r="H36" s="33">
        <v>9.5500000000000007</v>
      </c>
      <c r="I36" s="35">
        <v>-2.1989528795811605E-2</v>
      </c>
      <c r="J36" s="33">
        <v>10.039999999999999</v>
      </c>
      <c r="K36" s="35">
        <v>-6.9721115537848544E-2</v>
      </c>
      <c r="L36" s="33">
        <v>9.3860119999999991</v>
      </c>
      <c r="M36" s="35">
        <v>-4.9021884907028968E-3</v>
      </c>
      <c r="N36" s="33">
        <v>11.726787</v>
      </c>
      <c r="O36" s="36">
        <v>-0.20353290291705647</v>
      </c>
    </row>
    <row r="37" spans="2:15" ht="15" customHeight="1" x14ac:dyDescent="0.45">
      <c r="B37" s="70"/>
      <c r="C37" s="32" t="s">
        <v>167</v>
      </c>
      <c r="D37" s="32" t="s">
        <v>168</v>
      </c>
      <c r="E37" s="33">
        <v>27.09</v>
      </c>
      <c r="F37" s="33">
        <v>27.74</v>
      </c>
      <c r="G37" s="34">
        <v>2.3994093761535568E-2</v>
      </c>
      <c r="H37" s="33">
        <v>28.41</v>
      </c>
      <c r="I37" s="35">
        <v>-2.3583245336149302E-2</v>
      </c>
      <c r="J37" s="33">
        <v>29.040001</v>
      </c>
      <c r="K37" s="35">
        <v>-4.4765873114122889E-2</v>
      </c>
      <c r="L37" s="33">
        <v>25.890505000000001</v>
      </c>
      <c r="M37" s="35">
        <v>7.1435261691496457E-2</v>
      </c>
      <c r="N37" s="33">
        <v>44.922111999999998</v>
      </c>
      <c r="O37" s="36">
        <v>-0.38248673615345602</v>
      </c>
    </row>
    <row r="38" spans="2:15" ht="15" customHeight="1" x14ac:dyDescent="0.45">
      <c r="B38" s="70"/>
      <c r="C38" s="32" t="s">
        <v>169</v>
      </c>
      <c r="D38" s="32" t="s">
        <v>170</v>
      </c>
      <c r="E38" s="33">
        <v>57.349997999999999</v>
      </c>
      <c r="F38" s="33">
        <v>60.700001</v>
      </c>
      <c r="G38" s="34">
        <v>5.8413306309095268E-2</v>
      </c>
      <c r="H38" s="33">
        <v>59.650002000000001</v>
      </c>
      <c r="I38" s="35">
        <v>1.7602664958837715E-2</v>
      </c>
      <c r="J38" s="33">
        <v>58.389999000000003</v>
      </c>
      <c r="K38" s="35">
        <v>3.9561603691755452E-2</v>
      </c>
      <c r="L38" s="33">
        <v>56.399334000000003</v>
      </c>
      <c r="M38" s="35">
        <v>7.6253861437441742E-2</v>
      </c>
      <c r="N38" s="33">
        <v>42.953938000000001</v>
      </c>
      <c r="O38" s="36">
        <v>0.41314170076792489</v>
      </c>
    </row>
    <row r="39" spans="2:15" ht="15" customHeight="1" x14ac:dyDescent="0.45">
      <c r="B39" s="70"/>
      <c r="C39" s="32" t="s">
        <v>171</v>
      </c>
      <c r="D39" s="32" t="s">
        <v>172</v>
      </c>
      <c r="E39" s="33">
        <v>13.38</v>
      </c>
      <c r="F39" s="33">
        <v>13.26</v>
      </c>
      <c r="G39" s="34">
        <v>-8.9686098654709265E-3</v>
      </c>
      <c r="H39" s="33">
        <v>13.74</v>
      </c>
      <c r="I39" s="35">
        <v>-3.4934497816593919E-2</v>
      </c>
      <c r="J39" s="33">
        <v>15.03</v>
      </c>
      <c r="K39" s="35">
        <v>-0.11776447105788421</v>
      </c>
      <c r="L39" s="33">
        <v>12.681362</v>
      </c>
      <c r="M39" s="35">
        <v>4.5629010511646917E-2</v>
      </c>
      <c r="N39" s="33">
        <v>24.827521999999998</v>
      </c>
      <c r="O39" s="36">
        <v>-0.46591528546425209</v>
      </c>
    </row>
    <row r="40" spans="2:15" ht="15" customHeight="1" x14ac:dyDescent="0.45">
      <c r="B40" s="70"/>
      <c r="C40" s="32" t="s">
        <v>173</v>
      </c>
      <c r="D40" s="32" t="s">
        <v>174</v>
      </c>
      <c r="E40" s="33">
        <v>49.049999</v>
      </c>
      <c r="F40" s="33">
        <v>46.23</v>
      </c>
      <c r="G40" s="34">
        <v>-5.7492335524818312E-2</v>
      </c>
      <c r="H40" s="33">
        <v>46.009998000000003</v>
      </c>
      <c r="I40" s="35">
        <v>4.7816129007437428E-3</v>
      </c>
      <c r="J40" s="33">
        <v>48.16</v>
      </c>
      <c r="K40" s="35">
        <v>-4.0074750830564783E-2</v>
      </c>
      <c r="L40" s="33">
        <v>45.885601000000001</v>
      </c>
      <c r="M40" s="35">
        <v>7.5056007221087871E-3</v>
      </c>
      <c r="N40" s="33">
        <v>53.853146000000002</v>
      </c>
      <c r="O40" s="36">
        <v>-0.14155432999216064</v>
      </c>
    </row>
    <row r="41" spans="2:15" ht="15" customHeight="1" x14ac:dyDescent="0.45">
      <c r="B41" s="70"/>
      <c r="C41" s="32" t="s">
        <v>175</v>
      </c>
      <c r="D41" s="32" t="s">
        <v>176</v>
      </c>
      <c r="E41" s="33">
        <v>28.969999000000001</v>
      </c>
      <c r="F41" s="33">
        <v>29</v>
      </c>
      <c r="G41" s="34">
        <v>1.0355885756157123E-3</v>
      </c>
      <c r="H41" s="33">
        <v>28.66</v>
      </c>
      <c r="I41" s="35">
        <v>1.1863224005582689E-2</v>
      </c>
      <c r="J41" s="33">
        <v>29.049999</v>
      </c>
      <c r="K41" s="35">
        <v>-1.7211360317086304E-3</v>
      </c>
      <c r="L41" s="33">
        <v>30.766766000000001</v>
      </c>
      <c r="M41" s="35">
        <v>-5.742449498917112E-2</v>
      </c>
      <c r="N41" s="33">
        <v>57.632469</v>
      </c>
      <c r="O41" s="36">
        <v>-0.49681142412968632</v>
      </c>
    </row>
    <row r="42" spans="2:15" ht="15" customHeight="1" x14ac:dyDescent="0.45">
      <c r="B42" s="69" t="s">
        <v>177</v>
      </c>
      <c r="C42" s="32" t="s">
        <v>59</v>
      </c>
      <c r="D42" s="32" t="s">
        <v>178</v>
      </c>
      <c r="E42" s="33">
        <v>59.240001999999997</v>
      </c>
      <c r="F42" s="33">
        <v>59.700001</v>
      </c>
      <c r="G42" s="34">
        <v>7.7650064900403517E-3</v>
      </c>
      <c r="H42" s="33">
        <v>59.07</v>
      </c>
      <c r="I42" s="35">
        <v>1.0665329270357203E-2</v>
      </c>
      <c r="J42" s="33">
        <v>59.860000999999997</v>
      </c>
      <c r="K42" s="35">
        <v>-2.6729033967105445E-3</v>
      </c>
      <c r="L42" s="33">
        <v>58.996142999999996</v>
      </c>
      <c r="M42" s="35">
        <v>1.1930576546334629E-2</v>
      </c>
      <c r="N42" s="33">
        <v>43.482242999999997</v>
      </c>
      <c r="O42" s="36">
        <v>0.37297427365924996</v>
      </c>
    </row>
    <row r="43" spans="2:15" x14ac:dyDescent="0.45">
      <c r="B43" s="69"/>
      <c r="C43" s="32" t="s">
        <v>68</v>
      </c>
      <c r="D43" s="32" t="s">
        <v>179</v>
      </c>
      <c r="E43" s="33">
        <v>43.630001</v>
      </c>
      <c r="F43" s="33">
        <v>42.299999</v>
      </c>
      <c r="G43" s="34">
        <v>-3.0483657334777516E-2</v>
      </c>
      <c r="H43" s="33">
        <v>41.209999000000003</v>
      </c>
      <c r="I43" s="35">
        <v>2.6449891445034887E-2</v>
      </c>
      <c r="J43" s="33">
        <v>45.279998999999997</v>
      </c>
      <c r="K43" s="35">
        <v>-6.5812722301517648E-2</v>
      </c>
      <c r="L43" s="33">
        <v>40.388824</v>
      </c>
      <c r="M43" s="35">
        <v>4.7319402020717417E-2</v>
      </c>
      <c r="N43" s="33">
        <v>37.464443000000003</v>
      </c>
      <c r="O43" s="36">
        <v>0.12907054296790149</v>
      </c>
    </row>
    <row r="44" spans="2:15" x14ac:dyDescent="0.45">
      <c r="B44" s="69"/>
      <c r="C44" s="32" t="s">
        <v>58</v>
      </c>
      <c r="D44" s="32" t="s">
        <v>180</v>
      </c>
      <c r="E44" s="33">
        <v>24.33</v>
      </c>
      <c r="F44" s="33">
        <v>23.91</v>
      </c>
      <c r="G44" s="34">
        <v>-1.7262638717632478E-2</v>
      </c>
      <c r="H44" s="33">
        <v>23.49</v>
      </c>
      <c r="I44" s="35">
        <v>1.7879948914431745E-2</v>
      </c>
      <c r="J44" s="33">
        <v>25.459999</v>
      </c>
      <c r="K44" s="35">
        <v>-6.0879774582866232E-2</v>
      </c>
      <c r="L44" s="33">
        <v>23.328011</v>
      </c>
      <c r="M44" s="35">
        <v>2.494807637050583E-2</v>
      </c>
      <c r="N44" s="33">
        <v>18.595590999999999</v>
      </c>
      <c r="O44" s="36">
        <v>0.28578865818246924</v>
      </c>
    </row>
    <row r="45" spans="2:15" x14ac:dyDescent="0.45">
      <c r="B45" s="69"/>
      <c r="C45" s="32" t="s">
        <v>181</v>
      </c>
      <c r="D45" s="32" t="s">
        <v>182</v>
      </c>
      <c r="E45" s="33">
        <v>57.75</v>
      </c>
      <c r="F45" s="33">
        <v>56.75</v>
      </c>
      <c r="G45" s="34">
        <v>-1.7316017316017316E-2</v>
      </c>
      <c r="H45" s="33">
        <v>56.139999000000003</v>
      </c>
      <c r="I45" s="35">
        <v>1.0865710916738649E-2</v>
      </c>
      <c r="J45" s="33">
        <v>57.150002000000001</v>
      </c>
      <c r="K45" s="35">
        <v>-6.99915986004691E-3</v>
      </c>
      <c r="L45" s="33">
        <v>51.779778</v>
      </c>
      <c r="M45" s="35">
        <v>9.5987703925652201E-2</v>
      </c>
      <c r="N45" s="33">
        <v>32.559562999999997</v>
      </c>
      <c r="O45" s="36">
        <v>0.74295951085092893</v>
      </c>
    </row>
    <row r="46" spans="2:15" x14ac:dyDescent="0.45">
      <c r="B46" s="69"/>
      <c r="C46" s="32" t="s">
        <v>63</v>
      </c>
      <c r="D46" s="32" t="s">
        <v>183</v>
      </c>
      <c r="E46" s="33">
        <v>24.139999</v>
      </c>
      <c r="F46" s="33">
        <v>23</v>
      </c>
      <c r="G46" s="34">
        <v>-4.7224484143516307E-2</v>
      </c>
      <c r="H46" s="33">
        <v>23.049999</v>
      </c>
      <c r="I46" s="35">
        <v>-2.1691541071216396E-3</v>
      </c>
      <c r="J46" s="33">
        <v>24.459999</v>
      </c>
      <c r="K46" s="35">
        <v>-5.9689250191710959E-2</v>
      </c>
      <c r="L46" s="33">
        <v>23.867722000000001</v>
      </c>
      <c r="M46" s="35">
        <v>-3.6355459477867245E-2</v>
      </c>
      <c r="N46" s="33">
        <v>21.181550999999999</v>
      </c>
      <c r="O46" s="36">
        <v>8.5850606501856316E-2</v>
      </c>
    </row>
    <row r="47" spans="2:15" x14ac:dyDescent="0.45">
      <c r="B47" s="69"/>
      <c r="C47" s="32" t="s">
        <v>184</v>
      </c>
      <c r="D47" s="32" t="s">
        <v>185</v>
      </c>
      <c r="E47" s="33">
        <v>38.619999</v>
      </c>
      <c r="F47" s="33">
        <v>38.639999000000003</v>
      </c>
      <c r="G47" s="34">
        <v>5.1786640388061967E-4</v>
      </c>
      <c r="H47" s="33">
        <v>37.970001000000003</v>
      </c>
      <c r="I47" s="35">
        <v>1.7645456474968214E-2</v>
      </c>
      <c r="J47" s="33">
        <v>39.400002000000001</v>
      </c>
      <c r="K47" s="35">
        <v>-1.9289415264496623E-2</v>
      </c>
      <c r="L47" s="33">
        <v>37.029998999999997</v>
      </c>
      <c r="M47" s="35">
        <v>4.347826204370156E-2</v>
      </c>
      <c r="N47" s="33">
        <v>31.570459</v>
      </c>
      <c r="O47" s="36">
        <v>0.2239289583974691</v>
      </c>
    </row>
    <row r="48" spans="2:15" x14ac:dyDescent="0.45">
      <c r="B48" s="69"/>
      <c r="C48" s="32" t="s">
        <v>65</v>
      </c>
      <c r="D48" s="32" t="s">
        <v>186</v>
      </c>
      <c r="E48" s="33">
        <v>62.189999</v>
      </c>
      <c r="F48" s="33">
        <v>61.919998</v>
      </c>
      <c r="G48" s="34">
        <v>-4.3415501582497306E-3</v>
      </c>
      <c r="H48" s="33">
        <v>60.240001999999997</v>
      </c>
      <c r="I48" s="35">
        <v>2.7888378888168079E-2</v>
      </c>
      <c r="J48" s="33">
        <v>64.089995999999999</v>
      </c>
      <c r="K48" s="35">
        <v>-3.385860719978824E-2</v>
      </c>
      <c r="L48" s="33">
        <v>58.452998999999998</v>
      </c>
      <c r="M48" s="35">
        <v>5.9312594038160492E-2</v>
      </c>
      <c r="N48" s="33">
        <v>50.278362000000001</v>
      </c>
      <c r="O48" s="36">
        <v>0.23154366086946107</v>
      </c>
    </row>
    <row r="49" spans="2:15" x14ac:dyDescent="0.45">
      <c r="B49" s="69"/>
      <c r="C49" s="32" t="s">
        <v>56</v>
      </c>
      <c r="D49" s="32" t="s">
        <v>187</v>
      </c>
      <c r="E49" s="33">
        <v>22.639999</v>
      </c>
      <c r="F49" s="33">
        <v>22.83</v>
      </c>
      <c r="G49" s="34">
        <v>8.3922706887044809E-3</v>
      </c>
      <c r="H49" s="33">
        <v>22.700001</v>
      </c>
      <c r="I49" s="35">
        <v>5.7268279415493405E-3</v>
      </c>
      <c r="J49" s="33">
        <v>23.030000999999999</v>
      </c>
      <c r="K49" s="35">
        <v>-8.6843678382819145E-3</v>
      </c>
      <c r="L49" s="33">
        <v>22.168984999999999</v>
      </c>
      <c r="M49" s="35">
        <v>2.9817107098047069E-2</v>
      </c>
      <c r="N49" s="33">
        <v>17.981536999999999</v>
      </c>
      <c r="O49" s="36">
        <v>0.26963562680987718</v>
      </c>
    </row>
    <row r="50" spans="2:15" x14ac:dyDescent="0.45">
      <c r="B50" s="69"/>
      <c r="C50" s="32" t="s">
        <v>188</v>
      </c>
      <c r="D50" s="32" t="s">
        <v>189</v>
      </c>
      <c r="E50" s="33">
        <v>28.51</v>
      </c>
      <c r="F50" s="33">
        <v>27.25</v>
      </c>
      <c r="G50" s="34">
        <v>-4.4195019291476727E-2</v>
      </c>
      <c r="H50" s="33">
        <v>27.1</v>
      </c>
      <c r="I50" s="35">
        <v>5.5350553505534531E-3</v>
      </c>
      <c r="J50" s="33">
        <v>28.690000999999999</v>
      </c>
      <c r="K50" s="35">
        <v>-5.0191737532529146E-2</v>
      </c>
      <c r="L50" s="33">
        <v>28.045002</v>
      </c>
      <c r="M50" s="35">
        <v>-2.8347368276172711E-2</v>
      </c>
      <c r="N50" s="33">
        <v>32.468304000000003</v>
      </c>
      <c r="O50" s="36">
        <v>-0.16071994397982731</v>
      </c>
    </row>
    <row r="51" spans="2:15" x14ac:dyDescent="0.45">
      <c r="B51" s="69"/>
      <c r="C51" s="32" t="s">
        <v>88</v>
      </c>
      <c r="D51" s="32" t="s">
        <v>190</v>
      </c>
      <c r="E51" s="33">
        <v>87.599997999999999</v>
      </c>
      <c r="F51" s="33">
        <v>80.110000999999997</v>
      </c>
      <c r="G51" s="34">
        <v>-8.5502250810553695E-2</v>
      </c>
      <c r="H51" s="33">
        <v>80.309997999999993</v>
      </c>
      <c r="I51" s="35">
        <v>-2.4903126009291673E-3</v>
      </c>
      <c r="J51" s="33">
        <v>86.989998</v>
      </c>
      <c r="K51" s="35">
        <v>-7.908951785468489E-2</v>
      </c>
      <c r="L51" s="33">
        <v>88.689780999999996</v>
      </c>
      <c r="M51" s="35">
        <v>-9.6739217340045078E-2</v>
      </c>
      <c r="N51" s="33">
        <v>73.357017999999997</v>
      </c>
      <c r="O51" s="36">
        <v>9.2056400111574885E-2</v>
      </c>
    </row>
    <row r="52" spans="2:15" x14ac:dyDescent="0.45">
      <c r="B52" s="69"/>
      <c r="C52" s="32" t="s">
        <v>191</v>
      </c>
      <c r="D52" s="32" t="s">
        <v>192</v>
      </c>
      <c r="E52" s="33">
        <v>22.620000999999998</v>
      </c>
      <c r="F52" s="33">
        <v>21.49</v>
      </c>
      <c r="G52" s="34">
        <v>-4.9955833335285887E-2</v>
      </c>
      <c r="H52" s="33">
        <v>21.42</v>
      </c>
      <c r="I52" s="35">
        <v>3.2679738562089973E-3</v>
      </c>
      <c r="J52" s="33">
        <v>23.18</v>
      </c>
      <c r="K52" s="35">
        <v>-7.2907679033649753E-2</v>
      </c>
      <c r="L52" s="33">
        <v>21.744814000000002</v>
      </c>
      <c r="M52" s="35">
        <v>-1.1718380299781051E-2</v>
      </c>
      <c r="N52" s="33">
        <v>22.352301000000001</v>
      </c>
      <c r="O52" s="36">
        <v>-3.8577728530051654E-2</v>
      </c>
    </row>
    <row r="53" spans="2:15" x14ac:dyDescent="0.45">
      <c r="B53" s="69"/>
      <c r="C53" s="32" t="s">
        <v>193</v>
      </c>
      <c r="D53" s="32" t="s">
        <v>194</v>
      </c>
      <c r="E53" s="33">
        <v>41.130001</v>
      </c>
      <c r="F53" s="33">
        <v>40.090000000000003</v>
      </c>
      <c r="G53" s="34">
        <v>-2.5285703251016128E-2</v>
      </c>
      <c r="H53" s="33">
        <v>39.729999999999997</v>
      </c>
      <c r="I53" s="35">
        <v>9.061162849232484E-3</v>
      </c>
      <c r="J53" s="33">
        <v>41.810001</v>
      </c>
      <c r="K53" s="35">
        <v>-4.1138506550143263E-2</v>
      </c>
      <c r="L53" s="33">
        <v>38.556969000000002</v>
      </c>
      <c r="M53" s="35">
        <v>3.9760153346078658E-2</v>
      </c>
      <c r="N53" s="33">
        <v>27.532565999999999</v>
      </c>
      <c r="O53" s="36">
        <v>0.4560938490077534</v>
      </c>
    </row>
    <row r="54" spans="2:15" x14ac:dyDescent="0.45">
      <c r="B54" s="69"/>
      <c r="C54" s="32" t="s">
        <v>195</v>
      </c>
      <c r="D54" s="32" t="s">
        <v>196</v>
      </c>
      <c r="E54" s="33">
        <v>15.99</v>
      </c>
      <c r="F54" s="33">
        <v>15.17</v>
      </c>
      <c r="G54" s="34">
        <v>-5.1282051282051301E-2</v>
      </c>
      <c r="H54" s="33">
        <v>15.1</v>
      </c>
      <c r="I54" s="35">
        <v>4.6357615894039922E-3</v>
      </c>
      <c r="J54" s="33">
        <v>16.100000000000001</v>
      </c>
      <c r="K54" s="35">
        <v>-5.776397515527959E-2</v>
      </c>
      <c r="L54" s="33">
        <v>16.255289000000001</v>
      </c>
      <c r="M54" s="35">
        <v>-6.6765284825142213E-2</v>
      </c>
      <c r="N54" s="33">
        <v>17.909161000000001</v>
      </c>
      <c r="O54" s="36">
        <v>-0.15294747755073512</v>
      </c>
    </row>
    <row r="55" spans="2:15" ht="14.65" thickBot="1" x14ac:dyDescent="0.5">
      <c r="B55" s="71"/>
      <c r="C55" s="37" t="s">
        <v>197</v>
      </c>
      <c r="D55" s="37" t="s">
        <v>198</v>
      </c>
      <c r="E55" s="38">
        <v>34.32</v>
      </c>
      <c r="F55" s="38">
        <v>32.990001999999997</v>
      </c>
      <c r="G55" s="39">
        <v>-3.8752855477855577E-2</v>
      </c>
      <c r="H55" s="38">
        <v>31.809999000000001</v>
      </c>
      <c r="I55" s="40">
        <v>3.7095348541192841E-2</v>
      </c>
      <c r="J55" s="38">
        <v>34.459999000000003</v>
      </c>
      <c r="K55" s="40">
        <v>-4.2658068562335311E-2</v>
      </c>
      <c r="L55" s="38">
        <v>35.008671</v>
      </c>
      <c r="M55" s="40">
        <v>-5.7661971801214698E-2</v>
      </c>
      <c r="N55" s="38">
        <v>40.192162000000003</v>
      </c>
      <c r="O55" s="41">
        <v>-0.17919314716137952</v>
      </c>
    </row>
  </sheetData>
  <mergeCells count="8">
    <mergeCell ref="L4:M4"/>
    <mergeCell ref="N4:O4"/>
    <mergeCell ref="B6:B19"/>
    <mergeCell ref="B20:B41"/>
    <mergeCell ref="B42:B55"/>
    <mergeCell ref="E4:G4"/>
    <mergeCell ref="H4:I4"/>
    <mergeCell ref="J4:K4"/>
  </mergeCells>
  <conditionalFormatting sqref="G6:G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5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5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5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7DA17-61AA-4954-A0F6-CA5E94B2EC53}">
  <dimension ref="C3:O55"/>
  <sheetViews>
    <sheetView zoomScale="85" zoomScaleNormal="85" workbookViewId="0">
      <selection activeCell="E5" sqref="E5:O55"/>
    </sheetView>
  </sheetViews>
  <sheetFormatPr defaultColWidth="9.1328125" defaultRowHeight="14.25" x14ac:dyDescent="0.45"/>
  <cols>
    <col min="1" max="3" width="9.1328125" style="5"/>
    <col min="4" max="4" width="27.1328125" style="5" customWidth="1"/>
    <col min="5" max="15" width="14" style="5" customWidth="1"/>
    <col min="16" max="16384" width="9.1328125" style="5"/>
  </cols>
  <sheetData>
    <row r="3" spans="3:15" ht="14.65" thickBot="1" x14ac:dyDescent="0.5"/>
    <row r="4" spans="3:15" x14ac:dyDescent="0.45">
      <c r="E4" s="65" t="s">
        <v>107</v>
      </c>
      <c r="F4" s="66"/>
      <c r="G4" s="67"/>
      <c r="H4" s="65" t="s">
        <v>108</v>
      </c>
      <c r="I4" s="67"/>
      <c r="J4" s="65" t="s">
        <v>109</v>
      </c>
      <c r="K4" s="67"/>
      <c r="L4" s="65" t="s">
        <v>110</v>
      </c>
      <c r="M4" s="67"/>
      <c r="N4" s="65" t="s">
        <v>111</v>
      </c>
      <c r="O4" s="67"/>
    </row>
    <row r="5" spans="3:15" ht="14.65" thickBot="1" x14ac:dyDescent="0.5">
      <c r="E5" s="22">
        <v>43830</v>
      </c>
      <c r="F5" s="23" t="s">
        <v>112</v>
      </c>
      <c r="G5" s="24" t="s">
        <v>113</v>
      </c>
      <c r="H5" s="25">
        <v>43865</v>
      </c>
      <c r="I5" s="26" t="s">
        <v>113</v>
      </c>
      <c r="J5" s="25">
        <v>43843</v>
      </c>
      <c r="K5" s="26" t="s">
        <v>113</v>
      </c>
      <c r="L5" s="25">
        <v>43782</v>
      </c>
      <c r="M5" s="26" t="s">
        <v>113</v>
      </c>
      <c r="N5" s="25">
        <v>42047</v>
      </c>
      <c r="O5" s="26" t="s">
        <v>113</v>
      </c>
    </row>
    <row r="6" spans="3:15" x14ac:dyDescent="0.45">
      <c r="C6" s="42" t="s">
        <v>199</v>
      </c>
      <c r="D6" s="42" t="s">
        <v>50</v>
      </c>
      <c r="E6" s="28">
        <v>109.110001</v>
      </c>
      <c r="F6" s="28">
        <v>118.459999</v>
      </c>
      <c r="G6" s="29">
        <v>8.5693317883848236E-2</v>
      </c>
      <c r="H6" s="28">
        <v>115.389999</v>
      </c>
      <c r="I6" s="30">
        <v>2.6605425310732459E-2</v>
      </c>
      <c r="J6" s="28">
        <v>114.949997</v>
      </c>
      <c r="K6" s="30">
        <v>3.0535033419792086E-2</v>
      </c>
      <c r="L6" s="28">
        <v>110.752922</v>
      </c>
      <c r="M6" s="30">
        <v>6.9588024052313471E-2</v>
      </c>
      <c r="N6" s="28">
        <v>53.522517999999998</v>
      </c>
      <c r="O6" s="31">
        <v>1.2132740279521228</v>
      </c>
    </row>
    <row r="7" spans="3:15" x14ac:dyDescent="0.45">
      <c r="C7" s="43" t="s">
        <v>200</v>
      </c>
      <c r="D7" s="43" t="s">
        <v>201</v>
      </c>
      <c r="E7" s="33">
        <v>68.730002999999996</v>
      </c>
      <c r="F7" s="33">
        <v>67.150002000000001</v>
      </c>
      <c r="G7" s="34">
        <v>-2.2988519293386266E-2</v>
      </c>
      <c r="H7" s="33">
        <v>66.400002000000001</v>
      </c>
      <c r="I7" s="35">
        <v>1.1295180382675289E-2</v>
      </c>
      <c r="J7" s="33">
        <v>69.220000999999996</v>
      </c>
      <c r="K7" s="35">
        <v>-2.9904636956015009E-2</v>
      </c>
      <c r="L7" s="33">
        <v>65.969452000000004</v>
      </c>
      <c r="M7" s="35">
        <v>1.7895404072781999E-2</v>
      </c>
      <c r="N7" s="33">
        <v>49.964343999999997</v>
      </c>
      <c r="O7" s="36">
        <v>0.34395844364533246</v>
      </c>
    </row>
    <row r="8" spans="3:15" x14ac:dyDescent="0.45">
      <c r="C8" s="43" t="s">
        <v>202</v>
      </c>
      <c r="D8" s="43" t="s">
        <v>99</v>
      </c>
      <c r="E8" s="33">
        <v>31.502001</v>
      </c>
      <c r="F8" s="33">
        <v>31.48</v>
      </c>
      <c r="G8" s="34">
        <v>-6.9840007941081241E-4</v>
      </c>
      <c r="H8" s="33">
        <v>30.9</v>
      </c>
      <c r="I8" s="35">
        <v>1.877022653721689E-2</v>
      </c>
      <c r="J8" s="33">
        <v>31.41</v>
      </c>
      <c r="K8" s="35">
        <v>2.2285896211397733E-3</v>
      </c>
      <c r="L8" s="33">
        <v>31.276367</v>
      </c>
      <c r="M8" s="35">
        <v>6.5107625831350539E-3</v>
      </c>
      <c r="N8" s="33">
        <v>0</v>
      </c>
      <c r="O8" s="36" t="e">
        <v>#DIV/0!</v>
      </c>
    </row>
    <row r="9" spans="3:15" x14ac:dyDescent="0.45">
      <c r="C9" s="43" t="s">
        <v>203</v>
      </c>
      <c r="D9" s="43" t="s">
        <v>19</v>
      </c>
      <c r="E9" s="33">
        <v>47.290000999999997</v>
      </c>
      <c r="F9" s="33">
        <v>45.91</v>
      </c>
      <c r="G9" s="34">
        <v>-2.9181665697152345E-2</v>
      </c>
      <c r="H9" s="33">
        <v>45.330002</v>
      </c>
      <c r="I9" s="35">
        <v>1.279501377476216E-2</v>
      </c>
      <c r="J9" s="33">
        <v>46.66</v>
      </c>
      <c r="K9" s="35">
        <v>-1.607372481783112E-2</v>
      </c>
      <c r="L9" s="33">
        <v>45.589699000000003</v>
      </c>
      <c r="M9" s="35">
        <v>7.0257318435024869E-3</v>
      </c>
      <c r="N9" s="33">
        <v>30.257287999999999</v>
      </c>
      <c r="O9" s="36">
        <v>0.51732038905800148</v>
      </c>
    </row>
    <row r="10" spans="3:15" x14ac:dyDescent="0.45">
      <c r="C10" s="43" t="s">
        <v>70</v>
      </c>
      <c r="D10" s="43" t="s">
        <v>204</v>
      </c>
      <c r="E10" s="33">
        <v>120.510002</v>
      </c>
      <c r="F10" s="33">
        <v>122.66999800000001</v>
      </c>
      <c r="G10" s="34">
        <v>1.7923790259334712E-2</v>
      </c>
      <c r="H10" s="33">
        <v>118.550003</v>
      </c>
      <c r="I10" s="35">
        <v>3.475322560725707E-2</v>
      </c>
      <c r="J10" s="33">
        <v>119.160004</v>
      </c>
      <c r="K10" s="35">
        <v>2.9456142012214147E-2</v>
      </c>
      <c r="L10" s="33">
        <v>110.526833</v>
      </c>
      <c r="M10" s="35">
        <v>0.10986621683080353</v>
      </c>
      <c r="N10" s="33">
        <v>105.86756099999999</v>
      </c>
      <c r="O10" s="36">
        <v>0.15871185508845351</v>
      </c>
    </row>
    <row r="11" spans="3:15" x14ac:dyDescent="0.45">
      <c r="C11" s="43" t="s">
        <v>205</v>
      </c>
      <c r="D11" s="43" t="s">
        <v>206</v>
      </c>
      <c r="E11" s="33">
        <v>68.5</v>
      </c>
      <c r="F11" s="33">
        <v>71.699996999999996</v>
      </c>
      <c r="G11" s="34">
        <v>4.671528467153279E-2</v>
      </c>
      <c r="H11" s="33">
        <v>71.550003000000004</v>
      </c>
      <c r="I11" s="35">
        <v>2.0963521133603924E-3</v>
      </c>
      <c r="J11" s="33">
        <v>70.529999000000004</v>
      </c>
      <c r="K11" s="35">
        <v>1.6588657544146464E-2</v>
      </c>
      <c r="L11" s="33">
        <v>65.801544000000007</v>
      </c>
      <c r="M11" s="35">
        <v>8.9640039449530071E-2</v>
      </c>
      <c r="N11" s="33">
        <v>39.104014999999997</v>
      </c>
      <c r="O11" s="36">
        <v>0.83357123303067482</v>
      </c>
    </row>
    <row r="12" spans="3:15" x14ac:dyDescent="0.45">
      <c r="C12" s="43" t="s">
        <v>207</v>
      </c>
      <c r="D12" s="43" t="s">
        <v>208</v>
      </c>
      <c r="E12" s="33">
        <v>41.75</v>
      </c>
      <c r="F12" s="33">
        <v>41.650002000000001</v>
      </c>
      <c r="G12" s="34">
        <v>-2.3951616766466912E-3</v>
      </c>
      <c r="H12" s="33">
        <v>40.669998</v>
      </c>
      <c r="I12" s="35">
        <v>2.4096485079738657E-2</v>
      </c>
      <c r="J12" s="33">
        <v>42.59</v>
      </c>
      <c r="K12" s="35">
        <v>-2.2070861704625563E-2</v>
      </c>
      <c r="L12" s="33">
        <v>38.420326000000003</v>
      </c>
      <c r="M12" s="35">
        <v>8.4061650075535468E-2</v>
      </c>
      <c r="N12" s="33">
        <v>33.542397000000001</v>
      </c>
      <c r="O12" s="36">
        <v>0.24171215312966451</v>
      </c>
    </row>
    <row r="13" spans="3:15" x14ac:dyDescent="0.45">
      <c r="C13" s="43" t="s">
        <v>209</v>
      </c>
      <c r="D13" s="43" t="s">
        <v>210</v>
      </c>
      <c r="E13" s="33">
        <v>60.369999</v>
      </c>
      <c r="F13" s="33">
        <v>67.080001999999993</v>
      </c>
      <c r="G13" s="34">
        <v>0.11114797268755948</v>
      </c>
      <c r="H13" s="33">
        <v>66.690002000000007</v>
      </c>
      <c r="I13" s="35">
        <v>5.8479530409968547E-3</v>
      </c>
      <c r="J13" s="33">
        <v>64.230002999999996</v>
      </c>
      <c r="K13" s="35">
        <v>4.437177124217162E-2</v>
      </c>
      <c r="L13" s="33">
        <v>58.718670000000003</v>
      </c>
      <c r="M13" s="35">
        <v>0.14239648139169347</v>
      </c>
      <c r="N13" s="33">
        <v>28.477927999999999</v>
      </c>
      <c r="O13" s="36">
        <v>1.3555085187377396</v>
      </c>
    </row>
    <row r="14" spans="3:15" x14ac:dyDescent="0.45">
      <c r="C14" s="43" t="s">
        <v>211</v>
      </c>
      <c r="D14" s="43" t="s">
        <v>52</v>
      </c>
      <c r="E14" s="33">
        <v>9.89</v>
      </c>
      <c r="F14" s="33">
        <v>8.66</v>
      </c>
      <c r="G14" s="34">
        <v>-0.12436804853387264</v>
      </c>
      <c r="H14" s="33">
        <v>8.6199999999999992</v>
      </c>
      <c r="I14" s="35">
        <v>4.6403712296984832E-3</v>
      </c>
      <c r="J14" s="33">
        <v>10</v>
      </c>
      <c r="K14" s="35">
        <v>-0.13399999999999998</v>
      </c>
      <c r="L14" s="33">
        <v>9.815213</v>
      </c>
      <c r="M14" s="35">
        <v>-0.11769617225830961</v>
      </c>
      <c r="N14" s="33">
        <v>10.771534000000001</v>
      </c>
      <c r="O14" s="36">
        <v>-0.19602908926435181</v>
      </c>
    </row>
    <row r="15" spans="3:15" x14ac:dyDescent="0.45">
      <c r="C15" s="43" t="s">
        <v>94</v>
      </c>
      <c r="D15" s="43" t="s">
        <v>96</v>
      </c>
      <c r="E15" s="33">
        <v>125.41999800000001</v>
      </c>
      <c r="F15" s="33">
        <v>130.779999</v>
      </c>
      <c r="G15" s="34">
        <v>4.2736414331628329E-2</v>
      </c>
      <c r="H15" s="33">
        <v>128.509995</v>
      </c>
      <c r="I15" s="35">
        <v>1.7664026833087963E-2</v>
      </c>
      <c r="J15" s="33">
        <v>126.739998</v>
      </c>
      <c r="K15" s="35">
        <v>3.1876290545625574E-2</v>
      </c>
      <c r="L15" s="33">
        <v>120.233597</v>
      </c>
      <c r="M15" s="35">
        <v>8.7715931845572248E-2</v>
      </c>
      <c r="N15" s="33">
        <v>69.362494999999996</v>
      </c>
      <c r="O15" s="36">
        <v>0.88545696056636969</v>
      </c>
    </row>
    <row r="16" spans="3:15" x14ac:dyDescent="0.45">
      <c r="C16" s="43" t="s">
        <v>212</v>
      </c>
      <c r="D16" s="43" t="s">
        <v>95</v>
      </c>
      <c r="E16" s="33">
        <v>62.98</v>
      </c>
      <c r="F16" s="33">
        <v>64.290001000000004</v>
      </c>
      <c r="G16" s="34">
        <v>2.0800269926961049E-2</v>
      </c>
      <c r="H16" s="33">
        <v>63.560001</v>
      </c>
      <c r="I16" s="35">
        <v>1.1485210643719216E-2</v>
      </c>
      <c r="J16" s="33">
        <v>63.07</v>
      </c>
      <c r="K16" s="35">
        <v>1.934360234659907E-2</v>
      </c>
      <c r="L16" s="33">
        <v>60.831707000000002</v>
      </c>
      <c r="M16" s="35">
        <v>5.6850188340103656E-2</v>
      </c>
      <c r="N16" s="33">
        <v>43.495593999999997</v>
      </c>
      <c r="O16" s="36">
        <v>0.47808076836472235</v>
      </c>
    </row>
    <row r="17" spans="3:15" x14ac:dyDescent="0.45">
      <c r="C17" s="43" t="s">
        <v>213</v>
      </c>
      <c r="D17" s="43" t="s">
        <v>214</v>
      </c>
      <c r="E17" s="33">
        <v>41.52</v>
      </c>
      <c r="F17" s="33">
        <v>44.610000999999997</v>
      </c>
      <c r="G17" s="34">
        <v>7.4421989402697342E-2</v>
      </c>
      <c r="H17" s="33">
        <v>44.139999000000003</v>
      </c>
      <c r="I17" s="35">
        <v>1.0647983929496551E-2</v>
      </c>
      <c r="J17" s="33">
        <v>43.709999000000003</v>
      </c>
      <c r="K17" s="35">
        <v>2.0590300173651193E-2</v>
      </c>
      <c r="L17" s="33">
        <v>41.000587000000003</v>
      </c>
      <c r="M17" s="35">
        <v>8.8033227426719374E-2</v>
      </c>
      <c r="N17" s="33">
        <v>27.095417000000001</v>
      </c>
      <c r="O17" s="36">
        <v>0.64640392875296937</v>
      </c>
    </row>
    <row r="18" spans="3:15" x14ac:dyDescent="0.45">
      <c r="C18" s="43" t="s">
        <v>55</v>
      </c>
      <c r="D18" s="43" t="s">
        <v>215</v>
      </c>
      <c r="E18" s="33">
        <v>44.869999</v>
      </c>
      <c r="F18" s="33">
        <v>44.169998</v>
      </c>
      <c r="G18" s="34">
        <v>-1.5600646659252216E-2</v>
      </c>
      <c r="H18" s="33">
        <v>43.68</v>
      </c>
      <c r="I18" s="35">
        <v>1.1217902930402928E-2</v>
      </c>
      <c r="J18" s="33">
        <v>46.299999</v>
      </c>
      <c r="K18" s="35">
        <v>-4.6004342246314091E-2</v>
      </c>
      <c r="L18" s="33">
        <v>41.865715000000002</v>
      </c>
      <c r="M18" s="35">
        <v>5.5039857792945804E-2</v>
      </c>
      <c r="N18" s="33">
        <v>35.953471999999998</v>
      </c>
      <c r="O18" s="36">
        <v>0.22853219850366613</v>
      </c>
    </row>
    <row r="19" spans="3:15" x14ac:dyDescent="0.45">
      <c r="C19" s="43" t="s">
        <v>216</v>
      </c>
      <c r="D19" s="43" t="s">
        <v>49</v>
      </c>
      <c r="E19" s="33">
        <v>60.040000999999997</v>
      </c>
      <c r="F19" s="33">
        <v>54.310001</v>
      </c>
      <c r="G19" s="34">
        <v>-9.5436374159953749E-2</v>
      </c>
      <c r="H19" s="33">
        <v>52.93</v>
      </c>
      <c r="I19" s="35">
        <v>2.6072189684488947E-2</v>
      </c>
      <c r="J19" s="33">
        <v>59.830002</v>
      </c>
      <c r="K19" s="35">
        <v>-9.2261420950646142E-2</v>
      </c>
      <c r="L19" s="33">
        <v>57.483307000000003</v>
      </c>
      <c r="M19" s="35">
        <v>-5.5203956863511761E-2</v>
      </c>
      <c r="N19" s="33">
        <v>66.940369000000004</v>
      </c>
      <c r="O19" s="36">
        <v>-0.18868088402679709</v>
      </c>
    </row>
    <row r="20" spans="3:15" x14ac:dyDescent="0.45">
      <c r="C20" s="43" t="s">
        <v>92</v>
      </c>
      <c r="D20" s="43" t="s">
        <v>18</v>
      </c>
      <c r="E20" s="33">
        <v>30.780000999999999</v>
      </c>
      <c r="F20" s="33">
        <v>31.120000999999998</v>
      </c>
      <c r="G20" s="34">
        <v>1.104613349427766E-2</v>
      </c>
      <c r="H20" s="33">
        <v>30.459999</v>
      </c>
      <c r="I20" s="35">
        <v>2.1667827369265463E-2</v>
      </c>
      <c r="J20" s="33">
        <v>30.9</v>
      </c>
      <c r="K20" s="35">
        <v>7.1197734627831679E-3</v>
      </c>
      <c r="L20" s="33">
        <v>29.460028000000001</v>
      </c>
      <c r="M20" s="35">
        <v>5.6346619901379492E-2</v>
      </c>
      <c r="N20" s="33">
        <v>13.901534</v>
      </c>
      <c r="O20" s="36">
        <v>1.2386019413397109</v>
      </c>
    </row>
    <row r="21" spans="3:15" x14ac:dyDescent="0.45">
      <c r="C21" s="43" t="s">
        <v>217</v>
      </c>
      <c r="D21" s="43" t="s">
        <v>10</v>
      </c>
      <c r="E21" s="33">
        <v>34.439999</v>
      </c>
      <c r="F21" s="33">
        <v>33.590000000000003</v>
      </c>
      <c r="G21" s="34">
        <v>-2.4680575629517202E-2</v>
      </c>
      <c r="H21" s="33">
        <v>33.110000999999997</v>
      </c>
      <c r="I21" s="35">
        <v>1.4497100135998382E-2</v>
      </c>
      <c r="J21" s="33">
        <v>33.840000000000003</v>
      </c>
      <c r="K21" s="35">
        <v>-7.3877068557919616E-3</v>
      </c>
      <c r="L21" s="33">
        <v>33.430557</v>
      </c>
      <c r="M21" s="35">
        <v>4.7693791042728697E-3</v>
      </c>
      <c r="N21" s="33">
        <v>28.943232999999999</v>
      </c>
      <c r="O21" s="36">
        <v>0.16054761401395637</v>
      </c>
    </row>
    <row r="22" spans="3:15" x14ac:dyDescent="0.45">
      <c r="C22" s="43" t="s">
        <v>69</v>
      </c>
      <c r="D22" s="43" t="s">
        <v>98</v>
      </c>
      <c r="E22" s="33">
        <v>142.89999399999999</v>
      </c>
      <c r="F22" s="33">
        <v>147.66000399999999</v>
      </c>
      <c r="G22" s="34">
        <v>3.3310078375510602E-2</v>
      </c>
      <c r="H22" s="33">
        <v>146.429993</v>
      </c>
      <c r="I22" s="35">
        <v>8.399993572355019E-3</v>
      </c>
      <c r="J22" s="33">
        <v>145.820007</v>
      </c>
      <c r="K22" s="35">
        <v>1.2618275350926177E-2</v>
      </c>
      <c r="L22" s="33">
        <v>137.979996</v>
      </c>
      <c r="M22" s="35">
        <v>7.0155154954490553E-2</v>
      </c>
      <c r="N22" s="33">
        <v>117.339996</v>
      </c>
      <c r="O22" s="36">
        <v>0.25839448639490314</v>
      </c>
    </row>
    <row r="23" spans="3:15" x14ac:dyDescent="0.45">
      <c r="C23" s="43" t="s">
        <v>218</v>
      </c>
      <c r="D23" s="43" t="s">
        <v>219</v>
      </c>
      <c r="E23" s="33">
        <v>29.280000999999999</v>
      </c>
      <c r="F23" s="33">
        <v>28.43</v>
      </c>
      <c r="G23" s="34">
        <v>-2.9030087806349424E-2</v>
      </c>
      <c r="H23" s="33">
        <v>28.049999</v>
      </c>
      <c r="I23" s="35">
        <v>1.354727321024147E-2</v>
      </c>
      <c r="J23" s="33">
        <v>27.77</v>
      </c>
      <c r="K23" s="35">
        <v>2.3766654663305731E-2</v>
      </c>
      <c r="L23" s="33">
        <v>26.561674</v>
      </c>
      <c r="M23" s="35">
        <v>7.0339166123339958E-2</v>
      </c>
      <c r="N23" s="33">
        <v>20.487895999999999</v>
      </c>
      <c r="O23" s="36">
        <v>0.38764859017246089</v>
      </c>
    </row>
    <row r="24" spans="3:15" x14ac:dyDescent="0.45">
      <c r="C24" s="43" t="s">
        <v>220</v>
      </c>
      <c r="D24" s="43" t="s">
        <v>12</v>
      </c>
      <c r="E24" s="33">
        <v>101.860001</v>
      </c>
      <c r="F24" s="33">
        <v>104.209999</v>
      </c>
      <c r="G24" s="34">
        <v>2.3070861740910442E-2</v>
      </c>
      <c r="H24" s="33">
        <v>101.800003</v>
      </c>
      <c r="I24" s="35">
        <v>2.3673830343600211E-2</v>
      </c>
      <c r="J24" s="33">
        <v>102.44000200000001</v>
      </c>
      <c r="K24" s="35">
        <v>1.7278377249543488E-2</v>
      </c>
      <c r="L24" s="33">
        <v>94.411963999999998</v>
      </c>
      <c r="M24" s="35">
        <v>0.10377959090015328</v>
      </c>
      <c r="N24" s="33">
        <v>64.795303000000004</v>
      </c>
      <c r="O24" s="36">
        <v>0.60829557352328434</v>
      </c>
    </row>
    <row r="25" spans="3:15" x14ac:dyDescent="0.45">
      <c r="C25" s="43" t="s">
        <v>221</v>
      </c>
      <c r="D25" s="43" t="s">
        <v>222</v>
      </c>
      <c r="E25" s="33">
        <v>85.650002000000001</v>
      </c>
      <c r="F25" s="33">
        <v>88.269997000000004</v>
      </c>
      <c r="G25" s="34">
        <v>3.0589549781913642E-2</v>
      </c>
      <c r="H25" s="33">
        <v>87.129997000000003</v>
      </c>
      <c r="I25" s="35">
        <v>1.3083898074735393E-2</v>
      </c>
      <c r="J25" s="33">
        <v>86.849997999999999</v>
      </c>
      <c r="K25" s="35">
        <v>1.6350017647668851E-2</v>
      </c>
      <c r="L25" s="33">
        <v>81.767128</v>
      </c>
      <c r="M25" s="35">
        <v>7.952913547360993E-2</v>
      </c>
      <c r="N25" s="33">
        <v>41.909092000000001</v>
      </c>
      <c r="O25" s="36">
        <v>1.1062254701199443</v>
      </c>
    </row>
    <row r="26" spans="3:15" x14ac:dyDescent="0.45">
      <c r="C26" s="43" t="s">
        <v>223</v>
      </c>
      <c r="D26" s="43" t="s">
        <v>224</v>
      </c>
      <c r="E26" s="33">
        <v>72.620002999999997</v>
      </c>
      <c r="F26" s="33">
        <v>76.989998</v>
      </c>
      <c r="G26" s="34">
        <v>6.017618864598509E-2</v>
      </c>
      <c r="H26" s="33">
        <v>73.309997999999993</v>
      </c>
      <c r="I26" s="35">
        <v>5.0197791575441145E-2</v>
      </c>
      <c r="J26" s="33">
        <v>73.830001999999993</v>
      </c>
      <c r="K26" s="35">
        <v>4.2800974053881335E-2</v>
      </c>
      <c r="L26" s="33">
        <v>67.517302999999998</v>
      </c>
      <c r="M26" s="35">
        <v>0.1403002575502757</v>
      </c>
      <c r="N26" s="33">
        <v>55.907218999999998</v>
      </c>
      <c r="O26" s="36">
        <v>0.37710298199593872</v>
      </c>
    </row>
    <row r="27" spans="3:15" x14ac:dyDescent="0.45">
      <c r="C27" s="43" t="s">
        <v>225</v>
      </c>
      <c r="D27" s="43" t="s">
        <v>226</v>
      </c>
      <c r="E27" s="33">
        <v>45.509998000000003</v>
      </c>
      <c r="F27" s="33">
        <v>48.810001</v>
      </c>
      <c r="G27" s="34">
        <v>7.2511605032371057E-2</v>
      </c>
      <c r="H27" s="33">
        <v>47.5</v>
      </c>
      <c r="I27" s="35">
        <v>2.7578968421052626E-2</v>
      </c>
      <c r="J27" s="33">
        <v>46.52</v>
      </c>
      <c r="K27" s="35">
        <v>4.9226160791057537E-2</v>
      </c>
      <c r="L27" s="33">
        <v>45.678153999999999</v>
      </c>
      <c r="M27" s="35">
        <v>6.856334430677738E-2</v>
      </c>
      <c r="N27" s="33">
        <v>34.850566999999998</v>
      </c>
      <c r="O27" s="36">
        <v>0.40055113020112421</v>
      </c>
    </row>
    <row r="28" spans="3:15" x14ac:dyDescent="0.45">
      <c r="C28" s="43" t="s">
        <v>227</v>
      </c>
      <c r="D28" s="43" t="s">
        <v>6</v>
      </c>
      <c r="E28" s="33">
        <v>81.470000999999996</v>
      </c>
      <c r="F28" s="33">
        <v>84.440002000000007</v>
      </c>
      <c r="G28" s="34">
        <v>3.6455148687183775E-2</v>
      </c>
      <c r="H28" s="33">
        <v>82.610000999999997</v>
      </c>
      <c r="I28" s="35">
        <v>2.2152293642993783E-2</v>
      </c>
      <c r="J28" s="33">
        <v>83.43</v>
      </c>
      <c r="K28" s="35">
        <v>1.2105981061968116E-2</v>
      </c>
      <c r="L28" s="33">
        <v>81.047095999999996</v>
      </c>
      <c r="M28" s="35">
        <v>4.1863387677702986E-2</v>
      </c>
      <c r="N28" s="33">
        <v>51.405628</v>
      </c>
      <c r="O28" s="36">
        <v>0.64262173783773258</v>
      </c>
    </row>
    <row r="29" spans="3:15" x14ac:dyDescent="0.45">
      <c r="C29" s="43" t="s">
        <v>228</v>
      </c>
      <c r="D29" s="43" t="s">
        <v>20</v>
      </c>
      <c r="E29" s="33">
        <v>35.43</v>
      </c>
      <c r="F29" s="33">
        <v>37.369999</v>
      </c>
      <c r="G29" s="34">
        <v>5.4755828394016375E-2</v>
      </c>
      <c r="H29" s="33">
        <v>36.119999</v>
      </c>
      <c r="I29" s="35">
        <v>3.4606866960323009E-2</v>
      </c>
      <c r="J29" s="33">
        <v>35.590000000000003</v>
      </c>
      <c r="K29" s="35">
        <v>5.0014020792357304E-2</v>
      </c>
      <c r="L29" s="33">
        <v>34.960757999999998</v>
      </c>
      <c r="M29" s="35">
        <v>6.8912722086860972E-2</v>
      </c>
      <c r="N29" s="33">
        <v>20.595618999999999</v>
      </c>
      <c r="O29" s="36">
        <v>0.8144635031362738</v>
      </c>
    </row>
    <row r="30" spans="3:15" x14ac:dyDescent="0.45">
      <c r="C30" s="43" t="s">
        <v>67</v>
      </c>
      <c r="D30" s="43" t="s">
        <v>229</v>
      </c>
      <c r="E30" s="33">
        <v>139.11999499999999</v>
      </c>
      <c r="F30" s="33">
        <v>151.179993</v>
      </c>
      <c r="G30" s="34">
        <v>8.6687740320864792E-2</v>
      </c>
      <c r="H30" s="33">
        <v>149.63000500000001</v>
      </c>
      <c r="I30" s="35">
        <v>1.035880470631532E-2</v>
      </c>
      <c r="J30" s="33">
        <v>146.050003</v>
      </c>
      <c r="K30" s="35">
        <v>3.5124888015236756E-2</v>
      </c>
      <c r="L30" s="33">
        <v>132.820007</v>
      </c>
      <c r="M30" s="35">
        <v>0.13823208125564992</v>
      </c>
      <c r="N30" s="33">
        <v>63.619999</v>
      </c>
      <c r="O30" s="36">
        <v>1.3762966893476372</v>
      </c>
    </row>
    <row r="31" spans="3:15" x14ac:dyDescent="0.45">
      <c r="C31" s="43" t="s">
        <v>91</v>
      </c>
      <c r="D31" s="43" t="s">
        <v>230</v>
      </c>
      <c r="E31" s="33">
        <v>61.419998</v>
      </c>
      <c r="F31" s="33">
        <v>60.389999000000003</v>
      </c>
      <c r="G31" s="34">
        <v>-1.6769766094749734E-2</v>
      </c>
      <c r="H31" s="33">
        <v>59.880001</v>
      </c>
      <c r="I31" s="35">
        <v>8.5170005257682452E-3</v>
      </c>
      <c r="J31" s="33">
        <v>60.349997999999999</v>
      </c>
      <c r="K31" s="35">
        <v>6.6281692337427634E-4</v>
      </c>
      <c r="L31" s="33">
        <v>59.710822999999998</v>
      </c>
      <c r="M31" s="35">
        <v>1.1374420345872729E-2</v>
      </c>
      <c r="N31" s="33">
        <v>46.152102999999997</v>
      </c>
      <c r="O31" s="36">
        <v>0.30849939817477023</v>
      </c>
    </row>
    <row r="32" spans="3:15" x14ac:dyDescent="0.45">
      <c r="C32" s="43" t="s">
        <v>231</v>
      </c>
      <c r="D32" s="43" t="s">
        <v>14</v>
      </c>
      <c r="E32" s="33">
        <v>34.009998000000003</v>
      </c>
      <c r="F32" s="33">
        <v>35.209999000000003</v>
      </c>
      <c r="G32" s="34">
        <v>3.5283771554470544E-2</v>
      </c>
      <c r="H32" s="33">
        <v>35.150002000000001</v>
      </c>
      <c r="I32" s="35">
        <v>1.7068846823963977E-3</v>
      </c>
      <c r="J32" s="33">
        <v>34.790000999999997</v>
      </c>
      <c r="K32" s="35">
        <v>1.2072376772855132E-2</v>
      </c>
      <c r="L32" s="33">
        <v>32.287533000000003</v>
      </c>
      <c r="M32" s="35">
        <v>9.0513759598790031E-2</v>
      </c>
      <c r="N32" s="33">
        <v>25.414324000000001</v>
      </c>
      <c r="O32" s="36">
        <v>0.38543913267179575</v>
      </c>
    </row>
    <row r="33" spans="3:15" x14ac:dyDescent="0.45">
      <c r="C33" s="43" t="s">
        <v>232</v>
      </c>
      <c r="D33" s="43" t="s">
        <v>51</v>
      </c>
      <c r="E33" s="33">
        <v>29.290001</v>
      </c>
      <c r="F33" s="33">
        <v>26.32</v>
      </c>
      <c r="G33" s="34">
        <v>-0.1013998258313477</v>
      </c>
      <c r="H33" s="33">
        <v>25.690000999999999</v>
      </c>
      <c r="I33" s="35">
        <v>2.4523120882712367E-2</v>
      </c>
      <c r="J33" s="33">
        <v>27.799999</v>
      </c>
      <c r="K33" s="35">
        <v>-5.3237376015732932E-2</v>
      </c>
      <c r="L33" s="33">
        <v>26.874434999999998</v>
      </c>
      <c r="M33" s="35">
        <v>-2.0630573256702811E-2</v>
      </c>
      <c r="N33" s="33">
        <v>26.829225999999998</v>
      </c>
      <c r="O33" s="36">
        <v>-1.8980271737991928E-2</v>
      </c>
    </row>
    <row r="34" spans="3:15" x14ac:dyDescent="0.45">
      <c r="C34" s="43" t="s">
        <v>233</v>
      </c>
      <c r="D34" s="43" t="s">
        <v>234</v>
      </c>
      <c r="E34" s="33">
        <v>55.23</v>
      </c>
      <c r="F34" s="33">
        <v>55.119999</v>
      </c>
      <c r="G34" s="34">
        <v>-1.9916892992938059E-3</v>
      </c>
      <c r="H34" s="33">
        <v>54.59</v>
      </c>
      <c r="I34" s="35">
        <v>9.708719545704278E-3</v>
      </c>
      <c r="J34" s="33">
        <v>56.16</v>
      </c>
      <c r="K34" s="35">
        <v>-1.8518536324786266E-2</v>
      </c>
      <c r="L34" s="33">
        <v>54.387253000000001</v>
      </c>
      <c r="M34" s="35">
        <v>1.3472752521624852E-2</v>
      </c>
      <c r="N34" s="33">
        <v>36.387946999999997</v>
      </c>
      <c r="O34" s="36">
        <v>0.51478727282965442</v>
      </c>
    </row>
    <row r="35" spans="3:15" x14ac:dyDescent="0.45">
      <c r="C35" s="43" t="s">
        <v>85</v>
      </c>
      <c r="D35" s="43" t="s">
        <v>235</v>
      </c>
      <c r="E35" s="33">
        <v>13.25</v>
      </c>
      <c r="F35" s="33">
        <v>11.17</v>
      </c>
      <c r="G35" s="34">
        <v>-0.15698113207547171</v>
      </c>
      <c r="H35" s="33">
        <v>11.08</v>
      </c>
      <c r="I35" s="35">
        <v>8.1227436823104564E-3</v>
      </c>
      <c r="J35" s="33">
        <v>12.93</v>
      </c>
      <c r="K35" s="35">
        <v>-0.13611755607115233</v>
      </c>
      <c r="L35" s="33">
        <v>11.296908999999999</v>
      </c>
      <c r="M35" s="35">
        <v>-1.1233957890605254E-2</v>
      </c>
      <c r="N35" s="33">
        <v>31.650535999999999</v>
      </c>
      <c r="O35" s="36">
        <v>-0.64708338588641912</v>
      </c>
    </row>
    <row r="36" spans="3:15" x14ac:dyDescent="0.45">
      <c r="C36" s="43" t="s">
        <v>236</v>
      </c>
      <c r="D36" s="43" t="s">
        <v>237</v>
      </c>
      <c r="E36" s="33">
        <v>160.13000500000001</v>
      </c>
      <c r="F36" s="33">
        <v>163.979996</v>
      </c>
      <c r="G36" s="34">
        <v>2.4042908135798711E-2</v>
      </c>
      <c r="H36" s="33">
        <v>163.63000500000001</v>
      </c>
      <c r="I36" s="35">
        <v>2.1389170036387188E-3</v>
      </c>
      <c r="J36" s="33">
        <v>160.229996</v>
      </c>
      <c r="K36" s="35">
        <v>2.3403857539882857E-2</v>
      </c>
      <c r="L36" s="33">
        <v>143.75183100000001</v>
      </c>
      <c r="M36" s="35">
        <v>0.14071587721202652</v>
      </c>
      <c r="N36" s="33">
        <v>151.504333</v>
      </c>
      <c r="O36" s="36">
        <v>8.2345255432397416E-2</v>
      </c>
    </row>
    <row r="37" spans="3:15" x14ac:dyDescent="0.45">
      <c r="C37" s="43" t="s">
        <v>238</v>
      </c>
      <c r="D37" s="43" t="s">
        <v>239</v>
      </c>
      <c r="E37" s="33">
        <v>58.25</v>
      </c>
      <c r="F37" s="33">
        <v>56.169998</v>
      </c>
      <c r="G37" s="34">
        <v>-3.5708188841201721E-2</v>
      </c>
      <c r="H37" s="33">
        <v>55.68</v>
      </c>
      <c r="I37" s="35">
        <v>8.8002514367816077E-3</v>
      </c>
      <c r="J37" s="33">
        <v>57.220001000000003</v>
      </c>
      <c r="K37" s="35">
        <v>-1.8350279301812732E-2</v>
      </c>
      <c r="L37" s="33">
        <v>55.613098000000001</v>
      </c>
      <c r="M37" s="35">
        <v>1.0013828037416633E-2</v>
      </c>
      <c r="N37" s="33">
        <v>36.641235000000002</v>
      </c>
      <c r="O37" s="36">
        <v>0.53297229200926211</v>
      </c>
    </row>
    <row r="38" spans="3:15" x14ac:dyDescent="0.45">
      <c r="C38" s="43" t="s">
        <v>84</v>
      </c>
      <c r="D38" s="43" t="s">
        <v>240</v>
      </c>
      <c r="E38" s="33">
        <v>93.080001999999993</v>
      </c>
      <c r="F38" s="33">
        <v>97.93</v>
      </c>
      <c r="G38" s="34">
        <v>5.2105692907054448E-2</v>
      </c>
      <c r="H38" s="33">
        <v>95.830001999999993</v>
      </c>
      <c r="I38" s="35">
        <v>2.1913784369951426E-2</v>
      </c>
      <c r="J38" s="33">
        <v>93.910004000000001</v>
      </c>
      <c r="K38" s="35">
        <v>4.2806898400302551E-2</v>
      </c>
      <c r="L38" s="33">
        <v>90.575492999999994</v>
      </c>
      <c r="M38" s="35">
        <v>8.1197537616494259E-2</v>
      </c>
      <c r="N38" s="33">
        <v>67.098236</v>
      </c>
      <c r="O38" s="36">
        <v>0.45950185635282581</v>
      </c>
    </row>
    <row r="39" spans="3:15" x14ac:dyDescent="0.45">
      <c r="C39" s="43" t="s">
        <v>241</v>
      </c>
      <c r="D39" s="43" t="s">
        <v>13</v>
      </c>
      <c r="E39" s="33">
        <v>46.009998000000003</v>
      </c>
      <c r="F39" s="33">
        <v>44.349997999999999</v>
      </c>
      <c r="G39" s="34">
        <v>-3.6079114804569296E-2</v>
      </c>
      <c r="H39" s="33">
        <v>43.830002</v>
      </c>
      <c r="I39" s="35">
        <v>1.1863928274518423E-2</v>
      </c>
      <c r="J39" s="33">
        <v>45.34</v>
      </c>
      <c r="K39" s="35">
        <v>-2.1835068372298278E-2</v>
      </c>
      <c r="L39" s="33">
        <v>43.924858</v>
      </c>
      <c r="M39" s="35">
        <v>9.6788019212264483E-3</v>
      </c>
      <c r="N39" s="33">
        <v>45.349327000000002</v>
      </c>
      <c r="O39" s="36">
        <v>-2.2036247638250572E-2</v>
      </c>
    </row>
    <row r="40" spans="3:15" x14ac:dyDescent="0.45">
      <c r="C40" s="43" t="s">
        <v>242</v>
      </c>
      <c r="D40" s="43" t="s">
        <v>102</v>
      </c>
      <c r="E40" s="33">
        <v>141.41000399999999</v>
      </c>
      <c r="F40" s="33">
        <v>148.88000500000001</v>
      </c>
      <c r="G40" s="34">
        <v>5.2825124027293183E-2</v>
      </c>
      <c r="H40" s="33">
        <v>143.94000199999999</v>
      </c>
      <c r="I40" s="35">
        <v>3.4319875860499283E-2</v>
      </c>
      <c r="J40" s="33">
        <v>145</v>
      </c>
      <c r="K40" s="35">
        <v>2.6758655172413871E-2</v>
      </c>
      <c r="L40" s="33">
        <v>131.21060199999999</v>
      </c>
      <c r="M40" s="35">
        <v>0.13466444578922074</v>
      </c>
      <c r="N40" s="33">
        <v>51.875954</v>
      </c>
      <c r="O40" s="36">
        <v>1.8699232210746428</v>
      </c>
    </row>
    <row r="41" spans="3:15" x14ac:dyDescent="0.45">
      <c r="C41" s="43" t="s">
        <v>243</v>
      </c>
      <c r="D41" s="43" t="s">
        <v>244</v>
      </c>
      <c r="E41" s="33">
        <v>10.18</v>
      </c>
      <c r="F41" s="33">
        <v>8.3800000000000008</v>
      </c>
      <c r="G41" s="34">
        <v>-0.1768172888015716</v>
      </c>
      <c r="H41" s="33">
        <v>8.48</v>
      </c>
      <c r="I41" s="35">
        <v>-1.1792452830188637E-2</v>
      </c>
      <c r="J41" s="33">
        <v>9.86</v>
      </c>
      <c r="K41" s="35">
        <v>-0.15010141987829601</v>
      </c>
      <c r="L41" s="33">
        <v>9.4159009999999999</v>
      </c>
      <c r="M41" s="35">
        <v>-0.1100161312231298</v>
      </c>
      <c r="N41" s="33">
        <v>14.047005</v>
      </c>
      <c r="O41" s="36">
        <v>-0.40343154999944825</v>
      </c>
    </row>
    <row r="42" spans="3:15" x14ac:dyDescent="0.45">
      <c r="C42" s="43" t="s">
        <v>245</v>
      </c>
      <c r="D42" s="43" t="s">
        <v>103</v>
      </c>
      <c r="E42" s="33">
        <v>16.68</v>
      </c>
      <c r="F42" s="33">
        <v>16.48</v>
      </c>
      <c r="G42" s="34">
        <v>-1.199040767386087E-2</v>
      </c>
      <c r="H42" s="33">
        <v>16.450001</v>
      </c>
      <c r="I42" s="35">
        <v>1.8236473055533618E-3</v>
      </c>
      <c r="J42" s="33">
        <v>16.780000999999999</v>
      </c>
      <c r="K42" s="35">
        <v>-1.7878485227742134E-2</v>
      </c>
      <c r="L42" s="33">
        <v>15.83</v>
      </c>
      <c r="M42" s="35">
        <v>4.1061276058117518E-2</v>
      </c>
      <c r="N42" s="33">
        <v>16.149999999999999</v>
      </c>
      <c r="O42" s="36">
        <v>2.0433436532507857E-2</v>
      </c>
    </row>
    <row r="43" spans="3:15" x14ac:dyDescent="0.45">
      <c r="C43" s="43" t="s">
        <v>246</v>
      </c>
      <c r="D43" s="43" t="s">
        <v>247</v>
      </c>
      <c r="E43" s="33">
        <v>34.639999000000003</v>
      </c>
      <c r="F43" s="33">
        <v>36.549999</v>
      </c>
      <c r="G43" s="34">
        <v>5.5138569721090248E-2</v>
      </c>
      <c r="H43" s="33">
        <v>36.479999999999997</v>
      </c>
      <c r="I43" s="35">
        <v>1.9188322368421825E-3</v>
      </c>
      <c r="J43" s="33">
        <v>37.200001</v>
      </c>
      <c r="K43" s="35">
        <v>-1.7473171573301857E-2</v>
      </c>
      <c r="L43" s="33">
        <v>32.349997999999999</v>
      </c>
      <c r="M43" s="35">
        <v>0.12983002348253625</v>
      </c>
      <c r="N43" s="33">
        <v>18.385131999999999</v>
      </c>
      <c r="O43" s="36">
        <v>0.98801939523741267</v>
      </c>
    </row>
    <row r="44" spans="3:15" x14ac:dyDescent="0.45">
      <c r="C44" s="43" t="s">
        <v>248</v>
      </c>
      <c r="D44" s="43" t="s">
        <v>249</v>
      </c>
      <c r="E44" s="33">
        <v>101.620003</v>
      </c>
      <c r="F44" s="33">
        <v>109.379997</v>
      </c>
      <c r="G44" s="34">
        <v>7.6362859387044166E-2</v>
      </c>
      <c r="H44" s="33">
        <v>108.849998</v>
      </c>
      <c r="I44" s="35">
        <v>4.8690768005342881E-3</v>
      </c>
      <c r="J44" s="33">
        <v>106.349998</v>
      </c>
      <c r="K44" s="35">
        <v>2.8490823290847674E-2</v>
      </c>
      <c r="L44" s="33">
        <v>97.898819000000003</v>
      </c>
      <c r="M44" s="35">
        <v>0.11727596019314594</v>
      </c>
      <c r="N44" s="33">
        <v>47.199772000000003</v>
      </c>
      <c r="O44" s="36">
        <v>1.3173840119397187</v>
      </c>
    </row>
    <row r="45" spans="3:15" x14ac:dyDescent="0.45">
      <c r="C45" s="43" t="s">
        <v>250</v>
      </c>
      <c r="D45" s="43" t="s">
        <v>97</v>
      </c>
      <c r="E45" s="33">
        <v>30.799999</v>
      </c>
      <c r="F45" s="33">
        <v>36.590000000000003</v>
      </c>
      <c r="G45" s="34">
        <v>0.18798705155802128</v>
      </c>
      <c r="H45" s="33">
        <v>34.200001</v>
      </c>
      <c r="I45" s="35">
        <v>6.9883009652543668E-2</v>
      </c>
      <c r="J45" s="33">
        <v>33.139999000000003</v>
      </c>
      <c r="K45" s="35">
        <v>0.10410383536825092</v>
      </c>
      <c r="L45" s="33">
        <v>27.338668999999999</v>
      </c>
      <c r="M45" s="35">
        <v>0.33839727164479017</v>
      </c>
      <c r="N45" s="33">
        <v>35.164695999999999</v>
      </c>
      <c r="O45" s="36">
        <v>4.0532242906351421E-2</v>
      </c>
    </row>
    <row r="46" spans="3:15" x14ac:dyDescent="0.45">
      <c r="C46" s="43" t="s">
        <v>87</v>
      </c>
      <c r="D46" s="43" t="s">
        <v>251</v>
      </c>
      <c r="E46" s="33">
        <v>321.85998499999999</v>
      </c>
      <c r="F46" s="33">
        <v>335.26001000000002</v>
      </c>
      <c r="G46" s="34">
        <v>4.1633087753981064E-2</v>
      </c>
      <c r="H46" s="33">
        <v>329.05999800000001</v>
      </c>
      <c r="I46" s="35">
        <v>1.8841585235772156E-2</v>
      </c>
      <c r="J46" s="33">
        <v>327.95001200000002</v>
      </c>
      <c r="K46" s="35">
        <v>2.2289976315048914E-2</v>
      </c>
      <c r="L46" s="33">
        <v>307.587738</v>
      </c>
      <c r="M46" s="35">
        <v>8.9965458896154107E-2</v>
      </c>
      <c r="N46" s="33">
        <v>189.32193000000001</v>
      </c>
      <c r="O46" s="36">
        <v>0.77084614550464392</v>
      </c>
    </row>
    <row r="47" spans="3:15" x14ac:dyDescent="0.45">
      <c r="C47" s="43" t="s">
        <v>252</v>
      </c>
      <c r="D47" s="43" t="s">
        <v>100</v>
      </c>
      <c r="E47" s="33">
        <v>37.709999000000003</v>
      </c>
      <c r="F47" s="33">
        <v>34.919998</v>
      </c>
      <c r="G47" s="34">
        <v>-7.3985708671061051E-2</v>
      </c>
      <c r="H47" s="33">
        <v>34.849997999999999</v>
      </c>
      <c r="I47" s="35">
        <v>2.0086084366489859E-3</v>
      </c>
      <c r="J47" s="33">
        <v>37.650002000000001</v>
      </c>
      <c r="K47" s="35">
        <v>-7.2510062549266285E-2</v>
      </c>
      <c r="L47" s="33">
        <v>34.315162999999998</v>
      </c>
      <c r="M47" s="35">
        <v>1.7625881596424336E-2</v>
      </c>
      <c r="N47" s="33">
        <v>28.499897000000001</v>
      </c>
      <c r="O47" s="36">
        <v>0.22526751587909244</v>
      </c>
    </row>
    <row r="48" spans="3:15" x14ac:dyDescent="0.45">
      <c r="C48" s="43" t="s">
        <v>253</v>
      </c>
      <c r="D48" s="43" t="s">
        <v>23</v>
      </c>
      <c r="E48" s="33">
        <v>91.669998000000007</v>
      </c>
      <c r="F48" s="33">
        <v>100.699997</v>
      </c>
      <c r="G48" s="34">
        <v>9.8505500131024201E-2</v>
      </c>
      <c r="H48" s="33">
        <v>99.120002999999997</v>
      </c>
      <c r="I48" s="35">
        <v>1.5940213399711047E-2</v>
      </c>
      <c r="J48" s="33">
        <v>95.529999000000004</v>
      </c>
      <c r="K48" s="35">
        <v>5.4119104512918424E-2</v>
      </c>
      <c r="L48" s="33">
        <v>86.358260999999999</v>
      </c>
      <c r="M48" s="35">
        <v>0.16607254284566936</v>
      </c>
      <c r="N48" s="33">
        <v>39.154468999999999</v>
      </c>
      <c r="O48" s="36">
        <v>1.5718647084704431</v>
      </c>
    </row>
    <row r="49" spans="3:15" x14ac:dyDescent="0.45">
      <c r="C49" s="43" t="s">
        <v>254</v>
      </c>
      <c r="D49" s="43" t="s">
        <v>255</v>
      </c>
      <c r="E49" s="33">
        <v>29.879999000000002</v>
      </c>
      <c r="F49" s="33">
        <v>30.68</v>
      </c>
      <c r="G49" s="34">
        <v>2.6773796076766877E-2</v>
      </c>
      <c r="H49" s="33">
        <v>29.719999000000001</v>
      </c>
      <c r="I49" s="35">
        <v>3.2301515218758868E-2</v>
      </c>
      <c r="J49" s="33">
        <v>29.790001</v>
      </c>
      <c r="K49" s="35">
        <v>2.9875762676208017E-2</v>
      </c>
      <c r="L49" s="33">
        <v>29.618734</v>
      </c>
      <c r="M49" s="35">
        <v>3.583090350856994E-2</v>
      </c>
      <c r="N49" s="33">
        <v>27.294933</v>
      </c>
      <c r="O49" s="36">
        <v>0.12401814651825668</v>
      </c>
    </row>
    <row r="50" spans="3:15" x14ac:dyDescent="0.45">
      <c r="C50" s="43" t="s">
        <v>256</v>
      </c>
      <c r="D50" s="43" t="s">
        <v>257</v>
      </c>
      <c r="E50" s="33">
        <v>28.91</v>
      </c>
      <c r="F50" s="33">
        <v>27.959999</v>
      </c>
      <c r="G50" s="34">
        <v>-3.2860636457973033E-2</v>
      </c>
      <c r="H50" s="33">
        <v>27.4</v>
      </c>
      <c r="I50" s="35">
        <v>2.0437919708029245E-2</v>
      </c>
      <c r="J50" s="33">
        <v>28.469999000000001</v>
      </c>
      <c r="K50" s="35">
        <v>-1.7913593885268544E-2</v>
      </c>
      <c r="L50" s="33">
        <v>27.894257</v>
      </c>
      <c r="M50" s="35">
        <v>2.3568292211547412E-3</v>
      </c>
      <c r="N50" s="33">
        <v>23.227523999999999</v>
      </c>
      <c r="O50" s="36">
        <v>0.20374427338876072</v>
      </c>
    </row>
    <row r="51" spans="3:15" x14ac:dyDescent="0.45">
      <c r="C51" s="43" t="s">
        <v>89</v>
      </c>
      <c r="D51" s="43" t="s">
        <v>89</v>
      </c>
      <c r="E51" s="33">
        <v>135.25528</v>
      </c>
      <c r="F51" s="33">
        <v>144.10000600000001</v>
      </c>
      <c r="G51" s="34">
        <v>6.5392833462767655E-2</v>
      </c>
      <c r="H51" s="33">
        <v>143.58000200000001</v>
      </c>
      <c r="I51" s="35">
        <v>3.6217021364855538E-3</v>
      </c>
      <c r="J51" s="33">
        <v>137.791077</v>
      </c>
      <c r="K51" s="35">
        <v>4.5786194123440996E-2</v>
      </c>
      <c r="L51" s="33">
        <v>135.82240300000001</v>
      </c>
      <c r="M51" s="35">
        <v>6.0944312699282743E-2</v>
      </c>
      <c r="N51" s="33">
        <v>114.447281</v>
      </c>
      <c r="O51" s="36">
        <v>0.25909505879829509</v>
      </c>
    </row>
    <row r="52" spans="3:15" x14ac:dyDescent="0.45">
      <c r="C52" s="43" t="s">
        <v>258</v>
      </c>
      <c r="D52" s="43" t="s">
        <v>259</v>
      </c>
      <c r="E52" s="33">
        <v>64.319999999999993</v>
      </c>
      <c r="F52" s="33">
        <v>66.110000999999997</v>
      </c>
      <c r="G52" s="34">
        <v>2.7829617537313493E-2</v>
      </c>
      <c r="H52" s="33">
        <v>64.739998</v>
      </c>
      <c r="I52" s="35">
        <v>2.116161634728498E-2</v>
      </c>
      <c r="J52" s="33">
        <v>65.650002000000001</v>
      </c>
      <c r="K52" s="35">
        <v>7.006839085854046E-3</v>
      </c>
      <c r="L52" s="33">
        <v>64.218506000000005</v>
      </c>
      <c r="M52" s="35">
        <v>2.9454048650711242E-2</v>
      </c>
      <c r="N52" s="33">
        <v>50.559223000000003</v>
      </c>
      <c r="O52" s="36">
        <v>0.3075754941882709</v>
      </c>
    </row>
    <row r="53" spans="3:15" x14ac:dyDescent="0.45">
      <c r="C53" s="43" t="s">
        <v>260</v>
      </c>
      <c r="D53" s="43" t="s">
        <v>261</v>
      </c>
      <c r="E53" s="33">
        <v>25.969999000000001</v>
      </c>
      <c r="F53" s="33">
        <v>26.67</v>
      </c>
      <c r="G53" s="34">
        <v>2.6954217441440807E-2</v>
      </c>
      <c r="H53" s="33">
        <v>26.450001</v>
      </c>
      <c r="I53" s="35">
        <v>8.3175422186184938E-3</v>
      </c>
      <c r="J53" s="33">
        <v>26.219999000000001</v>
      </c>
      <c r="K53" s="35">
        <v>1.7162510189264322E-2</v>
      </c>
      <c r="L53" s="33">
        <v>26.362234000000001</v>
      </c>
      <c r="M53" s="35">
        <v>1.1674503761707027E-2</v>
      </c>
      <c r="N53" s="33">
        <v>24.148199000000002</v>
      </c>
      <c r="O53" s="36">
        <v>0.10443018959716208</v>
      </c>
    </row>
    <row r="54" spans="3:15" x14ac:dyDescent="0.45">
      <c r="C54" s="43" t="s">
        <v>93</v>
      </c>
      <c r="D54" s="43" t="s">
        <v>17</v>
      </c>
      <c r="E54" s="33">
        <v>64.620002999999997</v>
      </c>
      <c r="F54" s="33">
        <v>69.099997999999999</v>
      </c>
      <c r="G54" s="34">
        <v>6.9328300712087593E-2</v>
      </c>
      <c r="H54" s="33">
        <v>68.510002</v>
      </c>
      <c r="I54" s="35">
        <v>8.6118228401160946E-3</v>
      </c>
      <c r="J54" s="33">
        <v>64.790001000000004</v>
      </c>
      <c r="K54" s="35">
        <v>6.6522564183939356E-2</v>
      </c>
      <c r="L54" s="33">
        <v>61.946201000000002</v>
      </c>
      <c r="M54" s="35">
        <v>0.11548403105462426</v>
      </c>
      <c r="N54" s="33">
        <v>38.786200999999998</v>
      </c>
      <c r="O54" s="36">
        <v>0.78156138571034584</v>
      </c>
    </row>
    <row r="55" spans="3:15" ht="14.65" thickBot="1" x14ac:dyDescent="0.5">
      <c r="C55" s="44" t="s">
        <v>262</v>
      </c>
      <c r="D55" s="44" t="s">
        <v>263</v>
      </c>
      <c r="E55" s="38">
        <v>38.630001</v>
      </c>
      <c r="F55" s="38">
        <v>40.650002000000001</v>
      </c>
      <c r="G55" s="39">
        <v>5.2290990103779716E-2</v>
      </c>
      <c r="H55" s="38">
        <v>39.939999</v>
      </c>
      <c r="I55" s="40">
        <v>1.77767405552514E-2</v>
      </c>
      <c r="J55" s="38">
        <v>39.119999</v>
      </c>
      <c r="K55" s="40">
        <v>3.9110507134726684E-2</v>
      </c>
      <c r="L55" s="38">
        <v>36.69717</v>
      </c>
      <c r="M55" s="40">
        <v>0.10771490008630095</v>
      </c>
      <c r="N55" s="38">
        <v>24.466363999999999</v>
      </c>
      <c r="O55" s="41">
        <v>0.66146477670323234</v>
      </c>
    </row>
  </sheetData>
  <mergeCells count="5">
    <mergeCell ref="E4:G4"/>
    <mergeCell ref="H4:I4"/>
    <mergeCell ref="J4:K4"/>
    <mergeCell ref="L4:M4"/>
    <mergeCell ref="N4:O4"/>
  </mergeCells>
  <conditionalFormatting sqref="G6:G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5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5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5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4F694-F9A0-40BF-8135-40D53F00F800}">
  <dimension ref="C4:O28"/>
  <sheetViews>
    <sheetView tabSelected="1" workbookViewId="0">
      <selection activeCell="E6" sqref="E6:O28"/>
    </sheetView>
  </sheetViews>
  <sheetFormatPr defaultColWidth="9.1328125" defaultRowHeight="14.25" x14ac:dyDescent="0.45"/>
  <cols>
    <col min="1" max="3" width="9.1328125" style="5"/>
    <col min="4" max="4" width="32.59765625" style="5" customWidth="1"/>
    <col min="5" max="15" width="11.3984375" style="5" customWidth="1"/>
    <col min="16" max="16384" width="9.1328125" style="5"/>
  </cols>
  <sheetData>
    <row r="4" spans="3:15" ht="14.65" thickBot="1" x14ac:dyDescent="0.5"/>
    <row r="5" spans="3:15" x14ac:dyDescent="0.45">
      <c r="E5" s="65" t="s">
        <v>107</v>
      </c>
      <c r="F5" s="66"/>
      <c r="G5" s="67"/>
      <c r="H5" s="65" t="s">
        <v>108</v>
      </c>
      <c r="I5" s="67"/>
      <c r="J5" s="65" t="s">
        <v>109</v>
      </c>
      <c r="K5" s="67"/>
      <c r="L5" s="65" t="s">
        <v>110</v>
      </c>
      <c r="M5" s="67"/>
      <c r="N5" s="65" t="s">
        <v>111</v>
      </c>
      <c r="O5" s="67"/>
    </row>
    <row r="6" spans="3:15" ht="14.65" thickBot="1" x14ac:dyDescent="0.5">
      <c r="E6" s="22">
        <v>43830</v>
      </c>
      <c r="F6" s="23" t="s">
        <v>112</v>
      </c>
      <c r="G6" s="24" t="s">
        <v>113</v>
      </c>
      <c r="H6" s="25">
        <v>43865</v>
      </c>
      <c r="I6" s="26" t="s">
        <v>113</v>
      </c>
      <c r="J6" s="25">
        <v>43843</v>
      </c>
      <c r="K6" s="26" t="s">
        <v>113</v>
      </c>
      <c r="L6" s="25">
        <v>43782</v>
      </c>
      <c r="M6" s="26" t="s">
        <v>113</v>
      </c>
      <c r="N6" s="25">
        <v>42047</v>
      </c>
      <c r="O6" s="26" t="s">
        <v>113</v>
      </c>
    </row>
    <row r="7" spans="3:15" x14ac:dyDescent="0.45">
      <c r="C7" s="42" t="s">
        <v>296</v>
      </c>
      <c r="D7" s="42" t="s">
        <v>297</v>
      </c>
      <c r="E7" s="28">
        <v>40.93</v>
      </c>
      <c r="F7" s="28">
        <v>39.290000999999997</v>
      </c>
      <c r="G7" s="29">
        <v>-4.0068385047642395E-2</v>
      </c>
      <c r="H7" s="28">
        <v>38.284999999999997</v>
      </c>
      <c r="I7" s="30">
        <v>2.6250515867833359E-2</v>
      </c>
      <c r="J7" s="28">
        <v>41.009998000000003</v>
      </c>
      <c r="K7" s="30">
        <v>-4.1940918894948651E-2</v>
      </c>
      <c r="L7" s="28">
        <v>41.400002000000001</v>
      </c>
      <c r="M7" s="30">
        <v>-5.0966205267333177E-2</v>
      </c>
      <c r="N7" s="28">
        <v>17.799999</v>
      </c>
      <c r="O7" s="31">
        <v>1.2073035509721095</v>
      </c>
    </row>
    <row r="8" spans="3:15" x14ac:dyDescent="0.45">
      <c r="C8" s="43" t="s">
        <v>252</v>
      </c>
      <c r="D8" s="43" t="s">
        <v>298</v>
      </c>
      <c r="E8" s="33">
        <v>37.709999000000003</v>
      </c>
      <c r="F8" s="33">
        <v>34.919998</v>
      </c>
      <c r="G8" s="34">
        <v>-7.3985708671061051E-2</v>
      </c>
      <c r="H8" s="33">
        <v>34.849997999999999</v>
      </c>
      <c r="I8" s="35">
        <v>2.0086084366489859E-3</v>
      </c>
      <c r="J8" s="33">
        <v>37.650002000000001</v>
      </c>
      <c r="K8" s="35">
        <v>-7.2510062549266285E-2</v>
      </c>
      <c r="L8" s="33">
        <v>34.315162999999998</v>
      </c>
      <c r="M8" s="35">
        <v>1.7625881596424336E-2</v>
      </c>
      <c r="N8" s="33">
        <v>28.499897000000001</v>
      </c>
      <c r="O8" s="36">
        <v>0.22526751587909244</v>
      </c>
    </row>
    <row r="9" spans="3:15" x14ac:dyDescent="0.45">
      <c r="C9" s="43" t="s">
        <v>211</v>
      </c>
      <c r="D9" s="43" t="s">
        <v>52</v>
      </c>
      <c r="E9" s="33">
        <v>9.89</v>
      </c>
      <c r="F9" s="33">
        <v>8.66</v>
      </c>
      <c r="G9" s="34">
        <v>-0.12436804853387264</v>
      </c>
      <c r="H9" s="33">
        <v>8.6199999999999992</v>
      </c>
      <c r="I9" s="35">
        <v>4.6403712296984832E-3</v>
      </c>
      <c r="J9" s="33">
        <v>10</v>
      </c>
      <c r="K9" s="35">
        <v>-0.13399999999999998</v>
      </c>
      <c r="L9" s="33">
        <v>9.815213</v>
      </c>
      <c r="M9" s="35">
        <v>-0.11769617225830961</v>
      </c>
      <c r="N9" s="33">
        <v>10.771534000000001</v>
      </c>
      <c r="O9" s="36">
        <v>-0.19602908926435181</v>
      </c>
    </row>
    <row r="10" spans="3:15" x14ac:dyDescent="0.45">
      <c r="C10" s="43" t="s">
        <v>299</v>
      </c>
      <c r="D10" s="43" t="s">
        <v>300</v>
      </c>
      <c r="E10" s="33">
        <v>41.740001999999997</v>
      </c>
      <c r="F10" s="33">
        <v>32.669998</v>
      </c>
      <c r="G10" s="34">
        <v>-0.21729764172028546</v>
      </c>
      <c r="H10" s="33">
        <v>31.792998999999998</v>
      </c>
      <c r="I10" s="35">
        <v>2.7584657867601652E-2</v>
      </c>
      <c r="J10" s="33">
        <v>37.32</v>
      </c>
      <c r="K10" s="35">
        <v>-0.12459812433011791</v>
      </c>
      <c r="L10" s="33">
        <v>35.790000999999997</v>
      </c>
      <c r="M10" s="35">
        <v>-8.7175269986720511E-2</v>
      </c>
      <c r="N10" s="33">
        <v>29.83</v>
      </c>
      <c r="O10" s="36">
        <v>9.5206101240362107E-2</v>
      </c>
    </row>
    <row r="11" spans="3:15" x14ac:dyDescent="0.45">
      <c r="C11" s="43" t="s">
        <v>301</v>
      </c>
      <c r="D11" s="43" t="s">
        <v>101</v>
      </c>
      <c r="E11" s="33">
        <v>43.389999000000003</v>
      </c>
      <c r="F11" s="33">
        <v>40.018002000000003</v>
      </c>
      <c r="G11" s="34">
        <v>-7.7713691581325003E-2</v>
      </c>
      <c r="H11" s="33">
        <v>39.580002</v>
      </c>
      <c r="I11" s="35">
        <v>1.1066194488822977E-2</v>
      </c>
      <c r="J11" s="33">
        <v>44.207999999999998</v>
      </c>
      <c r="K11" s="35">
        <v>-9.4779180238870692E-2</v>
      </c>
      <c r="L11" s="33">
        <v>40.950001</v>
      </c>
      <c r="M11" s="35">
        <v>-2.2759437783652255E-2</v>
      </c>
      <c r="N11" s="33">
        <v>31.049999</v>
      </c>
      <c r="O11" s="36">
        <v>0.28882458257084009</v>
      </c>
    </row>
    <row r="12" spans="3:15" x14ac:dyDescent="0.45">
      <c r="C12" s="43" t="s">
        <v>302</v>
      </c>
      <c r="D12" s="43" t="s">
        <v>303</v>
      </c>
      <c r="E12" s="33">
        <v>14.8</v>
      </c>
      <c r="F12" s="33">
        <v>14.35</v>
      </c>
      <c r="G12" s="34">
        <v>-3.0405405405405476E-2</v>
      </c>
      <c r="H12" s="33">
        <v>14.46</v>
      </c>
      <c r="I12" s="35">
        <v>-7.6071922544952422E-3</v>
      </c>
      <c r="J12" s="33">
        <v>14.85</v>
      </c>
      <c r="K12" s="35">
        <v>-3.3670033670033669E-2</v>
      </c>
      <c r="L12" s="33">
        <v>14.66</v>
      </c>
      <c r="M12" s="35">
        <v>-2.114597544338339E-2</v>
      </c>
      <c r="N12" s="33">
        <v>25.690000999999999</v>
      </c>
      <c r="O12" s="36">
        <v>-0.44141691547618078</v>
      </c>
    </row>
    <row r="13" spans="3:15" x14ac:dyDescent="0.45">
      <c r="C13" s="43" t="s">
        <v>304</v>
      </c>
      <c r="D13" s="43" t="s">
        <v>305</v>
      </c>
      <c r="E13" s="33">
        <v>41.104999999999997</v>
      </c>
      <c r="F13" s="33">
        <v>40.790000999999997</v>
      </c>
      <c r="G13" s="34">
        <v>-7.6632769736041913E-3</v>
      </c>
      <c r="H13" s="33">
        <v>40.270000000000003</v>
      </c>
      <c r="I13" s="35">
        <v>1.2912863173578183E-2</v>
      </c>
      <c r="J13" s="33">
        <v>42.595001000000003</v>
      </c>
      <c r="K13" s="35">
        <v>-4.2375864717082802E-2</v>
      </c>
      <c r="L13" s="33">
        <v>39.290000999999997</v>
      </c>
      <c r="M13" s="35">
        <v>3.8177652375218828E-2</v>
      </c>
      <c r="N13" s="33">
        <v>42.799999</v>
      </c>
      <c r="O13" s="36">
        <v>-4.6962571190714349E-2</v>
      </c>
    </row>
    <row r="14" spans="3:15" x14ac:dyDescent="0.45">
      <c r="C14" s="43" t="s">
        <v>306</v>
      </c>
      <c r="D14" s="43" t="s">
        <v>307</v>
      </c>
      <c r="E14" s="33">
        <v>32.360000999999997</v>
      </c>
      <c r="F14" s="33">
        <v>28.82</v>
      </c>
      <c r="G14" s="34">
        <v>-0.10939434148966797</v>
      </c>
      <c r="H14" s="33">
        <v>27.370000999999998</v>
      </c>
      <c r="I14" s="35">
        <v>5.2977674352295487E-2</v>
      </c>
      <c r="J14" s="33">
        <v>31.719999000000001</v>
      </c>
      <c r="K14" s="35">
        <v>-9.1424939830546684E-2</v>
      </c>
      <c r="L14" s="33">
        <v>31.27</v>
      </c>
      <c r="M14" s="35">
        <v>-7.8349856092101031E-2</v>
      </c>
      <c r="N14" s="33">
        <v>35.939999</v>
      </c>
      <c r="O14" s="36">
        <v>-0.19810793539532373</v>
      </c>
    </row>
    <row r="15" spans="3:15" x14ac:dyDescent="0.45">
      <c r="C15" s="43" t="s">
        <v>69</v>
      </c>
      <c r="D15" s="43" t="s">
        <v>98</v>
      </c>
      <c r="E15" s="33">
        <v>142.89999399999999</v>
      </c>
      <c r="F15" s="33">
        <v>147.66000399999999</v>
      </c>
      <c r="G15" s="34">
        <v>3.3310078375510602E-2</v>
      </c>
      <c r="H15" s="33">
        <v>146.429993</v>
      </c>
      <c r="I15" s="35">
        <v>8.399993572355019E-3</v>
      </c>
      <c r="J15" s="33">
        <v>145.820007</v>
      </c>
      <c r="K15" s="35">
        <v>1.2618275350926177E-2</v>
      </c>
      <c r="L15" s="33">
        <v>137.979996</v>
      </c>
      <c r="M15" s="35">
        <v>7.0155154954490553E-2</v>
      </c>
      <c r="N15" s="33">
        <v>117.339996</v>
      </c>
      <c r="O15" s="36">
        <v>0.25839448639490314</v>
      </c>
    </row>
    <row r="16" spans="3:15" x14ac:dyDescent="0.45">
      <c r="C16" s="43" t="s">
        <v>308</v>
      </c>
      <c r="D16" s="43" t="s">
        <v>309</v>
      </c>
      <c r="E16" s="33">
        <v>46.150002000000001</v>
      </c>
      <c r="F16" s="33">
        <v>44.220001000000003</v>
      </c>
      <c r="G16" s="34">
        <v>-4.1820171535420454E-2</v>
      </c>
      <c r="H16" s="33">
        <v>44.459999000000003</v>
      </c>
      <c r="I16" s="35">
        <v>-5.398065798427029E-3</v>
      </c>
      <c r="J16" s="33">
        <v>46.084999000000003</v>
      </c>
      <c r="K16" s="35">
        <v>-4.0468656622950121E-2</v>
      </c>
      <c r="L16" s="33">
        <v>44.375</v>
      </c>
      <c r="M16" s="35">
        <v>-3.4929352112675282E-3</v>
      </c>
      <c r="N16" s="33">
        <v>36.110000999999997</v>
      </c>
      <c r="O16" s="36">
        <v>0.22459151967345575</v>
      </c>
    </row>
    <row r="17" spans="3:15" x14ac:dyDescent="0.45">
      <c r="C17" s="43" t="s">
        <v>310</v>
      </c>
      <c r="D17" s="43" t="s">
        <v>311</v>
      </c>
      <c r="E17" s="33">
        <v>22.84</v>
      </c>
      <c r="F17" s="33">
        <v>20.77</v>
      </c>
      <c r="G17" s="34">
        <v>-9.0630472854641E-2</v>
      </c>
      <c r="H17" s="33">
        <v>20.66</v>
      </c>
      <c r="I17" s="35">
        <v>5.3242981606969712E-3</v>
      </c>
      <c r="J17" s="33">
        <v>22.66</v>
      </c>
      <c r="K17" s="35">
        <v>-8.3406884377758186E-2</v>
      </c>
      <c r="L17" s="33">
        <v>22.26</v>
      </c>
      <c r="M17" s="35">
        <v>-6.6936208445642492E-2</v>
      </c>
      <c r="N17" s="33">
        <v>29.299999</v>
      </c>
      <c r="O17" s="36">
        <v>-0.29112625566983807</v>
      </c>
    </row>
    <row r="18" spans="3:15" x14ac:dyDescent="0.45">
      <c r="C18" s="43" t="s">
        <v>312</v>
      </c>
      <c r="D18" s="43" t="s">
        <v>313</v>
      </c>
      <c r="E18" s="33">
        <v>45.830002</v>
      </c>
      <c r="F18" s="33">
        <v>40.650002000000001</v>
      </c>
      <c r="G18" s="34">
        <v>-0.11302639698771996</v>
      </c>
      <c r="H18" s="33">
        <v>41.209999000000003</v>
      </c>
      <c r="I18" s="35">
        <v>-1.3588862256463601E-2</v>
      </c>
      <c r="J18" s="33">
        <v>44.884998000000003</v>
      </c>
      <c r="K18" s="35">
        <v>-9.4352148573115718E-2</v>
      </c>
      <c r="L18" s="33">
        <v>46.09</v>
      </c>
      <c r="M18" s="35">
        <v>-0.11802989802560214</v>
      </c>
      <c r="N18" s="33">
        <v>26.24</v>
      </c>
      <c r="O18" s="36">
        <v>0.54916166158536595</v>
      </c>
    </row>
    <row r="19" spans="3:15" x14ac:dyDescent="0.45">
      <c r="C19" s="43" t="s">
        <v>314</v>
      </c>
      <c r="D19" s="43" t="s">
        <v>315</v>
      </c>
      <c r="E19" s="33">
        <v>16.860001</v>
      </c>
      <c r="F19" s="33">
        <v>14.03</v>
      </c>
      <c r="G19" s="34">
        <v>-0.16785295564335975</v>
      </c>
      <c r="H19" s="33">
        <v>14.65</v>
      </c>
      <c r="I19" s="35">
        <v>-4.2320819112628055E-2</v>
      </c>
      <c r="J19" s="33">
        <v>16.940000999999999</v>
      </c>
      <c r="K19" s="35">
        <v>-0.17178281158306896</v>
      </c>
      <c r="L19" s="33">
        <v>21.059999000000001</v>
      </c>
      <c r="M19" s="35">
        <v>-0.33380813550845856</v>
      </c>
      <c r="N19" s="33">
        <v>55.52</v>
      </c>
      <c r="O19" s="36">
        <v>-0.74729827089337175</v>
      </c>
    </row>
    <row r="20" spans="3:15" x14ac:dyDescent="0.45">
      <c r="C20" s="43" t="s">
        <v>316</v>
      </c>
      <c r="D20" s="43" t="s">
        <v>317</v>
      </c>
      <c r="E20" s="33">
        <v>56.869999</v>
      </c>
      <c r="F20" s="33">
        <v>52.966999000000001</v>
      </c>
      <c r="G20" s="34">
        <v>-6.8630210455955853E-2</v>
      </c>
      <c r="H20" s="33">
        <v>52.095001000000003</v>
      </c>
      <c r="I20" s="35">
        <v>1.6738611829568786E-2</v>
      </c>
      <c r="J20" s="33">
        <v>56.709999000000003</v>
      </c>
      <c r="K20" s="35">
        <v>-6.6002469864265056E-2</v>
      </c>
      <c r="L20" s="33">
        <v>62.169998</v>
      </c>
      <c r="M20" s="35">
        <v>-0.1480295849454587</v>
      </c>
      <c r="N20" s="33">
        <v>19.280000999999999</v>
      </c>
      <c r="O20" s="36">
        <v>1.747250842984915</v>
      </c>
    </row>
    <row r="21" spans="3:15" x14ac:dyDescent="0.45">
      <c r="C21" s="43" t="s">
        <v>90</v>
      </c>
      <c r="D21" s="43" t="s">
        <v>318</v>
      </c>
      <c r="E21" s="33">
        <v>12.81</v>
      </c>
      <c r="F21" s="33">
        <v>10.5</v>
      </c>
      <c r="G21" s="34">
        <v>-0.18032786885245905</v>
      </c>
      <c r="H21" s="33">
        <v>10.44</v>
      </c>
      <c r="I21" s="35">
        <v>5.7471264367816568E-3</v>
      </c>
      <c r="J21" s="33">
        <v>12.2</v>
      </c>
      <c r="K21" s="35">
        <v>-0.13934426229508193</v>
      </c>
      <c r="L21" s="33">
        <v>11.96</v>
      </c>
      <c r="M21" s="35">
        <v>-0.12207357859531778</v>
      </c>
      <c r="N21" s="33">
        <v>19.18</v>
      </c>
      <c r="O21" s="36">
        <v>-0.45255474452554745</v>
      </c>
    </row>
    <row r="22" spans="3:15" x14ac:dyDescent="0.45">
      <c r="C22" s="43" t="s">
        <v>319</v>
      </c>
      <c r="D22" s="43" t="s">
        <v>320</v>
      </c>
      <c r="E22" s="33">
        <v>183.259995</v>
      </c>
      <c r="F22" s="33">
        <v>221.41000399999999</v>
      </c>
      <c r="G22" s="34">
        <v>0.20817423355271827</v>
      </c>
      <c r="H22" s="33">
        <v>230.979996</v>
      </c>
      <c r="I22" s="35">
        <v>-4.1432124710920913E-2</v>
      </c>
      <c r="J22" s="33">
        <v>200.479996</v>
      </c>
      <c r="K22" s="35">
        <v>0.10439948332800239</v>
      </c>
      <c r="L22" s="33">
        <v>161.009995</v>
      </c>
      <c r="M22" s="35">
        <v>0.37513204692665186</v>
      </c>
      <c r="N22" s="33">
        <v>75.239998</v>
      </c>
      <c r="O22" s="36">
        <v>1.9427167714704086</v>
      </c>
    </row>
    <row r="23" spans="3:15" x14ac:dyDescent="0.45">
      <c r="C23" s="43" t="s">
        <v>87</v>
      </c>
      <c r="D23" s="43" t="s">
        <v>116</v>
      </c>
      <c r="E23" s="33">
        <v>321.85998499999999</v>
      </c>
      <c r="F23" s="33">
        <v>335.26001000000002</v>
      </c>
      <c r="G23" s="34">
        <v>4.1633087753981064E-2</v>
      </c>
      <c r="H23" s="33">
        <v>329.05999800000001</v>
      </c>
      <c r="I23" s="35">
        <v>1.8841585235772156E-2</v>
      </c>
      <c r="J23" s="33">
        <v>327.95001200000002</v>
      </c>
      <c r="K23" s="35">
        <v>2.2289976315048914E-2</v>
      </c>
      <c r="L23" s="33">
        <v>307.587738</v>
      </c>
      <c r="M23" s="35">
        <v>8.9965458896154107E-2</v>
      </c>
      <c r="N23" s="33">
        <v>189.32193000000001</v>
      </c>
      <c r="O23" s="36">
        <v>0.77084614550464392</v>
      </c>
    </row>
    <row r="24" spans="3:15" x14ac:dyDescent="0.45">
      <c r="C24" s="43" t="s">
        <v>245</v>
      </c>
      <c r="D24" s="43" t="s">
        <v>103</v>
      </c>
      <c r="E24" s="33">
        <v>16.68</v>
      </c>
      <c r="F24" s="33">
        <v>16.48</v>
      </c>
      <c r="G24" s="34">
        <v>-1.199040767386087E-2</v>
      </c>
      <c r="H24" s="33">
        <v>16.450001</v>
      </c>
      <c r="I24" s="35">
        <v>1.8236473055533618E-3</v>
      </c>
      <c r="J24" s="33">
        <v>16.780000999999999</v>
      </c>
      <c r="K24" s="35">
        <v>-1.7878485227742134E-2</v>
      </c>
      <c r="L24" s="33">
        <v>15.83</v>
      </c>
      <c r="M24" s="35">
        <v>4.1061276058117518E-2</v>
      </c>
      <c r="N24" s="33">
        <v>16.149999999999999</v>
      </c>
      <c r="O24" s="36">
        <v>2.0433436532507857E-2</v>
      </c>
    </row>
    <row r="25" spans="3:15" x14ac:dyDescent="0.45">
      <c r="C25" s="43" t="s">
        <v>321</v>
      </c>
      <c r="D25" s="43" t="s">
        <v>322</v>
      </c>
      <c r="E25" s="33">
        <v>15.83</v>
      </c>
      <c r="F25" s="33">
        <v>14.73</v>
      </c>
      <c r="G25" s="34">
        <v>-6.9488313329121892E-2</v>
      </c>
      <c r="H25" s="33">
        <v>14.71</v>
      </c>
      <c r="I25" s="35">
        <v>1.3596193065941245E-3</v>
      </c>
      <c r="J25" s="33">
        <v>15.63</v>
      </c>
      <c r="K25" s="35">
        <v>-5.758157389635319E-2</v>
      </c>
      <c r="L25" s="33">
        <v>15.47</v>
      </c>
      <c r="M25" s="35">
        <v>-4.7834518422753727E-2</v>
      </c>
      <c r="N25" s="33">
        <v>19.829999999999998</v>
      </c>
      <c r="O25" s="36">
        <v>-0.25718608169440232</v>
      </c>
    </row>
    <row r="26" spans="3:15" x14ac:dyDescent="0.45">
      <c r="C26" s="43" t="s">
        <v>323</v>
      </c>
      <c r="D26" s="43" t="s">
        <v>324</v>
      </c>
      <c r="E26" s="33">
        <v>42.178001000000002</v>
      </c>
      <c r="F26" s="33">
        <v>48.099997999999999</v>
      </c>
      <c r="G26" s="34">
        <v>0.14040487599210777</v>
      </c>
      <c r="H26" s="33">
        <v>46.044998</v>
      </c>
      <c r="I26" s="35">
        <v>4.4630254951905951E-2</v>
      </c>
      <c r="J26" s="33">
        <v>44.544998</v>
      </c>
      <c r="K26" s="35">
        <v>7.9806940388682912E-2</v>
      </c>
      <c r="L26" s="33">
        <v>40.240001999999997</v>
      </c>
      <c r="M26" s="35">
        <v>0.19532792269741941</v>
      </c>
      <c r="N26" s="33">
        <v>37.840000000000003</v>
      </c>
      <c r="O26" s="36">
        <v>0.27114159619450307</v>
      </c>
    </row>
    <row r="27" spans="3:15" x14ac:dyDescent="0.45">
      <c r="C27" s="43" t="s">
        <v>325</v>
      </c>
      <c r="D27" s="43" t="s">
        <v>326</v>
      </c>
      <c r="E27" s="33">
        <v>5.85</v>
      </c>
      <c r="F27" s="33">
        <v>5.62</v>
      </c>
      <c r="G27" s="34">
        <v>-3.9316239316239239E-2</v>
      </c>
      <c r="H27" s="33">
        <v>5.74</v>
      </c>
      <c r="I27" s="35">
        <v>-2.0905923344947754E-2</v>
      </c>
      <c r="J27" s="33">
        <v>5.86</v>
      </c>
      <c r="K27" s="35">
        <v>-4.095563139931744E-2</v>
      </c>
      <c r="L27" s="33">
        <v>5.42</v>
      </c>
      <c r="M27" s="35">
        <v>3.6900369003690071E-2</v>
      </c>
      <c r="N27" s="33">
        <v>11.12</v>
      </c>
      <c r="O27" s="36">
        <v>-0.49460431654676257</v>
      </c>
    </row>
    <row r="28" spans="3:15" ht="14.65" thickBot="1" x14ac:dyDescent="0.5">
      <c r="C28" s="44" t="s">
        <v>327</v>
      </c>
      <c r="D28" s="44" t="s">
        <v>328</v>
      </c>
      <c r="E28" s="38">
        <v>67</v>
      </c>
      <c r="F28" s="38">
        <v>64.440002000000007</v>
      </c>
      <c r="G28" s="39">
        <v>-3.8208925373134223E-2</v>
      </c>
      <c r="H28" s="38">
        <v>63.41</v>
      </c>
      <c r="I28" s="40">
        <v>1.6243526257688226E-2</v>
      </c>
      <c r="J28" s="38">
        <v>66.5</v>
      </c>
      <c r="K28" s="40">
        <v>-3.0977413533834482E-2</v>
      </c>
      <c r="L28" s="38">
        <v>64.854827999999998</v>
      </c>
      <c r="M28" s="40">
        <v>-6.3962238863695823E-3</v>
      </c>
      <c r="N28" s="38">
        <v>51.444721000000001</v>
      </c>
      <c r="O28" s="41">
        <v>0.25260669603009422</v>
      </c>
    </row>
  </sheetData>
  <mergeCells count="5">
    <mergeCell ref="E5:G5"/>
    <mergeCell ref="H5:I5"/>
    <mergeCell ref="J5:K5"/>
    <mergeCell ref="L5:M5"/>
    <mergeCell ref="N5:O5"/>
  </mergeCells>
  <conditionalFormatting sqref="G7:G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2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2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2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Europe ETF</vt:lpstr>
      <vt:lpstr>Market Cap + Growth vs Value</vt:lpstr>
      <vt:lpstr>Countries ETF</vt:lpstr>
      <vt:lpstr>Industries ETF</vt:lpstr>
      <vt:lpstr>Commodities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markj</cp:lastModifiedBy>
  <dcterms:created xsi:type="dcterms:W3CDTF">2018-07-12T06:25:51Z</dcterms:created>
  <dcterms:modified xsi:type="dcterms:W3CDTF">2021-10-23T05:30:00Z</dcterms:modified>
</cp:coreProperties>
</file>