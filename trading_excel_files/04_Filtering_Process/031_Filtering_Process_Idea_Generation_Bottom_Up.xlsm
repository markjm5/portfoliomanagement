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4_Filtering_Process/"/>
    </mc:Choice>
  </mc:AlternateContent>
  <xr:revisionPtr revIDLastSave="0" documentId="13_ncr:1_{C16DF89A-4F46-5B4D-B18C-05D20D092540}" xr6:coauthVersionLast="47" xr6:coauthVersionMax="47" xr10:uidLastSave="{00000000-0000-0000-0000-000000000000}"/>
  <bookViews>
    <workbookView xWindow="-45980" yWindow="2920" windowWidth="28800" windowHeight="17500" activeTab="4" xr2:uid="{00000000-000D-0000-FFFF-FFFF00000000}"/>
  </bookViews>
  <sheets>
    <sheet name="Note" sheetId="1" r:id="rId1"/>
    <sheet name="Spin Off" sheetId="2" r:id="rId2"/>
    <sheet name="Economic Calendar" sheetId="3" r:id="rId3"/>
    <sheet name="Earnings Calendar OLD" sheetId="4" r:id="rId4"/>
    <sheet name="Earnings Calendar" sheetId="5" r:id="rId5"/>
    <sheet name="FCF year" sheetId="6" r:id="rId6"/>
    <sheet name="Earnings" sheetId="7" r:id="rId7"/>
    <sheet name="Sales" sheetId="8" r:id="rId8"/>
    <sheet name="ROE" sheetId="9" r:id="rId9"/>
    <sheet name="AAII" sheetId="10" r:id="rId10"/>
  </sheets>
  <functionGroups builtInGroupCount="19"/>
  <definedNames>
    <definedName name="_xlnm._FilterDatabase" localSheetId="6" hidden="1">Earnings!$D$4:$K$487</definedName>
    <definedName name="_xlnm._FilterDatabase" localSheetId="3" hidden="1">'Earnings Calendar OLD'!$B$8:$F$8</definedName>
    <definedName name="_xlnm._FilterDatabase" localSheetId="8" hidden="1">ROE!$B$2:$C$2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686" i="10" l="1"/>
  <c r="U1686" i="10" s="1"/>
  <c r="R1686" i="10"/>
  <c r="T1686" i="10" s="1"/>
  <c r="P1686" i="10"/>
  <c r="O1686" i="10"/>
  <c r="N1686" i="10"/>
  <c r="S1685" i="10"/>
  <c r="U1685" i="10" s="1"/>
  <c r="R1685" i="10"/>
  <c r="T1685" i="10" s="1"/>
  <c r="P1685" i="10"/>
  <c r="O1685" i="10"/>
  <c r="N1685" i="10"/>
  <c r="S1684" i="10"/>
  <c r="U1684" i="10" s="1"/>
  <c r="R1684" i="10"/>
  <c r="T1684" i="10" s="1"/>
  <c r="P1684" i="10"/>
  <c r="O1684" i="10"/>
  <c r="N1684" i="10"/>
  <c r="S1683" i="10"/>
  <c r="U1683" i="10" s="1"/>
  <c r="R1683" i="10"/>
  <c r="T1683" i="10" s="1"/>
  <c r="P1683" i="10"/>
  <c r="O1683" i="10"/>
  <c r="N1683" i="10"/>
  <c r="S1682" i="10"/>
  <c r="U1682" i="10" s="1"/>
  <c r="R1682" i="10"/>
  <c r="T1682" i="10" s="1"/>
  <c r="P1682" i="10"/>
  <c r="O1682" i="10"/>
  <c r="N1682" i="10"/>
  <c r="S1681" i="10"/>
  <c r="U1681" i="10" s="1"/>
  <c r="R1681" i="10"/>
  <c r="T1681" i="10" s="1"/>
  <c r="P1681" i="10"/>
  <c r="Q1684" i="10" s="1"/>
  <c r="O1681" i="10"/>
  <c r="N1681" i="10"/>
  <c r="S1680" i="10"/>
  <c r="U1680" i="10" s="1"/>
  <c r="R1680" i="10"/>
  <c r="T1680" i="10" s="1"/>
  <c r="P1680" i="10"/>
  <c r="O1680" i="10"/>
  <c r="N1680" i="10"/>
  <c r="S1679" i="10"/>
  <c r="U1679" i="10" s="1"/>
  <c r="R1679" i="10"/>
  <c r="T1679" i="10" s="1"/>
  <c r="P1679" i="10"/>
  <c r="Q1682" i="10" s="1"/>
  <c r="O1679" i="10"/>
  <c r="N1679" i="10"/>
  <c r="S1678" i="10"/>
  <c r="U1678" i="10" s="1"/>
  <c r="R1678" i="10"/>
  <c r="T1678" i="10" s="1"/>
  <c r="P1678" i="10"/>
  <c r="O1678" i="10"/>
  <c r="N1678" i="10"/>
  <c r="S1677" i="10"/>
  <c r="U1677" i="10" s="1"/>
  <c r="R1677" i="10"/>
  <c r="T1677" i="10" s="1"/>
  <c r="P1677" i="10"/>
  <c r="Q1680" i="10" s="1"/>
  <c r="O1677" i="10"/>
  <c r="N1677" i="10"/>
  <c r="S1676" i="10"/>
  <c r="U1676" i="10" s="1"/>
  <c r="R1676" i="10"/>
  <c r="T1676" i="10" s="1"/>
  <c r="P1676" i="10"/>
  <c r="Q1679" i="10" s="1"/>
  <c r="O1676" i="10"/>
  <c r="N1676" i="10"/>
  <c r="S1675" i="10"/>
  <c r="U1675" i="10" s="1"/>
  <c r="R1675" i="10"/>
  <c r="T1675" i="10" s="1"/>
  <c r="P1675" i="10"/>
  <c r="Q1678" i="10" s="1"/>
  <c r="O1675" i="10"/>
  <c r="N1675" i="10"/>
  <c r="S1674" i="10"/>
  <c r="U1674" i="10" s="1"/>
  <c r="R1674" i="10"/>
  <c r="T1674" i="10" s="1"/>
  <c r="P1674" i="10"/>
  <c r="O1674" i="10"/>
  <c r="N1674" i="10"/>
  <c r="S1673" i="10"/>
  <c r="U1673" i="10" s="1"/>
  <c r="R1673" i="10"/>
  <c r="T1673" i="10" s="1"/>
  <c r="P1673" i="10"/>
  <c r="Q1676" i="10" s="1"/>
  <c r="O1673" i="10"/>
  <c r="N1673" i="10"/>
  <c r="S1672" i="10"/>
  <c r="U1672" i="10" s="1"/>
  <c r="R1672" i="10"/>
  <c r="T1672" i="10" s="1"/>
  <c r="P1672" i="10"/>
  <c r="Q1675" i="10" s="1"/>
  <c r="O1672" i="10"/>
  <c r="N1672" i="10"/>
  <c r="S1671" i="10"/>
  <c r="U1671" i="10" s="1"/>
  <c r="R1671" i="10"/>
  <c r="T1671" i="10" s="1"/>
  <c r="P1671" i="10"/>
  <c r="Q1674" i="10" s="1"/>
  <c r="O1671" i="10"/>
  <c r="N1671" i="10"/>
  <c r="S1670" i="10"/>
  <c r="U1670" i="10" s="1"/>
  <c r="R1670" i="10"/>
  <c r="T1670" i="10" s="1"/>
  <c r="P1670" i="10"/>
  <c r="Q1673" i="10" s="1"/>
  <c r="O1670" i="10"/>
  <c r="N1670" i="10"/>
  <c r="S1669" i="10"/>
  <c r="U1669" i="10" s="1"/>
  <c r="R1669" i="10"/>
  <c r="T1669" i="10" s="1"/>
  <c r="P1669" i="10"/>
  <c r="Q1672" i="10" s="1"/>
  <c r="O1669" i="10"/>
  <c r="N1669" i="10"/>
  <c r="S1668" i="10"/>
  <c r="U1668" i="10" s="1"/>
  <c r="R1668" i="10"/>
  <c r="T1668" i="10" s="1"/>
  <c r="P1668" i="10"/>
  <c r="Q1671" i="10" s="1"/>
  <c r="O1668" i="10"/>
  <c r="N1668" i="10"/>
  <c r="S1667" i="10"/>
  <c r="U1667" i="10" s="1"/>
  <c r="R1667" i="10"/>
  <c r="T1667" i="10" s="1"/>
  <c r="P1667" i="10"/>
  <c r="Q1670" i="10" s="1"/>
  <c r="O1667" i="10"/>
  <c r="N1667" i="10"/>
  <c r="S1666" i="10"/>
  <c r="U1666" i="10" s="1"/>
  <c r="R1666" i="10"/>
  <c r="T1666" i="10" s="1"/>
  <c r="P1666" i="10"/>
  <c r="Q1669" i="10" s="1"/>
  <c r="O1666" i="10"/>
  <c r="N1666" i="10"/>
  <c r="S1665" i="10"/>
  <c r="U1665" i="10" s="1"/>
  <c r="R1665" i="10"/>
  <c r="T1665" i="10" s="1"/>
  <c r="P1665" i="10"/>
  <c r="Q1668" i="10" s="1"/>
  <c r="O1665" i="10"/>
  <c r="N1665" i="10"/>
  <c r="S1664" i="10"/>
  <c r="U1664" i="10" s="1"/>
  <c r="R1664" i="10"/>
  <c r="T1664" i="10" s="1"/>
  <c r="P1664" i="10"/>
  <c r="Q1667" i="10" s="1"/>
  <c r="O1664" i="10"/>
  <c r="N1664" i="10"/>
  <c r="S1663" i="10"/>
  <c r="U1663" i="10" s="1"/>
  <c r="R1663" i="10"/>
  <c r="T1663" i="10" s="1"/>
  <c r="P1663" i="10"/>
  <c r="Q1666" i="10" s="1"/>
  <c r="O1663" i="10"/>
  <c r="N1663" i="10"/>
  <c r="S1662" i="10"/>
  <c r="U1662" i="10" s="1"/>
  <c r="R1662" i="10"/>
  <c r="T1662" i="10" s="1"/>
  <c r="P1662" i="10"/>
  <c r="Q1665" i="10" s="1"/>
  <c r="O1662" i="10"/>
  <c r="N1662" i="10"/>
  <c r="S1661" i="10"/>
  <c r="U1661" i="10" s="1"/>
  <c r="R1661" i="10"/>
  <c r="T1661" i="10" s="1"/>
  <c r="P1661" i="10"/>
  <c r="Q1664" i="10" s="1"/>
  <c r="O1661" i="10"/>
  <c r="N1661" i="10"/>
  <c r="S1660" i="10"/>
  <c r="U1660" i="10" s="1"/>
  <c r="R1660" i="10"/>
  <c r="T1660" i="10" s="1"/>
  <c r="P1660" i="10"/>
  <c r="Q1663" i="10" s="1"/>
  <c r="O1660" i="10"/>
  <c r="N1660" i="10"/>
  <c r="S1659" i="10"/>
  <c r="U1659" i="10" s="1"/>
  <c r="R1659" i="10"/>
  <c r="T1659" i="10" s="1"/>
  <c r="P1659" i="10"/>
  <c r="Q1662" i="10" s="1"/>
  <c r="O1659" i="10"/>
  <c r="N1659" i="10"/>
  <c r="S1658" i="10"/>
  <c r="U1658" i="10" s="1"/>
  <c r="R1658" i="10"/>
  <c r="T1658" i="10" s="1"/>
  <c r="P1658" i="10"/>
  <c r="Q1661" i="10" s="1"/>
  <c r="O1658" i="10"/>
  <c r="N1658" i="10"/>
  <c r="S1657" i="10"/>
  <c r="U1657" i="10" s="1"/>
  <c r="R1657" i="10"/>
  <c r="T1657" i="10" s="1"/>
  <c r="P1657" i="10"/>
  <c r="Q1660" i="10" s="1"/>
  <c r="O1657" i="10"/>
  <c r="N1657" i="10"/>
  <c r="S1656" i="10"/>
  <c r="U1656" i="10" s="1"/>
  <c r="R1656" i="10"/>
  <c r="T1656" i="10" s="1"/>
  <c r="P1656" i="10"/>
  <c r="Q1659" i="10" s="1"/>
  <c r="O1656" i="10"/>
  <c r="N1656" i="10"/>
  <c r="S1655" i="10"/>
  <c r="U1655" i="10" s="1"/>
  <c r="R1655" i="10"/>
  <c r="T1655" i="10" s="1"/>
  <c r="P1655" i="10"/>
  <c r="Q1658" i="10" s="1"/>
  <c r="O1655" i="10"/>
  <c r="N1655" i="10"/>
  <c r="S1654" i="10"/>
  <c r="U1654" i="10" s="1"/>
  <c r="R1654" i="10"/>
  <c r="T1654" i="10" s="1"/>
  <c r="P1654" i="10"/>
  <c r="Q1657" i="10" s="1"/>
  <c r="O1654" i="10"/>
  <c r="N1654" i="10"/>
  <c r="S1653" i="10"/>
  <c r="U1653" i="10" s="1"/>
  <c r="R1653" i="10"/>
  <c r="T1653" i="10" s="1"/>
  <c r="P1653" i="10"/>
  <c r="Q1656" i="10" s="1"/>
  <c r="O1653" i="10"/>
  <c r="N1653" i="10"/>
  <c r="S1652" i="10"/>
  <c r="U1652" i="10" s="1"/>
  <c r="R1652" i="10"/>
  <c r="T1652" i="10" s="1"/>
  <c r="P1652" i="10"/>
  <c r="Q1655" i="10" s="1"/>
  <c r="O1652" i="10"/>
  <c r="N1652" i="10"/>
  <c r="S1651" i="10"/>
  <c r="U1651" i="10" s="1"/>
  <c r="R1651" i="10"/>
  <c r="T1651" i="10" s="1"/>
  <c r="P1651" i="10"/>
  <c r="Q1654" i="10" s="1"/>
  <c r="O1651" i="10"/>
  <c r="N1651" i="10"/>
  <c r="S1650" i="10"/>
  <c r="U1650" i="10" s="1"/>
  <c r="R1650" i="10"/>
  <c r="T1650" i="10" s="1"/>
  <c r="P1650" i="10"/>
  <c r="Q1653" i="10" s="1"/>
  <c r="O1650" i="10"/>
  <c r="N1650" i="10"/>
  <c r="S1649" i="10"/>
  <c r="U1649" i="10" s="1"/>
  <c r="R1649" i="10"/>
  <c r="T1649" i="10" s="1"/>
  <c r="P1649" i="10"/>
  <c r="Q1652" i="10" s="1"/>
  <c r="O1649" i="10"/>
  <c r="N1649" i="10"/>
  <c r="S1648" i="10"/>
  <c r="U1648" i="10" s="1"/>
  <c r="R1648" i="10"/>
  <c r="T1648" i="10" s="1"/>
  <c r="P1648" i="10"/>
  <c r="Q1651" i="10" s="1"/>
  <c r="O1648" i="10"/>
  <c r="N1648" i="10"/>
  <c r="S1647" i="10"/>
  <c r="U1647" i="10" s="1"/>
  <c r="R1647" i="10"/>
  <c r="T1647" i="10" s="1"/>
  <c r="P1647" i="10"/>
  <c r="Q1650" i="10" s="1"/>
  <c r="O1647" i="10"/>
  <c r="N1647" i="10"/>
  <c r="S1646" i="10"/>
  <c r="U1646" i="10" s="1"/>
  <c r="R1646" i="10"/>
  <c r="T1646" i="10" s="1"/>
  <c r="P1646" i="10"/>
  <c r="Q1649" i="10" s="1"/>
  <c r="O1646" i="10"/>
  <c r="N1646" i="10"/>
  <c r="S1645" i="10"/>
  <c r="U1645" i="10" s="1"/>
  <c r="R1645" i="10"/>
  <c r="T1645" i="10" s="1"/>
  <c r="P1645" i="10"/>
  <c r="Q1648" i="10" s="1"/>
  <c r="O1645" i="10"/>
  <c r="N1645" i="10"/>
  <c r="S1644" i="10"/>
  <c r="U1644" i="10" s="1"/>
  <c r="R1644" i="10"/>
  <c r="T1644" i="10" s="1"/>
  <c r="P1644" i="10"/>
  <c r="Q1647" i="10" s="1"/>
  <c r="O1644" i="10"/>
  <c r="N1644" i="10"/>
  <c r="S1643" i="10"/>
  <c r="U1643" i="10" s="1"/>
  <c r="R1643" i="10"/>
  <c r="T1643" i="10" s="1"/>
  <c r="P1643" i="10"/>
  <c r="Q1646" i="10" s="1"/>
  <c r="O1643" i="10"/>
  <c r="N1643" i="10"/>
  <c r="S1642" i="10"/>
  <c r="U1642" i="10" s="1"/>
  <c r="R1642" i="10"/>
  <c r="T1642" i="10" s="1"/>
  <c r="P1642" i="10"/>
  <c r="Q1645" i="10" s="1"/>
  <c r="O1642" i="10"/>
  <c r="N1642" i="10"/>
  <c r="S1641" i="10"/>
  <c r="U1641" i="10" s="1"/>
  <c r="R1641" i="10"/>
  <c r="T1641" i="10" s="1"/>
  <c r="P1641" i="10"/>
  <c r="Q1644" i="10" s="1"/>
  <c r="O1641" i="10"/>
  <c r="N1641" i="10"/>
  <c r="S1640" i="10"/>
  <c r="U1640" i="10" s="1"/>
  <c r="R1640" i="10"/>
  <c r="T1640" i="10" s="1"/>
  <c r="P1640" i="10"/>
  <c r="Q1643" i="10" s="1"/>
  <c r="O1640" i="10"/>
  <c r="N1640" i="10"/>
  <c r="S1639" i="10"/>
  <c r="U1639" i="10" s="1"/>
  <c r="R1639" i="10"/>
  <c r="T1639" i="10" s="1"/>
  <c r="P1639" i="10"/>
  <c r="Q1642" i="10" s="1"/>
  <c r="O1639" i="10"/>
  <c r="N1639" i="10"/>
  <c r="S1638" i="10"/>
  <c r="U1638" i="10" s="1"/>
  <c r="R1638" i="10"/>
  <c r="T1638" i="10" s="1"/>
  <c r="P1638" i="10"/>
  <c r="Q1641" i="10" s="1"/>
  <c r="O1638" i="10"/>
  <c r="N1638" i="10"/>
  <c r="S1637" i="10"/>
  <c r="U1637" i="10" s="1"/>
  <c r="R1637" i="10"/>
  <c r="T1637" i="10" s="1"/>
  <c r="P1637" i="10"/>
  <c r="Q1640" i="10" s="1"/>
  <c r="O1637" i="10"/>
  <c r="N1637" i="10"/>
  <c r="S1636" i="10"/>
  <c r="U1636" i="10" s="1"/>
  <c r="R1636" i="10"/>
  <c r="T1636" i="10" s="1"/>
  <c r="P1636" i="10"/>
  <c r="Q1639" i="10" s="1"/>
  <c r="O1636" i="10"/>
  <c r="N1636" i="10"/>
  <c r="S1635" i="10"/>
  <c r="U1635" i="10" s="1"/>
  <c r="R1635" i="10"/>
  <c r="T1635" i="10" s="1"/>
  <c r="P1635" i="10"/>
  <c r="Q1638" i="10" s="1"/>
  <c r="O1635" i="10"/>
  <c r="N1635" i="10"/>
  <c r="S1634" i="10"/>
  <c r="U1634" i="10" s="1"/>
  <c r="R1634" i="10"/>
  <c r="T1634" i="10" s="1"/>
  <c r="P1634" i="10"/>
  <c r="Q1637" i="10" s="1"/>
  <c r="O1634" i="10"/>
  <c r="N1634" i="10"/>
  <c r="S1633" i="10"/>
  <c r="U1633" i="10" s="1"/>
  <c r="R1633" i="10"/>
  <c r="T1633" i="10" s="1"/>
  <c r="P1633" i="10"/>
  <c r="Q1636" i="10" s="1"/>
  <c r="O1633" i="10"/>
  <c r="N1633" i="10"/>
  <c r="S1632" i="10"/>
  <c r="U1632" i="10" s="1"/>
  <c r="R1632" i="10"/>
  <c r="T1632" i="10" s="1"/>
  <c r="P1632" i="10"/>
  <c r="Q1635" i="10" s="1"/>
  <c r="O1632" i="10"/>
  <c r="N1632" i="10"/>
  <c r="S1631" i="10"/>
  <c r="U1631" i="10" s="1"/>
  <c r="R1631" i="10"/>
  <c r="T1631" i="10" s="1"/>
  <c r="P1631" i="10"/>
  <c r="Q1634" i="10" s="1"/>
  <c r="O1631" i="10"/>
  <c r="N1631" i="10"/>
  <c r="S1630" i="10"/>
  <c r="U1630" i="10" s="1"/>
  <c r="R1630" i="10"/>
  <c r="T1630" i="10" s="1"/>
  <c r="P1630" i="10"/>
  <c r="Q1633" i="10" s="1"/>
  <c r="O1630" i="10"/>
  <c r="N1630" i="10"/>
  <c r="S1629" i="10"/>
  <c r="U1629" i="10" s="1"/>
  <c r="R1629" i="10"/>
  <c r="T1629" i="10" s="1"/>
  <c r="P1629" i="10"/>
  <c r="Q1632" i="10" s="1"/>
  <c r="O1629" i="10"/>
  <c r="N1629" i="10"/>
  <c r="S1628" i="10"/>
  <c r="U1628" i="10" s="1"/>
  <c r="R1628" i="10"/>
  <c r="T1628" i="10" s="1"/>
  <c r="P1628" i="10"/>
  <c r="O1628" i="10"/>
  <c r="N1628" i="10"/>
  <c r="S1627" i="10"/>
  <c r="U1627" i="10" s="1"/>
  <c r="R1627" i="10"/>
  <c r="T1627" i="10" s="1"/>
  <c r="P1627" i="10"/>
  <c r="O1627" i="10"/>
  <c r="N1627" i="10"/>
  <c r="S1626" i="10"/>
  <c r="U1626" i="10" s="1"/>
  <c r="R1626" i="10"/>
  <c r="T1626" i="10" s="1"/>
  <c r="P1626" i="10"/>
  <c r="Q1629" i="10" s="1"/>
  <c r="O1626" i="10"/>
  <c r="N1626" i="10"/>
  <c r="S1625" i="10"/>
  <c r="U1625" i="10" s="1"/>
  <c r="R1625" i="10"/>
  <c r="T1625" i="10" s="1"/>
  <c r="P1625" i="10"/>
  <c r="Q1628" i="10" s="1"/>
  <c r="O1625" i="10"/>
  <c r="N1625" i="10"/>
  <c r="S1624" i="10"/>
  <c r="U1624" i="10" s="1"/>
  <c r="R1624" i="10"/>
  <c r="T1624" i="10" s="1"/>
  <c r="P1624" i="10"/>
  <c r="O1624" i="10"/>
  <c r="N1624" i="10"/>
  <c r="S1623" i="10"/>
  <c r="U1623" i="10" s="1"/>
  <c r="R1623" i="10"/>
  <c r="T1623" i="10" s="1"/>
  <c r="P1623" i="10"/>
  <c r="Q1626" i="10" s="1"/>
  <c r="O1623" i="10"/>
  <c r="N1623" i="10"/>
  <c r="S1622" i="10"/>
  <c r="U1622" i="10" s="1"/>
  <c r="R1622" i="10"/>
  <c r="T1622" i="10" s="1"/>
  <c r="P1622" i="10"/>
  <c r="O1622" i="10"/>
  <c r="N1622" i="10"/>
  <c r="S1621" i="10"/>
  <c r="U1621" i="10" s="1"/>
  <c r="R1621" i="10"/>
  <c r="T1621" i="10" s="1"/>
  <c r="P1621" i="10"/>
  <c r="Q1624" i="10" s="1"/>
  <c r="O1621" i="10"/>
  <c r="N1621" i="10"/>
  <c r="S1620" i="10"/>
  <c r="U1620" i="10" s="1"/>
  <c r="R1620" i="10"/>
  <c r="T1620" i="10" s="1"/>
  <c r="P1620" i="10"/>
  <c r="O1620" i="10"/>
  <c r="N1620" i="10"/>
  <c r="S1619" i="10"/>
  <c r="U1619" i="10" s="1"/>
  <c r="R1619" i="10"/>
  <c r="T1619" i="10" s="1"/>
  <c r="P1619" i="10"/>
  <c r="O1619" i="10"/>
  <c r="N1619" i="10"/>
  <c r="S1618" i="10"/>
  <c r="U1618" i="10" s="1"/>
  <c r="R1618" i="10"/>
  <c r="T1618" i="10" s="1"/>
  <c r="P1618" i="10"/>
  <c r="Q1621" i="10" s="1"/>
  <c r="O1618" i="10"/>
  <c r="N1618" i="10"/>
  <c r="S1617" i="10"/>
  <c r="U1617" i="10" s="1"/>
  <c r="R1617" i="10"/>
  <c r="T1617" i="10" s="1"/>
  <c r="P1617" i="10"/>
  <c r="Q1620" i="10" s="1"/>
  <c r="O1617" i="10"/>
  <c r="N1617" i="10"/>
  <c r="S1616" i="10"/>
  <c r="U1616" i="10" s="1"/>
  <c r="R1616" i="10"/>
  <c r="T1616" i="10" s="1"/>
  <c r="P1616" i="10"/>
  <c r="O1616" i="10"/>
  <c r="N1616" i="10"/>
  <c r="S1615" i="10"/>
  <c r="U1615" i="10" s="1"/>
  <c r="R1615" i="10"/>
  <c r="T1615" i="10" s="1"/>
  <c r="P1615" i="10"/>
  <c r="Q1618" i="10" s="1"/>
  <c r="O1615" i="10"/>
  <c r="N1615" i="10"/>
  <c r="S1614" i="10"/>
  <c r="U1614" i="10" s="1"/>
  <c r="R1614" i="10"/>
  <c r="T1614" i="10" s="1"/>
  <c r="P1614" i="10"/>
  <c r="O1614" i="10"/>
  <c r="N1614" i="10"/>
  <c r="S1613" i="10"/>
  <c r="U1613" i="10" s="1"/>
  <c r="R1613" i="10"/>
  <c r="T1613" i="10" s="1"/>
  <c r="P1613" i="10"/>
  <c r="O1613" i="10"/>
  <c r="N1613" i="10"/>
  <c r="S1612" i="10"/>
  <c r="U1612" i="10" s="1"/>
  <c r="R1612" i="10"/>
  <c r="T1612" i="10" s="1"/>
  <c r="P1612" i="10"/>
  <c r="O1612" i="10"/>
  <c r="N1612" i="10"/>
  <c r="S1611" i="10"/>
  <c r="U1611" i="10" s="1"/>
  <c r="R1611" i="10"/>
  <c r="T1611" i="10" s="1"/>
  <c r="P1611" i="10"/>
  <c r="O1611" i="10"/>
  <c r="N1611" i="10"/>
  <c r="S1610" i="10"/>
  <c r="U1610" i="10" s="1"/>
  <c r="R1610" i="10"/>
  <c r="T1610" i="10" s="1"/>
  <c r="P1610" i="10"/>
  <c r="Q1613" i="10" s="1"/>
  <c r="O1610" i="10"/>
  <c r="N1610" i="10"/>
  <c r="S1609" i="10"/>
  <c r="U1609" i="10" s="1"/>
  <c r="R1609" i="10"/>
  <c r="T1609" i="10" s="1"/>
  <c r="P1609" i="10"/>
  <c r="Q1612" i="10" s="1"/>
  <c r="O1609" i="10"/>
  <c r="N1609" i="10"/>
  <c r="S1608" i="10"/>
  <c r="U1608" i="10" s="1"/>
  <c r="R1608" i="10"/>
  <c r="T1608" i="10" s="1"/>
  <c r="P1608" i="10"/>
  <c r="O1608" i="10"/>
  <c r="N1608" i="10"/>
  <c r="S1607" i="10"/>
  <c r="U1607" i="10" s="1"/>
  <c r="R1607" i="10"/>
  <c r="T1607" i="10" s="1"/>
  <c r="P1607" i="10"/>
  <c r="Q1610" i="10" s="1"/>
  <c r="O1607" i="10"/>
  <c r="N1607" i="10"/>
  <c r="S1606" i="10"/>
  <c r="U1606" i="10" s="1"/>
  <c r="R1606" i="10"/>
  <c r="T1606" i="10" s="1"/>
  <c r="P1606" i="10"/>
  <c r="O1606" i="10"/>
  <c r="N1606" i="10"/>
  <c r="S1605" i="10"/>
  <c r="U1605" i="10" s="1"/>
  <c r="R1605" i="10"/>
  <c r="T1605" i="10" s="1"/>
  <c r="P1605" i="10"/>
  <c r="Q1608" i="10" s="1"/>
  <c r="O1605" i="10"/>
  <c r="N1605" i="10"/>
  <c r="S1604" i="10"/>
  <c r="U1604" i="10" s="1"/>
  <c r="R1604" i="10"/>
  <c r="T1604" i="10" s="1"/>
  <c r="P1604" i="10"/>
  <c r="O1604" i="10"/>
  <c r="N1604" i="10"/>
  <c r="S1603" i="10"/>
  <c r="U1603" i="10" s="1"/>
  <c r="R1603" i="10"/>
  <c r="T1603" i="10" s="1"/>
  <c r="P1603" i="10"/>
  <c r="O1603" i="10"/>
  <c r="N1603" i="10"/>
  <c r="S1602" i="10"/>
  <c r="U1602" i="10" s="1"/>
  <c r="R1602" i="10"/>
  <c r="T1602" i="10" s="1"/>
  <c r="Q1602" i="10"/>
  <c r="P1602" i="10"/>
  <c r="O1602" i="10"/>
  <c r="N1602" i="10"/>
  <c r="U1601" i="10"/>
  <c r="S1601" i="10"/>
  <c r="R1601" i="10"/>
  <c r="T1601" i="10" s="1"/>
  <c r="Q1601" i="10"/>
  <c r="P1601" i="10"/>
  <c r="O1601" i="10"/>
  <c r="N1601" i="10"/>
  <c r="S1600" i="10"/>
  <c r="U1600" i="10" s="1"/>
  <c r="R1600" i="10"/>
  <c r="T1600" i="10" s="1"/>
  <c r="P1600" i="10"/>
  <c r="Q1603" i="10" s="1"/>
  <c r="O1600" i="10"/>
  <c r="N1600" i="10"/>
  <c r="S1599" i="10"/>
  <c r="U1599" i="10" s="1"/>
  <c r="R1599" i="10"/>
  <c r="T1599" i="10" s="1"/>
  <c r="P1599" i="10"/>
  <c r="O1599" i="10"/>
  <c r="N1599" i="10"/>
  <c r="S1598" i="10"/>
  <c r="U1598" i="10" s="1"/>
  <c r="R1598" i="10"/>
  <c r="T1598" i="10" s="1"/>
  <c r="P1598" i="10"/>
  <c r="O1598" i="10"/>
  <c r="N1598" i="10"/>
  <c r="U1597" i="10"/>
  <c r="S1597" i="10"/>
  <c r="R1597" i="10"/>
  <c r="T1597" i="10" s="1"/>
  <c r="P1597" i="10"/>
  <c r="O1597" i="10"/>
  <c r="N1597" i="10"/>
  <c r="U1596" i="10"/>
  <c r="S1596" i="10"/>
  <c r="R1596" i="10"/>
  <c r="T1596" i="10" s="1"/>
  <c r="P1596" i="10"/>
  <c r="O1596" i="10"/>
  <c r="N1596" i="10"/>
  <c r="S1595" i="10"/>
  <c r="U1595" i="10" s="1"/>
  <c r="R1595" i="10"/>
  <c r="T1595" i="10" s="1"/>
  <c r="P1595" i="10"/>
  <c r="O1595" i="10"/>
  <c r="N1595" i="10"/>
  <c r="S1594" i="10"/>
  <c r="U1594" i="10" s="1"/>
  <c r="R1594" i="10"/>
  <c r="T1594" i="10" s="1"/>
  <c r="P1594" i="10"/>
  <c r="O1594" i="10"/>
  <c r="N1594" i="10"/>
  <c r="U1593" i="10"/>
  <c r="S1593" i="10"/>
  <c r="R1593" i="10"/>
  <c r="T1593" i="10" s="1"/>
  <c r="P1593" i="10"/>
  <c r="Q1596" i="10" s="1"/>
  <c r="O1593" i="10"/>
  <c r="N1593" i="10"/>
  <c r="S1592" i="10"/>
  <c r="U1592" i="10" s="1"/>
  <c r="R1592" i="10"/>
  <c r="T1592" i="10" s="1"/>
  <c r="P1592" i="10"/>
  <c r="O1592" i="10"/>
  <c r="N1592" i="10"/>
  <c r="S1591" i="10"/>
  <c r="U1591" i="10" s="1"/>
  <c r="R1591" i="10"/>
  <c r="T1591" i="10" s="1"/>
  <c r="P1591" i="10"/>
  <c r="O1591" i="10"/>
  <c r="N1591" i="10"/>
  <c r="S1590" i="10"/>
  <c r="U1590" i="10" s="1"/>
  <c r="R1590" i="10"/>
  <c r="T1590" i="10" s="1"/>
  <c r="P1590" i="10"/>
  <c r="O1590" i="10"/>
  <c r="N1590" i="10"/>
  <c r="U1589" i="10"/>
  <c r="S1589" i="10"/>
  <c r="R1589" i="10"/>
  <c r="T1589" i="10" s="1"/>
  <c r="P1589" i="10"/>
  <c r="Q1591" i="10" s="1"/>
  <c r="O1589" i="10"/>
  <c r="N1589" i="10"/>
  <c r="U1588" i="10"/>
  <c r="S1588" i="10"/>
  <c r="R1588" i="10"/>
  <c r="T1588" i="10" s="1"/>
  <c r="P1588" i="10"/>
  <c r="O1588" i="10"/>
  <c r="N1588" i="10"/>
  <c r="U1587" i="10"/>
  <c r="S1587" i="10"/>
  <c r="R1587" i="10"/>
  <c r="T1587" i="10" s="1"/>
  <c r="P1587" i="10"/>
  <c r="O1587" i="10"/>
  <c r="N1587" i="10"/>
  <c r="S1586" i="10"/>
  <c r="U1586" i="10" s="1"/>
  <c r="R1586" i="10"/>
  <c r="T1586" i="10" s="1"/>
  <c r="P1586" i="10"/>
  <c r="O1586" i="10"/>
  <c r="N1586" i="10"/>
  <c r="U1585" i="10"/>
  <c r="S1585" i="10"/>
  <c r="R1585" i="10"/>
  <c r="T1585" i="10" s="1"/>
  <c r="P1585" i="10"/>
  <c r="Q1588" i="10" s="1"/>
  <c r="O1585" i="10"/>
  <c r="N1585" i="10"/>
  <c r="S1584" i="10"/>
  <c r="U1584" i="10" s="1"/>
  <c r="R1584" i="10"/>
  <c r="T1584" i="10" s="1"/>
  <c r="P1584" i="10"/>
  <c r="O1584" i="10"/>
  <c r="N1584" i="10"/>
  <c r="U1583" i="10"/>
  <c r="S1583" i="10"/>
  <c r="R1583" i="10"/>
  <c r="T1583" i="10" s="1"/>
  <c r="P1583" i="10"/>
  <c r="O1583" i="10"/>
  <c r="N1583" i="10"/>
  <c r="S1582" i="10"/>
  <c r="U1582" i="10" s="1"/>
  <c r="R1582" i="10"/>
  <c r="T1582" i="10" s="1"/>
  <c r="P1582" i="10"/>
  <c r="O1582" i="10"/>
  <c r="N1582" i="10"/>
  <c r="U1581" i="10"/>
  <c r="S1581" i="10"/>
  <c r="R1581" i="10"/>
  <c r="T1581" i="10" s="1"/>
  <c r="P1581" i="10"/>
  <c r="Q1583" i="10" s="1"/>
  <c r="O1581" i="10"/>
  <c r="N1581" i="10"/>
  <c r="U1580" i="10"/>
  <c r="S1580" i="10"/>
  <c r="R1580" i="10"/>
  <c r="T1580" i="10" s="1"/>
  <c r="P1580" i="10"/>
  <c r="O1580" i="10"/>
  <c r="N1580" i="10"/>
  <c r="U1579" i="10"/>
  <c r="S1579" i="10"/>
  <c r="R1579" i="10"/>
  <c r="T1579" i="10" s="1"/>
  <c r="P1579" i="10"/>
  <c r="O1579" i="10"/>
  <c r="N1579" i="10"/>
  <c r="S1578" i="10"/>
  <c r="U1578" i="10" s="1"/>
  <c r="R1578" i="10"/>
  <c r="T1578" i="10" s="1"/>
  <c r="P1578" i="10"/>
  <c r="O1578" i="10"/>
  <c r="N1578" i="10"/>
  <c r="U1577" i="10"/>
  <c r="S1577" i="10"/>
  <c r="R1577" i="10"/>
  <c r="T1577" i="10" s="1"/>
  <c r="P1577" i="10"/>
  <c r="Q1580" i="10" s="1"/>
  <c r="O1577" i="10"/>
  <c r="N1577" i="10"/>
  <c r="S1576" i="10"/>
  <c r="U1576" i="10" s="1"/>
  <c r="R1576" i="10"/>
  <c r="T1576" i="10" s="1"/>
  <c r="P1576" i="10"/>
  <c r="Q1579" i="10" s="1"/>
  <c r="O1576" i="10"/>
  <c r="N1576" i="10"/>
  <c r="U1575" i="10"/>
  <c r="S1575" i="10"/>
  <c r="R1575" i="10"/>
  <c r="T1575" i="10" s="1"/>
  <c r="P1575" i="10"/>
  <c r="O1575" i="10"/>
  <c r="N1575" i="10"/>
  <c r="S1574" i="10"/>
  <c r="U1574" i="10" s="1"/>
  <c r="R1574" i="10"/>
  <c r="T1574" i="10" s="1"/>
  <c r="P1574" i="10"/>
  <c r="O1574" i="10"/>
  <c r="N1574" i="10"/>
  <c r="U1573" i="10"/>
  <c r="S1573" i="10"/>
  <c r="R1573" i="10"/>
  <c r="T1573" i="10" s="1"/>
  <c r="P1573" i="10"/>
  <c r="Q1575" i="10" s="1"/>
  <c r="O1573" i="10"/>
  <c r="N1573" i="10"/>
  <c r="S1572" i="10"/>
  <c r="U1572" i="10" s="1"/>
  <c r="R1572" i="10"/>
  <c r="T1572" i="10" s="1"/>
  <c r="P1572" i="10"/>
  <c r="O1572" i="10"/>
  <c r="N1572" i="10"/>
  <c r="U1571" i="10"/>
  <c r="S1571" i="10"/>
  <c r="R1571" i="10"/>
  <c r="T1571" i="10" s="1"/>
  <c r="P1571" i="10"/>
  <c r="O1571" i="10"/>
  <c r="N1571" i="10"/>
  <c r="S1570" i="10"/>
  <c r="U1570" i="10" s="1"/>
  <c r="R1570" i="10"/>
  <c r="T1570" i="10" s="1"/>
  <c r="P1570" i="10"/>
  <c r="O1570" i="10"/>
  <c r="N1570" i="10"/>
  <c r="U1569" i="10"/>
  <c r="S1569" i="10"/>
  <c r="R1569" i="10"/>
  <c r="T1569" i="10" s="1"/>
  <c r="P1569" i="10"/>
  <c r="Q1572" i="10" s="1"/>
  <c r="O1569" i="10"/>
  <c r="N1569" i="10"/>
  <c r="S1568" i="10"/>
  <c r="U1568" i="10" s="1"/>
  <c r="R1568" i="10"/>
  <c r="T1568" i="10" s="1"/>
  <c r="P1568" i="10"/>
  <c r="Q1571" i="10" s="1"/>
  <c r="O1568" i="10"/>
  <c r="N1568" i="10"/>
  <c r="S1567" i="10"/>
  <c r="U1567" i="10" s="1"/>
  <c r="R1567" i="10"/>
  <c r="T1567" i="10" s="1"/>
  <c r="P1567" i="10"/>
  <c r="O1567" i="10"/>
  <c r="N1567" i="10"/>
  <c r="S1566" i="10"/>
  <c r="U1566" i="10" s="1"/>
  <c r="R1566" i="10"/>
  <c r="T1566" i="10" s="1"/>
  <c r="P1566" i="10"/>
  <c r="O1566" i="10"/>
  <c r="N1566" i="10"/>
  <c r="U1565" i="10"/>
  <c r="S1565" i="10"/>
  <c r="R1565" i="10"/>
  <c r="T1565" i="10" s="1"/>
  <c r="P1565" i="10"/>
  <c r="Q1567" i="10" s="1"/>
  <c r="O1565" i="10"/>
  <c r="N1565" i="10"/>
  <c r="S1564" i="10"/>
  <c r="U1564" i="10" s="1"/>
  <c r="R1564" i="10"/>
  <c r="T1564" i="10" s="1"/>
  <c r="P1564" i="10"/>
  <c r="O1564" i="10"/>
  <c r="N1564" i="10"/>
  <c r="U1563" i="10"/>
  <c r="S1563" i="10"/>
  <c r="R1563" i="10"/>
  <c r="T1563" i="10" s="1"/>
  <c r="P1563" i="10"/>
  <c r="O1563" i="10"/>
  <c r="N1563" i="10"/>
  <c r="S1562" i="10"/>
  <c r="U1562" i="10" s="1"/>
  <c r="R1562" i="10"/>
  <c r="T1562" i="10" s="1"/>
  <c r="P1562" i="10"/>
  <c r="O1562" i="10"/>
  <c r="N1562" i="10"/>
  <c r="U1561" i="10"/>
  <c r="S1561" i="10"/>
  <c r="R1561" i="10"/>
  <c r="T1561" i="10" s="1"/>
  <c r="P1561" i="10"/>
  <c r="Q1564" i="10" s="1"/>
  <c r="O1561" i="10"/>
  <c r="N1561" i="10"/>
  <c r="S1560" i="10"/>
  <c r="U1560" i="10" s="1"/>
  <c r="R1560" i="10"/>
  <c r="T1560" i="10" s="1"/>
  <c r="P1560" i="10"/>
  <c r="Q1563" i="10" s="1"/>
  <c r="O1560" i="10"/>
  <c r="N1560" i="10"/>
  <c r="U1559" i="10"/>
  <c r="S1559" i="10"/>
  <c r="R1559" i="10"/>
  <c r="T1559" i="10" s="1"/>
  <c r="P1559" i="10"/>
  <c r="Q1562" i="10" s="1"/>
  <c r="O1559" i="10"/>
  <c r="N1559" i="10"/>
  <c r="S1558" i="10"/>
  <c r="U1558" i="10" s="1"/>
  <c r="R1558" i="10"/>
  <c r="T1558" i="10" s="1"/>
  <c r="P1558" i="10"/>
  <c r="O1558" i="10"/>
  <c r="N1558" i="10"/>
  <c r="U1557" i="10"/>
  <c r="S1557" i="10"/>
  <c r="R1557" i="10"/>
  <c r="T1557" i="10" s="1"/>
  <c r="P1557" i="10"/>
  <c r="O1557" i="10"/>
  <c r="N1557" i="10"/>
  <c r="S1556" i="10"/>
  <c r="U1556" i="10" s="1"/>
  <c r="R1556" i="10"/>
  <c r="T1556" i="10" s="1"/>
  <c r="P1556" i="10"/>
  <c r="O1556" i="10"/>
  <c r="N1556" i="10"/>
  <c r="S1555" i="10"/>
  <c r="U1555" i="10" s="1"/>
  <c r="R1555" i="10"/>
  <c r="T1555" i="10" s="1"/>
  <c r="P1555" i="10"/>
  <c r="Q1557" i="10" s="1"/>
  <c r="O1555" i="10"/>
  <c r="N1555" i="10"/>
  <c r="S1554" i="10"/>
  <c r="U1554" i="10" s="1"/>
  <c r="R1554" i="10"/>
  <c r="T1554" i="10" s="1"/>
  <c r="P1554" i="10"/>
  <c r="O1554" i="10"/>
  <c r="N1554" i="10"/>
  <c r="U1553" i="10"/>
  <c r="S1553" i="10"/>
  <c r="R1553" i="10"/>
  <c r="T1553" i="10" s="1"/>
  <c r="P1553" i="10"/>
  <c r="Q1556" i="10" s="1"/>
  <c r="O1553" i="10"/>
  <c r="N1553" i="10"/>
  <c r="S1552" i="10"/>
  <c r="U1552" i="10" s="1"/>
  <c r="R1552" i="10"/>
  <c r="T1552" i="10" s="1"/>
  <c r="P1552" i="10"/>
  <c r="Q1555" i="10" s="1"/>
  <c r="O1552" i="10"/>
  <c r="N1552" i="10"/>
  <c r="U1551" i="10"/>
  <c r="S1551" i="10"/>
  <c r="R1551" i="10"/>
  <c r="T1551" i="10" s="1"/>
  <c r="P1551" i="10"/>
  <c r="Q1554" i="10" s="1"/>
  <c r="O1551" i="10"/>
  <c r="N1551" i="10"/>
  <c r="S1550" i="10"/>
  <c r="U1550" i="10" s="1"/>
  <c r="R1550" i="10"/>
  <c r="T1550" i="10" s="1"/>
  <c r="P1550" i="10"/>
  <c r="O1550" i="10"/>
  <c r="N1550" i="10"/>
  <c r="U1549" i="10"/>
  <c r="S1549" i="10"/>
  <c r="R1549" i="10"/>
  <c r="T1549" i="10" s="1"/>
  <c r="P1549" i="10"/>
  <c r="Q1550" i="10" s="1"/>
  <c r="O1549" i="10"/>
  <c r="N1549" i="10"/>
  <c r="S1548" i="10"/>
  <c r="U1548" i="10" s="1"/>
  <c r="R1548" i="10"/>
  <c r="T1548" i="10" s="1"/>
  <c r="P1548" i="10"/>
  <c r="O1548" i="10"/>
  <c r="N1548" i="10"/>
  <c r="S1547" i="10"/>
  <c r="U1547" i="10" s="1"/>
  <c r="R1547" i="10"/>
  <c r="T1547" i="10" s="1"/>
  <c r="P1547" i="10"/>
  <c r="Q1549" i="10" s="1"/>
  <c r="O1547" i="10"/>
  <c r="N1547" i="10"/>
  <c r="S1546" i="10"/>
  <c r="U1546" i="10" s="1"/>
  <c r="R1546" i="10"/>
  <c r="T1546" i="10" s="1"/>
  <c r="P1546" i="10"/>
  <c r="O1546" i="10"/>
  <c r="N1546" i="10"/>
  <c r="U1545" i="10"/>
  <c r="S1545" i="10"/>
  <c r="R1545" i="10"/>
  <c r="T1545" i="10" s="1"/>
  <c r="P1545" i="10"/>
  <c r="Q1548" i="10" s="1"/>
  <c r="O1545" i="10"/>
  <c r="N1545" i="10"/>
  <c r="S1544" i="10"/>
  <c r="U1544" i="10" s="1"/>
  <c r="R1544" i="10"/>
  <c r="T1544" i="10" s="1"/>
  <c r="Q1544" i="10"/>
  <c r="P1544" i="10"/>
  <c r="Q1547" i="10" s="1"/>
  <c r="O1544" i="10"/>
  <c r="N1544" i="10"/>
  <c r="U1543" i="10"/>
  <c r="S1543" i="10"/>
  <c r="R1543" i="10"/>
  <c r="T1543" i="10" s="1"/>
  <c r="P1543" i="10"/>
  <c r="Q1545" i="10" s="1"/>
  <c r="O1543" i="10"/>
  <c r="N1543" i="10"/>
  <c r="S1542" i="10"/>
  <c r="U1542" i="10" s="1"/>
  <c r="R1542" i="10"/>
  <c r="T1542" i="10" s="1"/>
  <c r="Q1542" i="10"/>
  <c r="P1542" i="10"/>
  <c r="O1542" i="10"/>
  <c r="N1542" i="10"/>
  <c r="U1541" i="10"/>
  <c r="S1541" i="10"/>
  <c r="R1541" i="10"/>
  <c r="T1541" i="10" s="1"/>
  <c r="P1541" i="10"/>
  <c r="O1541" i="10"/>
  <c r="N1541" i="10"/>
  <c r="S1540" i="10"/>
  <c r="U1540" i="10" s="1"/>
  <c r="R1540" i="10"/>
  <c r="T1540" i="10" s="1"/>
  <c r="P1540" i="10"/>
  <c r="O1540" i="10"/>
  <c r="N1540" i="10"/>
  <c r="S1539" i="10"/>
  <c r="U1539" i="10" s="1"/>
  <c r="R1539" i="10"/>
  <c r="T1539" i="10" s="1"/>
  <c r="P1539" i="10"/>
  <c r="Q1541" i="10" s="1"/>
  <c r="O1539" i="10"/>
  <c r="N1539" i="10"/>
  <c r="S1538" i="10"/>
  <c r="U1538" i="10" s="1"/>
  <c r="R1538" i="10"/>
  <c r="T1538" i="10" s="1"/>
  <c r="P1538" i="10"/>
  <c r="O1538" i="10"/>
  <c r="N1538" i="10"/>
  <c r="U1537" i="10"/>
  <c r="S1537" i="10"/>
  <c r="R1537" i="10"/>
  <c r="T1537" i="10" s="1"/>
  <c r="P1537" i="10"/>
  <c r="Q1540" i="10" s="1"/>
  <c r="O1537" i="10"/>
  <c r="N1537" i="10"/>
  <c r="T1536" i="10"/>
  <c r="S1536" i="10"/>
  <c r="U1536" i="10" s="1"/>
  <c r="R1536" i="10"/>
  <c r="P1536" i="10"/>
  <c r="O1536" i="10"/>
  <c r="N1536" i="10"/>
  <c r="S1535" i="10"/>
  <c r="U1535" i="10" s="1"/>
  <c r="R1535" i="10"/>
  <c r="T1535" i="10" s="1"/>
  <c r="P1535" i="10"/>
  <c r="Q1538" i="10" s="1"/>
  <c r="O1535" i="10"/>
  <c r="N1535" i="10"/>
  <c r="S1534" i="10"/>
  <c r="U1534" i="10" s="1"/>
  <c r="R1534" i="10"/>
  <c r="T1534" i="10" s="1"/>
  <c r="P1534" i="10"/>
  <c r="Q1537" i="10" s="1"/>
  <c r="O1534" i="10"/>
  <c r="N1534" i="10"/>
  <c r="S1533" i="10"/>
  <c r="U1533" i="10" s="1"/>
  <c r="R1533" i="10"/>
  <c r="T1533" i="10" s="1"/>
  <c r="P1533" i="10"/>
  <c r="Q1536" i="10" s="1"/>
  <c r="O1533" i="10"/>
  <c r="N1533" i="10"/>
  <c r="S1532" i="10"/>
  <c r="U1532" i="10" s="1"/>
  <c r="R1532" i="10"/>
  <c r="T1532" i="10" s="1"/>
  <c r="P1532" i="10"/>
  <c r="Q1533" i="10" s="1"/>
  <c r="O1532" i="10"/>
  <c r="N1532" i="10"/>
  <c r="T1531" i="10"/>
  <c r="S1531" i="10"/>
  <c r="U1531" i="10" s="1"/>
  <c r="R1531" i="10"/>
  <c r="P1531" i="10"/>
  <c r="Q1532" i="10" s="1"/>
  <c r="O1531" i="10"/>
  <c r="N1531" i="10"/>
  <c r="T1530" i="10"/>
  <c r="S1530" i="10"/>
  <c r="U1530" i="10" s="1"/>
  <c r="R1530" i="10"/>
  <c r="P1530" i="10"/>
  <c r="Q1531" i="10" s="1"/>
  <c r="O1530" i="10"/>
  <c r="N1530" i="10"/>
  <c r="T1529" i="10"/>
  <c r="S1529" i="10"/>
  <c r="U1529" i="10" s="1"/>
  <c r="R1529" i="10"/>
  <c r="P1529" i="10"/>
  <c r="O1529" i="10"/>
  <c r="N1529" i="10"/>
  <c r="T1528" i="10"/>
  <c r="S1528" i="10"/>
  <c r="U1528" i="10" s="1"/>
  <c r="R1528" i="10"/>
  <c r="P1528" i="10"/>
  <c r="O1528" i="10"/>
  <c r="N1528" i="10"/>
  <c r="S1527" i="10"/>
  <c r="U1527" i="10" s="1"/>
  <c r="R1527" i="10"/>
  <c r="T1527" i="10" s="1"/>
  <c r="P1527" i="10"/>
  <c r="Q1530" i="10" s="1"/>
  <c r="O1527" i="10"/>
  <c r="N1527" i="10"/>
  <c r="S1526" i="10"/>
  <c r="U1526" i="10" s="1"/>
  <c r="R1526" i="10"/>
  <c r="T1526" i="10" s="1"/>
  <c r="P1526" i="10"/>
  <c r="Q1529" i="10" s="1"/>
  <c r="O1526" i="10"/>
  <c r="N1526" i="10"/>
  <c r="S1525" i="10"/>
  <c r="U1525" i="10" s="1"/>
  <c r="R1525" i="10"/>
  <c r="T1525" i="10" s="1"/>
  <c r="P1525" i="10"/>
  <c r="Q1528" i="10" s="1"/>
  <c r="O1525" i="10"/>
  <c r="N1525" i="10"/>
  <c r="S1524" i="10"/>
  <c r="U1524" i="10" s="1"/>
  <c r="R1524" i="10"/>
  <c r="T1524" i="10" s="1"/>
  <c r="P1524" i="10"/>
  <c r="Q1525" i="10" s="1"/>
  <c r="O1524" i="10"/>
  <c r="N1524" i="10"/>
  <c r="T1523" i="10"/>
  <c r="S1523" i="10"/>
  <c r="U1523" i="10" s="1"/>
  <c r="R1523" i="10"/>
  <c r="P1523" i="10"/>
  <c r="Q1524" i="10" s="1"/>
  <c r="O1523" i="10"/>
  <c r="N1523" i="10"/>
  <c r="T1522" i="10"/>
  <c r="S1522" i="10"/>
  <c r="U1522" i="10" s="1"/>
  <c r="R1522" i="10"/>
  <c r="P1522" i="10"/>
  <c r="Q1523" i="10" s="1"/>
  <c r="O1522" i="10"/>
  <c r="N1522" i="10"/>
  <c r="T1521" i="10"/>
  <c r="S1521" i="10"/>
  <c r="U1521" i="10" s="1"/>
  <c r="R1521" i="10"/>
  <c r="P1521" i="10"/>
  <c r="O1521" i="10"/>
  <c r="N1521" i="10"/>
  <c r="T1520" i="10"/>
  <c r="S1520" i="10"/>
  <c r="U1520" i="10" s="1"/>
  <c r="R1520" i="10"/>
  <c r="P1520" i="10"/>
  <c r="O1520" i="10"/>
  <c r="N1520" i="10"/>
  <c r="S1519" i="10"/>
  <c r="U1519" i="10" s="1"/>
  <c r="R1519" i="10"/>
  <c r="T1519" i="10" s="1"/>
  <c r="P1519" i="10"/>
  <c r="Q1522" i="10" s="1"/>
  <c r="O1519" i="10"/>
  <c r="N1519" i="10"/>
  <c r="S1518" i="10"/>
  <c r="U1518" i="10" s="1"/>
  <c r="R1518" i="10"/>
  <c r="T1518" i="10" s="1"/>
  <c r="P1518" i="10"/>
  <c r="Q1521" i="10" s="1"/>
  <c r="O1518" i="10"/>
  <c r="N1518" i="10"/>
  <c r="S1517" i="10"/>
  <c r="U1517" i="10" s="1"/>
  <c r="R1517" i="10"/>
  <c r="T1517" i="10" s="1"/>
  <c r="P1517" i="10"/>
  <c r="Q1520" i="10" s="1"/>
  <c r="O1517" i="10"/>
  <c r="N1517" i="10"/>
  <c r="S1516" i="10"/>
  <c r="U1516" i="10" s="1"/>
  <c r="R1516" i="10"/>
  <c r="T1516" i="10" s="1"/>
  <c r="P1516" i="10"/>
  <c r="Q1517" i="10" s="1"/>
  <c r="O1516" i="10"/>
  <c r="N1516" i="10"/>
  <c r="S1515" i="10"/>
  <c r="U1515" i="10" s="1"/>
  <c r="R1515" i="10"/>
  <c r="T1515" i="10" s="1"/>
  <c r="P1515" i="10"/>
  <c r="Q1516" i="10" s="1"/>
  <c r="O1515" i="10"/>
  <c r="N1515" i="10"/>
  <c r="T1514" i="10"/>
  <c r="S1514" i="10"/>
  <c r="U1514" i="10" s="1"/>
  <c r="R1514" i="10"/>
  <c r="P1514" i="10"/>
  <c r="Q1515" i="10" s="1"/>
  <c r="O1514" i="10"/>
  <c r="N1514" i="10"/>
  <c r="T1513" i="10"/>
  <c r="S1513" i="10"/>
  <c r="U1513" i="10" s="1"/>
  <c r="R1513" i="10"/>
  <c r="P1513" i="10"/>
  <c r="O1513" i="10"/>
  <c r="N1513" i="10"/>
  <c r="T1512" i="10"/>
  <c r="S1512" i="10"/>
  <c r="U1512" i="10" s="1"/>
  <c r="R1512" i="10"/>
  <c r="P1512" i="10"/>
  <c r="O1512" i="10"/>
  <c r="N1512" i="10"/>
  <c r="S1511" i="10"/>
  <c r="U1511" i="10" s="1"/>
  <c r="R1511" i="10"/>
  <c r="T1511" i="10" s="1"/>
  <c r="P1511" i="10"/>
  <c r="Q1514" i="10" s="1"/>
  <c r="O1511" i="10"/>
  <c r="N1511" i="10"/>
  <c r="S1510" i="10"/>
  <c r="U1510" i="10" s="1"/>
  <c r="R1510" i="10"/>
  <c r="T1510" i="10" s="1"/>
  <c r="P1510" i="10"/>
  <c r="Q1513" i="10" s="1"/>
  <c r="O1510" i="10"/>
  <c r="N1510" i="10"/>
  <c r="S1509" i="10"/>
  <c r="U1509" i="10" s="1"/>
  <c r="R1509" i="10"/>
  <c r="T1509" i="10" s="1"/>
  <c r="P1509" i="10"/>
  <c r="Q1512" i="10" s="1"/>
  <c r="O1509" i="10"/>
  <c r="N1509" i="10"/>
  <c r="S1508" i="10"/>
  <c r="U1508" i="10" s="1"/>
  <c r="R1508" i="10"/>
  <c r="T1508" i="10" s="1"/>
  <c r="P1508" i="10"/>
  <c r="Q1509" i="10" s="1"/>
  <c r="O1508" i="10"/>
  <c r="N1508" i="10"/>
  <c r="T1507" i="10"/>
  <c r="S1507" i="10"/>
  <c r="U1507" i="10" s="1"/>
  <c r="R1507" i="10"/>
  <c r="P1507" i="10"/>
  <c r="Q1508" i="10" s="1"/>
  <c r="O1507" i="10"/>
  <c r="N1507" i="10"/>
  <c r="T1506" i="10"/>
  <c r="S1506" i="10"/>
  <c r="U1506" i="10" s="1"/>
  <c r="R1506" i="10"/>
  <c r="P1506" i="10"/>
  <c r="Q1507" i="10" s="1"/>
  <c r="O1506" i="10"/>
  <c r="N1506" i="10"/>
  <c r="T1505" i="10"/>
  <c r="S1505" i="10"/>
  <c r="U1505" i="10" s="1"/>
  <c r="R1505" i="10"/>
  <c r="P1505" i="10"/>
  <c r="O1505" i="10"/>
  <c r="N1505" i="10"/>
  <c r="T1504" i="10"/>
  <c r="S1504" i="10"/>
  <c r="U1504" i="10" s="1"/>
  <c r="R1504" i="10"/>
  <c r="P1504" i="10"/>
  <c r="O1504" i="10"/>
  <c r="N1504" i="10"/>
  <c r="S1503" i="10"/>
  <c r="U1503" i="10" s="1"/>
  <c r="R1503" i="10"/>
  <c r="T1503" i="10" s="1"/>
  <c r="P1503" i="10"/>
  <c r="Q1506" i="10" s="1"/>
  <c r="O1503" i="10"/>
  <c r="N1503" i="10"/>
  <c r="S1502" i="10"/>
  <c r="U1502" i="10" s="1"/>
  <c r="R1502" i="10"/>
  <c r="T1502" i="10" s="1"/>
  <c r="P1502" i="10"/>
  <c r="Q1505" i="10" s="1"/>
  <c r="O1502" i="10"/>
  <c r="N1502" i="10"/>
  <c r="S1501" i="10"/>
  <c r="U1501" i="10" s="1"/>
  <c r="R1501" i="10"/>
  <c r="T1501" i="10" s="1"/>
  <c r="P1501" i="10"/>
  <c r="Q1504" i="10" s="1"/>
  <c r="O1501" i="10"/>
  <c r="N1501" i="10"/>
  <c r="S1500" i="10"/>
  <c r="U1500" i="10" s="1"/>
  <c r="R1500" i="10"/>
  <c r="T1500" i="10" s="1"/>
  <c r="P1500" i="10"/>
  <c r="Q1501" i="10" s="1"/>
  <c r="O1500" i="10"/>
  <c r="N1500" i="10"/>
  <c r="T1499" i="10"/>
  <c r="S1499" i="10"/>
  <c r="U1499" i="10" s="1"/>
  <c r="R1499" i="10"/>
  <c r="P1499" i="10"/>
  <c r="Q1500" i="10" s="1"/>
  <c r="O1499" i="10"/>
  <c r="N1499" i="10"/>
  <c r="T1498" i="10"/>
  <c r="S1498" i="10"/>
  <c r="U1498" i="10" s="1"/>
  <c r="R1498" i="10"/>
  <c r="P1498" i="10"/>
  <c r="Q1499" i="10" s="1"/>
  <c r="O1498" i="10"/>
  <c r="N1498" i="10"/>
  <c r="T1497" i="10"/>
  <c r="S1497" i="10"/>
  <c r="U1497" i="10" s="1"/>
  <c r="R1497" i="10"/>
  <c r="P1497" i="10"/>
  <c r="O1497" i="10"/>
  <c r="N1497" i="10"/>
  <c r="T1496" i="10"/>
  <c r="S1496" i="10"/>
  <c r="U1496" i="10" s="1"/>
  <c r="R1496" i="10"/>
  <c r="P1496" i="10"/>
  <c r="O1496" i="10"/>
  <c r="N1496" i="10"/>
  <c r="S1495" i="10"/>
  <c r="U1495" i="10" s="1"/>
  <c r="R1495" i="10"/>
  <c r="T1495" i="10" s="1"/>
  <c r="P1495" i="10"/>
  <c r="Q1498" i="10" s="1"/>
  <c r="O1495" i="10"/>
  <c r="N1495" i="10"/>
  <c r="S1494" i="10"/>
  <c r="U1494" i="10" s="1"/>
  <c r="R1494" i="10"/>
  <c r="T1494" i="10" s="1"/>
  <c r="P1494" i="10"/>
  <c r="Q1497" i="10" s="1"/>
  <c r="O1494" i="10"/>
  <c r="N1494" i="10"/>
  <c r="S1493" i="10"/>
  <c r="U1493" i="10" s="1"/>
  <c r="R1493" i="10"/>
  <c r="T1493" i="10" s="1"/>
  <c r="P1493" i="10"/>
  <c r="Q1496" i="10" s="1"/>
  <c r="O1493" i="10"/>
  <c r="N1493" i="10"/>
  <c r="S1492" i="10"/>
  <c r="U1492" i="10" s="1"/>
  <c r="R1492" i="10"/>
  <c r="T1492" i="10" s="1"/>
  <c r="P1492" i="10"/>
  <c r="Q1495" i="10" s="1"/>
  <c r="O1492" i="10"/>
  <c r="N1492" i="10"/>
  <c r="T1491" i="10"/>
  <c r="S1491" i="10"/>
  <c r="U1491" i="10" s="1"/>
  <c r="R1491" i="10"/>
  <c r="P1491" i="10"/>
  <c r="O1491" i="10"/>
  <c r="N1491" i="10"/>
  <c r="T1490" i="10"/>
  <c r="S1490" i="10"/>
  <c r="U1490" i="10" s="1"/>
  <c r="R1490" i="10"/>
  <c r="P1490" i="10"/>
  <c r="Q1491" i="10" s="1"/>
  <c r="O1490" i="10"/>
  <c r="N1490" i="10"/>
  <c r="T1489" i="10"/>
  <c r="S1489" i="10"/>
  <c r="U1489" i="10" s="1"/>
  <c r="R1489" i="10"/>
  <c r="P1489" i="10"/>
  <c r="O1489" i="10"/>
  <c r="N1489" i="10"/>
  <c r="T1488" i="10"/>
  <c r="S1488" i="10"/>
  <c r="U1488" i="10" s="1"/>
  <c r="R1488" i="10"/>
  <c r="P1488" i="10"/>
  <c r="O1488" i="10"/>
  <c r="N1488" i="10"/>
  <c r="S1487" i="10"/>
  <c r="U1487" i="10" s="1"/>
  <c r="R1487" i="10"/>
  <c r="T1487" i="10" s="1"/>
  <c r="P1487" i="10"/>
  <c r="Q1490" i="10" s="1"/>
  <c r="O1487" i="10"/>
  <c r="N1487" i="10"/>
  <c r="T1486" i="10"/>
  <c r="S1486" i="10"/>
  <c r="U1486" i="10" s="1"/>
  <c r="R1486" i="10"/>
  <c r="P1486" i="10"/>
  <c r="Q1489" i="10" s="1"/>
  <c r="O1486" i="10"/>
  <c r="N1486" i="10"/>
  <c r="S1485" i="10"/>
  <c r="U1485" i="10" s="1"/>
  <c r="R1485" i="10"/>
  <c r="T1485" i="10" s="1"/>
  <c r="P1485" i="10"/>
  <c r="Q1488" i="10" s="1"/>
  <c r="O1485" i="10"/>
  <c r="N1485" i="10"/>
  <c r="S1484" i="10"/>
  <c r="U1484" i="10" s="1"/>
  <c r="R1484" i="10"/>
  <c r="T1484" i="10" s="1"/>
  <c r="P1484" i="10"/>
  <c r="Q1487" i="10" s="1"/>
  <c r="O1484" i="10"/>
  <c r="N1484" i="10"/>
  <c r="T1483" i="10"/>
  <c r="S1483" i="10"/>
  <c r="U1483" i="10" s="1"/>
  <c r="R1483" i="10"/>
  <c r="P1483" i="10"/>
  <c r="O1483" i="10"/>
  <c r="N1483" i="10"/>
  <c r="T1482" i="10"/>
  <c r="S1482" i="10"/>
  <c r="U1482" i="10" s="1"/>
  <c r="R1482" i="10"/>
  <c r="P1482" i="10"/>
  <c r="O1482" i="10"/>
  <c r="N1482" i="10"/>
  <c r="T1481" i="10"/>
  <c r="S1481" i="10"/>
  <c r="U1481" i="10" s="1"/>
  <c r="R1481" i="10"/>
  <c r="P1481" i="10"/>
  <c r="O1481" i="10"/>
  <c r="N1481" i="10"/>
  <c r="T1480" i="10"/>
  <c r="S1480" i="10"/>
  <c r="U1480" i="10" s="1"/>
  <c r="R1480" i="10"/>
  <c r="P1480" i="10"/>
  <c r="O1480" i="10"/>
  <c r="N1480" i="10"/>
  <c r="S1479" i="10"/>
  <c r="U1479" i="10" s="1"/>
  <c r="R1479" i="10"/>
  <c r="T1479" i="10" s="1"/>
  <c r="P1479" i="10"/>
  <c r="O1479" i="10"/>
  <c r="N1479" i="10"/>
  <c r="T1478" i="10"/>
  <c r="S1478" i="10"/>
  <c r="U1478" i="10" s="1"/>
  <c r="R1478" i="10"/>
  <c r="P1478" i="10"/>
  <c r="Q1481" i="10" s="1"/>
  <c r="O1478" i="10"/>
  <c r="N1478" i="10"/>
  <c r="S1477" i="10"/>
  <c r="U1477" i="10" s="1"/>
  <c r="R1477" i="10"/>
  <c r="T1477" i="10" s="1"/>
  <c r="P1477" i="10"/>
  <c r="Q1480" i="10" s="1"/>
  <c r="O1477" i="10"/>
  <c r="N1477" i="10"/>
  <c r="S1476" i="10"/>
  <c r="U1476" i="10" s="1"/>
  <c r="R1476" i="10"/>
  <c r="T1476" i="10" s="1"/>
  <c r="P1476" i="10"/>
  <c r="Q1479" i="10" s="1"/>
  <c r="O1476" i="10"/>
  <c r="N1476" i="10"/>
  <c r="T1475" i="10"/>
  <c r="S1475" i="10"/>
  <c r="U1475" i="10" s="1"/>
  <c r="R1475" i="10"/>
  <c r="Q1475" i="10"/>
  <c r="P1475" i="10"/>
  <c r="O1475" i="10"/>
  <c r="N1475" i="10"/>
  <c r="T1474" i="10"/>
  <c r="S1474" i="10"/>
  <c r="U1474" i="10" s="1"/>
  <c r="R1474" i="10"/>
  <c r="P1474" i="10"/>
  <c r="O1474" i="10"/>
  <c r="N1474" i="10"/>
  <c r="T1473" i="10"/>
  <c r="S1473" i="10"/>
  <c r="U1473" i="10" s="1"/>
  <c r="R1473" i="10"/>
  <c r="P1473" i="10"/>
  <c r="O1473" i="10"/>
  <c r="N1473" i="10"/>
  <c r="T1472" i="10"/>
  <c r="S1472" i="10"/>
  <c r="U1472" i="10" s="1"/>
  <c r="R1472" i="10"/>
  <c r="Q1472" i="10"/>
  <c r="P1472" i="10"/>
  <c r="O1472" i="10"/>
  <c r="N1472" i="10"/>
  <c r="T1471" i="10"/>
  <c r="S1471" i="10"/>
  <c r="U1471" i="10" s="1"/>
  <c r="R1471" i="10"/>
  <c r="Q1471" i="10"/>
  <c r="P1471" i="10"/>
  <c r="Q1474" i="10" s="1"/>
  <c r="O1471" i="10"/>
  <c r="N1471" i="10"/>
  <c r="T1470" i="10"/>
  <c r="S1470" i="10"/>
  <c r="U1470" i="10" s="1"/>
  <c r="R1470" i="10"/>
  <c r="Q1470" i="10"/>
  <c r="P1470" i="10"/>
  <c r="Q1473" i="10" s="1"/>
  <c r="O1470" i="10"/>
  <c r="N1470" i="10"/>
  <c r="T1469" i="10"/>
  <c r="S1469" i="10"/>
  <c r="U1469" i="10" s="1"/>
  <c r="R1469" i="10"/>
  <c r="Q1469" i="10"/>
  <c r="P1469" i="10"/>
  <c r="O1469" i="10"/>
  <c r="N1469" i="10"/>
  <c r="T1468" i="10"/>
  <c r="S1468" i="10"/>
  <c r="U1468" i="10" s="1"/>
  <c r="R1468" i="10"/>
  <c r="Q1468" i="10"/>
  <c r="P1468" i="10"/>
  <c r="O1468" i="10"/>
  <c r="N1468" i="10"/>
  <c r="T1467" i="10"/>
  <c r="S1467" i="10"/>
  <c r="U1467" i="10" s="1"/>
  <c r="R1467" i="10"/>
  <c r="Q1467" i="10"/>
  <c r="P1467" i="10"/>
  <c r="O1467" i="10"/>
  <c r="N1467" i="10"/>
  <c r="T1466" i="10"/>
  <c r="S1466" i="10"/>
  <c r="U1466" i="10" s="1"/>
  <c r="R1466" i="10"/>
  <c r="Q1466" i="10"/>
  <c r="P1466" i="10"/>
  <c r="O1466" i="10"/>
  <c r="N1466" i="10"/>
  <c r="T1465" i="10"/>
  <c r="S1465" i="10"/>
  <c r="U1465" i="10" s="1"/>
  <c r="R1465" i="10"/>
  <c r="Q1465" i="10"/>
  <c r="P1465" i="10"/>
  <c r="O1465" i="10"/>
  <c r="N1465" i="10"/>
  <c r="T1464" i="10"/>
  <c r="S1464" i="10"/>
  <c r="U1464" i="10" s="1"/>
  <c r="R1464" i="10"/>
  <c r="Q1464" i="10"/>
  <c r="P1464" i="10"/>
  <c r="O1464" i="10"/>
  <c r="N1464" i="10"/>
  <c r="T1463" i="10"/>
  <c r="S1463" i="10"/>
  <c r="U1463" i="10" s="1"/>
  <c r="R1463" i="10"/>
  <c r="Q1463" i="10"/>
  <c r="P1463" i="10"/>
  <c r="O1463" i="10"/>
  <c r="N1463" i="10"/>
  <c r="T1462" i="10"/>
  <c r="S1462" i="10"/>
  <c r="U1462" i="10" s="1"/>
  <c r="R1462" i="10"/>
  <c r="Q1462" i="10"/>
  <c r="P1462" i="10"/>
  <c r="O1462" i="10"/>
  <c r="N1462" i="10"/>
  <c r="T1461" i="10"/>
  <c r="S1461" i="10"/>
  <c r="U1461" i="10" s="1"/>
  <c r="R1461" i="10"/>
  <c r="Q1461" i="10"/>
  <c r="P1461" i="10"/>
  <c r="O1461" i="10"/>
  <c r="N1461" i="10"/>
  <c r="T1460" i="10"/>
  <c r="S1460" i="10"/>
  <c r="U1460" i="10" s="1"/>
  <c r="R1460" i="10"/>
  <c r="Q1460" i="10"/>
  <c r="P1460" i="10"/>
  <c r="O1460" i="10"/>
  <c r="N1460" i="10"/>
  <c r="T1459" i="10"/>
  <c r="S1459" i="10"/>
  <c r="U1459" i="10" s="1"/>
  <c r="R1459" i="10"/>
  <c r="Q1459" i="10"/>
  <c r="P1459" i="10"/>
  <c r="O1459" i="10"/>
  <c r="N1459" i="10"/>
  <c r="T1458" i="10"/>
  <c r="S1458" i="10"/>
  <c r="U1458" i="10" s="1"/>
  <c r="R1458" i="10"/>
  <c r="Q1458" i="10"/>
  <c r="P1458" i="10"/>
  <c r="O1458" i="10"/>
  <c r="N1458" i="10"/>
  <c r="T1457" i="10"/>
  <c r="S1457" i="10"/>
  <c r="U1457" i="10" s="1"/>
  <c r="R1457" i="10"/>
  <c r="Q1457" i="10"/>
  <c r="P1457" i="10"/>
  <c r="O1457" i="10"/>
  <c r="N1457" i="10"/>
  <c r="T1456" i="10"/>
  <c r="S1456" i="10"/>
  <c r="U1456" i="10" s="1"/>
  <c r="R1456" i="10"/>
  <c r="Q1456" i="10"/>
  <c r="P1456" i="10"/>
  <c r="O1456" i="10"/>
  <c r="N1456" i="10"/>
  <c r="T1455" i="10"/>
  <c r="S1455" i="10"/>
  <c r="U1455" i="10" s="1"/>
  <c r="R1455" i="10"/>
  <c r="Q1455" i="10"/>
  <c r="P1455" i="10"/>
  <c r="O1455" i="10"/>
  <c r="N1455" i="10"/>
  <c r="T1454" i="10"/>
  <c r="S1454" i="10"/>
  <c r="U1454" i="10" s="1"/>
  <c r="R1454" i="10"/>
  <c r="Q1454" i="10"/>
  <c r="P1454" i="10"/>
  <c r="O1454" i="10"/>
  <c r="N1454" i="10"/>
  <c r="T1453" i="10"/>
  <c r="S1453" i="10"/>
  <c r="U1453" i="10" s="1"/>
  <c r="R1453" i="10"/>
  <c r="Q1453" i="10"/>
  <c r="P1453" i="10"/>
  <c r="O1453" i="10"/>
  <c r="N1453" i="10"/>
  <c r="T1452" i="10"/>
  <c r="S1452" i="10"/>
  <c r="U1452" i="10" s="1"/>
  <c r="R1452" i="10"/>
  <c r="Q1452" i="10"/>
  <c r="P1452" i="10"/>
  <c r="O1452" i="10"/>
  <c r="N1452" i="10"/>
  <c r="T1451" i="10"/>
  <c r="S1451" i="10"/>
  <c r="U1451" i="10" s="1"/>
  <c r="R1451" i="10"/>
  <c r="Q1451" i="10"/>
  <c r="P1451" i="10"/>
  <c r="O1451" i="10"/>
  <c r="N1451" i="10"/>
  <c r="T1450" i="10"/>
  <c r="S1450" i="10"/>
  <c r="U1450" i="10" s="1"/>
  <c r="R1450" i="10"/>
  <c r="Q1450" i="10"/>
  <c r="P1450" i="10"/>
  <c r="O1450" i="10"/>
  <c r="N1450" i="10"/>
  <c r="T1449" i="10"/>
  <c r="S1449" i="10"/>
  <c r="U1449" i="10" s="1"/>
  <c r="R1449" i="10"/>
  <c r="Q1449" i="10"/>
  <c r="P1449" i="10"/>
  <c r="O1449" i="10"/>
  <c r="N1449" i="10"/>
  <c r="T1448" i="10"/>
  <c r="S1448" i="10"/>
  <c r="U1448" i="10" s="1"/>
  <c r="R1448" i="10"/>
  <c r="Q1448" i="10"/>
  <c r="P1448" i="10"/>
  <c r="O1448" i="10"/>
  <c r="N1448" i="10"/>
  <c r="T1447" i="10"/>
  <c r="S1447" i="10"/>
  <c r="U1447" i="10" s="1"/>
  <c r="R1447" i="10"/>
  <c r="Q1447" i="10"/>
  <c r="P1447" i="10"/>
  <c r="O1447" i="10"/>
  <c r="N1447" i="10"/>
  <c r="T1446" i="10"/>
  <c r="S1446" i="10"/>
  <c r="U1446" i="10" s="1"/>
  <c r="R1446" i="10"/>
  <c r="Q1446" i="10"/>
  <c r="P1446" i="10"/>
  <c r="O1446" i="10"/>
  <c r="N1446" i="10"/>
  <c r="T1445" i="10"/>
  <c r="S1445" i="10"/>
  <c r="U1445" i="10" s="1"/>
  <c r="R1445" i="10"/>
  <c r="Q1445" i="10"/>
  <c r="P1445" i="10"/>
  <c r="O1445" i="10"/>
  <c r="N1445" i="10"/>
  <c r="T1444" i="10"/>
  <c r="S1444" i="10"/>
  <c r="U1444" i="10" s="1"/>
  <c r="R1444" i="10"/>
  <c r="Q1444" i="10"/>
  <c r="P1444" i="10"/>
  <c r="O1444" i="10"/>
  <c r="N1444" i="10"/>
  <c r="T1443" i="10"/>
  <c r="S1443" i="10"/>
  <c r="U1443" i="10" s="1"/>
  <c r="R1443" i="10"/>
  <c r="Q1443" i="10"/>
  <c r="P1443" i="10"/>
  <c r="O1443" i="10"/>
  <c r="N1443" i="10"/>
  <c r="T1442" i="10"/>
  <c r="S1442" i="10"/>
  <c r="U1442" i="10" s="1"/>
  <c r="R1442" i="10"/>
  <c r="Q1442" i="10"/>
  <c r="P1442" i="10"/>
  <c r="O1442" i="10"/>
  <c r="N1442" i="10"/>
  <c r="T1441" i="10"/>
  <c r="S1441" i="10"/>
  <c r="U1441" i="10" s="1"/>
  <c r="R1441" i="10"/>
  <c r="Q1441" i="10"/>
  <c r="P1441" i="10"/>
  <c r="O1441" i="10"/>
  <c r="N1441" i="10"/>
  <c r="T1440" i="10"/>
  <c r="S1440" i="10"/>
  <c r="U1440" i="10" s="1"/>
  <c r="R1440" i="10"/>
  <c r="Q1440" i="10"/>
  <c r="P1440" i="10"/>
  <c r="O1440" i="10"/>
  <c r="N1440" i="10"/>
  <c r="T1439" i="10"/>
  <c r="S1439" i="10"/>
  <c r="U1439" i="10" s="1"/>
  <c r="R1439" i="10"/>
  <c r="Q1439" i="10"/>
  <c r="P1439" i="10"/>
  <c r="O1439" i="10"/>
  <c r="N1439" i="10"/>
  <c r="T1438" i="10"/>
  <c r="S1438" i="10"/>
  <c r="U1438" i="10" s="1"/>
  <c r="R1438" i="10"/>
  <c r="Q1438" i="10"/>
  <c r="P1438" i="10"/>
  <c r="O1438" i="10"/>
  <c r="N1438" i="10"/>
  <c r="T1437" i="10"/>
  <c r="S1437" i="10"/>
  <c r="U1437" i="10" s="1"/>
  <c r="R1437" i="10"/>
  <c r="Q1437" i="10"/>
  <c r="P1437" i="10"/>
  <c r="O1437" i="10"/>
  <c r="N1437" i="10"/>
  <c r="T1436" i="10"/>
  <c r="S1436" i="10"/>
  <c r="U1436" i="10" s="1"/>
  <c r="R1436" i="10"/>
  <c r="Q1436" i="10"/>
  <c r="P1436" i="10"/>
  <c r="O1436" i="10"/>
  <c r="N1436" i="10"/>
  <c r="T1435" i="10"/>
  <c r="S1435" i="10"/>
  <c r="U1435" i="10" s="1"/>
  <c r="R1435" i="10"/>
  <c r="Q1435" i="10"/>
  <c r="P1435" i="10"/>
  <c r="O1435" i="10"/>
  <c r="N1435" i="10"/>
  <c r="T1434" i="10"/>
  <c r="S1434" i="10"/>
  <c r="U1434" i="10" s="1"/>
  <c r="R1434" i="10"/>
  <c r="Q1434" i="10"/>
  <c r="P1434" i="10"/>
  <c r="O1434" i="10"/>
  <c r="N1434" i="10"/>
  <c r="T1433" i="10"/>
  <c r="S1433" i="10"/>
  <c r="U1433" i="10" s="1"/>
  <c r="R1433" i="10"/>
  <c r="Q1433" i="10"/>
  <c r="P1433" i="10"/>
  <c r="O1433" i="10"/>
  <c r="N1433" i="10"/>
  <c r="T1432" i="10"/>
  <c r="S1432" i="10"/>
  <c r="U1432" i="10" s="1"/>
  <c r="R1432" i="10"/>
  <c r="Q1432" i="10"/>
  <c r="P1432" i="10"/>
  <c r="O1432" i="10"/>
  <c r="N1432" i="10"/>
  <c r="T1431" i="10"/>
  <c r="S1431" i="10"/>
  <c r="U1431" i="10" s="1"/>
  <c r="R1431" i="10"/>
  <c r="Q1431" i="10"/>
  <c r="P1431" i="10"/>
  <c r="O1431" i="10"/>
  <c r="N1431" i="10"/>
  <c r="T1430" i="10"/>
  <c r="S1430" i="10"/>
  <c r="U1430" i="10" s="1"/>
  <c r="R1430" i="10"/>
  <c r="Q1430" i="10"/>
  <c r="P1430" i="10"/>
  <c r="O1430" i="10"/>
  <c r="N1430" i="10"/>
  <c r="T1429" i="10"/>
  <c r="S1429" i="10"/>
  <c r="U1429" i="10" s="1"/>
  <c r="R1429" i="10"/>
  <c r="Q1429" i="10"/>
  <c r="P1429" i="10"/>
  <c r="O1429" i="10"/>
  <c r="N1429" i="10"/>
  <c r="T1428" i="10"/>
  <c r="S1428" i="10"/>
  <c r="U1428" i="10" s="1"/>
  <c r="R1428" i="10"/>
  <c r="Q1428" i="10"/>
  <c r="P1428" i="10"/>
  <c r="O1428" i="10"/>
  <c r="N1428" i="10"/>
  <c r="T1427" i="10"/>
  <c r="S1427" i="10"/>
  <c r="U1427" i="10" s="1"/>
  <c r="R1427" i="10"/>
  <c r="Q1427" i="10"/>
  <c r="P1427" i="10"/>
  <c r="O1427" i="10"/>
  <c r="N1427" i="10"/>
  <c r="T1426" i="10"/>
  <c r="S1426" i="10"/>
  <c r="U1426" i="10" s="1"/>
  <c r="R1426" i="10"/>
  <c r="Q1426" i="10"/>
  <c r="P1426" i="10"/>
  <c r="O1426" i="10"/>
  <c r="N1426" i="10"/>
  <c r="T1425" i="10"/>
  <c r="S1425" i="10"/>
  <c r="U1425" i="10" s="1"/>
  <c r="R1425" i="10"/>
  <c r="Q1425" i="10"/>
  <c r="P1425" i="10"/>
  <c r="O1425" i="10"/>
  <c r="N1425" i="10"/>
  <c r="T1424" i="10"/>
  <c r="S1424" i="10"/>
  <c r="U1424" i="10" s="1"/>
  <c r="R1424" i="10"/>
  <c r="Q1424" i="10"/>
  <c r="P1424" i="10"/>
  <c r="O1424" i="10"/>
  <c r="N1424" i="10"/>
  <c r="T1423" i="10"/>
  <c r="S1423" i="10"/>
  <c r="U1423" i="10" s="1"/>
  <c r="R1423" i="10"/>
  <c r="Q1423" i="10"/>
  <c r="P1423" i="10"/>
  <c r="O1423" i="10"/>
  <c r="N1423" i="10"/>
  <c r="T1422" i="10"/>
  <c r="S1422" i="10"/>
  <c r="U1422" i="10" s="1"/>
  <c r="R1422" i="10"/>
  <c r="Q1422" i="10"/>
  <c r="P1422" i="10"/>
  <c r="O1422" i="10"/>
  <c r="N1422" i="10"/>
  <c r="T1421" i="10"/>
  <c r="S1421" i="10"/>
  <c r="U1421" i="10" s="1"/>
  <c r="R1421" i="10"/>
  <c r="Q1421" i="10"/>
  <c r="P1421" i="10"/>
  <c r="O1421" i="10"/>
  <c r="N1421" i="10"/>
  <c r="T1420" i="10"/>
  <c r="S1420" i="10"/>
  <c r="U1420" i="10" s="1"/>
  <c r="R1420" i="10"/>
  <c r="Q1420" i="10"/>
  <c r="P1420" i="10"/>
  <c r="O1420" i="10"/>
  <c r="N1420" i="10"/>
  <c r="T1419" i="10"/>
  <c r="S1419" i="10"/>
  <c r="U1419" i="10" s="1"/>
  <c r="R1419" i="10"/>
  <c r="Q1419" i="10"/>
  <c r="P1419" i="10"/>
  <c r="O1419" i="10"/>
  <c r="N1419" i="10"/>
  <c r="T1418" i="10"/>
  <c r="S1418" i="10"/>
  <c r="U1418" i="10" s="1"/>
  <c r="R1418" i="10"/>
  <c r="Q1418" i="10"/>
  <c r="P1418" i="10"/>
  <c r="O1418" i="10"/>
  <c r="N1418" i="10"/>
  <c r="T1417" i="10"/>
  <c r="S1417" i="10"/>
  <c r="U1417" i="10" s="1"/>
  <c r="R1417" i="10"/>
  <c r="Q1417" i="10"/>
  <c r="P1417" i="10"/>
  <c r="O1417" i="10"/>
  <c r="N1417" i="10"/>
  <c r="T1416" i="10"/>
  <c r="S1416" i="10"/>
  <c r="U1416" i="10" s="1"/>
  <c r="R1416" i="10"/>
  <c r="Q1416" i="10"/>
  <c r="P1416" i="10"/>
  <c r="O1416" i="10"/>
  <c r="N1416" i="10"/>
  <c r="T1415" i="10"/>
  <c r="S1415" i="10"/>
  <c r="U1415" i="10" s="1"/>
  <c r="R1415" i="10"/>
  <c r="Q1415" i="10"/>
  <c r="P1415" i="10"/>
  <c r="O1415" i="10"/>
  <c r="N1415" i="10"/>
  <c r="T1414" i="10"/>
  <c r="S1414" i="10"/>
  <c r="U1414" i="10" s="1"/>
  <c r="R1414" i="10"/>
  <c r="Q1414" i="10"/>
  <c r="P1414" i="10"/>
  <c r="O1414" i="10"/>
  <c r="N1414" i="10"/>
  <c r="T1413" i="10"/>
  <c r="S1413" i="10"/>
  <c r="U1413" i="10" s="1"/>
  <c r="R1413" i="10"/>
  <c r="Q1413" i="10"/>
  <c r="P1413" i="10"/>
  <c r="O1413" i="10"/>
  <c r="N1413" i="10"/>
  <c r="T1412" i="10"/>
  <c r="S1412" i="10"/>
  <c r="U1412" i="10" s="1"/>
  <c r="R1412" i="10"/>
  <c r="Q1412" i="10"/>
  <c r="P1412" i="10"/>
  <c r="O1412" i="10"/>
  <c r="N1412" i="10"/>
  <c r="T1411" i="10"/>
  <c r="S1411" i="10"/>
  <c r="U1411" i="10" s="1"/>
  <c r="R1411" i="10"/>
  <c r="Q1411" i="10"/>
  <c r="P1411" i="10"/>
  <c r="O1411" i="10"/>
  <c r="N1411" i="10"/>
  <c r="T1410" i="10"/>
  <c r="S1410" i="10"/>
  <c r="U1410" i="10" s="1"/>
  <c r="R1410" i="10"/>
  <c r="Q1410" i="10"/>
  <c r="P1410" i="10"/>
  <c r="O1410" i="10"/>
  <c r="N1410" i="10"/>
  <c r="T1409" i="10"/>
  <c r="S1409" i="10"/>
  <c r="U1409" i="10" s="1"/>
  <c r="R1409" i="10"/>
  <c r="Q1409" i="10"/>
  <c r="P1409" i="10"/>
  <c r="O1409" i="10"/>
  <c r="N1409" i="10"/>
  <c r="T1408" i="10"/>
  <c r="S1408" i="10"/>
  <c r="U1408" i="10" s="1"/>
  <c r="R1408" i="10"/>
  <c r="Q1408" i="10"/>
  <c r="P1408" i="10"/>
  <c r="O1408" i="10"/>
  <c r="N1408" i="10"/>
  <c r="T1407" i="10"/>
  <c r="S1407" i="10"/>
  <c r="U1407" i="10" s="1"/>
  <c r="R1407" i="10"/>
  <c r="Q1407" i="10"/>
  <c r="P1407" i="10"/>
  <c r="O1407" i="10"/>
  <c r="N1407" i="10"/>
  <c r="T1406" i="10"/>
  <c r="S1406" i="10"/>
  <c r="U1406" i="10" s="1"/>
  <c r="R1406" i="10"/>
  <c r="Q1406" i="10"/>
  <c r="P1406" i="10"/>
  <c r="O1406" i="10"/>
  <c r="N1406" i="10"/>
  <c r="T1405" i="10"/>
  <c r="S1405" i="10"/>
  <c r="U1405" i="10" s="1"/>
  <c r="R1405" i="10"/>
  <c r="Q1405" i="10"/>
  <c r="P1405" i="10"/>
  <c r="O1405" i="10"/>
  <c r="N1405" i="10"/>
  <c r="T1404" i="10"/>
  <c r="S1404" i="10"/>
  <c r="U1404" i="10" s="1"/>
  <c r="R1404" i="10"/>
  <c r="Q1404" i="10"/>
  <c r="P1404" i="10"/>
  <c r="O1404" i="10"/>
  <c r="N1404" i="10"/>
  <c r="T1403" i="10"/>
  <c r="S1403" i="10"/>
  <c r="U1403" i="10" s="1"/>
  <c r="R1403" i="10"/>
  <c r="Q1403" i="10"/>
  <c r="P1403" i="10"/>
  <c r="O1403" i="10"/>
  <c r="N1403" i="10"/>
  <c r="T1402" i="10"/>
  <c r="S1402" i="10"/>
  <c r="U1402" i="10" s="1"/>
  <c r="R1402" i="10"/>
  <c r="Q1402" i="10"/>
  <c r="P1402" i="10"/>
  <c r="O1402" i="10"/>
  <c r="N1402" i="10"/>
  <c r="T1401" i="10"/>
  <c r="S1401" i="10"/>
  <c r="U1401" i="10" s="1"/>
  <c r="R1401" i="10"/>
  <c r="Q1401" i="10"/>
  <c r="P1401" i="10"/>
  <c r="O1401" i="10"/>
  <c r="N1401" i="10"/>
  <c r="T1400" i="10"/>
  <c r="S1400" i="10"/>
  <c r="U1400" i="10" s="1"/>
  <c r="R1400" i="10"/>
  <c r="Q1400" i="10"/>
  <c r="P1400" i="10"/>
  <c r="O1400" i="10"/>
  <c r="N1400" i="10"/>
  <c r="T1399" i="10"/>
  <c r="S1399" i="10"/>
  <c r="U1399" i="10" s="1"/>
  <c r="R1399" i="10"/>
  <c r="Q1399" i="10"/>
  <c r="P1399" i="10"/>
  <c r="O1399" i="10"/>
  <c r="N1399" i="10"/>
  <c r="T1398" i="10"/>
  <c r="S1398" i="10"/>
  <c r="U1398" i="10" s="1"/>
  <c r="R1398" i="10"/>
  <c r="Q1398" i="10"/>
  <c r="P1398" i="10"/>
  <c r="O1398" i="10"/>
  <c r="N1398" i="10"/>
  <c r="T1397" i="10"/>
  <c r="S1397" i="10"/>
  <c r="U1397" i="10" s="1"/>
  <c r="R1397" i="10"/>
  <c r="Q1397" i="10"/>
  <c r="P1397" i="10"/>
  <c r="O1397" i="10"/>
  <c r="N1397" i="10"/>
  <c r="T1396" i="10"/>
  <c r="S1396" i="10"/>
  <c r="U1396" i="10" s="1"/>
  <c r="R1396" i="10"/>
  <c r="Q1396" i="10"/>
  <c r="P1396" i="10"/>
  <c r="O1396" i="10"/>
  <c r="N1396" i="10"/>
  <c r="T1395" i="10"/>
  <c r="S1395" i="10"/>
  <c r="U1395" i="10" s="1"/>
  <c r="R1395" i="10"/>
  <c r="Q1395" i="10"/>
  <c r="P1395" i="10"/>
  <c r="O1395" i="10"/>
  <c r="N1395" i="10"/>
  <c r="T1394" i="10"/>
  <c r="S1394" i="10"/>
  <c r="U1394" i="10" s="1"/>
  <c r="R1394" i="10"/>
  <c r="Q1394" i="10"/>
  <c r="P1394" i="10"/>
  <c r="O1394" i="10"/>
  <c r="N1394" i="10"/>
  <c r="T1393" i="10"/>
  <c r="S1393" i="10"/>
  <c r="U1393" i="10" s="1"/>
  <c r="R1393" i="10"/>
  <c r="Q1393" i="10"/>
  <c r="P1393" i="10"/>
  <c r="O1393" i="10"/>
  <c r="N1393" i="10"/>
  <c r="T1392" i="10"/>
  <c r="S1392" i="10"/>
  <c r="U1392" i="10" s="1"/>
  <c r="R1392" i="10"/>
  <c r="Q1392" i="10"/>
  <c r="P1392" i="10"/>
  <c r="O1392" i="10"/>
  <c r="N1392" i="10"/>
  <c r="T1391" i="10"/>
  <c r="S1391" i="10"/>
  <c r="U1391" i="10" s="1"/>
  <c r="R1391" i="10"/>
  <c r="Q1391" i="10"/>
  <c r="P1391" i="10"/>
  <c r="O1391" i="10"/>
  <c r="N1391" i="10"/>
  <c r="T1390" i="10"/>
  <c r="S1390" i="10"/>
  <c r="U1390" i="10" s="1"/>
  <c r="R1390" i="10"/>
  <c r="Q1390" i="10"/>
  <c r="P1390" i="10"/>
  <c r="O1390" i="10"/>
  <c r="N1390" i="10"/>
  <c r="T1389" i="10"/>
  <c r="S1389" i="10"/>
  <c r="U1389" i="10" s="1"/>
  <c r="R1389" i="10"/>
  <c r="Q1389" i="10"/>
  <c r="P1389" i="10"/>
  <c r="O1389" i="10"/>
  <c r="N1389" i="10"/>
  <c r="T1388" i="10"/>
  <c r="S1388" i="10"/>
  <c r="U1388" i="10" s="1"/>
  <c r="R1388" i="10"/>
  <c r="Q1388" i="10"/>
  <c r="P1388" i="10"/>
  <c r="O1388" i="10"/>
  <c r="N1388" i="10"/>
  <c r="T1387" i="10"/>
  <c r="S1387" i="10"/>
  <c r="U1387" i="10" s="1"/>
  <c r="R1387" i="10"/>
  <c r="Q1387" i="10"/>
  <c r="P1387" i="10"/>
  <c r="O1387" i="10"/>
  <c r="N1387" i="10"/>
  <c r="T1386" i="10"/>
  <c r="S1386" i="10"/>
  <c r="U1386" i="10" s="1"/>
  <c r="R1386" i="10"/>
  <c r="Q1386" i="10"/>
  <c r="P1386" i="10"/>
  <c r="O1386" i="10"/>
  <c r="N1386" i="10"/>
  <c r="T1385" i="10"/>
  <c r="S1385" i="10"/>
  <c r="U1385" i="10" s="1"/>
  <c r="R1385" i="10"/>
  <c r="Q1385" i="10"/>
  <c r="P1385" i="10"/>
  <c r="O1385" i="10"/>
  <c r="N1385" i="10"/>
  <c r="T1384" i="10"/>
  <c r="S1384" i="10"/>
  <c r="U1384" i="10" s="1"/>
  <c r="R1384" i="10"/>
  <c r="Q1384" i="10"/>
  <c r="P1384" i="10"/>
  <c r="O1384" i="10"/>
  <c r="N1384" i="10"/>
  <c r="T1383" i="10"/>
  <c r="S1383" i="10"/>
  <c r="U1383" i="10" s="1"/>
  <c r="R1383" i="10"/>
  <c r="Q1383" i="10"/>
  <c r="P1383" i="10"/>
  <c r="O1383" i="10"/>
  <c r="N1383" i="10"/>
  <c r="T1382" i="10"/>
  <c r="S1382" i="10"/>
  <c r="U1382" i="10" s="1"/>
  <c r="R1382" i="10"/>
  <c r="Q1382" i="10"/>
  <c r="P1382" i="10"/>
  <c r="O1382" i="10"/>
  <c r="N1382" i="10"/>
  <c r="T1381" i="10"/>
  <c r="S1381" i="10"/>
  <c r="U1381" i="10" s="1"/>
  <c r="R1381" i="10"/>
  <c r="Q1381" i="10"/>
  <c r="P1381" i="10"/>
  <c r="O1381" i="10"/>
  <c r="N1381" i="10"/>
  <c r="T1380" i="10"/>
  <c r="S1380" i="10"/>
  <c r="U1380" i="10" s="1"/>
  <c r="R1380" i="10"/>
  <c r="Q1380" i="10"/>
  <c r="P1380" i="10"/>
  <c r="O1380" i="10"/>
  <c r="N1380" i="10"/>
  <c r="T1379" i="10"/>
  <c r="S1379" i="10"/>
  <c r="U1379" i="10" s="1"/>
  <c r="R1379" i="10"/>
  <c r="Q1379" i="10"/>
  <c r="P1379" i="10"/>
  <c r="O1379" i="10"/>
  <c r="N1379" i="10"/>
  <c r="T1378" i="10"/>
  <c r="S1378" i="10"/>
  <c r="U1378" i="10" s="1"/>
  <c r="R1378" i="10"/>
  <c r="Q1378" i="10"/>
  <c r="P1378" i="10"/>
  <c r="O1378" i="10"/>
  <c r="N1378" i="10"/>
  <c r="T1377" i="10"/>
  <c r="S1377" i="10"/>
  <c r="U1377" i="10" s="1"/>
  <c r="R1377" i="10"/>
  <c r="Q1377" i="10"/>
  <c r="P1377" i="10"/>
  <c r="O1377" i="10"/>
  <c r="N1377" i="10"/>
  <c r="T1376" i="10"/>
  <c r="S1376" i="10"/>
  <c r="U1376" i="10" s="1"/>
  <c r="R1376" i="10"/>
  <c r="Q1376" i="10"/>
  <c r="P1376" i="10"/>
  <c r="O1376" i="10"/>
  <c r="N1376" i="10"/>
  <c r="T1375" i="10"/>
  <c r="S1375" i="10"/>
  <c r="U1375" i="10" s="1"/>
  <c r="R1375" i="10"/>
  <c r="Q1375" i="10"/>
  <c r="P1375" i="10"/>
  <c r="O1375" i="10"/>
  <c r="N1375" i="10"/>
  <c r="T1374" i="10"/>
  <c r="S1374" i="10"/>
  <c r="U1374" i="10" s="1"/>
  <c r="R1374" i="10"/>
  <c r="Q1374" i="10"/>
  <c r="P1374" i="10"/>
  <c r="O1374" i="10"/>
  <c r="N1374" i="10"/>
  <c r="T1373" i="10"/>
  <c r="S1373" i="10"/>
  <c r="U1373" i="10" s="1"/>
  <c r="R1373" i="10"/>
  <c r="Q1373" i="10"/>
  <c r="P1373" i="10"/>
  <c r="O1373" i="10"/>
  <c r="N1373" i="10"/>
  <c r="T1372" i="10"/>
  <c r="S1372" i="10"/>
  <c r="U1372" i="10" s="1"/>
  <c r="R1372" i="10"/>
  <c r="Q1372" i="10"/>
  <c r="P1372" i="10"/>
  <c r="O1372" i="10"/>
  <c r="N1372" i="10"/>
  <c r="T1371" i="10"/>
  <c r="S1371" i="10"/>
  <c r="U1371" i="10" s="1"/>
  <c r="R1371" i="10"/>
  <c r="Q1371" i="10"/>
  <c r="P1371" i="10"/>
  <c r="O1371" i="10"/>
  <c r="N1371" i="10"/>
  <c r="T1370" i="10"/>
  <c r="S1370" i="10"/>
  <c r="U1370" i="10" s="1"/>
  <c r="R1370" i="10"/>
  <c r="Q1370" i="10"/>
  <c r="P1370" i="10"/>
  <c r="O1370" i="10"/>
  <c r="N1370" i="10"/>
  <c r="T1369" i="10"/>
  <c r="S1369" i="10"/>
  <c r="U1369" i="10" s="1"/>
  <c r="R1369" i="10"/>
  <c r="Q1369" i="10"/>
  <c r="P1369" i="10"/>
  <c r="O1369" i="10"/>
  <c r="N1369" i="10"/>
  <c r="T1368" i="10"/>
  <c r="S1368" i="10"/>
  <c r="U1368" i="10" s="1"/>
  <c r="R1368" i="10"/>
  <c r="Q1368" i="10"/>
  <c r="P1368" i="10"/>
  <c r="O1368" i="10"/>
  <c r="N1368" i="10"/>
  <c r="T1367" i="10"/>
  <c r="S1367" i="10"/>
  <c r="U1367" i="10" s="1"/>
  <c r="R1367" i="10"/>
  <c r="Q1367" i="10"/>
  <c r="P1367" i="10"/>
  <c r="O1367" i="10"/>
  <c r="N1367" i="10"/>
  <c r="T1366" i="10"/>
  <c r="S1366" i="10"/>
  <c r="U1366" i="10" s="1"/>
  <c r="R1366" i="10"/>
  <c r="Q1366" i="10"/>
  <c r="P1366" i="10"/>
  <c r="O1366" i="10"/>
  <c r="N1366" i="10"/>
  <c r="T1365" i="10"/>
  <c r="S1365" i="10"/>
  <c r="U1365" i="10" s="1"/>
  <c r="R1365" i="10"/>
  <c r="Q1365" i="10"/>
  <c r="P1365" i="10"/>
  <c r="O1365" i="10"/>
  <c r="N1365" i="10"/>
  <c r="T1364" i="10"/>
  <c r="S1364" i="10"/>
  <c r="U1364" i="10" s="1"/>
  <c r="R1364" i="10"/>
  <c r="Q1364" i="10"/>
  <c r="P1364" i="10"/>
  <c r="O1364" i="10"/>
  <c r="N1364" i="10"/>
  <c r="T1363" i="10"/>
  <c r="S1363" i="10"/>
  <c r="U1363" i="10" s="1"/>
  <c r="R1363" i="10"/>
  <c r="Q1363" i="10"/>
  <c r="P1363" i="10"/>
  <c r="O1363" i="10"/>
  <c r="N1363" i="10"/>
  <c r="T1362" i="10"/>
  <c r="S1362" i="10"/>
  <c r="U1362" i="10" s="1"/>
  <c r="R1362" i="10"/>
  <c r="Q1362" i="10"/>
  <c r="P1362" i="10"/>
  <c r="O1362" i="10"/>
  <c r="N1362" i="10"/>
  <c r="T1361" i="10"/>
  <c r="S1361" i="10"/>
  <c r="U1361" i="10" s="1"/>
  <c r="R1361" i="10"/>
  <c r="Q1361" i="10"/>
  <c r="P1361" i="10"/>
  <c r="O1361" i="10"/>
  <c r="N1361" i="10"/>
  <c r="T1360" i="10"/>
  <c r="S1360" i="10"/>
  <c r="U1360" i="10" s="1"/>
  <c r="R1360" i="10"/>
  <c r="Q1360" i="10"/>
  <c r="P1360" i="10"/>
  <c r="O1360" i="10"/>
  <c r="N1360" i="10"/>
  <c r="T1359" i="10"/>
  <c r="S1359" i="10"/>
  <c r="U1359" i="10" s="1"/>
  <c r="R1359" i="10"/>
  <c r="Q1359" i="10"/>
  <c r="P1359" i="10"/>
  <c r="O1359" i="10"/>
  <c r="N1359" i="10"/>
  <c r="T1358" i="10"/>
  <c r="S1358" i="10"/>
  <c r="U1358" i="10" s="1"/>
  <c r="R1358" i="10"/>
  <c r="Q1358" i="10"/>
  <c r="P1358" i="10"/>
  <c r="O1358" i="10"/>
  <c r="N1358" i="10"/>
  <c r="T1357" i="10"/>
  <c r="S1357" i="10"/>
  <c r="U1357" i="10" s="1"/>
  <c r="R1357" i="10"/>
  <c r="Q1357" i="10"/>
  <c r="P1357" i="10"/>
  <c r="O1357" i="10"/>
  <c r="N1357" i="10"/>
  <c r="T1356" i="10"/>
  <c r="S1356" i="10"/>
  <c r="U1356" i="10" s="1"/>
  <c r="R1356" i="10"/>
  <c r="Q1356" i="10"/>
  <c r="P1356" i="10"/>
  <c r="O1356" i="10"/>
  <c r="N1356" i="10"/>
  <c r="T1355" i="10"/>
  <c r="S1355" i="10"/>
  <c r="U1355" i="10" s="1"/>
  <c r="R1355" i="10"/>
  <c r="Q1355" i="10"/>
  <c r="P1355" i="10"/>
  <c r="O1355" i="10"/>
  <c r="N1355" i="10"/>
  <c r="T1354" i="10"/>
  <c r="S1354" i="10"/>
  <c r="U1354" i="10" s="1"/>
  <c r="R1354" i="10"/>
  <c r="Q1354" i="10"/>
  <c r="P1354" i="10"/>
  <c r="O1354" i="10"/>
  <c r="N1354" i="10"/>
  <c r="T1353" i="10"/>
  <c r="S1353" i="10"/>
  <c r="U1353" i="10" s="1"/>
  <c r="R1353" i="10"/>
  <c r="Q1353" i="10"/>
  <c r="P1353" i="10"/>
  <c r="O1353" i="10"/>
  <c r="N1353" i="10"/>
  <c r="T1352" i="10"/>
  <c r="S1352" i="10"/>
  <c r="U1352" i="10" s="1"/>
  <c r="R1352" i="10"/>
  <c r="Q1352" i="10"/>
  <c r="P1352" i="10"/>
  <c r="O1352" i="10"/>
  <c r="N1352" i="10"/>
  <c r="T1351" i="10"/>
  <c r="S1351" i="10"/>
  <c r="U1351" i="10" s="1"/>
  <c r="R1351" i="10"/>
  <c r="Q1351" i="10"/>
  <c r="P1351" i="10"/>
  <c r="O1351" i="10"/>
  <c r="N1351" i="10"/>
  <c r="T1350" i="10"/>
  <c r="S1350" i="10"/>
  <c r="U1350" i="10" s="1"/>
  <c r="R1350" i="10"/>
  <c r="Q1350" i="10"/>
  <c r="P1350" i="10"/>
  <c r="O1350" i="10"/>
  <c r="N1350" i="10"/>
  <c r="T1349" i="10"/>
  <c r="S1349" i="10"/>
  <c r="U1349" i="10" s="1"/>
  <c r="R1349" i="10"/>
  <c r="Q1349" i="10"/>
  <c r="P1349" i="10"/>
  <c r="O1349" i="10"/>
  <c r="N1349" i="10"/>
  <c r="T1348" i="10"/>
  <c r="S1348" i="10"/>
  <c r="U1348" i="10" s="1"/>
  <c r="R1348" i="10"/>
  <c r="Q1348" i="10"/>
  <c r="P1348" i="10"/>
  <c r="O1348" i="10"/>
  <c r="N1348" i="10"/>
  <c r="T1347" i="10"/>
  <c r="S1347" i="10"/>
  <c r="U1347" i="10" s="1"/>
  <c r="R1347" i="10"/>
  <c r="Q1347" i="10"/>
  <c r="P1347" i="10"/>
  <c r="O1347" i="10"/>
  <c r="N1347" i="10"/>
  <c r="T1346" i="10"/>
  <c r="S1346" i="10"/>
  <c r="U1346" i="10" s="1"/>
  <c r="R1346" i="10"/>
  <c r="Q1346" i="10"/>
  <c r="P1346" i="10"/>
  <c r="O1346" i="10"/>
  <c r="N1346" i="10"/>
  <c r="T1345" i="10"/>
  <c r="S1345" i="10"/>
  <c r="U1345" i="10" s="1"/>
  <c r="R1345" i="10"/>
  <c r="Q1345" i="10"/>
  <c r="P1345" i="10"/>
  <c r="O1345" i="10"/>
  <c r="N1345" i="10"/>
  <c r="T1344" i="10"/>
  <c r="S1344" i="10"/>
  <c r="U1344" i="10" s="1"/>
  <c r="R1344" i="10"/>
  <c r="Q1344" i="10"/>
  <c r="P1344" i="10"/>
  <c r="O1344" i="10"/>
  <c r="N1344" i="10"/>
  <c r="T1343" i="10"/>
  <c r="S1343" i="10"/>
  <c r="U1343" i="10" s="1"/>
  <c r="R1343" i="10"/>
  <c r="Q1343" i="10"/>
  <c r="P1343" i="10"/>
  <c r="O1343" i="10"/>
  <c r="N1343" i="10"/>
  <c r="T1342" i="10"/>
  <c r="S1342" i="10"/>
  <c r="U1342" i="10" s="1"/>
  <c r="R1342" i="10"/>
  <c r="Q1342" i="10"/>
  <c r="P1342" i="10"/>
  <c r="O1342" i="10"/>
  <c r="N1342" i="10"/>
  <c r="T1341" i="10"/>
  <c r="S1341" i="10"/>
  <c r="U1341" i="10" s="1"/>
  <c r="R1341" i="10"/>
  <c r="Q1341" i="10"/>
  <c r="P1341" i="10"/>
  <c r="O1341" i="10"/>
  <c r="N1341" i="10"/>
  <c r="T1340" i="10"/>
  <c r="S1340" i="10"/>
  <c r="U1340" i="10" s="1"/>
  <c r="R1340" i="10"/>
  <c r="Q1340" i="10"/>
  <c r="P1340" i="10"/>
  <c r="O1340" i="10"/>
  <c r="N1340" i="10"/>
  <c r="T1339" i="10"/>
  <c r="S1339" i="10"/>
  <c r="U1339" i="10" s="1"/>
  <c r="R1339" i="10"/>
  <c r="Q1339" i="10"/>
  <c r="P1339" i="10"/>
  <c r="O1339" i="10"/>
  <c r="N1339" i="10"/>
  <c r="T1338" i="10"/>
  <c r="S1338" i="10"/>
  <c r="U1338" i="10" s="1"/>
  <c r="R1338" i="10"/>
  <c r="Q1338" i="10"/>
  <c r="P1338" i="10"/>
  <c r="O1338" i="10"/>
  <c r="N1338" i="10"/>
  <c r="T1337" i="10"/>
  <c r="S1337" i="10"/>
  <c r="U1337" i="10" s="1"/>
  <c r="R1337" i="10"/>
  <c r="Q1337" i="10"/>
  <c r="P1337" i="10"/>
  <c r="O1337" i="10"/>
  <c r="N1337" i="10"/>
  <c r="T1336" i="10"/>
  <c r="S1336" i="10"/>
  <c r="U1336" i="10" s="1"/>
  <c r="R1336" i="10"/>
  <c r="Q1336" i="10"/>
  <c r="P1336" i="10"/>
  <c r="O1336" i="10"/>
  <c r="N1336" i="10"/>
  <c r="T1335" i="10"/>
  <c r="S1335" i="10"/>
  <c r="U1335" i="10" s="1"/>
  <c r="R1335" i="10"/>
  <c r="Q1335" i="10"/>
  <c r="P1335" i="10"/>
  <c r="O1335" i="10"/>
  <c r="N1335" i="10"/>
  <c r="T1334" i="10"/>
  <c r="S1334" i="10"/>
  <c r="U1334" i="10" s="1"/>
  <c r="R1334" i="10"/>
  <c r="Q1334" i="10"/>
  <c r="P1334" i="10"/>
  <c r="O1334" i="10"/>
  <c r="N1334" i="10"/>
  <c r="T1333" i="10"/>
  <c r="S1333" i="10"/>
  <c r="U1333" i="10" s="1"/>
  <c r="R1333" i="10"/>
  <c r="Q1333" i="10"/>
  <c r="P1333" i="10"/>
  <c r="O1333" i="10"/>
  <c r="N1333" i="10"/>
  <c r="T1332" i="10"/>
  <c r="S1332" i="10"/>
  <c r="U1332" i="10" s="1"/>
  <c r="R1332" i="10"/>
  <c r="Q1332" i="10"/>
  <c r="P1332" i="10"/>
  <c r="O1332" i="10"/>
  <c r="N1332" i="10"/>
  <c r="T1331" i="10"/>
  <c r="S1331" i="10"/>
  <c r="U1331" i="10" s="1"/>
  <c r="R1331" i="10"/>
  <c r="Q1331" i="10"/>
  <c r="P1331" i="10"/>
  <c r="O1331" i="10"/>
  <c r="N1331" i="10"/>
  <c r="T1330" i="10"/>
  <c r="S1330" i="10"/>
  <c r="U1330" i="10" s="1"/>
  <c r="R1330" i="10"/>
  <c r="Q1330" i="10"/>
  <c r="P1330" i="10"/>
  <c r="O1330" i="10"/>
  <c r="N1330" i="10"/>
  <c r="T1329" i="10"/>
  <c r="S1329" i="10"/>
  <c r="U1329" i="10" s="1"/>
  <c r="R1329" i="10"/>
  <c r="Q1329" i="10"/>
  <c r="P1329" i="10"/>
  <c r="O1329" i="10"/>
  <c r="N1329" i="10"/>
  <c r="T1328" i="10"/>
  <c r="S1328" i="10"/>
  <c r="U1328" i="10" s="1"/>
  <c r="R1328" i="10"/>
  <c r="Q1328" i="10"/>
  <c r="P1328" i="10"/>
  <c r="O1328" i="10"/>
  <c r="N1328" i="10"/>
  <c r="T1327" i="10"/>
  <c r="S1327" i="10"/>
  <c r="U1327" i="10" s="1"/>
  <c r="R1327" i="10"/>
  <c r="Q1327" i="10"/>
  <c r="P1327" i="10"/>
  <c r="O1327" i="10"/>
  <c r="N1327" i="10"/>
  <c r="T1326" i="10"/>
  <c r="S1326" i="10"/>
  <c r="U1326" i="10" s="1"/>
  <c r="R1326" i="10"/>
  <c r="Q1326" i="10"/>
  <c r="P1326" i="10"/>
  <c r="O1326" i="10"/>
  <c r="N1326" i="10"/>
  <c r="T1325" i="10"/>
  <c r="S1325" i="10"/>
  <c r="U1325" i="10" s="1"/>
  <c r="R1325" i="10"/>
  <c r="Q1325" i="10"/>
  <c r="P1325" i="10"/>
  <c r="O1325" i="10"/>
  <c r="N1325" i="10"/>
  <c r="T1324" i="10"/>
  <c r="S1324" i="10"/>
  <c r="U1324" i="10" s="1"/>
  <c r="R1324" i="10"/>
  <c r="Q1324" i="10"/>
  <c r="P1324" i="10"/>
  <c r="O1324" i="10"/>
  <c r="N1324" i="10"/>
  <c r="T1323" i="10"/>
  <c r="S1323" i="10"/>
  <c r="U1323" i="10" s="1"/>
  <c r="R1323" i="10"/>
  <c r="Q1323" i="10"/>
  <c r="P1323" i="10"/>
  <c r="O1323" i="10"/>
  <c r="N1323" i="10"/>
  <c r="T1322" i="10"/>
  <c r="S1322" i="10"/>
  <c r="U1322" i="10" s="1"/>
  <c r="R1322" i="10"/>
  <c r="Q1322" i="10"/>
  <c r="P1322" i="10"/>
  <c r="O1322" i="10"/>
  <c r="N1322" i="10"/>
  <c r="T1321" i="10"/>
  <c r="S1321" i="10"/>
  <c r="U1321" i="10" s="1"/>
  <c r="R1321" i="10"/>
  <c r="Q1321" i="10"/>
  <c r="P1321" i="10"/>
  <c r="O1321" i="10"/>
  <c r="N1321" i="10"/>
  <c r="T1320" i="10"/>
  <c r="S1320" i="10"/>
  <c r="U1320" i="10" s="1"/>
  <c r="R1320" i="10"/>
  <c r="Q1320" i="10"/>
  <c r="P1320" i="10"/>
  <c r="O1320" i="10"/>
  <c r="N1320" i="10"/>
  <c r="T1319" i="10"/>
  <c r="S1319" i="10"/>
  <c r="U1319" i="10" s="1"/>
  <c r="R1319" i="10"/>
  <c r="Q1319" i="10"/>
  <c r="P1319" i="10"/>
  <c r="O1319" i="10"/>
  <c r="N1319" i="10"/>
  <c r="T1318" i="10"/>
  <c r="S1318" i="10"/>
  <c r="U1318" i="10" s="1"/>
  <c r="R1318" i="10"/>
  <c r="Q1318" i="10"/>
  <c r="P1318" i="10"/>
  <c r="O1318" i="10"/>
  <c r="N1318" i="10"/>
  <c r="T1317" i="10"/>
  <c r="S1317" i="10"/>
  <c r="U1317" i="10" s="1"/>
  <c r="R1317" i="10"/>
  <c r="Q1317" i="10"/>
  <c r="P1317" i="10"/>
  <c r="O1317" i="10"/>
  <c r="N1317" i="10"/>
  <c r="T1316" i="10"/>
  <c r="S1316" i="10"/>
  <c r="U1316" i="10" s="1"/>
  <c r="R1316" i="10"/>
  <c r="Q1316" i="10"/>
  <c r="P1316" i="10"/>
  <c r="O1316" i="10"/>
  <c r="N1316" i="10"/>
  <c r="T1315" i="10"/>
  <c r="S1315" i="10"/>
  <c r="U1315" i="10" s="1"/>
  <c r="R1315" i="10"/>
  <c r="Q1315" i="10"/>
  <c r="P1315" i="10"/>
  <c r="O1315" i="10"/>
  <c r="N1315" i="10"/>
  <c r="T1314" i="10"/>
  <c r="S1314" i="10"/>
  <c r="U1314" i="10" s="1"/>
  <c r="R1314" i="10"/>
  <c r="Q1314" i="10"/>
  <c r="P1314" i="10"/>
  <c r="O1314" i="10"/>
  <c r="N1314" i="10"/>
  <c r="T1313" i="10"/>
  <c r="S1313" i="10"/>
  <c r="U1313" i="10" s="1"/>
  <c r="R1313" i="10"/>
  <c r="Q1313" i="10"/>
  <c r="P1313" i="10"/>
  <c r="O1313" i="10"/>
  <c r="N1313" i="10"/>
  <c r="T1312" i="10"/>
  <c r="S1312" i="10"/>
  <c r="U1312" i="10" s="1"/>
  <c r="R1312" i="10"/>
  <c r="Q1312" i="10"/>
  <c r="P1312" i="10"/>
  <c r="O1312" i="10"/>
  <c r="N1312" i="10"/>
  <c r="T1311" i="10"/>
  <c r="S1311" i="10"/>
  <c r="U1311" i="10" s="1"/>
  <c r="R1311" i="10"/>
  <c r="Q1311" i="10"/>
  <c r="P1311" i="10"/>
  <c r="O1311" i="10"/>
  <c r="N1311" i="10"/>
  <c r="T1310" i="10"/>
  <c r="S1310" i="10"/>
  <c r="U1310" i="10" s="1"/>
  <c r="R1310" i="10"/>
  <c r="Q1310" i="10"/>
  <c r="P1310" i="10"/>
  <c r="O1310" i="10"/>
  <c r="N1310" i="10"/>
  <c r="T1309" i="10"/>
  <c r="S1309" i="10"/>
  <c r="U1309" i="10" s="1"/>
  <c r="R1309" i="10"/>
  <c r="Q1309" i="10"/>
  <c r="P1309" i="10"/>
  <c r="O1309" i="10"/>
  <c r="N1309" i="10"/>
  <c r="T1308" i="10"/>
  <c r="S1308" i="10"/>
  <c r="U1308" i="10" s="1"/>
  <c r="R1308" i="10"/>
  <c r="Q1308" i="10"/>
  <c r="P1308" i="10"/>
  <c r="O1308" i="10"/>
  <c r="N1308" i="10"/>
  <c r="T1307" i="10"/>
  <c r="S1307" i="10"/>
  <c r="U1307" i="10" s="1"/>
  <c r="R1307" i="10"/>
  <c r="Q1307" i="10"/>
  <c r="P1307" i="10"/>
  <c r="O1307" i="10"/>
  <c r="N1307" i="10"/>
  <c r="S1306" i="10"/>
  <c r="U1306" i="10" s="1"/>
  <c r="R1306" i="10"/>
  <c r="T1306" i="10" s="1"/>
  <c r="Q1306" i="10"/>
  <c r="P1306" i="10"/>
  <c r="O1306" i="10"/>
  <c r="N1306" i="10"/>
  <c r="S1305" i="10"/>
  <c r="U1305" i="10" s="1"/>
  <c r="R1305" i="10"/>
  <c r="T1305" i="10" s="1"/>
  <c r="Q1305" i="10"/>
  <c r="P1305" i="10"/>
  <c r="O1305" i="10"/>
  <c r="N1305" i="10"/>
  <c r="S1304" i="10"/>
  <c r="U1304" i="10" s="1"/>
  <c r="R1304" i="10"/>
  <c r="T1304" i="10" s="1"/>
  <c r="Q1304" i="10"/>
  <c r="P1304" i="10"/>
  <c r="O1304" i="10"/>
  <c r="N1304" i="10"/>
  <c r="S1303" i="10"/>
  <c r="U1303" i="10" s="1"/>
  <c r="R1303" i="10"/>
  <c r="T1303" i="10" s="1"/>
  <c r="Q1303" i="10"/>
  <c r="P1303" i="10"/>
  <c r="O1303" i="10"/>
  <c r="N1303" i="10"/>
  <c r="T1302" i="10"/>
  <c r="S1302" i="10"/>
  <c r="U1302" i="10" s="1"/>
  <c r="R1302" i="10"/>
  <c r="Q1302" i="10"/>
  <c r="P1302" i="10"/>
  <c r="O1302" i="10"/>
  <c r="N1302" i="10"/>
  <c r="T1301" i="10"/>
  <c r="S1301" i="10"/>
  <c r="U1301" i="10" s="1"/>
  <c r="R1301" i="10"/>
  <c r="Q1301" i="10"/>
  <c r="P1301" i="10"/>
  <c r="O1301" i="10"/>
  <c r="N1301" i="10"/>
  <c r="S1300" i="10"/>
  <c r="U1300" i="10" s="1"/>
  <c r="R1300" i="10"/>
  <c r="T1300" i="10" s="1"/>
  <c r="Q1300" i="10"/>
  <c r="P1300" i="10"/>
  <c r="O1300" i="10"/>
  <c r="N1300" i="10"/>
  <c r="S1299" i="10"/>
  <c r="U1299" i="10" s="1"/>
  <c r="R1299" i="10"/>
  <c r="T1299" i="10" s="1"/>
  <c r="Q1299" i="10"/>
  <c r="P1299" i="10"/>
  <c r="O1299" i="10"/>
  <c r="N1299" i="10"/>
  <c r="S1298" i="10"/>
  <c r="U1298" i="10" s="1"/>
  <c r="R1298" i="10"/>
  <c r="T1298" i="10" s="1"/>
  <c r="Q1298" i="10"/>
  <c r="P1298" i="10"/>
  <c r="O1298" i="10"/>
  <c r="N1298" i="10"/>
  <c r="S1297" i="10"/>
  <c r="U1297" i="10" s="1"/>
  <c r="R1297" i="10"/>
  <c r="T1297" i="10" s="1"/>
  <c r="Q1297" i="10"/>
  <c r="P1297" i="10"/>
  <c r="O1297" i="10"/>
  <c r="N1297" i="10"/>
  <c r="S1296" i="10"/>
  <c r="U1296" i="10" s="1"/>
  <c r="R1296" i="10"/>
  <c r="T1296" i="10" s="1"/>
  <c r="Q1296" i="10"/>
  <c r="P1296" i="10"/>
  <c r="O1296" i="10"/>
  <c r="N1296" i="10"/>
  <c r="S1295" i="10"/>
  <c r="U1295" i="10" s="1"/>
  <c r="R1295" i="10"/>
  <c r="T1295" i="10" s="1"/>
  <c r="Q1295" i="10"/>
  <c r="P1295" i="10"/>
  <c r="O1295" i="10"/>
  <c r="N1295" i="10"/>
  <c r="T1294" i="10"/>
  <c r="S1294" i="10"/>
  <c r="U1294" i="10" s="1"/>
  <c r="R1294" i="10"/>
  <c r="Q1294" i="10"/>
  <c r="P1294" i="10"/>
  <c r="O1294" i="10"/>
  <c r="N1294" i="10"/>
  <c r="T1293" i="10"/>
  <c r="S1293" i="10"/>
  <c r="U1293" i="10" s="1"/>
  <c r="R1293" i="10"/>
  <c r="Q1293" i="10"/>
  <c r="P1293" i="10"/>
  <c r="O1293" i="10"/>
  <c r="N1293" i="10"/>
  <c r="T1292" i="10"/>
  <c r="S1292" i="10"/>
  <c r="U1292" i="10" s="1"/>
  <c r="R1292" i="10"/>
  <c r="Q1292" i="10"/>
  <c r="P1292" i="10"/>
  <c r="O1292" i="10"/>
  <c r="N1292" i="10"/>
  <c r="S1291" i="10"/>
  <c r="U1291" i="10" s="1"/>
  <c r="R1291" i="10"/>
  <c r="T1291" i="10" s="1"/>
  <c r="Q1291" i="10"/>
  <c r="P1291" i="10"/>
  <c r="O1291" i="10"/>
  <c r="N1291" i="10"/>
  <c r="S1290" i="10"/>
  <c r="U1290" i="10" s="1"/>
  <c r="R1290" i="10"/>
  <c r="T1290" i="10" s="1"/>
  <c r="Q1290" i="10"/>
  <c r="P1290" i="10"/>
  <c r="O1290" i="10"/>
  <c r="N1290" i="10"/>
  <c r="S1289" i="10"/>
  <c r="U1289" i="10" s="1"/>
  <c r="R1289" i="10"/>
  <c r="T1289" i="10" s="1"/>
  <c r="Q1289" i="10"/>
  <c r="P1289" i="10"/>
  <c r="O1289" i="10"/>
  <c r="N1289" i="10"/>
  <c r="S1288" i="10"/>
  <c r="U1288" i="10" s="1"/>
  <c r="R1288" i="10"/>
  <c r="T1288" i="10" s="1"/>
  <c r="Q1288" i="10"/>
  <c r="P1288" i="10"/>
  <c r="O1288" i="10"/>
  <c r="N1288" i="10"/>
  <c r="S1287" i="10"/>
  <c r="U1287" i="10" s="1"/>
  <c r="R1287" i="10"/>
  <c r="T1287" i="10" s="1"/>
  <c r="Q1287" i="10"/>
  <c r="P1287" i="10"/>
  <c r="O1287" i="10"/>
  <c r="N1287" i="10"/>
  <c r="T1286" i="10"/>
  <c r="S1286" i="10"/>
  <c r="U1286" i="10" s="1"/>
  <c r="R1286" i="10"/>
  <c r="P1286" i="10"/>
  <c r="O1286" i="10"/>
  <c r="N1286" i="10"/>
  <c r="T1285" i="10"/>
  <c r="S1285" i="10"/>
  <c r="U1285" i="10" s="1"/>
  <c r="R1285" i="10"/>
  <c r="P1285" i="10"/>
  <c r="O1285" i="10"/>
  <c r="N1285" i="10"/>
  <c r="T1284" i="10"/>
  <c r="S1284" i="10"/>
  <c r="U1284" i="10" s="1"/>
  <c r="R1284" i="10"/>
  <c r="P1284" i="10"/>
  <c r="O1284" i="10"/>
  <c r="N1284" i="10"/>
  <c r="T1283" i="10"/>
  <c r="S1283" i="10"/>
  <c r="U1283" i="10" s="1"/>
  <c r="R1283" i="10"/>
  <c r="P1283" i="10"/>
  <c r="Q1286" i="10" s="1"/>
  <c r="O1283" i="10"/>
  <c r="N1283" i="10"/>
  <c r="S1282" i="10"/>
  <c r="U1282" i="10" s="1"/>
  <c r="R1282" i="10"/>
  <c r="T1282" i="10" s="1"/>
  <c r="P1282" i="10"/>
  <c r="Q1285" i="10" s="1"/>
  <c r="O1282" i="10"/>
  <c r="N1282" i="10"/>
  <c r="S1281" i="10"/>
  <c r="U1281" i="10" s="1"/>
  <c r="R1281" i="10"/>
  <c r="T1281" i="10" s="1"/>
  <c r="P1281" i="10"/>
  <c r="Q1284" i="10" s="1"/>
  <c r="O1281" i="10"/>
  <c r="N1281" i="10"/>
  <c r="S1280" i="10"/>
  <c r="U1280" i="10" s="1"/>
  <c r="R1280" i="10"/>
  <c r="T1280" i="10" s="1"/>
  <c r="P1280" i="10"/>
  <c r="O1280" i="10"/>
  <c r="N1280" i="10"/>
  <c r="S1279" i="10"/>
  <c r="U1279" i="10" s="1"/>
  <c r="R1279" i="10"/>
  <c r="T1279" i="10" s="1"/>
  <c r="P1279" i="10"/>
  <c r="O1279" i="10"/>
  <c r="N1279" i="10"/>
  <c r="T1278" i="10"/>
  <c r="S1278" i="10"/>
  <c r="U1278" i="10" s="1"/>
  <c r="R1278" i="10"/>
  <c r="P1278" i="10"/>
  <c r="O1278" i="10"/>
  <c r="N1278" i="10"/>
  <c r="T1277" i="10"/>
  <c r="S1277" i="10"/>
  <c r="U1277" i="10" s="1"/>
  <c r="R1277" i="10"/>
  <c r="P1277" i="10"/>
  <c r="Q1279" i="10" s="1"/>
  <c r="O1277" i="10"/>
  <c r="N1277" i="10"/>
  <c r="T1276" i="10"/>
  <c r="S1276" i="10"/>
  <c r="U1276" i="10" s="1"/>
  <c r="R1276" i="10"/>
  <c r="P1276" i="10"/>
  <c r="O1276" i="10"/>
  <c r="N1276" i="10"/>
  <c r="T1275" i="10"/>
  <c r="S1275" i="10"/>
  <c r="U1275" i="10" s="1"/>
  <c r="R1275" i="10"/>
  <c r="P1275" i="10"/>
  <c r="Q1278" i="10" s="1"/>
  <c r="O1275" i="10"/>
  <c r="N1275" i="10"/>
  <c r="S1274" i="10"/>
  <c r="U1274" i="10" s="1"/>
  <c r="R1274" i="10"/>
  <c r="T1274" i="10" s="1"/>
  <c r="P1274" i="10"/>
  <c r="Q1277" i="10" s="1"/>
  <c r="O1274" i="10"/>
  <c r="N1274" i="10"/>
  <c r="S1273" i="10"/>
  <c r="U1273" i="10" s="1"/>
  <c r="R1273" i="10"/>
  <c r="T1273" i="10" s="1"/>
  <c r="P1273" i="10"/>
  <c r="Q1276" i="10" s="1"/>
  <c r="O1273" i="10"/>
  <c r="N1273" i="10"/>
  <c r="S1272" i="10"/>
  <c r="U1272" i="10" s="1"/>
  <c r="R1272" i="10"/>
  <c r="T1272" i="10" s="1"/>
  <c r="P1272" i="10"/>
  <c r="Q1273" i="10" s="1"/>
  <c r="O1272" i="10"/>
  <c r="N1272" i="10"/>
  <c r="S1271" i="10"/>
  <c r="U1271" i="10" s="1"/>
  <c r="R1271" i="10"/>
  <c r="T1271" i="10" s="1"/>
  <c r="P1271" i="10"/>
  <c r="O1271" i="10"/>
  <c r="N1271" i="10"/>
  <c r="T1270" i="10"/>
  <c r="S1270" i="10"/>
  <c r="U1270" i="10" s="1"/>
  <c r="R1270" i="10"/>
  <c r="P1270" i="10"/>
  <c r="O1270" i="10"/>
  <c r="N1270" i="10"/>
  <c r="T1269" i="10"/>
  <c r="S1269" i="10"/>
  <c r="U1269" i="10" s="1"/>
  <c r="R1269" i="10"/>
  <c r="P1269" i="10"/>
  <c r="Q1271" i="10" s="1"/>
  <c r="O1269" i="10"/>
  <c r="N1269" i="10"/>
  <c r="T1268" i="10"/>
  <c r="S1268" i="10"/>
  <c r="U1268" i="10" s="1"/>
  <c r="R1268" i="10"/>
  <c r="P1268" i="10"/>
  <c r="O1268" i="10"/>
  <c r="N1268" i="10"/>
  <c r="T1267" i="10"/>
  <c r="S1267" i="10"/>
  <c r="U1267" i="10" s="1"/>
  <c r="R1267" i="10"/>
  <c r="P1267" i="10"/>
  <c r="Q1270" i="10" s="1"/>
  <c r="O1267" i="10"/>
  <c r="N1267" i="10"/>
  <c r="S1266" i="10"/>
  <c r="U1266" i="10" s="1"/>
  <c r="R1266" i="10"/>
  <c r="T1266" i="10" s="1"/>
  <c r="P1266" i="10"/>
  <c r="Q1269" i="10" s="1"/>
  <c r="O1266" i="10"/>
  <c r="N1266" i="10"/>
  <c r="S1265" i="10"/>
  <c r="U1265" i="10" s="1"/>
  <c r="R1265" i="10"/>
  <c r="T1265" i="10" s="1"/>
  <c r="P1265" i="10"/>
  <c r="Q1268" i="10" s="1"/>
  <c r="O1265" i="10"/>
  <c r="N1265" i="10"/>
  <c r="S1264" i="10"/>
  <c r="U1264" i="10" s="1"/>
  <c r="R1264" i="10"/>
  <c r="T1264" i="10" s="1"/>
  <c r="P1264" i="10"/>
  <c r="O1264" i="10"/>
  <c r="N1264" i="10"/>
  <c r="S1263" i="10"/>
  <c r="U1263" i="10" s="1"/>
  <c r="R1263" i="10"/>
  <c r="T1263" i="10" s="1"/>
  <c r="P1263" i="10"/>
  <c r="O1263" i="10"/>
  <c r="N1263" i="10"/>
  <c r="T1262" i="10"/>
  <c r="S1262" i="10"/>
  <c r="U1262" i="10" s="1"/>
  <c r="R1262" i="10"/>
  <c r="P1262" i="10"/>
  <c r="O1262" i="10"/>
  <c r="N1262" i="10"/>
  <c r="T1261" i="10"/>
  <c r="S1261" i="10"/>
  <c r="U1261" i="10" s="1"/>
  <c r="R1261" i="10"/>
  <c r="P1261" i="10"/>
  <c r="Q1263" i="10" s="1"/>
  <c r="O1261" i="10"/>
  <c r="N1261" i="10"/>
  <c r="T1260" i="10"/>
  <c r="S1260" i="10"/>
  <c r="U1260" i="10" s="1"/>
  <c r="R1260" i="10"/>
  <c r="P1260" i="10"/>
  <c r="O1260" i="10"/>
  <c r="N1260" i="10"/>
  <c r="T1259" i="10"/>
  <c r="S1259" i="10"/>
  <c r="U1259" i="10" s="1"/>
  <c r="R1259" i="10"/>
  <c r="P1259" i="10"/>
  <c r="Q1262" i="10" s="1"/>
  <c r="O1259" i="10"/>
  <c r="N1259" i="10"/>
  <c r="S1258" i="10"/>
  <c r="U1258" i="10" s="1"/>
  <c r="R1258" i="10"/>
  <c r="T1258" i="10" s="1"/>
  <c r="P1258" i="10"/>
  <c r="Q1261" i="10" s="1"/>
  <c r="O1258" i="10"/>
  <c r="N1258" i="10"/>
  <c r="S1257" i="10"/>
  <c r="U1257" i="10" s="1"/>
  <c r="R1257" i="10"/>
  <c r="T1257" i="10" s="1"/>
  <c r="P1257" i="10"/>
  <c r="Q1260" i="10" s="1"/>
  <c r="O1257" i="10"/>
  <c r="N1257" i="10"/>
  <c r="S1256" i="10"/>
  <c r="U1256" i="10" s="1"/>
  <c r="R1256" i="10"/>
  <c r="T1256" i="10" s="1"/>
  <c r="P1256" i="10"/>
  <c r="O1256" i="10"/>
  <c r="N1256" i="10"/>
  <c r="S1255" i="10"/>
  <c r="U1255" i="10" s="1"/>
  <c r="R1255" i="10"/>
  <c r="T1255" i="10" s="1"/>
  <c r="P1255" i="10"/>
  <c r="O1255" i="10"/>
  <c r="N1255" i="10"/>
  <c r="T1254" i="10"/>
  <c r="S1254" i="10"/>
  <c r="U1254" i="10" s="1"/>
  <c r="R1254" i="10"/>
  <c r="P1254" i="10"/>
  <c r="O1254" i="10"/>
  <c r="N1254" i="10"/>
  <c r="T1253" i="10"/>
  <c r="S1253" i="10"/>
  <c r="U1253" i="10" s="1"/>
  <c r="R1253" i="10"/>
  <c r="P1253" i="10"/>
  <c r="Q1255" i="10" s="1"/>
  <c r="O1253" i="10"/>
  <c r="N1253" i="10"/>
  <c r="T1252" i="10"/>
  <c r="S1252" i="10"/>
  <c r="U1252" i="10" s="1"/>
  <c r="R1252" i="10"/>
  <c r="P1252" i="10"/>
  <c r="O1252" i="10"/>
  <c r="N1252" i="10"/>
  <c r="T1251" i="10"/>
  <c r="S1251" i="10"/>
  <c r="U1251" i="10" s="1"/>
  <c r="R1251" i="10"/>
  <c r="P1251" i="10"/>
  <c r="Q1254" i="10" s="1"/>
  <c r="O1251" i="10"/>
  <c r="N1251" i="10"/>
  <c r="S1250" i="10"/>
  <c r="U1250" i="10" s="1"/>
  <c r="R1250" i="10"/>
  <c r="T1250" i="10" s="1"/>
  <c r="P1250" i="10"/>
  <c r="Q1253" i="10" s="1"/>
  <c r="O1250" i="10"/>
  <c r="N1250" i="10"/>
  <c r="S1249" i="10"/>
  <c r="U1249" i="10" s="1"/>
  <c r="R1249" i="10"/>
  <c r="T1249" i="10" s="1"/>
  <c r="P1249" i="10"/>
  <c r="Q1252" i="10" s="1"/>
  <c r="O1249" i="10"/>
  <c r="N1249" i="10"/>
  <c r="S1248" i="10"/>
  <c r="U1248" i="10" s="1"/>
  <c r="R1248" i="10"/>
  <c r="T1248" i="10" s="1"/>
  <c r="P1248" i="10"/>
  <c r="O1248" i="10"/>
  <c r="N1248" i="10"/>
  <c r="S1247" i="10"/>
  <c r="U1247" i="10" s="1"/>
  <c r="R1247" i="10"/>
  <c r="T1247" i="10" s="1"/>
  <c r="P1247" i="10"/>
  <c r="O1247" i="10"/>
  <c r="N1247" i="10"/>
  <c r="T1246" i="10"/>
  <c r="S1246" i="10"/>
  <c r="U1246" i="10" s="1"/>
  <c r="R1246" i="10"/>
  <c r="P1246" i="10"/>
  <c r="O1246" i="10"/>
  <c r="N1246" i="10"/>
  <c r="T1245" i="10"/>
  <c r="S1245" i="10"/>
  <c r="U1245" i="10" s="1"/>
  <c r="R1245" i="10"/>
  <c r="P1245" i="10"/>
  <c r="Q1247" i="10" s="1"/>
  <c r="O1245" i="10"/>
  <c r="N1245" i="10"/>
  <c r="T1244" i="10"/>
  <c r="S1244" i="10"/>
  <c r="U1244" i="10" s="1"/>
  <c r="R1244" i="10"/>
  <c r="P1244" i="10"/>
  <c r="O1244" i="10"/>
  <c r="N1244" i="10"/>
  <c r="T1243" i="10"/>
  <c r="S1243" i="10"/>
  <c r="U1243" i="10" s="1"/>
  <c r="R1243" i="10"/>
  <c r="P1243" i="10"/>
  <c r="Q1246" i="10" s="1"/>
  <c r="O1243" i="10"/>
  <c r="N1243" i="10"/>
  <c r="S1242" i="10"/>
  <c r="U1242" i="10" s="1"/>
  <c r="R1242" i="10"/>
  <c r="T1242" i="10" s="1"/>
  <c r="P1242" i="10"/>
  <c r="Q1245" i="10" s="1"/>
  <c r="O1242" i="10"/>
  <c r="N1242" i="10"/>
  <c r="S1241" i="10"/>
  <c r="U1241" i="10" s="1"/>
  <c r="R1241" i="10"/>
  <c r="T1241" i="10" s="1"/>
  <c r="P1241" i="10"/>
  <c r="Q1244" i="10" s="1"/>
  <c r="O1241" i="10"/>
  <c r="N1241" i="10"/>
  <c r="S1240" i="10"/>
  <c r="U1240" i="10" s="1"/>
  <c r="R1240" i="10"/>
  <c r="T1240" i="10" s="1"/>
  <c r="P1240" i="10"/>
  <c r="Q1243" i="10" s="1"/>
  <c r="O1240" i="10"/>
  <c r="N1240" i="10"/>
  <c r="S1239" i="10"/>
  <c r="U1239" i="10" s="1"/>
  <c r="R1239" i="10"/>
  <c r="T1239" i="10" s="1"/>
  <c r="P1239" i="10"/>
  <c r="O1239" i="10"/>
  <c r="N1239" i="10"/>
  <c r="U1238" i="10"/>
  <c r="S1238" i="10"/>
  <c r="R1238" i="10"/>
  <c r="T1238" i="10" s="1"/>
  <c r="P1238" i="10"/>
  <c r="O1238" i="10"/>
  <c r="N1238" i="10"/>
  <c r="U1237" i="10"/>
  <c r="S1237" i="10"/>
  <c r="R1237" i="10"/>
  <c r="T1237" i="10" s="1"/>
  <c r="P1237" i="10"/>
  <c r="Q1240" i="10" s="1"/>
  <c r="O1237" i="10"/>
  <c r="N1237" i="10"/>
  <c r="U1236" i="10"/>
  <c r="S1236" i="10"/>
  <c r="R1236" i="10"/>
  <c r="T1236" i="10" s="1"/>
  <c r="P1236" i="10"/>
  <c r="O1236" i="10"/>
  <c r="N1236" i="10"/>
  <c r="U1235" i="10"/>
  <c r="S1235" i="10"/>
  <c r="R1235" i="10"/>
  <c r="T1235" i="10" s="1"/>
  <c r="P1235" i="10"/>
  <c r="O1235" i="10"/>
  <c r="N1235" i="10"/>
  <c r="U1234" i="10"/>
  <c r="S1234" i="10"/>
  <c r="R1234" i="10"/>
  <c r="T1234" i="10" s="1"/>
  <c r="P1234" i="10"/>
  <c r="O1234" i="10"/>
  <c r="N1234" i="10"/>
  <c r="U1233" i="10"/>
  <c r="S1233" i="10"/>
  <c r="R1233" i="10"/>
  <c r="T1233" i="10" s="1"/>
  <c r="P1233" i="10"/>
  <c r="Q1236" i="10" s="1"/>
  <c r="O1233" i="10"/>
  <c r="N1233" i="10"/>
  <c r="U1232" i="10"/>
  <c r="S1232" i="10"/>
  <c r="R1232" i="10"/>
  <c r="T1232" i="10" s="1"/>
  <c r="P1232" i="10"/>
  <c r="O1232" i="10"/>
  <c r="N1232" i="10"/>
  <c r="U1231" i="10"/>
  <c r="S1231" i="10"/>
  <c r="R1231" i="10"/>
  <c r="T1231" i="10" s="1"/>
  <c r="P1231" i="10"/>
  <c r="O1231" i="10"/>
  <c r="N1231" i="10"/>
  <c r="U1230" i="10"/>
  <c r="S1230" i="10"/>
  <c r="R1230" i="10"/>
  <c r="T1230" i="10" s="1"/>
  <c r="P1230" i="10"/>
  <c r="O1230" i="10"/>
  <c r="N1230" i="10"/>
  <c r="U1229" i="10"/>
  <c r="S1229" i="10"/>
  <c r="R1229" i="10"/>
  <c r="T1229" i="10" s="1"/>
  <c r="P1229" i="10"/>
  <c r="Q1232" i="10" s="1"/>
  <c r="O1229" i="10"/>
  <c r="N1229" i="10"/>
  <c r="U1228" i="10"/>
  <c r="S1228" i="10"/>
  <c r="R1228" i="10"/>
  <c r="T1228" i="10" s="1"/>
  <c r="P1228" i="10"/>
  <c r="O1228" i="10"/>
  <c r="N1228" i="10"/>
  <c r="U1227" i="10"/>
  <c r="S1227" i="10"/>
  <c r="R1227" i="10"/>
  <c r="T1227" i="10" s="1"/>
  <c r="P1227" i="10"/>
  <c r="O1227" i="10"/>
  <c r="N1227" i="10"/>
  <c r="U1226" i="10"/>
  <c r="S1226" i="10"/>
  <c r="R1226" i="10"/>
  <c r="T1226" i="10" s="1"/>
  <c r="P1226" i="10"/>
  <c r="O1226" i="10"/>
  <c r="N1226" i="10"/>
  <c r="U1225" i="10"/>
  <c r="S1225" i="10"/>
  <c r="R1225" i="10"/>
  <c r="T1225" i="10" s="1"/>
  <c r="P1225" i="10"/>
  <c r="Q1228" i="10" s="1"/>
  <c r="O1225" i="10"/>
  <c r="N1225" i="10"/>
  <c r="U1224" i="10"/>
  <c r="S1224" i="10"/>
  <c r="R1224" i="10"/>
  <c r="T1224" i="10" s="1"/>
  <c r="P1224" i="10"/>
  <c r="O1224" i="10"/>
  <c r="N1224" i="10"/>
  <c r="U1223" i="10"/>
  <c r="S1223" i="10"/>
  <c r="R1223" i="10"/>
  <c r="T1223" i="10" s="1"/>
  <c r="P1223" i="10"/>
  <c r="O1223" i="10"/>
  <c r="N1223" i="10"/>
  <c r="U1222" i="10"/>
  <c r="S1222" i="10"/>
  <c r="R1222" i="10"/>
  <c r="T1222" i="10" s="1"/>
  <c r="P1222" i="10"/>
  <c r="O1222" i="10"/>
  <c r="N1222" i="10"/>
  <c r="U1221" i="10"/>
  <c r="S1221" i="10"/>
  <c r="R1221" i="10"/>
  <c r="T1221" i="10" s="1"/>
  <c r="P1221" i="10"/>
  <c r="Q1224" i="10" s="1"/>
  <c r="O1221" i="10"/>
  <c r="N1221" i="10"/>
  <c r="U1220" i="10"/>
  <c r="S1220" i="10"/>
  <c r="R1220" i="10"/>
  <c r="T1220" i="10" s="1"/>
  <c r="P1220" i="10"/>
  <c r="O1220" i="10"/>
  <c r="N1220" i="10"/>
  <c r="U1219" i="10"/>
  <c r="S1219" i="10"/>
  <c r="R1219" i="10"/>
  <c r="T1219" i="10" s="1"/>
  <c r="P1219" i="10"/>
  <c r="O1219" i="10"/>
  <c r="N1219" i="10"/>
  <c r="U1218" i="10"/>
  <c r="S1218" i="10"/>
  <c r="R1218" i="10"/>
  <c r="T1218" i="10" s="1"/>
  <c r="P1218" i="10"/>
  <c r="O1218" i="10"/>
  <c r="N1218" i="10"/>
  <c r="U1217" i="10"/>
  <c r="S1217" i="10"/>
  <c r="R1217" i="10"/>
  <c r="T1217" i="10" s="1"/>
  <c r="P1217" i="10"/>
  <c r="Q1220" i="10" s="1"/>
  <c r="O1217" i="10"/>
  <c r="N1217" i="10"/>
  <c r="U1216" i="10"/>
  <c r="S1216" i="10"/>
  <c r="R1216" i="10"/>
  <c r="T1216" i="10" s="1"/>
  <c r="P1216" i="10"/>
  <c r="O1216" i="10"/>
  <c r="N1216" i="10"/>
  <c r="U1215" i="10"/>
  <c r="S1215" i="10"/>
  <c r="R1215" i="10"/>
  <c r="T1215" i="10" s="1"/>
  <c r="P1215" i="10"/>
  <c r="O1215" i="10"/>
  <c r="N1215" i="10"/>
  <c r="U1214" i="10"/>
  <c r="S1214" i="10"/>
  <c r="R1214" i="10"/>
  <c r="T1214" i="10" s="1"/>
  <c r="P1214" i="10"/>
  <c r="O1214" i="10"/>
  <c r="N1214" i="10"/>
  <c r="U1213" i="10"/>
  <c r="S1213" i="10"/>
  <c r="R1213" i="10"/>
  <c r="T1213" i="10" s="1"/>
  <c r="P1213" i="10"/>
  <c r="Q1216" i="10" s="1"/>
  <c r="O1213" i="10"/>
  <c r="N1213" i="10"/>
  <c r="U1212" i="10"/>
  <c r="S1212" i="10"/>
  <c r="R1212" i="10"/>
  <c r="T1212" i="10" s="1"/>
  <c r="P1212" i="10"/>
  <c r="O1212" i="10"/>
  <c r="N1212" i="10"/>
  <c r="U1211" i="10"/>
  <c r="S1211" i="10"/>
  <c r="R1211" i="10"/>
  <c r="T1211" i="10" s="1"/>
  <c r="P1211" i="10"/>
  <c r="O1211" i="10"/>
  <c r="N1211" i="10"/>
  <c r="U1210" i="10"/>
  <c r="S1210" i="10"/>
  <c r="R1210" i="10"/>
  <c r="T1210" i="10" s="1"/>
  <c r="P1210" i="10"/>
  <c r="O1210" i="10"/>
  <c r="N1210" i="10"/>
  <c r="U1209" i="10"/>
  <c r="S1209" i="10"/>
  <c r="R1209" i="10"/>
  <c r="T1209" i="10" s="1"/>
  <c r="P1209" i="10"/>
  <c r="Q1212" i="10" s="1"/>
  <c r="O1209" i="10"/>
  <c r="N1209" i="10"/>
  <c r="U1208" i="10"/>
  <c r="S1208" i="10"/>
  <c r="R1208" i="10"/>
  <c r="T1208" i="10" s="1"/>
  <c r="P1208" i="10"/>
  <c r="O1208" i="10"/>
  <c r="N1208" i="10"/>
  <c r="U1207" i="10"/>
  <c r="S1207" i="10"/>
  <c r="R1207" i="10"/>
  <c r="T1207" i="10" s="1"/>
  <c r="P1207" i="10"/>
  <c r="O1207" i="10"/>
  <c r="N1207" i="10"/>
  <c r="U1206" i="10"/>
  <c r="S1206" i="10"/>
  <c r="R1206" i="10"/>
  <c r="T1206" i="10" s="1"/>
  <c r="P1206" i="10"/>
  <c r="O1206" i="10"/>
  <c r="N1206" i="10"/>
  <c r="U1205" i="10"/>
  <c r="S1205" i="10"/>
  <c r="R1205" i="10"/>
  <c r="T1205" i="10" s="1"/>
  <c r="P1205" i="10"/>
  <c r="Q1208" i="10" s="1"/>
  <c r="O1205" i="10"/>
  <c r="N1205" i="10"/>
  <c r="U1204" i="10"/>
  <c r="S1204" i="10"/>
  <c r="R1204" i="10"/>
  <c r="T1204" i="10" s="1"/>
  <c r="P1204" i="10"/>
  <c r="O1204" i="10"/>
  <c r="N1204" i="10"/>
  <c r="U1203" i="10"/>
  <c r="S1203" i="10"/>
  <c r="R1203" i="10"/>
  <c r="T1203" i="10" s="1"/>
  <c r="P1203" i="10"/>
  <c r="O1203" i="10"/>
  <c r="N1203" i="10"/>
  <c r="U1202" i="10"/>
  <c r="S1202" i="10"/>
  <c r="R1202" i="10"/>
  <c r="T1202" i="10" s="1"/>
  <c r="P1202" i="10"/>
  <c r="O1202" i="10"/>
  <c r="N1202" i="10"/>
  <c r="U1201" i="10"/>
  <c r="S1201" i="10"/>
  <c r="R1201" i="10"/>
  <c r="T1201" i="10" s="1"/>
  <c r="P1201" i="10"/>
  <c r="Q1204" i="10" s="1"/>
  <c r="O1201" i="10"/>
  <c r="N1201" i="10"/>
  <c r="U1200" i="10"/>
  <c r="S1200" i="10"/>
  <c r="R1200" i="10"/>
  <c r="T1200" i="10" s="1"/>
  <c r="P1200" i="10"/>
  <c r="O1200" i="10"/>
  <c r="N1200" i="10"/>
  <c r="U1199" i="10"/>
  <c r="S1199" i="10"/>
  <c r="R1199" i="10"/>
  <c r="T1199" i="10" s="1"/>
  <c r="P1199" i="10"/>
  <c r="O1199" i="10"/>
  <c r="N1199" i="10"/>
  <c r="U1198" i="10"/>
  <c r="S1198" i="10"/>
  <c r="R1198" i="10"/>
  <c r="T1198" i="10" s="1"/>
  <c r="P1198" i="10"/>
  <c r="O1198" i="10"/>
  <c r="N1198" i="10"/>
  <c r="U1197" i="10"/>
  <c r="S1197" i="10"/>
  <c r="R1197" i="10"/>
  <c r="T1197" i="10" s="1"/>
  <c r="P1197" i="10"/>
  <c r="O1197" i="10"/>
  <c r="N1197" i="10"/>
  <c r="U1196" i="10"/>
  <c r="S1196" i="10"/>
  <c r="R1196" i="10"/>
  <c r="T1196" i="10" s="1"/>
  <c r="P1196" i="10"/>
  <c r="Q1199" i="10" s="1"/>
  <c r="O1196" i="10"/>
  <c r="N1196" i="10"/>
  <c r="U1195" i="10"/>
  <c r="S1195" i="10"/>
  <c r="R1195" i="10"/>
  <c r="T1195" i="10" s="1"/>
  <c r="P1195" i="10"/>
  <c r="Q1198" i="10" s="1"/>
  <c r="O1195" i="10"/>
  <c r="N1195" i="10"/>
  <c r="U1194" i="10"/>
  <c r="S1194" i="10"/>
  <c r="R1194" i="10"/>
  <c r="T1194" i="10" s="1"/>
  <c r="P1194" i="10"/>
  <c r="O1194" i="10"/>
  <c r="N1194" i="10"/>
  <c r="U1193" i="10"/>
  <c r="S1193" i="10"/>
  <c r="R1193" i="10"/>
  <c r="T1193" i="10" s="1"/>
  <c r="P1193" i="10"/>
  <c r="Q1193" i="10" s="1"/>
  <c r="O1193" i="10"/>
  <c r="N1193" i="10"/>
  <c r="U1192" i="10"/>
  <c r="S1192" i="10"/>
  <c r="R1192" i="10"/>
  <c r="T1192" i="10" s="1"/>
  <c r="P1192" i="10"/>
  <c r="O1192" i="10"/>
  <c r="N1192" i="10"/>
  <c r="U1191" i="10"/>
  <c r="S1191" i="10"/>
  <c r="R1191" i="10"/>
  <c r="T1191" i="10" s="1"/>
  <c r="P1191" i="10"/>
  <c r="O1191" i="10"/>
  <c r="N1191" i="10"/>
  <c r="U1190" i="10"/>
  <c r="S1190" i="10"/>
  <c r="R1190" i="10"/>
  <c r="T1190" i="10" s="1"/>
  <c r="P1190" i="10"/>
  <c r="Q1192" i="10" s="1"/>
  <c r="O1190" i="10"/>
  <c r="N1190" i="10"/>
  <c r="U1189" i="10"/>
  <c r="S1189" i="10"/>
  <c r="R1189" i="10"/>
  <c r="T1189" i="10" s="1"/>
  <c r="P1189" i="10"/>
  <c r="O1189" i="10"/>
  <c r="N1189" i="10"/>
  <c r="U1188" i="10"/>
  <c r="S1188" i="10"/>
  <c r="R1188" i="10"/>
  <c r="T1188" i="10" s="1"/>
  <c r="P1188" i="10"/>
  <c r="Q1191" i="10" s="1"/>
  <c r="O1188" i="10"/>
  <c r="N1188" i="10"/>
  <c r="U1187" i="10"/>
  <c r="S1187" i="10"/>
  <c r="R1187" i="10"/>
  <c r="T1187" i="10" s="1"/>
  <c r="P1187" i="10"/>
  <c r="Q1190" i="10" s="1"/>
  <c r="O1187" i="10"/>
  <c r="N1187" i="10"/>
  <c r="U1186" i="10"/>
  <c r="S1186" i="10"/>
  <c r="R1186" i="10"/>
  <c r="T1186" i="10" s="1"/>
  <c r="P1186" i="10"/>
  <c r="O1186" i="10"/>
  <c r="N1186" i="10"/>
  <c r="U1185" i="10"/>
  <c r="S1185" i="10"/>
  <c r="R1185" i="10"/>
  <c r="T1185" i="10" s="1"/>
  <c r="P1185" i="10"/>
  <c r="Q1188" i="10" s="1"/>
  <c r="O1185" i="10"/>
  <c r="N1185" i="10"/>
  <c r="U1184" i="10"/>
  <c r="S1184" i="10"/>
  <c r="R1184" i="10"/>
  <c r="T1184" i="10" s="1"/>
  <c r="P1184" i="10"/>
  <c r="Q1187" i="10" s="1"/>
  <c r="O1184" i="10"/>
  <c r="N1184" i="10"/>
  <c r="U1183" i="10"/>
  <c r="S1183" i="10"/>
  <c r="R1183" i="10"/>
  <c r="T1183" i="10" s="1"/>
  <c r="P1183" i="10"/>
  <c r="O1183" i="10"/>
  <c r="N1183" i="10"/>
  <c r="U1182" i="10"/>
  <c r="S1182" i="10"/>
  <c r="R1182" i="10"/>
  <c r="T1182" i="10" s="1"/>
  <c r="P1182" i="10"/>
  <c r="O1182" i="10"/>
  <c r="N1182" i="10"/>
  <c r="U1181" i="10"/>
  <c r="S1181" i="10"/>
  <c r="R1181" i="10"/>
  <c r="T1181" i="10" s="1"/>
  <c r="P1181" i="10"/>
  <c r="O1181" i="10"/>
  <c r="N1181" i="10"/>
  <c r="U1180" i="10"/>
  <c r="S1180" i="10"/>
  <c r="R1180" i="10"/>
  <c r="T1180" i="10" s="1"/>
  <c r="P1180" i="10"/>
  <c r="Q1183" i="10" s="1"/>
  <c r="O1180" i="10"/>
  <c r="N1180" i="10"/>
  <c r="U1179" i="10"/>
  <c r="S1179" i="10"/>
  <c r="R1179" i="10"/>
  <c r="T1179" i="10" s="1"/>
  <c r="P1179" i="10"/>
  <c r="Q1182" i="10" s="1"/>
  <c r="O1179" i="10"/>
  <c r="N1179" i="10"/>
  <c r="U1178" i="10"/>
  <c r="S1178" i="10"/>
  <c r="R1178" i="10"/>
  <c r="T1178" i="10" s="1"/>
  <c r="P1178" i="10"/>
  <c r="Q1179" i="10" s="1"/>
  <c r="O1178" i="10"/>
  <c r="N1178" i="10"/>
  <c r="U1177" i="10"/>
  <c r="S1177" i="10"/>
  <c r="R1177" i="10"/>
  <c r="T1177" i="10" s="1"/>
  <c r="P1177" i="10"/>
  <c r="Q1177" i="10" s="1"/>
  <c r="O1177" i="10"/>
  <c r="N1177" i="10"/>
  <c r="U1176" i="10"/>
  <c r="S1176" i="10"/>
  <c r="R1176" i="10"/>
  <c r="T1176" i="10" s="1"/>
  <c r="P1176" i="10"/>
  <c r="O1176" i="10"/>
  <c r="N1176" i="10"/>
  <c r="U1175" i="10"/>
  <c r="S1175" i="10"/>
  <c r="R1175" i="10"/>
  <c r="T1175" i="10" s="1"/>
  <c r="P1175" i="10"/>
  <c r="O1175" i="10"/>
  <c r="N1175" i="10"/>
  <c r="U1174" i="10"/>
  <c r="S1174" i="10"/>
  <c r="R1174" i="10"/>
  <c r="T1174" i="10" s="1"/>
  <c r="P1174" i="10"/>
  <c r="Q1176" i="10" s="1"/>
  <c r="O1174" i="10"/>
  <c r="N1174" i="10"/>
  <c r="U1173" i="10"/>
  <c r="S1173" i="10"/>
  <c r="R1173" i="10"/>
  <c r="T1173" i="10" s="1"/>
  <c r="P1173" i="10"/>
  <c r="O1173" i="10"/>
  <c r="N1173" i="10"/>
  <c r="S1172" i="10"/>
  <c r="U1172" i="10" s="1"/>
  <c r="R1172" i="10"/>
  <c r="T1172" i="10" s="1"/>
  <c r="P1172" i="10"/>
  <c r="Q1175" i="10" s="1"/>
  <c r="O1172" i="10"/>
  <c r="N1172" i="10"/>
  <c r="S1171" i="10"/>
  <c r="U1171" i="10" s="1"/>
  <c r="R1171" i="10"/>
  <c r="T1171" i="10" s="1"/>
  <c r="P1171" i="10"/>
  <c r="O1171" i="10"/>
  <c r="N1171" i="10"/>
  <c r="S1170" i="10"/>
  <c r="U1170" i="10" s="1"/>
  <c r="R1170" i="10"/>
  <c r="T1170" i="10" s="1"/>
  <c r="P1170" i="10"/>
  <c r="O1170" i="10"/>
  <c r="N1170" i="10"/>
  <c r="S1169" i="10"/>
  <c r="U1169" i="10" s="1"/>
  <c r="R1169" i="10"/>
  <c r="T1169" i="10" s="1"/>
  <c r="P1169" i="10"/>
  <c r="Q1172" i="10" s="1"/>
  <c r="O1169" i="10"/>
  <c r="N1169" i="10"/>
  <c r="U1168" i="10"/>
  <c r="S1168" i="10"/>
  <c r="R1168" i="10"/>
  <c r="T1168" i="10" s="1"/>
  <c r="P1168" i="10"/>
  <c r="Q1171" i="10" s="1"/>
  <c r="O1168" i="10"/>
  <c r="N1168" i="10"/>
  <c r="U1167" i="10"/>
  <c r="S1167" i="10"/>
  <c r="R1167" i="10"/>
  <c r="T1167" i="10" s="1"/>
  <c r="P1167" i="10"/>
  <c r="Q1168" i="10" s="1"/>
  <c r="O1167" i="10"/>
  <c r="N1167" i="10"/>
  <c r="U1166" i="10"/>
  <c r="S1166" i="10"/>
  <c r="R1166" i="10"/>
  <c r="T1166" i="10" s="1"/>
  <c r="P1166" i="10"/>
  <c r="Q1167" i="10" s="1"/>
  <c r="O1166" i="10"/>
  <c r="N1166" i="10"/>
  <c r="U1165" i="10"/>
  <c r="S1165" i="10"/>
  <c r="R1165" i="10"/>
  <c r="T1165" i="10" s="1"/>
  <c r="P1165" i="10"/>
  <c r="O1165" i="10"/>
  <c r="N1165" i="10"/>
  <c r="U1164" i="10"/>
  <c r="S1164" i="10"/>
  <c r="R1164" i="10"/>
  <c r="T1164" i="10" s="1"/>
  <c r="P1164" i="10"/>
  <c r="Q1166" i="10" s="1"/>
  <c r="O1164" i="10"/>
  <c r="N1164" i="10"/>
  <c r="U1163" i="10"/>
  <c r="S1163" i="10"/>
  <c r="R1163" i="10"/>
  <c r="T1163" i="10" s="1"/>
  <c r="P1163" i="10"/>
  <c r="O1163" i="10"/>
  <c r="N1163" i="10"/>
  <c r="U1162" i="10"/>
  <c r="S1162" i="10"/>
  <c r="R1162" i="10"/>
  <c r="T1162" i="10" s="1"/>
  <c r="P1162" i="10"/>
  <c r="Q1165" i="10" s="1"/>
  <c r="O1162" i="10"/>
  <c r="N1162" i="10"/>
  <c r="U1161" i="10"/>
  <c r="S1161" i="10"/>
  <c r="R1161" i="10"/>
  <c r="T1161" i="10" s="1"/>
  <c r="P1161" i="10"/>
  <c r="Q1164" i="10" s="1"/>
  <c r="O1161" i="10"/>
  <c r="N1161" i="10"/>
  <c r="U1160" i="10"/>
  <c r="S1160" i="10"/>
  <c r="R1160" i="10"/>
  <c r="T1160" i="10" s="1"/>
  <c r="P1160" i="10"/>
  <c r="Q1161" i="10" s="1"/>
  <c r="O1160" i="10"/>
  <c r="N1160" i="10"/>
  <c r="U1159" i="10"/>
  <c r="S1159" i="10"/>
  <c r="R1159" i="10"/>
  <c r="T1159" i="10" s="1"/>
  <c r="P1159" i="10"/>
  <c r="Q1160" i="10" s="1"/>
  <c r="O1159" i="10"/>
  <c r="N1159" i="10"/>
  <c r="U1158" i="10"/>
  <c r="S1158" i="10"/>
  <c r="R1158" i="10"/>
  <c r="T1158" i="10" s="1"/>
  <c r="P1158" i="10"/>
  <c r="Q1159" i="10" s="1"/>
  <c r="O1158" i="10"/>
  <c r="N1158" i="10"/>
  <c r="U1157" i="10"/>
  <c r="S1157" i="10"/>
  <c r="R1157" i="10"/>
  <c r="T1157" i="10" s="1"/>
  <c r="P1157" i="10"/>
  <c r="O1157" i="10"/>
  <c r="N1157" i="10"/>
  <c r="S1156" i="10"/>
  <c r="U1156" i="10" s="1"/>
  <c r="R1156" i="10"/>
  <c r="T1156" i="10" s="1"/>
  <c r="P1156" i="10"/>
  <c r="Q1158" i="10" s="1"/>
  <c r="O1156" i="10"/>
  <c r="N1156" i="10"/>
  <c r="S1155" i="10"/>
  <c r="U1155" i="10" s="1"/>
  <c r="R1155" i="10"/>
  <c r="T1155" i="10" s="1"/>
  <c r="P1155" i="10"/>
  <c r="O1155" i="10"/>
  <c r="N1155" i="10"/>
  <c r="S1154" i="10"/>
  <c r="U1154" i="10" s="1"/>
  <c r="R1154" i="10"/>
  <c r="T1154" i="10" s="1"/>
  <c r="P1154" i="10"/>
  <c r="Q1157" i="10" s="1"/>
  <c r="O1154" i="10"/>
  <c r="N1154" i="10"/>
  <c r="S1153" i="10"/>
  <c r="U1153" i="10" s="1"/>
  <c r="R1153" i="10"/>
  <c r="T1153" i="10" s="1"/>
  <c r="P1153" i="10"/>
  <c r="Q1156" i="10" s="1"/>
  <c r="O1153" i="10"/>
  <c r="N1153" i="10"/>
  <c r="U1152" i="10"/>
  <c r="S1152" i="10"/>
  <c r="R1152" i="10"/>
  <c r="T1152" i="10" s="1"/>
  <c r="P1152" i="10"/>
  <c r="Q1155" i="10" s="1"/>
  <c r="O1152" i="10"/>
  <c r="N1152" i="10"/>
  <c r="S1151" i="10"/>
  <c r="U1151" i="10" s="1"/>
  <c r="R1151" i="10"/>
  <c r="T1151" i="10" s="1"/>
  <c r="P1151" i="10"/>
  <c r="Q1152" i="10" s="1"/>
  <c r="O1151" i="10"/>
  <c r="N1151" i="10"/>
  <c r="U1150" i="10"/>
  <c r="S1150" i="10"/>
  <c r="R1150" i="10"/>
  <c r="T1150" i="10" s="1"/>
  <c r="P1150" i="10"/>
  <c r="Q1151" i="10" s="1"/>
  <c r="O1150" i="10"/>
  <c r="N1150" i="10"/>
  <c r="U1149" i="10"/>
  <c r="S1149" i="10"/>
  <c r="R1149" i="10"/>
  <c r="T1149" i="10" s="1"/>
  <c r="P1149" i="10"/>
  <c r="O1149" i="10"/>
  <c r="N1149" i="10"/>
  <c r="S1148" i="10"/>
  <c r="U1148" i="10" s="1"/>
  <c r="R1148" i="10"/>
  <c r="T1148" i="10" s="1"/>
  <c r="P1148" i="10"/>
  <c r="Q1150" i="10" s="1"/>
  <c r="O1148" i="10"/>
  <c r="N1148" i="10"/>
  <c r="S1147" i="10"/>
  <c r="U1147" i="10" s="1"/>
  <c r="R1147" i="10"/>
  <c r="T1147" i="10" s="1"/>
  <c r="P1147" i="10"/>
  <c r="O1147" i="10"/>
  <c r="N1147" i="10"/>
  <c r="S1146" i="10"/>
  <c r="U1146" i="10" s="1"/>
  <c r="R1146" i="10"/>
  <c r="T1146" i="10" s="1"/>
  <c r="P1146" i="10"/>
  <c r="Q1149" i="10" s="1"/>
  <c r="O1146" i="10"/>
  <c r="N1146" i="10"/>
  <c r="S1145" i="10"/>
  <c r="U1145" i="10" s="1"/>
  <c r="R1145" i="10"/>
  <c r="T1145" i="10" s="1"/>
  <c r="P1145" i="10"/>
  <c r="Q1148" i="10" s="1"/>
  <c r="O1145" i="10"/>
  <c r="N1145" i="10"/>
  <c r="S1144" i="10"/>
  <c r="U1144" i="10" s="1"/>
  <c r="R1144" i="10"/>
  <c r="T1144" i="10" s="1"/>
  <c r="P1144" i="10"/>
  <c r="Q1147" i="10" s="1"/>
  <c r="O1144" i="10"/>
  <c r="N1144" i="10"/>
  <c r="S1143" i="10"/>
  <c r="U1143" i="10" s="1"/>
  <c r="R1143" i="10"/>
  <c r="T1143" i="10" s="1"/>
  <c r="P1143" i="10"/>
  <c r="Q1144" i="10" s="1"/>
  <c r="O1143" i="10"/>
  <c r="N1143" i="10"/>
  <c r="U1142" i="10"/>
  <c r="S1142" i="10"/>
  <c r="R1142" i="10"/>
  <c r="T1142" i="10" s="1"/>
  <c r="P1142" i="10"/>
  <c r="Q1143" i="10" s="1"/>
  <c r="O1142" i="10"/>
  <c r="N1142" i="10"/>
  <c r="U1141" i="10"/>
  <c r="S1141" i="10"/>
  <c r="R1141" i="10"/>
  <c r="T1141" i="10" s="1"/>
  <c r="P1141" i="10"/>
  <c r="O1141" i="10"/>
  <c r="N1141" i="10"/>
  <c r="S1140" i="10"/>
  <c r="U1140" i="10" s="1"/>
  <c r="R1140" i="10"/>
  <c r="T1140" i="10" s="1"/>
  <c r="P1140" i="10"/>
  <c r="Q1142" i="10" s="1"/>
  <c r="O1140" i="10"/>
  <c r="N1140" i="10"/>
  <c r="U1139" i="10"/>
  <c r="S1139" i="10"/>
  <c r="R1139" i="10"/>
  <c r="T1139" i="10" s="1"/>
  <c r="P1139" i="10"/>
  <c r="O1139" i="10"/>
  <c r="N1139" i="10"/>
  <c r="S1138" i="10"/>
  <c r="U1138" i="10" s="1"/>
  <c r="R1138" i="10"/>
  <c r="T1138" i="10" s="1"/>
  <c r="P1138" i="10"/>
  <c r="Q1141" i="10" s="1"/>
  <c r="O1138" i="10"/>
  <c r="N1138" i="10"/>
  <c r="S1137" i="10"/>
  <c r="U1137" i="10" s="1"/>
  <c r="R1137" i="10"/>
  <c r="T1137" i="10" s="1"/>
  <c r="P1137" i="10"/>
  <c r="Q1140" i="10" s="1"/>
  <c r="O1137" i="10"/>
  <c r="N1137" i="10"/>
  <c r="U1136" i="10"/>
  <c r="S1136" i="10"/>
  <c r="R1136" i="10"/>
  <c r="T1136" i="10" s="1"/>
  <c r="P1136" i="10"/>
  <c r="Q1139" i="10" s="1"/>
  <c r="O1136" i="10"/>
  <c r="N1136" i="10"/>
  <c r="S1135" i="10"/>
  <c r="U1135" i="10" s="1"/>
  <c r="R1135" i="10"/>
  <c r="T1135" i="10" s="1"/>
  <c r="P1135" i="10"/>
  <c r="Q1136" i="10" s="1"/>
  <c r="O1135" i="10"/>
  <c r="N1135" i="10"/>
  <c r="U1134" i="10"/>
  <c r="S1134" i="10"/>
  <c r="R1134" i="10"/>
  <c r="T1134" i="10" s="1"/>
  <c r="P1134" i="10"/>
  <c r="Q1135" i="10" s="1"/>
  <c r="O1134" i="10"/>
  <c r="N1134" i="10"/>
  <c r="U1133" i="10"/>
  <c r="S1133" i="10"/>
  <c r="R1133" i="10"/>
  <c r="T1133" i="10" s="1"/>
  <c r="P1133" i="10"/>
  <c r="O1133" i="10"/>
  <c r="N1133" i="10"/>
  <c r="S1132" i="10"/>
  <c r="U1132" i="10" s="1"/>
  <c r="R1132" i="10"/>
  <c r="T1132" i="10" s="1"/>
  <c r="P1132" i="10"/>
  <c r="Q1134" i="10" s="1"/>
  <c r="O1132" i="10"/>
  <c r="N1132" i="10"/>
  <c r="U1131" i="10"/>
  <c r="S1131" i="10"/>
  <c r="R1131" i="10"/>
  <c r="T1131" i="10" s="1"/>
  <c r="P1131" i="10"/>
  <c r="O1131" i="10"/>
  <c r="N1131" i="10"/>
  <c r="S1130" i="10"/>
  <c r="U1130" i="10" s="1"/>
  <c r="R1130" i="10"/>
  <c r="T1130" i="10" s="1"/>
  <c r="P1130" i="10"/>
  <c r="Q1133" i="10" s="1"/>
  <c r="O1130" i="10"/>
  <c r="N1130" i="10"/>
  <c r="S1129" i="10"/>
  <c r="U1129" i="10" s="1"/>
  <c r="R1129" i="10"/>
  <c r="T1129" i="10" s="1"/>
  <c r="P1129" i="10"/>
  <c r="Q1132" i="10" s="1"/>
  <c r="O1129" i="10"/>
  <c r="N1129" i="10"/>
  <c r="S1128" i="10"/>
  <c r="U1128" i="10" s="1"/>
  <c r="R1128" i="10"/>
  <c r="T1128" i="10" s="1"/>
  <c r="P1128" i="10"/>
  <c r="Q1131" i="10" s="1"/>
  <c r="O1128" i="10"/>
  <c r="N1128" i="10"/>
  <c r="S1127" i="10"/>
  <c r="U1127" i="10" s="1"/>
  <c r="R1127" i="10"/>
  <c r="T1127" i="10" s="1"/>
  <c r="P1127" i="10"/>
  <c r="Q1128" i="10" s="1"/>
  <c r="O1127" i="10"/>
  <c r="N1127" i="10"/>
  <c r="U1126" i="10"/>
  <c r="S1126" i="10"/>
  <c r="R1126" i="10"/>
  <c r="T1126" i="10" s="1"/>
  <c r="P1126" i="10"/>
  <c r="Q1127" i="10" s="1"/>
  <c r="O1126" i="10"/>
  <c r="N1126" i="10"/>
  <c r="U1125" i="10"/>
  <c r="S1125" i="10"/>
  <c r="R1125" i="10"/>
  <c r="T1125" i="10" s="1"/>
  <c r="P1125" i="10"/>
  <c r="O1125" i="10"/>
  <c r="N1125" i="10"/>
  <c r="U1124" i="10"/>
  <c r="S1124" i="10"/>
  <c r="R1124" i="10"/>
  <c r="T1124" i="10" s="1"/>
  <c r="P1124" i="10"/>
  <c r="Q1126" i="10" s="1"/>
  <c r="O1124" i="10"/>
  <c r="N1124" i="10"/>
  <c r="U1123" i="10"/>
  <c r="S1123" i="10"/>
  <c r="R1123" i="10"/>
  <c r="T1123" i="10" s="1"/>
  <c r="P1123" i="10"/>
  <c r="O1123" i="10"/>
  <c r="N1123" i="10"/>
  <c r="S1122" i="10"/>
  <c r="U1122" i="10" s="1"/>
  <c r="R1122" i="10"/>
  <c r="T1122" i="10" s="1"/>
  <c r="P1122" i="10"/>
  <c r="Q1125" i="10" s="1"/>
  <c r="O1122" i="10"/>
  <c r="N1122" i="10"/>
  <c r="S1121" i="10"/>
  <c r="U1121" i="10" s="1"/>
  <c r="R1121" i="10"/>
  <c r="T1121" i="10" s="1"/>
  <c r="P1121" i="10"/>
  <c r="Q1124" i="10" s="1"/>
  <c r="O1121" i="10"/>
  <c r="N1121" i="10"/>
  <c r="S1120" i="10"/>
  <c r="U1120" i="10" s="1"/>
  <c r="R1120" i="10"/>
  <c r="T1120" i="10" s="1"/>
  <c r="P1120" i="10"/>
  <c r="Q1123" i="10" s="1"/>
  <c r="O1120" i="10"/>
  <c r="N1120" i="10"/>
  <c r="S1119" i="10"/>
  <c r="U1119" i="10" s="1"/>
  <c r="R1119" i="10"/>
  <c r="T1119" i="10" s="1"/>
  <c r="P1119" i="10"/>
  <c r="Q1120" i="10" s="1"/>
  <c r="O1119" i="10"/>
  <c r="N1119" i="10"/>
  <c r="U1118" i="10"/>
  <c r="S1118" i="10"/>
  <c r="R1118" i="10"/>
  <c r="T1118" i="10" s="1"/>
  <c r="P1118" i="10"/>
  <c r="Q1119" i="10" s="1"/>
  <c r="O1118" i="10"/>
  <c r="N1118" i="10"/>
  <c r="U1117" i="10"/>
  <c r="S1117" i="10"/>
  <c r="R1117" i="10"/>
  <c r="T1117" i="10" s="1"/>
  <c r="P1117" i="10"/>
  <c r="O1117" i="10"/>
  <c r="N1117" i="10"/>
  <c r="S1116" i="10"/>
  <c r="U1116" i="10" s="1"/>
  <c r="R1116" i="10"/>
  <c r="T1116" i="10" s="1"/>
  <c r="P1116" i="10"/>
  <c r="Q1118" i="10" s="1"/>
  <c r="O1116" i="10"/>
  <c r="N1116" i="10"/>
  <c r="U1115" i="10"/>
  <c r="S1115" i="10"/>
  <c r="R1115" i="10"/>
  <c r="T1115" i="10" s="1"/>
  <c r="P1115" i="10"/>
  <c r="O1115" i="10"/>
  <c r="N1115" i="10"/>
  <c r="S1114" i="10"/>
  <c r="U1114" i="10" s="1"/>
  <c r="R1114" i="10"/>
  <c r="T1114" i="10" s="1"/>
  <c r="P1114" i="10"/>
  <c r="Q1117" i="10" s="1"/>
  <c r="O1114" i="10"/>
  <c r="N1114" i="10"/>
  <c r="S1113" i="10"/>
  <c r="U1113" i="10" s="1"/>
  <c r="R1113" i="10"/>
  <c r="T1113" i="10" s="1"/>
  <c r="P1113" i="10"/>
  <c r="Q1116" i="10" s="1"/>
  <c r="O1113" i="10"/>
  <c r="N1113" i="10"/>
  <c r="S1112" i="10"/>
  <c r="U1112" i="10" s="1"/>
  <c r="R1112" i="10"/>
  <c r="T1112" i="10" s="1"/>
  <c r="P1112" i="10"/>
  <c r="Q1115" i="10" s="1"/>
  <c r="O1112" i="10"/>
  <c r="N1112" i="10"/>
  <c r="S1111" i="10"/>
  <c r="U1111" i="10" s="1"/>
  <c r="R1111" i="10"/>
  <c r="T1111" i="10" s="1"/>
  <c r="P1111" i="10"/>
  <c r="Q1112" i="10" s="1"/>
  <c r="O1111" i="10"/>
  <c r="N1111" i="10"/>
  <c r="U1110" i="10"/>
  <c r="S1110" i="10"/>
  <c r="R1110" i="10"/>
  <c r="T1110" i="10" s="1"/>
  <c r="P1110" i="10"/>
  <c r="Q1111" i="10" s="1"/>
  <c r="O1110" i="10"/>
  <c r="N1110" i="10"/>
  <c r="U1109" i="10"/>
  <c r="S1109" i="10"/>
  <c r="R1109" i="10"/>
  <c r="T1109" i="10" s="1"/>
  <c r="P1109" i="10"/>
  <c r="O1109" i="10"/>
  <c r="N1109" i="10"/>
  <c r="S1108" i="10"/>
  <c r="U1108" i="10" s="1"/>
  <c r="R1108" i="10"/>
  <c r="T1108" i="10" s="1"/>
  <c r="P1108" i="10"/>
  <c r="Q1110" i="10" s="1"/>
  <c r="O1108" i="10"/>
  <c r="N1108" i="10"/>
  <c r="U1107" i="10"/>
  <c r="S1107" i="10"/>
  <c r="R1107" i="10"/>
  <c r="T1107" i="10" s="1"/>
  <c r="P1107" i="10"/>
  <c r="O1107" i="10"/>
  <c r="N1107" i="10"/>
  <c r="S1106" i="10"/>
  <c r="U1106" i="10" s="1"/>
  <c r="R1106" i="10"/>
  <c r="T1106" i="10" s="1"/>
  <c r="P1106" i="10"/>
  <c r="Q1109" i="10" s="1"/>
  <c r="O1106" i="10"/>
  <c r="N1106" i="10"/>
  <c r="S1105" i="10"/>
  <c r="U1105" i="10" s="1"/>
  <c r="R1105" i="10"/>
  <c r="T1105" i="10" s="1"/>
  <c r="P1105" i="10"/>
  <c r="Q1108" i="10" s="1"/>
  <c r="O1105" i="10"/>
  <c r="N1105" i="10"/>
  <c r="S1104" i="10"/>
  <c r="U1104" i="10" s="1"/>
  <c r="R1104" i="10"/>
  <c r="T1104" i="10" s="1"/>
  <c r="P1104" i="10"/>
  <c r="Q1107" i="10" s="1"/>
  <c r="O1104" i="10"/>
  <c r="N1104" i="10"/>
  <c r="S1103" i="10"/>
  <c r="U1103" i="10" s="1"/>
  <c r="R1103" i="10"/>
  <c r="T1103" i="10" s="1"/>
  <c r="P1103" i="10"/>
  <c r="Q1104" i="10" s="1"/>
  <c r="O1103" i="10"/>
  <c r="N1103" i="10"/>
  <c r="U1102" i="10"/>
  <c r="S1102" i="10"/>
  <c r="R1102" i="10"/>
  <c r="T1102" i="10" s="1"/>
  <c r="P1102" i="10"/>
  <c r="Q1103" i="10" s="1"/>
  <c r="O1102" i="10"/>
  <c r="N1102" i="10"/>
  <c r="U1101" i="10"/>
  <c r="S1101" i="10"/>
  <c r="R1101" i="10"/>
  <c r="T1101" i="10" s="1"/>
  <c r="P1101" i="10"/>
  <c r="O1101" i="10"/>
  <c r="N1101" i="10"/>
  <c r="S1100" i="10"/>
  <c r="U1100" i="10" s="1"/>
  <c r="R1100" i="10"/>
  <c r="T1100" i="10" s="1"/>
  <c r="P1100" i="10"/>
  <c r="Q1102" i="10" s="1"/>
  <c r="O1100" i="10"/>
  <c r="N1100" i="10"/>
  <c r="U1099" i="10"/>
  <c r="S1099" i="10"/>
  <c r="R1099" i="10"/>
  <c r="T1099" i="10" s="1"/>
  <c r="P1099" i="10"/>
  <c r="O1099" i="10"/>
  <c r="N1099" i="10"/>
  <c r="S1098" i="10"/>
  <c r="U1098" i="10" s="1"/>
  <c r="R1098" i="10"/>
  <c r="T1098" i="10" s="1"/>
  <c r="P1098" i="10"/>
  <c r="Q1101" i="10" s="1"/>
  <c r="O1098" i="10"/>
  <c r="N1098" i="10"/>
  <c r="S1097" i="10"/>
  <c r="U1097" i="10" s="1"/>
  <c r="R1097" i="10"/>
  <c r="T1097" i="10" s="1"/>
  <c r="P1097" i="10"/>
  <c r="Q1100" i="10" s="1"/>
  <c r="O1097" i="10"/>
  <c r="N1097" i="10"/>
  <c r="S1096" i="10"/>
  <c r="U1096" i="10" s="1"/>
  <c r="R1096" i="10"/>
  <c r="T1096" i="10" s="1"/>
  <c r="P1096" i="10"/>
  <c r="Q1099" i="10" s="1"/>
  <c r="O1096" i="10"/>
  <c r="N1096" i="10"/>
  <c r="S1095" i="10"/>
  <c r="U1095" i="10" s="1"/>
  <c r="R1095" i="10"/>
  <c r="T1095" i="10" s="1"/>
  <c r="P1095" i="10"/>
  <c r="Q1096" i="10" s="1"/>
  <c r="O1095" i="10"/>
  <c r="N1095" i="10"/>
  <c r="U1094" i="10"/>
  <c r="S1094" i="10"/>
  <c r="R1094" i="10"/>
  <c r="T1094" i="10" s="1"/>
  <c r="P1094" i="10"/>
  <c r="Q1095" i="10" s="1"/>
  <c r="O1094" i="10"/>
  <c r="N1094" i="10"/>
  <c r="U1093" i="10"/>
  <c r="S1093" i="10"/>
  <c r="R1093" i="10"/>
  <c r="T1093" i="10" s="1"/>
  <c r="P1093" i="10"/>
  <c r="O1093" i="10"/>
  <c r="N1093" i="10"/>
  <c r="S1092" i="10"/>
  <c r="U1092" i="10" s="1"/>
  <c r="R1092" i="10"/>
  <c r="T1092" i="10" s="1"/>
  <c r="P1092" i="10"/>
  <c r="Q1094" i="10" s="1"/>
  <c r="O1092" i="10"/>
  <c r="N1092" i="10"/>
  <c r="U1091" i="10"/>
  <c r="S1091" i="10"/>
  <c r="R1091" i="10"/>
  <c r="T1091" i="10" s="1"/>
  <c r="P1091" i="10"/>
  <c r="O1091" i="10"/>
  <c r="N1091" i="10"/>
  <c r="S1090" i="10"/>
  <c r="U1090" i="10" s="1"/>
  <c r="R1090" i="10"/>
  <c r="T1090" i="10" s="1"/>
  <c r="P1090" i="10"/>
  <c r="Q1093" i="10" s="1"/>
  <c r="O1090" i="10"/>
  <c r="N1090" i="10"/>
  <c r="S1089" i="10"/>
  <c r="U1089" i="10" s="1"/>
  <c r="R1089" i="10"/>
  <c r="T1089" i="10" s="1"/>
  <c r="P1089" i="10"/>
  <c r="Q1092" i="10" s="1"/>
  <c r="O1089" i="10"/>
  <c r="N1089" i="10"/>
  <c r="S1088" i="10"/>
  <c r="U1088" i="10" s="1"/>
  <c r="R1088" i="10"/>
  <c r="T1088" i="10" s="1"/>
  <c r="P1088" i="10"/>
  <c r="Q1091" i="10" s="1"/>
  <c r="O1088" i="10"/>
  <c r="N1088" i="10"/>
  <c r="S1087" i="10"/>
  <c r="U1087" i="10" s="1"/>
  <c r="R1087" i="10"/>
  <c r="T1087" i="10" s="1"/>
  <c r="P1087" i="10"/>
  <c r="Q1088" i="10" s="1"/>
  <c r="O1087" i="10"/>
  <c r="N1087" i="10"/>
  <c r="U1086" i="10"/>
  <c r="S1086" i="10"/>
  <c r="R1086" i="10"/>
  <c r="T1086" i="10" s="1"/>
  <c r="P1086" i="10"/>
  <c r="O1086" i="10"/>
  <c r="N1086" i="10"/>
  <c r="U1085" i="10"/>
  <c r="S1085" i="10"/>
  <c r="R1085" i="10"/>
  <c r="T1085" i="10" s="1"/>
  <c r="P1085" i="10"/>
  <c r="O1085" i="10"/>
  <c r="N1085" i="10"/>
  <c r="S1084" i="10"/>
  <c r="U1084" i="10" s="1"/>
  <c r="R1084" i="10"/>
  <c r="T1084" i="10" s="1"/>
  <c r="P1084" i="10"/>
  <c r="Q1086" i="10" s="1"/>
  <c r="O1084" i="10"/>
  <c r="N1084" i="10"/>
  <c r="U1083" i="10"/>
  <c r="S1083" i="10"/>
  <c r="R1083" i="10"/>
  <c r="T1083" i="10" s="1"/>
  <c r="P1083" i="10"/>
  <c r="O1083" i="10"/>
  <c r="N1083" i="10"/>
  <c r="S1082" i="10"/>
  <c r="U1082" i="10" s="1"/>
  <c r="R1082" i="10"/>
  <c r="T1082" i="10" s="1"/>
  <c r="P1082" i="10"/>
  <c r="Q1085" i="10" s="1"/>
  <c r="O1082" i="10"/>
  <c r="N1082" i="10"/>
  <c r="S1081" i="10"/>
  <c r="U1081" i="10" s="1"/>
  <c r="R1081" i="10"/>
  <c r="T1081" i="10" s="1"/>
  <c r="P1081" i="10"/>
  <c r="Q1084" i="10" s="1"/>
  <c r="O1081" i="10"/>
  <c r="N1081" i="10"/>
  <c r="S1080" i="10"/>
  <c r="U1080" i="10" s="1"/>
  <c r="R1080" i="10"/>
  <c r="T1080" i="10" s="1"/>
  <c r="P1080" i="10"/>
  <c r="Q1083" i="10" s="1"/>
  <c r="O1080" i="10"/>
  <c r="N1080" i="10"/>
  <c r="S1079" i="10"/>
  <c r="U1079" i="10" s="1"/>
  <c r="R1079" i="10"/>
  <c r="T1079" i="10" s="1"/>
  <c r="P1079" i="10"/>
  <c r="Q1080" i="10" s="1"/>
  <c r="O1079" i="10"/>
  <c r="N1079" i="10"/>
  <c r="U1078" i="10"/>
  <c r="S1078" i="10"/>
  <c r="R1078" i="10"/>
  <c r="T1078" i="10" s="1"/>
  <c r="P1078" i="10"/>
  <c r="O1078" i="10"/>
  <c r="N1078" i="10"/>
  <c r="U1077" i="10"/>
  <c r="S1077" i="10"/>
  <c r="R1077" i="10"/>
  <c r="T1077" i="10" s="1"/>
  <c r="P1077" i="10"/>
  <c r="O1077" i="10"/>
  <c r="N1077" i="10"/>
  <c r="S1076" i="10"/>
  <c r="U1076" i="10" s="1"/>
  <c r="R1076" i="10"/>
  <c r="T1076" i="10" s="1"/>
  <c r="P1076" i="10"/>
  <c r="Q1078" i="10" s="1"/>
  <c r="O1076" i="10"/>
  <c r="N1076" i="10"/>
  <c r="U1075" i="10"/>
  <c r="S1075" i="10"/>
  <c r="R1075" i="10"/>
  <c r="T1075" i="10" s="1"/>
  <c r="P1075" i="10"/>
  <c r="O1075" i="10"/>
  <c r="N1075" i="10"/>
  <c r="S1074" i="10"/>
  <c r="U1074" i="10" s="1"/>
  <c r="R1074" i="10"/>
  <c r="T1074" i="10" s="1"/>
  <c r="P1074" i="10"/>
  <c r="Q1077" i="10" s="1"/>
  <c r="O1074" i="10"/>
  <c r="N1074" i="10"/>
  <c r="S1073" i="10"/>
  <c r="U1073" i="10" s="1"/>
  <c r="R1073" i="10"/>
  <c r="T1073" i="10" s="1"/>
  <c r="P1073" i="10"/>
  <c r="Q1076" i="10" s="1"/>
  <c r="O1073" i="10"/>
  <c r="N1073" i="10"/>
  <c r="S1072" i="10"/>
  <c r="U1072" i="10" s="1"/>
  <c r="R1072" i="10"/>
  <c r="T1072" i="10" s="1"/>
  <c r="P1072" i="10"/>
  <c r="Q1075" i="10" s="1"/>
  <c r="O1072" i="10"/>
  <c r="N1072" i="10"/>
  <c r="S1071" i="10"/>
  <c r="U1071" i="10" s="1"/>
  <c r="R1071" i="10"/>
  <c r="T1071" i="10" s="1"/>
  <c r="P1071" i="10"/>
  <c r="Q1072" i="10" s="1"/>
  <c r="O1071" i="10"/>
  <c r="N1071" i="10"/>
  <c r="U1070" i="10"/>
  <c r="S1070" i="10"/>
  <c r="R1070" i="10"/>
  <c r="T1070" i="10" s="1"/>
  <c r="P1070" i="10"/>
  <c r="O1070" i="10"/>
  <c r="N1070" i="10"/>
  <c r="U1069" i="10"/>
  <c r="S1069" i="10"/>
  <c r="R1069" i="10"/>
  <c r="T1069" i="10" s="1"/>
  <c r="P1069" i="10"/>
  <c r="O1069" i="10"/>
  <c r="N1069" i="10"/>
  <c r="S1068" i="10"/>
  <c r="U1068" i="10" s="1"/>
  <c r="R1068" i="10"/>
  <c r="T1068" i="10" s="1"/>
  <c r="P1068" i="10"/>
  <c r="Q1070" i="10" s="1"/>
  <c r="O1068" i="10"/>
  <c r="N1068" i="10"/>
  <c r="U1067" i="10"/>
  <c r="S1067" i="10"/>
  <c r="R1067" i="10"/>
  <c r="T1067" i="10" s="1"/>
  <c r="P1067" i="10"/>
  <c r="O1067" i="10"/>
  <c r="N1067" i="10"/>
  <c r="S1066" i="10"/>
  <c r="U1066" i="10" s="1"/>
  <c r="R1066" i="10"/>
  <c r="T1066" i="10" s="1"/>
  <c r="P1066" i="10"/>
  <c r="Q1069" i="10" s="1"/>
  <c r="O1066" i="10"/>
  <c r="N1066" i="10"/>
  <c r="S1065" i="10"/>
  <c r="U1065" i="10" s="1"/>
  <c r="R1065" i="10"/>
  <c r="T1065" i="10" s="1"/>
  <c r="P1065" i="10"/>
  <c r="Q1068" i="10" s="1"/>
  <c r="O1065" i="10"/>
  <c r="N1065" i="10"/>
  <c r="S1064" i="10"/>
  <c r="U1064" i="10" s="1"/>
  <c r="R1064" i="10"/>
  <c r="T1064" i="10" s="1"/>
  <c r="P1064" i="10"/>
  <c r="Q1067" i="10" s="1"/>
  <c r="O1064" i="10"/>
  <c r="N1064" i="10"/>
  <c r="S1063" i="10"/>
  <c r="U1063" i="10" s="1"/>
  <c r="R1063" i="10"/>
  <c r="T1063" i="10" s="1"/>
  <c r="P1063" i="10"/>
  <c r="Q1064" i="10" s="1"/>
  <c r="O1063" i="10"/>
  <c r="N1063" i="10"/>
  <c r="U1062" i="10"/>
  <c r="S1062" i="10"/>
  <c r="R1062" i="10"/>
  <c r="T1062" i="10" s="1"/>
  <c r="P1062" i="10"/>
  <c r="O1062" i="10"/>
  <c r="N1062" i="10"/>
  <c r="U1061" i="10"/>
  <c r="S1061" i="10"/>
  <c r="R1061" i="10"/>
  <c r="T1061" i="10" s="1"/>
  <c r="P1061" i="10"/>
  <c r="O1061" i="10"/>
  <c r="N1061" i="10"/>
  <c r="S1060" i="10"/>
  <c r="U1060" i="10" s="1"/>
  <c r="R1060" i="10"/>
  <c r="T1060" i="10" s="1"/>
  <c r="P1060" i="10"/>
  <c r="Q1062" i="10" s="1"/>
  <c r="O1060" i="10"/>
  <c r="N1060" i="10"/>
  <c r="U1059" i="10"/>
  <c r="S1059" i="10"/>
  <c r="R1059" i="10"/>
  <c r="T1059" i="10" s="1"/>
  <c r="P1059" i="10"/>
  <c r="O1059" i="10"/>
  <c r="N1059" i="10"/>
  <c r="S1058" i="10"/>
  <c r="U1058" i="10" s="1"/>
  <c r="R1058" i="10"/>
  <c r="T1058" i="10" s="1"/>
  <c r="P1058" i="10"/>
  <c r="Q1061" i="10" s="1"/>
  <c r="O1058" i="10"/>
  <c r="N1058" i="10"/>
  <c r="S1057" i="10"/>
  <c r="U1057" i="10" s="1"/>
  <c r="R1057" i="10"/>
  <c r="T1057" i="10" s="1"/>
  <c r="P1057" i="10"/>
  <c r="Q1060" i="10" s="1"/>
  <c r="O1057" i="10"/>
  <c r="N1057" i="10"/>
  <c r="S1056" i="10"/>
  <c r="U1056" i="10" s="1"/>
  <c r="R1056" i="10"/>
  <c r="T1056" i="10" s="1"/>
  <c r="P1056" i="10"/>
  <c r="Q1059" i="10" s="1"/>
  <c r="O1056" i="10"/>
  <c r="N1056" i="10"/>
  <c r="S1055" i="10"/>
  <c r="U1055" i="10" s="1"/>
  <c r="R1055" i="10"/>
  <c r="T1055" i="10" s="1"/>
  <c r="P1055" i="10"/>
  <c r="Q1056" i="10" s="1"/>
  <c r="O1055" i="10"/>
  <c r="N1055" i="10"/>
  <c r="U1054" i="10"/>
  <c r="S1054" i="10"/>
  <c r="R1054" i="10"/>
  <c r="T1054" i="10" s="1"/>
  <c r="P1054" i="10"/>
  <c r="O1054" i="10"/>
  <c r="N1054" i="10"/>
  <c r="U1053" i="10"/>
  <c r="S1053" i="10"/>
  <c r="R1053" i="10"/>
  <c r="T1053" i="10" s="1"/>
  <c r="P1053" i="10"/>
  <c r="O1053" i="10"/>
  <c r="N1053" i="10"/>
  <c r="S1052" i="10"/>
  <c r="U1052" i="10" s="1"/>
  <c r="R1052" i="10"/>
  <c r="T1052" i="10" s="1"/>
  <c r="P1052" i="10"/>
  <c r="Q1054" i="10" s="1"/>
  <c r="O1052" i="10"/>
  <c r="N1052" i="10"/>
  <c r="U1051" i="10"/>
  <c r="S1051" i="10"/>
  <c r="R1051" i="10"/>
  <c r="T1051" i="10" s="1"/>
  <c r="P1051" i="10"/>
  <c r="O1051" i="10"/>
  <c r="N1051" i="10"/>
  <c r="S1050" i="10"/>
  <c r="U1050" i="10" s="1"/>
  <c r="R1050" i="10"/>
  <c r="T1050" i="10" s="1"/>
  <c r="P1050" i="10"/>
  <c r="Q1053" i="10" s="1"/>
  <c r="O1050" i="10"/>
  <c r="N1050" i="10"/>
  <c r="S1049" i="10"/>
  <c r="U1049" i="10" s="1"/>
  <c r="R1049" i="10"/>
  <c r="T1049" i="10" s="1"/>
  <c r="P1049" i="10"/>
  <c r="Q1052" i="10" s="1"/>
  <c r="O1049" i="10"/>
  <c r="N1049" i="10"/>
  <c r="S1048" i="10"/>
  <c r="U1048" i="10" s="1"/>
  <c r="R1048" i="10"/>
  <c r="T1048" i="10" s="1"/>
  <c r="P1048" i="10"/>
  <c r="Q1051" i="10" s="1"/>
  <c r="O1048" i="10"/>
  <c r="N1048" i="10"/>
  <c r="S1047" i="10"/>
  <c r="U1047" i="10" s="1"/>
  <c r="R1047" i="10"/>
  <c r="T1047" i="10" s="1"/>
  <c r="P1047" i="10"/>
  <c r="Q1048" i="10" s="1"/>
  <c r="O1047" i="10"/>
  <c r="N1047" i="10"/>
  <c r="U1046" i="10"/>
  <c r="S1046" i="10"/>
  <c r="R1046" i="10"/>
  <c r="T1046" i="10" s="1"/>
  <c r="P1046" i="10"/>
  <c r="O1046" i="10"/>
  <c r="N1046" i="10"/>
  <c r="U1045" i="10"/>
  <c r="S1045" i="10"/>
  <c r="R1045" i="10"/>
  <c r="T1045" i="10" s="1"/>
  <c r="P1045" i="10"/>
  <c r="O1045" i="10"/>
  <c r="N1045" i="10"/>
  <c r="S1044" i="10"/>
  <c r="U1044" i="10" s="1"/>
  <c r="R1044" i="10"/>
  <c r="T1044" i="10" s="1"/>
  <c r="P1044" i="10"/>
  <c r="Q1046" i="10" s="1"/>
  <c r="O1044" i="10"/>
  <c r="N1044" i="10"/>
  <c r="U1043" i="10"/>
  <c r="S1043" i="10"/>
  <c r="R1043" i="10"/>
  <c r="T1043" i="10" s="1"/>
  <c r="P1043" i="10"/>
  <c r="O1043" i="10"/>
  <c r="N1043" i="10"/>
  <c r="S1042" i="10"/>
  <c r="U1042" i="10" s="1"/>
  <c r="R1042" i="10"/>
  <c r="T1042" i="10" s="1"/>
  <c r="P1042" i="10"/>
  <c r="Q1045" i="10" s="1"/>
  <c r="O1042" i="10"/>
  <c r="N1042" i="10"/>
  <c r="S1041" i="10"/>
  <c r="U1041" i="10" s="1"/>
  <c r="R1041" i="10"/>
  <c r="T1041" i="10" s="1"/>
  <c r="P1041" i="10"/>
  <c r="Q1044" i="10" s="1"/>
  <c r="O1041" i="10"/>
  <c r="N1041" i="10"/>
  <c r="S1040" i="10"/>
  <c r="U1040" i="10" s="1"/>
  <c r="R1040" i="10"/>
  <c r="T1040" i="10" s="1"/>
  <c r="P1040" i="10"/>
  <c r="Q1043" i="10" s="1"/>
  <c r="O1040" i="10"/>
  <c r="N1040" i="10"/>
  <c r="S1039" i="10"/>
  <c r="U1039" i="10" s="1"/>
  <c r="R1039" i="10"/>
  <c r="T1039" i="10" s="1"/>
  <c r="P1039" i="10"/>
  <c r="Q1040" i="10" s="1"/>
  <c r="O1039" i="10"/>
  <c r="N1039" i="10"/>
  <c r="U1038" i="10"/>
  <c r="S1038" i="10"/>
  <c r="R1038" i="10"/>
  <c r="T1038" i="10" s="1"/>
  <c r="P1038" i="10"/>
  <c r="O1038" i="10"/>
  <c r="N1038" i="10"/>
  <c r="U1037" i="10"/>
  <c r="S1037" i="10"/>
  <c r="R1037" i="10"/>
  <c r="T1037" i="10" s="1"/>
  <c r="P1037" i="10"/>
  <c r="O1037" i="10"/>
  <c r="N1037" i="10"/>
  <c r="S1036" i="10"/>
  <c r="U1036" i="10" s="1"/>
  <c r="R1036" i="10"/>
  <c r="T1036" i="10" s="1"/>
  <c r="P1036" i="10"/>
  <c r="Q1038" i="10" s="1"/>
  <c r="O1036" i="10"/>
  <c r="N1036" i="10"/>
  <c r="U1035" i="10"/>
  <c r="S1035" i="10"/>
  <c r="R1035" i="10"/>
  <c r="T1035" i="10" s="1"/>
  <c r="P1035" i="10"/>
  <c r="O1035" i="10"/>
  <c r="N1035" i="10"/>
  <c r="S1034" i="10"/>
  <c r="U1034" i="10" s="1"/>
  <c r="R1034" i="10"/>
  <c r="T1034" i="10" s="1"/>
  <c r="P1034" i="10"/>
  <c r="Q1037" i="10" s="1"/>
  <c r="O1034" i="10"/>
  <c r="N1034" i="10"/>
  <c r="S1033" i="10"/>
  <c r="U1033" i="10" s="1"/>
  <c r="R1033" i="10"/>
  <c r="T1033" i="10" s="1"/>
  <c r="P1033" i="10"/>
  <c r="Q1036" i="10" s="1"/>
  <c r="O1033" i="10"/>
  <c r="N1033" i="10"/>
  <c r="S1032" i="10"/>
  <c r="U1032" i="10" s="1"/>
  <c r="R1032" i="10"/>
  <c r="T1032" i="10" s="1"/>
  <c r="P1032" i="10"/>
  <c r="Q1035" i="10" s="1"/>
  <c r="O1032" i="10"/>
  <c r="N1032" i="10"/>
  <c r="S1031" i="10"/>
  <c r="U1031" i="10" s="1"/>
  <c r="R1031" i="10"/>
  <c r="T1031" i="10" s="1"/>
  <c r="P1031" i="10"/>
  <c r="Q1032" i="10" s="1"/>
  <c r="O1031" i="10"/>
  <c r="N1031" i="10"/>
  <c r="U1030" i="10"/>
  <c r="S1030" i="10"/>
  <c r="R1030" i="10"/>
  <c r="T1030" i="10" s="1"/>
  <c r="P1030" i="10"/>
  <c r="O1030" i="10"/>
  <c r="N1030" i="10"/>
  <c r="U1029" i="10"/>
  <c r="S1029" i="10"/>
  <c r="R1029" i="10"/>
  <c r="T1029" i="10" s="1"/>
  <c r="P1029" i="10"/>
  <c r="O1029" i="10"/>
  <c r="N1029" i="10"/>
  <c r="S1028" i="10"/>
  <c r="U1028" i="10" s="1"/>
  <c r="R1028" i="10"/>
  <c r="T1028" i="10" s="1"/>
  <c r="P1028" i="10"/>
  <c r="Q1030" i="10" s="1"/>
  <c r="O1028" i="10"/>
  <c r="N1028" i="10"/>
  <c r="U1027" i="10"/>
  <c r="S1027" i="10"/>
  <c r="R1027" i="10"/>
  <c r="T1027" i="10" s="1"/>
  <c r="P1027" i="10"/>
  <c r="O1027" i="10"/>
  <c r="N1027" i="10"/>
  <c r="S1026" i="10"/>
  <c r="U1026" i="10" s="1"/>
  <c r="R1026" i="10"/>
  <c r="T1026" i="10" s="1"/>
  <c r="P1026" i="10"/>
  <c r="Q1029" i="10" s="1"/>
  <c r="O1026" i="10"/>
  <c r="N1026" i="10"/>
  <c r="U1025" i="10"/>
  <c r="S1025" i="10"/>
  <c r="R1025" i="10"/>
  <c r="T1025" i="10" s="1"/>
  <c r="P1025" i="10"/>
  <c r="Q1028" i="10" s="1"/>
  <c r="O1025" i="10"/>
  <c r="N1025" i="10"/>
  <c r="S1024" i="10"/>
  <c r="U1024" i="10" s="1"/>
  <c r="R1024" i="10"/>
  <c r="T1024" i="10" s="1"/>
  <c r="P1024" i="10"/>
  <c r="Q1027" i="10" s="1"/>
  <c r="O1024" i="10"/>
  <c r="N1024" i="10"/>
  <c r="S1023" i="10"/>
  <c r="U1023" i="10" s="1"/>
  <c r="R1023" i="10"/>
  <c r="T1023" i="10" s="1"/>
  <c r="P1023" i="10"/>
  <c r="Q1024" i="10" s="1"/>
  <c r="O1023" i="10"/>
  <c r="N1023" i="10"/>
  <c r="U1022" i="10"/>
  <c r="S1022" i="10"/>
  <c r="R1022" i="10"/>
  <c r="T1022" i="10" s="1"/>
  <c r="P1022" i="10"/>
  <c r="O1022" i="10"/>
  <c r="N1022" i="10"/>
  <c r="U1021" i="10"/>
  <c r="S1021" i="10"/>
  <c r="R1021" i="10"/>
  <c r="T1021" i="10" s="1"/>
  <c r="P1021" i="10"/>
  <c r="O1021" i="10"/>
  <c r="N1021" i="10"/>
  <c r="S1020" i="10"/>
  <c r="U1020" i="10" s="1"/>
  <c r="R1020" i="10"/>
  <c r="T1020" i="10" s="1"/>
  <c r="P1020" i="10"/>
  <c r="Q1023" i="10" s="1"/>
  <c r="O1020" i="10"/>
  <c r="N1020" i="10"/>
  <c r="U1019" i="10"/>
  <c r="T1019" i="10"/>
  <c r="S1019" i="10"/>
  <c r="R1019" i="10"/>
  <c r="P1019" i="10"/>
  <c r="Q1022" i="10" s="1"/>
  <c r="O1019" i="10"/>
  <c r="N1019" i="10"/>
  <c r="U1018" i="10"/>
  <c r="T1018" i="10"/>
  <c r="S1018" i="10"/>
  <c r="R1018" i="10"/>
  <c r="P1018" i="10"/>
  <c r="Q1021" i="10" s="1"/>
  <c r="O1018" i="10"/>
  <c r="N1018" i="10"/>
  <c r="U1017" i="10"/>
  <c r="T1017" i="10"/>
  <c r="S1017" i="10"/>
  <c r="R1017" i="10"/>
  <c r="P1017" i="10"/>
  <c r="Q1020" i="10" s="1"/>
  <c r="O1017" i="10"/>
  <c r="N1017" i="10"/>
  <c r="U1016" i="10"/>
  <c r="T1016" i="10"/>
  <c r="S1016" i="10"/>
  <c r="R1016" i="10"/>
  <c r="P1016" i="10"/>
  <c r="Q1019" i="10" s="1"/>
  <c r="O1016" i="10"/>
  <c r="N1016" i="10"/>
  <c r="U1015" i="10"/>
  <c r="T1015" i="10"/>
  <c r="S1015" i="10"/>
  <c r="R1015" i="10"/>
  <c r="P1015" i="10"/>
  <c r="Q1018" i="10" s="1"/>
  <c r="O1015" i="10"/>
  <c r="N1015" i="10"/>
  <c r="U1014" i="10"/>
  <c r="T1014" i="10"/>
  <c r="S1014" i="10"/>
  <c r="R1014" i="10"/>
  <c r="P1014" i="10"/>
  <c r="Q1017" i="10" s="1"/>
  <c r="O1014" i="10"/>
  <c r="N1014" i="10"/>
  <c r="U1013" i="10"/>
  <c r="T1013" i="10"/>
  <c r="S1013" i="10"/>
  <c r="R1013" i="10"/>
  <c r="P1013" i="10"/>
  <c r="Q1016" i="10" s="1"/>
  <c r="O1013" i="10"/>
  <c r="N1013" i="10"/>
  <c r="U1012" i="10"/>
  <c r="T1012" i="10"/>
  <c r="S1012" i="10"/>
  <c r="R1012" i="10"/>
  <c r="P1012" i="10"/>
  <c r="Q1015" i="10" s="1"/>
  <c r="O1012" i="10"/>
  <c r="N1012" i="10"/>
  <c r="U1011" i="10"/>
  <c r="T1011" i="10"/>
  <c r="S1011" i="10"/>
  <c r="R1011" i="10"/>
  <c r="P1011" i="10"/>
  <c r="Q1014" i="10" s="1"/>
  <c r="O1011" i="10"/>
  <c r="N1011" i="10"/>
  <c r="U1010" i="10"/>
  <c r="T1010" i="10"/>
  <c r="S1010" i="10"/>
  <c r="R1010" i="10"/>
  <c r="P1010" i="10"/>
  <c r="Q1013" i="10" s="1"/>
  <c r="O1010" i="10"/>
  <c r="N1010" i="10"/>
  <c r="U1009" i="10"/>
  <c r="T1009" i="10"/>
  <c r="S1009" i="10"/>
  <c r="R1009" i="10"/>
  <c r="P1009" i="10"/>
  <c r="Q1012" i="10" s="1"/>
  <c r="O1009" i="10"/>
  <c r="N1009" i="10"/>
  <c r="U1008" i="10"/>
  <c r="T1008" i="10"/>
  <c r="S1008" i="10"/>
  <c r="R1008" i="10"/>
  <c r="P1008" i="10"/>
  <c r="Q1011" i="10" s="1"/>
  <c r="O1008" i="10"/>
  <c r="N1008" i="10"/>
  <c r="U1007" i="10"/>
  <c r="T1007" i="10"/>
  <c r="S1007" i="10"/>
  <c r="R1007" i="10"/>
  <c r="P1007" i="10"/>
  <c r="Q1010" i="10" s="1"/>
  <c r="O1007" i="10"/>
  <c r="N1007" i="10"/>
  <c r="U1006" i="10"/>
  <c r="T1006" i="10"/>
  <c r="S1006" i="10"/>
  <c r="R1006" i="10"/>
  <c r="P1006" i="10"/>
  <c r="Q1009" i="10" s="1"/>
  <c r="O1006" i="10"/>
  <c r="N1006" i="10"/>
  <c r="U1005" i="10"/>
  <c r="T1005" i="10"/>
  <c r="S1005" i="10"/>
  <c r="R1005" i="10"/>
  <c r="P1005" i="10"/>
  <c r="Q1008" i="10" s="1"/>
  <c r="O1005" i="10"/>
  <c r="N1005" i="10"/>
  <c r="U1004" i="10"/>
  <c r="T1004" i="10"/>
  <c r="S1004" i="10"/>
  <c r="R1004" i="10"/>
  <c r="P1004" i="10"/>
  <c r="Q1007" i="10" s="1"/>
  <c r="O1004" i="10"/>
  <c r="N1004" i="10"/>
  <c r="U1003" i="10"/>
  <c r="T1003" i="10"/>
  <c r="S1003" i="10"/>
  <c r="R1003" i="10"/>
  <c r="P1003" i="10"/>
  <c r="Q1006" i="10" s="1"/>
  <c r="O1003" i="10"/>
  <c r="N1003" i="10"/>
  <c r="U1002" i="10"/>
  <c r="T1002" i="10"/>
  <c r="S1002" i="10"/>
  <c r="R1002" i="10"/>
  <c r="P1002" i="10"/>
  <c r="Q1005" i="10" s="1"/>
  <c r="O1002" i="10"/>
  <c r="N1002" i="10"/>
  <c r="U1001" i="10"/>
  <c r="T1001" i="10"/>
  <c r="S1001" i="10"/>
  <c r="R1001" i="10"/>
  <c r="P1001" i="10"/>
  <c r="Q1004" i="10" s="1"/>
  <c r="O1001" i="10"/>
  <c r="N1001" i="10"/>
  <c r="U1000" i="10"/>
  <c r="T1000" i="10"/>
  <c r="S1000" i="10"/>
  <c r="R1000" i="10"/>
  <c r="P1000" i="10"/>
  <c r="Q1003" i="10" s="1"/>
  <c r="O1000" i="10"/>
  <c r="N1000" i="10"/>
  <c r="U999" i="10"/>
  <c r="T999" i="10"/>
  <c r="S999" i="10"/>
  <c r="R999" i="10"/>
  <c r="P999" i="10"/>
  <c r="Q1002" i="10" s="1"/>
  <c r="O999" i="10"/>
  <c r="N999" i="10"/>
  <c r="U998" i="10"/>
  <c r="T998" i="10"/>
  <c r="S998" i="10"/>
  <c r="R998" i="10"/>
  <c r="P998" i="10"/>
  <c r="Q1001" i="10" s="1"/>
  <c r="O998" i="10"/>
  <c r="N998" i="10"/>
  <c r="U997" i="10"/>
  <c r="T997" i="10"/>
  <c r="S997" i="10"/>
  <c r="R997" i="10"/>
  <c r="P997" i="10"/>
  <c r="Q1000" i="10" s="1"/>
  <c r="O997" i="10"/>
  <c r="N997" i="10"/>
  <c r="U996" i="10"/>
  <c r="T996" i="10"/>
  <c r="S996" i="10"/>
  <c r="R996" i="10"/>
  <c r="P996" i="10"/>
  <c r="Q999" i="10" s="1"/>
  <c r="O996" i="10"/>
  <c r="N996" i="10"/>
  <c r="U995" i="10"/>
  <c r="T995" i="10"/>
  <c r="S995" i="10"/>
  <c r="R995" i="10"/>
  <c r="P995" i="10"/>
  <c r="Q998" i="10" s="1"/>
  <c r="O995" i="10"/>
  <c r="N995" i="10"/>
  <c r="U994" i="10"/>
  <c r="T994" i="10"/>
  <c r="S994" i="10"/>
  <c r="R994" i="10"/>
  <c r="P994" i="10"/>
  <c r="Q997" i="10" s="1"/>
  <c r="O994" i="10"/>
  <c r="N994" i="10"/>
  <c r="U993" i="10"/>
  <c r="T993" i="10"/>
  <c r="S993" i="10"/>
  <c r="R993" i="10"/>
  <c r="P993" i="10"/>
  <c r="Q996" i="10" s="1"/>
  <c r="O993" i="10"/>
  <c r="N993" i="10"/>
  <c r="U992" i="10"/>
  <c r="T992" i="10"/>
  <c r="S992" i="10"/>
  <c r="R992" i="10"/>
  <c r="P992" i="10"/>
  <c r="Q995" i="10" s="1"/>
  <c r="O992" i="10"/>
  <c r="N992" i="10"/>
  <c r="U991" i="10"/>
  <c r="T991" i="10"/>
  <c r="S991" i="10"/>
  <c r="R991" i="10"/>
  <c r="P991" i="10"/>
  <c r="Q994" i="10" s="1"/>
  <c r="O991" i="10"/>
  <c r="N991" i="10"/>
  <c r="U990" i="10"/>
  <c r="T990" i="10"/>
  <c r="S990" i="10"/>
  <c r="R990" i="10"/>
  <c r="P990" i="10"/>
  <c r="Q993" i="10" s="1"/>
  <c r="O990" i="10"/>
  <c r="N990" i="10"/>
  <c r="U989" i="10"/>
  <c r="T989" i="10"/>
  <c r="S989" i="10"/>
  <c r="R989" i="10"/>
  <c r="P989" i="10"/>
  <c r="Q992" i="10" s="1"/>
  <c r="O989" i="10"/>
  <c r="N989" i="10"/>
  <c r="U988" i="10"/>
  <c r="T988" i="10"/>
  <c r="S988" i="10"/>
  <c r="R988" i="10"/>
  <c r="P988" i="10"/>
  <c r="Q991" i="10" s="1"/>
  <c r="O988" i="10"/>
  <c r="N988" i="10"/>
  <c r="U987" i="10"/>
  <c r="T987" i="10"/>
  <c r="S987" i="10"/>
  <c r="R987" i="10"/>
  <c r="P987" i="10"/>
  <c r="Q990" i="10" s="1"/>
  <c r="O987" i="10"/>
  <c r="N987" i="10"/>
  <c r="U986" i="10"/>
  <c r="T986" i="10"/>
  <c r="S986" i="10"/>
  <c r="R986" i="10"/>
  <c r="P986" i="10"/>
  <c r="Q989" i="10" s="1"/>
  <c r="O986" i="10"/>
  <c r="N986" i="10"/>
  <c r="U985" i="10"/>
  <c r="T985" i="10"/>
  <c r="S985" i="10"/>
  <c r="R985" i="10"/>
  <c r="P985" i="10"/>
  <c r="Q988" i="10" s="1"/>
  <c r="O985" i="10"/>
  <c r="N985" i="10"/>
  <c r="U984" i="10"/>
  <c r="T984" i="10"/>
  <c r="S984" i="10"/>
  <c r="R984" i="10"/>
  <c r="P984" i="10"/>
  <c r="Q987" i="10" s="1"/>
  <c r="O984" i="10"/>
  <c r="N984" i="10"/>
  <c r="U983" i="10"/>
  <c r="T983" i="10"/>
  <c r="S983" i="10"/>
  <c r="R983" i="10"/>
  <c r="P983" i="10"/>
  <c r="Q986" i="10" s="1"/>
  <c r="O983" i="10"/>
  <c r="N983" i="10"/>
  <c r="U982" i="10"/>
  <c r="T982" i="10"/>
  <c r="S982" i="10"/>
  <c r="R982" i="10"/>
  <c r="P982" i="10"/>
  <c r="Q985" i="10" s="1"/>
  <c r="O982" i="10"/>
  <c r="N982" i="10"/>
  <c r="U981" i="10"/>
  <c r="T981" i="10"/>
  <c r="S981" i="10"/>
  <c r="R981" i="10"/>
  <c r="P981" i="10"/>
  <c r="Q984" i="10" s="1"/>
  <c r="O981" i="10"/>
  <c r="N981" i="10"/>
  <c r="U980" i="10"/>
  <c r="T980" i="10"/>
  <c r="S980" i="10"/>
  <c r="R980" i="10"/>
  <c r="P980" i="10"/>
  <c r="Q983" i="10" s="1"/>
  <c r="O980" i="10"/>
  <c r="N980" i="10"/>
  <c r="U979" i="10"/>
  <c r="T979" i="10"/>
  <c r="S979" i="10"/>
  <c r="R979" i="10"/>
  <c r="P979" i="10"/>
  <c r="Q982" i="10" s="1"/>
  <c r="O979" i="10"/>
  <c r="N979" i="10"/>
  <c r="U978" i="10"/>
  <c r="T978" i="10"/>
  <c r="S978" i="10"/>
  <c r="R978" i="10"/>
  <c r="P978" i="10"/>
  <c r="Q981" i="10" s="1"/>
  <c r="O978" i="10"/>
  <c r="N978" i="10"/>
  <c r="U977" i="10"/>
  <c r="T977" i="10"/>
  <c r="S977" i="10"/>
  <c r="R977" i="10"/>
  <c r="P977" i="10"/>
  <c r="Q980" i="10" s="1"/>
  <c r="O977" i="10"/>
  <c r="N977" i="10"/>
  <c r="U976" i="10"/>
  <c r="T976" i="10"/>
  <c r="S976" i="10"/>
  <c r="R976" i="10"/>
  <c r="P976" i="10"/>
  <c r="Q979" i="10" s="1"/>
  <c r="O976" i="10"/>
  <c r="N976" i="10"/>
  <c r="U975" i="10"/>
  <c r="T975" i="10"/>
  <c r="S975" i="10"/>
  <c r="R975" i="10"/>
  <c r="P975" i="10"/>
  <c r="Q978" i="10" s="1"/>
  <c r="O975" i="10"/>
  <c r="N975" i="10"/>
  <c r="U974" i="10"/>
  <c r="T974" i="10"/>
  <c r="S974" i="10"/>
  <c r="R974" i="10"/>
  <c r="P974" i="10"/>
  <c r="Q977" i="10" s="1"/>
  <c r="O974" i="10"/>
  <c r="N974" i="10"/>
  <c r="U973" i="10"/>
  <c r="T973" i="10"/>
  <c r="S973" i="10"/>
  <c r="R973" i="10"/>
  <c r="P973" i="10"/>
  <c r="Q976" i="10" s="1"/>
  <c r="O973" i="10"/>
  <c r="N973" i="10"/>
  <c r="U972" i="10"/>
  <c r="T972" i="10"/>
  <c r="S972" i="10"/>
  <c r="R972" i="10"/>
  <c r="P972" i="10"/>
  <c r="Q975" i="10" s="1"/>
  <c r="O972" i="10"/>
  <c r="N972" i="10"/>
  <c r="U971" i="10"/>
  <c r="T971" i="10"/>
  <c r="S971" i="10"/>
  <c r="R971" i="10"/>
  <c r="P971" i="10"/>
  <c r="Q974" i="10" s="1"/>
  <c r="O971" i="10"/>
  <c r="N971" i="10"/>
  <c r="U970" i="10"/>
  <c r="T970" i="10"/>
  <c r="S970" i="10"/>
  <c r="R970" i="10"/>
  <c r="P970" i="10"/>
  <c r="Q973" i="10" s="1"/>
  <c r="O970" i="10"/>
  <c r="N970" i="10"/>
  <c r="U969" i="10"/>
  <c r="T969" i="10"/>
  <c r="S969" i="10"/>
  <c r="R969" i="10"/>
  <c r="P969" i="10"/>
  <c r="Q972" i="10" s="1"/>
  <c r="O969" i="10"/>
  <c r="N969" i="10"/>
  <c r="U968" i="10"/>
  <c r="T968" i="10"/>
  <c r="S968" i="10"/>
  <c r="R968" i="10"/>
  <c r="P968" i="10"/>
  <c r="Q971" i="10" s="1"/>
  <c r="O968" i="10"/>
  <c r="N968" i="10"/>
  <c r="U967" i="10"/>
  <c r="T967" i="10"/>
  <c r="S967" i="10"/>
  <c r="R967" i="10"/>
  <c r="P967" i="10"/>
  <c r="Q970" i="10" s="1"/>
  <c r="O967" i="10"/>
  <c r="N967" i="10"/>
  <c r="U966" i="10"/>
  <c r="T966" i="10"/>
  <c r="S966" i="10"/>
  <c r="R966" i="10"/>
  <c r="P966" i="10"/>
  <c r="Q969" i="10" s="1"/>
  <c r="O966" i="10"/>
  <c r="N966" i="10"/>
  <c r="U965" i="10"/>
  <c r="T965" i="10"/>
  <c r="S965" i="10"/>
  <c r="R965" i="10"/>
  <c r="P965" i="10"/>
  <c r="Q968" i="10" s="1"/>
  <c r="O965" i="10"/>
  <c r="N965" i="10"/>
  <c r="U964" i="10"/>
  <c r="T964" i="10"/>
  <c r="S964" i="10"/>
  <c r="R964" i="10"/>
  <c r="P964" i="10"/>
  <c r="Q967" i="10" s="1"/>
  <c r="O964" i="10"/>
  <c r="N964" i="10"/>
  <c r="U963" i="10"/>
  <c r="T963" i="10"/>
  <c r="S963" i="10"/>
  <c r="R963" i="10"/>
  <c r="P963" i="10"/>
  <c r="Q966" i="10" s="1"/>
  <c r="O963" i="10"/>
  <c r="N963" i="10"/>
  <c r="U962" i="10"/>
  <c r="T962" i="10"/>
  <c r="S962" i="10"/>
  <c r="R962" i="10"/>
  <c r="P962" i="10"/>
  <c r="Q965" i="10" s="1"/>
  <c r="O962" i="10"/>
  <c r="N962" i="10"/>
  <c r="U961" i="10"/>
  <c r="T961" i="10"/>
  <c r="S961" i="10"/>
  <c r="R961" i="10"/>
  <c r="P961" i="10"/>
  <c r="Q964" i="10" s="1"/>
  <c r="O961" i="10"/>
  <c r="N961" i="10"/>
  <c r="U960" i="10"/>
  <c r="T960" i="10"/>
  <c r="S960" i="10"/>
  <c r="R960" i="10"/>
  <c r="P960" i="10"/>
  <c r="Q963" i="10" s="1"/>
  <c r="O960" i="10"/>
  <c r="N960" i="10"/>
  <c r="U959" i="10"/>
  <c r="T959" i="10"/>
  <c r="S959" i="10"/>
  <c r="R959" i="10"/>
  <c r="P959" i="10"/>
  <c r="Q962" i="10" s="1"/>
  <c r="O959" i="10"/>
  <c r="N959" i="10"/>
  <c r="U958" i="10"/>
  <c r="T958" i="10"/>
  <c r="S958" i="10"/>
  <c r="R958" i="10"/>
  <c r="P958" i="10"/>
  <c r="Q961" i="10" s="1"/>
  <c r="O958" i="10"/>
  <c r="N958" i="10"/>
  <c r="U957" i="10"/>
  <c r="T957" i="10"/>
  <c r="S957" i="10"/>
  <c r="R957" i="10"/>
  <c r="P957" i="10"/>
  <c r="Q960" i="10" s="1"/>
  <c r="O957" i="10"/>
  <c r="N957" i="10"/>
  <c r="U956" i="10"/>
  <c r="T956" i="10"/>
  <c r="S956" i="10"/>
  <c r="R956" i="10"/>
  <c r="P956" i="10"/>
  <c r="Q959" i="10" s="1"/>
  <c r="O956" i="10"/>
  <c r="N956" i="10"/>
  <c r="U955" i="10"/>
  <c r="T955" i="10"/>
  <c r="S955" i="10"/>
  <c r="R955" i="10"/>
  <c r="P955" i="10"/>
  <c r="Q958" i="10" s="1"/>
  <c r="O955" i="10"/>
  <c r="N955" i="10"/>
  <c r="U954" i="10"/>
  <c r="T954" i="10"/>
  <c r="S954" i="10"/>
  <c r="R954" i="10"/>
  <c r="P954" i="10"/>
  <c r="Q957" i="10" s="1"/>
  <c r="O954" i="10"/>
  <c r="N954" i="10"/>
  <c r="U953" i="10"/>
  <c r="T953" i="10"/>
  <c r="S953" i="10"/>
  <c r="R953" i="10"/>
  <c r="P953" i="10"/>
  <c r="Q956" i="10" s="1"/>
  <c r="O953" i="10"/>
  <c r="N953" i="10"/>
  <c r="U952" i="10"/>
  <c r="T952" i="10"/>
  <c r="S952" i="10"/>
  <c r="R952" i="10"/>
  <c r="P952" i="10"/>
  <c r="Q955" i="10" s="1"/>
  <c r="O952" i="10"/>
  <c r="N952" i="10"/>
  <c r="U951" i="10"/>
  <c r="T951" i="10"/>
  <c r="S951" i="10"/>
  <c r="R951" i="10"/>
  <c r="P951" i="10"/>
  <c r="Q954" i="10" s="1"/>
  <c r="O951" i="10"/>
  <c r="N951" i="10"/>
  <c r="U950" i="10"/>
  <c r="T950" i="10"/>
  <c r="S950" i="10"/>
  <c r="R950" i="10"/>
  <c r="P950" i="10"/>
  <c r="Q953" i="10" s="1"/>
  <c r="O950" i="10"/>
  <c r="N950" i="10"/>
  <c r="U949" i="10"/>
  <c r="T949" i="10"/>
  <c r="S949" i="10"/>
  <c r="R949" i="10"/>
  <c r="P949" i="10"/>
  <c r="Q952" i="10" s="1"/>
  <c r="O949" i="10"/>
  <c r="N949" i="10"/>
  <c r="U948" i="10"/>
  <c r="T948" i="10"/>
  <c r="S948" i="10"/>
  <c r="R948" i="10"/>
  <c r="P948" i="10"/>
  <c r="Q951" i="10" s="1"/>
  <c r="O948" i="10"/>
  <c r="N948" i="10"/>
  <c r="U947" i="10"/>
  <c r="T947" i="10"/>
  <c r="S947" i="10"/>
  <c r="R947" i="10"/>
  <c r="P947" i="10"/>
  <c r="Q950" i="10" s="1"/>
  <c r="O947" i="10"/>
  <c r="N947" i="10"/>
  <c r="U946" i="10"/>
  <c r="T946" i="10"/>
  <c r="S946" i="10"/>
  <c r="R946" i="10"/>
  <c r="P946" i="10"/>
  <c r="Q949" i="10" s="1"/>
  <c r="O946" i="10"/>
  <c r="N946" i="10"/>
  <c r="U945" i="10"/>
  <c r="T945" i="10"/>
  <c r="S945" i="10"/>
  <c r="R945" i="10"/>
  <c r="P945" i="10"/>
  <c r="Q948" i="10" s="1"/>
  <c r="O945" i="10"/>
  <c r="N945" i="10"/>
  <c r="U944" i="10"/>
  <c r="T944" i="10"/>
  <c r="S944" i="10"/>
  <c r="R944" i="10"/>
  <c r="P944" i="10"/>
  <c r="Q947" i="10" s="1"/>
  <c r="O944" i="10"/>
  <c r="N944" i="10"/>
  <c r="U943" i="10"/>
  <c r="T943" i="10"/>
  <c r="S943" i="10"/>
  <c r="R943" i="10"/>
  <c r="P943" i="10"/>
  <c r="Q946" i="10" s="1"/>
  <c r="O943" i="10"/>
  <c r="N943" i="10"/>
  <c r="U942" i="10"/>
  <c r="T942" i="10"/>
  <c r="S942" i="10"/>
  <c r="R942" i="10"/>
  <c r="P942" i="10"/>
  <c r="Q945" i="10" s="1"/>
  <c r="O942" i="10"/>
  <c r="N942" i="10"/>
  <c r="U941" i="10"/>
  <c r="T941" i="10"/>
  <c r="S941" i="10"/>
  <c r="R941" i="10"/>
  <c r="P941" i="10"/>
  <c r="Q944" i="10" s="1"/>
  <c r="O941" i="10"/>
  <c r="N941" i="10"/>
  <c r="U940" i="10"/>
  <c r="T940" i="10"/>
  <c r="S940" i="10"/>
  <c r="R940" i="10"/>
  <c r="P940" i="10"/>
  <c r="Q943" i="10" s="1"/>
  <c r="O940" i="10"/>
  <c r="N940" i="10"/>
  <c r="U939" i="10"/>
  <c r="T939" i="10"/>
  <c r="S939" i="10"/>
  <c r="R939" i="10"/>
  <c r="P939" i="10"/>
  <c r="Q942" i="10" s="1"/>
  <c r="O939" i="10"/>
  <c r="N939" i="10"/>
  <c r="U938" i="10"/>
  <c r="T938" i="10"/>
  <c r="S938" i="10"/>
  <c r="R938" i="10"/>
  <c r="P938" i="10"/>
  <c r="Q941" i="10" s="1"/>
  <c r="O938" i="10"/>
  <c r="N938" i="10"/>
  <c r="U937" i="10"/>
  <c r="T937" i="10"/>
  <c r="S937" i="10"/>
  <c r="R937" i="10"/>
  <c r="P937" i="10"/>
  <c r="Q940" i="10" s="1"/>
  <c r="O937" i="10"/>
  <c r="N937" i="10"/>
  <c r="U936" i="10"/>
  <c r="T936" i="10"/>
  <c r="S936" i="10"/>
  <c r="R936" i="10"/>
  <c r="P936" i="10"/>
  <c r="Q939" i="10" s="1"/>
  <c r="O936" i="10"/>
  <c r="N936" i="10"/>
  <c r="U935" i="10"/>
  <c r="T935" i="10"/>
  <c r="S935" i="10"/>
  <c r="R935" i="10"/>
  <c r="P935" i="10"/>
  <c r="Q938" i="10" s="1"/>
  <c r="O935" i="10"/>
  <c r="N935" i="10"/>
  <c r="U934" i="10"/>
  <c r="T934" i="10"/>
  <c r="S934" i="10"/>
  <c r="R934" i="10"/>
  <c r="P934" i="10"/>
  <c r="Q937" i="10" s="1"/>
  <c r="O934" i="10"/>
  <c r="N934" i="10"/>
  <c r="U933" i="10"/>
  <c r="T933" i="10"/>
  <c r="S933" i="10"/>
  <c r="R933" i="10"/>
  <c r="P933" i="10"/>
  <c r="Q936" i="10" s="1"/>
  <c r="O933" i="10"/>
  <c r="N933" i="10"/>
  <c r="U932" i="10"/>
  <c r="T932" i="10"/>
  <c r="S932" i="10"/>
  <c r="R932" i="10"/>
  <c r="P932" i="10"/>
  <c r="Q935" i="10" s="1"/>
  <c r="O932" i="10"/>
  <c r="N932" i="10"/>
  <c r="U931" i="10"/>
  <c r="T931" i="10"/>
  <c r="S931" i="10"/>
  <c r="R931" i="10"/>
  <c r="P931" i="10"/>
  <c r="Q934" i="10" s="1"/>
  <c r="O931" i="10"/>
  <c r="N931" i="10"/>
  <c r="U930" i="10"/>
  <c r="T930" i="10"/>
  <c r="S930" i="10"/>
  <c r="R930" i="10"/>
  <c r="P930" i="10"/>
  <c r="Q933" i="10" s="1"/>
  <c r="O930" i="10"/>
  <c r="N930" i="10"/>
  <c r="U929" i="10"/>
  <c r="T929" i="10"/>
  <c r="S929" i="10"/>
  <c r="R929" i="10"/>
  <c r="P929" i="10"/>
  <c r="Q932" i="10" s="1"/>
  <c r="O929" i="10"/>
  <c r="N929" i="10"/>
  <c r="U928" i="10"/>
  <c r="T928" i="10"/>
  <c r="S928" i="10"/>
  <c r="R928" i="10"/>
  <c r="P928" i="10"/>
  <c r="Q931" i="10" s="1"/>
  <c r="O928" i="10"/>
  <c r="N928" i="10"/>
  <c r="U927" i="10"/>
  <c r="T927" i="10"/>
  <c r="S927" i="10"/>
  <c r="R927" i="10"/>
  <c r="P927" i="10"/>
  <c r="Q930" i="10" s="1"/>
  <c r="O927" i="10"/>
  <c r="N927" i="10"/>
  <c r="U926" i="10"/>
  <c r="T926" i="10"/>
  <c r="S926" i="10"/>
  <c r="R926" i="10"/>
  <c r="P926" i="10"/>
  <c r="Q929" i="10" s="1"/>
  <c r="O926" i="10"/>
  <c r="N926" i="10"/>
  <c r="U925" i="10"/>
  <c r="T925" i="10"/>
  <c r="S925" i="10"/>
  <c r="R925" i="10"/>
  <c r="P925" i="10"/>
  <c r="Q928" i="10" s="1"/>
  <c r="O925" i="10"/>
  <c r="N925" i="10"/>
  <c r="U924" i="10"/>
  <c r="T924" i="10"/>
  <c r="S924" i="10"/>
  <c r="R924" i="10"/>
  <c r="P924" i="10"/>
  <c r="Q927" i="10" s="1"/>
  <c r="O924" i="10"/>
  <c r="N924" i="10"/>
  <c r="U923" i="10"/>
  <c r="T923" i="10"/>
  <c r="S923" i="10"/>
  <c r="R923" i="10"/>
  <c r="P923" i="10"/>
  <c r="Q926" i="10" s="1"/>
  <c r="O923" i="10"/>
  <c r="N923" i="10"/>
  <c r="U922" i="10"/>
  <c r="T922" i="10"/>
  <c r="S922" i="10"/>
  <c r="R922" i="10"/>
  <c r="P922" i="10"/>
  <c r="Q925" i="10" s="1"/>
  <c r="O922" i="10"/>
  <c r="N922" i="10"/>
  <c r="U921" i="10"/>
  <c r="T921" i="10"/>
  <c r="S921" i="10"/>
  <c r="R921" i="10"/>
  <c r="P921" i="10"/>
  <c r="Q924" i="10" s="1"/>
  <c r="O921" i="10"/>
  <c r="N921" i="10"/>
  <c r="U920" i="10"/>
  <c r="T920" i="10"/>
  <c r="S920" i="10"/>
  <c r="R920" i="10"/>
  <c r="P920" i="10"/>
  <c r="Q923" i="10" s="1"/>
  <c r="O920" i="10"/>
  <c r="N920" i="10"/>
  <c r="U919" i="10"/>
  <c r="T919" i="10"/>
  <c r="S919" i="10"/>
  <c r="R919" i="10"/>
  <c r="P919" i="10"/>
  <c r="Q922" i="10" s="1"/>
  <c r="O919" i="10"/>
  <c r="N919" i="10"/>
  <c r="U918" i="10"/>
  <c r="T918" i="10"/>
  <c r="S918" i="10"/>
  <c r="R918" i="10"/>
  <c r="P918" i="10"/>
  <c r="Q921" i="10" s="1"/>
  <c r="O918" i="10"/>
  <c r="N918" i="10"/>
  <c r="U917" i="10"/>
  <c r="T917" i="10"/>
  <c r="S917" i="10"/>
  <c r="R917" i="10"/>
  <c r="P917" i="10"/>
  <c r="Q920" i="10" s="1"/>
  <c r="O917" i="10"/>
  <c r="N917" i="10"/>
  <c r="U916" i="10"/>
  <c r="T916" i="10"/>
  <c r="S916" i="10"/>
  <c r="R916" i="10"/>
  <c r="P916" i="10"/>
  <c r="Q919" i="10" s="1"/>
  <c r="O916" i="10"/>
  <c r="N916" i="10"/>
  <c r="U915" i="10"/>
  <c r="T915" i="10"/>
  <c r="S915" i="10"/>
  <c r="R915" i="10"/>
  <c r="P915" i="10"/>
  <c r="Q918" i="10" s="1"/>
  <c r="O915" i="10"/>
  <c r="N915" i="10"/>
  <c r="U914" i="10"/>
  <c r="T914" i="10"/>
  <c r="S914" i="10"/>
  <c r="R914" i="10"/>
  <c r="P914" i="10"/>
  <c r="Q917" i="10" s="1"/>
  <c r="O914" i="10"/>
  <c r="N914" i="10"/>
  <c r="U913" i="10"/>
  <c r="T913" i="10"/>
  <c r="S913" i="10"/>
  <c r="R913" i="10"/>
  <c r="P913" i="10"/>
  <c r="Q916" i="10" s="1"/>
  <c r="O913" i="10"/>
  <c r="N913" i="10"/>
  <c r="U912" i="10"/>
  <c r="S912" i="10"/>
  <c r="R912" i="10"/>
  <c r="T912" i="10" s="1"/>
  <c r="P912" i="10"/>
  <c r="Q915" i="10" s="1"/>
  <c r="O912" i="10"/>
  <c r="N912" i="10"/>
  <c r="U911" i="10"/>
  <c r="S911" i="10"/>
  <c r="R911" i="10"/>
  <c r="T911" i="10" s="1"/>
  <c r="P911" i="10"/>
  <c r="Q914" i="10" s="1"/>
  <c r="O911" i="10"/>
  <c r="N911" i="10"/>
  <c r="U910" i="10"/>
  <c r="S910" i="10"/>
  <c r="R910" i="10"/>
  <c r="T910" i="10" s="1"/>
  <c r="P910" i="10"/>
  <c r="Q913" i="10" s="1"/>
  <c r="O910" i="10"/>
  <c r="N910" i="10"/>
  <c r="U909" i="10"/>
  <c r="S909" i="10"/>
  <c r="R909" i="10"/>
  <c r="T909" i="10" s="1"/>
  <c r="P909" i="10"/>
  <c r="Q912" i="10" s="1"/>
  <c r="O909" i="10"/>
  <c r="N909" i="10"/>
  <c r="U908" i="10"/>
  <c r="S908" i="10"/>
  <c r="R908" i="10"/>
  <c r="T908" i="10" s="1"/>
  <c r="P908" i="10"/>
  <c r="Q911" i="10" s="1"/>
  <c r="O908" i="10"/>
  <c r="N908" i="10"/>
  <c r="U907" i="10"/>
  <c r="S907" i="10"/>
  <c r="R907" i="10"/>
  <c r="T907" i="10" s="1"/>
  <c r="P907" i="10"/>
  <c r="Q910" i="10" s="1"/>
  <c r="O907" i="10"/>
  <c r="N907" i="10"/>
  <c r="U906" i="10"/>
  <c r="S906" i="10"/>
  <c r="R906" i="10"/>
  <c r="T906" i="10" s="1"/>
  <c r="P906" i="10"/>
  <c r="Q909" i="10" s="1"/>
  <c r="O906" i="10"/>
  <c r="N906" i="10"/>
  <c r="U905" i="10"/>
  <c r="S905" i="10"/>
  <c r="R905" i="10"/>
  <c r="T905" i="10" s="1"/>
  <c r="P905" i="10"/>
  <c r="Q908" i="10" s="1"/>
  <c r="O905" i="10"/>
  <c r="N905" i="10"/>
  <c r="U904" i="10"/>
  <c r="S904" i="10"/>
  <c r="R904" i="10"/>
  <c r="T904" i="10" s="1"/>
  <c r="P904" i="10"/>
  <c r="Q907" i="10" s="1"/>
  <c r="O904" i="10"/>
  <c r="N904" i="10"/>
  <c r="U903" i="10"/>
  <c r="S903" i="10"/>
  <c r="R903" i="10"/>
  <c r="T903" i="10" s="1"/>
  <c r="P903" i="10"/>
  <c r="Q906" i="10" s="1"/>
  <c r="O903" i="10"/>
  <c r="N903" i="10"/>
  <c r="U902" i="10"/>
  <c r="S902" i="10"/>
  <c r="R902" i="10"/>
  <c r="T902" i="10" s="1"/>
  <c r="P902" i="10"/>
  <c r="Q905" i="10" s="1"/>
  <c r="O902" i="10"/>
  <c r="N902" i="10"/>
  <c r="U901" i="10"/>
  <c r="S901" i="10"/>
  <c r="R901" i="10"/>
  <c r="T901" i="10" s="1"/>
  <c r="P901" i="10"/>
  <c r="Q904" i="10" s="1"/>
  <c r="O901" i="10"/>
  <c r="N901" i="10"/>
  <c r="U900" i="10"/>
  <c r="S900" i="10"/>
  <c r="R900" i="10"/>
  <c r="T900" i="10" s="1"/>
  <c r="P900" i="10"/>
  <c r="Q903" i="10" s="1"/>
  <c r="O900" i="10"/>
  <c r="N900" i="10"/>
  <c r="U899" i="10"/>
  <c r="S899" i="10"/>
  <c r="R899" i="10"/>
  <c r="T899" i="10" s="1"/>
  <c r="P899" i="10"/>
  <c r="Q902" i="10" s="1"/>
  <c r="O899" i="10"/>
  <c r="N899" i="10"/>
  <c r="U898" i="10"/>
  <c r="S898" i="10"/>
  <c r="R898" i="10"/>
  <c r="T898" i="10" s="1"/>
  <c r="P898" i="10"/>
  <c r="Q901" i="10" s="1"/>
  <c r="O898" i="10"/>
  <c r="N898" i="10"/>
  <c r="U897" i="10"/>
  <c r="S897" i="10"/>
  <c r="R897" i="10"/>
  <c r="T897" i="10" s="1"/>
  <c r="P897" i="10"/>
  <c r="Q900" i="10" s="1"/>
  <c r="O897" i="10"/>
  <c r="N897" i="10"/>
  <c r="U896" i="10"/>
  <c r="S896" i="10"/>
  <c r="R896" i="10"/>
  <c r="T896" i="10" s="1"/>
  <c r="P896" i="10"/>
  <c r="Q899" i="10" s="1"/>
  <c r="O896" i="10"/>
  <c r="N896" i="10"/>
  <c r="U895" i="10"/>
  <c r="S895" i="10"/>
  <c r="R895" i="10"/>
  <c r="T895" i="10" s="1"/>
  <c r="P895" i="10"/>
  <c r="Q898" i="10" s="1"/>
  <c r="O895" i="10"/>
  <c r="N895" i="10"/>
  <c r="U894" i="10"/>
  <c r="S894" i="10"/>
  <c r="R894" i="10"/>
  <c r="T894" i="10" s="1"/>
  <c r="P894" i="10"/>
  <c r="Q897" i="10" s="1"/>
  <c r="O894" i="10"/>
  <c r="N894" i="10"/>
  <c r="U893" i="10"/>
  <c r="S893" i="10"/>
  <c r="R893" i="10"/>
  <c r="T893" i="10" s="1"/>
  <c r="P893" i="10"/>
  <c r="Q896" i="10" s="1"/>
  <c r="O893" i="10"/>
  <c r="N893" i="10"/>
  <c r="U892" i="10"/>
  <c r="S892" i="10"/>
  <c r="R892" i="10"/>
  <c r="T892" i="10" s="1"/>
  <c r="P892" i="10"/>
  <c r="Q895" i="10" s="1"/>
  <c r="O892" i="10"/>
  <c r="N892" i="10"/>
  <c r="U891" i="10"/>
  <c r="S891" i="10"/>
  <c r="R891" i="10"/>
  <c r="T891" i="10" s="1"/>
  <c r="P891" i="10"/>
  <c r="Q894" i="10" s="1"/>
  <c r="O891" i="10"/>
  <c r="N891" i="10"/>
  <c r="U890" i="10"/>
  <c r="S890" i="10"/>
  <c r="R890" i="10"/>
  <c r="T890" i="10" s="1"/>
  <c r="P890" i="10"/>
  <c r="Q893" i="10" s="1"/>
  <c r="O890" i="10"/>
  <c r="N890" i="10"/>
  <c r="U889" i="10"/>
  <c r="S889" i="10"/>
  <c r="R889" i="10"/>
  <c r="T889" i="10" s="1"/>
  <c r="P889" i="10"/>
  <c r="Q892" i="10" s="1"/>
  <c r="O889" i="10"/>
  <c r="N889" i="10"/>
  <c r="U888" i="10"/>
  <c r="S888" i="10"/>
  <c r="R888" i="10"/>
  <c r="T888" i="10" s="1"/>
  <c r="P888" i="10"/>
  <c r="Q891" i="10" s="1"/>
  <c r="O888" i="10"/>
  <c r="N888" i="10"/>
  <c r="U887" i="10"/>
  <c r="S887" i="10"/>
  <c r="R887" i="10"/>
  <c r="T887" i="10" s="1"/>
  <c r="P887" i="10"/>
  <c r="Q890" i="10" s="1"/>
  <c r="O887" i="10"/>
  <c r="N887" i="10"/>
  <c r="U886" i="10"/>
  <c r="S886" i="10"/>
  <c r="R886" i="10"/>
  <c r="T886" i="10" s="1"/>
  <c r="P886" i="10"/>
  <c r="Q889" i="10" s="1"/>
  <c r="O886" i="10"/>
  <c r="N886" i="10"/>
  <c r="U885" i="10"/>
  <c r="S885" i="10"/>
  <c r="R885" i="10"/>
  <c r="T885" i="10" s="1"/>
  <c r="P885" i="10"/>
  <c r="Q888" i="10" s="1"/>
  <c r="O885" i="10"/>
  <c r="N885" i="10"/>
  <c r="U884" i="10"/>
  <c r="S884" i="10"/>
  <c r="R884" i="10"/>
  <c r="T884" i="10" s="1"/>
  <c r="P884" i="10"/>
  <c r="Q887" i="10" s="1"/>
  <c r="O884" i="10"/>
  <c r="N884" i="10"/>
  <c r="U883" i="10"/>
  <c r="S883" i="10"/>
  <c r="R883" i="10"/>
  <c r="T883" i="10" s="1"/>
  <c r="P883" i="10"/>
  <c r="Q886" i="10" s="1"/>
  <c r="O883" i="10"/>
  <c r="N883" i="10"/>
  <c r="U882" i="10"/>
  <c r="S882" i="10"/>
  <c r="R882" i="10"/>
  <c r="T882" i="10" s="1"/>
  <c r="P882" i="10"/>
  <c r="Q885" i="10" s="1"/>
  <c r="O882" i="10"/>
  <c r="N882" i="10"/>
  <c r="U881" i="10"/>
  <c r="S881" i="10"/>
  <c r="R881" i="10"/>
  <c r="T881" i="10" s="1"/>
  <c r="P881" i="10"/>
  <c r="Q884" i="10" s="1"/>
  <c r="O881" i="10"/>
  <c r="N881" i="10"/>
  <c r="U880" i="10"/>
  <c r="S880" i="10"/>
  <c r="R880" i="10"/>
  <c r="T880" i="10" s="1"/>
  <c r="P880" i="10"/>
  <c r="Q883" i="10" s="1"/>
  <c r="O880" i="10"/>
  <c r="N880" i="10"/>
  <c r="U879" i="10"/>
  <c r="S879" i="10"/>
  <c r="R879" i="10"/>
  <c r="T879" i="10" s="1"/>
  <c r="P879" i="10"/>
  <c r="Q882" i="10" s="1"/>
  <c r="O879" i="10"/>
  <c r="N879" i="10"/>
  <c r="U878" i="10"/>
  <c r="S878" i="10"/>
  <c r="R878" i="10"/>
  <c r="T878" i="10" s="1"/>
  <c r="P878" i="10"/>
  <c r="Q881" i="10" s="1"/>
  <c r="O878" i="10"/>
  <c r="N878" i="10"/>
  <c r="U877" i="10"/>
  <c r="S877" i="10"/>
  <c r="R877" i="10"/>
  <c r="T877" i="10" s="1"/>
  <c r="P877" i="10"/>
  <c r="Q880" i="10" s="1"/>
  <c r="O877" i="10"/>
  <c r="N877" i="10"/>
  <c r="U876" i="10"/>
  <c r="S876" i="10"/>
  <c r="R876" i="10"/>
  <c r="T876" i="10" s="1"/>
  <c r="P876" i="10"/>
  <c r="Q879" i="10" s="1"/>
  <c r="O876" i="10"/>
  <c r="N876" i="10"/>
  <c r="U875" i="10"/>
  <c r="S875" i="10"/>
  <c r="R875" i="10"/>
  <c r="T875" i="10" s="1"/>
  <c r="P875" i="10"/>
  <c r="Q878" i="10" s="1"/>
  <c r="O875" i="10"/>
  <c r="N875" i="10"/>
  <c r="U874" i="10"/>
  <c r="S874" i="10"/>
  <c r="R874" i="10"/>
  <c r="T874" i="10" s="1"/>
  <c r="P874" i="10"/>
  <c r="Q877" i="10" s="1"/>
  <c r="O874" i="10"/>
  <c r="N874" i="10"/>
  <c r="U873" i="10"/>
  <c r="S873" i="10"/>
  <c r="R873" i="10"/>
  <c r="T873" i="10" s="1"/>
  <c r="P873" i="10"/>
  <c r="Q876" i="10" s="1"/>
  <c r="O873" i="10"/>
  <c r="N873" i="10"/>
  <c r="U872" i="10"/>
  <c r="S872" i="10"/>
  <c r="R872" i="10"/>
  <c r="T872" i="10" s="1"/>
  <c r="P872" i="10"/>
  <c r="Q875" i="10" s="1"/>
  <c r="O872" i="10"/>
  <c r="N872" i="10"/>
  <c r="U871" i="10"/>
  <c r="S871" i="10"/>
  <c r="R871" i="10"/>
  <c r="T871" i="10" s="1"/>
  <c r="P871" i="10"/>
  <c r="Q874" i="10" s="1"/>
  <c r="O871" i="10"/>
  <c r="N871" i="10"/>
  <c r="U870" i="10"/>
  <c r="S870" i="10"/>
  <c r="R870" i="10"/>
  <c r="T870" i="10" s="1"/>
  <c r="P870" i="10"/>
  <c r="Q873" i="10" s="1"/>
  <c r="O870" i="10"/>
  <c r="N870" i="10"/>
  <c r="U869" i="10"/>
  <c r="S869" i="10"/>
  <c r="R869" i="10"/>
  <c r="T869" i="10" s="1"/>
  <c r="P869" i="10"/>
  <c r="Q872" i="10" s="1"/>
  <c r="O869" i="10"/>
  <c r="N869" i="10"/>
  <c r="U868" i="10"/>
  <c r="S868" i="10"/>
  <c r="R868" i="10"/>
  <c r="T868" i="10" s="1"/>
  <c r="P868" i="10"/>
  <c r="Q871" i="10" s="1"/>
  <c r="O868" i="10"/>
  <c r="N868" i="10"/>
  <c r="U867" i="10"/>
  <c r="S867" i="10"/>
  <c r="R867" i="10"/>
  <c r="T867" i="10" s="1"/>
  <c r="P867" i="10"/>
  <c r="Q870" i="10" s="1"/>
  <c r="O867" i="10"/>
  <c r="N867" i="10"/>
  <c r="S866" i="10"/>
  <c r="U866" i="10" s="1"/>
  <c r="R866" i="10"/>
  <c r="T866" i="10" s="1"/>
  <c r="P866" i="10"/>
  <c r="Q869" i="10" s="1"/>
  <c r="O866" i="10"/>
  <c r="N866" i="10"/>
  <c r="S865" i="10"/>
  <c r="U865" i="10" s="1"/>
  <c r="R865" i="10"/>
  <c r="T865" i="10" s="1"/>
  <c r="P865" i="10"/>
  <c r="Q868" i="10" s="1"/>
  <c r="O865" i="10"/>
  <c r="N865" i="10"/>
  <c r="S864" i="10"/>
  <c r="U864" i="10" s="1"/>
  <c r="R864" i="10"/>
  <c r="T864" i="10" s="1"/>
  <c r="P864" i="10"/>
  <c r="Q867" i="10" s="1"/>
  <c r="O864" i="10"/>
  <c r="N864" i="10"/>
  <c r="S863" i="10"/>
  <c r="U863" i="10" s="1"/>
  <c r="R863" i="10"/>
  <c r="T863" i="10" s="1"/>
  <c r="P863" i="10"/>
  <c r="Q866" i="10" s="1"/>
  <c r="O863" i="10"/>
  <c r="N863" i="10"/>
  <c r="U862" i="10"/>
  <c r="S862" i="10"/>
  <c r="R862" i="10"/>
  <c r="T862" i="10" s="1"/>
  <c r="P862" i="10"/>
  <c r="Q865" i="10" s="1"/>
  <c r="O862" i="10"/>
  <c r="N862" i="10"/>
  <c r="U861" i="10"/>
  <c r="S861" i="10"/>
  <c r="R861" i="10"/>
  <c r="T861" i="10" s="1"/>
  <c r="P861" i="10"/>
  <c r="Q864" i="10" s="1"/>
  <c r="O861" i="10"/>
  <c r="N861" i="10"/>
  <c r="U860" i="10"/>
  <c r="T860" i="10"/>
  <c r="S860" i="10"/>
  <c r="R860" i="10"/>
  <c r="P860" i="10"/>
  <c r="Q863" i="10" s="1"/>
  <c r="O860" i="10"/>
  <c r="N860" i="10"/>
  <c r="U859" i="10"/>
  <c r="T859" i="10"/>
  <c r="S859" i="10"/>
  <c r="R859" i="10"/>
  <c r="P859" i="10"/>
  <c r="Q862" i="10" s="1"/>
  <c r="O859" i="10"/>
  <c r="N859" i="10"/>
  <c r="T858" i="10"/>
  <c r="S858" i="10"/>
  <c r="U858" i="10" s="1"/>
  <c r="R858" i="10"/>
  <c r="P858" i="10"/>
  <c r="Q861" i="10" s="1"/>
  <c r="O858" i="10"/>
  <c r="N858" i="10"/>
  <c r="S857" i="10"/>
  <c r="U857" i="10" s="1"/>
  <c r="R857" i="10"/>
  <c r="T857" i="10" s="1"/>
  <c r="P857" i="10"/>
  <c r="Q860" i="10" s="1"/>
  <c r="O857" i="10"/>
  <c r="N857" i="10"/>
  <c r="S856" i="10"/>
  <c r="U856" i="10" s="1"/>
  <c r="R856" i="10"/>
  <c r="T856" i="10" s="1"/>
  <c r="P856" i="10"/>
  <c r="Q859" i="10" s="1"/>
  <c r="O856" i="10"/>
  <c r="N856" i="10"/>
  <c r="S855" i="10"/>
  <c r="U855" i="10" s="1"/>
  <c r="R855" i="10"/>
  <c r="T855" i="10" s="1"/>
  <c r="P855" i="10"/>
  <c r="Q858" i="10" s="1"/>
  <c r="O855" i="10"/>
  <c r="N855" i="10"/>
  <c r="U854" i="10"/>
  <c r="S854" i="10"/>
  <c r="R854" i="10"/>
  <c r="T854" i="10" s="1"/>
  <c r="P854" i="10"/>
  <c r="Q857" i="10" s="1"/>
  <c r="O854" i="10"/>
  <c r="N854" i="10"/>
  <c r="U853" i="10"/>
  <c r="T853" i="10"/>
  <c r="S853" i="10"/>
  <c r="R853" i="10"/>
  <c r="P853" i="10"/>
  <c r="Q856" i="10" s="1"/>
  <c r="O853" i="10"/>
  <c r="N853" i="10"/>
  <c r="U852" i="10"/>
  <c r="T852" i="10"/>
  <c r="S852" i="10"/>
  <c r="R852" i="10"/>
  <c r="P852" i="10"/>
  <c r="Q855" i="10" s="1"/>
  <c r="O852" i="10"/>
  <c r="N852" i="10"/>
  <c r="U851" i="10"/>
  <c r="T851" i="10"/>
  <c r="S851" i="10"/>
  <c r="R851" i="10"/>
  <c r="P851" i="10"/>
  <c r="Q854" i="10" s="1"/>
  <c r="O851" i="10"/>
  <c r="N851" i="10"/>
  <c r="U850" i="10"/>
  <c r="T850" i="10"/>
  <c r="S850" i="10"/>
  <c r="R850" i="10"/>
  <c r="P850" i="10"/>
  <c r="Q853" i="10" s="1"/>
  <c r="O850" i="10"/>
  <c r="N850" i="10"/>
  <c r="T849" i="10"/>
  <c r="S849" i="10"/>
  <c r="U849" i="10" s="1"/>
  <c r="R849" i="10"/>
  <c r="P849" i="10"/>
  <c r="Q852" i="10" s="1"/>
  <c r="O849" i="10"/>
  <c r="N849" i="10"/>
  <c r="S848" i="10"/>
  <c r="U848" i="10" s="1"/>
  <c r="R848" i="10"/>
  <c r="T848" i="10" s="1"/>
  <c r="P848" i="10"/>
  <c r="Q851" i="10" s="1"/>
  <c r="O848" i="10"/>
  <c r="N848" i="10"/>
  <c r="S847" i="10"/>
  <c r="U847" i="10" s="1"/>
  <c r="R847" i="10"/>
  <c r="T847" i="10" s="1"/>
  <c r="P847" i="10"/>
  <c r="Q850" i="10" s="1"/>
  <c r="O847" i="10"/>
  <c r="N847" i="10"/>
  <c r="U846" i="10"/>
  <c r="S846" i="10"/>
  <c r="R846" i="10"/>
  <c r="T846" i="10" s="1"/>
  <c r="P846" i="10"/>
  <c r="Q849" i="10" s="1"/>
  <c r="O846" i="10"/>
  <c r="N846" i="10"/>
  <c r="U845" i="10"/>
  <c r="T845" i="10"/>
  <c r="S845" i="10"/>
  <c r="R845" i="10"/>
  <c r="P845" i="10"/>
  <c r="Q848" i="10" s="1"/>
  <c r="O845" i="10"/>
  <c r="N845" i="10"/>
  <c r="U844" i="10"/>
  <c r="T844" i="10"/>
  <c r="S844" i="10"/>
  <c r="R844" i="10"/>
  <c r="P844" i="10"/>
  <c r="Q847" i="10" s="1"/>
  <c r="O844" i="10"/>
  <c r="N844" i="10"/>
  <c r="T843" i="10"/>
  <c r="S843" i="10"/>
  <c r="U843" i="10" s="1"/>
  <c r="R843" i="10"/>
  <c r="P843" i="10"/>
  <c r="Q846" i="10" s="1"/>
  <c r="O843" i="10"/>
  <c r="N843" i="10"/>
  <c r="S842" i="10"/>
  <c r="U842" i="10" s="1"/>
  <c r="R842" i="10"/>
  <c r="T842" i="10" s="1"/>
  <c r="P842" i="10"/>
  <c r="Q845" i="10" s="1"/>
  <c r="O842" i="10"/>
  <c r="N842" i="10"/>
  <c r="S841" i="10"/>
  <c r="U841" i="10" s="1"/>
  <c r="R841" i="10"/>
  <c r="T841" i="10" s="1"/>
  <c r="P841" i="10"/>
  <c r="Q844" i="10" s="1"/>
  <c r="O841" i="10"/>
  <c r="N841" i="10"/>
  <c r="S840" i="10"/>
  <c r="U840" i="10" s="1"/>
  <c r="R840" i="10"/>
  <c r="T840" i="10" s="1"/>
  <c r="P840" i="10"/>
  <c r="Q843" i="10" s="1"/>
  <c r="O840" i="10"/>
  <c r="N840" i="10"/>
  <c r="S839" i="10"/>
  <c r="U839" i="10" s="1"/>
  <c r="R839" i="10"/>
  <c r="T839" i="10" s="1"/>
  <c r="P839" i="10"/>
  <c r="Q842" i="10" s="1"/>
  <c r="O839" i="10"/>
  <c r="N839" i="10"/>
  <c r="S838" i="10"/>
  <c r="U838" i="10" s="1"/>
  <c r="R838" i="10"/>
  <c r="T838" i="10" s="1"/>
  <c r="P838" i="10"/>
  <c r="Q841" i="10" s="1"/>
  <c r="O838" i="10"/>
  <c r="N838" i="10"/>
  <c r="U837" i="10"/>
  <c r="S837" i="10"/>
  <c r="R837" i="10"/>
  <c r="T837" i="10" s="1"/>
  <c r="P837" i="10"/>
  <c r="Q840" i="10" s="1"/>
  <c r="O837" i="10"/>
  <c r="N837" i="10"/>
  <c r="U836" i="10"/>
  <c r="T836" i="10"/>
  <c r="S836" i="10"/>
  <c r="R836" i="10"/>
  <c r="P836" i="10"/>
  <c r="Q839" i="10" s="1"/>
  <c r="O836" i="10"/>
  <c r="N836" i="10"/>
  <c r="T835" i="10"/>
  <c r="S835" i="10"/>
  <c r="U835" i="10" s="1"/>
  <c r="R835" i="10"/>
  <c r="P835" i="10"/>
  <c r="Q838" i="10" s="1"/>
  <c r="O835" i="10"/>
  <c r="N835" i="10"/>
  <c r="S834" i="10"/>
  <c r="U834" i="10" s="1"/>
  <c r="R834" i="10"/>
  <c r="T834" i="10" s="1"/>
  <c r="P834" i="10"/>
  <c r="Q837" i="10" s="1"/>
  <c r="O834" i="10"/>
  <c r="N834" i="10"/>
  <c r="S833" i="10"/>
  <c r="U833" i="10" s="1"/>
  <c r="R833" i="10"/>
  <c r="T833" i="10" s="1"/>
  <c r="P833" i="10"/>
  <c r="Q836" i="10" s="1"/>
  <c r="O833" i="10"/>
  <c r="N833" i="10"/>
  <c r="S832" i="10"/>
  <c r="U832" i="10" s="1"/>
  <c r="R832" i="10"/>
  <c r="T832" i="10" s="1"/>
  <c r="P832" i="10"/>
  <c r="Q835" i="10" s="1"/>
  <c r="O832" i="10"/>
  <c r="N832" i="10"/>
  <c r="S831" i="10"/>
  <c r="U831" i="10" s="1"/>
  <c r="R831" i="10"/>
  <c r="T831" i="10" s="1"/>
  <c r="P831" i="10"/>
  <c r="Q834" i="10" s="1"/>
  <c r="O831" i="10"/>
  <c r="N831" i="10"/>
  <c r="S830" i="10"/>
  <c r="U830" i="10" s="1"/>
  <c r="R830" i="10"/>
  <c r="T830" i="10" s="1"/>
  <c r="P830" i="10"/>
  <c r="Q833" i="10" s="1"/>
  <c r="O830" i="10"/>
  <c r="N830" i="10"/>
  <c r="U829" i="10"/>
  <c r="S829" i="10"/>
  <c r="R829" i="10"/>
  <c r="T829" i="10" s="1"/>
  <c r="P829" i="10"/>
  <c r="Q832" i="10" s="1"/>
  <c r="O829" i="10"/>
  <c r="N829" i="10"/>
  <c r="U828" i="10"/>
  <c r="T828" i="10"/>
  <c r="S828" i="10"/>
  <c r="R828" i="10"/>
  <c r="P828" i="10"/>
  <c r="Q831" i="10" s="1"/>
  <c r="O828" i="10"/>
  <c r="N828" i="10"/>
  <c r="T827" i="10"/>
  <c r="S827" i="10"/>
  <c r="U827" i="10" s="1"/>
  <c r="R827" i="10"/>
  <c r="P827" i="10"/>
  <c r="Q830" i="10" s="1"/>
  <c r="O827" i="10"/>
  <c r="N827" i="10"/>
  <c r="S826" i="10"/>
  <c r="U826" i="10" s="1"/>
  <c r="R826" i="10"/>
  <c r="T826" i="10" s="1"/>
  <c r="P826" i="10"/>
  <c r="Q829" i="10" s="1"/>
  <c r="O826" i="10"/>
  <c r="N826" i="10"/>
  <c r="S825" i="10"/>
  <c r="U825" i="10" s="1"/>
  <c r="R825" i="10"/>
  <c r="T825" i="10" s="1"/>
  <c r="P825" i="10"/>
  <c r="Q828" i="10" s="1"/>
  <c r="O825" i="10"/>
  <c r="N825" i="10"/>
  <c r="S824" i="10"/>
  <c r="U824" i="10" s="1"/>
  <c r="R824" i="10"/>
  <c r="T824" i="10" s="1"/>
  <c r="P824" i="10"/>
  <c r="Q827" i="10" s="1"/>
  <c r="O824" i="10"/>
  <c r="N824" i="10"/>
  <c r="S823" i="10"/>
  <c r="U823" i="10" s="1"/>
  <c r="R823" i="10"/>
  <c r="T823" i="10" s="1"/>
  <c r="P823" i="10"/>
  <c r="Q826" i="10" s="1"/>
  <c r="O823" i="10"/>
  <c r="N823" i="10"/>
  <c r="U822" i="10"/>
  <c r="S822" i="10"/>
  <c r="R822" i="10"/>
  <c r="T822" i="10" s="1"/>
  <c r="P822" i="10"/>
  <c r="Q825" i="10" s="1"/>
  <c r="O822" i="10"/>
  <c r="N822" i="10"/>
  <c r="U821" i="10"/>
  <c r="T821" i="10"/>
  <c r="S821" i="10"/>
  <c r="R821" i="10"/>
  <c r="P821" i="10"/>
  <c r="Q824" i="10" s="1"/>
  <c r="O821" i="10"/>
  <c r="N821" i="10"/>
  <c r="U820" i="10"/>
  <c r="T820" i="10"/>
  <c r="S820" i="10"/>
  <c r="R820" i="10"/>
  <c r="P820" i="10"/>
  <c r="Q823" i="10" s="1"/>
  <c r="O820" i="10"/>
  <c r="N820" i="10"/>
  <c r="U819" i="10"/>
  <c r="T819" i="10"/>
  <c r="S819" i="10"/>
  <c r="R819" i="10"/>
  <c r="P819" i="10"/>
  <c r="Q822" i="10" s="1"/>
  <c r="O819" i="10"/>
  <c r="N819" i="10"/>
  <c r="S818" i="10"/>
  <c r="U818" i="10" s="1"/>
  <c r="R818" i="10"/>
  <c r="T818" i="10" s="1"/>
  <c r="P818" i="10"/>
  <c r="Q821" i="10" s="1"/>
  <c r="O818" i="10"/>
  <c r="N818" i="10"/>
  <c r="S817" i="10"/>
  <c r="U817" i="10" s="1"/>
  <c r="R817" i="10"/>
  <c r="T817" i="10" s="1"/>
  <c r="P817" i="10"/>
  <c r="Q820" i="10" s="1"/>
  <c r="O817" i="10"/>
  <c r="N817" i="10"/>
  <c r="S816" i="10"/>
  <c r="U816" i="10" s="1"/>
  <c r="R816" i="10"/>
  <c r="T816" i="10" s="1"/>
  <c r="P816" i="10"/>
  <c r="Q819" i="10" s="1"/>
  <c r="O816" i="10"/>
  <c r="N816" i="10"/>
  <c r="S815" i="10"/>
  <c r="U815" i="10" s="1"/>
  <c r="R815" i="10"/>
  <c r="T815" i="10" s="1"/>
  <c r="P815" i="10"/>
  <c r="Q818" i="10" s="1"/>
  <c r="O815" i="10"/>
  <c r="N815" i="10"/>
  <c r="U814" i="10"/>
  <c r="S814" i="10"/>
  <c r="R814" i="10"/>
  <c r="T814" i="10" s="1"/>
  <c r="P814" i="10"/>
  <c r="Q817" i="10" s="1"/>
  <c r="O814" i="10"/>
  <c r="N814" i="10"/>
  <c r="U813" i="10"/>
  <c r="S813" i="10"/>
  <c r="R813" i="10"/>
  <c r="T813" i="10" s="1"/>
  <c r="P813" i="10"/>
  <c r="Q816" i="10" s="1"/>
  <c r="O813" i="10"/>
  <c r="N813" i="10"/>
  <c r="U812" i="10"/>
  <c r="T812" i="10"/>
  <c r="S812" i="10"/>
  <c r="R812" i="10"/>
  <c r="P812" i="10"/>
  <c r="Q815" i="10" s="1"/>
  <c r="O812" i="10"/>
  <c r="N812" i="10"/>
  <c r="T811" i="10"/>
  <c r="S811" i="10"/>
  <c r="U811" i="10" s="1"/>
  <c r="R811" i="10"/>
  <c r="P811" i="10"/>
  <c r="Q814" i="10" s="1"/>
  <c r="O811" i="10"/>
  <c r="N811" i="10"/>
  <c r="S810" i="10"/>
  <c r="U810" i="10" s="1"/>
  <c r="R810" i="10"/>
  <c r="T810" i="10" s="1"/>
  <c r="P810" i="10"/>
  <c r="Q813" i="10" s="1"/>
  <c r="O810" i="10"/>
  <c r="N810" i="10"/>
  <c r="S809" i="10"/>
  <c r="U809" i="10" s="1"/>
  <c r="R809" i="10"/>
  <c r="T809" i="10" s="1"/>
  <c r="P809" i="10"/>
  <c r="Q812" i="10" s="1"/>
  <c r="O809" i="10"/>
  <c r="N809" i="10"/>
  <c r="S808" i="10"/>
  <c r="U808" i="10" s="1"/>
  <c r="R808" i="10"/>
  <c r="T808" i="10" s="1"/>
  <c r="P808" i="10"/>
  <c r="Q811" i="10" s="1"/>
  <c r="O808" i="10"/>
  <c r="N808" i="10"/>
  <c r="S807" i="10"/>
  <c r="U807" i="10" s="1"/>
  <c r="R807" i="10"/>
  <c r="T807" i="10" s="1"/>
  <c r="Q807" i="10"/>
  <c r="P807" i="10"/>
  <c r="Q810" i="10" s="1"/>
  <c r="O807" i="10"/>
  <c r="N807" i="10"/>
  <c r="S806" i="10"/>
  <c r="U806" i="10" s="1"/>
  <c r="R806" i="10"/>
  <c r="T806" i="10" s="1"/>
  <c r="Q806" i="10"/>
  <c r="P806" i="10"/>
  <c r="Q809" i="10" s="1"/>
  <c r="O806" i="10"/>
  <c r="N806" i="10"/>
  <c r="S805" i="10"/>
  <c r="U805" i="10" s="1"/>
  <c r="R805" i="10"/>
  <c r="T805" i="10" s="1"/>
  <c r="Q805" i="10"/>
  <c r="P805" i="10"/>
  <c r="Q808" i="10" s="1"/>
  <c r="O805" i="10"/>
  <c r="N805" i="10"/>
  <c r="S804" i="10"/>
  <c r="U804" i="10" s="1"/>
  <c r="R804" i="10"/>
  <c r="T804" i="10" s="1"/>
  <c r="Q804" i="10"/>
  <c r="P804" i="10"/>
  <c r="O804" i="10"/>
  <c r="N804" i="10"/>
  <c r="S803" i="10"/>
  <c r="U803" i="10" s="1"/>
  <c r="R803" i="10"/>
  <c r="T803" i="10" s="1"/>
  <c r="Q803" i="10"/>
  <c r="P803" i="10"/>
  <c r="O803" i="10"/>
  <c r="N803" i="10"/>
  <c r="S802" i="10"/>
  <c r="U802" i="10" s="1"/>
  <c r="R802" i="10"/>
  <c r="T802" i="10" s="1"/>
  <c r="Q802" i="10"/>
  <c r="P802" i="10"/>
  <c r="O802" i="10"/>
  <c r="N802" i="10"/>
  <c r="S801" i="10"/>
  <c r="U801" i="10" s="1"/>
  <c r="R801" i="10"/>
  <c r="T801" i="10" s="1"/>
  <c r="Q801" i="10"/>
  <c r="P801" i="10"/>
  <c r="O801" i="10"/>
  <c r="N801" i="10"/>
  <c r="S800" i="10"/>
  <c r="U800" i="10" s="1"/>
  <c r="R800" i="10"/>
  <c r="T800" i="10" s="1"/>
  <c r="Q800" i="10"/>
  <c r="P800" i="10"/>
  <c r="O800" i="10"/>
  <c r="N800" i="10"/>
  <c r="S799" i="10"/>
  <c r="U799" i="10" s="1"/>
  <c r="R799" i="10"/>
  <c r="T799" i="10" s="1"/>
  <c r="Q799" i="10"/>
  <c r="P799" i="10"/>
  <c r="O799" i="10"/>
  <c r="N799" i="10"/>
  <c r="S798" i="10"/>
  <c r="U798" i="10" s="1"/>
  <c r="R798" i="10"/>
  <c r="T798" i="10" s="1"/>
  <c r="Q798" i="10"/>
  <c r="P798" i="10"/>
  <c r="O798" i="10"/>
  <c r="N798" i="10"/>
  <c r="S797" i="10"/>
  <c r="U797" i="10" s="1"/>
  <c r="R797" i="10"/>
  <c r="T797" i="10" s="1"/>
  <c r="Q797" i="10"/>
  <c r="P797" i="10"/>
  <c r="O797" i="10"/>
  <c r="N797" i="10"/>
  <c r="S796" i="10"/>
  <c r="U796" i="10" s="1"/>
  <c r="R796" i="10"/>
  <c r="T796" i="10" s="1"/>
  <c r="Q796" i="10"/>
  <c r="P796" i="10"/>
  <c r="O796" i="10"/>
  <c r="N796" i="10"/>
  <c r="S795" i="10"/>
  <c r="U795" i="10" s="1"/>
  <c r="R795" i="10"/>
  <c r="T795" i="10" s="1"/>
  <c r="Q795" i="10"/>
  <c r="P795" i="10"/>
  <c r="O795" i="10"/>
  <c r="N795" i="10"/>
  <c r="S794" i="10"/>
  <c r="U794" i="10" s="1"/>
  <c r="R794" i="10"/>
  <c r="T794" i="10" s="1"/>
  <c r="Q794" i="10"/>
  <c r="P794" i="10"/>
  <c r="O794" i="10"/>
  <c r="N794" i="10"/>
  <c r="S793" i="10"/>
  <c r="U793" i="10" s="1"/>
  <c r="R793" i="10"/>
  <c r="T793" i="10" s="1"/>
  <c r="Q793" i="10"/>
  <c r="P793" i="10"/>
  <c r="O793" i="10"/>
  <c r="N793" i="10"/>
  <c r="S792" i="10"/>
  <c r="U792" i="10" s="1"/>
  <c r="R792" i="10"/>
  <c r="T792" i="10" s="1"/>
  <c r="Q792" i="10"/>
  <c r="P792" i="10"/>
  <c r="O792" i="10"/>
  <c r="N792" i="10"/>
  <c r="S791" i="10"/>
  <c r="U791" i="10" s="1"/>
  <c r="R791" i="10"/>
  <c r="T791" i="10" s="1"/>
  <c r="Q791" i="10"/>
  <c r="P791" i="10"/>
  <c r="O791" i="10"/>
  <c r="N791" i="10"/>
  <c r="S790" i="10"/>
  <c r="U790" i="10" s="1"/>
  <c r="R790" i="10"/>
  <c r="T790" i="10" s="1"/>
  <c r="Q790" i="10"/>
  <c r="P790" i="10"/>
  <c r="O790" i="10"/>
  <c r="N790" i="10"/>
  <c r="S789" i="10"/>
  <c r="U789" i="10" s="1"/>
  <c r="R789" i="10"/>
  <c r="T789" i="10" s="1"/>
  <c r="Q789" i="10"/>
  <c r="P789" i="10"/>
  <c r="O789" i="10"/>
  <c r="N789" i="10"/>
  <c r="S788" i="10"/>
  <c r="U788" i="10" s="1"/>
  <c r="R788" i="10"/>
  <c r="T788" i="10" s="1"/>
  <c r="Q788" i="10"/>
  <c r="P788" i="10"/>
  <c r="O788" i="10"/>
  <c r="N788" i="10"/>
  <c r="S787" i="10"/>
  <c r="U787" i="10" s="1"/>
  <c r="R787" i="10"/>
  <c r="T787" i="10" s="1"/>
  <c r="Q787" i="10"/>
  <c r="P787" i="10"/>
  <c r="O787" i="10"/>
  <c r="N787" i="10"/>
  <c r="S786" i="10"/>
  <c r="U786" i="10" s="1"/>
  <c r="R786" i="10"/>
  <c r="T786" i="10" s="1"/>
  <c r="Q786" i="10"/>
  <c r="P786" i="10"/>
  <c r="O786" i="10"/>
  <c r="N786" i="10"/>
  <c r="S785" i="10"/>
  <c r="U785" i="10" s="1"/>
  <c r="R785" i="10"/>
  <c r="T785" i="10" s="1"/>
  <c r="Q785" i="10"/>
  <c r="P785" i="10"/>
  <c r="O785" i="10"/>
  <c r="N785" i="10"/>
  <c r="S784" i="10"/>
  <c r="U784" i="10" s="1"/>
  <c r="R784" i="10"/>
  <c r="T784" i="10" s="1"/>
  <c r="Q784" i="10"/>
  <c r="P784" i="10"/>
  <c r="O784" i="10"/>
  <c r="N784" i="10"/>
  <c r="S783" i="10"/>
  <c r="U783" i="10" s="1"/>
  <c r="R783" i="10"/>
  <c r="T783" i="10" s="1"/>
  <c r="Q783" i="10"/>
  <c r="P783" i="10"/>
  <c r="O783" i="10"/>
  <c r="N783" i="10"/>
  <c r="S782" i="10"/>
  <c r="U782" i="10" s="1"/>
  <c r="R782" i="10"/>
  <c r="T782" i="10" s="1"/>
  <c r="Q782" i="10"/>
  <c r="P782" i="10"/>
  <c r="O782" i="10"/>
  <c r="N782" i="10"/>
  <c r="S781" i="10"/>
  <c r="U781" i="10" s="1"/>
  <c r="R781" i="10"/>
  <c r="T781" i="10" s="1"/>
  <c r="Q781" i="10"/>
  <c r="P781" i="10"/>
  <c r="O781" i="10"/>
  <c r="N781" i="10"/>
  <c r="S780" i="10"/>
  <c r="U780" i="10" s="1"/>
  <c r="R780" i="10"/>
  <c r="T780" i="10" s="1"/>
  <c r="Q780" i="10"/>
  <c r="P780" i="10"/>
  <c r="O780" i="10"/>
  <c r="N780" i="10"/>
  <c r="S779" i="10"/>
  <c r="U779" i="10" s="1"/>
  <c r="R779" i="10"/>
  <c r="T779" i="10" s="1"/>
  <c r="Q779" i="10"/>
  <c r="P779" i="10"/>
  <c r="O779" i="10"/>
  <c r="N779" i="10"/>
  <c r="S778" i="10"/>
  <c r="U778" i="10" s="1"/>
  <c r="R778" i="10"/>
  <c r="T778" i="10" s="1"/>
  <c r="Q778" i="10"/>
  <c r="P778" i="10"/>
  <c r="O778" i="10"/>
  <c r="N778" i="10"/>
  <c r="S777" i="10"/>
  <c r="U777" i="10" s="1"/>
  <c r="R777" i="10"/>
  <c r="T777" i="10" s="1"/>
  <c r="Q777" i="10"/>
  <c r="P777" i="10"/>
  <c r="O777" i="10"/>
  <c r="N777" i="10"/>
  <c r="S776" i="10"/>
  <c r="U776" i="10" s="1"/>
  <c r="R776" i="10"/>
  <c r="T776" i="10" s="1"/>
  <c r="Q776" i="10"/>
  <c r="P776" i="10"/>
  <c r="O776" i="10"/>
  <c r="N776" i="10"/>
  <c r="S775" i="10"/>
  <c r="U775" i="10" s="1"/>
  <c r="R775" i="10"/>
  <c r="T775" i="10" s="1"/>
  <c r="Q775" i="10"/>
  <c r="P775" i="10"/>
  <c r="O775" i="10"/>
  <c r="N775" i="10"/>
  <c r="S774" i="10"/>
  <c r="U774" i="10" s="1"/>
  <c r="R774" i="10"/>
  <c r="T774" i="10" s="1"/>
  <c r="Q774" i="10"/>
  <c r="P774" i="10"/>
  <c r="O774" i="10"/>
  <c r="N774" i="10"/>
  <c r="S773" i="10"/>
  <c r="U773" i="10" s="1"/>
  <c r="R773" i="10"/>
  <c r="T773" i="10" s="1"/>
  <c r="Q773" i="10"/>
  <c r="P773" i="10"/>
  <c r="O773" i="10"/>
  <c r="N773" i="10"/>
  <c r="S772" i="10"/>
  <c r="U772" i="10" s="1"/>
  <c r="R772" i="10"/>
  <c r="T772" i="10" s="1"/>
  <c r="Q772" i="10"/>
  <c r="P772" i="10"/>
  <c r="O772" i="10"/>
  <c r="N772" i="10"/>
  <c r="S771" i="10"/>
  <c r="U771" i="10" s="1"/>
  <c r="R771" i="10"/>
  <c r="T771" i="10" s="1"/>
  <c r="Q771" i="10"/>
  <c r="P771" i="10"/>
  <c r="O771" i="10"/>
  <c r="N771" i="10"/>
  <c r="S770" i="10"/>
  <c r="U770" i="10" s="1"/>
  <c r="R770" i="10"/>
  <c r="T770" i="10" s="1"/>
  <c r="Q770" i="10"/>
  <c r="P770" i="10"/>
  <c r="O770" i="10"/>
  <c r="N770" i="10"/>
  <c r="S769" i="10"/>
  <c r="U769" i="10" s="1"/>
  <c r="R769" i="10"/>
  <c r="T769" i="10" s="1"/>
  <c r="Q769" i="10"/>
  <c r="P769" i="10"/>
  <c r="O769" i="10"/>
  <c r="N769" i="10"/>
  <c r="S768" i="10"/>
  <c r="U768" i="10" s="1"/>
  <c r="R768" i="10"/>
  <c r="T768" i="10" s="1"/>
  <c r="Q768" i="10"/>
  <c r="P768" i="10"/>
  <c r="O768" i="10"/>
  <c r="N768" i="10"/>
  <c r="S767" i="10"/>
  <c r="U767" i="10" s="1"/>
  <c r="R767" i="10"/>
  <c r="T767" i="10" s="1"/>
  <c r="Q767" i="10"/>
  <c r="P767" i="10"/>
  <c r="O767" i="10"/>
  <c r="N767" i="10"/>
  <c r="S766" i="10"/>
  <c r="U766" i="10" s="1"/>
  <c r="R766" i="10"/>
  <c r="T766" i="10" s="1"/>
  <c r="Q766" i="10"/>
  <c r="P766" i="10"/>
  <c r="O766" i="10"/>
  <c r="N766" i="10"/>
  <c r="S765" i="10"/>
  <c r="U765" i="10" s="1"/>
  <c r="R765" i="10"/>
  <c r="T765" i="10" s="1"/>
  <c r="Q765" i="10"/>
  <c r="P765" i="10"/>
  <c r="O765" i="10"/>
  <c r="N765" i="10"/>
  <c r="S764" i="10"/>
  <c r="U764" i="10" s="1"/>
  <c r="R764" i="10"/>
  <c r="T764" i="10" s="1"/>
  <c r="Q764" i="10"/>
  <c r="P764" i="10"/>
  <c r="O764" i="10"/>
  <c r="N764" i="10"/>
  <c r="S763" i="10"/>
  <c r="U763" i="10" s="1"/>
  <c r="R763" i="10"/>
  <c r="T763" i="10" s="1"/>
  <c r="Q763" i="10"/>
  <c r="P763" i="10"/>
  <c r="O763" i="10"/>
  <c r="N763" i="10"/>
  <c r="S762" i="10"/>
  <c r="U762" i="10" s="1"/>
  <c r="R762" i="10"/>
  <c r="T762" i="10" s="1"/>
  <c r="Q762" i="10"/>
  <c r="P762" i="10"/>
  <c r="O762" i="10"/>
  <c r="N762" i="10"/>
  <c r="S761" i="10"/>
  <c r="U761" i="10" s="1"/>
  <c r="R761" i="10"/>
  <c r="T761" i="10" s="1"/>
  <c r="Q761" i="10"/>
  <c r="P761" i="10"/>
  <c r="O761" i="10"/>
  <c r="N761" i="10"/>
  <c r="S760" i="10"/>
  <c r="U760" i="10" s="1"/>
  <c r="R760" i="10"/>
  <c r="T760" i="10" s="1"/>
  <c r="Q760" i="10"/>
  <c r="P760" i="10"/>
  <c r="O760" i="10"/>
  <c r="N760" i="10"/>
  <c r="S759" i="10"/>
  <c r="U759" i="10" s="1"/>
  <c r="R759" i="10"/>
  <c r="T759" i="10" s="1"/>
  <c r="Q759" i="10"/>
  <c r="P759" i="10"/>
  <c r="O759" i="10"/>
  <c r="N759" i="10"/>
  <c r="S758" i="10"/>
  <c r="U758" i="10" s="1"/>
  <c r="R758" i="10"/>
  <c r="T758" i="10" s="1"/>
  <c r="Q758" i="10"/>
  <c r="P758" i="10"/>
  <c r="O758" i="10"/>
  <c r="N758" i="10"/>
  <c r="S757" i="10"/>
  <c r="U757" i="10" s="1"/>
  <c r="R757" i="10"/>
  <c r="T757" i="10" s="1"/>
  <c r="Q757" i="10"/>
  <c r="P757" i="10"/>
  <c r="O757" i="10"/>
  <c r="N757" i="10"/>
  <c r="S756" i="10"/>
  <c r="U756" i="10" s="1"/>
  <c r="R756" i="10"/>
  <c r="T756" i="10" s="1"/>
  <c r="Q756" i="10"/>
  <c r="P756" i="10"/>
  <c r="O756" i="10"/>
  <c r="N756" i="10"/>
  <c r="S755" i="10"/>
  <c r="U755" i="10" s="1"/>
  <c r="R755" i="10"/>
  <c r="T755" i="10" s="1"/>
  <c r="Q755" i="10"/>
  <c r="P755" i="10"/>
  <c r="O755" i="10"/>
  <c r="N755" i="10"/>
  <c r="S754" i="10"/>
  <c r="U754" i="10" s="1"/>
  <c r="R754" i="10"/>
  <c r="T754" i="10" s="1"/>
  <c r="Q754" i="10"/>
  <c r="P754" i="10"/>
  <c r="O754" i="10"/>
  <c r="N754" i="10"/>
  <c r="S753" i="10"/>
  <c r="U753" i="10" s="1"/>
  <c r="R753" i="10"/>
  <c r="T753" i="10" s="1"/>
  <c r="Q753" i="10"/>
  <c r="P753" i="10"/>
  <c r="O753" i="10"/>
  <c r="N753" i="10"/>
  <c r="S752" i="10"/>
  <c r="U752" i="10" s="1"/>
  <c r="R752" i="10"/>
  <c r="T752" i="10" s="1"/>
  <c r="Q752" i="10"/>
  <c r="P752" i="10"/>
  <c r="O752" i="10"/>
  <c r="N752" i="10"/>
  <c r="S751" i="10"/>
  <c r="U751" i="10" s="1"/>
  <c r="R751" i="10"/>
  <c r="T751" i="10" s="1"/>
  <c r="Q751" i="10"/>
  <c r="P751" i="10"/>
  <c r="O751" i="10"/>
  <c r="N751" i="10"/>
  <c r="S750" i="10"/>
  <c r="U750" i="10" s="1"/>
  <c r="R750" i="10"/>
  <c r="T750" i="10" s="1"/>
  <c r="Q750" i="10"/>
  <c r="P750" i="10"/>
  <c r="O750" i="10"/>
  <c r="N750" i="10"/>
  <c r="S749" i="10"/>
  <c r="U749" i="10" s="1"/>
  <c r="R749" i="10"/>
  <c r="T749" i="10" s="1"/>
  <c r="Q749" i="10"/>
  <c r="P749" i="10"/>
  <c r="O749" i="10"/>
  <c r="N749" i="10"/>
  <c r="S748" i="10"/>
  <c r="U748" i="10" s="1"/>
  <c r="R748" i="10"/>
  <c r="T748" i="10" s="1"/>
  <c r="Q748" i="10"/>
  <c r="P748" i="10"/>
  <c r="O748" i="10"/>
  <c r="N748" i="10"/>
  <c r="S747" i="10"/>
  <c r="U747" i="10" s="1"/>
  <c r="R747" i="10"/>
  <c r="T747" i="10" s="1"/>
  <c r="Q747" i="10"/>
  <c r="P747" i="10"/>
  <c r="O747" i="10"/>
  <c r="N747" i="10"/>
  <c r="S746" i="10"/>
  <c r="U746" i="10" s="1"/>
  <c r="R746" i="10"/>
  <c r="T746" i="10" s="1"/>
  <c r="Q746" i="10"/>
  <c r="P746" i="10"/>
  <c r="O746" i="10"/>
  <c r="N746" i="10"/>
  <c r="S745" i="10"/>
  <c r="U745" i="10" s="1"/>
  <c r="R745" i="10"/>
  <c r="T745" i="10" s="1"/>
  <c r="Q745" i="10"/>
  <c r="P745" i="10"/>
  <c r="O745" i="10"/>
  <c r="N745" i="10"/>
  <c r="S744" i="10"/>
  <c r="U744" i="10" s="1"/>
  <c r="R744" i="10"/>
  <c r="T744" i="10" s="1"/>
  <c r="Q744" i="10"/>
  <c r="P744" i="10"/>
  <c r="O744" i="10"/>
  <c r="N744" i="10"/>
  <c r="S743" i="10"/>
  <c r="U743" i="10" s="1"/>
  <c r="R743" i="10"/>
  <c r="T743" i="10" s="1"/>
  <c r="Q743" i="10"/>
  <c r="P743" i="10"/>
  <c r="O743" i="10"/>
  <c r="N743" i="10"/>
  <c r="S742" i="10"/>
  <c r="U742" i="10" s="1"/>
  <c r="R742" i="10"/>
  <c r="T742" i="10" s="1"/>
  <c r="Q742" i="10"/>
  <c r="P742" i="10"/>
  <c r="O742" i="10"/>
  <c r="N742" i="10"/>
  <c r="S741" i="10"/>
  <c r="U741" i="10" s="1"/>
  <c r="R741" i="10"/>
  <c r="T741" i="10" s="1"/>
  <c r="Q741" i="10"/>
  <c r="P741" i="10"/>
  <c r="O741" i="10"/>
  <c r="N741" i="10"/>
  <c r="S740" i="10"/>
  <c r="U740" i="10" s="1"/>
  <c r="R740" i="10"/>
  <c r="T740" i="10" s="1"/>
  <c r="Q740" i="10"/>
  <c r="P740" i="10"/>
  <c r="O740" i="10"/>
  <c r="N740" i="10"/>
  <c r="S739" i="10"/>
  <c r="U739" i="10" s="1"/>
  <c r="R739" i="10"/>
  <c r="T739" i="10" s="1"/>
  <c r="Q739" i="10"/>
  <c r="P739" i="10"/>
  <c r="O739" i="10"/>
  <c r="N739" i="10"/>
  <c r="S738" i="10"/>
  <c r="U738" i="10" s="1"/>
  <c r="R738" i="10"/>
  <c r="T738" i="10" s="1"/>
  <c r="Q738" i="10"/>
  <c r="P738" i="10"/>
  <c r="O738" i="10"/>
  <c r="N738" i="10"/>
  <c r="S737" i="10"/>
  <c r="U737" i="10" s="1"/>
  <c r="R737" i="10"/>
  <c r="T737" i="10" s="1"/>
  <c r="Q737" i="10"/>
  <c r="P737" i="10"/>
  <c r="O737" i="10"/>
  <c r="N737" i="10"/>
  <c r="S736" i="10"/>
  <c r="U736" i="10" s="1"/>
  <c r="R736" i="10"/>
  <c r="T736" i="10" s="1"/>
  <c r="Q736" i="10"/>
  <c r="P736" i="10"/>
  <c r="O736" i="10"/>
  <c r="N736" i="10"/>
  <c r="S735" i="10"/>
  <c r="U735" i="10" s="1"/>
  <c r="R735" i="10"/>
  <c r="T735" i="10" s="1"/>
  <c r="Q735" i="10"/>
  <c r="P735" i="10"/>
  <c r="O735" i="10"/>
  <c r="N735" i="10"/>
  <c r="S734" i="10"/>
  <c r="U734" i="10" s="1"/>
  <c r="R734" i="10"/>
  <c r="T734" i="10" s="1"/>
  <c r="Q734" i="10"/>
  <c r="P734" i="10"/>
  <c r="O734" i="10"/>
  <c r="N734" i="10"/>
  <c r="S733" i="10"/>
  <c r="U733" i="10" s="1"/>
  <c r="R733" i="10"/>
  <c r="T733" i="10" s="1"/>
  <c r="Q733" i="10"/>
  <c r="P733" i="10"/>
  <c r="O733" i="10"/>
  <c r="N733" i="10"/>
  <c r="S732" i="10"/>
  <c r="U732" i="10" s="1"/>
  <c r="R732" i="10"/>
  <c r="T732" i="10" s="1"/>
  <c r="Q732" i="10"/>
  <c r="P732" i="10"/>
  <c r="O732" i="10"/>
  <c r="N732" i="10"/>
  <c r="S731" i="10"/>
  <c r="U731" i="10" s="1"/>
  <c r="R731" i="10"/>
  <c r="T731" i="10" s="1"/>
  <c r="Q731" i="10"/>
  <c r="P731" i="10"/>
  <c r="O731" i="10"/>
  <c r="N731" i="10"/>
  <c r="S730" i="10"/>
  <c r="U730" i="10" s="1"/>
  <c r="R730" i="10"/>
  <c r="T730" i="10" s="1"/>
  <c r="Q730" i="10"/>
  <c r="P730" i="10"/>
  <c r="O730" i="10"/>
  <c r="N730" i="10"/>
  <c r="S729" i="10"/>
  <c r="U729" i="10" s="1"/>
  <c r="R729" i="10"/>
  <c r="T729" i="10" s="1"/>
  <c r="Q729" i="10"/>
  <c r="P729" i="10"/>
  <c r="O729" i="10"/>
  <c r="N729" i="10"/>
  <c r="S728" i="10"/>
  <c r="U728" i="10" s="1"/>
  <c r="R728" i="10"/>
  <c r="T728" i="10" s="1"/>
  <c r="Q728" i="10"/>
  <c r="P728" i="10"/>
  <c r="O728" i="10"/>
  <c r="N728" i="10"/>
  <c r="S727" i="10"/>
  <c r="U727" i="10" s="1"/>
  <c r="R727" i="10"/>
  <c r="T727" i="10" s="1"/>
  <c r="Q727" i="10"/>
  <c r="P727" i="10"/>
  <c r="O727" i="10"/>
  <c r="N727" i="10"/>
  <c r="S726" i="10"/>
  <c r="U726" i="10" s="1"/>
  <c r="R726" i="10"/>
  <c r="T726" i="10" s="1"/>
  <c r="Q726" i="10"/>
  <c r="P726" i="10"/>
  <c r="O726" i="10"/>
  <c r="N726" i="10"/>
  <c r="S725" i="10"/>
  <c r="U725" i="10" s="1"/>
  <c r="R725" i="10"/>
  <c r="T725" i="10" s="1"/>
  <c r="Q725" i="10"/>
  <c r="P725" i="10"/>
  <c r="O725" i="10"/>
  <c r="N725" i="10"/>
  <c r="S724" i="10"/>
  <c r="U724" i="10" s="1"/>
  <c r="R724" i="10"/>
  <c r="T724" i="10" s="1"/>
  <c r="Q724" i="10"/>
  <c r="P724" i="10"/>
  <c r="O724" i="10"/>
  <c r="N724" i="10"/>
  <c r="S723" i="10"/>
  <c r="U723" i="10" s="1"/>
  <c r="R723" i="10"/>
  <c r="T723" i="10" s="1"/>
  <c r="Q723" i="10"/>
  <c r="P723" i="10"/>
  <c r="O723" i="10"/>
  <c r="N723" i="10"/>
  <c r="S722" i="10"/>
  <c r="U722" i="10" s="1"/>
  <c r="R722" i="10"/>
  <c r="T722" i="10" s="1"/>
  <c r="Q722" i="10"/>
  <c r="P722" i="10"/>
  <c r="O722" i="10"/>
  <c r="N722" i="10"/>
  <c r="S721" i="10"/>
  <c r="U721" i="10" s="1"/>
  <c r="R721" i="10"/>
  <c r="T721" i="10" s="1"/>
  <c r="Q721" i="10"/>
  <c r="P721" i="10"/>
  <c r="O721" i="10"/>
  <c r="N721" i="10"/>
  <c r="S720" i="10"/>
  <c r="U720" i="10" s="1"/>
  <c r="R720" i="10"/>
  <c r="T720" i="10" s="1"/>
  <c r="Q720" i="10"/>
  <c r="P720" i="10"/>
  <c r="O720" i="10"/>
  <c r="N720" i="10"/>
  <c r="S719" i="10"/>
  <c r="U719" i="10" s="1"/>
  <c r="R719" i="10"/>
  <c r="T719" i="10" s="1"/>
  <c r="Q719" i="10"/>
  <c r="P719" i="10"/>
  <c r="O719" i="10"/>
  <c r="N719" i="10"/>
  <c r="S718" i="10"/>
  <c r="U718" i="10" s="1"/>
  <c r="R718" i="10"/>
  <c r="T718" i="10" s="1"/>
  <c r="Q718" i="10"/>
  <c r="P718" i="10"/>
  <c r="O718" i="10"/>
  <c r="N718" i="10"/>
  <c r="S717" i="10"/>
  <c r="U717" i="10" s="1"/>
  <c r="R717" i="10"/>
  <c r="T717" i="10" s="1"/>
  <c r="Q717" i="10"/>
  <c r="P717" i="10"/>
  <c r="O717" i="10"/>
  <c r="N717" i="10"/>
  <c r="S716" i="10"/>
  <c r="U716" i="10" s="1"/>
  <c r="R716" i="10"/>
  <c r="T716" i="10" s="1"/>
  <c r="Q716" i="10"/>
  <c r="P716" i="10"/>
  <c r="O716" i="10"/>
  <c r="N716" i="10"/>
  <c r="S715" i="10"/>
  <c r="U715" i="10" s="1"/>
  <c r="R715" i="10"/>
  <c r="T715" i="10" s="1"/>
  <c r="Q715" i="10"/>
  <c r="P715" i="10"/>
  <c r="O715" i="10"/>
  <c r="N715" i="10"/>
  <c r="S714" i="10"/>
  <c r="U714" i="10" s="1"/>
  <c r="R714" i="10"/>
  <c r="T714" i="10" s="1"/>
  <c r="Q714" i="10"/>
  <c r="P714" i="10"/>
  <c r="O714" i="10"/>
  <c r="N714" i="10"/>
  <c r="S713" i="10"/>
  <c r="U713" i="10" s="1"/>
  <c r="R713" i="10"/>
  <c r="T713" i="10" s="1"/>
  <c r="Q713" i="10"/>
  <c r="P713" i="10"/>
  <c r="O713" i="10"/>
  <c r="N713" i="10"/>
  <c r="S712" i="10"/>
  <c r="U712" i="10" s="1"/>
  <c r="R712" i="10"/>
  <c r="T712" i="10" s="1"/>
  <c r="Q712" i="10"/>
  <c r="P712" i="10"/>
  <c r="O712" i="10"/>
  <c r="N712" i="10"/>
  <c r="S711" i="10"/>
  <c r="U711" i="10" s="1"/>
  <c r="R711" i="10"/>
  <c r="T711" i="10" s="1"/>
  <c r="Q711" i="10"/>
  <c r="P711" i="10"/>
  <c r="O711" i="10"/>
  <c r="N711" i="10"/>
  <c r="S710" i="10"/>
  <c r="U710" i="10" s="1"/>
  <c r="R710" i="10"/>
  <c r="T710" i="10" s="1"/>
  <c r="Q710" i="10"/>
  <c r="P710" i="10"/>
  <c r="O710" i="10"/>
  <c r="N710" i="10"/>
  <c r="S709" i="10"/>
  <c r="U709" i="10" s="1"/>
  <c r="R709" i="10"/>
  <c r="T709" i="10" s="1"/>
  <c r="Q709" i="10"/>
  <c r="P709" i="10"/>
  <c r="O709" i="10"/>
  <c r="N709" i="10"/>
  <c r="S708" i="10"/>
  <c r="U708" i="10" s="1"/>
  <c r="R708" i="10"/>
  <c r="T708" i="10" s="1"/>
  <c r="Q708" i="10"/>
  <c r="P708" i="10"/>
  <c r="O708" i="10"/>
  <c r="N708" i="10"/>
  <c r="S707" i="10"/>
  <c r="U707" i="10" s="1"/>
  <c r="R707" i="10"/>
  <c r="T707" i="10" s="1"/>
  <c r="Q707" i="10"/>
  <c r="P707" i="10"/>
  <c r="O707" i="10"/>
  <c r="N707" i="10"/>
  <c r="S706" i="10"/>
  <c r="U706" i="10" s="1"/>
  <c r="R706" i="10"/>
  <c r="T706" i="10" s="1"/>
  <c r="Q706" i="10"/>
  <c r="P706" i="10"/>
  <c r="O706" i="10"/>
  <c r="N706" i="10"/>
  <c r="S705" i="10"/>
  <c r="U705" i="10" s="1"/>
  <c r="R705" i="10"/>
  <c r="T705" i="10" s="1"/>
  <c r="Q705" i="10"/>
  <c r="P705" i="10"/>
  <c r="O705" i="10"/>
  <c r="N705" i="10"/>
  <c r="S704" i="10"/>
  <c r="U704" i="10" s="1"/>
  <c r="R704" i="10"/>
  <c r="T704" i="10" s="1"/>
  <c r="Q704" i="10"/>
  <c r="P704" i="10"/>
  <c r="O704" i="10"/>
  <c r="N704" i="10"/>
  <c r="S703" i="10"/>
  <c r="U703" i="10" s="1"/>
  <c r="R703" i="10"/>
  <c r="T703" i="10" s="1"/>
  <c r="Q703" i="10"/>
  <c r="P703" i="10"/>
  <c r="O703" i="10"/>
  <c r="N703" i="10"/>
  <c r="S702" i="10"/>
  <c r="U702" i="10" s="1"/>
  <c r="R702" i="10"/>
  <c r="T702" i="10" s="1"/>
  <c r="Q702" i="10"/>
  <c r="P702" i="10"/>
  <c r="O702" i="10"/>
  <c r="N702" i="10"/>
  <c r="S701" i="10"/>
  <c r="U701" i="10" s="1"/>
  <c r="R701" i="10"/>
  <c r="T701" i="10" s="1"/>
  <c r="Q701" i="10"/>
  <c r="P701" i="10"/>
  <c r="O701" i="10"/>
  <c r="N701" i="10"/>
  <c r="S700" i="10"/>
  <c r="U700" i="10" s="1"/>
  <c r="R700" i="10"/>
  <c r="T700" i="10" s="1"/>
  <c r="Q700" i="10"/>
  <c r="P700" i="10"/>
  <c r="O700" i="10"/>
  <c r="N700" i="10"/>
  <c r="S699" i="10"/>
  <c r="U699" i="10" s="1"/>
  <c r="R699" i="10"/>
  <c r="T699" i="10" s="1"/>
  <c r="Q699" i="10"/>
  <c r="P699" i="10"/>
  <c r="O699" i="10"/>
  <c r="N699" i="10"/>
  <c r="S698" i="10"/>
  <c r="U698" i="10" s="1"/>
  <c r="R698" i="10"/>
  <c r="T698" i="10" s="1"/>
  <c r="Q698" i="10"/>
  <c r="P698" i="10"/>
  <c r="O698" i="10"/>
  <c r="N698" i="10"/>
  <c r="S697" i="10"/>
  <c r="U697" i="10" s="1"/>
  <c r="R697" i="10"/>
  <c r="T697" i="10" s="1"/>
  <c r="Q697" i="10"/>
  <c r="P697" i="10"/>
  <c r="O697" i="10"/>
  <c r="N697" i="10"/>
  <c r="S696" i="10"/>
  <c r="U696" i="10" s="1"/>
  <c r="R696" i="10"/>
  <c r="T696" i="10" s="1"/>
  <c r="Q696" i="10"/>
  <c r="P696" i="10"/>
  <c r="O696" i="10"/>
  <c r="N696" i="10"/>
  <c r="S695" i="10"/>
  <c r="U695" i="10" s="1"/>
  <c r="R695" i="10"/>
  <c r="T695" i="10" s="1"/>
  <c r="Q695" i="10"/>
  <c r="P695" i="10"/>
  <c r="O695" i="10"/>
  <c r="N695" i="10"/>
  <c r="S694" i="10"/>
  <c r="U694" i="10" s="1"/>
  <c r="R694" i="10"/>
  <c r="T694" i="10" s="1"/>
  <c r="Q694" i="10"/>
  <c r="P694" i="10"/>
  <c r="O694" i="10"/>
  <c r="N694" i="10"/>
  <c r="S693" i="10"/>
  <c r="U693" i="10" s="1"/>
  <c r="R693" i="10"/>
  <c r="T693" i="10" s="1"/>
  <c r="Q693" i="10"/>
  <c r="P693" i="10"/>
  <c r="O693" i="10"/>
  <c r="N693" i="10"/>
  <c r="S692" i="10"/>
  <c r="U692" i="10" s="1"/>
  <c r="R692" i="10"/>
  <c r="T692" i="10" s="1"/>
  <c r="Q692" i="10"/>
  <c r="P692" i="10"/>
  <c r="O692" i="10"/>
  <c r="N692" i="10"/>
  <c r="S691" i="10"/>
  <c r="U691" i="10" s="1"/>
  <c r="R691" i="10"/>
  <c r="T691" i="10" s="1"/>
  <c r="Q691" i="10"/>
  <c r="P691" i="10"/>
  <c r="O691" i="10"/>
  <c r="N691" i="10"/>
  <c r="S690" i="10"/>
  <c r="U690" i="10" s="1"/>
  <c r="R690" i="10"/>
  <c r="T690" i="10" s="1"/>
  <c r="Q690" i="10"/>
  <c r="P690" i="10"/>
  <c r="O690" i="10"/>
  <c r="N690" i="10"/>
  <c r="S689" i="10"/>
  <c r="U689" i="10" s="1"/>
  <c r="R689" i="10"/>
  <c r="T689" i="10" s="1"/>
  <c r="Q689" i="10"/>
  <c r="P689" i="10"/>
  <c r="O689" i="10"/>
  <c r="N689" i="10"/>
  <c r="S688" i="10"/>
  <c r="U688" i="10" s="1"/>
  <c r="R688" i="10"/>
  <c r="T688" i="10" s="1"/>
  <c r="Q688" i="10"/>
  <c r="P688" i="10"/>
  <c r="O688" i="10"/>
  <c r="N688" i="10"/>
  <c r="S687" i="10"/>
  <c r="U687" i="10" s="1"/>
  <c r="R687" i="10"/>
  <c r="T687" i="10" s="1"/>
  <c r="Q687" i="10"/>
  <c r="P687" i="10"/>
  <c r="O687" i="10"/>
  <c r="N687" i="10"/>
  <c r="S686" i="10"/>
  <c r="U686" i="10" s="1"/>
  <c r="R686" i="10"/>
  <c r="T686" i="10" s="1"/>
  <c r="Q686" i="10"/>
  <c r="P686" i="10"/>
  <c r="O686" i="10"/>
  <c r="N686" i="10"/>
  <c r="S685" i="10"/>
  <c r="U685" i="10" s="1"/>
  <c r="R685" i="10"/>
  <c r="T685" i="10" s="1"/>
  <c r="Q685" i="10"/>
  <c r="P685" i="10"/>
  <c r="O685" i="10"/>
  <c r="N685" i="10"/>
  <c r="S684" i="10"/>
  <c r="U684" i="10" s="1"/>
  <c r="R684" i="10"/>
  <c r="T684" i="10" s="1"/>
  <c r="Q684" i="10"/>
  <c r="P684" i="10"/>
  <c r="O684" i="10"/>
  <c r="N684" i="10"/>
  <c r="S683" i="10"/>
  <c r="U683" i="10" s="1"/>
  <c r="R683" i="10"/>
  <c r="T683" i="10" s="1"/>
  <c r="Q683" i="10"/>
  <c r="P683" i="10"/>
  <c r="O683" i="10"/>
  <c r="N683" i="10"/>
  <c r="S682" i="10"/>
  <c r="U682" i="10" s="1"/>
  <c r="R682" i="10"/>
  <c r="T682" i="10" s="1"/>
  <c r="Q682" i="10"/>
  <c r="P682" i="10"/>
  <c r="O682" i="10"/>
  <c r="N682" i="10"/>
  <c r="S681" i="10"/>
  <c r="U681" i="10" s="1"/>
  <c r="R681" i="10"/>
  <c r="T681" i="10" s="1"/>
  <c r="Q681" i="10"/>
  <c r="P681" i="10"/>
  <c r="O681" i="10"/>
  <c r="N681" i="10"/>
  <c r="S680" i="10"/>
  <c r="U680" i="10" s="1"/>
  <c r="R680" i="10"/>
  <c r="T680" i="10" s="1"/>
  <c r="Q680" i="10"/>
  <c r="P680" i="10"/>
  <c r="O680" i="10"/>
  <c r="N680" i="10"/>
  <c r="S679" i="10"/>
  <c r="U679" i="10" s="1"/>
  <c r="R679" i="10"/>
  <c r="T679" i="10" s="1"/>
  <c r="Q679" i="10"/>
  <c r="P679" i="10"/>
  <c r="O679" i="10"/>
  <c r="N679" i="10"/>
  <c r="S678" i="10"/>
  <c r="U678" i="10" s="1"/>
  <c r="R678" i="10"/>
  <c r="T678" i="10" s="1"/>
  <c r="Q678" i="10"/>
  <c r="P678" i="10"/>
  <c r="O678" i="10"/>
  <c r="N678" i="10"/>
  <c r="S677" i="10"/>
  <c r="U677" i="10" s="1"/>
  <c r="R677" i="10"/>
  <c r="T677" i="10" s="1"/>
  <c r="Q677" i="10"/>
  <c r="P677" i="10"/>
  <c r="O677" i="10"/>
  <c r="N677" i="10"/>
  <c r="S676" i="10"/>
  <c r="U676" i="10" s="1"/>
  <c r="R676" i="10"/>
  <c r="T676" i="10" s="1"/>
  <c r="Q676" i="10"/>
  <c r="P676" i="10"/>
  <c r="O676" i="10"/>
  <c r="N676" i="10"/>
  <c r="S675" i="10"/>
  <c r="U675" i="10" s="1"/>
  <c r="R675" i="10"/>
  <c r="T675" i="10" s="1"/>
  <c r="Q675" i="10"/>
  <c r="P675" i="10"/>
  <c r="O675" i="10"/>
  <c r="N675" i="10"/>
  <c r="S674" i="10"/>
  <c r="U674" i="10" s="1"/>
  <c r="R674" i="10"/>
  <c r="T674" i="10" s="1"/>
  <c r="Q674" i="10"/>
  <c r="P674" i="10"/>
  <c r="O674" i="10"/>
  <c r="N674" i="10"/>
  <c r="S673" i="10"/>
  <c r="U673" i="10" s="1"/>
  <c r="R673" i="10"/>
  <c r="T673" i="10" s="1"/>
  <c r="Q673" i="10"/>
  <c r="P673" i="10"/>
  <c r="O673" i="10"/>
  <c r="N673" i="10"/>
  <c r="S672" i="10"/>
  <c r="U672" i="10" s="1"/>
  <c r="R672" i="10"/>
  <c r="T672" i="10" s="1"/>
  <c r="Q672" i="10"/>
  <c r="P672" i="10"/>
  <c r="O672" i="10"/>
  <c r="N672" i="10"/>
  <c r="S671" i="10"/>
  <c r="U671" i="10" s="1"/>
  <c r="R671" i="10"/>
  <c r="T671" i="10" s="1"/>
  <c r="Q671" i="10"/>
  <c r="P671" i="10"/>
  <c r="O671" i="10"/>
  <c r="N671" i="10"/>
  <c r="S670" i="10"/>
  <c r="U670" i="10" s="1"/>
  <c r="R670" i="10"/>
  <c r="T670" i="10" s="1"/>
  <c r="Q670" i="10"/>
  <c r="P670" i="10"/>
  <c r="O670" i="10"/>
  <c r="N670" i="10"/>
  <c r="S669" i="10"/>
  <c r="U669" i="10" s="1"/>
  <c r="R669" i="10"/>
  <c r="T669" i="10" s="1"/>
  <c r="Q669" i="10"/>
  <c r="P669" i="10"/>
  <c r="O669" i="10"/>
  <c r="N669" i="10"/>
  <c r="S668" i="10"/>
  <c r="U668" i="10" s="1"/>
  <c r="R668" i="10"/>
  <c r="T668" i="10" s="1"/>
  <c r="Q668" i="10"/>
  <c r="P668" i="10"/>
  <c r="O668" i="10"/>
  <c r="N668" i="10"/>
  <c r="S667" i="10"/>
  <c r="U667" i="10" s="1"/>
  <c r="R667" i="10"/>
  <c r="T667" i="10" s="1"/>
  <c r="Q667" i="10"/>
  <c r="P667" i="10"/>
  <c r="O667" i="10"/>
  <c r="N667" i="10"/>
  <c r="S666" i="10"/>
  <c r="U666" i="10" s="1"/>
  <c r="R666" i="10"/>
  <c r="T666" i="10" s="1"/>
  <c r="Q666" i="10"/>
  <c r="P666" i="10"/>
  <c r="O666" i="10"/>
  <c r="N666" i="10"/>
  <c r="S665" i="10"/>
  <c r="U665" i="10" s="1"/>
  <c r="R665" i="10"/>
  <c r="T665" i="10" s="1"/>
  <c r="Q665" i="10"/>
  <c r="P665" i="10"/>
  <c r="O665" i="10"/>
  <c r="N665" i="10"/>
  <c r="S664" i="10"/>
  <c r="U664" i="10" s="1"/>
  <c r="R664" i="10"/>
  <c r="T664" i="10" s="1"/>
  <c r="Q664" i="10"/>
  <c r="P664" i="10"/>
  <c r="O664" i="10"/>
  <c r="N664" i="10"/>
  <c r="S663" i="10"/>
  <c r="U663" i="10" s="1"/>
  <c r="R663" i="10"/>
  <c r="T663" i="10" s="1"/>
  <c r="Q663" i="10"/>
  <c r="P663" i="10"/>
  <c r="O663" i="10"/>
  <c r="N663" i="10"/>
  <c r="S662" i="10"/>
  <c r="U662" i="10" s="1"/>
  <c r="R662" i="10"/>
  <c r="T662" i="10" s="1"/>
  <c r="Q662" i="10"/>
  <c r="P662" i="10"/>
  <c r="O662" i="10"/>
  <c r="N662" i="10"/>
  <c r="S661" i="10"/>
  <c r="U661" i="10" s="1"/>
  <c r="R661" i="10"/>
  <c r="T661" i="10" s="1"/>
  <c r="Q661" i="10"/>
  <c r="P661" i="10"/>
  <c r="O661" i="10"/>
  <c r="N661" i="10"/>
  <c r="S660" i="10"/>
  <c r="U660" i="10" s="1"/>
  <c r="R660" i="10"/>
  <c r="T660" i="10" s="1"/>
  <c r="Q660" i="10"/>
  <c r="P660" i="10"/>
  <c r="O660" i="10"/>
  <c r="N660" i="10"/>
  <c r="S659" i="10"/>
  <c r="U659" i="10" s="1"/>
  <c r="R659" i="10"/>
  <c r="T659" i="10" s="1"/>
  <c r="Q659" i="10"/>
  <c r="P659" i="10"/>
  <c r="O659" i="10"/>
  <c r="N659" i="10"/>
  <c r="S658" i="10"/>
  <c r="U658" i="10" s="1"/>
  <c r="R658" i="10"/>
  <c r="T658" i="10" s="1"/>
  <c r="Q658" i="10"/>
  <c r="P658" i="10"/>
  <c r="O658" i="10"/>
  <c r="N658" i="10"/>
  <c r="S657" i="10"/>
  <c r="U657" i="10" s="1"/>
  <c r="R657" i="10"/>
  <c r="T657" i="10" s="1"/>
  <c r="Q657" i="10"/>
  <c r="P657" i="10"/>
  <c r="O657" i="10"/>
  <c r="N657" i="10"/>
  <c r="S656" i="10"/>
  <c r="U656" i="10" s="1"/>
  <c r="R656" i="10"/>
  <c r="T656" i="10" s="1"/>
  <c r="Q656" i="10"/>
  <c r="P656" i="10"/>
  <c r="O656" i="10"/>
  <c r="N656" i="10"/>
  <c r="T655" i="10"/>
  <c r="S655" i="10"/>
  <c r="U655" i="10" s="1"/>
  <c r="R655" i="10"/>
  <c r="Q655" i="10"/>
  <c r="P655" i="10"/>
  <c r="O655" i="10"/>
  <c r="N655" i="10"/>
  <c r="T654" i="10"/>
  <c r="S654" i="10"/>
  <c r="U654" i="10" s="1"/>
  <c r="R654" i="10"/>
  <c r="Q654" i="10"/>
  <c r="P654" i="10"/>
  <c r="O654" i="10"/>
  <c r="N654" i="10"/>
  <c r="S653" i="10"/>
  <c r="U653" i="10" s="1"/>
  <c r="R653" i="10"/>
  <c r="T653" i="10" s="1"/>
  <c r="Q653" i="10"/>
  <c r="P653" i="10"/>
  <c r="O653" i="10"/>
  <c r="N653" i="10"/>
  <c r="T652" i="10"/>
  <c r="S652" i="10"/>
  <c r="U652" i="10" s="1"/>
  <c r="R652" i="10"/>
  <c r="Q652" i="10"/>
  <c r="P652" i="10"/>
  <c r="O652" i="10"/>
  <c r="N652" i="10"/>
  <c r="S651" i="10"/>
  <c r="U651" i="10" s="1"/>
  <c r="R651" i="10"/>
  <c r="T651" i="10" s="1"/>
  <c r="Q651" i="10"/>
  <c r="P651" i="10"/>
  <c r="O651" i="10"/>
  <c r="N651" i="10"/>
  <c r="S650" i="10"/>
  <c r="U650" i="10" s="1"/>
  <c r="R650" i="10"/>
  <c r="T650" i="10" s="1"/>
  <c r="Q650" i="10"/>
  <c r="P650" i="10"/>
  <c r="O650" i="10"/>
  <c r="N650" i="10"/>
  <c r="S649" i="10"/>
  <c r="U649" i="10" s="1"/>
  <c r="R649" i="10"/>
  <c r="T649" i="10" s="1"/>
  <c r="Q649" i="10"/>
  <c r="P649" i="10"/>
  <c r="O649" i="10"/>
  <c r="N649" i="10"/>
  <c r="S648" i="10"/>
  <c r="U648" i="10" s="1"/>
  <c r="R648" i="10"/>
  <c r="T648" i="10" s="1"/>
  <c r="Q648" i="10"/>
  <c r="P648" i="10"/>
  <c r="O648" i="10"/>
  <c r="N648" i="10"/>
  <c r="T647" i="10"/>
  <c r="S647" i="10"/>
  <c r="U647" i="10" s="1"/>
  <c r="R647" i="10"/>
  <c r="Q647" i="10"/>
  <c r="P647" i="10"/>
  <c r="O647" i="10"/>
  <c r="N647" i="10"/>
  <c r="T646" i="10"/>
  <c r="S646" i="10"/>
  <c r="U646" i="10" s="1"/>
  <c r="R646" i="10"/>
  <c r="Q646" i="10"/>
  <c r="P646" i="10"/>
  <c r="O646" i="10"/>
  <c r="N646" i="10"/>
  <c r="S645" i="10"/>
  <c r="U645" i="10" s="1"/>
  <c r="R645" i="10"/>
  <c r="T645" i="10" s="1"/>
  <c r="Q645" i="10"/>
  <c r="P645" i="10"/>
  <c r="O645" i="10"/>
  <c r="N645" i="10"/>
  <c r="T644" i="10"/>
  <c r="S644" i="10"/>
  <c r="U644" i="10" s="1"/>
  <c r="R644" i="10"/>
  <c r="Q644" i="10"/>
  <c r="P644" i="10"/>
  <c r="O644" i="10"/>
  <c r="N644" i="10"/>
  <c r="S643" i="10"/>
  <c r="U643" i="10" s="1"/>
  <c r="R643" i="10"/>
  <c r="T643" i="10" s="1"/>
  <c r="Q643" i="10"/>
  <c r="P643" i="10"/>
  <c r="O643" i="10"/>
  <c r="N643" i="10"/>
  <c r="S642" i="10"/>
  <c r="U642" i="10" s="1"/>
  <c r="R642" i="10"/>
  <c r="T642" i="10" s="1"/>
  <c r="Q642" i="10"/>
  <c r="P642" i="10"/>
  <c r="O642" i="10"/>
  <c r="N642" i="10"/>
  <c r="S641" i="10"/>
  <c r="U641" i="10" s="1"/>
  <c r="R641" i="10"/>
  <c r="T641" i="10" s="1"/>
  <c r="Q641" i="10"/>
  <c r="P641" i="10"/>
  <c r="O641" i="10"/>
  <c r="N641" i="10"/>
  <c r="S640" i="10"/>
  <c r="U640" i="10" s="1"/>
  <c r="R640" i="10"/>
  <c r="T640" i="10" s="1"/>
  <c r="Q640" i="10"/>
  <c r="P640" i="10"/>
  <c r="O640" i="10"/>
  <c r="N640" i="10"/>
  <c r="T639" i="10"/>
  <c r="S639" i="10"/>
  <c r="U639" i="10" s="1"/>
  <c r="R639" i="10"/>
  <c r="Q639" i="10"/>
  <c r="P639" i="10"/>
  <c r="O639" i="10"/>
  <c r="N639" i="10"/>
  <c r="T638" i="10"/>
  <c r="S638" i="10"/>
  <c r="U638" i="10" s="1"/>
  <c r="R638" i="10"/>
  <c r="Q638" i="10"/>
  <c r="P638" i="10"/>
  <c r="O638" i="10"/>
  <c r="N638" i="10"/>
  <c r="S637" i="10"/>
  <c r="U637" i="10" s="1"/>
  <c r="R637" i="10"/>
  <c r="T637" i="10" s="1"/>
  <c r="Q637" i="10"/>
  <c r="P637" i="10"/>
  <c r="O637" i="10"/>
  <c r="N637" i="10"/>
  <c r="T636" i="10"/>
  <c r="S636" i="10"/>
  <c r="U636" i="10" s="1"/>
  <c r="R636" i="10"/>
  <c r="Q636" i="10"/>
  <c r="P636" i="10"/>
  <c r="O636" i="10"/>
  <c r="N636" i="10"/>
  <c r="S635" i="10"/>
  <c r="U635" i="10" s="1"/>
  <c r="R635" i="10"/>
  <c r="T635" i="10" s="1"/>
  <c r="Q635" i="10"/>
  <c r="P635" i="10"/>
  <c r="O635" i="10"/>
  <c r="N635" i="10"/>
  <c r="S634" i="10"/>
  <c r="U634" i="10" s="1"/>
  <c r="R634" i="10"/>
  <c r="T634" i="10" s="1"/>
  <c r="Q634" i="10"/>
  <c r="P634" i="10"/>
  <c r="O634" i="10"/>
  <c r="N634" i="10"/>
  <c r="S633" i="10"/>
  <c r="U633" i="10" s="1"/>
  <c r="R633" i="10"/>
  <c r="T633" i="10" s="1"/>
  <c r="Q633" i="10"/>
  <c r="P633" i="10"/>
  <c r="O633" i="10"/>
  <c r="N633" i="10"/>
  <c r="S632" i="10"/>
  <c r="U632" i="10" s="1"/>
  <c r="R632" i="10"/>
  <c r="T632" i="10" s="1"/>
  <c r="Q632" i="10"/>
  <c r="P632" i="10"/>
  <c r="O632" i="10"/>
  <c r="N632" i="10"/>
  <c r="T631" i="10"/>
  <c r="S631" i="10"/>
  <c r="U631" i="10" s="1"/>
  <c r="R631" i="10"/>
  <c r="Q631" i="10"/>
  <c r="P631" i="10"/>
  <c r="O631" i="10"/>
  <c r="N631" i="10"/>
  <c r="T630" i="10"/>
  <c r="S630" i="10"/>
  <c r="U630" i="10" s="1"/>
  <c r="R630" i="10"/>
  <c r="Q630" i="10"/>
  <c r="P630" i="10"/>
  <c r="O630" i="10"/>
  <c r="N630" i="10"/>
  <c r="S629" i="10"/>
  <c r="U629" i="10" s="1"/>
  <c r="R629" i="10"/>
  <c r="T629" i="10" s="1"/>
  <c r="Q629" i="10"/>
  <c r="P629" i="10"/>
  <c r="O629" i="10"/>
  <c r="N629" i="10"/>
  <c r="T628" i="10"/>
  <c r="S628" i="10"/>
  <c r="U628" i="10" s="1"/>
  <c r="R628" i="10"/>
  <c r="Q628" i="10"/>
  <c r="P628" i="10"/>
  <c r="O628" i="10"/>
  <c r="N628" i="10"/>
  <c r="S627" i="10"/>
  <c r="U627" i="10" s="1"/>
  <c r="R627" i="10"/>
  <c r="T627" i="10" s="1"/>
  <c r="Q627" i="10"/>
  <c r="P627" i="10"/>
  <c r="O627" i="10"/>
  <c r="N627" i="10"/>
  <c r="S626" i="10"/>
  <c r="U626" i="10" s="1"/>
  <c r="R626" i="10"/>
  <c r="T626" i="10" s="1"/>
  <c r="Q626" i="10"/>
  <c r="P626" i="10"/>
  <c r="O626" i="10"/>
  <c r="N626" i="10"/>
  <c r="S625" i="10"/>
  <c r="U625" i="10" s="1"/>
  <c r="R625" i="10"/>
  <c r="T625" i="10" s="1"/>
  <c r="Q625" i="10"/>
  <c r="P625" i="10"/>
  <c r="O625" i="10"/>
  <c r="N625" i="10"/>
  <c r="S624" i="10"/>
  <c r="U624" i="10" s="1"/>
  <c r="R624" i="10"/>
  <c r="T624" i="10" s="1"/>
  <c r="Q624" i="10"/>
  <c r="P624" i="10"/>
  <c r="O624" i="10"/>
  <c r="N624" i="10"/>
  <c r="T623" i="10"/>
  <c r="S623" i="10"/>
  <c r="U623" i="10" s="1"/>
  <c r="R623" i="10"/>
  <c r="Q623" i="10"/>
  <c r="P623" i="10"/>
  <c r="O623" i="10"/>
  <c r="N623" i="10"/>
  <c r="T622" i="10"/>
  <c r="S622" i="10"/>
  <c r="U622" i="10" s="1"/>
  <c r="R622" i="10"/>
  <c r="Q622" i="10"/>
  <c r="P622" i="10"/>
  <c r="O622" i="10"/>
  <c r="N622" i="10"/>
  <c r="S621" i="10"/>
  <c r="U621" i="10" s="1"/>
  <c r="R621" i="10"/>
  <c r="T621" i="10" s="1"/>
  <c r="Q621" i="10"/>
  <c r="P621" i="10"/>
  <c r="O621" i="10"/>
  <c r="N621" i="10"/>
  <c r="T620" i="10"/>
  <c r="S620" i="10"/>
  <c r="U620" i="10" s="1"/>
  <c r="R620" i="10"/>
  <c r="Q620" i="10"/>
  <c r="P620" i="10"/>
  <c r="O620" i="10"/>
  <c r="N620" i="10"/>
  <c r="S619" i="10"/>
  <c r="U619" i="10" s="1"/>
  <c r="R619" i="10"/>
  <c r="T619" i="10" s="1"/>
  <c r="Q619" i="10"/>
  <c r="P619" i="10"/>
  <c r="O619" i="10"/>
  <c r="N619" i="10"/>
  <c r="S618" i="10"/>
  <c r="U618" i="10" s="1"/>
  <c r="R618" i="10"/>
  <c r="T618" i="10" s="1"/>
  <c r="Q618" i="10"/>
  <c r="P618" i="10"/>
  <c r="O618" i="10"/>
  <c r="N618" i="10"/>
  <c r="S617" i="10"/>
  <c r="U617" i="10" s="1"/>
  <c r="R617" i="10"/>
  <c r="T617" i="10" s="1"/>
  <c r="Q617" i="10"/>
  <c r="P617" i="10"/>
  <c r="O617" i="10"/>
  <c r="N617" i="10"/>
  <c r="S616" i="10"/>
  <c r="U616" i="10" s="1"/>
  <c r="R616" i="10"/>
  <c r="T616" i="10" s="1"/>
  <c r="Q616" i="10"/>
  <c r="P616" i="10"/>
  <c r="O616" i="10"/>
  <c r="N616" i="10"/>
  <c r="T615" i="10"/>
  <c r="S615" i="10"/>
  <c r="U615" i="10" s="1"/>
  <c r="R615" i="10"/>
  <c r="Q615" i="10"/>
  <c r="P615" i="10"/>
  <c r="O615" i="10"/>
  <c r="N615" i="10"/>
  <c r="T614" i="10"/>
  <c r="S614" i="10"/>
  <c r="U614" i="10" s="1"/>
  <c r="R614" i="10"/>
  <c r="Q614" i="10"/>
  <c r="P614" i="10"/>
  <c r="O614" i="10"/>
  <c r="N614" i="10"/>
  <c r="S613" i="10"/>
  <c r="U613" i="10" s="1"/>
  <c r="R613" i="10"/>
  <c r="T613" i="10" s="1"/>
  <c r="Q613" i="10"/>
  <c r="P613" i="10"/>
  <c r="O613" i="10"/>
  <c r="N613" i="10"/>
  <c r="T612" i="10"/>
  <c r="S612" i="10"/>
  <c r="U612" i="10" s="1"/>
  <c r="R612" i="10"/>
  <c r="Q612" i="10"/>
  <c r="P612" i="10"/>
  <c r="O612" i="10"/>
  <c r="N612" i="10"/>
  <c r="S611" i="10"/>
  <c r="U611" i="10" s="1"/>
  <c r="R611" i="10"/>
  <c r="T611" i="10" s="1"/>
  <c r="Q611" i="10"/>
  <c r="P611" i="10"/>
  <c r="O611" i="10"/>
  <c r="N611" i="10"/>
  <c r="S610" i="10"/>
  <c r="U610" i="10" s="1"/>
  <c r="R610" i="10"/>
  <c r="T610" i="10" s="1"/>
  <c r="Q610" i="10"/>
  <c r="P610" i="10"/>
  <c r="O610" i="10"/>
  <c r="N610" i="10"/>
  <c r="S609" i="10"/>
  <c r="U609" i="10" s="1"/>
  <c r="R609" i="10"/>
  <c r="T609" i="10" s="1"/>
  <c r="Q609" i="10"/>
  <c r="P609" i="10"/>
  <c r="O609" i="10"/>
  <c r="N609" i="10"/>
  <c r="S608" i="10"/>
  <c r="U608" i="10" s="1"/>
  <c r="R608" i="10"/>
  <c r="T608" i="10" s="1"/>
  <c r="Q608" i="10"/>
  <c r="P608" i="10"/>
  <c r="O608" i="10"/>
  <c r="N608" i="10"/>
  <c r="T607" i="10"/>
  <c r="S607" i="10"/>
  <c r="U607" i="10" s="1"/>
  <c r="R607" i="10"/>
  <c r="Q607" i="10"/>
  <c r="P607" i="10"/>
  <c r="O607" i="10"/>
  <c r="N607" i="10"/>
  <c r="T606" i="10"/>
  <c r="S606" i="10"/>
  <c r="U606" i="10" s="1"/>
  <c r="R606" i="10"/>
  <c r="Q606" i="10"/>
  <c r="P606" i="10"/>
  <c r="O606" i="10"/>
  <c r="N606" i="10"/>
  <c r="S605" i="10"/>
  <c r="U605" i="10" s="1"/>
  <c r="R605" i="10"/>
  <c r="T605" i="10" s="1"/>
  <c r="Q605" i="10"/>
  <c r="P605" i="10"/>
  <c r="O605" i="10"/>
  <c r="N605" i="10"/>
  <c r="T604" i="10"/>
  <c r="S604" i="10"/>
  <c r="U604" i="10" s="1"/>
  <c r="R604" i="10"/>
  <c r="Q604" i="10"/>
  <c r="P604" i="10"/>
  <c r="O604" i="10"/>
  <c r="N604" i="10"/>
  <c r="S603" i="10"/>
  <c r="U603" i="10" s="1"/>
  <c r="R603" i="10"/>
  <c r="T603" i="10" s="1"/>
  <c r="Q603" i="10"/>
  <c r="P603" i="10"/>
  <c r="O603" i="10"/>
  <c r="N603" i="10"/>
  <c r="S602" i="10"/>
  <c r="U602" i="10" s="1"/>
  <c r="R602" i="10"/>
  <c r="T602" i="10" s="1"/>
  <c r="Q602" i="10"/>
  <c r="P602" i="10"/>
  <c r="O602" i="10"/>
  <c r="N602" i="10"/>
  <c r="S601" i="10"/>
  <c r="U601" i="10" s="1"/>
  <c r="R601" i="10"/>
  <c r="T601" i="10" s="1"/>
  <c r="Q601" i="10"/>
  <c r="P601" i="10"/>
  <c r="O601" i="10"/>
  <c r="N601" i="10"/>
  <c r="S600" i="10"/>
  <c r="U600" i="10" s="1"/>
  <c r="R600" i="10"/>
  <c r="T600" i="10" s="1"/>
  <c r="Q600" i="10"/>
  <c r="P600" i="10"/>
  <c r="O600" i="10"/>
  <c r="N600" i="10"/>
  <c r="T599" i="10"/>
  <c r="S599" i="10"/>
  <c r="U599" i="10" s="1"/>
  <c r="R599" i="10"/>
  <c r="Q599" i="10"/>
  <c r="P599" i="10"/>
  <c r="O599" i="10"/>
  <c r="N599" i="10"/>
  <c r="T598" i="10"/>
  <c r="S598" i="10"/>
  <c r="U598" i="10" s="1"/>
  <c r="R598" i="10"/>
  <c r="Q598" i="10"/>
  <c r="P598" i="10"/>
  <c r="O598" i="10"/>
  <c r="N598" i="10"/>
  <c r="S597" i="10"/>
  <c r="U597" i="10" s="1"/>
  <c r="R597" i="10"/>
  <c r="T597" i="10" s="1"/>
  <c r="Q597" i="10"/>
  <c r="P597" i="10"/>
  <c r="O597" i="10"/>
  <c r="N597" i="10"/>
  <c r="T596" i="10"/>
  <c r="S596" i="10"/>
  <c r="U596" i="10" s="1"/>
  <c r="R596" i="10"/>
  <c r="Q596" i="10"/>
  <c r="P596" i="10"/>
  <c r="O596" i="10"/>
  <c r="N596" i="10"/>
  <c r="S595" i="10"/>
  <c r="U595" i="10" s="1"/>
  <c r="R595" i="10"/>
  <c r="T595" i="10" s="1"/>
  <c r="Q595" i="10"/>
  <c r="P595" i="10"/>
  <c r="O595" i="10"/>
  <c r="N595" i="10"/>
  <c r="S594" i="10"/>
  <c r="U594" i="10" s="1"/>
  <c r="R594" i="10"/>
  <c r="T594" i="10" s="1"/>
  <c r="Q594" i="10"/>
  <c r="P594" i="10"/>
  <c r="O594" i="10"/>
  <c r="N594" i="10"/>
  <c r="S593" i="10"/>
  <c r="U593" i="10" s="1"/>
  <c r="R593" i="10"/>
  <c r="T593" i="10" s="1"/>
  <c r="Q593" i="10"/>
  <c r="P593" i="10"/>
  <c r="O593" i="10"/>
  <c r="N593" i="10"/>
  <c r="S592" i="10"/>
  <c r="U592" i="10" s="1"/>
  <c r="R592" i="10"/>
  <c r="T592" i="10" s="1"/>
  <c r="Q592" i="10"/>
  <c r="P592" i="10"/>
  <c r="O592" i="10"/>
  <c r="N592" i="10"/>
  <c r="T591" i="10"/>
  <c r="S591" i="10"/>
  <c r="U591" i="10" s="1"/>
  <c r="R591" i="10"/>
  <c r="Q591" i="10"/>
  <c r="P591" i="10"/>
  <c r="O591" i="10"/>
  <c r="N591" i="10"/>
  <c r="T590" i="10"/>
  <c r="S590" i="10"/>
  <c r="U590" i="10" s="1"/>
  <c r="R590" i="10"/>
  <c r="Q590" i="10"/>
  <c r="P590" i="10"/>
  <c r="O590" i="10"/>
  <c r="N590" i="10"/>
  <c r="S589" i="10"/>
  <c r="U589" i="10" s="1"/>
  <c r="R589" i="10"/>
  <c r="T589" i="10" s="1"/>
  <c r="Q589" i="10"/>
  <c r="P589" i="10"/>
  <c r="O589" i="10"/>
  <c r="N589" i="10"/>
  <c r="T588" i="10"/>
  <c r="S588" i="10"/>
  <c r="U588" i="10" s="1"/>
  <c r="R588" i="10"/>
  <c r="Q588" i="10"/>
  <c r="P588" i="10"/>
  <c r="O588" i="10"/>
  <c r="N588" i="10"/>
  <c r="S587" i="10"/>
  <c r="U587" i="10" s="1"/>
  <c r="R587" i="10"/>
  <c r="T587" i="10" s="1"/>
  <c r="Q587" i="10"/>
  <c r="P587" i="10"/>
  <c r="O587" i="10"/>
  <c r="N587" i="10"/>
  <c r="S586" i="10"/>
  <c r="U586" i="10" s="1"/>
  <c r="R586" i="10"/>
  <c r="T586" i="10" s="1"/>
  <c r="Q586" i="10"/>
  <c r="P586" i="10"/>
  <c r="O586" i="10"/>
  <c r="N586" i="10"/>
  <c r="S585" i="10"/>
  <c r="U585" i="10" s="1"/>
  <c r="R585" i="10"/>
  <c r="T585" i="10" s="1"/>
  <c r="Q585" i="10"/>
  <c r="P585" i="10"/>
  <c r="O585" i="10"/>
  <c r="N585" i="10"/>
  <c r="S584" i="10"/>
  <c r="U584" i="10" s="1"/>
  <c r="R584" i="10"/>
  <c r="T584" i="10" s="1"/>
  <c r="Q584" i="10"/>
  <c r="P584" i="10"/>
  <c r="O584" i="10"/>
  <c r="N584" i="10"/>
  <c r="T583" i="10"/>
  <c r="S583" i="10"/>
  <c r="U583" i="10" s="1"/>
  <c r="R583" i="10"/>
  <c r="Q583" i="10"/>
  <c r="P583" i="10"/>
  <c r="O583" i="10"/>
  <c r="N583" i="10"/>
  <c r="T582" i="10"/>
  <c r="S582" i="10"/>
  <c r="U582" i="10" s="1"/>
  <c r="R582" i="10"/>
  <c r="Q582" i="10"/>
  <c r="P582" i="10"/>
  <c r="O582" i="10"/>
  <c r="N582" i="10"/>
  <c r="S581" i="10"/>
  <c r="U581" i="10" s="1"/>
  <c r="R581" i="10"/>
  <c r="T581" i="10" s="1"/>
  <c r="Q581" i="10"/>
  <c r="P581" i="10"/>
  <c r="O581" i="10"/>
  <c r="N581" i="10"/>
  <c r="T580" i="10"/>
  <c r="S580" i="10"/>
  <c r="U580" i="10" s="1"/>
  <c r="R580" i="10"/>
  <c r="Q580" i="10"/>
  <c r="P580" i="10"/>
  <c r="O580" i="10"/>
  <c r="N580" i="10"/>
  <c r="S579" i="10"/>
  <c r="U579" i="10" s="1"/>
  <c r="R579" i="10"/>
  <c r="T579" i="10" s="1"/>
  <c r="Q579" i="10"/>
  <c r="P579" i="10"/>
  <c r="O579" i="10"/>
  <c r="N579" i="10"/>
  <c r="S578" i="10"/>
  <c r="U578" i="10" s="1"/>
  <c r="R578" i="10"/>
  <c r="T578" i="10" s="1"/>
  <c r="Q578" i="10"/>
  <c r="P578" i="10"/>
  <c r="O578" i="10"/>
  <c r="N578" i="10"/>
  <c r="S577" i="10"/>
  <c r="U577" i="10" s="1"/>
  <c r="R577" i="10"/>
  <c r="T577" i="10" s="1"/>
  <c r="Q577" i="10"/>
  <c r="P577" i="10"/>
  <c r="O577" i="10"/>
  <c r="N577" i="10"/>
  <c r="S576" i="10"/>
  <c r="U576" i="10" s="1"/>
  <c r="R576" i="10"/>
  <c r="T576" i="10" s="1"/>
  <c r="Q576" i="10"/>
  <c r="P576" i="10"/>
  <c r="O576" i="10"/>
  <c r="N576" i="10"/>
  <c r="T575" i="10"/>
  <c r="S575" i="10"/>
  <c r="U575" i="10" s="1"/>
  <c r="R575" i="10"/>
  <c r="Q575" i="10"/>
  <c r="P575" i="10"/>
  <c r="O575" i="10"/>
  <c r="N575" i="10"/>
  <c r="T574" i="10"/>
  <c r="S574" i="10"/>
  <c r="U574" i="10" s="1"/>
  <c r="R574" i="10"/>
  <c r="Q574" i="10"/>
  <c r="P574" i="10"/>
  <c r="O574" i="10"/>
  <c r="N574" i="10"/>
  <c r="S573" i="10"/>
  <c r="U573" i="10" s="1"/>
  <c r="R573" i="10"/>
  <c r="T573" i="10" s="1"/>
  <c r="Q573" i="10"/>
  <c r="P573" i="10"/>
  <c r="O573" i="10"/>
  <c r="N573" i="10"/>
  <c r="T572" i="10"/>
  <c r="S572" i="10"/>
  <c r="U572" i="10" s="1"/>
  <c r="R572" i="10"/>
  <c r="Q572" i="10"/>
  <c r="P572" i="10"/>
  <c r="O572" i="10"/>
  <c r="N572" i="10"/>
  <c r="S571" i="10"/>
  <c r="U571" i="10" s="1"/>
  <c r="R571" i="10"/>
  <c r="T571" i="10" s="1"/>
  <c r="Q571" i="10"/>
  <c r="P571" i="10"/>
  <c r="O571" i="10"/>
  <c r="N571" i="10"/>
  <c r="S570" i="10"/>
  <c r="U570" i="10" s="1"/>
  <c r="R570" i="10"/>
  <c r="T570" i="10" s="1"/>
  <c r="Q570" i="10"/>
  <c r="P570" i="10"/>
  <c r="O570" i="10"/>
  <c r="N570" i="10"/>
  <c r="S569" i="10"/>
  <c r="U569" i="10" s="1"/>
  <c r="R569" i="10"/>
  <c r="T569" i="10" s="1"/>
  <c r="Q569" i="10"/>
  <c r="P569" i="10"/>
  <c r="O569" i="10"/>
  <c r="N569" i="10"/>
  <c r="S568" i="10"/>
  <c r="U568" i="10" s="1"/>
  <c r="R568" i="10"/>
  <c r="T568" i="10" s="1"/>
  <c r="Q568" i="10"/>
  <c r="P568" i="10"/>
  <c r="O568" i="10"/>
  <c r="N568" i="10"/>
  <c r="T567" i="10"/>
  <c r="S567" i="10"/>
  <c r="U567" i="10" s="1"/>
  <c r="R567" i="10"/>
  <c r="Q567" i="10"/>
  <c r="P567" i="10"/>
  <c r="O567" i="10"/>
  <c r="N567" i="10"/>
  <c r="T566" i="10"/>
  <c r="S566" i="10"/>
  <c r="U566" i="10" s="1"/>
  <c r="R566" i="10"/>
  <c r="Q566" i="10"/>
  <c r="P566" i="10"/>
  <c r="O566" i="10"/>
  <c r="N566" i="10"/>
  <c r="S565" i="10"/>
  <c r="U565" i="10" s="1"/>
  <c r="R565" i="10"/>
  <c r="T565" i="10" s="1"/>
  <c r="Q565" i="10"/>
  <c r="P565" i="10"/>
  <c r="O565" i="10"/>
  <c r="N565" i="10"/>
  <c r="T564" i="10"/>
  <c r="S564" i="10"/>
  <c r="U564" i="10" s="1"/>
  <c r="R564" i="10"/>
  <c r="Q564" i="10"/>
  <c r="P564" i="10"/>
  <c r="O564" i="10"/>
  <c r="N564" i="10"/>
  <c r="S563" i="10"/>
  <c r="U563" i="10" s="1"/>
  <c r="R563" i="10"/>
  <c r="T563" i="10" s="1"/>
  <c r="Q563" i="10"/>
  <c r="P563" i="10"/>
  <c r="O563" i="10"/>
  <c r="N563" i="10"/>
  <c r="S562" i="10"/>
  <c r="U562" i="10" s="1"/>
  <c r="R562" i="10"/>
  <c r="T562" i="10" s="1"/>
  <c r="Q562" i="10"/>
  <c r="P562" i="10"/>
  <c r="O562" i="10"/>
  <c r="N562" i="10"/>
  <c r="S561" i="10"/>
  <c r="U561" i="10" s="1"/>
  <c r="R561" i="10"/>
  <c r="T561" i="10" s="1"/>
  <c r="Q561" i="10"/>
  <c r="P561" i="10"/>
  <c r="O561" i="10"/>
  <c r="N561" i="10"/>
  <c r="S560" i="10"/>
  <c r="U560" i="10" s="1"/>
  <c r="R560" i="10"/>
  <c r="T560" i="10" s="1"/>
  <c r="Q560" i="10"/>
  <c r="P560" i="10"/>
  <c r="O560" i="10"/>
  <c r="N560" i="10"/>
  <c r="T559" i="10"/>
  <c r="S559" i="10"/>
  <c r="U559" i="10" s="1"/>
  <c r="R559" i="10"/>
  <c r="Q559" i="10"/>
  <c r="P559" i="10"/>
  <c r="O559" i="10"/>
  <c r="N559" i="10"/>
  <c r="T558" i="10"/>
  <c r="S558" i="10"/>
  <c r="U558" i="10" s="1"/>
  <c r="R558" i="10"/>
  <c r="Q558" i="10"/>
  <c r="P558" i="10"/>
  <c r="O558" i="10"/>
  <c r="N558" i="10"/>
  <c r="S557" i="10"/>
  <c r="U557" i="10" s="1"/>
  <c r="R557" i="10"/>
  <c r="T557" i="10" s="1"/>
  <c r="Q557" i="10"/>
  <c r="P557" i="10"/>
  <c r="O557" i="10"/>
  <c r="N557" i="10"/>
  <c r="T556" i="10"/>
  <c r="S556" i="10"/>
  <c r="U556" i="10" s="1"/>
  <c r="R556" i="10"/>
  <c r="Q556" i="10"/>
  <c r="P556" i="10"/>
  <c r="O556" i="10"/>
  <c r="N556" i="10"/>
  <c r="S555" i="10"/>
  <c r="U555" i="10" s="1"/>
  <c r="R555" i="10"/>
  <c r="T555" i="10" s="1"/>
  <c r="Q555" i="10"/>
  <c r="P555" i="10"/>
  <c r="O555" i="10"/>
  <c r="N555" i="10"/>
  <c r="S554" i="10"/>
  <c r="U554" i="10" s="1"/>
  <c r="R554" i="10"/>
  <c r="T554" i="10" s="1"/>
  <c r="Q554" i="10"/>
  <c r="P554" i="10"/>
  <c r="O554" i="10"/>
  <c r="N554" i="10"/>
  <c r="S553" i="10"/>
  <c r="U553" i="10" s="1"/>
  <c r="R553" i="10"/>
  <c r="T553" i="10" s="1"/>
  <c r="Q553" i="10"/>
  <c r="P553" i="10"/>
  <c r="O553" i="10"/>
  <c r="N553" i="10"/>
  <c r="S552" i="10"/>
  <c r="U552" i="10" s="1"/>
  <c r="R552" i="10"/>
  <c r="T552" i="10" s="1"/>
  <c r="Q552" i="10"/>
  <c r="P552" i="10"/>
  <c r="O552" i="10"/>
  <c r="N552" i="10"/>
  <c r="T551" i="10"/>
  <c r="S551" i="10"/>
  <c r="U551" i="10" s="1"/>
  <c r="R551" i="10"/>
  <c r="Q551" i="10"/>
  <c r="P551" i="10"/>
  <c r="O551" i="10"/>
  <c r="N551" i="10"/>
  <c r="T550" i="10"/>
  <c r="S550" i="10"/>
  <c r="U550" i="10" s="1"/>
  <c r="R550" i="10"/>
  <c r="Q550" i="10"/>
  <c r="P550" i="10"/>
  <c r="O550" i="10"/>
  <c r="N550" i="10"/>
  <c r="S549" i="10"/>
  <c r="U549" i="10" s="1"/>
  <c r="R549" i="10"/>
  <c r="T549" i="10" s="1"/>
  <c r="Q549" i="10"/>
  <c r="P549" i="10"/>
  <c r="O549" i="10"/>
  <c r="N549" i="10"/>
  <c r="T548" i="10"/>
  <c r="S548" i="10"/>
  <c r="U548" i="10" s="1"/>
  <c r="R548" i="10"/>
  <c r="Q548" i="10"/>
  <c r="P548" i="10"/>
  <c r="O548" i="10"/>
  <c r="N548" i="10"/>
  <c r="S547" i="10"/>
  <c r="U547" i="10" s="1"/>
  <c r="R547" i="10"/>
  <c r="T547" i="10" s="1"/>
  <c r="Q547" i="10"/>
  <c r="P547" i="10"/>
  <c r="O547" i="10"/>
  <c r="N547" i="10"/>
  <c r="S546" i="10"/>
  <c r="U546" i="10" s="1"/>
  <c r="R546" i="10"/>
  <c r="T546" i="10" s="1"/>
  <c r="Q546" i="10"/>
  <c r="P546" i="10"/>
  <c r="O546" i="10"/>
  <c r="N546" i="10"/>
  <c r="S545" i="10"/>
  <c r="U545" i="10" s="1"/>
  <c r="R545" i="10"/>
  <c r="T545" i="10" s="1"/>
  <c r="Q545" i="10"/>
  <c r="P545" i="10"/>
  <c r="O545" i="10"/>
  <c r="N545" i="10"/>
  <c r="S544" i="10"/>
  <c r="U544" i="10" s="1"/>
  <c r="R544" i="10"/>
  <c r="T544" i="10" s="1"/>
  <c r="Q544" i="10"/>
  <c r="P544" i="10"/>
  <c r="O544" i="10"/>
  <c r="N544" i="10"/>
  <c r="T543" i="10"/>
  <c r="S543" i="10"/>
  <c r="U543" i="10" s="1"/>
  <c r="R543" i="10"/>
  <c r="Q543" i="10"/>
  <c r="P543" i="10"/>
  <c r="O543" i="10"/>
  <c r="N543" i="10"/>
  <c r="T542" i="10"/>
  <c r="S542" i="10"/>
  <c r="U542" i="10" s="1"/>
  <c r="R542" i="10"/>
  <c r="Q542" i="10"/>
  <c r="P542" i="10"/>
  <c r="O542" i="10"/>
  <c r="N542" i="10"/>
  <c r="S541" i="10"/>
  <c r="U541" i="10" s="1"/>
  <c r="R541" i="10"/>
  <c r="T541" i="10" s="1"/>
  <c r="Q541" i="10"/>
  <c r="P541" i="10"/>
  <c r="O541" i="10"/>
  <c r="N541" i="10"/>
  <c r="T540" i="10"/>
  <c r="S540" i="10"/>
  <c r="U540" i="10" s="1"/>
  <c r="R540" i="10"/>
  <c r="Q540" i="10"/>
  <c r="P540" i="10"/>
  <c r="O540" i="10"/>
  <c r="N540" i="10"/>
  <c r="S539" i="10"/>
  <c r="U539" i="10" s="1"/>
  <c r="R539" i="10"/>
  <c r="T539" i="10" s="1"/>
  <c r="Q539" i="10"/>
  <c r="P539" i="10"/>
  <c r="O539" i="10"/>
  <c r="N539" i="10"/>
  <c r="S538" i="10"/>
  <c r="U538" i="10" s="1"/>
  <c r="R538" i="10"/>
  <c r="T538" i="10" s="1"/>
  <c r="Q538" i="10"/>
  <c r="P538" i="10"/>
  <c r="O538" i="10"/>
  <c r="N538" i="10"/>
  <c r="S537" i="10"/>
  <c r="U537" i="10" s="1"/>
  <c r="R537" i="10"/>
  <c r="T537" i="10" s="1"/>
  <c r="Q537" i="10"/>
  <c r="P537" i="10"/>
  <c r="O537" i="10"/>
  <c r="N537" i="10"/>
  <c r="S536" i="10"/>
  <c r="U536" i="10" s="1"/>
  <c r="R536" i="10"/>
  <c r="T536" i="10" s="1"/>
  <c r="Q536" i="10"/>
  <c r="P536" i="10"/>
  <c r="O536" i="10"/>
  <c r="N536" i="10"/>
  <c r="T535" i="10"/>
  <c r="S535" i="10"/>
  <c r="U535" i="10" s="1"/>
  <c r="R535" i="10"/>
  <c r="Q535" i="10"/>
  <c r="P535" i="10"/>
  <c r="O535" i="10"/>
  <c r="N535" i="10"/>
  <c r="T534" i="10"/>
  <c r="S534" i="10"/>
  <c r="U534" i="10" s="1"/>
  <c r="R534" i="10"/>
  <c r="Q534" i="10"/>
  <c r="P534" i="10"/>
  <c r="O534" i="10"/>
  <c r="N534" i="10"/>
  <c r="S533" i="10"/>
  <c r="U533" i="10" s="1"/>
  <c r="R533" i="10"/>
  <c r="T533" i="10" s="1"/>
  <c r="Q533" i="10"/>
  <c r="P533" i="10"/>
  <c r="O533" i="10"/>
  <c r="N533" i="10"/>
  <c r="T532" i="10"/>
  <c r="S532" i="10"/>
  <c r="U532" i="10" s="1"/>
  <c r="R532" i="10"/>
  <c r="Q532" i="10"/>
  <c r="P532" i="10"/>
  <c r="O532" i="10"/>
  <c r="N532" i="10"/>
  <c r="S531" i="10"/>
  <c r="U531" i="10" s="1"/>
  <c r="R531" i="10"/>
  <c r="T531" i="10" s="1"/>
  <c r="Q531" i="10"/>
  <c r="P531" i="10"/>
  <c r="O531" i="10"/>
  <c r="N531" i="10"/>
  <c r="S530" i="10"/>
  <c r="U530" i="10" s="1"/>
  <c r="R530" i="10"/>
  <c r="T530" i="10" s="1"/>
  <c r="Q530" i="10"/>
  <c r="P530" i="10"/>
  <c r="O530" i="10"/>
  <c r="N530" i="10"/>
  <c r="S529" i="10"/>
  <c r="U529" i="10" s="1"/>
  <c r="R529" i="10"/>
  <c r="T529" i="10" s="1"/>
  <c r="Q529" i="10"/>
  <c r="P529" i="10"/>
  <c r="O529" i="10"/>
  <c r="N529" i="10"/>
  <c r="S528" i="10"/>
  <c r="U528" i="10" s="1"/>
  <c r="R528" i="10"/>
  <c r="T528" i="10" s="1"/>
  <c r="Q528" i="10"/>
  <c r="P528" i="10"/>
  <c r="O528" i="10"/>
  <c r="N528" i="10"/>
  <c r="T527" i="10"/>
  <c r="S527" i="10"/>
  <c r="U527" i="10" s="1"/>
  <c r="R527" i="10"/>
  <c r="Q527" i="10"/>
  <c r="P527" i="10"/>
  <c r="O527" i="10"/>
  <c r="N527" i="10"/>
  <c r="T526" i="10"/>
  <c r="S526" i="10"/>
  <c r="U526" i="10" s="1"/>
  <c r="R526" i="10"/>
  <c r="Q526" i="10"/>
  <c r="P526" i="10"/>
  <c r="O526" i="10"/>
  <c r="N526" i="10"/>
  <c r="S525" i="10"/>
  <c r="U525" i="10" s="1"/>
  <c r="R525" i="10"/>
  <c r="T525" i="10" s="1"/>
  <c r="Q525" i="10"/>
  <c r="P525" i="10"/>
  <c r="O525" i="10"/>
  <c r="N525" i="10"/>
  <c r="T524" i="10"/>
  <c r="S524" i="10"/>
  <c r="U524" i="10" s="1"/>
  <c r="R524" i="10"/>
  <c r="Q524" i="10"/>
  <c r="P524" i="10"/>
  <c r="O524" i="10"/>
  <c r="N524" i="10"/>
  <c r="S523" i="10"/>
  <c r="U523" i="10" s="1"/>
  <c r="R523" i="10"/>
  <c r="T523" i="10" s="1"/>
  <c r="Q523" i="10"/>
  <c r="P523" i="10"/>
  <c r="O523" i="10"/>
  <c r="N523" i="10"/>
  <c r="S522" i="10"/>
  <c r="U522" i="10" s="1"/>
  <c r="R522" i="10"/>
  <c r="T522" i="10" s="1"/>
  <c r="Q522" i="10"/>
  <c r="P522" i="10"/>
  <c r="O522" i="10"/>
  <c r="N522" i="10"/>
  <c r="S521" i="10"/>
  <c r="U521" i="10" s="1"/>
  <c r="R521" i="10"/>
  <c r="T521" i="10" s="1"/>
  <c r="Q521" i="10"/>
  <c r="P521" i="10"/>
  <c r="O521" i="10"/>
  <c r="N521" i="10"/>
  <c r="S520" i="10"/>
  <c r="U520" i="10" s="1"/>
  <c r="R520" i="10"/>
  <c r="T520" i="10" s="1"/>
  <c r="Q520" i="10"/>
  <c r="P520" i="10"/>
  <c r="O520" i="10"/>
  <c r="N520" i="10"/>
  <c r="T519" i="10"/>
  <c r="S519" i="10"/>
  <c r="U519" i="10" s="1"/>
  <c r="R519" i="10"/>
  <c r="Q519" i="10"/>
  <c r="P519" i="10"/>
  <c r="O519" i="10"/>
  <c r="N519" i="10"/>
  <c r="T518" i="10"/>
  <c r="S518" i="10"/>
  <c r="U518" i="10" s="1"/>
  <c r="R518" i="10"/>
  <c r="Q518" i="10"/>
  <c r="P518" i="10"/>
  <c r="O518" i="10"/>
  <c r="N518" i="10"/>
  <c r="S517" i="10"/>
  <c r="U517" i="10" s="1"/>
  <c r="R517" i="10"/>
  <c r="T517" i="10" s="1"/>
  <c r="Q517" i="10"/>
  <c r="P517" i="10"/>
  <c r="O517" i="10"/>
  <c r="N517" i="10"/>
  <c r="T516" i="10"/>
  <c r="S516" i="10"/>
  <c r="U516" i="10" s="1"/>
  <c r="R516" i="10"/>
  <c r="Q516" i="10"/>
  <c r="P516" i="10"/>
  <c r="O516" i="10"/>
  <c r="N516" i="10"/>
  <c r="S515" i="10"/>
  <c r="U515" i="10" s="1"/>
  <c r="R515" i="10"/>
  <c r="T515" i="10" s="1"/>
  <c r="Q515" i="10"/>
  <c r="P515" i="10"/>
  <c r="O515" i="10"/>
  <c r="N515" i="10"/>
  <c r="S514" i="10"/>
  <c r="U514" i="10" s="1"/>
  <c r="R514" i="10"/>
  <c r="T514" i="10" s="1"/>
  <c r="Q514" i="10"/>
  <c r="P514" i="10"/>
  <c r="O514" i="10"/>
  <c r="N514" i="10"/>
  <c r="S513" i="10"/>
  <c r="U513" i="10" s="1"/>
  <c r="R513" i="10"/>
  <c r="T513" i="10" s="1"/>
  <c r="Q513" i="10"/>
  <c r="P513" i="10"/>
  <c r="O513" i="10"/>
  <c r="N513" i="10"/>
  <c r="S512" i="10"/>
  <c r="U512" i="10" s="1"/>
  <c r="R512" i="10"/>
  <c r="T512" i="10" s="1"/>
  <c r="Q512" i="10"/>
  <c r="P512" i="10"/>
  <c r="O512" i="10"/>
  <c r="N512" i="10"/>
  <c r="T511" i="10"/>
  <c r="S511" i="10"/>
  <c r="U511" i="10" s="1"/>
  <c r="R511" i="10"/>
  <c r="Q511" i="10"/>
  <c r="P511" i="10"/>
  <c r="O511" i="10"/>
  <c r="N511" i="10"/>
  <c r="T510" i="10"/>
  <c r="S510" i="10"/>
  <c r="U510" i="10" s="1"/>
  <c r="R510" i="10"/>
  <c r="Q510" i="10"/>
  <c r="P510" i="10"/>
  <c r="O510" i="10"/>
  <c r="N510" i="10"/>
  <c r="S509" i="10"/>
  <c r="U509" i="10" s="1"/>
  <c r="R509" i="10"/>
  <c r="T509" i="10" s="1"/>
  <c r="Q509" i="10"/>
  <c r="P509" i="10"/>
  <c r="O509" i="10"/>
  <c r="N509" i="10"/>
  <c r="T508" i="10"/>
  <c r="S508" i="10"/>
  <c r="U508" i="10" s="1"/>
  <c r="R508" i="10"/>
  <c r="Q508" i="10"/>
  <c r="P508" i="10"/>
  <c r="O508" i="10"/>
  <c r="N508" i="10"/>
  <c r="S507" i="10"/>
  <c r="U507" i="10" s="1"/>
  <c r="R507" i="10"/>
  <c r="T507" i="10" s="1"/>
  <c r="Q507" i="10"/>
  <c r="P507" i="10"/>
  <c r="O507" i="10"/>
  <c r="N507" i="10"/>
  <c r="S506" i="10"/>
  <c r="U506" i="10" s="1"/>
  <c r="R506" i="10"/>
  <c r="T506" i="10" s="1"/>
  <c r="Q506" i="10"/>
  <c r="P506" i="10"/>
  <c r="O506" i="10"/>
  <c r="N506" i="10"/>
  <c r="S505" i="10"/>
  <c r="U505" i="10" s="1"/>
  <c r="R505" i="10"/>
  <c r="T505" i="10" s="1"/>
  <c r="Q505" i="10"/>
  <c r="P505" i="10"/>
  <c r="O505" i="10"/>
  <c r="N505" i="10"/>
  <c r="S504" i="10"/>
  <c r="U504" i="10" s="1"/>
  <c r="R504" i="10"/>
  <c r="T504" i="10" s="1"/>
  <c r="Q504" i="10"/>
  <c r="P504" i="10"/>
  <c r="O504" i="10"/>
  <c r="N504" i="10"/>
  <c r="T503" i="10"/>
  <c r="S503" i="10"/>
  <c r="U503" i="10" s="1"/>
  <c r="R503" i="10"/>
  <c r="Q503" i="10"/>
  <c r="P503" i="10"/>
  <c r="O503" i="10"/>
  <c r="N503" i="10"/>
  <c r="T502" i="10"/>
  <c r="S502" i="10"/>
  <c r="U502" i="10" s="1"/>
  <c r="R502" i="10"/>
  <c r="Q502" i="10"/>
  <c r="P502" i="10"/>
  <c r="O502" i="10"/>
  <c r="N502" i="10"/>
  <c r="S501" i="10"/>
  <c r="U501" i="10" s="1"/>
  <c r="R501" i="10"/>
  <c r="T501" i="10" s="1"/>
  <c r="Q501" i="10"/>
  <c r="P501" i="10"/>
  <c r="O501" i="10"/>
  <c r="N501" i="10"/>
  <c r="T500" i="10"/>
  <c r="S500" i="10"/>
  <c r="U500" i="10" s="1"/>
  <c r="R500" i="10"/>
  <c r="Q500" i="10"/>
  <c r="P500" i="10"/>
  <c r="O500" i="10"/>
  <c r="N500" i="10"/>
  <c r="S499" i="10"/>
  <c r="U499" i="10" s="1"/>
  <c r="R499" i="10"/>
  <c r="T499" i="10" s="1"/>
  <c r="Q499" i="10"/>
  <c r="P499" i="10"/>
  <c r="O499" i="10"/>
  <c r="N499" i="10"/>
  <c r="S498" i="10"/>
  <c r="U498" i="10" s="1"/>
  <c r="R498" i="10"/>
  <c r="T498" i="10" s="1"/>
  <c r="Q498" i="10"/>
  <c r="P498" i="10"/>
  <c r="O498" i="10"/>
  <c r="N498" i="10"/>
  <c r="S497" i="10"/>
  <c r="U497" i="10" s="1"/>
  <c r="R497" i="10"/>
  <c r="T497" i="10" s="1"/>
  <c r="Q497" i="10"/>
  <c r="P497" i="10"/>
  <c r="O497" i="10"/>
  <c r="N497" i="10"/>
  <c r="S496" i="10"/>
  <c r="U496" i="10" s="1"/>
  <c r="R496" i="10"/>
  <c r="T496" i="10" s="1"/>
  <c r="Q496" i="10"/>
  <c r="P496" i="10"/>
  <c r="O496" i="10"/>
  <c r="N496" i="10"/>
  <c r="T495" i="10"/>
  <c r="S495" i="10"/>
  <c r="U495" i="10" s="1"/>
  <c r="R495" i="10"/>
  <c r="Q495" i="10"/>
  <c r="P495" i="10"/>
  <c r="O495" i="10"/>
  <c r="N495" i="10"/>
  <c r="T494" i="10"/>
  <c r="S494" i="10"/>
  <c r="U494" i="10" s="1"/>
  <c r="R494" i="10"/>
  <c r="Q494" i="10"/>
  <c r="P494" i="10"/>
  <c r="O494" i="10"/>
  <c r="N494" i="10"/>
  <c r="S493" i="10"/>
  <c r="U493" i="10" s="1"/>
  <c r="R493" i="10"/>
  <c r="T493" i="10" s="1"/>
  <c r="Q493" i="10"/>
  <c r="P493" i="10"/>
  <c r="O493" i="10"/>
  <c r="N493" i="10"/>
  <c r="T492" i="10"/>
  <c r="S492" i="10"/>
  <c r="U492" i="10" s="1"/>
  <c r="R492" i="10"/>
  <c r="Q492" i="10"/>
  <c r="P492" i="10"/>
  <c r="O492" i="10"/>
  <c r="N492" i="10"/>
  <c r="S491" i="10"/>
  <c r="U491" i="10" s="1"/>
  <c r="R491" i="10"/>
  <c r="T491" i="10" s="1"/>
  <c r="Q491" i="10"/>
  <c r="P491" i="10"/>
  <c r="O491" i="10"/>
  <c r="N491" i="10"/>
  <c r="S490" i="10"/>
  <c r="U490" i="10" s="1"/>
  <c r="R490" i="10"/>
  <c r="T490" i="10" s="1"/>
  <c r="Q490" i="10"/>
  <c r="P490" i="10"/>
  <c r="O490" i="10"/>
  <c r="N490" i="10"/>
  <c r="S489" i="10"/>
  <c r="U489" i="10" s="1"/>
  <c r="R489" i="10"/>
  <c r="T489" i="10" s="1"/>
  <c r="Q489" i="10"/>
  <c r="P489" i="10"/>
  <c r="O489" i="10"/>
  <c r="N489" i="10"/>
  <c r="S488" i="10"/>
  <c r="U488" i="10" s="1"/>
  <c r="R488" i="10"/>
  <c r="T488" i="10" s="1"/>
  <c r="Q488" i="10"/>
  <c r="P488" i="10"/>
  <c r="O488" i="10"/>
  <c r="N488" i="10"/>
  <c r="T487" i="10"/>
  <c r="S487" i="10"/>
  <c r="U487" i="10" s="1"/>
  <c r="R487" i="10"/>
  <c r="Q487" i="10"/>
  <c r="P487" i="10"/>
  <c r="O487" i="10"/>
  <c r="N487" i="10"/>
  <c r="T486" i="10"/>
  <c r="S486" i="10"/>
  <c r="U486" i="10" s="1"/>
  <c r="R486" i="10"/>
  <c r="Q486" i="10"/>
  <c r="P486" i="10"/>
  <c r="O486" i="10"/>
  <c r="N486" i="10"/>
  <c r="S485" i="10"/>
  <c r="U485" i="10" s="1"/>
  <c r="R485" i="10"/>
  <c r="T485" i="10" s="1"/>
  <c r="Q485" i="10"/>
  <c r="P485" i="10"/>
  <c r="O485" i="10"/>
  <c r="N485" i="10"/>
  <c r="T484" i="10"/>
  <c r="S484" i="10"/>
  <c r="U484" i="10" s="1"/>
  <c r="R484" i="10"/>
  <c r="Q484" i="10"/>
  <c r="P484" i="10"/>
  <c r="O484" i="10"/>
  <c r="N484" i="10"/>
  <c r="S483" i="10"/>
  <c r="U483" i="10" s="1"/>
  <c r="R483" i="10"/>
  <c r="T483" i="10" s="1"/>
  <c r="Q483" i="10"/>
  <c r="P483" i="10"/>
  <c r="O483" i="10"/>
  <c r="N483" i="10"/>
  <c r="S482" i="10"/>
  <c r="U482" i="10" s="1"/>
  <c r="R482" i="10"/>
  <c r="T482" i="10" s="1"/>
  <c r="Q482" i="10"/>
  <c r="P482" i="10"/>
  <c r="O482" i="10"/>
  <c r="N482" i="10"/>
  <c r="S481" i="10"/>
  <c r="U481" i="10" s="1"/>
  <c r="R481" i="10"/>
  <c r="T481" i="10" s="1"/>
  <c r="Q481" i="10"/>
  <c r="P481" i="10"/>
  <c r="O481" i="10"/>
  <c r="N481" i="10"/>
  <c r="S480" i="10"/>
  <c r="U480" i="10" s="1"/>
  <c r="R480" i="10"/>
  <c r="T480" i="10" s="1"/>
  <c r="Q480" i="10"/>
  <c r="P480" i="10"/>
  <c r="O480" i="10"/>
  <c r="N480" i="10"/>
  <c r="S479" i="10"/>
  <c r="U479" i="10" s="1"/>
  <c r="R479" i="10"/>
  <c r="T479" i="10" s="1"/>
  <c r="Q479" i="10"/>
  <c r="P479" i="10"/>
  <c r="O479" i="10"/>
  <c r="N479" i="10"/>
  <c r="S478" i="10"/>
  <c r="U478" i="10" s="1"/>
  <c r="R478" i="10"/>
  <c r="T478" i="10" s="1"/>
  <c r="Q478" i="10"/>
  <c r="P478" i="10"/>
  <c r="O478" i="10"/>
  <c r="N478" i="10"/>
  <c r="S477" i="10"/>
  <c r="U477" i="10" s="1"/>
  <c r="R477" i="10"/>
  <c r="T477" i="10" s="1"/>
  <c r="Q477" i="10"/>
  <c r="P477" i="10"/>
  <c r="O477" i="10"/>
  <c r="N477" i="10"/>
  <c r="S476" i="10"/>
  <c r="U476" i="10" s="1"/>
  <c r="R476" i="10"/>
  <c r="T476" i="10" s="1"/>
  <c r="Q476" i="10"/>
  <c r="P476" i="10"/>
  <c r="O476" i="10"/>
  <c r="N476" i="10"/>
  <c r="S475" i="10"/>
  <c r="U475" i="10" s="1"/>
  <c r="R475" i="10"/>
  <c r="T475" i="10" s="1"/>
  <c r="Q475" i="10"/>
  <c r="P475" i="10"/>
  <c r="O475" i="10"/>
  <c r="N475" i="10"/>
  <c r="S474" i="10"/>
  <c r="U474" i="10" s="1"/>
  <c r="R474" i="10"/>
  <c r="T474" i="10" s="1"/>
  <c r="Q474" i="10"/>
  <c r="P474" i="10"/>
  <c r="O474" i="10"/>
  <c r="N474" i="10"/>
  <c r="S473" i="10"/>
  <c r="U473" i="10" s="1"/>
  <c r="R473" i="10"/>
  <c r="T473" i="10" s="1"/>
  <c r="Q473" i="10"/>
  <c r="P473" i="10"/>
  <c r="O473" i="10"/>
  <c r="N473" i="10"/>
  <c r="S472" i="10"/>
  <c r="U472" i="10" s="1"/>
  <c r="R472" i="10"/>
  <c r="T472" i="10" s="1"/>
  <c r="Q472" i="10"/>
  <c r="P472" i="10"/>
  <c r="O472" i="10"/>
  <c r="N472" i="10"/>
  <c r="S471" i="10"/>
  <c r="U471" i="10" s="1"/>
  <c r="R471" i="10"/>
  <c r="T471" i="10" s="1"/>
  <c r="Q471" i="10"/>
  <c r="P471" i="10"/>
  <c r="O471" i="10"/>
  <c r="N471" i="10"/>
  <c r="S470" i="10"/>
  <c r="U470" i="10" s="1"/>
  <c r="R470" i="10"/>
  <c r="T470" i="10" s="1"/>
  <c r="Q470" i="10"/>
  <c r="P470" i="10"/>
  <c r="O470" i="10"/>
  <c r="N470" i="10"/>
  <c r="S469" i="10"/>
  <c r="U469" i="10" s="1"/>
  <c r="R469" i="10"/>
  <c r="T469" i="10" s="1"/>
  <c r="Q469" i="10"/>
  <c r="P469" i="10"/>
  <c r="O469" i="10"/>
  <c r="N469" i="10"/>
  <c r="S468" i="10"/>
  <c r="U468" i="10" s="1"/>
  <c r="R468" i="10"/>
  <c r="T468" i="10" s="1"/>
  <c r="Q468" i="10"/>
  <c r="P468" i="10"/>
  <c r="O468" i="10"/>
  <c r="N468" i="10"/>
  <c r="S467" i="10"/>
  <c r="U467" i="10" s="1"/>
  <c r="R467" i="10"/>
  <c r="T467" i="10" s="1"/>
  <c r="Q467" i="10"/>
  <c r="P467" i="10"/>
  <c r="O467" i="10"/>
  <c r="N467" i="10"/>
  <c r="S466" i="10"/>
  <c r="U466" i="10" s="1"/>
  <c r="R466" i="10"/>
  <c r="T466" i="10" s="1"/>
  <c r="Q466" i="10"/>
  <c r="P466" i="10"/>
  <c r="O466" i="10"/>
  <c r="N466" i="10"/>
  <c r="S465" i="10"/>
  <c r="U465" i="10" s="1"/>
  <c r="R465" i="10"/>
  <c r="T465" i="10" s="1"/>
  <c r="Q465" i="10"/>
  <c r="P465" i="10"/>
  <c r="O465" i="10"/>
  <c r="N465" i="10"/>
  <c r="S464" i="10"/>
  <c r="U464" i="10" s="1"/>
  <c r="R464" i="10"/>
  <c r="T464" i="10" s="1"/>
  <c r="Q464" i="10"/>
  <c r="P464" i="10"/>
  <c r="O464" i="10"/>
  <c r="N464" i="10"/>
  <c r="S463" i="10"/>
  <c r="U463" i="10" s="1"/>
  <c r="R463" i="10"/>
  <c r="T463" i="10" s="1"/>
  <c r="Q463" i="10"/>
  <c r="P463" i="10"/>
  <c r="O463" i="10"/>
  <c r="N463" i="10"/>
  <c r="S462" i="10"/>
  <c r="U462" i="10" s="1"/>
  <c r="R462" i="10"/>
  <c r="T462" i="10" s="1"/>
  <c r="Q462" i="10"/>
  <c r="P462" i="10"/>
  <c r="O462" i="10"/>
  <c r="N462" i="10"/>
  <c r="S461" i="10"/>
  <c r="U461" i="10" s="1"/>
  <c r="R461" i="10"/>
  <c r="T461" i="10" s="1"/>
  <c r="Q461" i="10"/>
  <c r="P461" i="10"/>
  <c r="O461" i="10"/>
  <c r="N461" i="10"/>
  <c r="S460" i="10"/>
  <c r="U460" i="10" s="1"/>
  <c r="R460" i="10"/>
  <c r="T460" i="10" s="1"/>
  <c r="Q460" i="10"/>
  <c r="P460" i="10"/>
  <c r="O460" i="10"/>
  <c r="N460" i="10"/>
  <c r="S459" i="10"/>
  <c r="U459" i="10" s="1"/>
  <c r="R459" i="10"/>
  <c r="T459" i="10" s="1"/>
  <c r="Q459" i="10"/>
  <c r="P459" i="10"/>
  <c r="O459" i="10"/>
  <c r="N459" i="10"/>
  <c r="S458" i="10"/>
  <c r="U458" i="10" s="1"/>
  <c r="R458" i="10"/>
  <c r="T458" i="10" s="1"/>
  <c r="Q458" i="10"/>
  <c r="P458" i="10"/>
  <c r="O458" i="10"/>
  <c r="N458" i="10"/>
  <c r="S457" i="10"/>
  <c r="U457" i="10" s="1"/>
  <c r="R457" i="10"/>
  <c r="T457" i="10" s="1"/>
  <c r="Q457" i="10"/>
  <c r="P457" i="10"/>
  <c r="O457" i="10"/>
  <c r="N457" i="10"/>
  <c r="S456" i="10"/>
  <c r="U456" i="10" s="1"/>
  <c r="R456" i="10"/>
  <c r="T456" i="10" s="1"/>
  <c r="Q456" i="10"/>
  <c r="P456" i="10"/>
  <c r="O456" i="10"/>
  <c r="N456" i="10"/>
  <c r="S455" i="10"/>
  <c r="U455" i="10" s="1"/>
  <c r="R455" i="10"/>
  <c r="T455" i="10" s="1"/>
  <c r="Q455" i="10"/>
  <c r="P455" i="10"/>
  <c r="O455" i="10"/>
  <c r="N455" i="10"/>
  <c r="S454" i="10"/>
  <c r="U454" i="10" s="1"/>
  <c r="R454" i="10"/>
  <c r="T454" i="10" s="1"/>
  <c r="Q454" i="10"/>
  <c r="P454" i="10"/>
  <c r="O454" i="10"/>
  <c r="N454" i="10"/>
  <c r="S453" i="10"/>
  <c r="U453" i="10" s="1"/>
  <c r="R453" i="10"/>
  <c r="T453" i="10" s="1"/>
  <c r="Q453" i="10"/>
  <c r="P453" i="10"/>
  <c r="O453" i="10"/>
  <c r="N453" i="10"/>
  <c r="S452" i="10"/>
  <c r="U452" i="10" s="1"/>
  <c r="R452" i="10"/>
  <c r="T452" i="10" s="1"/>
  <c r="Q452" i="10"/>
  <c r="P452" i="10"/>
  <c r="O452" i="10"/>
  <c r="N452" i="10"/>
  <c r="S451" i="10"/>
  <c r="U451" i="10" s="1"/>
  <c r="R451" i="10"/>
  <c r="T451" i="10" s="1"/>
  <c r="Q451" i="10"/>
  <c r="P451" i="10"/>
  <c r="O451" i="10"/>
  <c r="N451" i="10"/>
  <c r="S450" i="10"/>
  <c r="U450" i="10" s="1"/>
  <c r="R450" i="10"/>
  <c r="T450" i="10" s="1"/>
  <c r="Q450" i="10"/>
  <c r="P450" i="10"/>
  <c r="O450" i="10"/>
  <c r="N450" i="10"/>
  <c r="S449" i="10"/>
  <c r="U449" i="10" s="1"/>
  <c r="R449" i="10"/>
  <c r="T449" i="10" s="1"/>
  <c r="Q449" i="10"/>
  <c r="P449" i="10"/>
  <c r="O449" i="10"/>
  <c r="N449" i="10"/>
  <c r="S448" i="10"/>
  <c r="U448" i="10" s="1"/>
  <c r="R448" i="10"/>
  <c r="T448" i="10" s="1"/>
  <c r="Q448" i="10"/>
  <c r="P448" i="10"/>
  <c r="O448" i="10"/>
  <c r="N448" i="10"/>
  <c r="S447" i="10"/>
  <c r="U447" i="10" s="1"/>
  <c r="R447" i="10"/>
  <c r="T447" i="10" s="1"/>
  <c r="Q447" i="10"/>
  <c r="P447" i="10"/>
  <c r="O447" i="10"/>
  <c r="N447" i="10"/>
  <c r="S446" i="10"/>
  <c r="U446" i="10" s="1"/>
  <c r="R446" i="10"/>
  <c r="T446" i="10" s="1"/>
  <c r="Q446" i="10"/>
  <c r="P446" i="10"/>
  <c r="O446" i="10"/>
  <c r="N446" i="10"/>
  <c r="S445" i="10"/>
  <c r="U445" i="10" s="1"/>
  <c r="R445" i="10"/>
  <c r="T445" i="10" s="1"/>
  <c r="Q445" i="10"/>
  <c r="P445" i="10"/>
  <c r="O445" i="10"/>
  <c r="N445" i="10"/>
  <c r="S444" i="10"/>
  <c r="U444" i="10" s="1"/>
  <c r="R444" i="10"/>
  <c r="T444" i="10" s="1"/>
  <c r="Q444" i="10"/>
  <c r="P444" i="10"/>
  <c r="O444" i="10"/>
  <c r="N444" i="10"/>
  <c r="S443" i="10"/>
  <c r="U443" i="10" s="1"/>
  <c r="R443" i="10"/>
  <c r="T443" i="10" s="1"/>
  <c r="Q443" i="10"/>
  <c r="P443" i="10"/>
  <c r="O443" i="10"/>
  <c r="N443" i="10"/>
  <c r="S442" i="10"/>
  <c r="U442" i="10" s="1"/>
  <c r="R442" i="10"/>
  <c r="T442" i="10" s="1"/>
  <c r="Q442" i="10"/>
  <c r="P442" i="10"/>
  <c r="O442" i="10"/>
  <c r="N442" i="10"/>
  <c r="S441" i="10"/>
  <c r="U441" i="10" s="1"/>
  <c r="R441" i="10"/>
  <c r="T441" i="10" s="1"/>
  <c r="Q441" i="10"/>
  <c r="P441" i="10"/>
  <c r="O441" i="10"/>
  <c r="N441" i="10"/>
  <c r="S440" i="10"/>
  <c r="U440" i="10" s="1"/>
  <c r="R440" i="10"/>
  <c r="T440" i="10" s="1"/>
  <c r="Q440" i="10"/>
  <c r="P440" i="10"/>
  <c r="O440" i="10"/>
  <c r="N440" i="10"/>
  <c r="S439" i="10"/>
  <c r="U439" i="10" s="1"/>
  <c r="R439" i="10"/>
  <c r="T439" i="10" s="1"/>
  <c r="Q439" i="10"/>
  <c r="P439" i="10"/>
  <c r="O439" i="10"/>
  <c r="N439" i="10"/>
  <c r="S438" i="10"/>
  <c r="U438" i="10" s="1"/>
  <c r="R438" i="10"/>
  <c r="T438" i="10" s="1"/>
  <c r="Q438" i="10"/>
  <c r="P438" i="10"/>
  <c r="O438" i="10"/>
  <c r="N438" i="10"/>
  <c r="S437" i="10"/>
  <c r="U437" i="10" s="1"/>
  <c r="R437" i="10"/>
  <c r="T437" i="10" s="1"/>
  <c r="Q437" i="10"/>
  <c r="P437" i="10"/>
  <c r="O437" i="10"/>
  <c r="N437" i="10"/>
  <c r="S436" i="10"/>
  <c r="U436" i="10" s="1"/>
  <c r="R436" i="10"/>
  <c r="T436" i="10" s="1"/>
  <c r="Q436" i="10"/>
  <c r="P436" i="10"/>
  <c r="O436" i="10"/>
  <c r="N436" i="10"/>
  <c r="S435" i="10"/>
  <c r="U435" i="10" s="1"/>
  <c r="R435" i="10"/>
  <c r="T435" i="10" s="1"/>
  <c r="Q435" i="10"/>
  <c r="P435" i="10"/>
  <c r="O435" i="10"/>
  <c r="N435" i="10"/>
  <c r="S434" i="10"/>
  <c r="U434" i="10" s="1"/>
  <c r="R434" i="10"/>
  <c r="T434" i="10" s="1"/>
  <c r="Q434" i="10"/>
  <c r="P434" i="10"/>
  <c r="O434" i="10"/>
  <c r="N434" i="10"/>
  <c r="S433" i="10"/>
  <c r="U433" i="10" s="1"/>
  <c r="R433" i="10"/>
  <c r="T433" i="10" s="1"/>
  <c r="Q433" i="10"/>
  <c r="P433" i="10"/>
  <c r="O433" i="10"/>
  <c r="N433" i="10"/>
  <c r="S432" i="10"/>
  <c r="U432" i="10" s="1"/>
  <c r="R432" i="10"/>
  <c r="T432" i="10" s="1"/>
  <c r="Q432" i="10"/>
  <c r="P432" i="10"/>
  <c r="O432" i="10"/>
  <c r="N432" i="10"/>
  <c r="S431" i="10"/>
  <c r="U431" i="10" s="1"/>
  <c r="R431" i="10"/>
  <c r="T431" i="10" s="1"/>
  <c r="Q431" i="10"/>
  <c r="P431" i="10"/>
  <c r="O431" i="10"/>
  <c r="N431" i="10"/>
  <c r="S430" i="10"/>
  <c r="U430" i="10" s="1"/>
  <c r="R430" i="10"/>
  <c r="T430" i="10" s="1"/>
  <c r="Q430" i="10"/>
  <c r="P430" i="10"/>
  <c r="O430" i="10"/>
  <c r="N430" i="10"/>
  <c r="S429" i="10"/>
  <c r="U429" i="10" s="1"/>
  <c r="R429" i="10"/>
  <c r="T429" i="10" s="1"/>
  <c r="Q429" i="10"/>
  <c r="P429" i="10"/>
  <c r="O429" i="10"/>
  <c r="N429" i="10"/>
  <c r="S428" i="10"/>
  <c r="U428" i="10" s="1"/>
  <c r="R428" i="10"/>
  <c r="T428" i="10" s="1"/>
  <c r="Q428" i="10"/>
  <c r="P428" i="10"/>
  <c r="O428" i="10"/>
  <c r="N428" i="10"/>
  <c r="S427" i="10"/>
  <c r="U427" i="10" s="1"/>
  <c r="R427" i="10"/>
  <c r="T427" i="10" s="1"/>
  <c r="Q427" i="10"/>
  <c r="P427" i="10"/>
  <c r="O427" i="10"/>
  <c r="N427" i="10"/>
  <c r="S426" i="10"/>
  <c r="U426" i="10" s="1"/>
  <c r="R426" i="10"/>
  <c r="T426" i="10" s="1"/>
  <c r="Q426" i="10"/>
  <c r="P426" i="10"/>
  <c r="O426" i="10"/>
  <c r="N426" i="10"/>
  <c r="S425" i="10"/>
  <c r="U425" i="10" s="1"/>
  <c r="R425" i="10"/>
  <c r="T425" i="10" s="1"/>
  <c r="Q425" i="10"/>
  <c r="P425" i="10"/>
  <c r="O425" i="10"/>
  <c r="N425" i="10"/>
  <c r="S424" i="10"/>
  <c r="U424" i="10" s="1"/>
  <c r="R424" i="10"/>
  <c r="T424" i="10" s="1"/>
  <c r="Q424" i="10"/>
  <c r="P424" i="10"/>
  <c r="O424" i="10"/>
  <c r="N424" i="10"/>
  <c r="S423" i="10"/>
  <c r="U423" i="10" s="1"/>
  <c r="R423" i="10"/>
  <c r="T423" i="10" s="1"/>
  <c r="Q423" i="10"/>
  <c r="P423" i="10"/>
  <c r="O423" i="10"/>
  <c r="N423" i="10"/>
  <c r="S422" i="10"/>
  <c r="U422" i="10" s="1"/>
  <c r="R422" i="10"/>
  <c r="T422" i="10" s="1"/>
  <c r="Q422" i="10"/>
  <c r="P422" i="10"/>
  <c r="O422" i="10"/>
  <c r="N422" i="10"/>
  <c r="S421" i="10"/>
  <c r="U421" i="10" s="1"/>
  <c r="R421" i="10"/>
  <c r="T421" i="10" s="1"/>
  <c r="Q421" i="10"/>
  <c r="P421" i="10"/>
  <c r="O421" i="10"/>
  <c r="N421" i="10"/>
  <c r="U420" i="10"/>
  <c r="S420" i="10"/>
  <c r="R420" i="10"/>
  <c r="T420" i="10" s="1"/>
  <c r="Q420" i="10"/>
  <c r="P420" i="10"/>
  <c r="O420" i="10"/>
  <c r="N420" i="10"/>
  <c r="U419" i="10"/>
  <c r="S419" i="10"/>
  <c r="R419" i="10"/>
  <c r="T419" i="10" s="1"/>
  <c r="Q419" i="10"/>
  <c r="P419" i="10"/>
  <c r="O419" i="10"/>
  <c r="N419" i="10"/>
  <c r="S418" i="10"/>
  <c r="U418" i="10" s="1"/>
  <c r="R418" i="10"/>
  <c r="T418" i="10" s="1"/>
  <c r="Q418" i="10"/>
  <c r="P418" i="10"/>
  <c r="O418" i="10"/>
  <c r="N418" i="10"/>
  <c r="U417" i="10"/>
  <c r="S417" i="10"/>
  <c r="R417" i="10"/>
  <c r="T417" i="10" s="1"/>
  <c r="Q417" i="10"/>
  <c r="P417" i="10"/>
  <c r="O417" i="10"/>
  <c r="N417" i="10"/>
  <c r="S416" i="10"/>
  <c r="U416" i="10" s="1"/>
  <c r="R416" i="10"/>
  <c r="T416" i="10" s="1"/>
  <c r="Q416" i="10"/>
  <c r="P416" i="10"/>
  <c r="O416" i="10"/>
  <c r="N416" i="10"/>
  <c r="U415" i="10"/>
  <c r="S415" i="10"/>
  <c r="R415" i="10"/>
  <c r="T415" i="10" s="1"/>
  <c r="Q415" i="10"/>
  <c r="P415" i="10"/>
  <c r="O415" i="10"/>
  <c r="N415" i="10"/>
  <c r="U414" i="10"/>
  <c r="S414" i="10"/>
  <c r="R414" i="10"/>
  <c r="T414" i="10" s="1"/>
  <c r="Q414" i="10"/>
  <c r="P414" i="10"/>
  <c r="O414" i="10"/>
  <c r="N414" i="10"/>
  <c r="S413" i="10"/>
  <c r="U413" i="10" s="1"/>
  <c r="R413" i="10"/>
  <c r="T413" i="10" s="1"/>
  <c r="Q413" i="10"/>
  <c r="P413" i="10"/>
  <c r="O413" i="10"/>
  <c r="N413" i="10"/>
  <c r="U412" i="10"/>
  <c r="S412" i="10"/>
  <c r="R412" i="10"/>
  <c r="T412" i="10" s="1"/>
  <c r="Q412" i="10"/>
  <c r="P412" i="10"/>
  <c r="O412" i="10"/>
  <c r="N412" i="10"/>
  <c r="U411" i="10"/>
  <c r="S411" i="10"/>
  <c r="R411" i="10"/>
  <c r="T411" i="10" s="1"/>
  <c r="Q411" i="10"/>
  <c r="P411" i="10"/>
  <c r="O411" i="10"/>
  <c r="N411" i="10"/>
  <c r="S410" i="10"/>
  <c r="U410" i="10" s="1"/>
  <c r="R410" i="10"/>
  <c r="T410" i="10" s="1"/>
  <c r="Q410" i="10"/>
  <c r="P410" i="10"/>
  <c r="O410" i="10"/>
  <c r="N410" i="10"/>
  <c r="U409" i="10"/>
  <c r="S409" i="10"/>
  <c r="R409" i="10"/>
  <c r="T409" i="10" s="1"/>
  <c r="Q409" i="10"/>
  <c r="P409" i="10"/>
  <c r="O409" i="10"/>
  <c r="N409" i="10"/>
  <c r="S408" i="10"/>
  <c r="U408" i="10" s="1"/>
  <c r="R408" i="10"/>
  <c r="T408" i="10" s="1"/>
  <c r="Q408" i="10"/>
  <c r="P408" i="10"/>
  <c r="O408" i="10"/>
  <c r="N408" i="10"/>
  <c r="U407" i="10"/>
  <c r="S407" i="10"/>
  <c r="R407" i="10"/>
  <c r="T407" i="10" s="1"/>
  <c r="Q407" i="10"/>
  <c r="P407" i="10"/>
  <c r="O407" i="10"/>
  <c r="N407" i="10"/>
  <c r="U406" i="10"/>
  <c r="S406" i="10"/>
  <c r="R406" i="10"/>
  <c r="T406" i="10" s="1"/>
  <c r="Q406" i="10"/>
  <c r="P406" i="10"/>
  <c r="O406" i="10"/>
  <c r="N406" i="10"/>
  <c r="S405" i="10"/>
  <c r="U405" i="10" s="1"/>
  <c r="R405" i="10"/>
  <c r="T405" i="10" s="1"/>
  <c r="Q405" i="10"/>
  <c r="P405" i="10"/>
  <c r="O405" i="10"/>
  <c r="N405" i="10"/>
  <c r="U404" i="10"/>
  <c r="S404" i="10"/>
  <c r="R404" i="10"/>
  <c r="T404" i="10" s="1"/>
  <c r="Q404" i="10"/>
  <c r="P404" i="10"/>
  <c r="O404" i="10"/>
  <c r="N404" i="10"/>
  <c r="U403" i="10"/>
  <c r="S403" i="10"/>
  <c r="R403" i="10"/>
  <c r="T403" i="10" s="1"/>
  <c r="Q403" i="10"/>
  <c r="P403" i="10"/>
  <c r="O403" i="10"/>
  <c r="N403" i="10"/>
  <c r="S402" i="10"/>
  <c r="U402" i="10" s="1"/>
  <c r="R402" i="10"/>
  <c r="T402" i="10" s="1"/>
  <c r="Q402" i="10"/>
  <c r="P402" i="10"/>
  <c r="O402" i="10"/>
  <c r="N402" i="10"/>
  <c r="U401" i="10"/>
  <c r="S401" i="10"/>
  <c r="R401" i="10"/>
  <c r="T401" i="10" s="1"/>
  <c r="Q401" i="10"/>
  <c r="P401" i="10"/>
  <c r="O401" i="10"/>
  <c r="N401" i="10"/>
  <c r="S400" i="10"/>
  <c r="U400" i="10" s="1"/>
  <c r="R400" i="10"/>
  <c r="T400" i="10" s="1"/>
  <c r="Q400" i="10"/>
  <c r="P400" i="10"/>
  <c r="O400" i="10"/>
  <c r="N400" i="10"/>
  <c r="U399" i="10"/>
  <c r="S399" i="10"/>
  <c r="R399" i="10"/>
  <c r="T399" i="10" s="1"/>
  <c r="Q399" i="10"/>
  <c r="P399" i="10"/>
  <c r="O399" i="10"/>
  <c r="N399" i="10"/>
  <c r="U398" i="10"/>
  <c r="S398" i="10"/>
  <c r="R398" i="10"/>
  <c r="T398" i="10" s="1"/>
  <c r="Q398" i="10"/>
  <c r="P398" i="10"/>
  <c r="O398" i="10"/>
  <c r="N398" i="10"/>
  <c r="S397" i="10"/>
  <c r="U397" i="10" s="1"/>
  <c r="R397" i="10"/>
  <c r="T397" i="10" s="1"/>
  <c r="Q397" i="10"/>
  <c r="P397" i="10"/>
  <c r="O397" i="10"/>
  <c r="N397" i="10"/>
  <c r="U396" i="10"/>
  <c r="S396" i="10"/>
  <c r="R396" i="10"/>
  <c r="T396" i="10" s="1"/>
  <c r="Q396" i="10"/>
  <c r="P396" i="10"/>
  <c r="O396" i="10"/>
  <c r="N396" i="10"/>
  <c r="U395" i="10"/>
  <c r="S395" i="10"/>
  <c r="R395" i="10"/>
  <c r="T395" i="10" s="1"/>
  <c r="Q395" i="10"/>
  <c r="P395" i="10"/>
  <c r="O395" i="10"/>
  <c r="N395" i="10"/>
  <c r="S394" i="10"/>
  <c r="U394" i="10" s="1"/>
  <c r="R394" i="10"/>
  <c r="T394" i="10" s="1"/>
  <c r="Q394" i="10"/>
  <c r="P394" i="10"/>
  <c r="O394" i="10"/>
  <c r="N394" i="10"/>
  <c r="U393" i="10"/>
  <c r="S393" i="10"/>
  <c r="R393" i="10"/>
  <c r="T393" i="10" s="1"/>
  <c r="Q393" i="10"/>
  <c r="P393" i="10"/>
  <c r="O393" i="10"/>
  <c r="N393" i="10"/>
  <c r="S392" i="10"/>
  <c r="U392" i="10" s="1"/>
  <c r="R392" i="10"/>
  <c r="T392" i="10" s="1"/>
  <c r="Q392" i="10"/>
  <c r="P392" i="10"/>
  <c r="O392" i="10"/>
  <c r="N392" i="10"/>
  <c r="U391" i="10"/>
  <c r="S391" i="10"/>
  <c r="R391" i="10"/>
  <c r="T391" i="10" s="1"/>
  <c r="Q391" i="10"/>
  <c r="P391" i="10"/>
  <c r="O391" i="10"/>
  <c r="N391" i="10"/>
  <c r="U390" i="10"/>
  <c r="S390" i="10"/>
  <c r="R390" i="10"/>
  <c r="T390" i="10" s="1"/>
  <c r="Q390" i="10"/>
  <c r="P390" i="10"/>
  <c r="O390" i="10"/>
  <c r="N390" i="10"/>
  <c r="S389" i="10"/>
  <c r="U389" i="10" s="1"/>
  <c r="R389" i="10"/>
  <c r="T389" i="10" s="1"/>
  <c r="Q389" i="10"/>
  <c r="P389" i="10"/>
  <c r="O389" i="10"/>
  <c r="N389" i="10"/>
  <c r="U388" i="10"/>
  <c r="S388" i="10"/>
  <c r="R388" i="10"/>
  <c r="T388" i="10" s="1"/>
  <c r="Q388" i="10"/>
  <c r="P388" i="10"/>
  <c r="O388" i="10"/>
  <c r="N388" i="10"/>
  <c r="U387" i="10"/>
  <c r="S387" i="10"/>
  <c r="R387" i="10"/>
  <c r="T387" i="10" s="1"/>
  <c r="Q387" i="10"/>
  <c r="P387" i="10"/>
  <c r="O387" i="10"/>
  <c r="N387" i="10"/>
  <c r="S386" i="10"/>
  <c r="U386" i="10" s="1"/>
  <c r="R386" i="10"/>
  <c r="T386" i="10" s="1"/>
  <c r="Q386" i="10"/>
  <c r="P386" i="10"/>
  <c r="O386" i="10"/>
  <c r="N386" i="10"/>
  <c r="U385" i="10"/>
  <c r="S385" i="10"/>
  <c r="R385" i="10"/>
  <c r="T385" i="10" s="1"/>
  <c r="Q385" i="10"/>
  <c r="P385" i="10"/>
  <c r="O385" i="10"/>
  <c r="N385" i="10"/>
  <c r="S384" i="10"/>
  <c r="U384" i="10" s="1"/>
  <c r="R384" i="10"/>
  <c r="T384" i="10" s="1"/>
  <c r="Q384" i="10"/>
  <c r="P384" i="10"/>
  <c r="O384" i="10"/>
  <c r="N384" i="10"/>
  <c r="U383" i="10"/>
  <c r="S383" i="10"/>
  <c r="R383" i="10"/>
  <c r="T383" i="10" s="1"/>
  <c r="Q383" i="10"/>
  <c r="P383" i="10"/>
  <c r="O383" i="10"/>
  <c r="N383" i="10"/>
  <c r="U382" i="10"/>
  <c r="S382" i="10"/>
  <c r="R382" i="10"/>
  <c r="T382" i="10" s="1"/>
  <c r="Q382" i="10"/>
  <c r="P382" i="10"/>
  <c r="O382" i="10"/>
  <c r="N382" i="10"/>
  <c r="S381" i="10"/>
  <c r="U381" i="10" s="1"/>
  <c r="R381" i="10"/>
  <c r="T381" i="10" s="1"/>
  <c r="Q381" i="10"/>
  <c r="P381" i="10"/>
  <c r="O381" i="10"/>
  <c r="N381" i="10"/>
  <c r="U380" i="10"/>
  <c r="S380" i="10"/>
  <c r="R380" i="10"/>
  <c r="T380" i="10" s="1"/>
  <c r="Q380" i="10"/>
  <c r="P380" i="10"/>
  <c r="O380" i="10"/>
  <c r="N380" i="10"/>
  <c r="U379" i="10"/>
  <c r="S379" i="10"/>
  <c r="R379" i="10"/>
  <c r="T379" i="10" s="1"/>
  <c r="Q379" i="10"/>
  <c r="P379" i="10"/>
  <c r="O379" i="10"/>
  <c r="N379" i="10"/>
  <c r="S378" i="10"/>
  <c r="U378" i="10" s="1"/>
  <c r="R378" i="10"/>
  <c r="T378" i="10" s="1"/>
  <c r="Q378" i="10"/>
  <c r="P378" i="10"/>
  <c r="O378" i="10"/>
  <c r="N378" i="10"/>
  <c r="U377" i="10"/>
  <c r="S377" i="10"/>
  <c r="R377" i="10"/>
  <c r="T377" i="10" s="1"/>
  <c r="Q377" i="10"/>
  <c r="P377" i="10"/>
  <c r="O377" i="10"/>
  <c r="N377" i="10"/>
  <c r="S376" i="10"/>
  <c r="U376" i="10" s="1"/>
  <c r="R376" i="10"/>
  <c r="T376" i="10" s="1"/>
  <c r="Q376" i="10"/>
  <c r="P376" i="10"/>
  <c r="O376" i="10"/>
  <c r="N376" i="10"/>
  <c r="U375" i="10"/>
  <c r="S375" i="10"/>
  <c r="R375" i="10"/>
  <c r="T375" i="10" s="1"/>
  <c r="Q375" i="10"/>
  <c r="P375" i="10"/>
  <c r="O375" i="10"/>
  <c r="N375" i="10"/>
  <c r="U374" i="10"/>
  <c r="S374" i="10"/>
  <c r="R374" i="10"/>
  <c r="T374" i="10" s="1"/>
  <c r="Q374" i="10"/>
  <c r="P374" i="10"/>
  <c r="O374" i="10"/>
  <c r="N374" i="10"/>
  <c r="S373" i="10"/>
  <c r="U373" i="10" s="1"/>
  <c r="R373" i="10"/>
  <c r="T373" i="10" s="1"/>
  <c r="Q373" i="10"/>
  <c r="P373" i="10"/>
  <c r="O373" i="10"/>
  <c r="N373" i="10"/>
  <c r="U372" i="10"/>
  <c r="S372" i="10"/>
  <c r="R372" i="10"/>
  <c r="T372" i="10" s="1"/>
  <c r="Q372" i="10"/>
  <c r="P372" i="10"/>
  <c r="O372" i="10"/>
  <c r="N372" i="10"/>
  <c r="U371" i="10"/>
  <c r="S371" i="10"/>
  <c r="R371" i="10"/>
  <c r="T371" i="10" s="1"/>
  <c r="Q371" i="10"/>
  <c r="P371" i="10"/>
  <c r="O371" i="10"/>
  <c r="N371" i="10"/>
  <c r="S370" i="10"/>
  <c r="U370" i="10" s="1"/>
  <c r="R370" i="10"/>
  <c r="T370" i="10" s="1"/>
  <c r="Q370" i="10"/>
  <c r="P370" i="10"/>
  <c r="O370" i="10"/>
  <c r="N370" i="10"/>
  <c r="U369" i="10"/>
  <c r="S369" i="10"/>
  <c r="R369" i="10"/>
  <c r="T369" i="10" s="1"/>
  <c r="Q369" i="10"/>
  <c r="P369" i="10"/>
  <c r="O369" i="10"/>
  <c r="N369" i="10"/>
  <c r="S368" i="10"/>
  <c r="U368" i="10" s="1"/>
  <c r="R368" i="10"/>
  <c r="T368" i="10" s="1"/>
  <c r="Q368" i="10"/>
  <c r="P368" i="10"/>
  <c r="O368" i="10"/>
  <c r="N368" i="10"/>
  <c r="U367" i="10"/>
  <c r="S367" i="10"/>
  <c r="R367" i="10"/>
  <c r="T367" i="10" s="1"/>
  <c r="Q367" i="10"/>
  <c r="P367" i="10"/>
  <c r="O367" i="10"/>
  <c r="N367" i="10"/>
  <c r="U366" i="10"/>
  <c r="S366" i="10"/>
  <c r="R366" i="10"/>
  <c r="T366" i="10" s="1"/>
  <c r="Q366" i="10"/>
  <c r="P366" i="10"/>
  <c r="O366" i="10"/>
  <c r="N366" i="10"/>
  <c r="S365" i="10"/>
  <c r="U365" i="10" s="1"/>
  <c r="R365" i="10"/>
  <c r="T365" i="10" s="1"/>
  <c r="Q365" i="10"/>
  <c r="P365" i="10"/>
  <c r="O365" i="10"/>
  <c r="N365" i="10"/>
  <c r="U364" i="10"/>
  <c r="S364" i="10"/>
  <c r="R364" i="10"/>
  <c r="T364" i="10" s="1"/>
  <c r="Q364" i="10"/>
  <c r="P364" i="10"/>
  <c r="O364" i="10"/>
  <c r="N364" i="10"/>
  <c r="U363" i="10"/>
  <c r="S363" i="10"/>
  <c r="R363" i="10"/>
  <c r="T363" i="10" s="1"/>
  <c r="Q363" i="10"/>
  <c r="P363" i="10"/>
  <c r="O363" i="10"/>
  <c r="N363" i="10"/>
  <c r="S362" i="10"/>
  <c r="U362" i="10" s="1"/>
  <c r="R362" i="10"/>
  <c r="T362" i="10" s="1"/>
  <c r="Q362" i="10"/>
  <c r="P362" i="10"/>
  <c r="O362" i="10"/>
  <c r="N362" i="10"/>
  <c r="U361" i="10"/>
  <c r="S361" i="10"/>
  <c r="R361" i="10"/>
  <c r="T361" i="10" s="1"/>
  <c r="Q361" i="10"/>
  <c r="P361" i="10"/>
  <c r="O361" i="10"/>
  <c r="N361" i="10"/>
  <c r="S360" i="10"/>
  <c r="U360" i="10" s="1"/>
  <c r="R360" i="10"/>
  <c r="T360" i="10" s="1"/>
  <c r="Q360" i="10"/>
  <c r="P360" i="10"/>
  <c r="O360" i="10"/>
  <c r="N360" i="10"/>
  <c r="U359" i="10"/>
  <c r="S359" i="10"/>
  <c r="R359" i="10"/>
  <c r="T359" i="10" s="1"/>
  <c r="Q359" i="10"/>
  <c r="P359" i="10"/>
  <c r="O359" i="10"/>
  <c r="N359" i="10"/>
  <c r="U358" i="10"/>
  <c r="S358" i="10"/>
  <c r="R358" i="10"/>
  <c r="T358" i="10" s="1"/>
  <c r="Q358" i="10"/>
  <c r="P358" i="10"/>
  <c r="O358" i="10"/>
  <c r="N358" i="10"/>
  <c r="S357" i="10"/>
  <c r="U357" i="10" s="1"/>
  <c r="R357" i="10"/>
  <c r="T357" i="10" s="1"/>
  <c r="Q357" i="10"/>
  <c r="P357" i="10"/>
  <c r="O357" i="10"/>
  <c r="N357" i="10"/>
  <c r="U356" i="10"/>
  <c r="S356" i="10"/>
  <c r="R356" i="10"/>
  <c r="T356" i="10" s="1"/>
  <c r="Q356" i="10"/>
  <c r="P356" i="10"/>
  <c r="O356" i="10"/>
  <c r="N356" i="10"/>
  <c r="U355" i="10"/>
  <c r="S355" i="10"/>
  <c r="R355" i="10"/>
  <c r="T355" i="10" s="1"/>
  <c r="Q355" i="10"/>
  <c r="P355" i="10"/>
  <c r="O355" i="10"/>
  <c r="N355" i="10"/>
  <c r="S354" i="10"/>
  <c r="R354" i="10"/>
  <c r="T354" i="10" s="1"/>
  <c r="Q354" i="10"/>
  <c r="P354" i="10"/>
  <c r="O354" i="10"/>
  <c r="N354" i="10"/>
  <c r="U353" i="10"/>
  <c r="S353" i="10"/>
  <c r="R353" i="10"/>
  <c r="T353" i="10" s="1"/>
  <c r="Q353" i="10"/>
  <c r="P353" i="10"/>
  <c r="O353" i="10"/>
  <c r="N353" i="10"/>
  <c r="S352" i="10"/>
  <c r="U352" i="10" s="1"/>
  <c r="R352" i="10"/>
  <c r="T352" i="10" s="1"/>
  <c r="Q352" i="10"/>
  <c r="P352" i="10"/>
  <c r="O352" i="10"/>
  <c r="N352" i="10"/>
  <c r="U351" i="10"/>
  <c r="S351" i="10"/>
  <c r="R351" i="10"/>
  <c r="T351" i="10" s="1"/>
  <c r="Q351" i="10"/>
  <c r="P351" i="10"/>
  <c r="O351" i="10"/>
  <c r="N351" i="10"/>
  <c r="U350" i="10"/>
  <c r="S350" i="10"/>
  <c r="R350" i="10"/>
  <c r="T350" i="10" s="1"/>
  <c r="Q350" i="10"/>
  <c r="P350" i="10"/>
  <c r="O350" i="10"/>
  <c r="N350" i="10"/>
  <c r="S349" i="10"/>
  <c r="U349" i="10" s="1"/>
  <c r="R349" i="10"/>
  <c r="T349" i="10" s="1"/>
  <c r="Q349" i="10"/>
  <c r="P349" i="10"/>
  <c r="O349" i="10"/>
  <c r="N349" i="10"/>
  <c r="U348" i="10"/>
  <c r="S348" i="10"/>
  <c r="R348" i="10"/>
  <c r="T348" i="10" s="1"/>
  <c r="Q348" i="10"/>
  <c r="P348" i="10"/>
  <c r="O348" i="10"/>
  <c r="N348" i="10"/>
  <c r="U347" i="10"/>
  <c r="S347" i="10"/>
  <c r="R347" i="10"/>
  <c r="T347" i="10" s="1"/>
  <c r="Q347" i="10"/>
  <c r="P347" i="10"/>
  <c r="O347" i="10"/>
  <c r="N347" i="10"/>
  <c r="U346" i="10"/>
  <c r="S346" i="10"/>
  <c r="R346" i="10"/>
  <c r="T346" i="10" s="1"/>
  <c r="Q346" i="10"/>
  <c r="P346" i="10"/>
  <c r="O346" i="10"/>
  <c r="N346" i="10"/>
  <c r="U345" i="10"/>
  <c r="S345" i="10"/>
  <c r="R345" i="10"/>
  <c r="T345" i="10" s="1"/>
  <c r="Q345" i="10"/>
  <c r="P345" i="10"/>
  <c r="O345" i="10"/>
  <c r="N345" i="10"/>
  <c r="U344" i="10"/>
  <c r="S344" i="10"/>
  <c r="R344" i="10"/>
  <c r="T344" i="10" s="1"/>
  <c r="Q344" i="10"/>
  <c r="P344" i="10"/>
  <c r="O344" i="10"/>
  <c r="N344" i="10"/>
  <c r="U343" i="10"/>
  <c r="S343" i="10"/>
  <c r="R343" i="10"/>
  <c r="T343" i="10" s="1"/>
  <c r="Q343" i="10"/>
  <c r="P343" i="10"/>
  <c r="O343" i="10"/>
  <c r="N343" i="10"/>
  <c r="U342" i="10"/>
  <c r="S342" i="10"/>
  <c r="R342" i="10"/>
  <c r="T342" i="10" s="1"/>
  <c r="Q342" i="10"/>
  <c r="P342" i="10"/>
  <c r="O342" i="10"/>
  <c r="N342" i="10"/>
  <c r="U341" i="10"/>
  <c r="S341" i="10"/>
  <c r="R341" i="10"/>
  <c r="T341" i="10" s="1"/>
  <c r="Q341" i="10"/>
  <c r="P341" i="10"/>
  <c r="O341" i="10"/>
  <c r="N341" i="10"/>
  <c r="U340" i="10"/>
  <c r="S340" i="10"/>
  <c r="R340" i="10"/>
  <c r="T340" i="10" s="1"/>
  <c r="Q340" i="10"/>
  <c r="P340" i="10"/>
  <c r="O340" i="10"/>
  <c r="N340" i="10"/>
  <c r="U339" i="10"/>
  <c r="S339" i="10"/>
  <c r="R339" i="10"/>
  <c r="T339" i="10" s="1"/>
  <c r="Q339" i="10"/>
  <c r="P339" i="10"/>
  <c r="O339" i="10"/>
  <c r="N339" i="10"/>
  <c r="U338" i="10"/>
  <c r="S338" i="10"/>
  <c r="R338" i="10"/>
  <c r="T338" i="10" s="1"/>
  <c r="Q338" i="10"/>
  <c r="P338" i="10"/>
  <c r="O338" i="10"/>
  <c r="N338" i="10"/>
  <c r="U337" i="10"/>
  <c r="S337" i="10"/>
  <c r="R337" i="10"/>
  <c r="T337" i="10" s="1"/>
  <c r="Q337" i="10"/>
  <c r="P337" i="10"/>
  <c r="O337" i="10"/>
  <c r="N337" i="10"/>
  <c r="U336" i="10"/>
  <c r="S336" i="10"/>
  <c r="R336" i="10"/>
  <c r="T336" i="10" s="1"/>
  <c r="Q336" i="10"/>
  <c r="P336" i="10"/>
  <c r="O336" i="10"/>
  <c r="N336" i="10"/>
  <c r="U335" i="10"/>
  <c r="S335" i="10"/>
  <c r="R335" i="10"/>
  <c r="T335" i="10" s="1"/>
  <c r="Q335" i="10"/>
  <c r="P335" i="10"/>
  <c r="O335" i="10"/>
  <c r="N335" i="10"/>
  <c r="U334" i="10"/>
  <c r="S334" i="10"/>
  <c r="R334" i="10"/>
  <c r="T334" i="10" s="1"/>
  <c r="Q334" i="10"/>
  <c r="P334" i="10"/>
  <c r="O334" i="10"/>
  <c r="N334" i="10"/>
  <c r="U333" i="10"/>
  <c r="S333" i="10"/>
  <c r="R333" i="10"/>
  <c r="T333" i="10" s="1"/>
  <c r="Q333" i="10"/>
  <c r="P333" i="10"/>
  <c r="O333" i="10"/>
  <c r="N333" i="10"/>
  <c r="U332" i="10"/>
  <c r="S332" i="10"/>
  <c r="R332" i="10"/>
  <c r="T332" i="10" s="1"/>
  <c r="Q332" i="10"/>
  <c r="P332" i="10"/>
  <c r="O332" i="10"/>
  <c r="N332" i="10"/>
  <c r="U331" i="10"/>
  <c r="S331" i="10"/>
  <c r="R331" i="10"/>
  <c r="T331" i="10" s="1"/>
  <c r="Q331" i="10"/>
  <c r="P331" i="10"/>
  <c r="O331" i="10"/>
  <c r="N331" i="10"/>
  <c r="U330" i="10"/>
  <c r="S330" i="10"/>
  <c r="R330" i="10"/>
  <c r="T330" i="10" s="1"/>
  <c r="Q330" i="10"/>
  <c r="P330" i="10"/>
  <c r="O330" i="10"/>
  <c r="N330" i="10"/>
  <c r="U329" i="10"/>
  <c r="S329" i="10"/>
  <c r="R329" i="10"/>
  <c r="T329" i="10" s="1"/>
  <c r="Q329" i="10"/>
  <c r="P329" i="10"/>
  <c r="O329" i="10"/>
  <c r="N329" i="10"/>
  <c r="U328" i="10"/>
  <c r="S328" i="10"/>
  <c r="R328" i="10"/>
  <c r="T328" i="10" s="1"/>
  <c r="Q328" i="10"/>
  <c r="P328" i="10"/>
  <c r="O328" i="10"/>
  <c r="N328" i="10"/>
  <c r="U327" i="10"/>
  <c r="S327" i="10"/>
  <c r="R327" i="10"/>
  <c r="T327" i="10" s="1"/>
  <c r="Q327" i="10"/>
  <c r="P327" i="10"/>
  <c r="O327" i="10"/>
  <c r="N327" i="10"/>
  <c r="U326" i="10"/>
  <c r="S326" i="10"/>
  <c r="R326" i="10"/>
  <c r="T326" i="10" s="1"/>
  <c r="Q326" i="10"/>
  <c r="P326" i="10"/>
  <c r="O326" i="10"/>
  <c r="N326" i="10"/>
  <c r="U325" i="10"/>
  <c r="S325" i="10"/>
  <c r="R325" i="10"/>
  <c r="T325" i="10" s="1"/>
  <c r="Q325" i="10"/>
  <c r="P325" i="10"/>
  <c r="O325" i="10"/>
  <c r="N325" i="10"/>
  <c r="U324" i="10"/>
  <c r="S324" i="10"/>
  <c r="R324" i="10"/>
  <c r="T324" i="10" s="1"/>
  <c r="Q324" i="10"/>
  <c r="P324" i="10"/>
  <c r="O324" i="10"/>
  <c r="N324" i="10"/>
  <c r="U323" i="10"/>
  <c r="S323" i="10"/>
  <c r="R323" i="10"/>
  <c r="T323" i="10" s="1"/>
  <c r="Q323" i="10"/>
  <c r="P323" i="10"/>
  <c r="O323" i="10"/>
  <c r="N323" i="10"/>
  <c r="U322" i="10"/>
  <c r="S322" i="10"/>
  <c r="R322" i="10"/>
  <c r="T322" i="10" s="1"/>
  <c r="Q322" i="10"/>
  <c r="P322" i="10"/>
  <c r="O322" i="10"/>
  <c r="N322" i="10"/>
  <c r="U321" i="10"/>
  <c r="S321" i="10"/>
  <c r="R321" i="10"/>
  <c r="T321" i="10" s="1"/>
  <c r="Q321" i="10"/>
  <c r="P321" i="10"/>
  <c r="O321" i="10"/>
  <c r="N321" i="10"/>
  <c r="U320" i="10"/>
  <c r="S320" i="10"/>
  <c r="R320" i="10"/>
  <c r="T320" i="10" s="1"/>
  <c r="Q320" i="10"/>
  <c r="P320" i="10"/>
  <c r="O320" i="10"/>
  <c r="N320" i="10"/>
  <c r="U319" i="10"/>
  <c r="S319" i="10"/>
  <c r="R319" i="10"/>
  <c r="T319" i="10" s="1"/>
  <c r="Q319" i="10"/>
  <c r="P319" i="10"/>
  <c r="O319" i="10"/>
  <c r="N319" i="10"/>
  <c r="U318" i="10"/>
  <c r="S318" i="10"/>
  <c r="R318" i="10"/>
  <c r="T318" i="10" s="1"/>
  <c r="Q318" i="10"/>
  <c r="P318" i="10"/>
  <c r="O318" i="10"/>
  <c r="N318" i="10"/>
  <c r="U317" i="10"/>
  <c r="S317" i="10"/>
  <c r="R317" i="10"/>
  <c r="T317" i="10" s="1"/>
  <c r="Q317" i="10"/>
  <c r="P317" i="10"/>
  <c r="O317" i="10"/>
  <c r="N317" i="10"/>
  <c r="U316" i="10"/>
  <c r="S316" i="10"/>
  <c r="R316" i="10"/>
  <c r="T316" i="10" s="1"/>
  <c r="Q316" i="10"/>
  <c r="P316" i="10"/>
  <c r="O316" i="10"/>
  <c r="N316" i="10"/>
  <c r="U315" i="10"/>
  <c r="S315" i="10"/>
  <c r="R315" i="10"/>
  <c r="T315" i="10" s="1"/>
  <c r="Q315" i="10"/>
  <c r="P315" i="10"/>
  <c r="O315" i="10"/>
  <c r="N315" i="10"/>
  <c r="U314" i="10"/>
  <c r="S314" i="10"/>
  <c r="R314" i="10"/>
  <c r="T314" i="10" s="1"/>
  <c r="Q314" i="10"/>
  <c r="P314" i="10"/>
  <c r="O314" i="10"/>
  <c r="N314" i="10"/>
  <c r="U313" i="10"/>
  <c r="S313" i="10"/>
  <c r="R313" i="10"/>
  <c r="T313" i="10" s="1"/>
  <c r="Q313" i="10"/>
  <c r="P313" i="10"/>
  <c r="O313" i="10"/>
  <c r="N313" i="10"/>
  <c r="U312" i="10"/>
  <c r="S312" i="10"/>
  <c r="R312" i="10"/>
  <c r="T312" i="10" s="1"/>
  <c r="Q312" i="10"/>
  <c r="P312" i="10"/>
  <c r="O312" i="10"/>
  <c r="N312" i="10"/>
  <c r="U311" i="10"/>
  <c r="S311" i="10"/>
  <c r="R311" i="10"/>
  <c r="T311" i="10" s="1"/>
  <c r="Q311" i="10"/>
  <c r="P311" i="10"/>
  <c r="O311" i="10"/>
  <c r="N311" i="10"/>
  <c r="U310" i="10"/>
  <c r="S310" i="10"/>
  <c r="R310" i="10"/>
  <c r="T310" i="10" s="1"/>
  <c r="Q310" i="10"/>
  <c r="P310" i="10"/>
  <c r="O310" i="10"/>
  <c r="N310" i="10"/>
  <c r="U309" i="10"/>
  <c r="S309" i="10"/>
  <c r="R309" i="10"/>
  <c r="T309" i="10" s="1"/>
  <c r="Q309" i="10"/>
  <c r="P309" i="10"/>
  <c r="O309" i="10"/>
  <c r="N309" i="10"/>
  <c r="U308" i="10"/>
  <c r="S308" i="10"/>
  <c r="R308" i="10"/>
  <c r="T308" i="10" s="1"/>
  <c r="Q308" i="10"/>
  <c r="P308" i="10"/>
  <c r="O308" i="10"/>
  <c r="N308" i="10"/>
  <c r="U307" i="10"/>
  <c r="S307" i="10"/>
  <c r="R307" i="10"/>
  <c r="T307" i="10" s="1"/>
  <c r="Q307" i="10"/>
  <c r="P307" i="10"/>
  <c r="O307" i="10"/>
  <c r="N307" i="10"/>
  <c r="U306" i="10"/>
  <c r="S306" i="10"/>
  <c r="R306" i="10"/>
  <c r="T306" i="10" s="1"/>
  <c r="Q306" i="10"/>
  <c r="P306" i="10"/>
  <c r="O306" i="10"/>
  <c r="N306" i="10"/>
  <c r="U305" i="10"/>
  <c r="S305" i="10"/>
  <c r="R305" i="10"/>
  <c r="T305" i="10" s="1"/>
  <c r="Q305" i="10"/>
  <c r="P305" i="10"/>
  <c r="O305" i="10"/>
  <c r="N305" i="10"/>
  <c r="U304" i="10"/>
  <c r="S304" i="10"/>
  <c r="R304" i="10"/>
  <c r="T304" i="10" s="1"/>
  <c r="Q304" i="10"/>
  <c r="P304" i="10"/>
  <c r="O304" i="10"/>
  <c r="N304" i="10"/>
  <c r="U303" i="10"/>
  <c r="S303" i="10"/>
  <c r="R303" i="10"/>
  <c r="T303" i="10" s="1"/>
  <c r="Q303" i="10"/>
  <c r="P303" i="10"/>
  <c r="O303" i="10"/>
  <c r="N303" i="10"/>
  <c r="U302" i="10"/>
  <c r="S302" i="10"/>
  <c r="R302" i="10"/>
  <c r="T302" i="10" s="1"/>
  <c r="Q302" i="10"/>
  <c r="P302" i="10"/>
  <c r="O302" i="10"/>
  <c r="N302" i="10"/>
  <c r="U301" i="10"/>
  <c r="S301" i="10"/>
  <c r="R301" i="10"/>
  <c r="T301" i="10" s="1"/>
  <c r="Q301" i="10"/>
  <c r="P301" i="10"/>
  <c r="O301" i="10"/>
  <c r="N301" i="10"/>
  <c r="U300" i="10"/>
  <c r="S300" i="10"/>
  <c r="R300" i="10"/>
  <c r="T300" i="10" s="1"/>
  <c r="Q300" i="10"/>
  <c r="P300" i="10"/>
  <c r="O300" i="10"/>
  <c r="N300" i="10"/>
  <c r="U299" i="10"/>
  <c r="S299" i="10"/>
  <c r="R299" i="10"/>
  <c r="T299" i="10" s="1"/>
  <c r="Q299" i="10"/>
  <c r="P299" i="10"/>
  <c r="O299" i="10"/>
  <c r="N299" i="10"/>
  <c r="U298" i="10"/>
  <c r="S298" i="10"/>
  <c r="R298" i="10"/>
  <c r="T298" i="10" s="1"/>
  <c r="Q298" i="10"/>
  <c r="P298" i="10"/>
  <c r="O298" i="10"/>
  <c r="N298" i="10"/>
  <c r="U297" i="10"/>
  <c r="S297" i="10"/>
  <c r="R297" i="10"/>
  <c r="T297" i="10" s="1"/>
  <c r="Q297" i="10"/>
  <c r="P297" i="10"/>
  <c r="O297" i="10"/>
  <c r="N297" i="10"/>
  <c r="U296" i="10"/>
  <c r="S296" i="10"/>
  <c r="R296" i="10"/>
  <c r="T296" i="10" s="1"/>
  <c r="Q296" i="10"/>
  <c r="P296" i="10"/>
  <c r="O296" i="10"/>
  <c r="N296" i="10"/>
  <c r="U295" i="10"/>
  <c r="S295" i="10"/>
  <c r="R295" i="10"/>
  <c r="T295" i="10" s="1"/>
  <c r="Q295" i="10"/>
  <c r="P295" i="10"/>
  <c r="O295" i="10"/>
  <c r="N295" i="10"/>
  <c r="U294" i="10"/>
  <c r="S294" i="10"/>
  <c r="R294" i="10"/>
  <c r="T294" i="10" s="1"/>
  <c r="Q294" i="10"/>
  <c r="P294" i="10"/>
  <c r="O294" i="10"/>
  <c r="N294" i="10"/>
  <c r="U293" i="10"/>
  <c r="S293" i="10"/>
  <c r="R293" i="10"/>
  <c r="T293" i="10" s="1"/>
  <c r="Q293" i="10"/>
  <c r="P293" i="10"/>
  <c r="O293" i="10"/>
  <c r="N293" i="10"/>
  <c r="U292" i="10"/>
  <c r="S292" i="10"/>
  <c r="R292" i="10"/>
  <c r="T292" i="10" s="1"/>
  <c r="Q292" i="10"/>
  <c r="P292" i="10"/>
  <c r="O292" i="10"/>
  <c r="N292" i="10"/>
  <c r="U291" i="10"/>
  <c r="S291" i="10"/>
  <c r="R291" i="10"/>
  <c r="T291" i="10" s="1"/>
  <c r="Q291" i="10"/>
  <c r="P291" i="10"/>
  <c r="O291" i="10"/>
  <c r="N291" i="10"/>
  <c r="U290" i="10"/>
  <c r="S290" i="10"/>
  <c r="R290" i="10"/>
  <c r="T290" i="10" s="1"/>
  <c r="Q290" i="10"/>
  <c r="P290" i="10"/>
  <c r="O290" i="10"/>
  <c r="N290" i="10"/>
  <c r="U289" i="10"/>
  <c r="S289" i="10"/>
  <c r="R289" i="10"/>
  <c r="T289" i="10" s="1"/>
  <c r="Q289" i="10"/>
  <c r="P289" i="10"/>
  <c r="O289" i="10"/>
  <c r="N289" i="10"/>
  <c r="U288" i="10"/>
  <c r="S288" i="10"/>
  <c r="R288" i="10"/>
  <c r="T288" i="10" s="1"/>
  <c r="Q288" i="10"/>
  <c r="P288" i="10"/>
  <c r="O288" i="10"/>
  <c r="N288" i="10"/>
  <c r="U287" i="10"/>
  <c r="S287" i="10"/>
  <c r="R287" i="10"/>
  <c r="T287" i="10" s="1"/>
  <c r="Q287" i="10"/>
  <c r="P287" i="10"/>
  <c r="O287" i="10"/>
  <c r="N287" i="10"/>
  <c r="U286" i="10"/>
  <c r="S286" i="10"/>
  <c r="R286" i="10"/>
  <c r="T286" i="10" s="1"/>
  <c r="Q286" i="10"/>
  <c r="P286" i="10"/>
  <c r="O286" i="10"/>
  <c r="N286" i="10"/>
  <c r="U285" i="10"/>
  <c r="S285" i="10"/>
  <c r="R285" i="10"/>
  <c r="T285" i="10" s="1"/>
  <c r="Q285" i="10"/>
  <c r="P285" i="10"/>
  <c r="O285" i="10"/>
  <c r="N285" i="10"/>
  <c r="U284" i="10"/>
  <c r="S284" i="10"/>
  <c r="R284" i="10"/>
  <c r="T284" i="10" s="1"/>
  <c r="Q284" i="10"/>
  <c r="P284" i="10"/>
  <c r="O284" i="10"/>
  <c r="N284" i="10"/>
  <c r="U283" i="10"/>
  <c r="S283" i="10"/>
  <c r="R283" i="10"/>
  <c r="T283" i="10" s="1"/>
  <c r="Q283" i="10"/>
  <c r="P283" i="10"/>
  <c r="O283" i="10"/>
  <c r="N283" i="10"/>
  <c r="U282" i="10"/>
  <c r="S282" i="10"/>
  <c r="R282" i="10"/>
  <c r="T282" i="10" s="1"/>
  <c r="Q282" i="10"/>
  <c r="P282" i="10"/>
  <c r="O282" i="10"/>
  <c r="N282" i="10"/>
  <c r="U281" i="10"/>
  <c r="S281" i="10"/>
  <c r="R281" i="10"/>
  <c r="T281" i="10" s="1"/>
  <c r="Q281" i="10"/>
  <c r="P281" i="10"/>
  <c r="O281" i="10"/>
  <c r="N281" i="10"/>
  <c r="U280" i="10"/>
  <c r="S280" i="10"/>
  <c r="R280" i="10"/>
  <c r="T280" i="10" s="1"/>
  <c r="Q280" i="10"/>
  <c r="P280" i="10"/>
  <c r="O280" i="10"/>
  <c r="N280" i="10"/>
  <c r="U279" i="10"/>
  <c r="S279" i="10"/>
  <c r="R279" i="10"/>
  <c r="T279" i="10" s="1"/>
  <c r="Q279" i="10"/>
  <c r="P279" i="10"/>
  <c r="O279" i="10"/>
  <c r="N279" i="10"/>
  <c r="U278" i="10"/>
  <c r="S278" i="10"/>
  <c r="R278" i="10"/>
  <c r="T278" i="10" s="1"/>
  <c r="Q278" i="10"/>
  <c r="P278" i="10"/>
  <c r="O278" i="10"/>
  <c r="N278" i="10"/>
  <c r="U277" i="10"/>
  <c r="S277" i="10"/>
  <c r="R277" i="10"/>
  <c r="T277" i="10" s="1"/>
  <c r="Q277" i="10"/>
  <c r="P277" i="10"/>
  <c r="O277" i="10"/>
  <c r="N277" i="10"/>
  <c r="U276" i="10"/>
  <c r="S276" i="10"/>
  <c r="R276" i="10"/>
  <c r="T276" i="10" s="1"/>
  <c r="Q276" i="10"/>
  <c r="P276" i="10"/>
  <c r="O276" i="10"/>
  <c r="N276" i="10"/>
  <c r="U275" i="10"/>
  <c r="S275" i="10"/>
  <c r="R275" i="10"/>
  <c r="T275" i="10" s="1"/>
  <c r="Q275" i="10"/>
  <c r="P275" i="10"/>
  <c r="O275" i="10"/>
  <c r="N275" i="10"/>
  <c r="U274" i="10"/>
  <c r="S274" i="10"/>
  <c r="R274" i="10"/>
  <c r="T274" i="10" s="1"/>
  <c r="Q274" i="10"/>
  <c r="P274" i="10"/>
  <c r="O274" i="10"/>
  <c r="N274" i="10"/>
  <c r="U273" i="10"/>
  <c r="S273" i="10"/>
  <c r="R273" i="10"/>
  <c r="T273" i="10" s="1"/>
  <c r="Q273" i="10"/>
  <c r="P273" i="10"/>
  <c r="O273" i="10"/>
  <c r="N273" i="10"/>
  <c r="U272" i="10"/>
  <c r="S272" i="10"/>
  <c r="R272" i="10"/>
  <c r="T272" i="10" s="1"/>
  <c r="Q272" i="10"/>
  <c r="P272" i="10"/>
  <c r="O272" i="10"/>
  <c r="N272" i="10"/>
  <c r="U271" i="10"/>
  <c r="S271" i="10"/>
  <c r="R271" i="10"/>
  <c r="T271" i="10" s="1"/>
  <c r="Q271" i="10"/>
  <c r="P271" i="10"/>
  <c r="O271" i="10"/>
  <c r="N271" i="10"/>
  <c r="U270" i="10"/>
  <c r="S270" i="10"/>
  <c r="R270" i="10"/>
  <c r="T270" i="10" s="1"/>
  <c r="Q270" i="10"/>
  <c r="P270" i="10"/>
  <c r="O270" i="10"/>
  <c r="N270" i="10"/>
  <c r="U269" i="10"/>
  <c r="S269" i="10"/>
  <c r="R269" i="10"/>
  <c r="T269" i="10" s="1"/>
  <c r="Q269" i="10"/>
  <c r="P269" i="10"/>
  <c r="O269" i="10"/>
  <c r="N269" i="10"/>
  <c r="U268" i="10"/>
  <c r="S268" i="10"/>
  <c r="R268" i="10"/>
  <c r="T268" i="10" s="1"/>
  <c r="Q268" i="10"/>
  <c r="P268" i="10"/>
  <c r="O268" i="10"/>
  <c r="N268" i="10"/>
  <c r="U267" i="10"/>
  <c r="S267" i="10"/>
  <c r="R267" i="10"/>
  <c r="T267" i="10" s="1"/>
  <c r="Q267" i="10"/>
  <c r="P267" i="10"/>
  <c r="O267" i="10"/>
  <c r="N267" i="10"/>
  <c r="U266" i="10"/>
  <c r="S266" i="10"/>
  <c r="R266" i="10"/>
  <c r="T266" i="10" s="1"/>
  <c r="Q266" i="10"/>
  <c r="P266" i="10"/>
  <c r="O266" i="10"/>
  <c r="N266" i="10"/>
  <c r="U265" i="10"/>
  <c r="S265" i="10"/>
  <c r="R265" i="10"/>
  <c r="T265" i="10" s="1"/>
  <c r="Q265" i="10"/>
  <c r="P265" i="10"/>
  <c r="O265" i="10"/>
  <c r="N265" i="10"/>
  <c r="U264" i="10"/>
  <c r="S264" i="10"/>
  <c r="R264" i="10"/>
  <c r="T264" i="10" s="1"/>
  <c r="Q264" i="10"/>
  <c r="P264" i="10"/>
  <c r="O264" i="10"/>
  <c r="N264" i="10"/>
  <c r="U263" i="10"/>
  <c r="S263" i="10"/>
  <c r="R263" i="10"/>
  <c r="T263" i="10" s="1"/>
  <c r="Q263" i="10"/>
  <c r="P263" i="10"/>
  <c r="O263" i="10"/>
  <c r="N263" i="10"/>
  <c r="U262" i="10"/>
  <c r="S262" i="10"/>
  <c r="R262" i="10"/>
  <c r="T262" i="10" s="1"/>
  <c r="Q262" i="10"/>
  <c r="P262" i="10"/>
  <c r="O262" i="10"/>
  <c r="N262" i="10"/>
  <c r="U261" i="10"/>
  <c r="S261" i="10"/>
  <c r="R261" i="10"/>
  <c r="T261" i="10" s="1"/>
  <c r="Q261" i="10"/>
  <c r="P261" i="10"/>
  <c r="O261" i="10"/>
  <c r="N261" i="10"/>
  <c r="U260" i="10"/>
  <c r="S260" i="10"/>
  <c r="R260" i="10"/>
  <c r="T260" i="10" s="1"/>
  <c r="Q260" i="10"/>
  <c r="P260" i="10"/>
  <c r="O260" i="10"/>
  <c r="N260" i="10"/>
  <c r="U259" i="10"/>
  <c r="S259" i="10"/>
  <c r="R259" i="10"/>
  <c r="T259" i="10" s="1"/>
  <c r="Q259" i="10"/>
  <c r="P259" i="10"/>
  <c r="O259" i="10"/>
  <c r="N259" i="10"/>
  <c r="U258" i="10"/>
  <c r="S258" i="10"/>
  <c r="R258" i="10"/>
  <c r="T258" i="10" s="1"/>
  <c r="Q258" i="10"/>
  <c r="P258" i="10"/>
  <c r="O258" i="10"/>
  <c r="N258" i="10"/>
  <c r="U257" i="10"/>
  <c r="S257" i="10"/>
  <c r="R257" i="10"/>
  <c r="T257" i="10" s="1"/>
  <c r="Q257" i="10"/>
  <c r="P257" i="10"/>
  <c r="O257" i="10"/>
  <c r="N257" i="10"/>
  <c r="U256" i="10"/>
  <c r="S256" i="10"/>
  <c r="R256" i="10"/>
  <c r="T256" i="10" s="1"/>
  <c r="Q256" i="10"/>
  <c r="P256" i="10"/>
  <c r="O256" i="10"/>
  <c r="N256" i="10"/>
  <c r="U255" i="10"/>
  <c r="S255" i="10"/>
  <c r="R255" i="10"/>
  <c r="T255" i="10" s="1"/>
  <c r="Q255" i="10"/>
  <c r="P255" i="10"/>
  <c r="O255" i="10"/>
  <c r="N255" i="10"/>
  <c r="U254" i="10"/>
  <c r="S254" i="10"/>
  <c r="R254" i="10"/>
  <c r="T254" i="10" s="1"/>
  <c r="Q254" i="10"/>
  <c r="P254" i="10"/>
  <c r="O254" i="10"/>
  <c r="N254" i="10"/>
  <c r="U253" i="10"/>
  <c r="S253" i="10"/>
  <c r="R253" i="10"/>
  <c r="T253" i="10" s="1"/>
  <c r="Q253" i="10"/>
  <c r="P253" i="10"/>
  <c r="O253" i="10"/>
  <c r="N253" i="10"/>
  <c r="U252" i="10"/>
  <c r="S252" i="10"/>
  <c r="R252" i="10"/>
  <c r="T252" i="10" s="1"/>
  <c r="Q252" i="10"/>
  <c r="P252" i="10"/>
  <c r="O252" i="10"/>
  <c r="N252" i="10"/>
  <c r="U251" i="10"/>
  <c r="S251" i="10"/>
  <c r="R251" i="10"/>
  <c r="T251" i="10" s="1"/>
  <c r="Q251" i="10"/>
  <c r="P251" i="10"/>
  <c r="O251" i="10"/>
  <c r="N251" i="10"/>
  <c r="U250" i="10"/>
  <c r="S250" i="10"/>
  <c r="R250" i="10"/>
  <c r="T250" i="10" s="1"/>
  <c r="Q250" i="10"/>
  <c r="P250" i="10"/>
  <c r="O250" i="10"/>
  <c r="N250" i="10"/>
  <c r="U249" i="10"/>
  <c r="S249" i="10"/>
  <c r="R249" i="10"/>
  <c r="T249" i="10" s="1"/>
  <c r="Q249" i="10"/>
  <c r="P249" i="10"/>
  <c r="O249" i="10"/>
  <c r="N249" i="10"/>
  <c r="U248" i="10"/>
  <c r="S248" i="10"/>
  <c r="R248" i="10"/>
  <c r="T248" i="10" s="1"/>
  <c r="Q248" i="10"/>
  <c r="P248" i="10"/>
  <c r="O248" i="10"/>
  <c r="N248" i="10"/>
  <c r="U247" i="10"/>
  <c r="S247" i="10"/>
  <c r="R247" i="10"/>
  <c r="T247" i="10" s="1"/>
  <c r="Q247" i="10"/>
  <c r="P247" i="10"/>
  <c r="O247" i="10"/>
  <c r="N247" i="10"/>
  <c r="U246" i="10"/>
  <c r="S246" i="10"/>
  <c r="R246" i="10"/>
  <c r="T246" i="10" s="1"/>
  <c r="Q246" i="10"/>
  <c r="P246" i="10"/>
  <c r="O246" i="10"/>
  <c r="N246" i="10"/>
  <c r="U245" i="10"/>
  <c r="S245" i="10"/>
  <c r="R245" i="10"/>
  <c r="T245" i="10" s="1"/>
  <c r="Q245" i="10"/>
  <c r="P245" i="10"/>
  <c r="O245" i="10"/>
  <c r="N245" i="10"/>
  <c r="U244" i="10"/>
  <c r="S244" i="10"/>
  <c r="R244" i="10"/>
  <c r="T244" i="10" s="1"/>
  <c r="Q244" i="10"/>
  <c r="P244" i="10"/>
  <c r="O244" i="10"/>
  <c r="N244" i="10"/>
  <c r="U243" i="10"/>
  <c r="S243" i="10"/>
  <c r="R243" i="10"/>
  <c r="T243" i="10" s="1"/>
  <c r="Q243" i="10"/>
  <c r="P243" i="10"/>
  <c r="O243" i="10"/>
  <c r="N243" i="10"/>
  <c r="U242" i="10"/>
  <c r="S242" i="10"/>
  <c r="R242" i="10"/>
  <c r="T242" i="10" s="1"/>
  <c r="Q242" i="10"/>
  <c r="P242" i="10"/>
  <c r="O242" i="10"/>
  <c r="N242" i="10"/>
  <c r="U241" i="10"/>
  <c r="S241" i="10"/>
  <c r="R241" i="10"/>
  <c r="T241" i="10" s="1"/>
  <c r="Q241" i="10"/>
  <c r="P241" i="10"/>
  <c r="O241" i="10"/>
  <c r="N241" i="10"/>
  <c r="U240" i="10"/>
  <c r="S240" i="10"/>
  <c r="R240" i="10"/>
  <c r="T240" i="10" s="1"/>
  <c r="Q240" i="10"/>
  <c r="P240" i="10"/>
  <c r="O240" i="10"/>
  <c r="N240" i="10"/>
  <c r="U239" i="10"/>
  <c r="S239" i="10"/>
  <c r="R239" i="10"/>
  <c r="T239" i="10" s="1"/>
  <c r="Q239" i="10"/>
  <c r="P239" i="10"/>
  <c r="O239" i="10"/>
  <c r="N239" i="10"/>
  <c r="U238" i="10"/>
  <c r="S238" i="10"/>
  <c r="R238" i="10"/>
  <c r="T238" i="10" s="1"/>
  <c r="Q238" i="10"/>
  <c r="P238" i="10"/>
  <c r="O238" i="10"/>
  <c r="N238" i="10"/>
  <c r="U237" i="10"/>
  <c r="S237" i="10"/>
  <c r="R237" i="10"/>
  <c r="T237" i="10" s="1"/>
  <c r="Q237" i="10"/>
  <c r="P237" i="10"/>
  <c r="O237" i="10"/>
  <c r="N237" i="10"/>
  <c r="U236" i="10"/>
  <c r="S236" i="10"/>
  <c r="R236" i="10"/>
  <c r="T236" i="10" s="1"/>
  <c r="Q236" i="10"/>
  <c r="P236" i="10"/>
  <c r="O236" i="10"/>
  <c r="N236" i="10"/>
  <c r="U235" i="10"/>
  <c r="S235" i="10"/>
  <c r="R235" i="10"/>
  <c r="T235" i="10" s="1"/>
  <c r="Q235" i="10"/>
  <c r="P235" i="10"/>
  <c r="O235" i="10"/>
  <c r="N235" i="10"/>
  <c r="U234" i="10"/>
  <c r="S234" i="10"/>
  <c r="R234" i="10"/>
  <c r="T234" i="10" s="1"/>
  <c r="Q234" i="10"/>
  <c r="P234" i="10"/>
  <c r="O234" i="10"/>
  <c r="N234" i="10"/>
  <c r="U233" i="10"/>
  <c r="S233" i="10"/>
  <c r="R233" i="10"/>
  <c r="T233" i="10" s="1"/>
  <c r="Q233" i="10"/>
  <c r="P233" i="10"/>
  <c r="O233" i="10"/>
  <c r="N233" i="10"/>
  <c r="U232" i="10"/>
  <c r="S232" i="10"/>
  <c r="R232" i="10"/>
  <c r="T232" i="10" s="1"/>
  <c r="Q232" i="10"/>
  <c r="P232" i="10"/>
  <c r="O232" i="10"/>
  <c r="N232" i="10"/>
  <c r="U231" i="10"/>
  <c r="S231" i="10"/>
  <c r="R231" i="10"/>
  <c r="T231" i="10" s="1"/>
  <c r="Q231" i="10"/>
  <c r="P231" i="10"/>
  <c r="O231" i="10"/>
  <c r="N231" i="10"/>
  <c r="U230" i="10"/>
  <c r="S230" i="10"/>
  <c r="R230" i="10"/>
  <c r="T230" i="10" s="1"/>
  <c r="Q230" i="10"/>
  <c r="P230" i="10"/>
  <c r="O230" i="10"/>
  <c r="N230" i="10"/>
  <c r="U229" i="10"/>
  <c r="S229" i="10"/>
  <c r="R229" i="10"/>
  <c r="T229" i="10" s="1"/>
  <c r="Q229" i="10"/>
  <c r="P229" i="10"/>
  <c r="O229" i="10"/>
  <c r="N229" i="10"/>
  <c r="U228" i="10"/>
  <c r="S228" i="10"/>
  <c r="R228" i="10"/>
  <c r="T228" i="10" s="1"/>
  <c r="Q228" i="10"/>
  <c r="P228" i="10"/>
  <c r="O228" i="10"/>
  <c r="N228" i="10"/>
  <c r="U227" i="10"/>
  <c r="S227" i="10"/>
  <c r="R227" i="10"/>
  <c r="T227" i="10" s="1"/>
  <c r="Q227" i="10"/>
  <c r="P227" i="10"/>
  <c r="O227" i="10"/>
  <c r="N227" i="10"/>
  <c r="U226" i="10"/>
  <c r="S226" i="10"/>
  <c r="R226" i="10"/>
  <c r="T226" i="10" s="1"/>
  <c r="Q226" i="10"/>
  <c r="P226" i="10"/>
  <c r="O226" i="10"/>
  <c r="N226" i="10"/>
  <c r="U225" i="10"/>
  <c r="S225" i="10"/>
  <c r="R225" i="10"/>
  <c r="T225" i="10" s="1"/>
  <c r="Q225" i="10"/>
  <c r="P225" i="10"/>
  <c r="O225" i="10"/>
  <c r="N225" i="10"/>
  <c r="U224" i="10"/>
  <c r="S224" i="10"/>
  <c r="R224" i="10"/>
  <c r="T224" i="10" s="1"/>
  <c r="Q224" i="10"/>
  <c r="P224" i="10"/>
  <c r="O224" i="10"/>
  <c r="N224" i="10"/>
  <c r="U223" i="10"/>
  <c r="S223" i="10"/>
  <c r="R223" i="10"/>
  <c r="T223" i="10" s="1"/>
  <c r="Q223" i="10"/>
  <c r="P223" i="10"/>
  <c r="O223" i="10"/>
  <c r="N223" i="10"/>
  <c r="U222" i="10"/>
  <c r="S222" i="10"/>
  <c r="R222" i="10"/>
  <c r="T222" i="10" s="1"/>
  <c r="Q222" i="10"/>
  <c r="P222" i="10"/>
  <c r="O222" i="10"/>
  <c r="N222" i="10"/>
  <c r="U221" i="10"/>
  <c r="S221" i="10"/>
  <c r="R221" i="10"/>
  <c r="T221" i="10" s="1"/>
  <c r="Q221" i="10"/>
  <c r="P221" i="10"/>
  <c r="O221" i="10"/>
  <c r="N221" i="10"/>
  <c r="U220" i="10"/>
  <c r="S220" i="10"/>
  <c r="R220" i="10"/>
  <c r="T220" i="10" s="1"/>
  <c r="Q220" i="10"/>
  <c r="P220" i="10"/>
  <c r="O220" i="10"/>
  <c r="N220" i="10"/>
  <c r="U219" i="10"/>
  <c r="S219" i="10"/>
  <c r="R219" i="10"/>
  <c r="T219" i="10" s="1"/>
  <c r="Q219" i="10"/>
  <c r="P219" i="10"/>
  <c r="O219" i="10"/>
  <c r="N219" i="10"/>
  <c r="U218" i="10"/>
  <c r="S218" i="10"/>
  <c r="R218" i="10"/>
  <c r="T218" i="10" s="1"/>
  <c r="Q218" i="10"/>
  <c r="P218" i="10"/>
  <c r="O218" i="10"/>
  <c r="N218" i="10"/>
  <c r="U217" i="10"/>
  <c r="S217" i="10"/>
  <c r="R217" i="10"/>
  <c r="T217" i="10" s="1"/>
  <c r="Q217" i="10"/>
  <c r="P217" i="10"/>
  <c r="O217" i="10"/>
  <c r="N217" i="10"/>
  <c r="U216" i="10"/>
  <c r="S216" i="10"/>
  <c r="R216" i="10"/>
  <c r="T216" i="10" s="1"/>
  <c r="Q216" i="10"/>
  <c r="P216" i="10"/>
  <c r="O216" i="10"/>
  <c r="N216" i="10"/>
  <c r="U215" i="10"/>
  <c r="S215" i="10"/>
  <c r="R215" i="10"/>
  <c r="T215" i="10" s="1"/>
  <c r="Q215" i="10"/>
  <c r="P215" i="10"/>
  <c r="O215" i="10"/>
  <c r="N215" i="10"/>
  <c r="U214" i="10"/>
  <c r="S214" i="10"/>
  <c r="R214" i="10"/>
  <c r="T214" i="10" s="1"/>
  <c r="Q214" i="10"/>
  <c r="P214" i="10"/>
  <c r="O214" i="10"/>
  <c r="N214" i="10"/>
  <c r="U213" i="10"/>
  <c r="S213" i="10"/>
  <c r="R213" i="10"/>
  <c r="T213" i="10" s="1"/>
  <c r="Q213" i="10"/>
  <c r="P213" i="10"/>
  <c r="O213" i="10"/>
  <c r="N213" i="10"/>
  <c r="U212" i="10"/>
  <c r="S212" i="10"/>
  <c r="R212" i="10"/>
  <c r="T212" i="10" s="1"/>
  <c r="Q212" i="10"/>
  <c r="P212" i="10"/>
  <c r="O212" i="10"/>
  <c r="N212" i="10"/>
  <c r="U211" i="10"/>
  <c r="S211" i="10"/>
  <c r="R211" i="10"/>
  <c r="T211" i="10" s="1"/>
  <c r="Q211" i="10"/>
  <c r="P211" i="10"/>
  <c r="O211" i="10"/>
  <c r="N211" i="10"/>
  <c r="U210" i="10"/>
  <c r="S210" i="10"/>
  <c r="R210" i="10"/>
  <c r="T210" i="10" s="1"/>
  <c r="Q210" i="10"/>
  <c r="P210" i="10"/>
  <c r="O210" i="10"/>
  <c r="N210" i="10"/>
  <c r="U209" i="10"/>
  <c r="S209" i="10"/>
  <c r="R209" i="10"/>
  <c r="T209" i="10" s="1"/>
  <c r="Q209" i="10"/>
  <c r="P209" i="10"/>
  <c r="O209" i="10"/>
  <c r="N209" i="10"/>
  <c r="U208" i="10"/>
  <c r="S208" i="10"/>
  <c r="R208" i="10"/>
  <c r="T208" i="10" s="1"/>
  <c r="Q208" i="10"/>
  <c r="P208" i="10"/>
  <c r="O208" i="10"/>
  <c r="N208" i="10"/>
  <c r="U207" i="10"/>
  <c r="S207" i="10"/>
  <c r="R207" i="10"/>
  <c r="T207" i="10" s="1"/>
  <c r="Q207" i="10"/>
  <c r="P207" i="10"/>
  <c r="O207" i="10"/>
  <c r="N207" i="10"/>
  <c r="U206" i="10"/>
  <c r="S206" i="10"/>
  <c r="R206" i="10"/>
  <c r="T206" i="10" s="1"/>
  <c r="Q206" i="10"/>
  <c r="P206" i="10"/>
  <c r="O206" i="10"/>
  <c r="N206" i="10"/>
  <c r="U205" i="10"/>
  <c r="S205" i="10"/>
  <c r="R205" i="10"/>
  <c r="T205" i="10" s="1"/>
  <c r="Q205" i="10"/>
  <c r="P205" i="10"/>
  <c r="O205" i="10"/>
  <c r="N205" i="10"/>
  <c r="U204" i="10"/>
  <c r="S204" i="10"/>
  <c r="R204" i="10"/>
  <c r="T204" i="10" s="1"/>
  <c r="Q204" i="10"/>
  <c r="P204" i="10"/>
  <c r="O204" i="10"/>
  <c r="N204" i="10"/>
  <c r="U203" i="10"/>
  <c r="S203" i="10"/>
  <c r="R203" i="10"/>
  <c r="T203" i="10" s="1"/>
  <c r="Q203" i="10"/>
  <c r="P203" i="10"/>
  <c r="O203" i="10"/>
  <c r="N203" i="10"/>
  <c r="U202" i="10"/>
  <c r="S202" i="10"/>
  <c r="R202" i="10"/>
  <c r="T202" i="10" s="1"/>
  <c r="Q202" i="10"/>
  <c r="P202" i="10"/>
  <c r="O202" i="10"/>
  <c r="N202" i="10"/>
  <c r="U201" i="10"/>
  <c r="S201" i="10"/>
  <c r="R201" i="10"/>
  <c r="T201" i="10" s="1"/>
  <c r="Q201" i="10"/>
  <c r="P201" i="10"/>
  <c r="O201" i="10"/>
  <c r="N201" i="10"/>
  <c r="U200" i="10"/>
  <c r="S200" i="10"/>
  <c r="R200" i="10"/>
  <c r="T200" i="10" s="1"/>
  <c r="Q200" i="10"/>
  <c r="P200" i="10"/>
  <c r="O200" i="10"/>
  <c r="N200" i="10"/>
  <c r="U199" i="10"/>
  <c r="S199" i="10"/>
  <c r="R199" i="10"/>
  <c r="T199" i="10" s="1"/>
  <c r="Q199" i="10"/>
  <c r="P199" i="10"/>
  <c r="O199" i="10"/>
  <c r="N199" i="10"/>
  <c r="U198" i="10"/>
  <c r="S198" i="10"/>
  <c r="R198" i="10"/>
  <c r="T198" i="10" s="1"/>
  <c r="Q198" i="10"/>
  <c r="P198" i="10"/>
  <c r="O198" i="10"/>
  <c r="N198" i="10"/>
  <c r="U197" i="10"/>
  <c r="S197" i="10"/>
  <c r="R197" i="10"/>
  <c r="T197" i="10" s="1"/>
  <c r="Q197" i="10"/>
  <c r="P197" i="10"/>
  <c r="O197" i="10"/>
  <c r="N197" i="10"/>
  <c r="U196" i="10"/>
  <c r="S196" i="10"/>
  <c r="R196" i="10"/>
  <c r="T196" i="10" s="1"/>
  <c r="Q196" i="10"/>
  <c r="P196" i="10"/>
  <c r="O196" i="10"/>
  <c r="N196" i="10"/>
  <c r="U195" i="10"/>
  <c r="S195" i="10"/>
  <c r="R195" i="10"/>
  <c r="T195" i="10" s="1"/>
  <c r="Q195" i="10"/>
  <c r="P195" i="10"/>
  <c r="O195" i="10"/>
  <c r="N195" i="10"/>
  <c r="U194" i="10"/>
  <c r="S194" i="10"/>
  <c r="R194" i="10"/>
  <c r="T194" i="10" s="1"/>
  <c r="Q194" i="10"/>
  <c r="P194" i="10"/>
  <c r="O194" i="10"/>
  <c r="N194" i="10"/>
  <c r="U193" i="10"/>
  <c r="S193" i="10"/>
  <c r="R193" i="10"/>
  <c r="T193" i="10" s="1"/>
  <c r="Q193" i="10"/>
  <c r="P193" i="10"/>
  <c r="O193" i="10"/>
  <c r="N193" i="10"/>
  <c r="U192" i="10"/>
  <c r="S192" i="10"/>
  <c r="R192" i="10"/>
  <c r="T192" i="10" s="1"/>
  <c r="Q192" i="10"/>
  <c r="P192" i="10"/>
  <c r="O192" i="10"/>
  <c r="N192" i="10"/>
  <c r="U191" i="10"/>
  <c r="S191" i="10"/>
  <c r="R191" i="10"/>
  <c r="T191" i="10" s="1"/>
  <c r="Q191" i="10"/>
  <c r="P191" i="10"/>
  <c r="O191" i="10"/>
  <c r="N191" i="10"/>
  <c r="U190" i="10"/>
  <c r="S190" i="10"/>
  <c r="R190" i="10"/>
  <c r="T190" i="10" s="1"/>
  <c r="Q190" i="10"/>
  <c r="P190" i="10"/>
  <c r="O190" i="10"/>
  <c r="N190" i="10"/>
  <c r="U189" i="10"/>
  <c r="S189" i="10"/>
  <c r="R189" i="10"/>
  <c r="T189" i="10" s="1"/>
  <c r="Q189" i="10"/>
  <c r="P189" i="10"/>
  <c r="O189" i="10"/>
  <c r="N189" i="10"/>
  <c r="U188" i="10"/>
  <c r="S188" i="10"/>
  <c r="R188" i="10"/>
  <c r="T188" i="10" s="1"/>
  <c r="Q188" i="10"/>
  <c r="P188" i="10"/>
  <c r="O188" i="10"/>
  <c r="N188" i="10"/>
  <c r="U187" i="10"/>
  <c r="S187" i="10"/>
  <c r="R187" i="10"/>
  <c r="T187" i="10" s="1"/>
  <c r="Q187" i="10"/>
  <c r="P187" i="10"/>
  <c r="O187" i="10"/>
  <c r="N187" i="10"/>
  <c r="U186" i="10"/>
  <c r="S186" i="10"/>
  <c r="R186" i="10"/>
  <c r="T186" i="10" s="1"/>
  <c r="Q186" i="10"/>
  <c r="P186" i="10"/>
  <c r="O186" i="10"/>
  <c r="N186" i="10"/>
  <c r="U185" i="10"/>
  <c r="S185" i="10"/>
  <c r="R185" i="10"/>
  <c r="T185" i="10" s="1"/>
  <c r="Q185" i="10"/>
  <c r="P185" i="10"/>
  <c r="O185" i="10"/>
  <c r="N185" i="10"/>
  <c r="U184" i="10"/>
  <c r="S184" i="10"/>
  <c r="R184" i="10"/>
  <c r="T184" i="10" s="1"/>
  <c r="Q184" i="10"/>
  <c r="P184" i="10"/>
  <c r="O184" i="10"/>
  <c r="N184" i="10"/>
  <c r="U183" i="10"/>
  <c r="S183" i="10"/>
  <c r="R183" i="10"/>
  <c r="T183" i="10" s="1"/>
  <c r="Q183" i="10"/>
  <c r="P183" i="10"/>
  <c r="O183" i="10"/>
  <c r="N183" i="10"/>
  <c r="U182" i="10"/>
  <c r="S182" i="10"/>
  <c r="R182" i="10"/>
  <c r="T182" i="10" s="1"/>
  <c r="Q182" i="10"/>
  <c r="P182" i="10"/>
  <c r="O182" i="10"/>
  <c r="N182" i="10"/>
  <c r="U181" i="10"/>
  <c r="S181" i="10"/>
  <c r="R181" i="10"/>
  <c r="T181" i="10" s="1"/>
  <c r="Q181" i="10"/>
  <c r="P181" i="10"/>
  <c r="O181" i="10"/>
  <c r="N181" i="10"/>
  <c r="U180" i="10"/>
  <c r="S180" i="10"/>
  <c r="R180" i="10"/>
  <c r="T180" i="10" s="1"/>
  <c r="Q180" i="10"/>
  <c r="P180" i="10"/>
  <c r="O180" i="10"/>
  <c r="N180" i="10"/>
  <c r="U179" i="10"/>
  <c r="S179" i="10"/>
  <c r="R179" i="10"/>
  <c r="T179" i="10" s="1"/>
  <c r="Q179" i="10"/>
  <c r="P179" i="10"/>
  <c r="O179" i="10"/>
  <c r="N179" i="10"/>
  <c r="U178" i="10"/>
  <c r="S178" i="10"/>
  <c r="R178" i="10"/>
  <c r="T178" i="10" s="1"/>
  <c r="Q178" i="10"/>
  <c r="P178" i="10"/>
  <c r="O178" i="10"/>
  <c r="N178" i="10"/>
  <c r="U177" i="10"/>
  <c r="S177" i="10"/>
  <c r="R177" i="10"/>
  <c r="T177" i="10" s="1"/>
  <c r="Q177" i="10"/>
  <c r="P177" i="10"/>
  <c r="O177" i="10"/>
  <c r="N177" i="10"/>
  <c r="U176" i="10"/>
  <c r="S176" i="10"/>
  <c r="R176" i="10"/>
  <c r="T176" i="10" s="1"/>
  <c r="Q176" i="10"/>
  <c r="P176" i="10"/>
  <c r="O176" i="10"/>
  <c r="N176" i="10"/>
  <c r="U175" i="10"/>
  <c r="S175" i="10"/>
  <c r="R175" i="10"/>
  <c r="T175" i="10" s="1"/>
  <c r="Q175" i="10"/>
  <c r="P175" i="10"/>
  <c r="O175" i="10"/>
  <c r="N175" i="10"/>
  <c r="U174" i="10"/>
  <c r="S174" i="10"/>
  <c r="R174" i="10"/>
  <c r="T174" i="10" s="1"/>
  <c r="Q174" i="10"/>
  <c r="P174" i="10"/>
  <c r="O174" i="10"/>
  <c r="N174" i="10"/>
  <c r="U173" i="10"/>
  <c r="S173" i="10"/>
  <c r="R173" i="10"/>
  <c r="T173" i="10" s="1"/>
  <c r="Q173" i="10"/>
  <c r="P173" i="10"/>
  <c r="O173" i="10"/>
  <c r="N173" i="10"/>
  <c r="U172" i="10"/>
  <c r="S172" i="10"/>
  <c r="R172" i="10"/>
  <c r="T172" i="10" s="1"/>
  <c r="Q172" i="10"/>
  <c r="P172" i="10"/>
  <c r="O172" i="10"/>
  <c r="N172" i="10"/>
  <c r="U171" i="10"/>
  <c r="S171" i="10"/>
  <c r="R171" i="10"/>
  <c r="T171" i="10" s="1"/>
  <c r="Q171" i="10"/>
  <c r="P171" i="10"/>
  <c r="O171" i="10"/>
  <c r="N171" i="10"/>
  <c r="U170" i="10"/>
  <c r="S170" i="10"/>
  <c r="R170" i="10"/>
  <c r="T170" i="10" s="1"/>
  <c r="Q170" i="10"/>
  <c r="P170" i="10"/>
  <c r="O170" i="10"/>
  <c r="N170" i="10"/>
  <c r="U169" i="10"/>
  <c r="S169" i="10"/>
  <c r="R169" i="10"/>
  <c r="T169" i="10" s="1"/>
  <c r="Q169" i="10"/>
  <c r="P169" i="10"/>
  <c r="O169" i="10"/>
  <c r="N169" i="10"/>
  <c r="U168" i="10"/>
  <c r="S168" i="10"/>
  <c r="R168" i="10"/>
  <c r="T168" i="10" s="1"/>
  <c r="Q168" i="10"/>
  <c r="P168" i="10"/>
  <c r="O168" i="10"/>
  <c r="N168" i="10"/>
  <c r="U167" i="10"/>
  <c r="S167" i="10"/>
  <c r="R167" i="10"/>
  <c r="T167" i="10" s="1"/>
  <c r="Q167" i="10"/>
  <c r="P167" i="10"/>
  <c r="O167" i="10"/>
  <c r="N167" i="10"/>
  <c r="U166" i="10"/>
  <c r="S166" i="10"/>
  <c r="R166" i="10"/>
  <c r="T166" i="10" s="1"/>
  <c r="Q166" i="10"/>
  <c r="P166" i="10"/>
  <c r="O166" i="10"/>
  <c r="N166" i="10"/>
  <c r="U165" i="10"/>
  <c r="S165" i="10"/>
  <c r="R165" i="10"/>
  <c r="T165" i="10" s="1"/>
  <c r="Q165" i="10"/>
  <c r="P165" i="10"/>
  <c r="O165" i="10"/>
  <c r="N165" i="10"/>
  <c r="U164" i="10"/>
  <c r="S164" i="10"/>
  <c r="R164" i="10"/>
  <c r="T164" i="10" s="1"/>
  <c r="Q164" i="10"/>
  <c r="P164" i="10"/>
  <c r="O164" i="10"/>
  <c r="N164" i="10"/>
  <c r="U163" i="10"/>
  <c r="S163" i="10"/>
  <c r="R163" i="10"/>
  <c r="T163" i="10" s="1"/>
  <c r="Q163" i="10"/>
  <c r="P163" i="10"/>
  <c r="O163" i="10"/>
  <c r="N163" i="10"/>
  <c r="U162" i="10"/>
  <c r="S162" i="10"/>
  <c r="R162" i="10"/>
  <c r="T162" i="10" s="1"/>
  <c r="Q162" i="10"/>
  <c r="P162" i="10"/>
  <c r="O162" i="10"/>
  <c r="N162" i="10"/>
  <c r="U161" i="10"/>
  <c r="S161" i="10"/>
  <c r="R161" i="10"/>
  <c r="T161" i="10" s="1"/>
  <c r="Q161" i="10"/>
  <c r="P161" i="10"/>
  <c r="O161" i="10"/>
  <c r="N161" i="10"/>
  <c r="U160" i="10"/>
  <c r="S160" i="10"/>
  <c r="R160" i="10"/>
  <c r="T160" i="10" s="1"/>
  <c r="Q160" i="10"/>
  <c r="P160" i="10"/>
  <c r="O160" i="10"/>
  <c r="N160" i="10"/>
  <c r="U159" i="10"/>
  <c r="S159" i="10"/>
  <c r="R159" i="10"/>
  <c r="T159" i="10" s="1"/>
  <c r="Q159" i="10"/>
  <c r="P159" i="10"/>
  <c r="O159" i="10"/>
  <c r="N159" i="10"/>
  <c r="U158" i="10"/>
  <c r="S158" i="10"/>
  <c r="R158" i="10"/>
  <c r="T158" i="10" s="1"/>
  <c r="Q158" i="10"/>
  <c r="P158" i="10"/>
  <c r="O158" i="10"/>
  <c r="N158" i="10"/>
  <c r="U157" i="10"/>
  <c r="S157" i="10"/>
  <c r="R157" i="10"/>
  <c r="T157" i="10" s="1"/>
  <c r="Q157" i="10"/>
  <c r="P157" i="10"/>
  <c r="O157" i="10"/>
  <c r="N157" i="10"/>
  <c r="U156" i="10"/>
  <c r="S156" i="10"/>
  <c r="R156" i="10"/>
  <c r="T156" i="10" s="1"/>
  <c r="Q156" i="10"/>
  <c r="P156" i="10"/>
  <c r="O156" i="10"/>
  <c r="N156" i="10"/>
  <c r="U155" i="10"/>
  <c r="S155" i="10"/>
  <c r="R155" i="10"/>
  <c r="T155" i="10" s="1"/>
  <c r="Q155" i="10"/>
  <c r="P155" i="10"/>
  <c r="O155" i="10"/>
  <c r="N155" i="10"/>
  <c r="U154" i="10"/>
  <c r="S154" i="10"/>
  <c r="R154" i="10"/>
  <c r="T154" i="10" s="1"/>
  <c r="Q154" i="10"/>
  <c r="P154" i="10"/>
  <c r="O154" i="10"/>
  <c r="N154" i="10"/>
  <c r="U153" i="10"/>
  <c r="S153" i="10"/>
  <c r="R153" i="10"/>
  <c r="T153" i="10" s="1"/>
  <c r="Q153" i="10"/>
  <c r="P153" i="10"/>
  <c r="O153" i="10"/>
  <c r="N153" i="10"/>
  <c r="U152" i="10"/>
  <c r="S152" i="10"/>
  <c r="R152" i="10"/>
  <c r="T152" i="10" s="1"/>
  <c r="Q152" i="10"/>
  <c r="P152" i="10"/>
  <c r="O152" i="10"/>
  <c r="N152" i="10"/>
  <c r="U151" i="10"/>
  <c r="S151" i="10"/>
  <c r="R151" i="10"/>
  <c r="T151" i="10" s="1"/>
  <c r="Q151" i="10"/>
  <c r="P151" i="10"/>
  <c r="O151" i="10"/>
  <c r="N151" i="10"/>
  <c r="U150" i="10"/>
  <c r="S150" i="10"/>
  <c r="R150" i="10"/>
  <c r="T150" i="10" s="1"/>
  <c r="Q150" i="10"/>
  <c r="P150" i="10"/>
  <c r="O150" i="10"/>
  <c r="N150" i="10"/>
  <c r="U149" i="10"/>
  <c r="S149" i="10"/>
  <c r="R149" i="10"/>
  <c r="T149" i="10" s="1"/>
  <c r="Q149" i="10"/>
  <c r="P149" i="10"/>
  <c r="O149" i="10"/>
  <c r="N149" i="10"/>
  <c r="U148" i="10"/>
  <c r="S148" i="10"/>
  <c r="R148" i="10"/>
  <c r="T148" i="10" s="1"/>
  <c r="Q148" i="10"/>
  <c r="P148" i="10"/>
  <c r="O148" i="10"/>
  <c r="N148" i="10"/>
  <c r="U147" i="10"/>
  <c r="S147" i="10"/>
  <c r="R147" i="10"/>
  <c r="T147" i="10" s="1"/>
  <c r="Q147" i="10"/>
  <c r="P147" i="10"/>
  <c r="O147" i="10"/>
  <c r="N147" i="10"/>
  <c r="U146" i="10"/>
  <c r="S146" i="10"/>
  <c r="R146" i="10"/>
  <c r="T146" i="10" s="1"/>
  <c r="Q146" i="10"/>
  <c r="P146" i="10"/>
  <c r="O146" i="10"/>
  <c r="N146" i="10"/>
  <c r="U145" i="10"/>
  <c r="S145" i="10"/>
  <c r="R145" i="10"/>
  <c r="T145" i="10" s="1"/>
  <c r="Q145" i="10"/>
  <c r="P145" i="10"/>
  <c r="O145" i="10"/>
  <c r="N145" i="10"/>
  <c r="U144" i="10"/>
  <c r="S144" i="10"/>
  <c r="R144" i="10"/>
  <c r="T144" i="10" s="1"/>
  <c r="Q144" i="10"/>
  <c r="P144" i="10"/>
  <c r="O144" i="10"/>
  <c r="N144" i="10"/>
  <c r="U143" i="10"/>
  <c r="S143" i="10"/>
  <c r="R143" i="10"/>
  <c r="T143" i="10" s="1"/>
  <c r="Q143" i="10"/>
  <c r="P143" i="10"/>
  <c r="O143" i="10"/>
  <c r="N143" i="10"/>
  <c r="U142" i="10"/>
  <c r="S142" i="10"/>
  <c r="R142" i="10"/>
  <c r="T142" i="10" s="1"/>
  <c r="Q142" i="10"/>
  <c r="P142" i="10"/>
  <c r="O142" i="10"/>
  <c r="N142" i="10"/>
  <c r="U141" i="10"/>
  <c r="S141" i="10"/>
  <c r="R141" i="10"/>
  <c r="T141" i="10" s="1"/>
  <c r="Q141" i="10"/>
  <c r="P141" i="10"/>
  <c r="O141" i="10"/>
  <c r="N141" i="10"/>
  <c r="U140" i="10"/>
  <c r="S140" i="10"/>
  <c r="R140" i="10"/>
  <c r="T140" i="10" s="1"/>
  <c r="Q140" i="10"/>
  <c r="P140" i="10"/>
  <c r="O140" i="10"/>
  <c r="N140" i="10"/>
  <c r="U139" i="10"/>
  <c r="S139" i="10"/>
  <c r="R139" i="10"/>
  <c r="T139" i="10" s="1"/>
  <c r="Q139" i="10"/>
  <c r="P139" i="10"/>
  <c r="O139" i="10"/>
  <c r="N139" i="10"/>
  <c r="U138" i="10"/>
  <c r="S138" i="10"/>
  <c r="R138" i="10"/>
  <c r="T138" i="10" s="1"/>
  <c r="Q138" i="10"/>
  <c r="P138" i="10"/>
  <c r="O138" i="10"/>
  <c r="N138" i="10"/>
  <c r="U137" i="10"/>
  <c r="S137" i="10"/>
  <c r="R137" i="10"/>
  <c r="T137" i="10" s="1"/>
  <c r="Q137" i="10"/>
  <c r="P137" i="10"/>
  <c r="O137" i="10"/>
  <c r="N137" i="10"/>
  <c r="U136" i="10"/>
  <c r="S136" i="10"/>
  <c r="R136" i="10"/>
  <c r="T136" i="10" s="1"/>
  <c r="Q136" i="10"/>
  <c r="P136" i="10"/>
  <c r="O136" i="10"/>
  <c r="N136" i="10"/>
  <c r="U135" i="10"/>
  <c r="S135" i="10"/>
  <c r="R135" i="10"/>
  <c r="T135" i="10" s="1"/>
  <c r="Q135" i="10"/>
  <c r="P135" i="10"/>
  <c r="O135" i="10"/>
  <c r="N135" i="10"/>
  <c r="U134" i="10"/>
  <c r="S134" i="10"/>
  <c r="R134" i="10"/>
  <c r="T134" i="10" s="1"/>
  <c r="Q134" i="10"/>
  <c r="P134" i="10"/>
  <c r="O134" i="10"/>
  <c r="N134" i="10"/>
  <c r="U133" i="10"/>
  <c r="S133" i="10"/>
  <c r="R133" i="10"/>
  <c r="T133" i="10" s="1"/>
  <c r="Q133" i="10"/>
  <c r="P133" i="10"/>
  <c r="O133" i="10"/>
  <c r="N133" i="10"/>
  <c r="U132" i="10"/>
  <c r="S132" i="10"/>
  <c r="R132" i="10"/>
  <c r="T132" i="10" s="1"/>
  <c r="Q132" i="10"/>
  <c r="P132" i="10"/>
  <c r="O132" i="10"/>
  <c r="N132" i="10"/>
  <c r="U131" i="10"/>
  <c r="S131" i="10"/>
  <c r="R131" i="10"/>
  <c r="T131" i="10" s="1"/>
  <c r="Q131" i="10"/>
  <c r="P131" i="10"/>
  <c r="O131" i="10"/>
  <c r="N131" i="10"/>
  <c r="U130" i="10"/>
  <c r="S130" i="10"/>
  <c r="R130" i="10"/>
  <c r="T130" i="10" s="1"/>
  <c r="Q130" i="10"/>
  <c r="P130" i="10"/>
  <c r="O130" i="10"/>
  <c r="N130" i="10"/>
  <c r="U129" i="10"/>
  <c r="S129" i="10"/>
  <c r="R129" i="10"/>
  <c r="T129" i="10" s="1"/>
  <c r="Q129" i="10"/>
  <c r="P129" i="10"/>
  <c r="O129" i="10"/>
  <c r="N129" i="10"/>
  <c r="U128" i="10"/>
  <c r="S128" i="10"/>
  <c r="R128" i="10"/>
  <c r="T128" i="10" s="1"/>
  <c r="Q128" i="10"/>
  <c r="P128" i="10"/>
  <c r="O128" i="10"/>
  <c r="N128" i="10"/>
  <c r="U127" i="10"/>
  <c r="S127" i="10"/>
  <c r="R127" i="10"/>
  <c r="T127" i="10" s="1"/>
  <c r="Q127" i="10"/>
  <c r="P127" i="10"/>
  <c r="O127" i="10"/>
  <c r="N127" i="10"/>
  <c r="U126" i="10"/>
  <c r="S126" i="10"/>
  <c r="R126" i="10"/>
  <c r="T126" i="10" s="1"/>
  <c r="Q126" i="10"/>
  <c r="P126" i="10"/>
  <c r="O126" i="10"/>
  <c r="N126" i="10"/>
  <c r="U125" i="10"/>
  <c r="S125" i="10"/>
  <c r="R125" i="10"/>
  <c r="T125" i="10" s="1"/>
  <c r="Q125" i="10"/>
  <c r="P125" i="10"/>
  <c r="O125" i="10"/>
  <c r="N125" i="10"/>
  <c r="U124" i="10"/>
  <c r="S124" i="10"/>
  <c r="R124" i="10"/>
  <c r="T124" i="10" s="1"/>
  <c r="Q124" i="10"/>
  <c r="P124" i="10"/>
  <c r="O124" i="10"/>
  <c r="N124" i="10"/>
  <c r="U123" i="10"/>
  <c r="S123" i="10"/>
  <c r="R123" i="10"/>
  <c r="T123" i="10" s="1"/>
  <c r="Q123" i="10"/>
  <c r="P123" i="10"/>
  <c r="O123" i="10"/>
  <c r="N123" i="10"/>
  <c r="U122" i="10"/>
  <c r="S122" i="10"/>
  <c r="R122" i="10"/>
  <c r="T122" i="10" s="1"/>
  <c r="Q122" i="10"/>
  <c r="P122" i="10"/>
  <c r="O122" i="10"/>
  <c r="N122" i="10"/>
  <c r="U121" i="10"/>
  <c r="S121" i="10"/>
  <c r="R121" i="10"/>
  <c r="T121" i="10" s="1"/>
  <c r="Q121" i="10"/>
  <c r="P121" i="10"/>
  <c r="O121" i="10"/>
  <c r="N121" i="10"/>
  <c r="U120" i="10"/>
  <c r="S120" i="10"/>
  <c r="R120" i="10"/>
  <c r="T120" i="10" s="1"/>
  <c r="Q120" i="10"/>
  <c r="P120" i="10"/>
  <c r="O120" i="10"/>
  <c r="N120" i="10"/>
  <c r="U119" i="10"/>
  <c r="S119" i="10"/>
  <c r="R119" i="10"/>
  <c r="T119" i="10" s="1"/>
  <c r="Q119" i="10"/>
  <c r="P119" i="10"/>
  <c r="O119" i="10"/>
  <c r="N119" i="10"/>
  <c r="U118" i="10"/>
  <c r="S118" i="10"/>
  <c r="R118" i="10"/>
  <c r="T118" i="10" s="1"/>
  <c r="Q118" i="10"/>
  <c r="P118" i="10"/>
  <c r="O118" i="10"/>
  <c r="N118" i="10"/>
  <c r="U117" i="10"/>
  <c r="S117" i="10"/>
  <c r="R117" i="10"/>
  <c r="T117" i="10" s="1"/>
  <c r="Q117" i="10"/>
  <c r="P117" i="10"/>
  <c r="O117" i="10"/>
  <c r="N117" i="10"/>
  <c r="U116" i="10"/>
  <c r="S116" i="10"/>
  <c r="R116" i="10"/>
  <c r="T116" i="10" s="1"/>
  <c r="Q116" i="10"/>
  <c r="P116" i="10"/>
  <c r="O116" i="10"/>
  <c r="N116" i="10"/>
  <c r="U115" i="10"/>
  <c r="S115" i="10"/>
  <c r="R115" i="10"/>
  <c r="T115" i="10" s="1"/>
  <c r="Q115" i="10"/>
  <c r="P115" i="10"/>
  <c r="O115" i="10"/>
  <c r="N115" i="10"/>
  <c r="U114" i="10"/>
  <c r="S114" i="10"/>
  <c r="R114" i="10"/>
  <c r="T114" i="10" s="1"/>
  <c r="Q114" i="10"/>
  <c r="P114" i="10"/>
  <c r="O114" i="10"/>
  <c r="N114" i="10"/>
  <c r="U113" i="10"/>
  <c r="S113" i="10"/>
  <c r="R113" i="10"/>
  <c r="T113" i="10" s="1"/>
  <c r="Q113" i="10"/>
  <c r="P113" i="10"/>
  <c r="O113" i="10"/>
  <c r="N113" i="10"/>
  <c r="U112" i="10"/>
  <c r="S112" i="10"/>
  <c r="R112" i="10"/>
  <c r="T112" i="10" s="1"/>
  <c r="Q112" i="10"/>
  <c r="P112" i="10"/>
  <c r="O112" i="10"/>
  <c r="N112" i="10"/>
  <c r="U111" i="10"/>
  <c r="S111" i="10"/>
  <c r="R111" i="10"/>
  <c r="T111" i="10" s="1"/>
  <c r="Q111" i="10"/>
  <c r="P111" i="10"/>
  <c r="O111" i="10"/>
  <c r="N111" i="10"/>
  <c r="U110" i="10"/>
  <c r="S110" i="10"/>
  <c r="R110" i="10"/>
  <c r="T110" i="10" s="1"/>
  <c r="Q110" i="10"/>
  <c r="P110" i="10"/>
  <c r="O110" i="10"/>
  <c r="N110" i="10"/>
  <c r="U109" i="10"/>
  <c r="S109" i="10"/>
  <c r="R109" i="10"/>
  <c r="T109" i="10" s="1"/>
  <c r="Q109" i="10"/>
  <c r="P109" i="10"/>
  <c r="O109" i="10"/>
  <c r="N109" i="10"/>
  <c r="U108" i="10"/>
  <c r="S108" i="10"/>
  <c r="R108" i="10"/>
  <c r="T108" i="10" s="1"/>
  <c r="Q108" i="10"/>
  <c r="P108" i="10"/>
  <c r="O108" i="10"/>
  <c r="N108" i="10"/>
  <c r="U107" i="10"/>
  <c r="S107" i="10"/>
  <c r="R107" i="10"/>
  <c r="T107" i="10" s="1"/>
  <c r="Q107" i="10"/>
  <c r="P107" i="10"/>
  <c r="O107" i="10"/>
  <c r="N107" i="10"/>
  <c r="U106" i="10"/>
  <c r="S106" i="10"/>
  <c r="R106" i="10"/>
  <c r="T106" i="10" s="1"/>
  <c r="Q106" i="10"/>
  <c r="P106" i="10"/>
  <c r="O106" i="10"/>
  <c r="N106" i="10"/>
  <c r="U105" i="10"/>
  <c r="S105" i="10"/>
  <c r="R105" i="10"/>
  <c r="T105" i="10" s="1"/>
  <c r="Q105" i="10"/>
  <c r="P105" i="10"/>
  <c r="O105" i="10"/>
  <c r="N105" i="10"/>
  <c r="U104" i="10"/>
  <c r="S104" i="10"/>
  <c r="R104" i="10"/>
  <c r="T104" i="10" s="1"/>
  <c r="Q104" i="10"/>
  <c r="P104" i="10"/>
  <c r="O104" i="10"/>
  <c r="N104" i="10"/>
  <c r="U103" i="10"/>
  <c r="S103" i="10"/>
  <c r="R103" i="10"/>
  <c r="T103" i="10" s="1"/>
  <c r="Q103" i="10"/>
  <c r="P103" i="10"/>
  <c r="O103" i="10"/>
  <c r="N103" i="10"/>
  <c r="U102" i="10"/>
  <c r="S102" i="10"/>
  <c r="R102" i="10"/>
  <c r="T102" i="10" s="1"/>
  <c r="Q102" i="10"/>
  <c r="P102" i="10"/>
  <c r="O102" i="10"/>
  <c r="N102" i="10"/>
  <c r="U101" i="10"/>
  <c r="S101" i="10"/>
  <c r="R101" i="10"/>
  <c r="T101" i="10" s="1"/>
  <c r="Q101" i="10"/>
  <c r="P101" i="10"/>
  <c r="O101" i="10"/>
  <c r="N101" i="10"/>
  <c r="U100" i="10"/>
  <c r="S100" i="10"/>
  <c r="R100" i="10"/>
  <c r="T100" i="10" s="1"/>
  <c r="Q100" i="10"/>
  <c r="P100" i="10"/>
  <c r="O100" i="10"/>
  <c r="N100" i="10"/>
  <c r="U99" i="10"/>
  <c r="S99" i="10"/>
  <c r="R99" i="10"/>
  <c r="T99" i="10" s="1"/>
  <c r="Q99" i="10"/>
  <c r="P99" i="10"/>
  <c r="O99" i="10"/>
  <c r="N99" i="10"/>
  <c r="U98" i="10"/>
  <c r="S98" i="10"/>
  <c r="R98" i="10"/>
  <c r="T98" i="10" s="1"/>
  <c r="Q98" i="10"/>
  <c r="P98" i="10"/>
  <c r="O98" i="10"/>
  <c r="N98" i="10"/>
  <c r="U97" i="10"/>
  <c r="S97" i="10"/>
  <c r="R97" i="10"/>
  <c r="T97" i="10" s="1"/>
  <c r="Q97" i="10"/>
  <c r="P97" i="10"/>
  <c r="O97" i="10"/>
  <c r="N97" i="10"/>
  <c r="U96" i="10"/>
  <c r="S96" i="10"/>
  <c r="R96" i="10"/>
  <c r="T96" i="10" s="1"/>
  <c r="Q96" i="10"/>
  <c r="P96" i="10"/>
  <c r="O96" i="10"/>
  <c r="N96" i="10"/>
  <c r="U95" i="10"/>
  <c r="S95" i="10"/>
  <c r="R95" i="10"/>
  <c r="T95" i="10" s="1"/>
  <c r="Q95" i="10"/>
  <c r="P95" i="10"/>
  <c r="O95" i="10"/>
  <c r="N95" i="10"/>
  <c r="U94" i="10"/>
  <c r="S94" i="10"/>
  <c r="R94" i="10"/>
  <c r="T94" i="10" s="1"/>
  <c r="Q94" i="10"/>
  <c r="P94" i="10"/>
  <c r="O94" i="10"/>
  <c r="N94" i="10"/>
  <c r="U93" i="10"/>
  <c r="S93" i="10"/>
  <c r="R93" i="10"/>
  <c r="T93" i="10" s="1"/>
  <c r="Q93" i="10"/>
  <c r="P93" i="10"/>
  <c r="O93" i="10"/>
  <c r="N93" i="10"/>
  <c r="U92" i="10"/>
  <c r="S92" i="10"/>
  <c r="R92" i="10"/>
  <c r="T92" i="10" s="1"/>
  <c r="Q92" i="10"/>
  <c r="P92" i="10"/>
  <c r="O92" i="10"/>
  <c r="N92" i="10"/>
  <c r="U91" i="10"/>
  <c r="S91" i="10"/>
  <c r="R91" i="10"/>
  <c r="T91" i="10" s="1"/>
  <c r="Q91" i="10"/>
  <c r="P91" i="10"/>
  <c r="O91" i="10"/>
  <c r="N91" i="10"/>
  <c r="U90" i="10"/>
  <c r="S90" i="10"/>
  <c r="R90" i="10"/>
  <c r="T90" i="10" s="1"/>
  <c r="Q90" i="10"/>
  <c r="P90" i="10"/>
  <c r="O90" i="10"/>
  <c r="N90" i="10"/>
  <c r="U89" i="10"/>
  <c r="S89" i="10"/>
  <c r="R89" i="10"/>
  <c r="T89" i="10" s="1"/>
  <c r="Q89" i="10"/>
  <c r="P89" i="10"/>
  <c r="O89" i="10"/>
  <c r="N89" i="10"/>
  <c r="U88" i="10"/>
  <c r="S88" i="10"/>
  <c r="R88" i="10"/>
  <c r="T88" i="10" s="1"/>
  <c r="Q88" i="10"/>
  <c r="P88" i="10"/>
  <c r="O88" i="10"/>
  <c r="N88" i="10"/>
  <c r="U87" i="10"/>
  <c r="S87" i="10"/>
  <c r="R87" i="10"/>
  <c r="T87" i="10" s="1"/>
  <c r="Q87" i="10"/>
  <c r="P87" i="10"/>
  <c r="O87" i="10"/>
  <c r="N87" i="10"/>
  <c r="U86" i="10"/>
  <c r="S86" i="10"/>
  <c r="R86" i="10"/>
  <c r="T86" i="10" s="1"/>
  <c r="Q86" i="10"/>
  <c r="P86" i="10"/>
  <c r="O86" i="10"/>
  <c r="N86" i="10"/>
  <c r="U85" i="10"/>
  <c r="S85" i="10"/>
  <c r="R85" i="10"/>
  <c r="T85" i="10" s="1"/>
  <c r="Q85" i="10"/>
  <c r="P85" i="10"/>
  <c r="O85" i="10"/>
  <c r="N85" i="10"/>
  <c r="U84" i="10"/>
  <c r="S84" i="10"/>
  <c r="R84" i="10"/>
  <c r="T84" i="10" s="1"/>
  <c r="Q84" i="10"/>
  <c r="P84" i="10"/>
  <c r="O84" i="10"/>
  <c r="N84" i="10"/>
  <c r="U83" i="10"/>
  <c r="S83" i="10"/>
  <c r="R83" i="10"/>
  <c r="T83" i="10" s="1"/>
  <c r="Q83" i="10"/>
  <c r="P83" i="10"/>
  <c r="O83" i="10"/>
  <c r="N83" i="10"/>
  <c r="U82" i="10"/>
  <c r="S82" i="10"/>
  <c r="R82" i="10"/>
  <c r="T82" i="10" s="1"/>
  <c r="Q82" i="10"/>
  <c r="P82" i="10"/>
  <c r="O82" i="10"/>
  <c r="N82" i="10"/>
  <c r="U81" i="10"/>
  <c r="S81" i="10"/>
  <c r="R81" i="10"/>
  <c r="T81" i="10" s="1"/>
  <c r="Q81" i="10"/>
  <c r="P81" i="10"/>
  <c r="O81" i="10"/>
  <c r="N81" i="10"/>
  <c r="U80" i="10"/>
  <c r="S80" i="10"/>
  <c r="R80" i="10"/>
  <c r="T80" i="10" s="1"/>
  <c r="Q80" i="10"/>
  <c r="P80" i="10"/>
  <c r="O80" i="10"/>
  <c r="N80" i="10"/>
  <c r="U79" i="10"/>
  <c r="S79" i="10"/>
  <c r="R79" i="10"/>
  <c r="T79" i="10" s="1"/>
  <c r="Q79" i="10"/>
  <c r="P79" i="10"/>
  <c r="O79" i="10"/>
  <c r="N79" i="10"/>
  <c r="U78" i="10"/>
  <c r="S78" i="10"/>
  <c r="R78" i="10"/>
  <c r="T78" i="10" s="1"/>
  <c r="Q78" i="10"/>
  <c r="P78" i="10"/>
  <c r="O78" i="10"/>
  <c r="N78" i="10"/>
  <c r="U77" i="10"/>
  <c r="S77" i="10"/>
  <c r="R77" i="10"/>
  <c r="T77" i="10" s="1"/>
  <c r="Q77" i="10"/>
  <c r="P77" i="10"/>
  <c r="O77" i="10"/>
  <c r="N77" i="10"/>
  <c r="U76" i="10"/>
  <c r="S76" i="10"/>
  <c r="R76" i="10"/>
  <c r="T76" i="10" s="1"/>
  <c r="Q76" i="10"/>
  <c r="P76" i="10"/>
  <c r="O76" i="10"/>
  <c r="N76" i="10"/>
  <c r="U75" i="10"/>
  <c r="S75" i="10"/>
  <c r="R75" i="10"/>
  <c r="T75" i="10" s="1"/>
  <c r="Q75" i="10"/>
  <c r="P75" i="10"/>
  <c r="O75" i="10"/>
  <c r="N75" i="10"/>
  <c r="U74" i="10"/>
  <c r="S74" i="10"/>
  <c r="R74" i="10"/>
  <c r="T74" i="10" s="1"/>
  <c r="Q74" i="10"/>
  <c r="P74" i="10"/>
  <c r="O74" i="10"/>
  <c r="N74" i="10"/>
  <c r="U73" i="10"/>
  <c r="S73" i="10"/>
  <c r="R73" i="10"/>
  <c r="T73" i="10" s="1"/>
  <c r="Q73" i="10"/>
  <c r="P73" i="10"/>
  <c r="O73" i="10"/>
  <c r="N73" i="10"/>
  <c r="U72" i="10"/>
  <c r="S72" i="10"/>
  <c r="R72" i="10"/>
  <c r="T72" i="10" s="1"/>
  <c r="Q72" i="10"/>
  <c r="P72" i="10"/>
  <c r="O72" i="10"/>
  <c r="N72" i="10"/>
  <c r="U71" i="10"/>
  <c r="S71" i="10"/>
  <c r="R71" i="10"/>
  <c r="T71" i="10" s="1"/>
  <c r="Q71" i="10"/>
  <c r="P71" i="10"/>
  <c r="O71" i="10"/>
  <c r="N71" i="10"/>
  <c r="U70" i="10"/>
  <c r="S70" i="10"/>
  <c r="R70" i="10"/>
  <c r="T70" i="10" s="1"/>
  <c r="Q70" i="10"/>
  <c r="P70" i="10"/>
  <c r="O70" i="10"/>
  <c r="N70" i="10"/>
  <c r="U69" i="10"/>
  <c r="S69" i="10"/>
  <c r="R69" i="10"/>
  <c r="T69" i="10" s="1"/>
  <c r="Q69" i="10"/>
  <c r="P69" i="10"/>
  <c r="O69" i="10"/>
  <c r="N69" i="10"/>
  <c r="U68" i="10"/>
  <c r="S68" i="10"/>
  <c r="R68" i="10"/>
  <c r="T68" i="10" s="1"/>
  <c r="Q68" i="10"/>
  <c r="P68" i="10"/>
  <c r="O68" i="10"/>
  <c r="N68" i="10"/>
  <c r="U67" i="10"/>
  <c r="S67" i="10"/>
  <c r="R67" i="10"/>
  <c r="T67" i="10" s="1"/>
  <c r="Q67" i="10"/>
  <c r="P67" i="10"/>
  <c r="O67" i="10"/>
  <c r="N67" i="10"/>
  <c r="U66" i="10"/>
  <c r="S66" i="10"/>
  <c r="R66" i="10"/>
  <c r="T66" i="10" s="1"/>
  <c r="Q66" i="10"/>
  <c r="P66" i="10"/>
  <c r="O66" i="10"/>
  <c r="N66" i="10"/>
  <c r="U65" i="10"/>
  <c r="S65" i="10"/>
  <c r="R65" i="10"/>
  <c r="T65" i="10" s="1"/>
  <c r="Q65" i="10"/>
  <c r="P65" i="10"/>
  <c r="O65" i="10"/>
  <c r="N65" i="10"/>
  <c r="U64" i="10"/>
  <c r="S64" i="10"/>
  <c r="R64" i="10"/>
  <c r="T64" i="10" s="1"/>
  <c r="Q64" i="10"/>
  <c r="P64" i="10"/>
  <c r="O64" i="10"/>
  <c r="N64" i="10"/>
  <c r="U63" i="10"/>
  <c r="S63" i="10"/>
  <c r="R63" i="10"/>
  <c r="T63" i="10" s="1"/>
  <c r="Q63" i="10"/>
  <c r="P63" i="10"/>
  <c r="O63" i="10"/>
  <c r="N63" i="10"/>
  <c r="U62" i="10"/>
  <c r="S62" i="10"/>
  <c r="R62" i="10"/>
  <c r="T62" i="10" s="1"/>
  <c r="Q62" i="10"/>
  <c r="P62" i="10"/>
  <c r="O62" i="10"/>
  <c r="N62" i="10"/>
  <c r="U61" i="10"/>
  <c r="S61" i="10"/>
  <c r="R61" i="10"/>
  <c r="T61" i="10" s="1"/>
  <c r="Q61" i="10"/>
  <c r="P61" i="10"/>
  <c r="O61" i="10"/>
  <c r="N61" i="10"/>
  <c r="U60" i="10"/>
  <c r="S60" i="10"/>
  <c r="R60" i="10"/>
  <c r="T60" i="10" s="1"/>
  <c r="Q60" i="10"/>
  <c r="P60" i="10"/>
  <c r="O60" i="10"/>
  <c r="N60" i="10"/>
  <c r="U59" i="10"/>
  <c r="S59" i="10"/>
  <c r="R59" i="10"/>
  <c r="T59" i="10" s="1"/>
  <c r="Q59" i="10"/>
  <c r="P59" i="10"/>
  <c r="O59" i="10"/>
  <c r="N59" i="10"/>
  <c r="U58" i="10"/>
  <c r="S58" i="10"/>
  <c r="R58" i="10"/>
  <c r="T58" i="10" s="1"/>
  <c r="Q58" i="10"/>
  <c r="P58" i="10"/>
  <c r="O58" i="10"/>
  <c r="N58" i="10"/>
  <c r="U57" i="10"/>
  <c r="S57" i="10"/>
  <c r="R57" i="10"/>
  <c r="T57" i="10" s="1"/>
  <c r="Q57" i="10"/>
  <c r="P57" i="10"/>
  <c r="O57" i="10"/>
  <c r="N57" i="10"/>
  <c r="U56" i="10"/>
  <c r="S56" i="10"/>
  <c r="R56" i="10"/>
  <c r="T56" i="10" s="1"/>
  <c r="Q56" i="10"/>
  <c r="P56" i="10"/>
  <c r="O56" i="10"/>
  <c r="N56" i="10"/>
  <c r="U55" i="10"/>
  <c r="S55" i="10"/>
  <c r="R55" i="10"/>
  <c r="T55" i="10" s="1"/>
  <c r="Q55" i="10"/>
  <c r="P55" i="10"/>
  <c r="O55" i="10"/>
  <c r="N55" i="10"/>
  <c r="U54" i="10"/>
  <c r="S54" i="10"/>
  <c r="R54" i="10"/>
  <c r="T54" i="10" s="1"/>
  <c r="Q54" i="10"/>
  <c r="P54" i="10"/>
  <c r="O54" i="10"/>
  <c r="N54" i="10"/>
  <c r="U53" i="10"/>
  <c r="S53" i="10"/>
  <c r="R53" i="10"/>
  <c r="T53" i="10" s="1"/>
  <c r="Q53" i="10"/>
  <c r="P53" i="10"/>
  <c r="O53" i="10"/>
  <c r="N53" i="10"/>
  <c r="U52" i="10"/>
  <c r="S52" i="10"/>
  <c r="R52" i="10"/>
  <c r="T52" i="10" s="1"/>
  <c r="Q52" i="10"/>
  <c r="P52" i="10"/>
  <c r="O52" i="10"/>
  <c r="N52" i="10"/>
  <c r="U51" i="10"/>
  <c r="S51" i="10"/>
  <c r="R51" i="10"/>
  <c r="T51" i="10" s="1"/>
  <c r="Q51" i="10"/>
  <c r="P51" i="10"/>
  <c r="O51" i="10"/>
  <c r="N51" i="10"/>
  <c r="U50" i="10"/>
  <c r="S50" i="10"/>
  <c r="R50" i="10"/>
  <c r="T50" i="10" s="1"/>
  <c r="Q50" i="10"/>
  <c r="P50" i="10"/>
  <c r="O50" i="10"/>
  <c r="N50" i="10"/>
  <c r="U49" i="10"/>
  <c r="S49" i="10"/>
  <c r="R49" i="10"/>
  <c r="T49" i="10" s="1"/>
  <c r="Q49" i="10"/>
  <c r="P49" i="10"/>
  <c r="O49" i="10"/>
  <c r="N49" i="10"/>
  <c r="U48" i="10"/>
  <c r="S48" i="10"/>
  <c r="R48" i="10"/>
  <c r="T48" i="10" s="1"/>
  <c r="Q48" i="10"/>
  <c r="P48" i="10"/>
  <c r="O48" i="10"/>
  <c r="N48" i="10"/>
  <c r="U47" i="10"/>
  <c r="S47" i="10"/>
  <c r="R47" i="10"/>
  <c r="T47" i="10" s="1"/>
  <c r="Q47" i="10"/>
  <c r="P47" i="10"/>
  <c r="O47" i="10"/>
  <c r="N47" i="10"/>
  <c r="U46" i="10"/>
  <c r="S46" i="10"/>
  <c r="R46" i="10"/>
  <c r="T46" i="10" s="1"/>
  <c r="Q46" i="10"/>
  <c r="P46" i="10"/>
  <c r="O46" i="10"/>
  <c r="N46" i="10"/>
  <c r="U45" i="10"/>
  <c r="S45" i="10"/>
  <c r="R45" i="10"/>
  <c r="T45" i="10" s="1"/>
  <c r="Q45" i="10"/>
  <c r="P45" i="10"/>
  <c r="O45" i="10"/>
  <c r="N45" i="10"/>
  <c r="U44" i="10"/>
  <c r="S44" i="10"/>
  <c r="R44" i="10"/>
  <c r="T44" i="10" s="1"/>
  <c r="Q44" i="10"/>
  <c r="P44" i="10"/>
  <c r="O44" i="10"/>
  <c r="N44" i="10"/>
  <c r="U43" i="10"/>
  <c r="S43" i="10"/>
  <c r="R43" i="10"/>
  <c r="T43" i="10" s="1"/>
  <c r="Q43" i="10"/>
  <c r="P43" i="10"/>
  <c r="O43" i="10"/>
  <c r="N43" i="10"/>
  <c r="U42" i="10"/>
  <c r="S42" i="10"/>
  <c r="R42" i="10"/>
  <c r="T42" i="10" s="1"/>
  <c r="Q42" i="10"/>
  <c r="P42" i="10"/>
  <c r="O42" i="10"/>
  <c r="N42" i="10"/>
  <c r="U41" i="10"/>
  <c r="S41" i="10"/>
  <c r="R41" i="10"/>
  <c r="T41" i="10" s="1"/>
  <c r="Q41" i="10"/>
  <c r="P41" i="10"/>
  <c r="O41" i="10"/>
  <c r="N41" i="10"/>
  <c r="U40" i="10"/>
  <c r="S40" i="10"/>
  <c r="R40" i="10"/>
  <c r="T40" i="10" s="1"/>
  <c r="Q40" i="10"/>
  <c r="P40" i="10"/>
  <c r="O40" i="10"/>
  <c r="N40" i="10"/>
  <c r="U39" i="10"/>
  <c r="S39" i="10"/>
  <c r="R39" i="10"/>
  <c r="T39" i="10" s="1"/>
  <c r="Q39" i="10"/>
  <c r="P39" i="10"/>
  <c r="O39" i="10"/>
  <c r="N39" i="10"/>
  <c r="U38" i="10"/>
  <c r="S38" i="10"/>
  <c r="R38" i="10"/>
  <c r="T38" i="10" s="1"/>
  <c r="Q38" i="10"/>
  <c r="P38" i="10"/>
  <c r="O38" i="10"/>
  <c r="N38" i="10"/>
  <c r="U37" i="10"/>
  <c r="S37" i="10"/>
  <c r="R37" i="10"/>
  <c r="T37" i="10" s="1"/>
  <c r="Q37" i="10"/>
  <c r="P37" i="10"/>
  <c r="O37" i="10"/>
  <c r="N37" i="10"/>
  <c r="U36" i="10"/>
  <c r="S36" i="10"/>
  <c r="R36" i="10"/>
  <c r="T36" i="10" s="1"/>
  <c r="Q36" i="10"/>
  <c r="P36" i="10"/>
  <c r="O36" i="10"/>
  <c r="N36" i="10"/>
  <c r="U35" i="10"/>
  <c r="S35" i="10"/>
  <c r="R35" i="10"/>
  <c r="T35" i="10" s="1"/>
  <c r="Q35" i="10"/>
  <c r="P35" i="10"/>
  <c r="O35" i="10"/>
  <c r="N35" i="10"/>
  <c r="U34" i="10"/>
  <c r="S34" i="10"/>
  <c r="R34" i="10"/>
  <c r="T34" i="10" s="1"/>
  <c r="Q34" i="10"/>
  <c r="P34" i="10"/>
  <c r="O34" i="10"/>
  <c r="N34" i="10"/>
  <c r="U33" i="10"/>
  <c r="S33" i="10"/>
  <c r="R33" i="10"/>
  <c r="T33" i="10" s="1"/>
  <c r="Q33" i="10"/>
  <c r="P33" i="10"/>
  <c r="O33" i="10"/>
  <c r="N33" i="10"/>
  <c r="U32" i="10"/>
  <c r="S32" i="10"/>
  <c r="R32" i="10"/>
  <c r="T32" i="10" s="1"/>
  <c r="Q32" i="10"/>
  <c r="P32" i="10"/>
  <c r="O32" i="10"/>
  <c r="N32" i="10"/>
  <c r="U31" i="10"/>
  <c r="S31" i="10"/>
  <c r="R31" i="10"/>
  <c r="T31" i="10" s="1"/>
  <c r="Q31" i="10"/>
  <c r="P31" i="10"/>
  <c r="O31" i="10"/>
  <c r="N31" i="10"/>
  <c r="U30" i="10"/>
  <c r="S30" i="10"/>
  <c r="R30" i="10"/>
  <c r="T30" i="10" s="1"/>
  <c r="Q30" i="10"/>
  <c r="P30" i="10"/>
  <c r="O30" i="10"/>
  <c r="N30" i="10"/>
  <c r="U29" i="10"/>
  <c r="S29" i="10"/>
  <c r="R29" i="10"/>
  <c r="T29" i="10" s="1"/>
  <c r="Q29" i="10"/>
  <c r="P29" i="10"/>
  <c r="O29" i="10"/>
  <c r="N29" i="10"/>
  <c r="U28" i="10"/>
  <c r="S28" i="10"/>
  <c r="R28" i="10"/>
  <c r="T28" i="10" s="1"/>
  <c r="Q28" i="10"/>
  <c r="P28" i="10"/>
  <c r="O28" i="10"/>
  <c r="N28" i="10"/>
  <c r="U27" i="10"/>
  <c r="S27" i="10"/>
  <c r="R27" i="10"/>
  <c r="T27" i="10" s="1"/>
  <c r="Q27" i="10"/>
  <c r="P27" i="10"/>
  <c r="O27" i="10"/>
  <c r="N27" i="10"/>
  <c r="U26" i="10"/>
  <c r="S26" i="10"/>
  <c r="R26" i="10"/>
  <c r="T26" i="10" s="1"/>
  <c r="Q26" i="10"/>
  <c r="P26" i="10"/>
  <c r="O26" i="10"/>
  <c r="N26" i="10"/>
  <c r="U25" i="10"/>
  <c r="S25" i="10"/>
  <c r="R25" i="10"/>
  <c r="T25" i="10" s="1"/>
  <c r="Q25" i="10"/>
  <c r="P25" i="10"/>
  <c r="O25" i="10"/>
  <c r="N25" i="10"/>
  <c r="U24" i="10"/>
  <c r="S24" i="10"/>
  <c r="R24" i="10"/>
  <c r="T24" i="10" s="1"/>
  <c r="Q24" i="10"/>
  <c r="P24" i="10"/>
  <c r="O24" i="10"/>
  <c r="N24" i="10"/>
  <c r="U23" i="10"/>
  <c r="S23" i="10"/>
  <c r="R23" i="10"/>
  <c r="T23" i="10" s="1"/>
  <c r="Q23" i="10"/>
  <c r="P23" i="10"/>
  <c r="O23" i="10"/>
  <c r="N23" i="10"/>
  <c r="U22" i="10"/>
  <c r="S22" i="10"/>
  <c r="R22" i="10"/>
  <c r="T22" i="10" s="1"/>
  <c r="Q22" i="10"/>
  <c r="P22" i="10"/>
  <c r="O22" i="10"/>
  <c r="N22" i="10"/>
  <c r="U21" i="10"/>
  <c r="S21" i="10"/>
  <c r="R21" i="10"/>
  <c r="T21" i="10" s="1"/>
  <c r="Q21" i="10"/>
  <c r="P21" i="10"/>
  <c r="O21" i="10"/>
  <c r="N21" i="10"/>
  <c r="U20" i="10"/>
  <c r="S20" i="10"/>
  <c r="R20" i="10"/>
  <c r="T20" i="10" s="1"/>
  <c r="Q20" i="10"/>
  <c r="P20" i="10"/>
  <c r="O20" i="10"/>
  <c r="N20" i="10"/>
  <c r="U19" i="10"/>
  <c r="S19" i="10"/>
  <c r="R19" i="10"/>
  <c r="T19" i="10" s="1"/>
  <c r="P19" i="10"/>
  <c r="O19" i="10"/>
  <c r="N19" i="10"/>
  <c r="U18" i="10"/>
  <c r="S18" i="10"/>
  <c r="R18" i="10"/>
  <c r="T18" i="10" s="1"/>
  <c r="P18" i="10"/>
  <c r="O18" i="10"/>
  <c r="N18" i="10"/>
  <c r="U17" i="10"/>
  <c r="S17" i="10"/>
  <c r="R17" i="10"/>
  <c r="T17" i="10" s="1"/>
  <c r="P17" i="10"/>
  <c r="O17" i="10"/>
  <c r="N17" i="10"/>
  <c r="P16" i="10"/>
  <c r="Q19" i="10" s="1"/>
  <c r="O16" i="10"/>
  <c r="N16" i="10"/>
  <c r="P15" i="10"/>
  <c r="O15" i="10"/>
  <c r="N15" i="10"/>
  <c r="P14" i="10"/>
  <c r="O14" i="10"/>
  <c r="N14" i="10"/>
  <c r="O13" i="10"/>
  <c r="F6" i="10" s="1"/>
  <c r="N13" i="10"/>
  <c r="F7" i="10"/>
  <c r="F4" i="10"/>
  <c r="R3" i="10"/>
  <c r="F3" i="10"/>
  <c r="F2" i="10"/>
  <c r="F1" i="10"/>
  <c r="I488" i="8"/>
  <c r="H488" i="8"/>
  <c r="I487" i="8"/>
  <c r="H487" i="8"/>
  <c r="I486" i="8"/>
  <c r="H486" i="8"/>
  <c r="I485" i="8"/>
  <c r="H485" i="8"/>
  <c r="I484" i="8"/>
  <c r="H484" i="8"/>
  <c r="I483" i="8"/>
  <c r="H483" i="8"/>
  <c r="I482" i="8"/>
  <c r="H482" i="8"/>
  <c r="I481" i="8"/>
  <c r="H481" i="8"/>
  <c r="I480" i="8"/>
  <c r="H480" i="8"/>
  <c r="I479" i="8"/>
  <c r="H479" i="8"/>
  <c r="I478" i="8"/>
  <c r="H478" i="8"/>
  <c r="I477" i="8"/>
  <c r="H477" i="8"/>
  <c r="I476" i="8"/>
  <c r="H476" i="8"/>
  <c r="I475" i="8"/>
  <c r="H475" i="8"/>
  <c r="I474" i="8"/>
  <c r="H474" i="8"/>
  <c r="I473" i="8"/>
  <c r="H473" i="8"/>
  <c r="I472" i="8"/>
  <c r="H472" i="8"/>
  <c r="I471" i="8"/>
  <c r="H471" i="8"/>
  <c r="I470" i="8"/>
  <c r="H470" i="8"/>
  <c r="I469" i="8"/>
  <c r="H469" i="8"/>
  <c r="I468" i="8"/>
  <c r="H468" i="8"/>
  <c r="I467" i="8"/>
  <c r="H467" i="8"/>
  <c r="I466" i="8"/>
  <c r="H466" i="8"/>
  <c r="I465" i="8"/>
  <c r="H465" i="8"/>
  <c r="I464" i="8"/>
  <c r="H464" i="8"/>
  <c r="I463" i="8"/>
  <c r="H463" i="8"/>
  <c r="I462" i="8"/>
  <c r="H462" i="8"/>
  <c r="I461" i="8"/>
  <c r="H461" i="8"/>
  <c r="I460" i="8"/>
  <c r="H460" i="8"/>
  <c r="I459" i="8"/>
  <c r="H459" i="8"/>
  <c r="I458" i="8"/>
  <c r="H458" i="8"/>
  <c r="I457" i="8"/>
  <c r="H457" i="8"/>
  <c r="I456" i="8"/>
  <c r="H456" i="8"/>
  <c r="I455" i="8"/>
  <c r="H455" i="8"/>
  <c r="I454" i="8"/>
  <c r="H454" i="8"/>
  <c r="I453" i="8"/>
  <c r="H453" i="8"/>
  <c r="I452" i="8"/>
  <c r="H452" i="8"/>
  <c r="I451" i="8"/>
  <c r="H451" i="8"/>
  <c r="I450" i="8"/>
  <c r="H450" i="8"/>
  <c r="I449" i="8"/>
  <c r="H449" i="8"/>
  <c r="I448" i="8"/>
  <c r="H448" i="8"/>
  <c r="I447" i="8"/>
  <c r="H447" i="8"/>
  <c r="I446" i="8"/>
  <c r="H446" i="8"/>
  <c r="I445" i="8"/>
  <c r="H445" i="8"/>
  <c r="I444" i="8"/>
  <c r="H444" i="8"/>
  <c r="I443" i="8"/>
  <c r="H443" i="8"/>
  <c r="I442" i="8"/>
  <c r="H442" i="8"/>
  <c r="I441" i="8"/>
  <c r="H441" i="8"/>
  <c r="I440" i="8"/>
  <c r="H440" i="8"/>
  <c r="I439" i="8"/>
  <c r="H439" i="8"/>
  <c r="I438" i="8"/>
  <c r="H438" i="8"/>
  <c r="I437" i="8"/>
  <c r="H437" i="8"/>
  <c r="I436" i="8"/>
  <c r="H436" i="8"/>
  <c r="I435" i="8"/>
  <c r="H435" i="8"/>
  <c r="I434" i="8"/>
  <c r="H434" i="8"/>
  <c r="I433" i="8"/>
  <c r="H433" i="8"/>
  <c r="I432" i="8"/>
  <c r="H432" i="8"/>
  <c r="I431" i="8"/>
  <c r="H431" i="8"/>
  <c r="I430" i="8"/>
  <c r="H430" i="8"/>
  <c r="I429" i="8"/>
  <c r="H429" i="8"/>
  <c r="I428" i="8"/>
  <c r="H428" i="8"/>
  <c r="I427" i="8"/>
  <c r="H427" i="8"/>
  <c r="I426" i="8"/>
  <c r="H426" i="8"/>
  <c r="I425" i="8"/>
  <c r="H425" i="8"/>
  <c r="I424" i="8"/>
  <c r="H424" i="8"/>
  <c r="I423" i="8"/>
  <c r="H423" i="8"/>
  <c r="I422" i="8"/>
  <c r="H422" i="8"/>
  <c r="I421" i="8"/>
  <c r="H421" i="8"/>
  <c r="I420" i="8"/>
  <c r="H420" i="8"/>
  <c r="I419" i="8"/>
  <c r="H419" i="8"/>
  <c r="I418" i="8"/>
  <c r="H418" i="8"/>
  <c r="I417" i="8"/>
  <c r="H417" i="8"/>
  <c r="I416" i="8"/>
  <c r="H416" i="8"/>
  <c r="I415" i="8"/>
  <c r="H415" i="8"/>
  <c r="I414" i="8"/>
  <c r="H414" i="8"/>
  <c r="I413" i="8"/>
  <c r="H413" i="8"/>
  <c r="I412" i="8"/>
  <c r="H412" i="8"/>
  <c r="I411" i="8"/>
  <c r="H411" i="8"/>
  <c r="I410" i="8"/>
  <c r="H410" i="8"/>
  <c r="I409" i="8"/>
  <c r="H409" i="8"/>
  <c r="I408" i="8"/>
  <c r="H408" i="8"/>
  <c r="I407" i="8"/>
  <c r="H407" i="8"/>
  <c r="I406" i="8"/>
  <c r="H406" i="8"/>
  <c r="I405" i="8"/>
  <c r="H405" i="8"/>
  <c r="I404" i="8"/>
  <c r="H404" i="8"/>
  <c r="I403" i="8"/>
  <c r="H403" i="8"/>
  <c r="I402" i="8"/>
  <c r="H402" i="8"/>
  <c r="I401" i="8"/>
  <c r="H401" i="8"/>
  <c r="I400" i="8"/>
  <c r="H400" i="8"/>
  <c r="I399" i="8"/>
  <c r="H399" i="8"/>
  <c r="I398" i="8"/>
  <c r="H398" i="8"/>
  <c r="I397" i="8"/>
  <c r="H397" i="8"/>
  <c r="I396" i="8"/>
  <c r="H396" i="8"/>
  <c r="I395" i="8"/>
  <c r="H395" i="8"/>
  <c r="I394" i="8"/>
  <c r="H394" i="8"/>
  <c r="I393" i="8"/>
  <c r="H393" i="8"/>
  <c r="I392" i="8"/>
  <c r="H392" i="8"/>
  <c r="I391" i="8"/>
  <c r="H391" i="8"/>
  <c r="I390" i="8"/>
  <c r="H390" i="8"/>
  <c r="I389" i="8"/>
  <c r="H389" i="8"/>
  <c r="I388" i="8"/>
  <c r="H388" i="8"/>
  <c r="I387" i="8"/>
  <c r="H387" i="8"/>
  <c r="I386" i="8"/>
  <c r="H386" i="8"/>
  <c r="I385" i="8"/>
  <c r="H385" i="8"/>
  <c r="I384" i="8"/>
  <c r="H384" i="8"/>
  <c r="I383" i="8"/>
  <c r="H383" i="8"/>
  <c r="I382" i="8"/>
  <c r="H382" i="8"/>
  <c r="I381" i="8"/>
  <c r="H381" i="8"/>
  <c r="I380" i="8"/>
  <c r="H380" i="8"/>
  <c r="I379" i="8"/>
  <c r="H379" i="8"/>
  <c r="I378" i="8"/>
  <c r="H378" i="8"/>
  <c r="I377" i="8"/>
  <c r="H377" i="8"/>
  <c r="I376" i="8"/>
  <c r="H376" i="8"/>
  <c r="I375" i="8"/>
  <c r="H375" i="8"/>
  <c r="I374" i="8"/>
  <c r="H374" i="8"/>
  <c r="I373" i="8"/>
  <c r="H373" i="8"/>
  <c r="I372" i="8"/>
  <c r="H372" i="8"/>
  <c r="I371" i="8"/>
  <c r="H371" i="8"/>
  <c r="I370" i="8"/>
  <c r="H370" i="8"/>
  <c r="I369" i="8"/>
  <c r="H369" i="8"/>
  <c r="I368" i="8"/>
  <c r="H368" i="8"/>
  <c r="I367" i="8"/>
  <c r="H367" i="8"/>
  <c r="I366" i="8"/>
  <c r="H366" i="8"/>
  <c r="I365" i="8"/>
  <c r="H365" i="8"/>
  <c r="I364" i="8"/>
  <c r="H364" i="8"/>
  <c r="I363" i="8"/>
  <c r="H363" i="8"/>
  <c r="I362" i="8"/>
  <c r="H362" i="8"/>
  <c r="I361" i="8"/>
  <c r="H361" i="8"/>
  <c r="I360" i="8"/>
  <c r="H360" i="8"/>
  <c r="I359" i="8"/>
  <c r="H359" i="8"/>
  <c r="I358" i="8"/>
  <c r="H358" i="8"/>
  <c r="I357" i="8"/>
  <c r="H357" i="8"/>
  <c r="I356" i="8"/>
  <c r="H356" i="8"/>
  <c r="I355" i="8"/>
  <c r="H355" i="8"/>
  <c r="I354" i="8"/>
  <c r="H354" i="8"/>
  <c r="I353" i="8"/>
  <c r="H353" i="8"/>
  <c r="I352" i="8"/>
  <c r="H352" i="8"/>
  <c r="I351" i="8"/>
  <c r="H351" i="8"/>
  <c r="I350" i="8"/>
  <c r="H350" i="8"/>
  <c r="I349" i="8"/>
  <c r="H349" i="8"/>
  <c r="I348" i="8"/>
  <c r="H348" i="8"/>
  <c r="I347" i="8"/>
  <c r="H347" i="8"/>
  <c r="I346" i="8"/>
  <c r="H346" i="8"/>
  <c r="I345" i="8"/>
  <c r="H345" i="8"/>
  <c r="I344" i="8"/>
  <c r="H344" i="8"/>
  <c r="I343" i="8"/>
  <c r="H343" i="8"/>
  <c r="I342" i="8"/>
  <c r="H342" i="8"/>
  <c r="I341" i="8"/>
  <c r="H341" i="8"/>
  <c r="I340" i="8"/>
  <c r="H340" i="8"/>
  <c r="I339" i="8"/>
  <c r="H339" i="8"/>
  <c r="I338" i="8"/>
  <c r="H338" i="8"/>
  <c r="I337" i="8"/>
  <c r="H337" i="8"/>
  <c r="I336" i="8"/>
  <c r="H336" i="8"/>
  <c r="I335" i="8"/>
  <c r="H335" i="8"/>
  <c r="I334" i="8"/>
  <c r="H334" i="8"/>
  <c r="I333" i="8"/>
  <c r="H333" i="8"/>
  <c r="I332" i="8"/>
  <c r="H332" i="8"/>
  <c r="I331" i="8"/>
  <c r="H331" i="8"/>
  <c r="I330" i="8"/>
  <c r="H330" i="8"/>
  <c r="I329" i="8"/>
  <c r="H329" i="8"/>
  <c r="I328" i="8"/>
  <c r="H328" i="8"/>
  <c r="I327" i="8"/>
  <c r="H327" i="8"/>
  <c r="I326" i="8"/>
  <c r="H326" i="8"/>
  <c r="I325" i="8"/>
  <c r="H325" i="8"/>
  <c r="I324" i="8"/>
  <c r="H324" i="8"/>
  <c r="I323" i="8"/>
  <c r="H323" i="8"/>
  <c r="I322" i="8"/>
  <c r="H322" i="8"/>
  <c r="I321" i="8"/>
  <c r="H321" i="8"/>
  <c r="I320" i="8"/>
  <c r="H320" i="8"/>
  <c r="I319" i="8"/>
  <c r="H319" i="8"/>
  <c r="I318" i="8"/>
  <c r="H318" i="8"/>
  <c r="I317" i="8"/>
  <c r="H317" i="8"/>
  <c r="I316" i="8"/>
  <c r="H316" i="8"/>
  <c r="I315" i="8"/>
  <c r="H315" i="8"/>
  <c r="I314" i="8"/>
  <c r="H314" i="8"/>
  <c r="I313" i="8"/>
  <c r="H313" i="8"/>
  <c r="I312" i="8"/>
  <c r="H312" i="8"/>
  <c r="I311" i="8"/>
  <c r="H311" i="8"/>
  <c r="I310" i="8"/>
  <c r="H310" i="8"/>
  <c r="I309" i="8"/>
  <c r="H309" i="8"/>
  <c r="I308" i="8"/>
  <c r="H308" i="8"/>
  <c r="I307" i="8"/>
  <c r="H307" i="8"/>
  <c r="I306" i="8"/>
  <c r="H306" i="8"/>
  <c r="I305" i="8"/>
  <c r="H305" i="8"/>
  <c r="I304" i="8"/>
  <c r="H304" i="8"/>
  <c r="I303" i="8"/>
  <c r="H303" i="8"/>
  <c r="I302" i="8"/>
  <c r="H302" i="8"/>
  <c r="I301" i="8"/>
  <c r="H301" i="8"/>
  <c r="I300" i="8"/>
  <c r="H300" i="8"/>
  <c r="I299" i="8"/>
  <c r="H299" i="8"/>
  <c r="I298" i="8"/>
  <c r="H298" i="8"/>
  <c r="I297" i="8"/>
  <c r="H297" i="8"/>
  <c r="I296" i="8"/>
  <c r="H296" i="8"/>
  <c r="I295" i="8"/>
  <c r="H295" i="8"/>
  <c r="I294" i="8"/>
  <c r="H294" i="8"/>
  <c r="I293" i="8"/>
  <c r="H293" i="8"/>
  <c r="I292" i="8"/>
  <c r="H292" i="8"/>
  <c r="I291" i="8"/>
  <c r="H291" i="8"/>
  <c r="I290" i="8"/>
  <c r="H290" i="8"/>
  <c r="I289" i="8"/>
  <c r="H289" i="8"/>
  <c r="I288" i="8"/>
  <c r="H288" i="8"/>
  <c r="I287" i="8"/>
  <c r="H287" i="8"/>
  <c r="I286" i="8"/>
  <c r="H286" i="8"/>
  <c r="I285" i="8"/>
  <c r="H285" i="8"/>
  <c r="I284" i="8"/>
  <c r="H284" i="8"/>
  <c r="I283" i="8"/>
  <c r="H283" i="8"/>
  <c r="I282" i="8"/>
  <c r="H282" i="8"/>
  <c r="I281" i="8"/>
  <c r="H281" i="8"/>
  <c r="I280" i="8"/>
  <c r="H280" i="8"/>
  <c r="I279" i="8"/>
  <c r="H279" i="8"/>
  <c r="I278" i="8"/>
  <c r="H278" i="8"/>
  <c r="I277" i="8"/>
  <c r="H277" i="8"/>
  <c r="I276" i="8"/>
  <c r="H276" i="8"/>
  <c r="I275" i="8"/>
  <c r="H275" i="8"/>
  <c r="I274" i="8"/>
  <c r="H274" i="8"/>
  <c r="I273" i="8"/>
  <c r="H273" i="8"/>
  <c r="I272" i="8"/>
  <c r="H272" i="8"/>
  <c r="I271" i="8"/>
  <c r="H271" i="8"/>
  <c r="I270" i="8"/>
  <c r="H270" i="8"/>
  <c r="I269" i="8"/>
  <c r="H269" i="8"/>
  <c r="I268" i="8"/>
  <c r="H268" i="8"/>
  <c r="I267" i="8"/>
  <c r="H267" i="8"/>
  <c r="I266" i="8"/>
  <c r="H266" i="8"/>
  <c r="I265" i="8"/>
  <c r="H265" i="8"/>
  <c r="I264" i="8"/>
  <c r="H264" i="8"/>
  <c r="I263" i="8"/>
  <c r="H263" i="8"/>
  <c r="I262" i="8"/>
  <c r="H262" i="8"/>
  <c r="I261" i="8"/>
  <c r="H261" i="8"/>
  <c r="I260" i="8"/>
  <c r="H260" i="8"/>
  <c r="I259" i="8"/>
  <c r="H259" i="8"/>
  <c r="I258" i="8"/>
  <c r="H258" i="8"/>
  <c r="I257" i="8"/>
  <c r="H257" i="8"/>
  <c r="I256" i="8"/>
  <c r="H256" i="8"/>
  <c r="I255" i="8"/>
  <c r="H255" i="8"/>
  <c r="I254" i="8"/>
  <c r="H254" i="8"/>
  <c r="I253" i="8"/>
  <c r="H253" i="8"/>
  <c r="I252" i="8"/>
  <c r="H252" i="8"/>
  <c r="I251" i="8"/>
  <c r="H251" i="8"/>
  <c r="I250" i="8"/>
  <c r="H250" i="8"/>
  <c r="I249" i="8"/>
  <c r="H249" i="8"/>
  <c r="I248" i="8"/>
  <c r="H248" i="8"/>
  <c r="I247" i="8"/>
  <c r="H247" i="8"/>
  <c r="I246" i="8"/>
  <c r="H246" i="8"/>
  <c r="I245" i="8"/>
  <c r="H245" i="8"/>
  <c r="I244" i="8"/>
  <c r="H244" i="8"/>
  <c r="I243" i="8"/>
  <c r="H243" i="8"/>
  <c r="I242" i="8"/>
  <c r="H242" i="8"/>
  <c r="I241" i="8"/>
  <c r="H241" i="8"/>
  <c r="I240" i="8"/>
  <c r="H240" i="8"/>
  <c r="I239" i="8"/>
  <c r="H239" i="8"/>
  <c r="I238" i="8"/>
  <c r="H238" i="8"/>
  <c r="I237" i="8"/>
  <c r="H237" i="8"/>
  <c r="I236" i="8"/>
  <c r="H236" i="8"/>
  <c r="I235" i="8"/>
  <c r="H235" i="8"/>
  <c r="I234" i="8"/>
  <c r="H234" i="8"/>
  <c r="I233" i="8"/>
  <c r="H233" i="8"/>
  <c r="I232" i="8"/>
  <c r="H232" i="8"/>
  <c r="I231" i="8"/>
  <c r="H231" i="8"/>
  <c r="I230" i="8"/>
  <c r="H230" i="8"/>
  <c r="I229" i="8"/>
  <c r="H229" i="8"/>
  <c r="I228" i="8"/>
  <c r="H228" i="8"/>
  <c r="I227" i="8"/>
  <c r="H227" i="8"/>
  <c r="I226" i="8"/>
  <c r="H226" i="8"/>
  <c r="I225" i="8"/>
  <c r="H225" i="8"/>
  <c r="I224" i="8"/>
  <c r="H224" i="8"/>
  <c r="I223" i="8"/>
  <c r="H223" i="8"/>
  <c r="I222" i="8"/>
  <c r="H222" i="8"/>
  <c r="I221" i="8"/>
  <c r="H221" i="8"/>
  <c r="I220" i="8"/>
  <c r="H220" i="8"/>
  <c r="I219" i="8"/>
  <c r="H219" i="8"/>
  <c r="I218" i="8"/>
  <c r="H218" i="8"/>
  <c r="I217" i="8"/>
  <c r="H217" i="8"/>
  <c r="I216" i="8"/>
  <c r="H216" i="8"/>
  <c r="I215" i="8"/>
  <c r="H215" i="8"/>
  <c r="I214" i="8"/>
  <c r="H214" i="8"/>
  <c r="I213" i="8"/>
  <c r="H213" i="8"/>
  <c r="I212" i="8"/>
  <c r="H212" i="8"/>
  <c r="I211" i="8"/>
  <c r="H211" i="8"/>
  <c r="I210" i="8"/>
  <c r="H210" i="8"/>
  <c r="I209" i="8"/>
  <c r="H209" i="8"/>
  <c r="I208" i="8"/>
  <c r="H208" i="8"/>
  <c r="I207" i="8"/>
  <c r="H207" i="8"/>
  <c r="I206" i="8"/>
  <c r="H206" i="8"/>
  <c r="I205" i="8"/>
  <c r="H205" i="8"/>
  <c r="I204" i="8"/>
  <c r="H204" i="8"/>
  <c r="I203" i="8"/>
  <c r="H203" i="8"/>
  <c r="I202" i="8"/>
  <c r="H202" i="8"/>
  <c r="I201" i="8"/>
  <c r="H201" i="8"/>
  <c r="I200" i="8"/>
  <c r="H200" i="8"/>
  <c r="I199" i="8"/>
  <c r="H199" i="8"/>
  <c r="I198" i="8"/>
  <c r="H198" i="8"/>
  <c r="I197" i="8"/>
  <c r="H197" i="8"/>
  <c r="I196" i="8"/>
  <c r="H196" i="8"/>
  <c r="I195" i="8"/>
  <c r="H195" i="8"/>
  <c r="I194" i="8"/>
  <c r="H194" i="8"/>
  <c r="I193" i="8"/>
  <c r="H193" i="8"/>
  <c r="I192" i="8"/>
  <c r="H192" i="8"/>
  <c r="I191" i="8"/>
  <c r="H191" i="8"/>
  <c r="I190" i="8"/>
  <c r="H190" i="8"/>
  <c r="I189" i="8"/>
  <c r="H189" i="8"/>
  <c r="I188" i="8"/>
  <c r="H188" i="8"/>
  <c r="I187" i="8"/>
  <c r="H187" i="8"/>
  <c r="I186" i="8"/>
  <c r="H186" i="8"/>
  <c r="I185" i="8"/>
  <c r="H185" i="8"/>
  <c r="I184" i="8"/>
  <c r="H184" i="8"/>
  <c r="I183" i="8"/>
  <c r="H183" i="8"/>
  <c r="I182" i="8"/>
  <c r="H182" i="8"/>
  <c r="I181" i="8"/>
  <c r="H181" i="8"/>
  <c r="I180" i="8"/>
  <c r="H180" i="8"/>
  <c r="I179" i="8"/>
  <c r="H179" i="8"/>
  <c r="I178" i="8"/>
  <c r="H178" i="8"/>
  <c r="I177" i="8"/>
  <c r="H177" i="8"/>
  <c r="I176" i="8"/>
  <c r="H176" i="8"/>
  <c r="I175" i="8"/>
  <c r="H175" i="8"/>
  <c r="I174" i="8"/>
  <c r="H174" i="8"/>
  <c r="I173" i="8"/>
  <c r="H173" i="8"/>
  <c r="I172" i="8"/>
  <c r="H172" i="8"/>
  <c r="I171" i="8"/>
  <c r="H171" i="8"/>
  <c r="I170" i="8"/>
  <c r="H170" i="8"/>
  <c r="I169" i="8"/>
  <c r="H169" i="8"/>
  <c r="I168" i="8"/>
  <c r="H168" i="8"/>
  <c r="I167" i="8"/>
  <c r="H167" i="8"/>
  <c r="I166" i="8"/>
  <c r="H166" i="8"/>
  <c r="I165" i="8"/>
  <c r="H165" i="8"/>
  <c r="I164" i="8"/>
  <c r="H164" i="8"/>
  <c r="I163" i="8"/>
  <c r="H163" i="8"/>
  <c r="I162" i="8"/>
  <c r="H162" i="8"/>
  <c r="I161" i="8"/>
  <c r="H161" i="8"/>
  <c r="I160" i="8"/>
  <c r="H160" i="8"/>
  <c r="I159" i="8"/>
  <c r="H159" i="8"/>
  <c r="I158" i="8"/>
  <c r="H158" i="8"/>
  <c r="I157" i="8"/>
  <c r="H157" i="8"/>
  <c r="I156" i="8"/>
  <c r="H156" i="8"/>
  <c r="I155" i="8"/>
  <c r="H155" i="8"/>
  <c r="I154" i="8"/>
  <c r="H154" i="8"/>
  <c r="I153" i="8"/>
  <c r="H153" i="8"/>
  <c r="I152" i="8"/>
  <c r="H152" i="8"/>
  <c r="I151" i="8"/>
  <c r="H151" i="8"/>
  <c r="I150" i="8"/>
  <c r="H150" i="8"/>
  <c r="I149" i="8"/>
  <c r="H149" i="8"/>
  <c r="I148" i="8"/>
  <c r="H148" i="8"/>
  <c r="I147" i="8"/>
  <c r="H147" i="8"/>
  <c r="I146" i="8"/>
  <c r="H146" i="8"/>
  <c r="I145" i="8"/>
  <c r="H145" i="8"/>
  <c r="I144" i="8"/>
  <c r="H144" i="8"/>
  <c r="I143" i="8"/>
  <c r="H143" i="8"/>
  <c r="I142" i="8"/>
  <c r="H142" i="8"/>
  <c r="I141" i="8"/>
  <c r="H141" i="8"/>
  <c r="I140" i="8"/>
  <c r="H140" i="8"/>
  <c r="I139" i="8"/>
  <c r="H139" i="8"/>
  <c r="I138" i="8"/>
  <c r="H138" i="8"/>
  <c r="I137" i="8"/>
  <c r="H137" i="8"/>
  <c r="I136" i="8"/>
  <c r="H136" i="8"/>
  <c r="I135" i="8"/>
  <c r="H135" i="8"/>
  <c r="I134" i="8"/>
  <c r="H134" i="8"/>
  <c r="I133" i="8"/>
  <c r="H133" i="8"/>
  <c r="I132" i="8"/>
  <c r="H132" i="8"/>
  <c r="I131" i="8"/>
  <c r="H131" i="8"/>
  <c r="I130" i="8"/>
  <c r="H130" i="8"/>
  <c r="I129" i="8"/>
  <c r="H129" i="8"/>
  <c r="I128" i="8"/>
  <c r="H128" i="8"/>
  <c r="I127" i="8"/>
  <c r="H127" i="8"/>
  <c r="I126" i="8"/>
  <c r="H126" i="8"/>
  <c r="I125" i="8"/>
  <c r="H125" i="8"/>
  <c r="I124" i="8"/>
  <c r="H124" i="8"/>
  <c r="I123" i="8"/>
  <c r="H123" i="8"/>
  <c r="I122" i="8"/>
  <c r="H122" i="8"/>
  <c r="I121" i="8"/>
  <c r="H121" i="8"/>
  <c r="I120" i="8"/>
  <c r="H120" i="8"/>
  <c r="I119" i="8"/>
  <c r="H119" i="8"/>
  <c r="I118" i="8"/>
  <c r="H118" i="8"/>
  <c r="I117" i="8"/>
  <c r="H117" i="8"/>
  <c r="I116" i="8"/>
  <c r="H116" i="8"/>
  <c r="I115" i="8"/>
  <c r="H115" i="8"/>
  <c r="I114" i="8"/>
  <c r="H114" i="8"/>
  <c r="I113" i="8"/>
  <c r="H113" i="8"/>
  <c r="I112" i="8"/>
  <c r="H112" i="8"/>
  <c r="I111" i="8"/>
  <c r="H111" i="8"/>
  <c r="I110" i="8"/>
  <c r="H110" i="8"/>
  <c r="I109" i="8"/>
  <c r="H109" i="8"/>
  <c r="I108" i="8"/>
  <c r="H108" i="8"/>
  <c r="I107" i="8"/>
  <c r="H107" i="8"/>
  <c r="I106" i="8"/>
  <c r="H106" i="8"/>
  <c r="I105" i="8"/>
  <c r="H105" i="8"/>
  <c r="I104" i="8"/>
  <c r="H104" i="8"/>
  <c r="I103" i="8"/>
  <c r="H103" i="8"/>
  <c r="I102" i="8"/>
  <c r="H102" i="8"/>
  <c r="I101" i="8"/>
  <c r="H101" i="8"/>
  <c r="I100" i="8"/>
  <c r="H100" i="8"/>
  <c r="I99" i="8"/>
  <c r="H99" i="8"/>
  <c r="I98" i="8"/>
  <c r="H98" i="8"/>
  <c r="I97" i="8"/>
  <c r="H97" i="8"/>
  <c r="I96" i="8"/>
  <c r="H96" i="8"/>
  <c r="I95" i="8"/>
  <c r="H95" i="8"/>
  <c r="I94" i="8"/>
  <c r="H94" i="8"/>
  <c r="I93" i="8"/>
  <c r="H93" i="8"/>
  <c r="I92" i="8"/>
  <c r="H92" i="8"/>
  <c r="I91" i="8"/>
  <c r="H91" i="8"/>
  <c r="I90" i="8"/>
  <c r="H90" i="8"/>
  <c r="I89" i="8"/>
  <c r="H89" i="8"/>
  <c r="I88" i="8"/>
  <c r="H88" i="8"/>
  <c r="I87" i="8"/>
  <c r="H87" i="8"/>
  <c r="I86" i="8"/>
  <c r="H86" i="8"/>
  <c r="I85" i="8"/>
  <c r="H85" i="8"/>
  <c r="I84" i="8"/>
  <c r="H84" i="8"/>
  <c r="I83" i="8"/>
  <c r="H83" i="8"/>
  <c r="I82" i="8"/>
  <c r="H82" i="8"/>
  <c r="I81" i="8"/>
  <c r="H81" i="8"/>
  <c r="I80" i="8"/>
  <c r="H80" i="8"/>
  <c r="I79" i="8"/>
  <c r="H79" i="8"/>
  <c r="I78" i="8"/>
  <c r="H78" i="8"/>
  <c r="I77" i="8"/>
  <c r="H77" i="8"/>
  <c r="I76" i="8"/>
  <c r="H76" i="8"/>
  <c r="I75" i="8"/>
  <c r="H75" i="8"/>
  <c r="I74" i="8"/>
  <c r="H74" i="8"/>
  <c r="I73" i="8"/>
  <c r="H73" i="8"/>
  <c r="I72" i="8"/>
  <c r="H72" i="8"/>
  <c r="I71" i="8"/>
  <c r="H71" i="8"/>
  <c r="I70" i="8"/>
  <c r="H70" i="8"/>
  <c r="I69" i="8"/>
  <c r="H69" i="8"/>
  <c r="I68" i="8"/>
  <c r="H68" i="8"/>
  <c r="I67" i="8"/>
  <c r="H67" i="8"/>
  <c r="I66" i="8"/>
  <c r="H66" i="8"/>
  <c r="I65" i="8"/>
  <c r="H65" i="8"/>
  <c r="I64" i="8"/>
  <c r="H64" i="8"/>
  <c r="I63" i="8"/>
  <c r="H63" i="8"/>
  <c r="I62" i="8"/>
  <c r="H62" i="8"/>
  <c r="I61" i="8"/>
  <c r="H61" i="8"/>
  <c r="I60" i="8"/>
  <c r="H60" i="8"/>
  <c r="I59" i="8"/>
  <c r="H59" i="8"/>
  <c r="I58" i="8"/>
  <c r="H58" i="8"/>
  <c r="I57" i="8"/>
  <c r="H57" i="8"/>
  <c r="I56" i="8"/>
  <c r="H56" i="8"/>
  <c r="I55" i="8"/>
  <c r="H55" i="8"/>
  <c r="I54" i="8"/>
  <c r="H54" i="8"/>
  <c r="I53" i="8"/>
  <c r="H53" i="8"/>
  <c r="I52" i="8"/>
  <c r="H52" i="8"/>
  <c r="I51" i="8"/>
  <c r="H51" i="8"/>
  <c r="I50" i="8"/>
  <c r="H50" i="8"/>
  <c r="I49" i="8"/>
  <c r="H49" i="8"/>
  <c r="I48" i="8"/>
  <c r="H48" i="8"/>
  <c r="I47" i="8"/>
  <c r="H47" i="8"/>
  <c r="I46" i="8"/>
  <c r="H46" i="8"/>
  <c r="I45" i="8"/>
  <c r="H45" i="8"/>
  <c r="I44" i="8"/>
  <c r="H44" i="8"/>
  <c r="I43" i="8"/>
  <c r="H43" i="8"/>
  <c r="I42" i="8"/>
  <c r="H42" i="8"/>
  <c r="I41" i="8"/>
  <c r="H41" i="8"/>
  <c r="I40" i="8"/>
  <c r="H40" i="8"/>
  <c r="I39" i="8"/>
  <c r="H39" i="8"/>
  <c r="I38" i="8"/>
  <c r="H38" i="8"/>
  <c r="I37" i="8"/>
  <c r="H37" i="8"/>
  <c r="I36" i="8"/>
  <c r="H36" i="8"/>
  <c r="I35" i="8"/>
  <c r="H35" i="8"/>
  <c r="I34" i="8"/>
  <c r="H34" i="8"/>
  <c r="I33" i="8"/>
  <c r="H33" i="8"/>
  <c r="I32" i="8"/>
  <c r="H32" i="8"/>
  <c r="I31" i="8"/>
  <c r="H31" i="8"/>
  <c r="I30" i="8"/>
  <c r="H30" i="8"/>
  <c r="I29" i="8"/>
  <c r="H29" i="8"/>
  <c r="I28" i="8"/>
  <c r="H28" i="8"/>
  <c r="I27" i="8"/>
  <c r="H27" i="8"/>
  <c r="I26" i="8"/>
  <c r="H26" i="8"/>
  <c r="I25" i="8"/>
  <c r="H25" i="8"/>
  <c r="I24" i="8"/>
  <c r="H24" i="8"/>
  <c r="I23" i="8"/>
  <c r="H23" i="8"/>
  <c r="I22" i="8"/>
  <c r="H22" i="8"/>
  <c r="I21" i="8"/>
  <c r="H21" i="8"/>
  <c r="I20" i="8"/>
  <c r="H20" i="8"/>
  <c r="I19" i="8"/>
  <c r="H19" i="8"/>
  <c r="I18" i="8"/>
  <c r="H18" i="8"/>
  <c r="I17" i="8"/>
  <c r="H17" i="8"/>
  <c r="I16" i="8"/>
  <c r="H16" i="8"/>
  <c r="I15" i="8"/>
  <c r="H15" i="8"/>
  <c r="I14" i="8"/>
  <c r="H14" i="8"/>
  <c r="I13" i="8"/>
  <c r="H13" i="8"/>
  <c r="I12" i="8"/>
  <c r="H12" i="8"/>
  <c r="I11" i="8"/>
  <c r="H11" i="8"/>
  <c r="I10" i="8"/>
  <c r="H10" i="8"/>
  <c r="I9" i="8"/>
  <c r="H9" i="8"/>
  <c r="I8" i="8"/>
  <c r="H8" i="8"/>
  <c r="I7" i="8"/>
  <c r="H7" i="8"/>
  <c r="I6" i="8"/>
  <c r="H6" i="8"/>
  <c r="I5" i="8"/>
  <c r="H5" i="8"/>
  <c r="K487" i="7"/>
  <c r="J487" i="7"/>
  <c r="I487" i="7"/>
  <c r="K486" i="7"/>
  <c r="J486" i="7"/>
  <c r="I486" i="7"/>
  <c r="K485" i="7"/>
  <c r="J485" i="7"/>
  <c r="I485" i="7"/>
  <c r="K484" i="7"/>
  <c r="J484" i="7"/>
  <c r="I484" i="7"/>
  <c r="K483" i="7"/>
  <c r="J483" i="7"/>
  <c r="I483" i="7"/>
  <c r="K481" i="7"/>
  <c r="J481" i="7"/>
  <c r="I481" i="7"/>
  <c r="K480" i="7"/>
  <c r="J480" i="7"/>
  <c r="I480" i="7"/>
  <c r="K478" i="7"/>
  <c r="J478" i="7"/>
  <c r="I478" i="7"/>
  <c r="K476" i="7"/>
  <c r="J476" i="7"/>
  <c r="I476" i="7"/>
  <c r="K474" i="7"/>
  <c r="J474" i="7"/>
  <c r="I474" i="7"/>
  <c r="K473" i="7"/>
  <c r="J473" i="7"/>
  <c r="I473" i="7"/>
  <c r="K472" i="7"/>
  <c r="J472" i="7"/>
  <c r="I472" i="7"/>
  <c r="K471" i="7"/>
  <c r="J471" i="7"/>
  <c r="I471" i="7"/>
  <c r="K470" i="7"/>
  <c r="J470" i="7"/>
  <c r="I470" i="7"/>
  <c r="K468" i="7"/>
  <c r="J468" i="7"/>
  <c r="I468" i="7"/>
  <c r="K467" i="7"/>
  <c r="J467" i="7"/>
  <c r="I467" i="7"/>
  <c r="K466" i="7"/>
  <c r="J466" i="7"/>
  <c r="I466" i="7"/>
  <c r="K465" i="7"/>
  <c r="J465" i="7"/>
  <c r="I465" i="7"/>
  <c r="K464" i="7"/>
  <c r="J464" i="7"/>
  <c r="I464" i="7"/>
  <c r="K463" i="7"/>
  <c r="J463" i="7"/>
  <c r="I463" i="7"/>
  <c r="K461" i="7"/>
  <c r="J461" i="7"/>
  <c r="I461" i="7"/>
  <c r="K460" i="7"/>
  <c r="J460" i="7"/>
  <c r="I460" i="7"/>
  <c r="K459" i="7"/>
  <c r="J459" i="7"/>
  <c r="I459" i="7"/>
  <c r="K458" i="7"/>
  <c r="J458" i="7"/>
  <c r="I458" i="7"/>
  <c r="K457" i="7"/>
  <c r="J457" i="7"/>
  <c r="I457" i="7"/>
  <c r="K456" i="7"/>
  <c r="J456" i="7"/>
  <c r="I456" i="7"/>
  <c r="K455" i="7"/>
  <c r="J455" i="7"/>
  <c r="I455" i="7"/>
  <c r="K454" i="7"/>
  <c r="J454" i="7"/>
  <c r="I454" i="7"/>
  <c r="K453" i="7"/>
  <c r="J453" i="7"/>
  <c r="I453" i="7"/>
  <c r="K452" i="7"/>
  <c r="J452" i="7"/>
  <c r="I452" i="7"/>
  <c r="K451" i="7"/>
  <c r="J451" i="7"/>
  <c r="I451" i="7"/>
  <c r="K450" i="7"/>
  <c r="J450" i="7"/>
  <c r="I450" i="7"/>
  <c r="K449" i="7"/>
  <c r="J449" i="7"/>
  <c r="I449" i="7"/>
  <c r="K447" i="7"/>
  <c r="J447" i="7"/>
  <c r="I447" i="7"/>
  <c r="K446" i="7"/>
  <c r="J446" i="7"/>
  <c r="I446" i="7"/>
  <c r="K445" i="7"/>
  <c r="J445" i="7"/>
  <c r="I445" i="7"/>
  <c r="K444" i="7"/>
  <c r="J444" i="7"/>
  <c r="I444" i="7"/>
  <c r="K443" i="7"/>
  <c r="J443" i="7"/>
  <c r="I443" i="7"/>
  <c r="K442" i="7"/>
  <c r="J442" i="7"/>
  <c r="I442" i="7"/>
  <c r="K441" i="7"/>
  <c r="J441" i="7"/>
  <c r="I441" i="7"/>
  <c r="K440" i="7"/>
  <c r="J440" i="7"/>
  <c r="I440" i="7"/>
  <c r="K439" i="7"/>
  <c r="J439" i="7"/>
  <c r="I439" i="7"/>
  <c r="K438" i="7"/>
  <c r="J438" i="7"/>
  <c r="I438" i="7"/>
  <c r="K437" i="7"/>
  <c r="J437" i="7"/>
  <c r="I437" i="7"/>
  <c r="K436" i="7"/>
  <c r="J436" i="7"/>
  <c r="I436" i="7"/>
  <c r="K434" i="7"/>
  <c r="J434" i="7"/>
  <c r="I434" i="7"/>
  <c r="K433" i="7"/>
  <c r="J433" i="7"/>
  <c r="I433" i="7"/>
  <c r="K432" i="7"/>
  <c r="J432" i="7"/>
  <c r="I432" i="7"/>
  <c r="K431" i="7"/>
  <c r="J431" i="7"/>
  <c r="I431" i="7"/>
  <c r="K430" i="7"/>
  <c r="J430" i="7"/>
  <c r="I430" i="7"/>
  <c r="K429" i="7"/>
  <c r="J429" i="7"/>
  <c r="I429" i="7"/>
  <c r="K428" i="7"/>
  <c r="J428" i="7"/>
  <c r="I428" i="7"/>
  <c r="K427" i="7"/>
  <c r="J427" i="7"/>
  <c r="I427" i="7"/>
  <c r="K426" i="7"/>
  <c r="J426" i="7"/>
  <c r="I426" i="7"/>
  <c r="K425" i="7"/>
  <c r="J425" i="7"/>
  <c r="I425" i="7"/>
  <c r="K424" i="7"/>
  <c r="J424" i="7"/>
  <c r="I424" i="7"/>
  <c r="K423" i="7"/>
  <c r="J423" i="7"/>
  <c r="I423" i="7"/>
  <c r="K422" i="7"/>
  <c r="J422" i="7"/>
  <c r="I422" i="7"/>
  <c r="K421" i="7"/>
  <c r="J421" i="7"/>
  <c r="I421" i="7"/>
  <c r="K420" i="7"/>
  <c r="J420" i="7"/>
  <c r="I420" i="7"/>
  <c r="K419" i="7"/>
  <c r="J419" i="7"/>
  <c r="I419" i="7"/>
  <c r="K418" i="7"/>
  <c r="J418" i="7"/>
  <c r="I418" i="7"/>
  <c r="K417" i="7"/>
  <c r="J417" i="7"/>
  <c r="I417" i="7"/>
  <c r="K416" i="7"/>
  <c r="J416" i="7"/>
  <c r="I416" i="7"/>
  <c r="K415" i="7"/>
  <c r="J415" i="7"/>
  <c r="I415" i="7"/>
  <c r="K414" i="7"/>
  <c r="J414" i="7"/>
  <c r="I414" i="7"/>
  <c r="K413" i="7"/>
  <c r="J413" i="7"/>
  <c r="I413" i="7"/>
  <c r="K411" i="7"/>
  <c r="J411" i="7"/>
  <c r="I411" i="7"/>
  <c r="K410" i="7"/>
  <c r="J410" i="7"/>
  <c r="I410" i="7"/>
  <c r="K409" i="7"/>
  <c r="J409" i="7"/>
  <c r="I409" i="7"/>
  <c r="K408" i="7"/>
  <c r="J408" i="7"/>
  <c r="I408" i="7"/>
  <c r="K406" i="7"/>
  <c r="J406" i="7"/>
  <c r="I406" i="7"/>
  <c r="K405" i="7"/>
  <c r="J405" i="7"/>
  <c r="I405" i="7"/>
  <c r="K404" i="7"/>
  <c r="J404" i="7"/>
  <c r="I404" i="7"/>
  <c r="K403" i="7"/>
  <c r="J403" i="7"/>
  <c r="I403" i="7"/>
  <c r="K402" i="7"/>
  <c r="J402" i="7"/>
  <c r="I402" i="7"/>
  <c r="K401" i="7"/>
  <c r="J401" i="7"/>
  <c r="I401" i="7"/>
  <c r="K400" i="7"/>
  <c r="J400" i="7"/>
  <c r="I400" i="7"/>
  <c r="K399" i="7"/>
  <c r="J399" i="7"/>
  <c r="I399" i="7"/>
  <c r="K398" i="7"/>
  <c r="J398" i="7"/>
  <c r="I398" i="7"/>
  <c r="K397" i="7"/>
  <c r="J397" i="7"/>
  <c r="I397" i="7"/>
  <c r="K396" i="7"/>
  <c r="J396" i="7"/>
  <c r="I396" i="7"/>
  <c r="K394" i="7"/>
  <c r="J394" i="7"/>
  <c r="I394" i="7"/>
  <c r="K393" i="7"/>
  <c r="J393" i="7"/>
  <c r="I393" i="7"/>
  <c r="K392" i="7"/>
  <c r="J392" i="7"/>
  <c r="I392" i="7"/>
  <c r="K391" i="7"/>
  <c r="J391" i="7"/>
  <c r="I391" i="7"/>
  <c r="K390" i="7"/>
  <c r="J390" i="7"/>
  <c r="I390" i="7"/>
  <c r="K389" i="7"/>
  <c r="J389" i="7"/>
  <c r="I389" i="7"/>
  <c r="K388" i="7"/>
  <c r="J388" i="7"/>
  <c r="I388" i="7"/>
  <c r="K387" i="7"/>
  <c r="J387" i="7"/>
  <c r="I387" i="7"/>
  <c r="K386" i="7"/>
  <c r="J386" i="7"/>
  <c r="I386" i="7"/>
  <c r="K384" i="7"/>
  <c r="J384" i="7"/>
  <c r="I384" i="7"/>
  <c r="K383" i="7"/>
  <c r="J383" i="7"/>
  <c r="I383" i="7"/>
  <c r="K382" i="7"/>
  <c r="J382" i="7"/>
  <c r="I382" i="7"/>
  <c r="K381" i="7"/>
  <c r="J381" i="7"/>
  <c r="I381" i="7"/>
  <c r="K380" i="7"/>
  <c r="J380" i="7"/>
  <c r="I380" i="7"/>
  <c r="K379" i="7"/>
  <c r="J379" i="7"/>
  <c r="I379" i="7"/>
  <c r="K378" i="7"/>
  <c r="J378" i="7"/>
  <c r="I378" i="7"/>
  <c r="K377" i="7"/>
  <c r="J377" i="7"/>
  <c r="I377" i="7"/>
  <c r="K376" i="7"/>
  <c r="J376" i="7"/>
  <c r="I376" i="7"/>
  <c r="K375" i="7"/>
  <c r="J375" i="7"/>
  <c r="I375" i="7"/>
  <c r="K373" i="7"/>
  <c r="J373" i="7"/>
  <c r="I373" i="7"/>
  <c r="K372" i="7"/>
  <c r="J372" i="7"/>
  <c r="I372" i="7"/>
  <c r="K371" i="7"/>
  <c r="J371" i="7"/>
  <c r="I371" i="7"/>
  <c r="K370" i="7"/>
  <c r="J370" i="7"/>
  <c r="I370" i="7"/>
  <c r="K369" i="7"/>
  <c r="J369" i="7"/>
  <c r="I369" i="7"/>
  <c r="K368" i="7"/>
  <c r="J368" i="7"/>
  <c r="I368" i="7"/>
  <c r="K367" i="7"/>
  <c r="J367" i="7"/>
  <c r="I367" i="7"/>
  <c r="K366" i="7"/>
  <c r="J366" i="7"/>
  <c r="I366" i="7"/>
  <c r="K365" i="7"/>
  <c r="J365" i="7"/>
  <c r="I365" i="7"/>
  <c r="K364" i="7"/>
  <c r="J364" i="7"/>
  <c r="I364" i="7"/>
  <c r="K362" i="7"/>
  <c r="J362" i="7"/>
  <c r="I362" i="7"/>
  <c r="K361" i="7"/>
  <c r="J361" i="7"/>
  <c r="I361" i="7"/>
  <c r="K360" i="7"/>
  <c r="J360" i="7"/>
  <c r="I360" i="7"/>
  <c r="K359" i="7"/>
  <c r="J359" i="7"/>
  <c r="I359" i="7"/>
  <c r="K358" i="7"/>
  <c r="J358" i="7"/>
  <c r="I358" i="7"/>
  <c r="K357" i="7"/>
  <c r="J357" i="7"/>
  <c r="I357" i="7"/>
  <c r="K356" i="7"/>
  <c r="J356" i="7"/>
  <c r="I356" i="7"/>
  <c r="K355" i="7"/>
  <c r="J355" i="7"/>
  <c r="I355" i="7"/>
  <c r="K354" i="7"/>
  <c r="J354" i="7"/>
  <c r="I354" i="7"/>
  <c r="K353" i="7"/>
  <c r="J353" i="7"/>
  <c r="I353" i="7"/>
  <c r="K352" i="7"/>
  <c r="J352" i="7"/>
  <c r="I352" i="7"/>
  <c r="K351" i="7"/>
  <c r="J351" i="7"/>
  <c r="I351" i="7"/>
  <c r="K350" i="7"/>
  <c r="J350" i="7"/>
  <c r="I350" i="7"/>
  <c r="K349" i="7"/>
  <c r="J349" i="7"/>
  <c r="I349" i="7"/>
  <c r="K347" i="7"/>
  <c r="J347" i="7"/>
  <c r="I347" i="7"/>
  <c r="K346" i="7"/>
  <c r="J346" i="7"/>
  <c r="I346" i="7"/>
  <c r="K344" i="7"/>
  <c r="J344" i="7"/>
  <c r="I344" i="7"/>
  <c r="K343" i="7"/>
  <c r="J343" i="7"/>
  <c r="I343" i="7"/>
  <c r="K340" i="7"/>
  <c r="J340" i="7"/>
  <c r="I340" i="7"/>
  <c r="K339" i="7"/>
  <c r="J339" i="7"/>
  <c r="I339" i="7"/>
  <c r="K338" i="7"/>
  <c r="J338" i="7"/>
  <c r="I338" i="7"/>
  <c r="K337" i="7"/>
  <c r="J337" i="7"/>
  <c r="I337" i="7"/>
  <c r="K336" i="7"/>
  <c r="J336" i="7"/>
  <c r="I336" i="7"/>
  <c r="K335" i="7"/>
  <c r="J335" i="7"/>
  <c r="I335" i="7"/>
  <c r="K334" i="7"/>
  <c r="J334" i="7"/>
  <c r="I334" i="7"/>
  <c r="K333" i="7"/>
  <c r="J333" i="7"/>
  <c r="I333" i="7"/>
  <c r="K332" i="7"/>
  <c r="J332" i="7"/>
  <c r="I332" i="7"/>
  <c r="K331" i="7"/>
  <c r="J331" i="7"/>
  <c r="I331" i="7"/>
  <c r="K329" i="7"/>
  <c r="J329" i="7"/>
  <c r="I329" i="7"/>
  <c r="K328" i="7"/>
  <c r="J328" i="7"/>
  <c r="I328" i="7"/>
  <c r="K327" i="7"/>
  <c r="J327" i="7"/>
  <c r="I327" i="7"/>
  <c r="K326" i="7"/>
  <c r="J326" i="7"/>
  <c r="I326" i="7"/>
  <c r="K325" i="7"/>
  <c r="J325" i="7"/>
  <c r="I325" i="7"/>
  <c r="K324" i="7"/>
  <c r="J324" i="7"/>
  <c r="I324" i="7"/>
  <c r="K322" i="7"/>
  <c r="J322" i="7"/>
  <c r="I322" i="7"/>
  <c r="K321" i="7"/>
  <c r="J321" i="7"/>
  <c r="I321" i="7"/>
  <c r="K320" i="7"/>
  <c r="J320" i="7"/>
  <c r="I320" i="7"/>
  <c r="K318" i="7"/>
  <c r="J318" i="7"/>
  <c r="I318" i="7"/>
  <c r="K317" i="7"/>
  <c r="J317" i="7"/>
  <c r="I317" i="7"/>
  <c r="K316" i="7"/>
  <c r="J316" i="7"/>
  <c r="I316" i="7"/>
  <c r="K315" i="7"/>
  <c r="J315" i="7"/>
  <c r="I315" i="7"/>
  <c r="K314" i="7"/>
  <c r="J314" i="7"/>
  <c r="I314" i="7"/>
  <c r="K313" i="7"/>
  <c r="J313" i="7"/>
  <c r="I313" i="7"/>
  <c r="K312" i="7"/>
  <c r="J312" i="7"/>
  <c r="I312" i="7"/>
  <c r="K311" i="7"/>
  <c r="J311" i="7"/>
  <c r="I311" i="7"/>
  <c r="K310" i="7"/>
  <c r="J310" i="7"/>
  <c r="I310" i="7"/>
  <c r="K309" i="7"/>
  <c r="J309" i="7"/>
  <c r="I309" i="7"/>
  <c r="K307" i="7"/>
  <c r="J307" i="7"/>
  <c r="I307" i="7"/>
  <c r="K306" i="7"/>
  <c r="J306" i="7"/>
  <c r="I306" i="7"/>
  <c r="K305" i="7"/>
  <c r="J305" i="7"/>
  <c r="I305" i="7"/>
  <c r="K304" i="7"/>
  <c r="J304" i="7"/>
  <c r="I304" i="7"/>
  <c r="K303" i="7"/>
  <c r="J303" i="7"/>
  <c r="I303" i="7"/>
  <c r="K301" i="7"/>
  <c r="J301" i="7"/>
  <c r="I301" i="7"/>
  <c r="K300" i="7"/>
  <c r="J300" i="7"/>
  <c r="I300" i="7"/>
  <c r="K299" i="7"/>
  <c r="J299" i="7"/>
  <c r="I299" i="7"/>
  <c r="K298" i="7"/>
  <c r="J298" i="7"/>
  <c r="I298" i="7"/>
  <c r="K297" i="7"/>
  <c r="J297" i="7"/>
  <c r="I297" i="7"/>
  <c r="K296" i="7"/>
  <c r="J296" i="7"/>
  <c r="I296" i="7"/>
  <c r="K295" i="7"/>
  <c r="J295" i="7"/>
  <c r="I295" i="7"/>
  <c r="K294" i="7"/>
  <c r="J294" i="7"/>
  <c r="I294" i="7"/>
  <c r="K293" i="7"/>
  <c r="J293" i="7"/>
  <c r="I293" i="7"/>
  <c r="K292" i="7"/>
  <c r="J292" i="7"/>
  <c r="I292" i="7"/>
  <c r="K291" i="7"/>
  <c r="J291" i="7"/>
  <c r="I291" i="7"/>
  <c r="K290" i="7"/>
  <c r="J290" i="7"/>
  <c r="I290" i="7"/>
  <c r="K289" i="7"/>
  <c r="J289" i="7"/>
  <c r="I289" i="7"/>
  <c r="K287" i="7"/>
  <c r="J287" i="7"/>
  <c r="I287" i="7"/>
  <c r="K286" i="7"/>
  <c r="J286" i="7"/>
  <c r="I286" i="7"/>
  <c r="K285" i="7"/>
  <c r="J285" i="7"/>
  <c r="I285" i="7"/>
  <c r="K284" i="7"/>
  <c r="J284" i="7"/>
  <c r="I284" i="7"/>
  <c r="K283" i="7"/>
  <c r="J283" i="7"/>
  <c r="I283" i="7"/>
  <c r="K282" i="7"/>
  <c r="J282" i="7"/>
  <c r="I282" i="7"/>
  <c r="K281" i="7"/>
  <c r="J281" i="7"/>
  <c r="I281" i="7"/>
  <c r="K279" i="7"/>
  <c r="J279" i="7"/>
  <c r="I279" i="7"/>
  <c r="K278" i="7"/>
  <c r="J278" i="7"/>
  <c r="I278" i="7"/>
  <c r="K277" i="7"/>
  <c r="J277" i="7"/>
  <c r="I277" i="7"/>
  <c r="K276" i="7"/>
  <c r="J276" i="7"/>
  <c r="I276" i="7"/>
  <c r="K275" i="7"/>
  <c r="J275" i="7"/>
  <c r="I275" i="7"/>
  <c r="K273" i="7"/>
  <c r="J273" i="7"/>
  <c r="I273" i="7"/>
  <c r="K272" i="7"/>
  <c r="J272" i="7"/>
  <c r="I272" i="7"/>
  <c r="K271" i="7"/>
  <c r="J271" i="7"/>
  <c r="I271" i="7"/>
  <c r="K270" i="7"/>
  <c r="J270" i="7"/>
  <c r="I270" i="7"/>
  <c r="K269" i="7"/>
  <c r="J269" i="7"/>
  <c r="I269" i="7"/>
  <c r="K268" i="7"/>
  <c r="J268" i="7"/>
  <c r="I268" i="7"/>
  <c r="K266" i="7"/>
  <c r="J266" i="7"/>
  <c r="I266" i="7"/>
  <c r="K265" i="7"/>
  <c r="J265" i="7"/>
  <c r="I265" i="7"/>
  <c r="K264" i="7"/>
  <c r="J264" i="7"/>
  <c r="I264" i="7"/>
  <c r="K262" i="7"/>
  <c r="J262" i="7"/>
  <c r="I262" i="7"/>
  <c r="K261" i="7"/>
  <c r="J261" i="7"/>
  <c r="I261" i="7"/>
  <c r="K260" i="7"/>
  <c r="J260" i="7"/>
  <c r="I260" i="7"/>
  <c r="K259" i="7"/>
  <c r="J259" i="7"/>
  <c r="I259" i="7"/>
  <c r="K258" i="7"/>
  <c r="J258" i="7"/>
  <c r="I258" i="7"/>
  <c r="K257" i="7"/>
  <c r="J257" i="7"/>
  <c r="I257" i="7"/>
  <c r="K256" i="7"/>
  <c r="J256" i="7"/>
  <c r="I256" i="7"/>
  <c r="K255" i="7"/>
  <c r="J255" i="7"/>
  <c r="I255" i="7"/>
  <c r="K254" i="7"/>
  <c r="J254" i="7"/>
  <c r="I254" i="7"/>
  <c r="K253" i="7"/>
  <c r="J253" i="7"/>
  <c r="I253" i="7"/>
  <c r="K252" i="7"/>
  <c r="J252" i="7"/>
  <c r="I252" i="7"/>
  <c r="K251" i="7"/>
  <c r="J251" i="7"/>
  <c r="I251" i="7"/>
  <c r="K250" i="7"/>
  <c r="J250" i="7"/>
  <c r="I250" i="7"/>
  <c r="K249" i="7"/>
  <c r="J249" i="7"/>
  <c r="I249" i="7"/>
  <c r="K248" i="7"/>
  <c r="J248" i="7"/>
  <c r="I248" i="7"/>
  <c r="K247" i="7"/>
  <c r="J247" i="7"/>
  <c r="I247" i="7"/>
  <c r="K246" i="7"/>
  <c r="J246" i="7"/>
  <c r="I246" i="7"/>
  <c r="K245" i="7"/>
  <c r="J245" i="7"/>
  <c r="I245" i="7"/>
  <c r="K244" i="7"/>
  <c r="J244" i="7"/>
  <c r="I244" i="7"/>
  <c r="K243" i="7"/>
  <c r="J243" i="7"/>
  <c r="I243" i="7"/>
  <c r="K242" i="7"/>
  <c r="J242" i="7"/>
  <c r="I242" i="7"/>
  <c r="K241" i="7"/>
  <c r="J241" i="7"/>
  <c r="I241" i="7"/>
  <c r="K240" i="7"/>
  <c r="J240" i="7"/>
  <c r="I240" i="7"/>
  <c r="K239" i="7"/>
  <c r="J239" i="7"/>
  <c r="I239" i="7"/>
  <c r="K238" i="7"/>
  <c r="J238" i="7"/>
  <c r="I238" i="7"/>
  <c r="K237" i="7"/>
  <c r="J237" i="7"/>
  <c r="I237" i="7"/>
  <c r="K236" i="7"/>
  <c r="J236" i="7"/>
  <c r="I236" i="7"/>
  <c r="K234" i="7"/>
  <c r="J234" i="7"/>
  <c r="I234" i="7"/>
  <c r="K233" i="7"/>
  <c r="J233" i="7"/>
  <c r="I233" i="7"/>
  <c r="K232" i="7"/>
  <c r="J232" i="7"/>
  <c r="I232" i="7"/>
  <c r="K231" i="7"/>
  <c r="J231" i="7"/>
  <c r="I231" i="7"/>
  <c r="K230" i="7"/>
  <c r="J230" i="7"/>
  <c r="I230" i="7"/>
  <c r="K228" i="7"/>
  <c r="J228" i="7"/>
  <c r="I228" i="7"/>
  <c r="K226" i="7"/>
  <c r="J226" i="7"/>
  <c r="I226" i="7"/>
  <c r="K225" i="7"/>
  <c r="J225" i="7"/>
  <c r="I225" i="7"/>
  <c r="K224" i="7"/>
  <c r="J224" i="7"/>
  <c r="I224" i="7"/>
  <c r="K223" i="7"/>
  <c r="J223" i="7"/>
  <c r="I223" i="7"/>
  <c r="K222" i="7"/>
  <c r="J222" i="7"/>
  <c r="I222" i="7"/>
  <c r="K221" i="7"/>
  <c r="J221" i="7"/>
  <c r="I221" i="7"/>
  <c r="K220" i="7"/>
  <c r="J220" i="7"/>
  <c r="I220" i="7"/>
  <c r="K219" i="7"/>
  <c r="J219" i="7"/>
  <c r="I219" i="7"/>
  <c r="K218" i="7"/>
  <c r="J218" i="7"/>
  <c r="I218" i="7"/>
  <c r="K217" i="7"/>
  <c r="J217" i="7"/>
  <c r="I217" i="7"/>
  <c r="K216" i="7"/>
  <c r="J216" i="7"/>
  <c r="I216" i="7"/>
  <c r="K215" i="7"/>
  <c r="J215" i="7"/>
  <c r="I215" i="7"/>
  <c r="K214" i="7"/>
  <c r="J214" i="7"/>
  <c r="I214" i="7"/>
  <c r="K213" i="7"/>
  <c r="J213" i="7"/>
  <c r="I213" i="7"/>
  <c r="K212" i="7"/>
  <c r="J212" i="7"/>
  <c r="I212" i="7"/>
  <c r="K211" i="7"/>
  <c r="J211" i="7"/>
  <c r="I211" i="7"/>
  <c r="K210" i="7"/>
  <c r="J210" i="7"/>
  <c r="I210" i="7"/>
  <c r="K209" i="7"/>
  <c r="J209" i="7"/>
  <c r="I209" i="7"/>
  <c r="K207" i="7"/>
  <c r="J207" i="7"/>
  <c r="I207" i="7"/>
  <c r="K205" i="7"/>
  <c r="J205" i="7"/>
  <c r="I205" i="7"/>
  <c r="K204" i="7"/>
  <c r="J204" i="7"/>
  <c r="I204" i="7"/>
  <c r="K203" i="7"/>
  <c r="J203" i="7"/>
  <c r="I203" i="7"/>
  <c r="K202" i="7"/>
  <c r="J202" i="7"/>
  <c r="I202" i="7"/>
  <c r="K201" i="7"/>
  <c r="J201" i="7"/>
  <c r="I201" i="7"/>
  <c r="K200" i="7"/>
  <c r="J200" i="7"/>
  <c r="I200" i="7"/>
  <c r="K199" i="7"/>
  <c r="J199" i="7"/>
  <c r="I199" i="7"/>
  <c r="K198" i="7"/>
  <c r="J198" i="7"/>
  <c r="I198" i="7"/>
  <c r="K197" i="7"/>
  <c r="J197" i="7"/>
  <c r="I197" i="7"/>
  <c r="K196" i="7"/>
  <c r="J196" i="7"/>
  <c r="I196" i="7"/>
  <c r="K195" i="7"/>
  <c r="J195" i="7"/>
  <c r="I195" i="7"/>
  <c r="K194" i="7"/>
  <c r="J194" i="7"/>
  <c r="I194" i="7"/>
  <c r="K193" i="7"/>
  <c r="J193" i="7"/>
  <c r="I193" i="7"/>
  <c r="K192" i="7"/>
  <c r="J192" i="7"/>
  <c r="I192" i="7"/>
  <c r="K191" i="7"/>
  <c r="J191" i="7"/>
  <c r="I191" i="7"/>
  <c r="K190" i="7"/>
  <c r="J190" i="7"/>
  <c r="I190" i="7"/>
  <c r="K189" i="7"/>
  <c r="J189" i="7"/>
  <c r="I189" i="7"/>
  <c r="K188" i="7"/>
  <c r="J188" i="7"/>
  <c r="I188" i="7"/>
  <c r="K187" i="7"/>
  <c r="J187" i="7"/>
  <c r="I187" i="7"/>
  <c r="K186" i="7"/>
  <c r="J186" i="7"/>
  <c r="I186" i="7"/>
  <c r="K185" i="7"/>
  <c r="J185" i="7"/>
  <c r="I185" i="7"/>
  <c r="K184" i="7"/>
  <c r="J184" i="7"/>
  <c r="I184" i="7"/>
  <c r="K183" i="7"/>
  <c r="J183" i="7"/>
  <c r="I183" i="7"/>
  <c r="K182" i="7"/>
  <c r="J182" i="7"/>
  <c r="I182" i="7"/>
  <c r="K181" i="7"/>
  <c r="J181" i="7"/>
  <c r="I181" i="7"/>
  <c r="K180" i="7"/>
  <c r="J180" i="7"/>
  <c r="I180" i="7"/>
  <c r="K179" i="7"/>
  <c r="J179" i="7"/>
  <c r="I179" i="7"/>
  <c r="K178" i="7"/>
  <c r="J178" i="7"/>
  <c r="I178" i="7"/>
  <c r="K177" i="7"/>
  <c r="J177" i="7"/>
  <c r="I177" i="7"/>
  <c r="K175" i="7"/>
  <c r="J175" i="7"/>
  <c r="I175" i="7"/>
  <c r="K174" i="7"/>
  <c r="J174" i="7"/>
  <c r="I174" i="7"/>
  <c r="K173" i="7"/>
  <c r="J173" i="7"/>
  <c r="I173" i="7"/>
  <c r="K172" i="7"/>
  <c r="J172" i="7"/>
  <c r="I172" i="7"/>
  <c r="K171" i="7"/>
  <c r="J171" i="7"/>
  <c r="I171" i="7"/>
  <c r="K170" i="7"/>
  <c r="J170" i="7"/>
  <c r="I170" i="7"/>
  <c r="K169" i="7"/>
  <c r="J169" i="7"/>
  <c r="I169" i="7"/>
  <c r="K168" i="7"/>
  <c r="J168" i="7"/>
  <c r="I168" i="7"/>
  <c r="K167" i="7"/>
  <c r="J167" i="7"/>
  <c r="I167" i="7"/>
  <c r="K166" i="7"/>
  <c r="J166" i="7"/>
  <c r="I166" i="7"/>
  <c r="K165" i="7"/>
  <c r="J165" i="7"/>
  <c r="I165" i="7"/>
  <c r="K164" i="7"/>
  <c r="J164" i="7"/>
  <c r="I164" i="7"/>
  <c r="K163" i="7"/>
  <c r="J163" i="7"/>
  <c r="I163" i="7"/>
  <c r="K162" i="7"/>
  <c r="J162" i="7"/>
  <c r="I162" i="7"/>
  <c r="K161" i="7"/>
  <c r="J161" i="7"/>
  <c r="I161" i="7"/>
  <c r="K160" i="7"/>
  <c r="J160" i="7"/>
  <c r="I160" i="7"/>
  <c r="K159" i="7"/>
  <c r="J159" i="7"/>
  <c r="I159" i="7"/>
  <c r="K158" i="7"/>
  <c r="J158" i="7"/>
  <c r="I158" i="7"/>
  <c r="K156" i="7"/>
  <c r="J156" i="7"/>
  <c r="I156" i="7"/>
  <c r="K155" i="7"/>
  <c r="J155" i="7"/>
  <c r="I155" i="7"/>
  <c r="K154" i="7"/>
  <c r="J154" i="7"/>
  <c r="I154" i="7"/>
  <c r="K153" i="7"/>
  <c r="J153" i="7"/>
  <c r="I153" i="7"/>
  <c r="K152" i="7"/>
  <c r="J152" i="7"/>
  <c r="I152" i="7"/>
  <c r="K151" i="7"/>
  <c r="J151" i="7"/>
  <c r="I151" i="7"/>
  <c r="K150" i="7"/>
  <c r="J150" i="7"/>
  <c r="I150" i="7"/>
  <c r="K149" i="7"/>
  <c r="J149" i="7"/>
  <c r="I149" i="7"/>
  <c r="K147" i="7"/>
  <c r="J147" i="7"/>
  <c r="I147" i="7"/>
  <c r="K146" i="7"/>
  <c r="J146" i="7"/>
  <c r="I146" i="7"/>
  <c r="K145" i="7"/>
  <c r="J145" i="7"/>
  <c r="I145" i="7"/>
  <c r="K144" i="7"/>
  <c r="J144" i="7"/>
  <c r="I144" i="7"/>
  <c r="K143" i="7"/>
  <c r="J143" i="7"/>
  <c r="I143" i="7"/>
  <c r="K142" i="7"/>
  <c r="J142" i="7"/>
  <c r="I142" i="7"/>
  <c r="K141" i="7"/>
  <c r="J141" i="7"/>
  <c r="I141" i="7"/>
  <c r="K140" i="7"/>
  <c r="J140" i="7"/>
  <c r="I140" i="7"/>
  <c r="K139" i="7"/>
  <c r="J139" i="7"/>
  <c r="I139" i="7"/>
  <c r="K138" i="7"/>
  <c r="J138" i="7"/>
  <c r="I138" i="7"/>
  <c r="K137" i="7"/>
  <c r="J137" i="7"/>
  <c r="I137" i="7"/>
  <c r="K136" i="7"/>
  <c r="J136" i="7"/>
  <c r="I136" i="7"/>
  <c r="K135" i="7"/>
  <c r="J135" i="7"/>
  <c r="I135" i="7"/>
  <c r="K134" i="7"/>
  <c r="J134" i="7"/>
  <c r="I134" i="7"/>
  <c r="K133" i="7"/>
  <c r="J133" i="7"/>
  <c r="I133" i="7"/>
  <c r="K132" i="7"/>
  <c r="J132" i="7"/>
  <c r="I132" i="7"/>
  <c r="K131" i="7"/>
  <c r="J131" i="7"/>
  <c r="I131" i="7"/>
  <c r="K130" i="7"/>
  <c r="J130" i="7"/>
  <c r="I130" i="7"/>
  <c r="K129" i="7"/>
  <c r="J129" i="7"/>
  <c r="I129" i="7"/>
  <c r="K128" i="7"/>
  <c r="J128" i="7"/>
  <c r="I128" i="7"/>
  <c r="K127" i="7"/>
  <c r="J127" i="7"/>
  <c r="I127" i="7"/>
  <c r="K126" i="7"/>
  <c r="J126" i="7"/>
  <c r="I126" i="7"/>
  <c r="K125" i="7"/>
  <c r="J125" i="7"/>
  <c r="I125" i="7"/>
  <c r="K124" i="7"/>
  <c r="J124" i="7"/>
  <c r="I124" i="7"/>
  <c r="K123" i="7"/>
  <c r="J123" i="7"/>
  <c r="I123" i="7"/>
  <c r="K122" i="7"/>
  <c r="J122" i="7"/>
  <c r="I122" i="7"/>
  <c r="K121" i="7"/>
  <c r="J121" i="7"/>
  <c r="I121" i="7"/>
  <c r="K120" i="7"/>
  <c r="J120" i="7"/>
  <c r="I120" i="7"/>
  <c r="K119" i="7"/>
  <c r="J119" i="7"/>
  <c r="I119" i="7"/>
  <c r="K118" i="7"/>
  <c r="J118" i="7"/>
  <c r="I118" i="7"/>
  <c r="K117" i="7"/>
  <c r="J117" i="7"/>
  <c r="I117" i="7"/>
  <c r="K116" i="7"/>
  <c r="J116" i="7"/>
  <c r="I116" i="7"/>
  <c r="K115" i="7"/>
  <c r="J115" i="7"/>
  <c r="I115" i="7"/>
  <c r="K114" i="7"/>
  <c r="J114" i="7"/>
  <c r="I114" i="7"/>
  <c r="K113" i="7"/>
  <c r="J113" i="7"/>
  <c r="I113" i="7"/>
  <c r="K112" i="7"/>
  <c r="J112" i="7"/>
  <c r="I112" i="7"/>
  <c r="K111" i="7"/>
  <c r="J111" i="7"/>
  <c r="I111" i="7"/>
  <c r="K110" i="7"/>
  <c r="J110" i="7"/>
  <c r="I110" i="7"/>
  <c r="K109" i="7"/>
  <c r="J109" i="7"/>
  <c r="I109" i="7"/>
  <c r="K108" i="7"/>
  <c r="J108" i="7"/>
  <c r="I108" i="7"/>
  <c r="K107" i="7"/>
  <c r="J107" i="7"/>
  <c r="I107" i="7"/>
  <c r="K106" i="7"/>
  <c r="J106" i="7"/>
  <c r="I106" i="7"/>
  <c r="K104" i="7"/>
  <c r="J104" i="7"/>
  <c r="I104" i="7"/>
  <c r="K103" i="7"/>
  <c r="J103" i="7"/>
  <c r="I103" i="7"/>
  <c r="K101" i="7"/>
  <c r="J101" i="7"/>
  <c r="I101" i="7"/>
  <c r="K100" i="7"/>
  <c r="J100" i="7"/>
  <c r="I100" i="7"/>
  <c r="K99" i="7"/>
  <c r="J99" i="7"/>
  <c r="I99" i="7"/>
  <c r="K98" i="7"/>
  <c r="J98" i="7"/>
  <c r="I98" i="7"/>
  <c r="K97" i="7"/>
  <c r="J97" i="7"/>
  <c r="I97" i="7"/>
  <c r="K96" i="7"/>
  <c r="J96" i="7"/>
  <c r="I96" i="7"/>
  <c r="K95" i="7"/>
  <c r="J95" i="7"/>
  <c r="I95" i="7"/>
  <c r="K94" i="7"/>
  <c r="J94" i="7"/>
  <c r="I94" i="7"/>
  <c r="K93" i="7"/>
  <c r="J93" i="7"/>
  <c r="I93" i="7"/>
  <c r="K92" i="7"/>
  <c r="J92" i="7"/>
  <c r="I92" i="7"/>
  <c r="K91" i="7"/>
  <c r="J91" i="7"/>
  <c r="I91" i="7"/>
  <c r="K90" i="7"/>
  <c r="J90" i="7"/>
  <c r="I90" i="7"/>
  <c r="K89" i="7"/>
  <c r="J89" i="7"/>
  <c r="I89" i="7"/>
  <c r="K87" i="7"/>
  <c r="J87" i="7"/>
  <c r="I87" i="7"/>
  <c r="K86" i="7"/>
  <c r="J86" i="7"/>
  <c r="I86" i="7"/>
  <c r="K85" i="7"/>
  <c r="J85" i="7"/>
  <c r="I85" i="7"/>
  <c r="K84" i="7"/>
  <c r="J84" i="7"/>
  <c r="I84" i="7"/>
  <c r="K83" i="7"/>
  <c r="J83" i="7"/>
  <c r="I83" i="7"/>
  <c r="K82" i="7"/>
  <c r="J82" i="7"/>
  <c r="I82" i="7"/>
  <c r="K81" i="7"/>
  <c r="J81" i="7"/>
  <c r="I81" i="7"/>
  <c r="K80" i="7"/>
  <c r="J80" i="7"/>
  <c r="I80" i="7"/>
  <c r="K79" i="7"/>
  <c r="J79" i="7"/>
  <c r="I79" i="7"/>
  <c r="K78" i="7"/>
  <c r="J78" i="7"/>
  <c r="I78" i="7"/>
  <c r="K77" i="7"/>
  <c r="J77" i="7"/>
  <c r="I77" i="7"/>
  <c r="K76" i="7"/>
  <c r="J76" i="7"/>
  <c r="I76" i="7"/>
  <c r="K75" i="7"/>
  <c r="J75" i="7"/>
  <c r="I75" i="7"/>
  <c r="K74" i="7"/>
  <c r="J74" i="7"/>
  <c r="I74" i="7"/>
  <c r="K73" i="7"/>
  <c r="J73" i="7"/>
  <c r="I73" i="7"/>
  <c r="K72" i="7"/>
  <c r="J72" i="7"/>
  <c r="I72" i="7"/>
  <c r="K71" i="7"/>
  <c r="J71" i="7"/>
  <c r="I71" i="7"/>
  <c r="K70" i="7"/>
  <c r="J70" i="7"/>
  <c r="I70" i="7"/>
  <c r="K69" i="7"/>
  <c r="J69" i="7"/>
  <c r="I69" i="7"/>
  <c r="K68" i="7"/>
  <c r="J68" i="7"/>
  <c r="I68" i="7"/>
  <c r="K67" i="7"/>
  <c r="J67" i="7"/>
  <c r="I67" i="7"/>
  <c r="K66" i="7"/>
  <c r="J66" i="7"/>
  <c r="I66" i="7"/>
  <c r="K64" i="7"/>
  <c r="J64" i="7"/>
  <c r="I64" i="7"/>
  <c r="K63" i="7"/>
  <c r="J63" i="7"/>
  <c r="I63" i="7"/>
  <c r="K62" i="7"/>
  <c r="J62" i="7"/>
  <c r="I62" i="7"/>
  <c r="K61" i="7"/>
  <c r="J61" i="7"/>
  <c r="I61" i="7"/>
  <c r="K60" i="7"/>
  <c r="J60" i="7"/>
  <c r="I60" i="7"/>
  <c r="K59" i="7"/>
  <c r="J59" i="7"/>
  <c r="I59" i="7"/>
  <c r="K58" i="7"/>
  <c r="J58" i="7"/>
  <c r="I58" i="7"/>
  <c r="K56" i="7"/>
  <c r="J56" i="7"/>
  <c r="I56" i="7"/>
  <c r="K55" i="7"/>
  <c r="J55" i="7"/>
  <c r="I55" i="7"/>
  <c r="K54" i="7"/>
  <c r="J54" i="7"/>
  <c r="I54" i="7"/>
  <c r="K53" i="7"/>
  <c r="J53" i="7"/>
  <c r="I53" i="7"/>
  <c r="K52" i="7"/>
  <c r="J52" i="7"/>
  <c r="I52" i="7"/>
  <c r="K51" i="7"/>
  <c r="J51" i="7"/>
  <c r="I51" i="7"/>
  <c r="K50" i="7"/>
  <c r="J50" i="7"/>
  <c r="I50" i="7"/>
  <c r="K49" i="7"/>
  <c r="J49" i="7"/>
  <c r="I49" i="7"/>
  <c r="K48" i="7"/>
  <c r="J48" i="7"/>
  <c r="I48" i="7"/>
  <c r="K47" i="7"/>
  <c r="J47" i="7"/>
  <c r="I47" i="7"/>
  <c r="K46" i="7"/>
  <c r="J46" i="7"/>
  <c r="I46" i="7"/>
  <c r="K45" i="7"/>
  <c r="J45" i="7"/>
  <c r="I45" i="7"/>
  <c r="K44" i="7"/>
  <c r="J44" i="7"/>
  <c r="I44" i="7"/>
  <c r="K43" i="7"/>
  <c r="J43" i="7"/>
  <c r="I43" i="7"/>
  <c r="K42" i="7"/>
  <c r="J42" i="7"/>
  <c r="I42" i="7"/>
  <c r="K41" i="7"/>
  <c r="J41" i="7"/>
  <c r="I41" i="7"/>
  <c r="K40" i="7"/>
  <c r="J40" i="7"/>
  <c r="I40" i="7"/>
  <c r="K39" i="7"/>
  <c r="J39" i="7"/>
  <c r="I39" i="7"/>
  <c r="K37" i="7"/>
  <c r="J37" i="7"/>
  <c r="I37" i="7"/>
  <c r="K36" i="7"/>
  <c r="J36" i="7"/>
  <c r="I36" i="7"/>
  <c r="K35" i="7"/>
  <c r="J35" i="7"/>
  <c r="I35" i="7"/>
  <c r="K34" i="7"/>
  <c r="J34" i="7"/>
  <c r="I34" i="7"/>
  <c r="K32" i="7"/>
  <c r="J32" i="7"/>
  <c r="I32" i="7"/>
  <c r="K31" i="7"/>
  <c r="J31" i="7"/>
  <c r="I31" i="7"/>
  <c r="K30" i="7"/>
  <c r="J30" i="7"/>
  <c r="I30" i="7"/>
  <c r="K29" i="7"/>
  <c r="J29" i="7"/>
  <c r="I29" i="7"/>
  <c r="K28" i="7"/>
  <c r="J28" i="7"/>
  <c r="I28" i="7"/>
  <c r="K27" i="7"/>
  <c r="J27" i="7"/>
  <c r="I27" i="7"/>
  <c r="K25" i="7"/>
  <c r="J25" i="7"/>
  <c r="I25" i="7"/>
  <c r="K24" i="7"/>
  <c r="J24" i="7"/>
  <c r="I24" i="7"/>
  <c r="K23" i="7"/>
  <c r="J23" i="7"/>
  <c r="I23" i="7"/>
  <c r="K22" i="7"/>
  <c r="J22" i="7"/>
  <c r="I22" i="7"/>
  <c r="K21" i="7"/>
  <c r="J21" i="7"/>
  <c r="I21" i="7"/>
  <c r="K20" i="7"/>
  <c r="J20" i="7"/>
  <c r="I20" i="7"/>
  <c r="K19" i="7"/>
  <c r="J19" i="7"/>
  <c r="I19" i="7"/>
  <c r="K18" i="7"/>
  <c r="J18" i="7"/>
  <c r="I18" i="7"/>
  <c r="K16" i="7"/>
  <c r="J16" i="7"/>
  <c r="I16" i="7"/>
  <c r="K15" i="7"/>
  <c r="J15" i="7"/>
  <c r="I15" i="7"/>
  <c r="K14" i="7"/>
  <c r="J14" i="7"/>
  <c r="I14" i="7"/>
  <c r="K13" i="7"/>
  <c r="J13" i="7"/>
  <c r="I13" i="7"/>
  <c r="K12" i="7"/>
  <c r="J12" i="7"/>
  <c r="I12" i="7"/>
  <c r="K11" i="7"/>
  <c r="J11" i="7"/>
  <c r="I11" i="7"/>
  <c r="K10" i="7"/>
  <c r="J10" i="7"/>
  <c r="I10" i="7"/>
  <c r="K9" i="7"/>
  <c r="J9" i="7"/>
  <c r="I9" i="7"/>
  <c r="K8" i="7"/>
  <c r="J8" i="7"/>
  <c r="I8" i="7"/>
  <c r="K7" i="7"/>
  <c r="J7" i="7"/>
  <c r="I7" i="7"/>
  <c r="K6" i="7"/>
  <c r="J6" i="7"/>
  <c r="I6" i="7"/>
  <c r="K5" i="7"/>
  <c r="J5" i="7"/>
  <c r="I5" i="7"/>
  <c r="K485" i="6"/>
  <c r="J485" i="6"/>
  <c r="I485" i="6"/>
  <c r="K484" i="6"/>
  <c r="J484" i="6"/>
  <c r="I484" i="6"/>
  <c r="K483" i="6"/>
  <c r="J483" i="6"/>
  <c r="I483" i="6"/>
  <c r="K482" i="6"/>
  <c r="J482" i="6"/>
  <c r="I482" i="6"/>
  <c r="K481" i="6"/>
  <c r="J481" i="6"/>
  <c r="I481" i="6"/>
  <c r="K480" i="6"/>
  <c r="J480" i="6"/>
  <c r="I480" i="6"/>
  <c r="K479" i="6"/>
  <c r="J479" i="6"/>
  <c r="I479" i="6"/>
  <c r="K478" i="6"/>
  <c r="J478" i="6"/>
  <c r="I478" i="6"/>
  <c r="K477" i="6"/>
  <c r="J477" i="6"/>
  <c r="I477" i="6"/>
  <c r="K476" i="6"/>
  <c r="J476" i="6"/>
  <c r="I476" i="6"/>
  <c r="K475" i="6"/>
  <c r="J475" i="6"/>
  <c r="I475" i="6"/>
  <c r="K474" i="6"/>
  <c r="J474" i="6"/>
  <c r="I474" i="6"/>
  <c r="K473" i="6"/>
  <c r="J473" i="6"/>
  <c r="I473" i="6"/>
  <c r="K472" i="6"/>
  <c r="J472" i="6"/>
  <c r="I472" i="6"/>
  <c r="K471" i="6"/>
  <c r="J471" i="6"/>
  <c r="I471" i="6"/>
  <c r="K470" i="6"/>
  <c r="J470" i="6"/>
  <c r="I470" i="6"/>
  <c r="K469" i="6"/>
  <c r="J469" i="6"/>
  <c r="I469" i="6"/>
  <c r="K468" i="6"/>
  <c r="J468" i="6"/>
  <c r="I468" i="6"/>
  <c r="K467" i="6"/>
  <c r="J467" i="6"/>
  <c r="I467" i="6"/>
  <c r="K466" i="6"/>
  <c r="J466" i="6"/>
  <c r="I466" i="6"/>
  <c r="K465" i="6"/>
  <c r="J465" i="6"/>
  <c r="I465" i="6"/>
  <c r="K464" i="6"/>
  <c r="J464" i="6"/>
  <c r="I464" i="6"/>
  <c r="K463" i="6"/>
  <c r="J463" i="6"/>
  <c r="I463" i="6"/>
  <c r="K462" i="6"/>
  <c r="J462" i="6"/>
  <c r="I462" i="6"/>
  <c r="K461" i="6"/>
  <c r="J461" i="6"/>
  <c r="I461" i="6"/>
  <c r="K460" i="6"/>
  <c r="J460" i="6"/>
  <c r="I460" i="6"/>
  <c r="K459" i="6"/>
  <c r="J459" i="6"/>
  <c r="I459" i="6"/>
  <c r="K458" i="6"/>
  <c r="J458" i="6"/>
  <c r="I458" i="6"/>
  <c r="K457" i="6"/>
  <c r="J457" i="6"/>
  <c r="I457" i="6"/>
  <c r="K456" i="6"/>
  <c r="J456" i="6"/>
  <c r="I456" i="6"/>
  <c r="K455" i="6"/>
  <c r="J455" i="6"/>
  <c r="I455" i="6"/>
  <c r="K454" i="6"/>
  <c r="J454" i="6"/>
  <c r="I454" i="6"/>
  <c r="K453" i="6"/>
  <c r="J453" i="6"/>
  <c r="I453" i="6"/>
  <c r="K452" i="6"/>
  <c r="J452" i="6"/>
  <c r="I452" i="6"/>
  <c r="K451" i="6"/>
  <c r="J451" i="6"/>
  <c r="I451" i="6"/>
  <c r="K450" i="6"/>
  <c r="J450" i="6"/>
  <c r="I450" i="6"/>
  <c r="K449" i="6"/>
  <c r="J449" i="6"/>
  <c r="I449" i="6"/>
  <c r="K448" i="6"/>
  <c r="J448" i="6"/>
  <c r="I448" i="6"/>
  <c r="K447" i="6"/>
  <c r="J447" i="6"/>
  <c r="I447" i="6"/>
  <c r="K446" i="6"/>
  <c r="J446" i="6"/>
  <c r="I446" i="6"/>
  <c r="K445" i="6"/>
  <c r="J445" i="6"/>
  <c r="I445" i="6"/>
  <c r="K444" i="6"/>
  <c r="J444" i="6"/>
  <c r="I444" i="6"/>
  <c r="K443" i="6"/>
  <c r="J443" i="6"/>
  <c r="I443" i="6"/>
  <c r="K442" i="6"/>
  <c r="J442" i="6"/>
  <c r="I442" i="6"/>
  <c r="K441" i="6"/>
  <c r="J441" i="6"/>
  <c r="I441" i="6"/>
  <c r="K440" i="6"/>
  <c r="J440" i="6"/>
  <c r="I440" i="6"/>
  <c r="K439" i="6"/>
  <c r="J439" i="6"/>
  <c r="I439" i="6"/>
  <c r="K438" i="6"/>
  <c r="J438" i="6"/>
  <c r="I438" i="6"/>
  <c r="K437" i="6"/>
  <c r="J437" i="6"/>
  <c r="I437" i="6"/>
  <c r="K436" i="6"/>
  <c r="J436" i="6"/>
  <c r="I436" i="6"/>
  <c r="K435" i="6"/>
  <c r="J435" i="6"/>
  <c r="I435" i="6"/>
  <c r="K434" i="6"/>
  <c r="J434" i="6"/>
  <c r="I434" i="6"/>
  <c r="K433" i="6"/>
  <c r="J433" i="6"/>
  <c r="I433" i="6"/>
  <c r="K432" i="6"/>
  <c r="J432" i="6"/>
  <c r="I432" i="6"/>
  <c r="K431" i="6"/>
  <c r="J431" i="6"/>
  <c r="I431" i="6"/>
  <c r="K430" i="6"/>
  <c r="J430" i="6"/>
  <c r="I430" i="6"/>
  <c r="K429" i="6"/>
  <c r="J429" i="6"/>
  <c r="I429" i="6"/>
  <c r="K428" i="6"/>
  <c r="J428" i="6"/>
  <c r="I428" i="6"/>
  <c r="K427" i="6"/>
  <c r="J427" i="6"/>
  <c r="I427" i="6"/>
  <c r="K426" i="6"/>
  <c r="J426" i="6"/>
  <c r="I426" i="6"/>
  <c r="K425" i="6"/>
  <c r="J425" i="6"/>
  <c r="I425" i="6"/>
  <c r="K424" i="6"/>
  <c r="J424" i="6"/>
  <c r="I424" i="6"/>
  <c r="K423" i="6"/>
  <c r="J423" i="6"/>
  <c r="I423" i="6"/>
  <c r="K422" i="6"/>
  <c r="J422" i="6"/>
  <c r="I422" i="6"/>
  <c r="K421" i="6"/>
  <c r="J421" i="6"/>
  <c r="I421" i="6"/>
  <c r="K420" i="6"/>
  <c r="J420" i="6"/>
  <c r="I420" i="6"/>
  <c r="K419" i="6"/>
  <c r="J419" i="6"/>
  <c r="I419" i="6"/>
  <c r="K418" i="6"/>
  <c r="J418" i="6"/>
  <c r="I418" i="6"/>
  <c r="K417" i="6"/>
  <c r="J417" i="6"/>
  <c r="I417" i="6"/>
  <c r="K416" i="6"/>
  <c r="J416" i="6"/>
  <c r="I416" i="6"/>
  <c r="K415" i="6"/>
  <c r="J415" i="6"/>
  <c r="I415" i="6"/>
  <c r="K414" i="6"/>
  <c r="J414" i="6"/>
  <c r="I414" i="6"/>
  <c r="K413" i="6"/>
  <c r="J413" i="6"/>
  <c r="I413" i="6"/>
  <c r="K412" i="6"/>
  <c r="J412" i="6"/>
  <c r="I412" i="6"/>
  <c r="K411" i="6"/>
  <c r="J411" i="6"/>
  <c r="I411" i="6"/>
  <c r="K410" i="6"/>
  <c r="J410" i="6"/>
  <c r="I410" i="6"/>
  <c r="K409" i="6"/>
  <c r="J409" i="6"/>
  <c r="I409" i="6"/>
  <c r="K408" i="6"/>
  <c r="J408" i="6"/>
  <c r="I408" i="6"/>
  <c r="K407" i="6"/>
  <c r="J407" i="6"/>
  <c r="I407" i="6"/>
  <c r="K406" i="6"/>
  <c r="J406" i="6"/>
  <c r="I406" i="6"/>
  <c r="K405" i="6"/>
  <c r="J405" i="6"/>
  <c r="I405" i="6"/>
  <c r="K404" i="6"/>
  <c r="J404" i="6"/>
  <c r="I404" i="6"/>
  <c r="K403" i="6"/>
  <c r="J403" i="6"/>
  <c r="I403" i="6"/>
  <c r="K402" i="6"/>
  <c r="J402" i="6"/>
  <c r="I402" i="6"/>
  <c r="K401" i="6"/>
  <c r="J401" i="6"/>
  <c r="I401" i="6"/>
  <c r="K400" i="6"/>
  <c r="J400" i="6"/>
  <c r="I400" i="6"/>
  <c r="K399" i="6"/>
  <c r="J399" i="6"/>
  <c r="I399" i="6"/>
  <c r="K398" i="6"/>
  <c r="J398" i="6"/>
  <c r="I398" i="6"/>
  <c r="K397" i="6"/>
  <c r="J397" i="6"/>
  <c r="I397" i="6"/>
  <c r="K396" i="6"/>
  <c r="J396" i="6"/>
  <c r="I396" i="6"/>
  <c r="K395" i="6"/>
  <c r="J395" i="6"/>
  <c r="I395" i="6"/>
  <c r="K394" i="6"/>
  <c r="J394" i="6"/>
  <c r="I394" i="6"/>
  <c r="K393" i="6"/>
  <c r="J393" i="6"/>
  <c r="I393" i="6"/>
  <c r="K392" i="6"/>
  <c r="J392" i="6"/>
  <c r="I392" i="6"/>
  <c r="K391" i="6"/>
  <c r="J391" i="6"/>
  <c r="I391" i="6"/>
  <c r="K390" i="6"/>
  <c r="J390" i="6"/>
  <c r="I390" i="6"/>
  <c r="K389" i="6"/>
  <c r="J389" i="6"/>
  <c r="I389" i="6"/>
  <c r="K388" i="6"/>
  <c r="J388" i="6"/>
  <c r="I388" i="6"/>
  <c r="K387" i="6"/>
  <c r="J387" i="6"/>
  <c r="I387" i="6"/>
  <c r="K386" i="6"/>
  <c r="J386" i="6"/>
  <c r="I386" i="6"/>
  <c r="K385" i="6"/>
  <c r="J385" i="6"/>
  <c r="I385" i="6"/>
  <c r="K384" i="6"/>
  <c r="J384" i="6"/>
  <c r="I384" i="6"/>
  <c r="K383" i="6"/>
  <c r="J383" i="6"/>
  <c r="I383" i="6"/>
  <c r="K382" i="6"/>
  <c r="J382" i="6"/>
  <c r="I382" i="6"/>
  <c r="K381" i="6"/>
  <c r="J381" i="6"/>
  <c r="I381" i="6"/>
  <c r="K380" i="6"/>
  <c r="J380" i="6"/>
  <c r="I380" i="6"/>
  <c r="K379" i="6"/>
  <c r="J379" i="6"/>
  <c r="I379" i="6"/>
  <c r="K378" i="6"/>
  <c r="J378" i="6"/>
  <c r="I378" i="6"/>
  <c r="K377" i="6"/>
  <c r="J377" i="6"/>
  <c r="I377" i="6"/>
  <c r="K376" i="6"/>
  <c r="J376" i="6"/>
  <c r="I376" i="6"/>
  <c r="K375" i="6"/>
  <c r="J375" i="6"/>
  <c r="I375" i="6"/>
  <c r="K374" i="6"/>
  <c r="J374" i="6"/>
  <c r="I374" i="6"/>
  <c r="K373" i="6"/>
  <c r="J373" i="6"/>
  <c r="I373" i="6"/>
  <c r="K372" i="6"/>
  <c r="J372" i="6"/>
  <c r="I372" i="6"/>
  <c r="K371" i="6"/>
  <c r="J371" i="6"/>
  <c r="I371" i="6"/>
  <c r="K370" i="6"/>
  <c r="J370" i="6"/>
  <c r="I370" i="6"/>
  <c r="K369" i="6"/>
  <c r="J369" i="6"/>
  <c r="I369" i="6"/>
  <c r="K368" i="6"/>
  <c r="J368" i="6"/>
  <c r="I368" i="6"/>
  <c r="K367" i="6"/>
  <c r="J367" i="6"/>
  <c r="I367" i="6"/>
  <c r="K366" i="6"/>
  <c r="J366" i="6"/>
  <c r="I366" i="6"/>
  <c r="K365" i="6"/>
  <c r="J365" i="6"/>
  <c r="I365" i="6"/>
  <c r="K364" i="6"/>
  <c r="J364" i="6"/>
  <c r="I364" i="6"/>
  <c r="K363" i="6"/>
  <c r="J363" i="6"/>
  <c r="I363" i="6"/>
  <c r="K362" i="6"/>
  <c r="J362" i="6"/>
  <c r="I362" i="6"/>
  <c r="K361" i="6"/>
  <c r="J361" i="6"/>
  <c r="I361" i="6"/>
  <c r="K360" i="6"/>
  <c r="J360" i="6"/>
  <c r="I360" i="6"/>
  <c r="K359" i="6"/>
  <c r="J359" i="6"/>
  <c r="I359" i="6"/>
  <c r="K358" i="6"/>
  <c r="J358" i="6"/>
  <c r="I358" i="6"/>
  <c r="K357" i="6"/>
  <c r="J357" i="6"/>
  <c r="I357" i="6"/>
  <c r="K356" i="6"/>
  <c r="J356" i="6"/>
  <c r="I356" i="6"/>
  <c r="K355" i="6"/>
  <c r="J355" i="6"/>
  <c r="I355" i="6"/>
  <c r="K354" i="6"/>
  <c r="J354" i="6"/>
  <c r="I354" i="6"/>
  <c r="K353" i="6"/>
  <c r="J353" i="6"/>
  <c r="I353" i="6"/>
  <c r="K352" i="6"/>
  <c r="J352" i="6"/>
  <c r="I352" i="6"/>
  <c r="K351" i="6"/>
  <c r="J351" i="6"/>
  <c r="I351" i="6"/>
  <c r="K350" i="6"/>
  <c r="J350" i="6"/>
  <c r="I350" i="6"/>
  <c r="K349" i="6"/>
  <c r="J349" i="6"/>
  <c r="I349" i="6"/>
  <c r="K348" i="6"/>
  <c r="J348" i="6"/>
  <c r="I348" i="6"/>
  <c r="K347" i="6"/>
  <c r="J347" i="6"/>
  <c r="I347" i="6"/>
  <c r="K346" i="6"/>
  <c r="J346" i="6"/>
  <c r="I346" i="6"/>
  <c r="K345" i="6"/>
  <c r="J345" i="6"/>
  <c r="I345" i="6"/>
  <c r="K344" i="6"/>
  <c r="J344" i="6"/>
  <c r="I344" i="6"/>
  <c r="K343" i="6"/>
  <c r="J343" i="6"/>
  <c r="I343" i="6"/>
  <c r="K342" i="6"/>
  <c r="J342" i="6"/>
  <c r="I342" i="6"/>
  <c r="K341" i="6"/>
  <c r="J341" i="6"/>
  <c r="I341" i="6"/>
  <c r="K340" i="6"/>
  <c r="J340" i="6"/>
  <c r="I340" i="6"/>
  <c r="K339" i="6"/>
  <c r="J339" i="6"/>
  <c r="I339" i="6"/>
  <c r="K338" i="6"/>
  <c r="J338" i="6"/>
  <c r="I338" i="6"/>
  <c r="K337" i="6"/>
  <c r="J337" i="6"/>
  <c r="I337" i="6"/>
  <c r="K336" i="6"/>
  <c r="J336" i="6"/>
  <c r="I336" i="6"/>
  <c r="K335" i="6"/>
  <c r="J335" i="6"/>
  <c r="I335" i="6"/>
  <c r="K334" i="6"/>
  <c r="J334" i="6"/>
  <c r="I334" i="6"/>
  <c r="K333" i="6"/>
  <c r="J333" i="6"/>
  <c r="I333" i="6"/>
  <c r="K332" i="6"/>
  <c r="J332" i="6"/>
  <c r="I332" i="6"/>
  <c r="K331" i="6"/>
  <c r="J331" i="6"/>
  <c r="I331" i="6"/>
  <c r="K330" i="6"/>
  <c r="J330" i="6"/>
  <c r="I330" i="6"/>
  <c r="K329" i="6"/>
  <c r="J329" i="6"/>
  <c r="I329" i="6"/>
  <c r="K328" i="6"/>
  <c r="J328" i="6"/>
  <c r="I328" i="6"/>
  <c r="K327" i="6"/>
  <c r="J327" i="6"/>
  <c r="I327" i="6"/>
  <c r="K326" i="6"/>
  <c r="J326" i="6"/>
  <c r="I326" i="6"/>
  <c r="K325" i="6"/>
  <c r="J325" i="6"/>
  <c r="I325" i="6"/>
  <c r="K324" i="6"/>
  <c r="J324" i="6"/>
  <c r="I324" i="6"/>
  <c r="K323" i="6"/>
  <c r="J323" i="6"/>
  <c r="I323" i="6"/>
  <c r="K322" i="6"/>
  <c r="J322" i="6"/>
  <c r="I322" i="6"/>
  <c r="K321" i="6"/>
  <c r="J321" i="6"/>
  <c r="I321" i="6"/>
  <c r="K320" i="6"/>
  <c r="J320" i="6"/>
  <c r="I320" i="6"/>
  <c r="K319" i="6"/>
  <c r="J319" i="6"/>
  <c r="I319" i="6"/>
  <c r="K318" i="6"/>
  <c r="J318" i="6"/>
  <c r="I318" i="6"/>
  <c r="K317" i="6"/>
  <c r="J317" i="6"/>
  <c r="I317" i="6"/>
  <c r="K316" i="6"/>
  <c r="J316" i="6"/>
  <c r="I316" i="6"/>
  <c r="K315" i="6"/>
  <c r="J315" i="6"/>
  <c r="I315" i="6"/>
  <c r="K314" i="6"/>
  <c r="J314" i="6"/>
  <c r="I314" i="6"/>
  <c r="K313" i="6"/>
  <c r="J313" i="6"/>
  <c r="I313" i="6"/>
  <c r="K312" i="6"/>
  <c r="J312" i="6"/>
  <c r="I312" i="6"/>
  <c r="K311" i="6"/>
  <c r="J311" i="6"/>
  <c r="I311" i="6"/>
  <c r="K310" i="6"/>
  <c r="J310" i="6"/>
  <c r="I310" i="6"/>
  <c r="K309" i="6"/>
  <c r="J309" i="6"/>
  <c r="I309" i="6"/>
  <c r="K308" i="6"/>
  <c r="J308" i="6"/>
  <c r="I308" i="6"/>
  <c r="K307" i="6"/>
  <c r="J307" i="6"/>
  <c r="I307" i="6"/>
  <c r="K306" i="6"/>
  <c r="J306" i="6"/>
  <c r="I306" i="6"/>
  <c r="K305" i="6"/>
  <c r="J305" i="6"/>
  <c r="I305" i="6"/>
  <c r="K304" i="6"/>
  <c r="J304" i="6"/>
  <c r="I304" i="6"/>
  <c r="K303" i="6"/>
  <c r="J303" i="6"/>
  <c r="I303" i="6"/>
  <c r="K302" i="6"/>
  <c r="J302" i="6"/>
  <c r="I302" i="6"/>
  <c r="K301" i="6"/>
  <c r="J301" i="6"/>
  <c r="I301" i="6"/>
  <c r="K300" i="6"/>
  <c r="J300" i="6"/>
  <c r="I300" i="6"/>
  <c r="K299" i="6"/>
  <c r="J299" i="6"/>
  <c r="I299" i="6"/>
  <c r="K298" i="6"/>
  <c r="J298" i="6"/>
  <c r="I298" i="6"/>
  <c r="K297" i="6"/>
  <c r="J297" i="6"/>
  <c r="I297" i="6"/>
  <c r="K296" i="6"/>
  <c r="J296" i="6"/>
  <c r="I296" i="6"/>
  <c r="K295" i="6"/>
  <c r="J295" i="6"/>
  <c r="I295" i="6"/>
  <c r="K294" i="6"/>
  <c r="J294" i="6"/>
  <c r="I294" i="6"/>
  <c r="K293" i="6"/>
  <c r="J293" i="6"/>
  <c r="I293" i="6"/>
  <c r="K292" i="6"/>
  <c r="J292" i="6"/>
  <c r="I292" i="6"/>
  <c r="K291" i="6"/>
  <c r="J291" i="6"/>
  <c r="I291" i="6"/>
  <c r="K290" i="6"/>
  <c r="J290" i="6"/>
  <c r="I290" i="6"/>
  <c r="K289" i="6"/>
  <c r="J289" i="6"/>
  <c r="I289" i="6"/>
  <c r="K288" i="6"/>
  <c r="J288" i="6"/>
  <c r="I288" i="6"/>
  <c r="K287" i="6"/>
  <c r="J287" i="6"/>
  <c r="I287" i="6"/>
  <c r="K286" i="6"/>
  <c r="J286" i="6"/>
  <c r="I286" i="6"/>
  <c r="K285" i="6"/>
  <c r="J285" i="6"/>
  <c r="I285" i="6"/>
  <c r="K284" i="6"/>
  <c r="J284" i="6"/>
  <c r="I284" i="6"/>
  <c r="K283" i="6"/>
  <c r="J283" i="6"/>
  <c r="I283" i="6"/>
  <c r="K282" i="6"/>
  <c r="J282" i="6"/>
  <c r="I282" i="6"/>
  <c r="K281" i="6"/>
  <c r="J281" i="6"/>
  <c r="I281" i="6"/>
  <c r="K280" i="6"/>
  <c r="J280" i="6"/>
  <c r="I280" i="6"/>
  <c r="K279" i="6"/>
  <c r="J279" i="6"/>
  <c r="I279" i="6"/>
  <c r="K278" i="6"/>
  <c r="J278" i="6"/>
  <c r="I278" i="6"/>
  <c r="K277" i="6"/>
  <c r="J277" i="6"/>
  <c r="I277" i="6"/>
  <c r="K276" i="6"/>
  <c r="J276" i="6"/>
  <c r="I276" i="6"/>
  <c r="K275" i="6"/>
  <c r="J275" i="6"/>
  <c r="I275" i="6"/>
  <c r="K274" i="6"/>
  <c r="J274" i="6"/>
  <c r="I274" i="6"/>
  <c r="K273" i="6"/>
  <c r="J273" i="6"/>
  <c r="I273" i="6"/>
  <c r="K272" i="6"/>
  <c r="J272" i="6"/>
  <c r="I272" i="6"/>
  <c r="K271" i="6"/>
  <c r="J271" i="6"/>
  <c r="I271" i="6"/>
  <c r="K270" i="6"/>
  <c r="J270" i="6"/>
  <c r="I270" i="6"/>
  <c r="K269" i="6"/>
  <c r="J269" i="6"/>
  <c r="I269" i="6"/>
  <c r="K268" i="6"/>
  <c r="J268" i="6"/>
  <c r="I268" i="6"/>
  <c r="K267" i="6"/>
  <c r="J267" i="6"/>
  <c r="I267" i="6"/>
  <c r="K266" i="6"/>
  <c r="J266" i="6"/>
  <c r="I266" i="6"/>
  <c r="K265" i="6"/>
  <c r="J265" i="6"/>
  <c r="I265" i="6"/>
  <c r="K264" i="6"/>
  <c r="J264" i="6"/>
  <c r="I264" i="6"/>
  <c r="K263" i="6"/>
  <c r="J263" i="6"/>
  <c r="I263" i="6"/>
  <c r="K262" i="6"/>
  <c r="J262" i="6"/>
  <c r="I262" i="6"/>
  <c r="K261" i="6"/>
  <c r="J261" i="6"/>
  <c r="I261" i="6"/>
  <c r="K260" i="6"/>
  <c r="J260" i="6"/>
  <c r="I260" i="6"/>
  <c r="K259" i="6"/>
  <c r="J259" i="6"/>
  <c r="I259" i="6"/>
  <c r="K258" i="6"/>
  <c r="J258" i="6"/>
  <c r="I258" i="6"/>
  <c r="K257" i="6"/>
  <c r="J257" i="6"/>
  <c r="I257" i="6"/>
  <c r="K256" i="6"/>
  <c r="J256" i="6"/>
  <c r="I256" i="6"/>
  <c r="K255" i="6"/>
  <c r="J255" i="6"/>
  <c r="I255" i="6"/>
  <c r="K254" i="6"/>
  <c r="J254" i="6"/>
  <c r="I254" i="6"/>
  <c r="K253" i="6"/>
  <c r="J253" i="6"/>
  <c r="I253" i="6"/>
  <c r="K252" i="6"/>
  <c r="J252" i="6"/>
  <c r="I252" i="6"/>
  <c r="K251" i="6"/>
  <c r="J251" i="6"/>
  <c r="I251" i="6"/>
  <c r="K250" i="6"/>
  <c r="J250" i="6"/>
  <c r="I250" i="6"/>
  <c r="K249" i="6"/>
  <c r="J249" i="6"/>
  <c r="I249" i="6"/>
  <c r="K248" i="6"/>
  <c r="J248" i="6"/>
  <c r="I248" i="6"/>
  <c r="K247" i="6"/>
  <c r="J247" i="6"/>
  <c r="I247" i="6"/>
  <c r="K246" i="6"/>
  <c r="J246" i="6"/>
  <c r="I246" i="6"/>
  <c r="K245" i="6"/>
  <c r="J245" i="6"/>
  <c r="I245" i="6"/>
  <c r="K244" i="6"/>
  <c r="J244" i="6"/>
  <c r="I244" i="6"/>
  <c r="K243" i="6"/>
  <c r="J243" i="6"/>
  <c r="I243" i="6"/>
  <c r="K242" i="6"/>
  <c r="J242" i="6"/>
  <c r="I242" i="6"/>
  <c r="K241" i="6"/>
  <c r="J241" i="6"/>
  <c r="I241" i="6"/>
  <c r="K240" i="6"/>
  <c r="J240" i="6"/>
  <c r="I240" i="6"/>
  <c r="K239" i="6"/>
  <c r="J239" i="6"/>
  <c r="I239" i="6"/>
  <c r="K238" i="6"/>
  <c r="J238" i="6"/>
  <c r="I238" i="6"/>
  <c r="K237" i="6"/>
  <c r="J237" i="6"/>
  <c r="I237" i="6"/>
  <c r="K236" i="6"/>
  <c r="J236" i="6"/>
  <c r="I236" i="6"/>
  <c r="K235" i="6"/>
  <c r="J235" i="6"/>
  <c r="I235" i="6"/>
  <c r="K234" i="6"/>
  <c r="J234" i="6"/>
  <c r="I234" i="6"/>
  <c r="K233" i="6"/>
  <c r="J233" i="6"/>
  <c r="I233" i="6"/>
  <c r="K232" i="6"/>
  <c r="J232" i="6"/>
  <c r="I232" i="6"/>
  <c r="K231" i="6"/>
  <c r="J231" i="6"/>
  <c r="I231" i="6"/>
  <c r="K230" i="6"/>
  <c r="J230" i="6"/>
  <c r="I230" i="6"/>
  <c r="K229" i="6"/>
  <c r="J229" i="6"/>
  <c r="I229" i="6"/>
  <c r="K228" i="6"/>
  <c r="J228" i="6"/>
  <c r="I228" i="6"/>
  <c r="K227" i="6"/>
  <c r="J227" i="6"/>
  <c r="I227" i="6"/>
  <c r="K226" i="6"/>
  <c r="J226" i="6"/>
  <c r="I226" i="6"/>
  <c r="K225" i="6"/>
  <c r="J225" i="6"/>
  <c r="I225" i="6"/>
  <c r="K224" i="6"/>
  <c r="J224" i="6"/>
  <c r="I224" i="6"/>
  <c r="K223" i="6"/>
  <c r="J223" i="6"/>
  <c r="I223" i="6"/>
  <c r="K222" i="6"/>
  <c r="J222" i="6"/>
  <c r="I222" i="6"/>
  <c r="K221" i="6"/>
  <c r="J221" i="6"/>
  <c r="I221" i="6"/>
  <c r="K220" i="6"/>
  <c r="J220" i="6"/>
  <c r="I220" i="6"/>
  <c r="K219" i="6"/>
  <c r="J219" i="6"/>
  <c r="I219" i="6"/>
  <c r="K218" i="6"/>
  <c r="J218" i="6"/>
  <c r="I218" i="6"/>
  <c r="K217" i="6"/>
  <c r="J217" i="6"/>
  <c r="I217" i="6"/>
  <c r="K216" i="6"/>
  <c r="J216" i="6"/>
  <c r="I216" i="6"/>
  <c r="K215" i="6"/>
  <c r="J215" i="6"/>
  <c r="I215" i="6"/>
  <c r="K214" i="6"/>
  <c r="J214" i="6"/>
  <c r="I214" i="6"/>
  <c r="K213" i="6"/>
  <c r="J213" i="6"/>
  <c r="I213" i="6"/>
  <c r="K212" i="6"/>
  <c r="J212" i="6"/>
  <c r="I212" i="6"/>
  <c r="K211" i="6"/>
  <c r="J211" i="6"/>
  <c r="I211" i="6"/>
  <c r="K210" i="6"/>
  <c r="J210" i="6"/>
  <c r="I210" i="6"/>
  <c r="K209" i="6"/>
  <c r="J209" i="6"/>
  <c r="I209" i="6"/>
  <c r="K208" i="6"/>
  <c r="J208" i="6"/>
  <c r="I208" i="6"/>
  <c r="K207" i="6"/>
  <c r="J207" i="6"/>
  <c r="I207" i="6"/>
  <c r="K206" i="6"/>
  <c r="J206" i="6"/>
  <c r="I206" i="6"/>
  <c r="K205" i="6"/>
  <c r="J205" i="6"/>
  <c r="I205" i="6"/>
  <c r="K204" i="6"/>
  <c r="J204" i="6"/>
  <c r="I204" i="6"/>
  <c r="K203" i="6"/>
  <c r="J203" i="6"/>
  <c r="I203" i="6"/>
  <c r="K202" i="6"/>
  <c r="J202" i="6"/>
  <c r="I202" i="6"/>
  <c r="K201" i="6"/>
  <c r="J201" i="6"/>
  <c r="I201" i="6"/>
  <c r="K200" i="6"/>
  <c r="J200" i="6"/>
  <c r="I200" i="6"/>
  <c r="K199" i="6"/>
  <c r="J199" i="6"/>
  <c r="I199" i="6"/>
  <c r="K198" i="6"/>
  <c r="J198" i="6"/>
  <c r="I198" i="6"/>
  <c r="K197" i="6"/>
  <c r="J197" i="6"/>
  <c r="I197" i="6"/>
  <c r="K196" i="6"/>
  <c r="J196" i="6"/>
  <c r="I196" i="6"/>
  <c r="K195" i="6"/>
  <c r="J195" i="6"/>
  <c r="I195" i="6"/>
  <c r="K194" i="6"/>
  <c r="J194" i="6"/>
  <c r="I194" i="6"/>
  <c r="K193" i="6"/>
  <c r="J193" i="6"/>
  <c r="I193" i="6"/>
  <c r="K192" i="6"/>
  <c r="J192" i="6"/>
  <c r="I192" i="6"/>
  <c r="K191" i="6"/>
  <c r="J191" i="6"/>
  <c r="I191" i="6"/>
  <c r="K190" i="6"/>
  <c r="J190" i="6"/>
  <c r="I190" i="6"/>
  <c r="K189" i="6"/>
  <c r="J189" i="6"/>
  <c r="I189" i="6"/>
  <c r="K188" i="6"/>
  <c r="J188" i="6"/>
  <c r="I188" i="6"/>
  <c r="K187" i="6"/>
  <c r="J187" i="6"/>
  <c r="I187" i="6"/>
  <c r="K186" i="6"/>
  <c r="J186" i="6"/>
  <c r="I186" i="6"/>
  <c r="K185" i="6"/>
  <c r="J185" i="6"/>
  <c r="I185" i="6"/>
  <c r="K184" i="6"/>
  <c r="J184" i="6"/>
  <c r="I184" i="6"/>
  <c r="K183" i="6"/>
  <c r="J183" i="6"/>
  <c r="I183" i="6"/>
  <c r="K182" i="6"/>
  <c r="J182" i="6"/>
  <c r="I182" i="6"/>
  <c r="K181" i="6"/>
  <c r="J181" i="6"/>
  <c r="I181" i="6"/>
  <c r="K180" i="6"/>
  <c r="J180" i="6"/>
  <c r="I180" i="6"/>
  <c r="K179" i="6"/>
  <c r="J179" i="6"/>
  <c r="I179" i="6"/>
  <c r="K178" i="6"/>
  <c r="J178" i="6"/>
  <c r="I178" i="6"/>
  <c r="K177" i="6"/>
  <c r="J177" i="6"/>
  <c r="I177" i="6"/>
  <c r="K176" i="6"/>
  <c r="J176" i="6"/>
  <c r="I176" i="6"/>
  <c r="K175" i="6"/>
  <c r="J175" i="6"/>
  <c r="I175" i="6"/>
  <c r="K174" i="6"/>
  <c r="J174" i="6"/>
  <c r="I174" i="6"/>
  <c r="K173" i="6"/>
  <c r="J173" i="6"/>
  <c r="I173" i="6"/>
  <c r="K172" i="6"/>
  <c r="J172" i="6"/>
  <c r="I172" i="6"/>
  <c r="K171" i="6"/>
  <c r="J171" i="6"/>
  <c r="I171" i="6"/>
  <c r="K170" i="6"/>
  <c r="J170" i="6"/>
  <c r="I170" i="6"/>
  <c r="K169" i="6"/>
  <c r="J169" i="6"/>
  <c r="I169" i="6"/>
  <c r="K168" i="6"/>
  <c r="J168" i="6"/>
  <c r="I168" i="6"/>
  <c r="K167" i="6"/>
  <c r="J167" i="6"/>
  <c r="I167" i="6"/>
  <c r="K166" i="6"/>
  <c r="J166" i="6"/>
  <c r="I166" i="6"/>
  <c r="K165" i="6"/>
  <c r="J165" i="6"/>
  <c r="I165" i="6"/>
  <c r="K164" i="6"/>
  <c r="J164" i="6"/>
  <c r="I164" i="6"/>
  <c r="K163" i="6"/>
  <c r="J163" i="6"/>
  <c r="I163" i="6"/>
  <c r="K162" i="6"/>
  <c r="J162" i="6"/>
  <c r="I162" i="6"/>
  <c r="K161" i="6"/>
  <c r="J161" i="6"/>
  <c r="I161" i="6"/>
  <c r="K160" i="6"/>
  <c r="J160" i="6"/>
  <c r="I160" i="6"/>
  <c r="K159" i="6"/>
  <c r="J159" i="6"/>
  <c r="I159" i="6"/>
  <c r="K158" i="6"/>
  <c r="J158" i="6"/>
  <c r="I158" i="6"/>
  <c r="K157" i="6"/>
  <c r="J157" i="6"/>
  <c r="I157" i="6"/>
  <c r="K156" i="6"/>
  <c r="J156" i="6"/>
  <c r="I156" i="6"/>
  <c r="K155" i="6"/>
  <c r="J155" i="6"/>
  <c r="I155" i="6"/>
  <c r="K154" i="6"/>
  <c r="J154" i="6"/>
  <c r="I154" i="6"/>
  <c r="K153" i="6"/>
  <c r="J153" i="6"/>
  <c r="I153" i="6"/>
  <c r="K152" i="6"/>
  <c r="J152" i="6"/>
  <c r="I152" i="6"/>
  <c r="K151" i="6"/>
  <c r="J151" i="6"/>
  <c r="I151" i="6"/>
  <c r="K150" i="6"/>
  <c r="J150" i="6"/>
  <c r="I150" i="6"/>
  <c r="K149" i="6"/>
  <c r="J149" i="6"/>
  <c r="I149" i="6"/>
  <c r="K148" i="6"/>
  <c r="J148" i="6"/>
  <c r="I148" i="6"/>
  <c r="K147" i="6"/>
  <c r="J147" i="6"/>
  <c r="I147" i="6"/>
  <c r="K146" i="6"/>
  <c r="J146" i="6"/>
  <c r="I146" i="6"/>
  <c r="K145" i="6"/>
  <c r="J145" i="6"/>
  <c r="I145" i="6"/>
  <c r="K144" i="6"/>
  <c r="J144" i="6"/>
  <c r="I144" i="6"/>
  <c r="K143" i="6"/>
  <c r="J143" i="6"/>
  <c r="I143" i="6"/>
  <c r="K142" i="6"/>
  <c r="J142" i="6"/>
  <c r="I142" i="6"/>
  <c r="K141" i="6"/>
  <c r="J141" i="6"/>
  <c r="I141" i="6"/>
  <c r="K140" i="6"/>
  <c r="J140" i="6"/>
  <c r="I140" i="6"/>
  <c r="K139" i="6"/>
  <c r="J139" i="6"/>
  <c r="I139" i="6"/>
  <c r="K138" i="6"/>
  <c r="J138" i="6"/>
  <c r="I138" i="6"/>
  <c r="K137" i="6"/>
  <c r="J137" i="6"/>
  <c r="I137" i="6"/>
  <c r="K136" i="6"/>
  <c r="J136" i="6"/>
  <c r="I136" i="6"/>
  <c r="K135" i="6"/>
  <c r="J135" i="6"/>
  <c r="I135" i="6"/>
  <c r="K134" i="6"/>
  <c r="J134" i="6"/>
  <c r="I134" i="6"/>
  <c r="K133" i="6"/>
  <c r="J133" i="6"/>
  <c r="I133" i="6"/>
  <c r="K132" i="6"/>
  <c r="J132" i="6"/>
  <c r="I132" i="6"/>
  <c r="K131" i="6"/>
  <c r="J131" i="6"/>
  <c r="I131" i="6"/>
  <c r="K130" i="6"/>
  <c r="J130" i="6"/>
  <c r="I130" i="6"/>
  <c r="K129" i="6"/>
  <c r="J129" i="6"/>
  <c r="I129" i="6"/>
  <c r="K128" i="6"/>
  <c r="J128" i="6"/>
  <c r="I128" i="6"/>
  <c r="K127" i="6"/>
  <c r="J127" i="6"/>
  <c r="I127" i="6"/>
  <c r="K126" i="6"/>
  <c r="J126" i="6"/>
  <c r="I126" i="6"/>
  <c r="K125" i="6"/>
  <c r="J125" i="6"/>
  <c r="I125" i="6"/>
  <c r="K124" i="6"/>
  <c r="J124" i="6"/>
  <c r="I124" i="6"/>
  <c r="K123" i="6"/>
  <c r="J123" i="6"/>
  <c r="I123" i="6"/>
  <c r="K122" i="6"/>
  <c r="J122" i="6"/>
  <c r="I122" i="6"/>
  <c r="K121" i="6"/>
  <c r="J121" i="6"/>
  <c r="I121" i="6"/>
  <c r="K120" i="6"/>
  <c r="J120" i="6"/>
  <c r="I120" i="6"/>
  <c r="K119" i="6"/>
  <c r="J119" i="6"/>
  <c r="I119" i="6"/>
  <c r="K118" i="6"/>
  <c r="J118" i="6"/>
  <c r="I118" i="6"/>
  <c r="K117" i="6"/>
  <c r="J117" i="6"/>
  <c r="I117" i="6"/>
  <c r="K116" i="6"/>
  <c r="J116" i="6"/>
  <c r="I116" i="6"/>
  <c r="K115" i="6"/>
  <c r="J115" i="6"/>
  <c r="I115" i="6"/>
  <c r="K114" i="6"/>
  <c r="J114" i="6"/>
  <c r="I114" i="6"/>
  <c r="K113" i="6"/>
  <c r="J113" i="6"/>
  <c r="I113" i="6"/>
  <c r="K112" i="6"/>
  <c r="J112" i="6"/>
  <c r="I112" i="6"/>
  <c r="K111" i="6"/>
  <c r="J111" i="6"/>
  <c r="I111" i="6"/>
  <c r="K110" i="6"/>
  <c r="J110" i="6"/>
  <c r="I110" i="6"/>
  <c r="K109" i="6"/>
  <c r="J109" i="6"/>
  <c r="I109" i="6"/>
  <c r="K108" i="6"/>
  <c r="J108" i="6"/>
  <c r="I108" i="6"/>
  <c r="K107" i="6"/>
  <c r="J107" i="6"/>
  <c r="I107" i="6"/>
  <c r="K106" i="6"/>
  <c r="J106" i="6"/>
  <c r="I106" i="6"/>
  <c r="K105" i="6"/>
  <c r="J105" i="6"/>
  <c r="I105" i="6"/>
  <c r="K104" i="6"/>
  <c r="J104" i="6"/>
  <c r="I104" i="6"/>
  <c r="K103" i="6"/>
  <c r="J103" i="6"/>
  <c r="I103" i="6"/>
  <c r="K102" i="6"/>
  <c r="J102" i="6"/>
  <c r="I102" i="6"/>
  <c r="K101" i="6"/>
  <c r="J101" i="6"/>
  <c r="I101" i="6"/>
  <c r="K100" i="6"/>
  <c r="J100" i="6"/>
  <c r="I100" i="6"/>
  <c r="K99" i="6"/>
  <c r="J99" i="6"/>
  <c r="I99" i="6"/>
  <c r="K98" i="6"/>
  <c r="J98" i="6"/>
  <c r="I98" i="6"/>
  <c r="K97" i="6"/>
  <c r="J97" i="6"/>
  <c r="I97" i="6"/>
  <c r="K96" i="6"/>
  <c r="J96" i="6"/>
  <c r="I96" i="6"/>
  <c r="K95" i="6"/>
  <c r="J95" i="6"/>
  <c r="I95" i="6"/>
  <c r="K94" i="6"/>
  <c r="J94" i="6"/>
  <c r="I94" i="6"/>
  <c r="K93" i="6"/>
  <c r="J93" i="6"/>
  <c r="I93" i="6"/>
  <c r="K92" i="6"/>
  <c r="J92" i="6"/>
  <c r="I92" i="6"/>
  <c r="K91" i="6"/>
  <c r="J91" i="6"/>
  <c r="I91" i="6"/>
  <c r="K90" i="6"/>
  <c r="J90" i="6"/>
  <c r="I90" i="6"/>
  <c r="K89" i="6"/>
  <c r="J89" i="6"/>
  <c r="I89" i="6"/>
  <c r="K88" i="6"/>
  <c r="J88" i="6"/>
  <c r="I88" i="6"/>
  <c r="K87" i="6"/>
  <c r="J87" i="6"/>
  <c r="I87" i="6"/>
  <c r="K86" i="6"/>
  <c r="J86" i="6"/>
  <c r="I86" i="6"/>
  <c r="K85" i="6"/>
  <c r="J85" i="6"/>
  <c r="I85" i="6"/>
  <c r="K84" i="6"/>
  <c r="J84" i="6"/>
  <c r="I84" i="6"/>
  <c r="K83" i="6"/>
  <c r="J83" i="6"/>
  <c r="I83" i="6"/>
  <c r="K82" i="6"/>
  <c r="J82" i="6"/>
  <c r="I82" i="6"/>
  <c r="K81" i="6"/>
  <c r="J81" i="6"/>
  <c r="I81" i="6"/>
  <c r="K80" i="6"/>
  <c r="J80" i="6"/>
  <c r="I80" i="6"/>
  <c r="K79" i="6"/>
  <c r="J79" i="6"/>
  <c r="I79" i="6"/>
  <c r="K78" i="6"/>
  <c r="J78" i="6"/>
  <c r="I78" i="6"/>
  <c r="K77" i="6"/>
  <c r="J77" i="6"/>
  <c r="I77" i="6"/>
  <c r="K76" i="6"/>
  <c r="J76" i="6"/>
  <c r="I76" i="6"/>
  <c r="K75" i="6"/>
  <c r="J75" i="6"/>
  <c r="I75" i="6"/>
  <c r="K74" i="6"/>
  <c r="J74" i="6"/>
  <c r="I74" i="6"/>
  <c r="K73" i="6"/>
  <c r="J73" i="6"/>
  <c r="I73" i="6"/>
  <c r="K72" i="6"/>
  <c r="J72" i="6"/>
  <c r="I72" i="6"/>
  <c r="K71" i="6"/>
  <c r="J71" i="6"/>
  <c r="I71" i="6"/>
  <c r="K70" i="6"/>
  <c r="J70" i="6"/>
  <c r="I70" i="6"/>
  <c r="K69" i="6"/>
  <c r="J69" i="6"/>
  <c r="I69" i="6"/>
  <c r="K68" i="6"/>
  <c r="J68" i="6"/>
  <c r="I68" i="6"/>
  <c r="K67" i="6"/>
  <c r="J67" i="6"/>
  <c r="I67" i="6"/>
  <c r="K66" i="6"/>
  <c r="J66" i="6"/>
  <c r="I66" i="6"/>
  <c r="K65" i="6"/>
  <c r="J65" i="6"/>
  <c r="I65" i="6"/>
  <c r="K64" i="6"/>
  <c r="J64" i="6"/>
  <c r="I64" i="6"/>
  <c r="K63" i="6"/>
  <c r="J63" i="6"/>
  <c r="I63" i="6"/>
  <c r="K62" i="6"/>
  <c r="J62" i="6"/>
  <c r="I62" i="6"/>
  <c r="K61" i="6"/>
  <c r="J61" i="6"/>
  <c r="I61" i="6"/>
  <c r="K60" i="6"/>
  <c r="J60" i="6"/>
  <c r="I60" i="6"/>
  <c r="K59" i="6"/>
  <c r="J59" i="6"/>
  <c r="I59" i="6"/>
  <c r="K58" i="6"/>
  <c r="J58" i="6"/>
  <c r="I58" i="6"/>
  <c r="K57" i="6"/>
  <c r="J57" i="6"/>
  <c r="I57" i="6"/>
  <c r="K56" i="6"/>
  <c r="J56" i="6"/>
  <c r="I56" i="6"/>
  <c r="K55" i="6"/>
  <c r="J55" i="6"/>
  <c r="I55" i="6"/>
  <c r="K54" i="6"/>
  <c r="J54" i="6"/>
  <c r="I54" i="6"/>
  <c r="K53" i="6"/>
  <c r="J53" i="6"/>
  <c r="I53" i="6"/>
  <c r="K52" i="6"/>
  <c r="J52" i="6"/>
  <c r="I52" i="6"/>
  <c r="K51" i="6"/>
  <c r="J51" i="6"/>
  <c r="I51" i="6"/>
  <c r="K50" i="6"/>
  <c r="J50" i="6"/>
  <c r="I50" i="6"/>
  <c r="K49" i="6"/>
  <c r="J49" i="6"/>
  <c r="I49" i="6"/>
  <c r="K48" i="6"/>
  <c r="J48" i="6"/>
  <c r="I48" i="6"/>
  <c r="K47" i="6"/>
  <c r="J47" i="6"/>
  <c r="I47" i="6"/>
  <c r="K46" i="6"/>
  <c r="J46" i="6"/>
  <c r="I46" i="6"/>
  <c r="K45" i="6"/>
  <c r="J45" i="6"/>
  <c r="I45" i="6"/>
  <c r="K44" i="6"/>
  <c r="J44" i="6"/>
  <c r="I44" i="6"/>
  <c r="K43" i="6"/>
  <c r="J43" i="6"/>
  <c r="I43" i="6"/>
  <c r="K42" i="6"/>
  <c r="J42" i="6"/>
  <c r="I42" i="6"/>
  <c r="K41" i="6"/>
  <c r="J41" i="6"/>
  <c r="I41" i="6"/>
  <c r="K40" i="6"/>
  <c r="J40" i="6"/>
  <c r="I40" i="6"/>
  <c r="K39" i="6"/>
  <c r="J39" i="6"/>
  <c r="I39" i="6"/>
  <c r="K38" i="6"/>
  <c r="J38" i="6"/>
  <c r="I38" i="6"/>
  <c r="K37" i="6"/>
  <c r="J37" i="6"/>
  <c r="I37" i="6"/>
  <c r="K36" i="6"/>
  <c r="J36" i="6"/>
  <c r="I36" i="6"/>
  <c r="K35" i="6"/>
  <c r="J35" i="6"/>
  <c r="I35" i="6"/>
  <c r="K34" i="6"/>
  <c r="J34" i="6"/>
  <c r="I34" i="6"/>
  <c r="K33" i="6"/>
  <c r="J33" i="6"/>
  <c r="I33" i="6"/>
  <c r="K32" i="6"/>
  <c r="J32" i="6"/>
  <c r="I32" i="6"/>
  <c r="K31" i="6"/>
  <c r="J31" i="6"/>
  <c r="I31" i="6"/>
  <c r="K30" i="6"/>
  <c r="J30" i="6"/>
  <c r="I30" i="6"/>
  <c r="K29" i="6"/>
  <c r="J29" i="6"/>
  <c r="I29" i="6"/>
  <c r="K28" i="6"/>
  <c r="J28" i="6"/>
  <c r="I28" i="6"/>
  <c r="K27" i="6"/>
  <c r="J27" i="6"/>
  <c r="I27" i="6"/>
  <c r="K26" i="6"/>
  <c r="J26" i="6"/>
  <c r="I26" i="6"/>
  <c r="K25" i="6"/>
  <c r="J25" i="6"/>
  <c r="I25" i="6"/>
  <c r="K24" i="6"/>
  <c r="J24" i="6"/>
  <c r="I24" i="6"/>
  <c r="K23" i="6"/>
  <c r="J23" i="6"/>
  <c r="I23" i="6"/>
  <c r="K22" i="6"/>
  <c r="J22" i="6"/>
  <c r="I22" i="6"/>
  <c r="K21" i="6"/>
  <c r="J21" i="6"/>
  <c r="I21" i="6"/>
  <c r="K20" i="6"/>
  <c r="J20" i="6"/>
  <c r="I20" i="6"/>
  <c r="K19" i="6"/>
  <c r="J19" i="6"/>
  <c r="I19" i="6"/>
  <c r="K18" i="6"/>
  <c r="J18" i="6"/>
  <c r="I18" i="6"/>
  <c r="K17" i="6"/>
  <c r="J17" i="6"/>
  <c r="I17" i="6"/>
  <c r="K16" i="6"/>
  <c r="J16" i="6"/>
  <c r="I16" i="6"/>
  <c r="K15" i="6"/>
  <c r="J15" i="6"/>
  <c r="I15" i="6"/>
  <c r="K14" i="6"/>
  <c r="J14" i="6"/>
  <c r="I14" i="6"/>
  <c r="K13" i="6"/>
  <c r="J13" i="6"/>
  <c r="I13" i="6"/>
  <c r="K12" i="6"/>
  <c r="J12" i="6"/>
  <c r="I12" i="6"/>
  <c r="K11" i="6"/>
  <c r="J11" i="6"/>
  <c r="I11" i="6"/>
  <c r="K10" i="6"/>
  <c r="J10" i="6"/>
  <c r="I10" i="6"/>
  <c r="K9" i="6"/>
  <c r="J9" i="6"/>
  <c r="I9" i="6"/>
  <c r="K8" i="6"/>
  <c r="J8" i="6"/>
  <c r="I8" i="6"/>
  <c r="K7" i="6"/>
  <c r="J7" i="6"/>
  <c r="I7" i="6"/>
  <c r="K6" i="6"/>
  <c r="J6" i="6"/>
  <c r="I6" i="6"/>
  <c r="K5" i="6"/>
  <c r="J5" i="6"/>
  <c r="I5" i="6"/>
  <c r="R4" i="10" l="1"/>
  <c r="S4" i="10" s="1"/>
  <c r="R5" i="10"/>
  <c r="S5" i="10" s="1"/>
  <c r="R1" i="10"/>
  <c r="Q18" i="10"/>
  <c r="Q17" i="10"/>
  <c r="E3" i="10"/>
  <c r="R2" i="10"/>
  <c r="U354" i="10"/>
  <c r="F5" i="10"/>
  <c r="Q1163" i="10"/>
  <c r="Q1170" i="10"/>
  <c r="Q1181" i="10"/>
  <c r="Q1186" i="10"/>
  <c r="Q1241" i="10"/>
  <c r="Q1251" i="10"/>
  <c r="Q1248" i="10"/>
  <c r="Q1266" i="10"/>
  <c r="Q1283" i="10"/>
  <c r="Q1280" i="10"/>
  <c r="Q1026" i="10"/>
  <c r="Q1034" i="10"/>
  <c r="Q1042" i="10"/>
  <c r="Q1050" i="10"/>
  <c r="Q1058" i="10"/>
  <c r="Q1066" i="10"/>
  <c r="Q1074" i="10"/>
  <c r="Q1082" i="10"/>
  <c r="Q1090" i="10"/>
  <c r="Q1098" i="10"/>
  <c r="Q1106" i="10"/>
  <c r="Q1114" i="10"/>
  <c r="Q1122" i="10"/>
  <c r="Q1130" i="10"/>
  <c r="Q1138" i="10"/>
  <c r="Q1146" i="10"/>
  <c r="Q1154" i="10"/>
  <c r="Q1162" i="10"/>
  <c r="Q1180" i="10"/>
  <c r="Q1185" i="10"/>
  <c r="Q1025" i="10"/>
  <c r="Q1033" i="10"/>
  <c r="Q1041" i="10"/>
  <c r="Q1049" i="10"/>
  <c r="Q1057" i="10"/>
  <c r="Q1065" i="10"/>
  <c r="Q1073" i="10"/>
  <c r="Q1081" i="10"/>
  <c r="Q1089" i="10"/>
  <c r="Q1097" i="10"/>
  <c r="Q1105" i="10"/>
  <c r="Q1113" i="10"/>
  <c r="Q1121" i="10"/>
  <c r="Q1129" i="10"/>
  <c r="Q1137" i="10"/>
  <c r="Q1145" i="10"/>
  <c r="Q1153" i="10"/>
  <c r="Q1169" i="10"/>
  <c r="Q1258" i="10"/>
  <c r="Q1265" i="10"/>
  <c r="Q1275" i="10"/>
  <c r="Q1272" i="10"/>
  <c r="Q1173" i="10"/>
  <c r="Q1178" i="10"/>
  <c r="Q1196" i="10"/>
  <c r="Q1203" i="10"/>
  <c r="Q1031" i="10"/>
  <c r="Q1039" i="10"/>
  <c r="Q1047" i="10"/>
  <c r="Q1055" i="10"/>
  <c r="Q1063" i="10"/>
  <c r="Q1071" i="10"/>
  <c r="Q1079" i="10"/>
  <c r="Q1087" i="10"/>
  <c r="Q1197" i="10"/>
  <c r="Q1195" i="10"/>
  <c r="Q1250" i="10"/>
  <c r="Q1257" i="10"/>
  <c r="Q1267" i="10"/>
  <c r="Q1264" i="10"/>
  <c r="Q1282" i="10"/>
  <c r="Q1174" i="10"/>
  <c r="Q1189" i="10"/>
  <c r="Q1194" i="10"/>
  <c r="Q1184" i="10"/>
  <c r="Q1242" i="10"/>
  <c r="Q1249" i="10"/>
  <c r="Q1259" i="10"/>
  <c r="Q1256" i="10"/>
  <c r="Q1274" i="10"/>
  <c r="Q1281" i="10"/>
  <c r="Q1200" i="10"/>
  <c r="Q1205" i="10"/>
  <c r="Q1209" i="10"/>
  <c r="Q1213" i="10"/>
  <c r="Q1217" i="10"/>
  <c r="Q1221" i="10"/>
  <c r="Q1225" i="10"/>
  <c r="Q1229" i="10"/>
  <c r="Q1233" i="10"/>
  <c r="Q1237" i="10"/>
  <c r="Q1202" i="10"/>
  <c r="Q1207" i="10"/>
  <c r="Q1211" i="10"/>
  <c r="Q1215" i="10"/>
  <c r="Q1219" i="10"/>
  <c r="Q1223" i="10"/>
  <c r="Q1227" i="10"/>
  <c r="Q1231" i="10"/>
  <c r="Q1235" i="10"/>
  <c r="Q1239" i="10"/>
  <c r="Q1201" i="10"/>
  <c r="Q1206" i="10"/>
  <c r="Q1210" i="10"/>
  <c r="Q1214" i="10"/>
  <c r="Q1218" i="10"/>
  <c r="Q1222" i="10"/>
  <c r="Q1226" i="10"/>
  <c r="Q1230" i="10"/>
  <c r="Q1234" i="10"/>
  <c r="Q1238" i="10"/>
  <c r="Q1482" i="10"/>
  <c r="Q1483" i="10"/>
  <c r="Q1484" i="10"/>
  <c r="Q1485" i="10"/>
  <c r="Q1476" i="10"/>
  <c r="Q1477" i="10"/>
  <c r="Q1503" i="10"/>
  <c r="Q1511" i="10"/>
  <c r="Q1519" i="10"/>
  <c r="Q1527" i="10"/>
  <c r="Q1535" i="10"/>
  <c r="Q1553" i="10"/>
  <c r="Q1559" i="10"/>
  <c r="Q1566" i="10"/>
  <c r="Q1570" i="10"/>
  <c r="Q1574" i="10"/>
  <c r="Q1478" i="10"/>
  <c r="Q1486" i="10"/>
  <c r="Q1494" i="10"/>
  <c r="Q1502" i="10"/>
  <c r="Q1510" i="10"/>
  <c r="Q1518" i="10"/>
  <c r="Q1526" i="10"/>
  <c r="Q1534" i="10"/>
  <c r="Q1561" i="10"/>
  <c r="Q1569" i="10"/>
  <c r="Q1578" i="10"/>
  <c r="Q1582" i="10"/>
  <c r="Q1493" i="10"/>
  <c r="Q1552" i="10"/>
  <c r="Q1577" i="10"/>
  <c r="Q1586" i="10"/>
  <c r="Q1590" i="10"/>
  <c r="Q1594" i="10"/>
  <c r="Q1492" i="10"/>
  <c r="Q1560" i="10"/>
  <c r="Q1568" i="10"/>
  <c r="Q1585" i="10"/>
  <c r="Q1593" i="10"/>
  <c r="Q1598" i="10"/>
  <c r="Q1599" i="10"/>
  <c r="Q1607" i="10"/>
  <c r="Q1604" i="10"/>
  <c r="Q1576" i="10"/>
  <c r="Q1587" i="10"/>
  <c r="Q1595" i="10"/>
  <c r="Q1600" i="10"/>
  <c r="Q1565" i="10"/>
  <c r="Q1573" i="10"/>
  <c r="Q1584" i="10"/>
  <c r="Q1592" i="10"/>
  <c r="Q1539" i="10"/>
  <c r="Q1543" i="10"/>
  <c r="Q1546" i="10"/>
  <c r="Q1581" i="10"/>
  <c r="Q1551" i="10"/>
  <c r="Q1558" i="10"/>
  <c r="Q1589" i="10"/>
  <c r="Q1597" i="10"/>
  <c r="Q1616" i="10"/>
  <c r="Q1615" i="10"/>
  <c r="Q1623" i="10"/>
  <c r="Q1631" i="10"/>
  <c r="Q1606" i="10"/>
  <c r="Q1609" i="10"/>
  <c r="Q1617" i="10"/>
  <c r="Q1625" i="10"/>
  <c r="Q1614" i="10"/>
  <c r="Q1622" i="10"/>
  <c r="Q1630" i="10"/>
  <c r="Q1605" i="10"/>
  <c r="Q1611" i="10"/>
  <c r="Q1619" i="10"/>
  <c r="Q1627" i="10"/>
  <c r="Q1685" i="10"/>
  <c r="Q1681" i="10"/>
  <c r="Q1677" i="10"/>
  <c r="Q1686" i="10"/>
  <c r="Q1683" i="10"/>
</calcChain>
</file>

<file path=xl/sharedStrings.xml><?xml version="1.0" encoding="utf-8"?>
<sst xmlns="http://schemas.openxmlformats.org/spreadsheetml/2006/main" count="3416" uniqueCount="1054">
  <si>
    <t>Bottom Up</t>
  </si>
  <si>
    <t>DATA</t>
  </si>
  <si>
    <t>WEBSITES</t>
  </si>
  <si>
    <t>Earnings calendar</t>
  </si>
  <si>
    <t>https://www.marketscreener.com/stock-exchange/calendar/finance/</t>
  </si>
  <si>
    <t>https://www.benzinga.com/calendar/earnings</t>
  </si>
  <si>
    <t>Earnings expectations</t>
  </si>
  <si>
    <t>https://www.earningswhispers.com/calendar</t>
  </si>
  <si>
    <t>Spin Off</t>
  </si>
  <si>
    <t>https://www.sec.gov/cgi-bin/srch-edgar?text=form-type+%3D+10-12b&amp;first=2017&amp;last=2018</t>
  </si>
  <si>
    <t>Company</t>
  </si>
  <si>
    <t>Form Type</t>
  </si>
  <si>
    <t>Filing Date</t>
  </si>
  <si>
    <t>5E Advanced Materials, Inc.</t>
  </si>
  <si>
    <t>10-12B</t>
  </si>
  <si>
    <t>Biohaven Research Ltd.</t>
  </si>
  <si>
    <t>Bluerock Homes Trust, Inc.</t>
  </si>
  <si>
    <t>Enhabit, Inc.</t>
  </si>
  <si>
    <t>ESAB Corp</t>
  </si>
  <si>
    <t>F&amp;G Annuities &amp; Life, Inc.</t>
  </si>
  <si>
    <t>FTAI Infrastructure LLC</t>
  </si>
  <si>
    <t>John Marshall Bancorp, Inc.</t>
  </si>
  <si>
    <t>M-tron Industries, Inc.</t>
  </si>
  <si>
    <t>Probation Tracker, Inc.</t>
  </si>
  <si>
    <t>ProMIS Neurosciences Inc.</t>
  </si>
  <si>
    <t>Xperi Inc.</t>
  </si>
  <si>
    <t>ZimVie Inc.</t>
  </si>
  <si>
    <t>Session</t>
  </si>
  <si>
    <t>Time</t>
  </si>
  <si>
    <t>Country</t>
  </si>
  <si>
    <t>Event</t>
  </si>
  <si>
    <t>Previous</t>
  </si>
  <si>
    <t>MONDAY|19|SEPTEMBER</t>
  </si>
  <si>
    <t>10:00am</t>
  </si>
  <si>
    <t>US</t>
  </si>
  <si>
    <t>NAHB Housing Market Index (September)</t>
  </si>
  <si>
    <t>49</t>
  </si>
  <si>
    <t>TUESDAY|20|SEPTEMBER</t>
  </si>
  <si>
    <t>02:00am</t>
  </si>
  <si>
    <t>DE</t>
  </si>
  <si>
    <t>PPI MoM (August)</t>
  </si>
  <si>
    <t>5.3%</t>
  </si>
  <si>
    <t>CH</t>
  </si>
  <si>
    <t>Exports Real MoM (August)</t>
  </si>
  <si>
    <t>-2.9%</t>
  </si>
  <si>
    <t>08:30am</t>
  </si>
  <si>
    <t>Initial Jobless Claims (August)</t>
  </si>
  <si>
    <t>-</t>
  </si>
  <si>
    <t>Bank of England Bank Rate (August)</t>
  </si>
  <si>
    <t>WEDNESDAY|21|SEPTEMBER</t>
  </si>
  <si>
    <t>Existing Home Sales MoM (August)</t>
  </si>
  <si>
    <t>-5.9%</t>
  </si>
  <si>
    <t>Existing Home Sales (August)</t>
  </si>
  <si>
    <t>10:30am</t>
  </si>
  <si>
    <t>DOE U.S. Crude Oil Inventories</t>
  </si>
  <si>
    <t>--</t>
  </si>
  <si>
    <t>02:00pm</t>
  </si>
  <si>
    <t>FOMC Rate Decision (Upper Bound)</t>
  </si>
  <si>
    <t>2.50%</t>
  </si>
  <si>
    <t>FOMC Rate Decision (Lower Bound)</t>
  </si>
  <si>
    <t>2.25%</t>
  </si>
  <si>
    <t>06:00pm</t>
  </si>
  <si>
    <t>JP</t>
  </si>
  <si>
    <t>BOJ Policy Balance Rate</t>
  </si>
  <si>
    <t>-0.100%</t>
  </si>
  <si>
    <t>THURSDAY|22|SEPTEMBER</t>
  </si>
  <si>
    <t>02:45am</t>
  </si>
  <si>
    <t>FR</t>
  </si>
  <si>
    <t>Business Confidence (September)</t>
  </si>
  <si>
    <t>03:30am</t>
  </si>
  <si>
    <t>SNB Sight Deposit Interest Rate</t>
  </si>
  <si>
    <t>-0.25%</t>
  </si>
  <si>
    <t>SNB Policy Rate</t>
  </si>
  <si>
    <t>Initial Jobless Claims</t>
  </si>
  <si>
    <t>Leading Index (August)</t>
  </si>
  <si>
    <t>-0.4%</t>
  </si>
  <si>
    <t>FRIDAY|23|SEPTEMBER</t>
  </si>
  <si>
    <t>Wages QoQ</t>
  </si>
  <si>
    <t>1.0%</t>
  </si>
  <si>
    <t>03:15am</t>
  </si>
  <si>
    <t>S&amp;P Global France Manufacturing PMI (September)</t>
  </si>
  <si>
    <t>S&amp;P Global France Services PMI (September)</t>
  </si>
  <si>
    <t>S&amp;P Global France Composite PMI (September)</t>
  </si>
  <si>
    <t>S&amp;P Global/BME Germany Manufacturing PMI (September)</t>
  </si>
  <si>
    <t>S&amp;P Global Germany Services PMI (September)</t>
  </si>
  <si>
    <t>S&amp;P Global Germany Composite PMI (September)</t>
  </si>
  <si>
    <t>04:00am</t>
  </si>
  <si>
    <t>EU</t>
  </si>
  <si>
    <t>S&amp;P Global Eurozone Manufacturing PMI (September)</t>
  </si>
  <si>
    <t>S&amp;P Global Eurozone Composite PMI (September)</t>
  </si>
  <si>
    <t>S&amp;P Global Eurozone Services PMI (September)</t>
  </si>
  <si>
    <t>04:30am</t>
  </si>
  <si>
    <t>GB</t>
  </si>
  <si>
    <t>S&amp;P Global/CIPS UK Manufacturing PMI (September)</t>
  </si>
  <si>
    <t>S&amp;P Global/CIPS UK Services PMI (September)</t>
  </si>
  <si>
    <t>S&amp;P Global/CIPS UK Composite PMI (September)</t>
  </si>
  <si>
    <t>09:45am</t>
  </si>
  <si>
    <t>S&amp;P Global PMI Manufacturing US (September)</t>
  </si>
  <si>
    <t>S&amp;P Global PMI Services US (September)</t>
  </si>
  <si>
    <t>S&amp;P Global PMI composite US (September)</t>
  </si>
  <si>
    <t>MONDAY|26|SEPTEMBER</t>
  </si>
  <si>
    <t>IFO Business Climate (September)</t>
  </si>
  <si>
    <t>IFO Current Assessment (September)</t>
  </si>
  <si>
    <t>IFO Expectations (September)</t>
  </si>
  <si>
    <t>Chicago Fed Nat Activity Index (August)</t>
  </si>
  <si>
    <t>0.27</t>
  </si>
  <si>
    <t>TUESDAY|27|SEPTEMBER</t>
  </si>
  <si>
    <t>Machine Tool Orders YoY (August)</t>
  </si>
  <si>
    <t>M3 Money Supply YoY (August)</t>
  </si>
  <si>
    <t>Durable Goods Orders (August)</t>
  </si>
  <si>
    <t>09:00am</t>
  </si>
  <si>
    <t>Indice FHFA du prix des maisons GM (July)</t>
  </si>
  <si>
    <t>New Home Sales MoM (August)</t>
  </si>
  <si>
    <t>-12.6%</t>
  </si>
  <si>
    <t>Confiance des consommateurs Conf. Board (September)</t>
  </si>
  <si>
    <t>Richmond Fed Manufact. Index (September)</t>
  </si>
  <si>
    <t>-8</t>
  </si>
  <si>
    <t>New Home Sales (August)</t>
  </si>
  <si>
    <t>511000</t>
  </si>
  <si>
    <t>WEDNESDAY|28|SEPTEMBER</t>
  </si>
  <si>
    <t>FOMC Meeting Minutes (September)</t>
  </si>
  <si>
    <t>Wholesale Inventories MoM (August)</t>
  </si>
  <si>
    <t>Pending Home Sales MoM (August)</t>
  </si>
  <si>
    <t>-1.0%</t>
  </si>
  <si>
    <t>THURSDAY|29|SEPTEMBER</t>
  </si>
  <si>
    <t>05:00am</t>
  </si>
  <si>
    <t>Consumer Spending MoM (September)</t>
  </si>
  <si>
    <t>08:00am</t>
  </si>
  <si>
    <t>CPI EU Harmonized MoM (September)</t>
  </si>
  <si>
    <t>CPI MoM (September)</t>
  </si>
  <si>
    <t>GDP Annualized QoQ</t>
  </si>
  <si>
    <t>07:30pm</t>
  </si>
  <si>
    <t>Jobless Rate (August)</t>
  </si>
  <si>
    <t>07:50pm</t>
  </si>
  <si>
    <t>Retail Sales MoM (August)</t>
  </si>
  <si>
    <t>Retail Sales YoY (August)</t>
  </si>
  <si>
    <t>Industrial Production MoM (August)</t>
  </si>
  <si>
    <t>09:30pm</t>
  </si>
  <si>
    <t>CN</t>
  </si>
  <si>
    <t>Non-manufacturing PMI (September)</t>
  </si>
  <si>
    <t>Manufacturing PMI (September)</t>
  </si>
  <si>
    <t>Composite PMI (September)</t>
  </si>
  <si>
    <t>09:45pm</t>
  </si>
  <si>
    <t>Caixin China PMI Mfg (September)</t>
  </si>
  <si>
    <t>FRIDAY|30|SEPTEMBER</t>
  </si>
  <si>
    <t>GDP QoQ</t>
  </si>
  <si>
    <t>-0.1%</t>
  </si>
  <si>
    <t>02:30am</t>
  </si>
  <si>
    <t>Retail sales actual GA (August)</t>
  </si>
  <si>
    <t>03:00am</t>
  </si>
  <si>
    <t>KOF Leading Indicator (September)</t>
  </si>
  <si>
    <t>03:55am</t>
  </si>
  <si>
    <t>Unemployment Change (000's) (September)</t>
  </si>
  <si>
    <t>Unemployment Rate (August)</t>
  </si>
  <si>
    <t>Déflateur DCM de base GA (August)</t>
  </si>
  <si>
    <t>Déflateur DCM de base GM (August)</t>
  </si>
  <si>
    <t>Personal Spending (August)</t>
  </si>
  <si>
    <t>Personal Income (August)</t>
  </si>
  <si>
    <t>MNI Chicago PMI (September)</t>
  </si>
  <si>
    <t>U. of Mich. Sentiment (September)</t>
  </si>
  <si>
    <t>Date</t>
  </si>
  <si>
    <t>Capitalization (M$)</t>
  </si>
  <si>
    <t>United States</t>
  </si>
  <si>
    <t xml:space="preserve">CANTEL MEDICAL CORP. </t>
  </si>
  <si>
    <t>Today</t>
  </si>
  <si>
    <t>FY 2019 Earnings Release</t>
  </si>
  <si>
    <t>3 549</t>
  </si>
  <si>
    <t xml:space="preserve">NIKE INC </t>
  </si>
  <si>
    <t>Q1 2020 Earnings Release</t>
  </si>
  <si>
    <t>135 818</t>
  </si>
  <si>
    <t xml:space="preserve">AUTOZONE, INC. </t>
  </si>
  <si>
    <t>28 438</t>
  </si>
  <si>
    <t xml:space="preserve">CARMAX, INC </t>
  </si>
  <si>
    <t>Interim 2020 Earnings Release</t>
  </si>
  <si>
    <t>14 014</t>
  </si>
  <si>
    <t xml:space="preserve">SYNNEX CORPORATION </t>
  </si>
  <si>
    <t>Q3 2019 Earnings Release</t>
  </si>
  <si>
    <t>5 002</t>
  </si>
  <si>
    <t xml:space="preserve">JABIL INC </t>
  </si>
  <si>
    <t>4 692</t>
  </si>
  <si>
    <t xml:space="preserve">NIO INC - ADR </t>
  </si>
  <si>
    <t>Interim 2019 Earnings Release</t>
  </si>
  <si>
    <t>3 200</t>
  </si>
  <si>
    <t xml:space="preserve">MANCHESTER UNITED PL.. </t>
  </si>
  <si>
    <t>2 879</t>
  </si>
  <si>
    <t xml:space="preserve">KB HOME </t>
  </si>
  <si>
    <t>2 776</t>
  </si>
  <si>
    <t xml:space="preserve">HB FULLER CO </t>
  </si>
  <si>
    <t>2 404</t>
  </si>
  <si>
    <t xml:space="preserve">WORTHINGTON INDUSTRI.. </t>
  </si>
  <si>
    <t>2 107</t>
  </si>
  <si>
    <t xml:space="preserve">ENDAVA PLC - ADR </t>
  </si>
  <si>
    <t>2 047</t>
  </si>
  <si>
    <t xml:space="preserve">AAR CORP. </t>
  </si>
  <si>
    <t>1 565</t>
  </si>
  <si>
    <t xml:space="preserve">ACCENTURE PLC </t>
  </si>
  <si>
    <t>123 026</t>
  </si>
  <si>
    <t xml:space="preserve">MICRON TECHNOLOGY, I.. </t>
  </si>
  <si>
    <t>54 263</t>
  </si>
  <si>
    <t xml:space="preserve">CONAGRA BRANDS INC </t>
  </si>
  <si>
    <t>14 506</t>
  </si>
  <si>
    <t xml:space="preserve">FACTSET RESEARCH SYS.. </t>
  </si>
  <si>
    <t>10 799</t>
  </si>
  <si>
    <t xml:space="preserve">ACTUANT CORPORATION </t>
  </si>
  <si>
    <t>1 479</t>
  </si>
  <si>
    <t xml:space="preserve">THOR INDUSTRIES, INC.. </t>
  </si>
  <si>
    <t>2 986</t>
  </si>
  <si>
    <t xml:space="preserve">STITCH FIX INC </t>
  </si>
  <si>
    <t>1 981</t>
  </si>
  <si>
    <t xml:space="preserve">PAYCHEX, INC. </t>
  </si>
  <si>
    <t>29 561</t>
  </si>
  <si>
    <t xml:space="preserve">RPM INTERNATIONAL IN.. </t>
  </si>
  <si>
    <t>8 873</t>
  </si>
  <si>
    <t xml:space="preserve">ACUITY BRANDS, INC. </t>
  </si>
  <si>
    <t>5 355</t>
  </si>
  <si>
    <t xml:space="preserve">PEPSICO, INC. </t>
  </si>
  <si>
    <t>188 347</t>
  </si>
  <si>
    <t xml:space="preserve">COSTCO WHOLESALE COR.. </t>
  </si>
  <si>
    <t>125 938</t>
  </si>
  <si>
    <t xml:space="preserve">CONSTELLATION BRANDS.. </t>
  </si>
  <si>
    <t>39 132</t>
  </si>
  <si>
    <t xml:space="preserve">YUM CHINA HOLDINGS I.. </t>
  </si>
  <si>
    <t>16 829</t>
  </si>
  <si>
    <t xml:space="preserve">INTERNATIONAL SPEEDW.. </t>
  </si>
  <si>
    <t>1 952</t>
  </si>
  <si>
    <t xml:space="preserve">PROGRESSIVE CORP </t>
  </si>
  <si>
    <t>44 435</t>
  </si>
  <si>
    <t xml:space="preserve">BANK OZK </t>
  </si>
  <si>
    <t>3 498</t>
  </si>
  <si>
    <t xml:space="preserve">CAL-MAINE FOODS INC </t>
  </si>
  <si>
    <t>2 147</t>
  </si>
  <si>
    <t xml:space="preserve">YUM! BRANDS, INC. </t>
  </si>
  <si>
    <t>34 171</t>
  </si>
  <si>
    <t xml:space="preserve">TERRENO REALTY CORPO.. </t>
  </si>
  <si>
    <t>3 341</t>
  </si>
  <si>
    <t xml:space="preserve">WALGREENS BOOTS ALLI.. </t>
  </si>
  <si>
    <t>49 673</t>
  </si>
  <si>
    <t xml:space="preserve">COMMERCE BANCSHARES,.. </t>
  </si>
  <si>
    <t>6 654</t>
  </si>
  <si>
    <t xml:space="preserve">HELEN OF TROY LIMITE.. </t>
  </si>
  <si>
    <t>3 905</t>
  </si>
  <si>
    <t xml:space="preserve">FASTENAL COMPANY </t>
  </si>
  <si>
    <t>Sales and Revenue Release</t>
  </si>
  <si>
    <t>18 269</t>
  </si>
  <si>
    <t xml:space="preserve">FIRST REPUBLIC BANK </t>
  </si>
  <si>
    <t>16 020</t>
  </si>
  <si>
    <t xml:space="preserve">FARMERS AND MERCHANT.. </t>
  </si>
  <si>
    <t>1 012</t>
  </si>
  <si>
    <t xml:space="preserve">LINDSAY CORPORATION </t>
  </si>
  <si>
    <t>1 014</t>
  </si>
  <si>
    <t xml:space="preserve">CHARLES SCHWAB CORP </t>
  </si>
  <si>
    <t>55 921</t>
  </si>
  <si>
    <t xml:space="preserve">UNITED CONTINENTAL H.. </t>
  </si>
  <si>
    <t>22 889</t>
  </si>
  <si>
    <t xml:space="preserve">OMNICOM GROUP INC. </t>
  </si>
  <si>
    <t>16 939</t>
  </si>
  <si>
    <t xml:space="preserve">CELANESE CORPORATION </t>
  </si>
  <si>
    <t>15 180</t>
  </si>
  <si>
    <t xml:space="preserve">GENUINE PARTS COMPAN.. </t>
  </si>
  <si>
    <t>14 243</t>
  </si>
  <si>
    <t xml:space="preserve">IDEX CORPORATION </t>
  </si>
  <si>
    <t>12 465</t>
  </si>
  <si>
    <t xml:space="preserve">DOMINO'S PIZZA, INC. </t>
  </si>
  <si>
    <t>10 210</t>
  </si>
  <si>
    <t xml:space="preserve">CROWN HOLDINGS, INC. </t>
  </si>
  <si>
    <t>8 390</t>
  </si>
  <si>
    <t xml:space="preserve">BANCORPSOUTH BANK </t>
  </si>
  <si>
    <t>2 961</t>
  </si>
  <si>
    <t xml:space="preserve">HEALTHCARE SERVICES .. </t>
  </si>
  <si>
    <t>1 842</t>
  </si>
  <si>
    <t xml:space="preserve">BERKSHIRE HILLS BANC.. </t>
  </si>
  <si>
    <t>1 563</t>
  </si>
  <si>
    <t xml:space="preserve">JPMORGAN CHASE &amp; CO. </t>
  </si>
  <si>
    <t>380 125</t>
  </si>
  <si>
    <t xml:space="preserve">JOHNSON &amp; JOHNSON </t>
  </si>
  <si>
    <t>347 446</t>
  </si>
  <si>
    <t xml:space="preserve">WELLS FARGO &amp; CO </t>
  </si>
  <si>
    <t>214 269</t>
  </si>
  <si>
    <t xml:space="preserve">CITIGROUP INC </t>
  </si>
  <si>
    <t>156 666</t>
  </si>
  <si>
    <t xml:space="preserve">GOLDMAN SACHS GROUP .. </t>
  </si>
  <si>
    <t>76 853</t>
  </si>
  <si>
    <t xml:space="preserve">MORGAN STANLEY </t>
  </si>
  <si>
    <t>72 176</t>
  </si>
  <si>
    <t xml:space="preserve">LAM RESEARCH CORPORA.. </t>
  </si>
  <si>
    <t>34 010</t>
  </si>
  <si>
    <t xml:space="preserve">J B HUNT TRANSPORT S.. </t>
  </si>
  <si>
    <t>12 188</t>
  </si>
  <si>
    <t xml:space="preserve">PACWEST BANCORP </t>
  </si>
  <si>
    <t>4 288</t>
  </si>
  <si>
    <t xml:space="preserve">FULTON FINANCIAL COR.. </t>
  </si>
  <si>
    <t>2 742</t>
  </si>
  <si>
    <t xml:space="preserve">WOLVERINE WORLD WIDE.. </t>
  </si>
  <si>
    <t>2 381</t>
  </si>
  <si>
    <t xml:space="preserve">MARTEN TRANSPORT, LT.. </t>
  </si>
  <si>
    <t>1 165</t>
  </si>
  <si>
    <t xml:space="preserve">PROLOGIS INC </t>
  </si>
  <si>
    <t>53 236</t>
  </si>
  <si>
    <t xml:space="preserve">BK AMER P11 </t>
  </si>
  <si>
    <t>275 433</t>
  </si>
  <si>
    <t xml:space="preserve">INTERNATIONAL BUSINE.. </t>
  </si>
  <si>
    <t>125 688</t>
  </si>
  <si>
    <t xml:space="preserve">U.S. BANCORP </t>
  </si>
  <si>
    <t>87 364</t>
  </si>
  <si>
    <t xml:space="preserve">PNC FINANCIAL SERVIC.. </t>
  </si>
  <si>
    <t>62 728</t>
  </si>
  <si>
    <t xml:space="preserve">CROWN CASTLE INTERNA.. </t>
  </si>
  <si>
    <t>58 447</t>
  </si>
  <si>
    <t xml:space="preserve">CSX CORPORATION </t>
  </si>
  <si>
    <t>54 771</t>
  </si>
  <si>
    <t xml:space="preserve">BANK OF NEW YORK MEL.. </t>
  </si>
  <si>
    <t>43 721</t>
  </si>
  <si>
    <t xml:space="preserve">NORTHERN TRUST CORPO.. </t>
  </si>
  <si>
    <t>20 258</t>
  </si>
  <si>
    <t xml:space="preserve">ALLY FINANCIAL INC </t>
  </si>
  <si>
    <t>13 165</t>
  </si>
  <si>
    <t xml:space="preserve">BROWN &amp; BROWN, INC. </t>
  </si>
  <si>
    <t>10 191</t>
  </si>
  <si>
    <t xml:space="preserve">COMERICA INCORPORATE.. </t>
  </si>
  <si>
    <t>9 853</t>
  </si>
  <si>
    <t xml:space="preserve">SL GREEN REALTY CORP </t>
  </si>
  <si>
    <t>6 706</t>
  </si>
  <si>
    <t xml:space="preserve">ALCOA CORP </t>
  </si>
  <si>
    <t>4 027</t>
  </si>
  <si>
    <t xml:space="preserve">WINTRUST FINANCIAL C.. </t>
  </si>
  <si>
    <t>3 723</t>
  </si>
  <si>
    <t>Ticker</t>
  </si>
  <si>
    <t>Company Name</t>
  </si>
  <si>
    <t>Tuesday, September 20, 2022</t>
  </si>
  <si>
    <t>6:30 AM ET</t>
  </si>
  <si>
    <t>APOG</t>
  </si>
  <si>
    <t>Apogee Enterprises, Inc.</t>
  </si>
  <si>
    <t>6:55 AM ET</t>
  </si>
  <si>
    <t>AJG</t>
  </si>
  <si>
    <t>Arthur J. Gallagher &amp; Co.</t>
  </si>
  <si>
    <t>4:15 PM ET</t>
  </si>
  <si>
    <t>ACB</t>
  </si>
  <si>
    <t>Aurora Cannabis Inc</t>
  </si>
  <si>
    <t>4:05 PM ET</t>
  </si>
  <si>
    <t>SFIX</t>
  </si>
  <si>
    <t>Stitch Fix, Inc.</t>
  </si>
  <si>
    <t>Wednesday, September 21, 2022</t>
  </si>
  <si>
    <t>7:00 AM ET</t>
  </si>
  <si>
    <t>GIS</t>
  </si>
  <si>
    <t>General Mills, Inc.</t>
  </si>
  <si>
    <t>FUL</t>
  </si>
  <si>
    <t>H.B. Fuller Company</t>
  </si>
  <si>
    <t>4:10 PM ET</t>
  </si>
  <si>
    <t>IVA</t>
  </si>
  <si>
    <t>Inventiva S.A.</t>
  </si>
  <si>
    <t>KBH</t>
  </si>
  <si>
    <t>KB Home</t>
  </si>
  <si>
    <t>4:30 PM ET</t>
  </si>
  <si>
    <t>LEN</t>
  </si>
  <si>
    <t>Lennar Corp.</t>
  </si>
  <si>
    <t>6:00 AM ET</t>
  </si>
  <si>
    <t>RLX</t>
  </si>
  <si>
    <t>RLX Technology Inc.</t>
  </si>
  <si>
    <t>SCS</t>
  </si>
  <si>
    <t>Steelcase, Inc.</t>
  </si>
  <si>
    <t>6:00 PM ET</t>
  </si>
  <si>
    <t>TCOM</t>
  </si>
  <si>
    <t>Trip.com Group Limited</t>
  </si>
  <si>
    <t>Thursday, September 22, 2022</t>
  </si>
  <si>
    <t>AIR</t>
  </si>
  <si>
    <t>AAR Corp.</t>
  </si>
  <si>
    <t>6:45 AM ET</t>
  </si>
  <si>
    <t>ACN</t>
  </si>
  <si>
    <t>Accenture Ltd.</t>
  </si>
  <si>
    <t>CAMP</t>
  </si>
  <si>
    <t>CalAmp Corp.</t>
  </si>
  <si>
    <t>COST</t>
  </si>
  <si>
    <t>Costco Wholesale Corp.</t>
  </si>
  <si>
    <t>DRI</t>
  </si>
  <si>
    <t>Darden Restaurants, Inc.</t>
  </si>
  <si>
    <t>DLNG</t>
  </si>
  <si>
    <t>Dynagas LNG Partners LP</t>
  </si>
  <si>
    <t>FDS</t>
  </si>
  <si>
    <t>FactSet Research Systems, Inc.</t>
  </si>
  <si>
    <t>4:00 PM ET</t>
  </si>
  <si>
    <t>FDX</t>
  </si>
  <si>
    <t>FedEx Corp.</t>
  </si>
  <si>
    <t>FLUX</t>
  </si>
  <si>
    <t>Flux Power Holdings, Inc.</t>
  </si>
  <si>
    <t>IBEX</t>
  </si>
  <si>
    <t>IBEX Limited</t>
  </si>
  <si>
    <t>MANU</t>
  </si>
  <si>
    <t>Manchester United</t>
  </si>
  <si>
    <t>RSSS</t>
  </si>
  <si>
    <t>Research Solutions, Inc.</t>
  </si>
  <si>
    <t>SCHL</t>
  </si>
  <si>
    <t>Scholastic Corp.</t>
  </si>
  <si>
    <t>8:00 AM ET</t>
  </si>
  <si>
    <t>SNT</t>
  </si>
  <si>
    <t>Senesco Technologies Inc</t>
  </si>
  <si>
    <t>Monday, September 26, 2022</t>
  </si>
  <si>
    <t>7:50 AM ET</t>
  </si>
  <si>
    <t>AERG</t>
  </si>
  <si>
    <t>Applied Energetics Inc</t>
  </si>
  <si>
    <t>BIOC</t>
  </si>
  <si>
    <t>Biocept Inc</t>
  </si>
  <si>
    <t>CXDC</t>
  </si>
  <si>
    <t>China XD Plastics Company Limited</t>
  </si>
  <si>
    <t>CGNT</t>
  </si>
  <si>
    <t>Cognyte</t>
  </si>
  <si>
    <t>COMS</t>
  </si>
  <si>
    <t>COMSovereign Holding Corp.</t>
  </si>
  <si>
    <t>4:20 PM ET</t>
  </si>
  <si>
    <t>FNHC</t>
  </si>
  <si>
    <t>Federated National Holding Co.</t>
  </si>
  <si>
    <t>IBIO</t>
  </si>
  <si>
    <t>Ibio Inc</t>
  </si>
  <si>
    <t>IWSY</t>
  </si>
  <si>
    <t>ImageWare Systems, Inc.</t>
  </si>
  <si>
    <t>IMUC</t>
  </si>
  <si>
    <t>ImmunoCellular Therapeutics Ltd</t>
  </si>
  <si>
    <t>LEAI</t>
  </si>
  <si>
    <t>Legacy Education Alliance, Inc.</t>
  </si>
  <si>
    <t>8:30 AM ET</t>
  </si>
  <si>
    <t>LEGN</t>
  </si>
  <si>
    <t>Legend Biotech Corporation</t>
  </si>
  <si>
    <t>LTRY</t>
  </si>
  <si>
    <t>Lottery.com Inc.</t>
  </si>
  <si>
    <t>NAII</t>
  </si>
  <si>
    <t>Natural Alternatives Internati</t>
  </si>
  <si>
    <t>NEWH</t>
  </si>
  <si>
    <t>New Horizons Worldwide Inc.</t>
  </si>
  <si>
    <t>7:35 AM ET</t>
  </si>
  <si>
    <t>ROYL</t>
  </si>
  <si>
    <t>Royale Energy, Inc.</t>
  </si>
  <si>
    <t>SANW</t>
  </si>
  <si>
    <t>S&amp;W Seed Company</t>
  </si>
  <si>
    <t>9:00 AM ET</t>
  </si>
  <si>
    <t>SRAX</t>
  </si>
  <si>
    <t>SRAX, Inc.</t>
  </si>
  <si>
    <t>TAUG</t>
  </si>
  <si>
    <t>Tauriga Sciences, Inc.</t>
  </si>
  <si>
    <t>8:45 AM ET</t>
  </si>
  <si>
    <t>TTNP</t>
  </si>
  <si>
    <t>Titan Pharmaceuticals, Inc.</t>
  </si>
  <si>
    <t>TLSA</t>
  </si>
  <si>
    <t>TIZIANA LIFE SC</t>
  </si>
  <si>
    <t>YGYI</t>
  </si>
  <si>
    <t>Youngevity International, Inc.</t>
  </si>
  <si>
    <t>Tuesday, September 27, 2022</t>
  </si>
  <si>
    <t>5:30 PM ET</t>
  </si>
  <si>
    <t>AASP</t>
  </si>
  <si>
    <t>AllAmerican SportPark Inc.</t>
  </si>
  <si>
    <t>5:05 PM ET</t>
  </si>
  <si>
    <t>BB</t>
  </si>
  <si>
    <t>BlackBerry Limited</t>
  </si>
  <si>
    <t>CALM</t>
  </si>
  <si>
    <t>Cal-Maine Foods</t>
  </si>
  <si>
    <t>CBRL</t>
  </si>
  <si>
    <t>Cracker Barrel Old Country Store, Inc.</t>
  </si>
  <si>
    <t>7:10 AM ET</t>
  </si>
  <si>
    <t>DAVA</t>
  </si>
  <si>
    <t>Endava</t>
  </si>
  <si>
    <t>9:00 PM ET</t>
  </si>
  <si>
    <t>HEXO</t>
  </si>
  <si>
    <t>HEXO Corp.</t>
  </si>
  <si>
    <t>IPW</t>
  </si>
  <si>
    <t>iPower Inc</t>
  </si>
  <si>
    <t>7:30 AM ET</t>
  </si>
  <si>
    <t>JBL</t>
  </si>
  <si>
    <t>Jabil Inc.</t>
  </si>
  <si>
    <t>KXIN</t>
  </si>
  <si>
    <t>Kaixin Auto Holdings</t>
  </si>
  <si>
    <t>KLBAY</t>
  </si>
  <si>
    <t>Klabin SA Sponsored ADR repres</t>
  </si>
  <si>
    <t>8:35 AM ET</t>
  </si>
  <si>
    <t>LUVU</t>
  </si>
  <si>
    <t>Luvu Brands, Inc.</t>
  </si>
  <si>
    <t>NEOG</t>
  </si>
  <si>
    <t>Neogen Corp.</t>
  </si>
  <si>
    <t>NTWK</t>
  </si>
  <si>
    <t>NetSol Technologies Inc</t>
  </si>
  <si>
    <t>6:05 PM ET</t>
  </si>
  <si>
    <t>WAVE</t>
  </si>
  <si>
    <t>Nextwave Wireless Inc</t>
  </si>
  <si>
    <t>NMXS</t>
  </si>
  <si>
    <t>NMXSCOM INC</t>
  </si>
  <si>
    <t>PRGS</t>
  </si>
  <si>
    <t>Progress Software Corp.</t>
  </si>
  <si>
    <t>PURE</t>
  </si>
  <si>
    <t>PURE Bioscience, Inc.</t>
  </si>
  <si>
    <t>5:35 AM ET</t>
  </si>
  <si>
    <t>QTT</t>
  </si>
  <si>
    <t>Qutoutiao Inc.</t>
  </si>
  <si>
    <t>RAVE</t>
  </si>
  <si>
    <t>RAVE Restaurant Group</t>
  </si>
  <si>
    <t>5:00 AM ET</t>
  </si>
  <si>
    <t>RENN</t>
  </si>
  <si>
    <t>Renren Inc.</t>
  </si>
  <si>
    <t>5:00 PM ET</t>
  </si>
  <si>
    <t>SSY</t>
  </si>
  <si>
    <t>SunLink Health Systems Inc</t>
  </si>
  <si>
    <t>7:05 AM ET</t>
  </si>
  <si>
    <t>SNX</t>
  </si>
  <si>
    <t>TD SYNNEX</t>
  </si>
  <si>
    <t>UNFI</t>
  </si>
  <si>
    <t>United Natural Foods, Inc.</t>
  </si>
  <si>
    <t>Wednesday, September 28, 2022</t>
  </si>
  <si>
    <t>9:20 AM ET</t>
  </si>
  <si>
    <t>CTAS</t>
  </si>
  <si>
    <t>Cintas Corporation</t>
  </si>
  <si>
    <t>COHR</t>
  </si>
  <si>
    <t>Coherent Inc.</t>
  </si>
  <si>
    <t>CNXC</t>
  </si>
  <si>
    <t>Concentrix Corporation</t>
  </si>
  <si>
    <t>NAPA</t>
  </si>
  <si>
    <t>Duckhorn Portfolio, Inc.</t>
  </si>
  <si>
    <t>FC</t>
  </si>
  <si>
    <t>Franklin Covey Co.</t>
  </si>
  <si>
    <t>HEPS</t>
  </si>
  <si>
    <t>Hepsiburada</t>
  </si>
  <si>
    <t>HYZN</t>
  </si>
  <si>
    <t>Hyzon Motors, Inc</t>
  </si>
  <si>
    <t>IH</t>
  </si>
  <si>
    <t>iHuman Inc</t>
  </si>
  <si>
    <t>4:45 PM ET</t>
  </si>
  <si>
    <t>JEF</t>
  </si>
  <si>
    <t>Jefferies Financial Group Inc.</t>
  </si>
  <si>
    <t>KLDO</t>
  </si>
  <si>
    <t>Kaleido Biosciences, Inc.</t>
  </si>
  <si>
    <t>MLKN</t>
  </si>
  <si>
    <t>MillerKnoll, Inc.</t>
  </si>
  <si>
    <t>PTN</t>
  </si>
  <si>
    <t>Palatin Technologies, Inc.</t>
  </si>
  <si>
    <t>PCYG</t>
  </si>
  <si>
    <t>Park City Group Inc.</t>
  </si>
  <si>
    <t>PAYX</t>
  </si>
  <si>
    <t>Paychex, Inc.</t>
  </si>
  <si>
    <t>PSNY</t>
  </si>
  <si>
    <t>Polestar</t>
  </si>
  <si>
    <t>THO</t>
  </si>
  <si>
    <t>Thor Industries, Inc.</t>
  </si>
  <si>
    <t>TSL</t>
  </si>
  <si>
    <t>Trina Solar Ltd</t>
  </si>
  <si>
    <t>MTN</t>
  </si>
  <si>
    <t>Vail Resorts, Inc.</t>
  </si>
  <si>
    <t>Stock</t>
  </si>
  <si>
    <t>FCF</t>
  </si>
  <si>
    <t>% Var.</t>
  </si>
  <si>
    <t>FCF 2015</t>
  </si>
  <si>
    <t>FCF 2016</t>
  </si>
  <si>
    <t>FCF 2017</t>
  </si>
  <si>
    <t>FCF 2018</t>
  </si>
  <si>
    <t>2015/2016</t>
  </si>
  <si>
    <t>2016/2017</t>
  </si>
  <si>
    <t>2017/2018</t>
  </si>
  <si>
    <t>MSFT</t>
  </si>
  <si>
    <t>AAPL</t>
  </si>
  <si>
    <t>AMZN</t>
  </si>
  <si>
    <t>FB</t>
  </si>
  <si>
    <t>GOOGL</t>
  </si>
  <si>
    <t>JPM</t>
  </si>
  <si>
    <t>JNJ</t>
  </si>
  <si>
    <t>V</t>
  </si>
  <si>
    <t>PG</t>
  </si>
  <si>
    <t>XOM</t>
  </si>
  <si>
    <t>T</t>
  </si>
  <si>
    <t>MA</t>
  </si>
  <si>
    <t>HD</t>
  </si>
  <si>
    <t>BAC</t>
  </si>
  <si>
    <t>VZ</t>
  </si>
  <si>
    <t>DIS</t>
  </si>
  <si>
    <t>CVX</t>
  </si>
  <si>
    <t>UNH</t>
  </si>
  <si>
    <t>MRK</t>
  </si>
  <si>
    <t>KO</t>
  </si>
  <si>
    <t>INTC</t>
  </si>
  <si>
    <t>CSCO</t>
  </si>
  <si>
    <t>CMCSA</t>
  </si>
  <si>
    <t>PFE</t>
  </si>
  <si>
    <t>BA</t>
  </si>
  <si>
    <t>PEP</t>
  </si>
  <si>
    <t>WFC</t>
  </si>
  <si>
    <t>MCD</t>
  </si>
  <si>
    <t>WMT</t>
  </si>
  <si>
    <t>ABT</t>
  </si>
  <si>
    <t>C</t>
  </si>
  <si>
    <t>MDT</t>
  </si>
  <si>
    <t>ADBE</t>
  </si>
  <si>
    <t>CRM</t>
  </si>
  <si>
    <t>NFLX</t>
  </si>
  <si>
    <t>PM</t>
  </si>
  <si>
    <t>ORCL</t>
  </si>
  <si>
    <t>PYPL</t>
  </si>
  <si>
    <t>AMGN</t>
  </si>
  <si>
    <t>IBM</t>
  </si>
  <si>
    <t>SBUX</t>
  </si>
  <si>
    <t>HON</t>
  </si>
  <si>
    <t>UNP</t>
  </si>
  <si>
    <t>TXN</t>
  </si>
  <si>
    <t>TMO</t>
  </si>
  <si>
    <t>AVGO</t>
  </si>
  <si>
    <t>NEE</t>
  </si>
  <si>
    <t>NKE</t>
  </si>
  <si>
    <t>AMT</t>
  </si>
  <si>
    <t>UTX</t>
  </si>
  <si>
    <t>NVDA</t>
  </si>
  <si>
    <t>ABBV</t>
  </si>
  <si>
    <t>LLY</t>
  </si>
  <si>
    <t>LMT</t>
  </si>
  <si>
    <t>MMM</t>
  </si>
  <si>
    <t>QCOM</t>
  </si>
  <si>
    <t>MO</t>
  </si>
  <si>
    <t>DHR</t>
  </si>
  <si>
    <t>LOW</t>
  </si>
  <si>
    <t>FIS</t>
  </si>
  <si>
    <t>BKNG</t>
  </si>
  <si>
    <t>AXP</t>
  </si>
  <si>
    <t>GILD</t>
  </si>
  <si>
    <t>CVS</t>
  </si>
  <si>
    <t>UPS</t>
  </si>
  <si>
    <t>MDLZ</t>
  </si>
  <si>
    <t>USB</t>
  </si>
  <si>
    <t>BMY</t>
  </si>
  <si>
    <t>CME</t>
  </si>
  <si>
    <t>INTU</t>
  </si>
  <si>
    <t>ADP</t>
  </si>
  <si>
    <t>CB</t>
  </si>
  <si>
    <t>GE</t>
  </si>
  <si>
    <t>BDX</t>
  </si>
  <si>
    <t>ANTM</t>
  </si>
  <si>
    <t>GS</t>
  </si>
  <si>
    <t>CHTR</t>
  </si>
  <si>
    <t>SYK</t>
  </si>
  <si>
    <t>CELG</t>
  </si>
  <si>
    <t>DUK</t>
  </si>
  <si>
    <t>CAT</t>
  </si>
  <si>
    <t>TJX</t>
  </si>
  <si>
    <t>SPGI</t>
  </si>
  <si>
    <t>CL</t>
  </si>
  <si>
    <t>NOC</t>
  </si>
  <si>
    <t>D</t>
  </si>
  <si>
    <t>CCI</t>
  </si>
  <si>
    <t>SO</t>
  </si>
  <si>
    <t>FISV</t>
  </si>
  <si>
    <t>ZTS</t>
  </si>
  <si>
    <t>CI</t>
  </si>
  <si>
    <t>BSX</t>
  </si>
  <si>
    <t>COP</t>
  </si>
  <si>
    <t>ISRG</t>
  </si>
  <si>
    <t>PNC</t>
  </si>
  <si>
    <t>TGT</t>
  </si>
  <si>
    <t>ICE</t>
  </si>
  <si>
    <t>MS</t>
  </si>
  <si>
    <t>RTN</t>
  </si>
  <si>
    <t>GD</t>
  </si>
  <si>
    <t>CSX</t>
  </si>
  <si>
    <t>AGN</t>
  </si>
  <si>
    <t>MMC</t>
  </si>
  <si>
    <t>APD</t>
  </si>
  <si>
    <t>BLK</t>
  </si>
  <si>
    <t>KMB</t>
  </si>
  <si>
    <t>MU</t>
  </si>
  <si>
    <t>GM</t>
  </si>
  <si>
    <t>EQIX</t>
  </si>
  <si>
    <t>VRTX</t>
  </si>
  <si>
    <t>AIG</t>
  </si>
  <si>
    <t>AON</t>
  </si>
  <si>
    <t>WM</t>
  </si>
  <si>
    <t>NSC</t>
  </si>
  <si>
    <t>SPG</t>
  </si>
  <si>
    <t>EW</t>
  </si>
  <si>
    <t>SLB</t>
  </si>
  <si>
    <t>AEP</t>
  </si>
  <si>
    <t>BIIB</t>
  </si>
  <si>
    <t>ITW</t>
  </si>
  <si>
    <t>PGR</t>
  </si>
  <si>
    <t>EXC</t>
  </si>
  <si>
    <t>SCHW</t>
  </si>
  <si>
    <t>EL</t>
  </si>
  <si>
    <t>MET</t>
  </si>
  <si>
    <t>AMAT</t>
  </si>
  <si>
    <t>SHW</t>
  </si>
  <si>
    <t>EOG</t>
  </si>
  <si>
    <t>ILMN</t>
  </si>
  <si>
    <t>BAX</t>
  </si>
  <si>
    <t>PSX</t>
  </si>
  <si>
    <t>COF</t>
  </si>
  <si>
    <t>PSA</t>
  </si>
  <si>
    <t>HUM</t>
  </si>
  <si>
    <t>ADI</t>
  </si>
  <si>
    <t>WBA</t>
  </si>
  <si>
    <t>KMI</t>
  </si>
  <si>
    <t>SRE</t>
  </si>
  <si>
    <t>ROST</t>
  </si>
  <si>
    <t>TRV</t>
  </si>
  <si>
    <t>OXY</t>
  </si>
  <si>
    <t>ATVI</t>
  </si>
  <si>
    <t>BK</t>
  </si>
  <si>
    <t>AFL</t>
  </si>
  <si>
    <t>WELL</t>
  </si>
  <si>
    <t>DG</t>
  </si>
  <si>
    <t>YUM</t>
  </si>
  <si>
    <t>BBT</t>
  </si>
  <si>
    <t>MCO</t>
  </si>
  <si>
    <t>MAR</t>
  </si>
  <si>
    <t>F</t>
  </si>
  <si>
    <t>SYY</t>
  </si>
  <si>
    <t>CTSH</t>
  </si>
  <si>
    <t>ALL</t>
  </si>
  <si>
    <t>DAL</t>
  </si>
  <si>
    <t>STZ</t>
  </si>
  <si>
    <t>JCI</t>
  </si>
  <si>
    <t>ETN</t>
  </si>
  <si>
    <t>XEL</t>
  </si>
  <si>
    <t>PRU</t>
  </si>
  <si>
    <t>NEM</t>
  </si>
  <si>
    <t>HCA</t>
  </si>
  <si>
    <t>EBAY</t>
  </si>
  <si>
    <t>ADSK</t>
  </si>
  <si>
    <t>VLO</t>
  </si>
  <si>
    <t>EQR</t>
  </si>
  <si>
    <t>MPC</t>
  </si>
  <si>
    <t>TEL</t>
  </si>
  <si>
    <t>LRCX</t>
  </si>
  <si>
    <t>TWTR</t>
  </si>
  <si>
    <t>ORLY</t>
  </si>
  <si>
    <t>SBAC</t>
  </si>
  <si>
    <t>PEG</t>
  </si>
  <si>
    <t>WEC</t>
  </si>
  <si>
    <t>MSI</t>
  </si>
  <si>
    <t>AVB</t>
  </si>
  <si>
    <t>ED</t>
  </si>
  <si>
    <t>IR</t>
  </si>
  <si>
    <t>OKE</t>
  </si>
  <si>
    <t>WMB</t>
  </si>
  <si>
    <t>EA</t>
  </si>
  <si>
    <t>MCK</t>
  </si>
  <si>
    <t>ZBH</t>
  </si>
  <si>
    <t>HPQ</t>
  </si>
  <si>
    <t>VTR</t>
  </si>
  <si>
    <t>TSN</t>
  </si>
  <si>
    <t>HLT</t>
  </si>
  <si>
    <t>AMD</t>
  </si>
  <si>
    <t>BLL</t>
  </si>
  <si>
    <t>AZO</t>
  </si>
  <si>
    <t>STI</t>
  </si>
  <si>
    <t>ALXN</t>
  </si>
  <si>
    <t>XLNX</t>
  </si>
  <si>
    <t>APH</t>
  </si>
  <si>
    <t>EIX</t>
  </si>
  <si>
    <t>VFC</t>
  </si>
  <si>
    <t>TDG</t>
  </si>
  <si>
    <t>ES</t>
  </si>
  <si>
    <t>VRSK</t>
  </si>
  <si>
    <t>FLT</t>
  </si>
  <si>
    <t>PPG</t>
  </si>
  <si>
    <t>TROW</t>
  </si>
  <si>
    <t>DLR</t>
  </si>
  <si>
    <t>DFS</t>
  </si>
  <si>
    <t>LUV</t>
  </si>
  <si>
    <t>GPN</t>
  </si>
  <si>
    <t>WLTW</t>
  </si>
  <si>
    <t>IQV</t>
  </si>
  <si>
    <t>TMUS</t>
  </si>
  <si>
    <t>DTE</t>
  </si>
  <si>
    <t>IDXX</t>
  </si>
  <si>
    <t>O</t>
  </si>
  <si>
    <t>INFO</t>
  </si>
  <si>
    <t>FE</t>
  </si>
  <si>
    <t>DLTR</t>
  </si>
  <si>
    <t>KLAC</t>
  </si>
  <si>
    <t>AWK</t>
  </si>
  <si>
    <t>CERN</t>
  </si>
  <si>
    <t>A</t>
  </si>
  <si>
    <t>MNST</t>
  </si>
  <si>
    <t>HSY</t>
  </si>
  <si>
    <t>PCAR</t>
  </si>
  <si>
    <t>GLW</t>
  </si>
  <si>
    <t>PPL</t>
  </si>
  <si>
    <t>VRSN</t>
  </si>
  <si>
    <t>HIG</t>
  </si>
  <si>
    <t>ADM</t>
  </si>
  <si>
    <t>TSS</t>
  </si>
  <si>
    <t>ETR</t>
  </si>
  <si>
    <t>ESS</t>
  </si>
  <si>
    <t>APTV</t>
  </si>
  <si>
    <t>CMI</t>
  </si>
  <si>
    <t>PH</t>
  </si>
  <si>
    <t>PXD</t>
  </si>
  <si>
    <t>FTV</t>
  </si>
  <si>
    <t>SYF</t>
  </si>
  <si>
    <t>MCHP</t>
  </si>
  <si>
    <t>CLX</t>
  </si>
  <si>
    <t>SWK</t>
  </si>
  <si>
    <t>MKC</t>
  </si>
  <si>
    <t>MTB</t>
  </si>
  <si>
    <t>MSCI</t>
  </si>
  <si>
    <t>CMG</t>
  </si>
  <si>
    <t>BXP</t>
  </si>
  <si>
    <t>CHD</t>
  </si>
  <si>
    <t>LYB</t>
  </si>
  <si>
    <t>AME</t>
  </si>
  <si>
    <t>RMD</t>
  </si>
  <si>
    <t>KR</t>
  </si>
  <si>
    <t>CDNS</t>
  </si>
  <si>
    <t>RSG</t>
  </si>
  <si>
    <t>STT</t>
  </si>
  <si>
    <t>WY</t>
  </si>
  <si>
    <t>VMC</t>
  </si>
  <si>
    <t>NTRS</t>
  </si>
  <si>
    <t>CNC</t>
  </si>
  <si>
    <t>AEE</t>
  </si>
  <si>
    <t>UAL</t>
  </si>
  <si>
    <t>FITB</t>
  </si>
  <si>
    <t>ULTA</t>
  </si>
  <si>
    <t>ANSS</t>
  </si>
  <si>
    <t>EXPE</t>
  </si>
  <si>
    <t>RCL</t>
  </si>
  <si>
    <t>ROK</t>
  </si>
  <si>
    <t>CMS</t>
  </si>
  <si>
    <t>KEYS</t>
  </si>
  <si>
    <t>CCL</t>
  </si>
  <si>
    <t>HPE</t>
  </si>
  <si>
    <t>EFX</t>
  </si>
  <si>
    <t>FAST</t>
  </si>
  <si>
    <t>AMP</t>
  </si>
  <si>
    <t>OMC</t>
  </si>
  <si>
    <t>DHI</t>
  </si>
  <si>
    <t>TFX</t>
  </si>
  <si>
    <t>ARE</t>
  </si>
  <si>
    <t>CINF</t>
  </si>
  <si>
    <t>LH</t>
  </si>
  <si>
    <t>HCP</t>
  </si>
  <si>
    <t>KEY</t>
  </si>
  <si>
    <t>WDC</t>
  </si>
  <si>
    <t>MTD</t>
  </si>
  <si>
    <t>COO</t>
  </si>
  <si>
    <t>K</t>
  </si>
  <si>
    <t>EVRG</t>
  </si>
  <si>
    <t>MLM</t>
  </si>
  <si>
    <t>KHC</t>
  </si>
  <si>
    <t>BBY</t>
  </si>
  <si>
    <t>EXR</t>
  </si>
  <si>
    <t>HAL</t>
  </si>
  <si>
    <t>CBRE</t>
  </si>
  <si>
    <t>HES</t>
  </si>
  <si>
    <t>IP</t>
  </si>
  <si>
    <t>CPRT</t>
  </si>
  <si>
    <t>BR</t>
  </si>
  <si>
    <t>FRC</t>
  </si>
  <si>
    <t>MKTX</t>
  </si>
  <si>
    <t>CBS</t>
  </si>
  <si>
    <t>CFG</t>
  </si>
  <si>
    <t>FANG</t>
  </si>
  <si>
    <t>INCY</t>
  </si>
  <si>
    <t>TTWO</t>
  </si>
  <si>
    <t>SYMC</t>
  </si>
  <si>
    <t>NUE</t>
  </si>
  <si>
    <t>WAT</t>
  </si>
  <si>
    <t>AKAM</t>
  </si>
  <si>
    <t>MXIM</t>
  </si>
  <si>
    <t>MAA</t>
  </si>
  <si>
    <t>MGM</t>
  </si>
  <si>
    <t>CXO</t>
  </si>
  <si>
    <t>RF</t>
  </si>
  <si>
    <t>CNP</t>
  </si>
  <si>
    <t>CE</t>
  </si>
  <si>
    <t>CAG</t>
  </si>
  <si>
    <t>PFG</t>
  </si>
  <si>
    <t>DGX</t>
  </si>
  <si>
    <t>KMX</t>
  </si>
  <si>
    <t>WCG</t>
  </si>
  <si>
    <t>XYL</t>
  </si>
  <si>
    <t>HBAN</t>
  </si>
  <si>
    <t>ABC</t>
  </si>
  <si>
    <t>HOLX</t>
  </si>
  <si>
    <t>FCX</t>
  </si>
  <si>
    <t>DOV</t>
  </si>
  <si>
    <t>GPC</t>
  </si>
  <si>
    <t>ALGN</t>
  </si>
  <si>
    <t>SWKS</t>
  </si>
  <si>
    <t>L</t>
  </si>
  <si>
    <t>ATO</t>
  </si>
  <si>
    <t>CAH</t>
  </si>
  <si>
    <t>SJM</t>
  </si>
  <si>
    <t>LNT</t>
  </si>
  <si>
    <t>XRAY</t>
  </si>
  <si>
    <t>IEX</t>
  </si>
  <si>
    <t>KSU</t>
  </si>
  <si>
    <t>HAS</t>
  </si>
  <si>
    <t>UHS</t>
  </si>
  <si>
    <t>GWW</t>
  </si>
  <si>
    <t>LDOS</t>
  </si>
  <si>
    <t>STX</t>
  </si>
  <si>
    <t>ANET</t>
  </si>
  <si>
    <t>EXPD</t>
  </si>
  <si>
    <t>FTNT</t>
  </si>
  <si>
    <t>HST</t>
  </si>
  <si>
    <t>TSCO</t>
  </si>
  <si>
    <t>CTXS</t>
  </si>
  <si>
    <t>IT</t>
  </si>
  <si>
    <t>HRL</t>
  </si>
  <si>
    <t>MAS</t>
  </si>
  <si>
    <t>NDAQ</t>
  </si>
  <si>
    <t>CHRW</t>
  </si>
  <si>
    <t>NTAP</t>
  </si>
  <si>
    <t>FOX</t>
  </si>
  <si>
    <t>FMC</t>
  </si>
  <si>
    <t>IFF</t>
  </si>
  <si>
    <t>CTL</t>
  </si>
  <si>
    <t>NI</t>
  </si>
  <si>
    <t>NCLH</t>
  </si>
  <si>
    <t>WAB</t>
  </si>
  <si>
    <t>BHGE</t>
  </si>
  <si>
    <t>LNC</t>
  </si>
  <si>
    <t>JKHY</t>
  </si>
  <si>
    <t>PNW</t>
  </si>
  <si>
    <t>REG</t>
  </si>
  <si>
    <t>CF</t>
  </si>
  <si>
    <t>NBL</t>
  </si>
  <si>
    <t>VNO</t>
  </si>
  <si>
    <t>WYNN</t>
  </si>
  <si>
    <t>TXT</t>
  </si>
  <si>
    <t>AAL</t>
  </si>
  <si>
    <t>LW</t>
  </si>
  <si>
    <t>RE</t>
  </si>
  <si>
    <t>ETFC</t>
  </si>
  <si>
    <t>AES</t>
  </si>
  <si>
    <t>JEC</t>
  </si>
  <si>
    <t>FTI</t>
  </si>
  <si>
    <t>ARNC</t>
  </si>
  <si>
    <t>SIVB</t>
  </si>
  <si>
    <t>AAP</t>
  </si>
  <si>
    <t>VAR</t>
  </si>
  <si>
    <t>RJF</t>
  </si>
  <si>
    <t>MRO</t>
  </si>
  <si>
    <t>FRT</t>
  </si>
  <si>
    <t>GRMN</t>
  </si>
  <si>
    <t>AVY</t>
  </si>
  <si>
    <t>MYL</t>
  </si>
  <si>
    <t>NRG</t>
  </si>
  <si>
    <t>PKG</t>
  </si>
  <si>
    <t>CMA</t>
  </si>
  <si>
    <t>WU</t>
  </si>
  <si>
    <t>DVN</t>
  </si>
  <si>
    <t>DXC</t>
  </si>
  <si>
    <t>HSIC</t>
  </si>
  <si>
    <t>PKI</t>
  </si>
  <si>
    <t>IRM</t>
  </si>
  <si>
    <t>ALLE</t>
  </si>
  <si>
    <t>TIF</t>
  </si>
  <si>
    <t>VIAB</t>
  </si>
  <si>
    <t>JBHT</t>
  </si>
  <si>
    <t>EMN</t>
  </si>
  <si>
    <t>HII</t>
  </si>
  <si>
    <t>WHR</t>
  </si>
  <si>
    <t>PHM</t>
  </si>
  <si>
    <t>QRVO</t>
  </si>
  <si>
    <t>WRK</t>
  </si>
  <si>
    <t>URI</t>
  </si>
  <si>
    <t>CPB</t>
  </si>
  <si>
    <t>SNA</t>
  </si>
  <si>
    <t>LKQ</t>
  </si>
  <si>
    <t>JNPR</t>
  </si>
  <si>
    <t>APA</t>
  </si>
  <si>
    <t>BEN</t>
  </si>
  <si>
    <t>IPG</t>
  </si>
  <si>
    <t>KIM</t>
  </si>
  <si>
    <t>AIV</t>
  </si>
  <si>
    <t>FFIV</t>
  </si>
  <si>
    <t>AIZ</t>
  </si>
  <si>
    <t>ZION</t>
  </si>
  <si>
    <t>KSS</t>
  </si>
  <si>
    <t>DISH</t>
  </si>
  <si>
    <t>NOV</t>
  </si>
  <si>
    <t>ALK</t>
  </si>
  <si>
    <t>COG</t>
  </si>
  <si>
    <t>NLSN</t>
  </si>
  <si>
    <t>MHK</t>
  </si>
  <si>
    <t>FBHS</t>
  </si>
  <si>
    <t>HFC</t>
  </si>
  <si>
    <t>DVA</t>
  </si>
  <si>
    <t>SLG</t>
  </si>
  <si>
    <t>ALB</t>
  </si>
  <si>
    <t>RHI</t>
  </si>
  <si>
    <t>AOS</t>
  </si>
  <si>
    <t>BWA</t>
  </si>
  <si>
    <t>SEE</t>
  </si>
  <si>
    <t>FLIR</t>
  </si>
  <si>
    <t>IVZ</t>
  </si>
  <si>
    <t>MOS</t>
  </si>
  <si>
    <t>NWL</t>
  </si>
  <si>
    <t>ADS</t>
  </si>
  <si>
    <t>TPR</t>
  </si>
  <si>
    <t>PRGO</t>
  </si>
  <si>
    <t>UNM</t>
  </si>
  <si>
    <t>PBCT</t>
  </si>
  <si>
    <t>PNR</t>
  </si>
  <si>
    <t>HRB</t>
  </si>
  <si>
    <t>PVH</t>
  </si>
  <si>
    <t>FLS</t>
  </si>
  <si>
    <t>NWSA</t>
  </si>
  <si>
    <t>HBI</t>
  </si>
  <si>
    <t>HOG</t>
  </si>
  <si>
    <t>PWR</t>
  </si>
  <si>
    <t>LEG</t>
  </si>
  <si>
    <t>ROL</t>
  </si>
  <si>
    <t>M</t>
  </si>
  <si>
    <t>RL</t>
  </si>
  <si>
    <t>DISCA</t>
  </si>
  <si>
    <t>IPGP</t>
  </si>
  <si>
    <t>HP</t>
  </si>
  <si>
    <t>LB</t>
  </si>
  <si>
    <t>XEC</t>
  </si>
  <si>
    <t>AMG</t>
  </si>
  <si>
    <t>TRIP</t>
  </si>
  <si>
    <t>GPS</t>
  </si>
  <si>
    <t>UAA</t>
  </si>
  <si>
    <t>UA</t>
  </si>
  <si>
    <t>JWN</t>
  </si>
  <si>
    <t>MAC</t>
  </si>
  <si>
    <t>NKTR</t>
  </si>
  <si>
    <t>COTY</t>
  </si>
  <si>
    <t>NWS</t>
  </si>
  <si>
    <t>Earnings</t>
  </si>
  <si>
    <t xml:space="preserve">
                                        </t>
  </si>
  <si>
    <t xml:space="preserve">
                                    </t>
  </si>
  <si>
    <t>PLD</t>
  </si>
  <si>
    <t>ECL</t>
  </si>
  <si>
    <t>ROP</t>
  </si>
  <si>
    <t>EMR</t>
  </si>
  <si>
    <t>REGN</t>
  </si>
  <si>
    <t>SNPS</t>
  </si>
  <si>
    <t>UDR</t>
  </si>
  <si>
    <t>DRE</t>
  </si>
  <si>
    <t>TAP</t>
  </si>
  <si>
    <t>ABMD</t>
  </si>
  <si>
    <t>Sales</t>
  </si>
  <si>
    <t>2018/2019</t>
  </si>
  <si>
    <t>2019/2020</t>
  </si>
  <si>
    <t xml:space="preserve">
</t>
  </si>
  <si>
    <t>ROE</t>
  </si>
  <si>
    <t>Bullish</t>
  </si>
  <si>
    <t>Neutral</t>
  </si>
  <si>
    <t>Bearish</t>
  </si>
  <si>
    <t>Total</t>
  </si>
  <si>
    <t>Bullish 8-Week Mov Avg</t>
  </si>
  <si>
    <t>Bull-Bear Spread</t>
  </si>
  <si>
    <t>Bullish Average</t>
  </si>
  <si>
    <t>Bullish Average + St. Dev</t>
  </si>
  <si>
    <t>Bullish Average - St. Dev</t>
  </si>
  <si>
    <t>S&amp;P 500 Weekly High</t>
  </si>
  <si>
    <t>S&amp;P 500 Weekly Low</t>
  </si>
  <si>
    <t>S&amp;P 500 Weekly Close</t>
  </si>
  <si>
    <t>1w after</t>
  </si>
  <si>
    <t>4w after</t>
  </si>
  <si>
    <t>Bull-Bear spread</t>
  </si>
  <si>
    <t>Bull-Bear Spread 4 weeks 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</si>
</sst>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#,##0.0"/>
    <numFmt numFmtId="166" formatCode="dd\-mm\-yyyy"/>
    <numFmt numFmtId="167" formatCode="yyyy\-mm\-dd\ h:mm:ss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BDE9F7"/>
        <bgColor rgb="FFBDE9F7"/>
      </patternFill>
    </fill>
    <fill>
      <patternFill patternType="solid">
        <fgColor rgb="FFBDE9F7"/>
        <bgColor rgb="FFBDE9F7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0" borderId="0"/>
    <xf numFmtId="9" fontId="4" fillId="0" borderId="0"/>
  </cellStyleXfs>
  <cellXfs count="83">
    <xf numFmtId="0" fontId="0" fillId="0" borderId="0" xfId="0"/>
    <xf numFmtId="0" fontId="1" fillId="2" borderId="0" xfId="0" applyFont="1" applyFill="1"/>
    <xf numFmtId="0" fontId="0" fillId="0" borderId="0" xfId="0" applyAlignment="1">
      <alignment vertical="center"/>
    </xf>
    <xf numFmtId="3" fontId="0" fillId="2" borderId="0" xfId="0" applyNumberFormat="1" applyFill="1" applyAlignment="1">
      <alignment horizontal="center"/>
    </xf>
    <xf numFmtId="2" fontId="0" fillId="2" borderId="0" xfId="0" applyNumberFormat="1" applyFill="1"/>
    <xf numFmtId="0" fontId="2" fillId="2" borderId="0" xfId="1" applyFill="1" applyAlignment="1">
      <alignment vertical="center" readingOrder="1"/>
    </xf>
    <xf numFmtId="0" fontId="2" fillId="0" borderId="0" xfId="1"/>
    <xf numFmtId="0" fontId="1" fillId="4" borderId="1" xfId="0" applyFont="1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17" fontId="0" fillId="2" borderId="13" xfId="0" applyNumberFormat="1" applyFill="1" applyBorder="1" applyAlignment="1">
      <alignment horizontal="center"/>
    </xf>
    <xf numFmtId="16" fontId="0" fillId="2" borderId="13" xfId="0" applyNumberFormat="1" applyFill="1" applyBorder="1" applyAlignment="1">
      <alignment horizontal="center"/>
    </xf>
    <xf numFmtId="3" fontId="0" fillId="2" borderId="13" xfId="0" applyNumberFormat="1" applyFill="1" applyBorder="1" applyAlignment="1">
      <alignment horizontal="center"/>
    </xf>
    <xf numFmtId="3" fontId="0" fillId="2" borderId="15" xfId="0" applyNumberFormat="1" applyFill="1" applyBorder="1" applyAlignment="1">
      <alignment horizontal="center"/>
    </xf>
    <xf numFmtId="3" fontId="0" fillId="2" borderId="20" xfId="0" applyNumberFormat="1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3" fontId="1" fillId="4" borderId="7" xfId="0" applyNumberFormat="1" applyFont="1" applyFill="1" applyBorder="1" applyAlignment="1">
      <alignment horizontal="center"/>
    </xf>
    <xf numFmtId="3" fontId="1" fillId="4" borderId="6" xfId="0" applyNumberFormat="1" applyFont="1" applyFill="1" applyBorder="1" applyAlignment="1">
      <alignment horizontal="center"/>
    </xf>
    <xf numFmtId="3" fontId="1" fillId="4" borderId="8" xfId="0" applyNumberFormat="1" applyFont="1" applyFill="1" applyBorder="1" applyAlignment="1">
      <alignment horizontal="center"/>
    </xf>
    <xf numFmtId="0" fontId="1" fillId="4" borderId="22" xfId="0" applyFont="1" applyFill="1" applyBorder="1" applyAlignment="1">
      <alignment horizontal="center"/>
    </xf>
    <xf numFmtId="0" fontId="1" fillId="4" borderId="23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1" fillId="4" borderId="8" xfId="0" applyFont="1" applyFill="1" applyBorder="1" applyAlignment="1">
      <alignment horizontal="center"/>
    </xf>
    <xf numFmtId="0" fontId="1" fillId="4" borderId="24" xfId="0" applyFont="1" applyFill="1" applyBorder="1" applyAlignment="1">
      <alignment horizontal="center"/>
    </xf>
    <xf numFmtId="0" fontId="1" fillId="4" borderId="25" xfId="0" applyFont="1" applyFill="1" applyBorder="1" applyAlignment="1">
      <alignment horizontal="center"/>
    </xf>
    <xf numFmtId="1" fontId="1" fillId="4" borderId="4" xfId="0" applyNumberFormat="1" applyFont="1" applyFill="1" applyBorder="1" applyAlignment="1">
      <alignment horizontal="center"/>
    </xf>
    <xf numFmtId="1" fontId="1" fillId="4" borderId="0" xfId="0" applyNumberFormat="1" applyFont="1" applyFill="1" applyAlignment="1">
      <alignment horizontal="center"/>
    </xf>
    <xf numFmtId="0" fontId="1" fillId="4" borderId="0" xfId="0" applyFont="1" applyFill="1" applyAlignment="1">
      <alignment horizontal="center"/>
    </xf>
    <xf numFmtId="3" fontId="0" fillId="0" borderId="13" xfId="0" applyNumberFormat="1" applyBorder="1" applyAlignment="1">
      <alignment horizontal="center"/>
    </xf>
    <xf numFmtId="3" fontId="0" fillId="0" borderId="13" xfId="0" applyNumberFormat="1" applyBorder="1" applyAlignment="1">
      <alignment horizontal="center" wrapText="1"/>
    </xf>
    <xf numFmtId="0" fontId="1" fillId="4" borderId="26" xfId="0" applyFont="1" applyFill="1" applyBorder="1" applyAlignment="1">
      <alignment horizontal="center"/>
    </xf>
    <xf numFmtId="1" fontId="1" fillId="4" borderId="5" xfId="0" applyNumberFormat="1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3" fontId="1" fillId="4" borderId="4" xfId="0" applyNumberFormat="1" applyFont="1" applyFill="1" applyBorder="1" applyAlignment="1">
      <alignment horizontal="center"/>
    </xf>
    <xf numFmtId="3" fontId="1" fillId="4" borderId="0" xfId="0" applyNumberFormat="1" applyFont="1" applyFill="1" applyAlignment="1">
      <alignment horizontal="center"/>
    </xf>
    <xf numFmtId="3" fontId="1" fillId="4" borderId="5" xfId="0" applyNumberFormat="1" applyFont="1" applyFill="1" applyBorder="1" applyAlignment="1">
      <alignment horizontal="center"/>
    </xf>
    <xf numFmtId="14" fontId="0" fillId="2" borderId="0" xfId="0" applyNumberFormat="1" applyFill="1"/>
    <xf numFmtId="0" fontId="5" fillId="4" borderId="24" xfId="0" applyFont="1" applyFill="1" applyBorder="1" applyAlignment="1">
      <alignment horizontal="center" wrapText="1"/>
    </xf>
    <xf numFmtId="2" fontId="5" fillId="4" borderId="27" xfId="0" applyNumberFormat="1" applyFont="1" applyFill="1" applyBorder="1" applyAlignment="1">
      <alignment horizontal="center" wrapText="1"/>
    </xf>
    <xf numFmtId="0" fontId="5" fillId="4" borderId="27" xfId="0" applyFont="1" applyFill="1" applyBorder="1" applyAlignment="1">
      <alignment horizontal="center" wrapText="1"/>
    </xf>
    <xf numFmtId="0" fontId="5" fillId="4" borderId="27" xfId="0" applyFont="1" applyFill="1" applyBorder="1"/>
    <xf numFmtId="0" fontId="6" fillId="4" borderId="27" xfId="0" applyFont="1" applyFill="1" applyBorder="1"/>
    <xf numFmtId="0" fontId="6" fillId="4" borderId="25" xfId="0" applyFont="1" applyFill="1" applyBorder="1"/>
    <xf numFmtId="0" fontId="0" fillId="0" borderId="0" xfId="0" applyAlignment="1">
      <alignment wrapText="1"/>
    </xf>
    <xf numFmtId="0" fontId="1" fillId="4" borderId="2" xfId="0" applyFont="1" applyFill="1" applyBorder="1" applyAlignment="1">
      <alignment horizontal="center"/>
    </xf>
    <xf numFmtId="14" fontId="0" fillId="0" borderId="0" xfId="0" applyNumberFormat="1"/>
    <xf numFmtId="167" fontId="0" fillId="0" borderId="0" xfId="0" applyNumberFormat="1"/>
    <xf numFmtId="0" fontId="7" fillId="5" borderId="0" xfId="0" applyFont="1" applyFill="1"/>
    <xf numFmtId="0" fontId="0" fillId="2" borderId="0" xfId="0" applyFill="1"/>
    <xf numFmtId="0" fontId="1" fillId="4" borderId="3" xfId="0" applyFont="1" applyFill="1" applyBorder="1" applyAlignment="1">
      <alignment horizontal="center"/>
    </xf>
    <xf numFmtId="166" fontId="0" fillId="0" borderId="0" xfId="0" applyNumberFormat="1"/>
    <xf numFmtId="0" fontId="8" fillId="6" borderId="0" xfId="0" applyFont="1" applyFill="1"/>
    <xf numFmtId="166" fontId="0" fillId="0" borderId="0" xfId="0" applyNumberFormat="1"/>
    <xf numFmtId="164" fontId="0" fillId="2" borderId="15" xfId="2" applyNumberFormat="1" applyFont="1" applyFill="1" applyBorder="1" applyAlignment="1">
      <alignment horizontal="center"/>
    </xf>
    <xf numFmtId="164" fontId="0" fillId="2" borderId="16" xfId="2" applyNumberFormat="1" applyFont="1" applyFill="1" applyBorder="1" applyAlignment="1">
      <alignment horizontal="center"/>
    </xf>
    <xf numFmtId="164" fontId="0" fillId="2" borderId="13" xfId="2" applyNumberFormat="1" applyFont="1" applyFill="1" applyBorder="1" applyAlignment="1">
      <alignment horizontal="center"/>
    </xf>
    <xf numFmtId="164" fontId="0" fillId="2" borderId="18" xfId="2" applyNumberFormat="1" applyFont="1" applyFill="1" applyBorder="1" applyAlignment="1">
      <alignment horizontal="center"/>
    </xf>
    <xf numFmtId="164" fontId="0" fillId="2" borderId="20" xfId="2" applyNumberFormat="1" applyFont="1" applyFill="1" applyBorder="1" applyAlignment="1">
      <alignment horizontal="center"/>
    </xf>
    <xf numFmtId="164" fontId="0" fillId="2" borderId="21" xfId="2" applyNumberFormat="1" applyFont="1" applyFill="1" applyBorder="1" applyAlignment="1">
      <alignment horizontal="center"/>
    </xf>
    <xf numFmtId="165" fontId="0" fillId="2" borderId="13" xfId="0" applyNumberForma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164" fontId="0" fillId="2" borderId="13" xfId="0" applyNumberFormat="1" applyFill="1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164" fontId="0" fillId="2" borderId="0" xfId="0" applyNumberFormat="1" applyFill="1" applyAlignment="1">
      <alignment horizontal="center"/>
    </xf>
    <xf numFmtId="164" fontId="0" fillId="2" borderId="0" xfId="2" applyNumberFormat="1" applyFont="1" applyFill="1"/>
    <xf numFmtId="0" fontId="1" fillId="4" borderId="13" xfId="0" applyFont="1" applyFill="1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1" fillId="2" borderId="7" xfId="0" applyFont="1" applyFill="1" applyBorder="1" applyAlignment="1">
      <alignment horizontal="center" vertical="center"/>
    </xf>
    <xf numFmtId="0" fontId="0" fillId="2" borderId="0" xfId="0" applyFill="1"/>
    <xf numFmtId="0" fontId="0" fillId="0" borderId="7" xfId="0" applyBorder="1"/>
    <xf numFmtId="0" fontId="3" fillId="3" borderId="28" xfId="0" applyFont="1" applyFill="1" applyBorder="1" applyAlignment="1">
      <alignment horizontal="center"/>
    </xf>
    <xf numFmtId="0" fontId="0" fillId="0" borderId="10" xfId="0" applyBorder="1"/>
    <xf numFmtId="0" fontId="0" fillId="0" borderId="9" xfId="0" applyBorder="1"/>
    <xf numFmtId="0" fontId="0" fillId="2" borderId="0" xfId="0" applyFill="1" applyAlignment="1">
      <alignment wrapText="1"/>
    </xf>
    <xf numFmtId="0" fontId="2" fillId="0" borderId="0" xfId="1" applyAlignment="1">
      <alignment horizontal="justify" vertical="center" readingOrder="1"/>
    </xf>
    <xf numFmtId="0" fontId="2" fillId="2" borderId="0" xfId="1" applyFill="1" applyAlignment="1">
      <alignment wrapText="1"/>
    </xf>
    <xf numFmtId="3" fontId="1" fillId="4" borderId="22" xfId="0" applyNumberFormat="1" applyFont="1" applyFill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1" fillId="4" borderId="3" xfId="0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Per 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sec.gov/cgi-bin/srch-edgar?text=form-type+%3D+10-12b&amp;first=2017&amp;last=2018" TargetMode="External"/><Relationship Id="rId2" Type="http://schemas.openxmlformats.org/officeDocument/2006/relationships/hyperlink" Target="https://www.earningswhispers.com/calendar" TargetMode="External"/><Relationship Id="rId1" Type="http://schemas.openxmlformats.org/officeDocument/2006/relationships/hyperlink" Target="https://www.benzinga.com/calendar/earnings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marketscreener.com/stock-exchange/calendar/financ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B1:K18"/>
  <sheetViews>
    <sheetView showGridLines="0" zoomScale="160" zoomScaleNormal="160" workbookViewId="0">
      <selection activeCell="M29" sqref="M29"/>
    </sheetView>
  </sheetViews>
  <sheetFormatPr baseColWidth="10" defaultColWidth="9.1640625" defaultRowHeight="15" x14ac:dyDescent="0.2"/>
  <cols>
    <col min="1" max="1" width="9.1640625" style="50" customWidth="1"/>
    <col min="2" max="10" width="12.83203125" style="50" customWidth="1"/>
    <col min="11" max="13" width="9.1640625" style="50" customWidth="1"/>
    <col min="14" max="16384" width="9.1640625" style="50"/>
  </cols>
  <sheetData>
    <row r="1" spans="2:11" x14ac:dyDescent="0.2">
      <c r="B1" s="70"/>
      <c r="C1" s="71"/>
      <c r="D1" s="71"/>
      <c r="E1" s="71"/>
      <c r="F1" s="71"/>
      <c r="G1" s="71"/>
      <c r="H1" s="71"/>
      <c r="I1" s="71"/>
      <c r="J1" s="71"/>
    </row>
    <row r="2" spans="2:11" ht="16" customHeight="1" thickBot="1" x14ac:dyDescent="0.25">
      <c r="B2" s="72"/>
      <c r="C2" s="72"/>
      <c r="D2" s="72"/>
      <c r="E2" s="72"/>
      <c r="F2" s="72"/>
      <c r="G2" s="72"/>
      <c r="H2" s="72"/>
      <c r="I2" s="72"/>
      <c r="J2" s="72"/>
    </row>
    <row r="3" spans="2:11" ht="16" customHeight="1" thickBot="1" x14ac:dyDescent="0.25">
      <c r="B3" s="73" t="s">
        <v>0</v>
      </c>
      <c r="C3" s="74"/>
      <c r="D3" s="74"/>
      <c r="E3" s="74"/>
      <c r="F3" s="74"/>
      <c r="G3" s="74"/>
      <c r="H3" s="74"/>
      <c r="I3" s="74"/>
      <c r="J3" s="75"/>
    </row>
    <row r="6" spans="2:11" x14ac:dyDescent="0.2">
      <c r="B6" s="67" t="s">
        <v>1</v>
      </c>
      <c r="C6" s="68"/>
      <c r="D6" s="68"/>
      <c r="E6" s="68"/>
      <c r="F6" s="69"/>
      <c r="G6" s="67" t="s">
        <v>2</v>
      </c>
      <c r="H6" s="68"/>
      <c r="I6" s="68"/>
      <c r="J6" s="69"/>
    </row>
    <row r="8" spans="2:11" ht="26.25" customHeight="1" x14ac:dyDescent="0.2">
      <c r="B8" s="76" t="s">
        <v>3</v>
      </c>
      <c r="C8" s="71"/>
      <c r="D8" s="71"/>
      <c r="E8" s="71"/>
      <c r="F8" s="71"/>
      <c r="G8" s="76" t="s">
        <v>4</v>
      </c>
      <c r="H8" s="71"/>
      <c r="I8" s="71"/>
      <c r="J8" s="71"/>
      <c r="K8" s="45"/>
    </row>
    <row r="9" spans="2:11" ht="26.25" customHeight="1" x14ac:dyDescent="0.2">
      <c r="G9" s="78" t="s">
        <v>5</v>
      </c>
      <c r="H9" s="71"/>
      <c r="I9" s="71"/>
      <c r="J9" s="71"/>
    </row>
    <row r="10" spans="2:11" x14ac:dyDescent="0.2">
      <c r="B10" s="50" t="s">
        <v>6</v>
      </c>
      <c r="G10" s="77" t="s">
        <v>7</v>
      </c>
      <c r="H10" s="71"/>
      <c r="I10" s="71"/>
      <c r="J10" s="71"/>
    </row>
    <row r="11" spans="2:11" x14ac:dyDescent="0.2">
      <c r="B11" s="50" t="s">
        <v>8</v>
      </c>
      <c r="G11" s="6" t="s">
        <v>9</v>
      </c>
    </row>
    <row r="12" spans="2:11" x14ac:dyDescent="0.2">
      <c r="G12" s="6"/>
    </row>
    <row r="13" spans="2:11" x14ac:dyDescent="0.2">
      <c r="G13" s="6"/>
    </row>
    <row r="14" spans="2:11" x14ac:dyDescent="0.2">
      <c r="G14" s="5"/>
    </row>
    <row r="16" spans="2:11" x14ac:dyDescent="0.2">
      <c r="B16" s="1"/>
    </row>
    <row r="17" spans="2:10" ht="30" customHeight="1" x14ac:dyDescent="0.2">
      <c r="B17" s="76"/>
      <c r="C17" s="71"/>
      <c r="D17" s="71"/>
      <c r="E17" s="71"/>
      <c r="F17" s="71"/>
      <c r="G17" s="71"/>
      <c r="H17" s="71"/>
      <c r="I17" s="71"/>
      <c r="J17" s="71"/>
    </row>
    <row r="18" spans="2:10" x14ac:dyDescent="0.2">
      <c r="B18" s="2"/>
    </row>
  </sheetData>
  <mergeCells count="9">
    <mergeCell ref="B6:F6"/>
    <mergeCell ref="G6:J6"/>
    <mergeCell ref="B1:J2"/>
    <mergeCell ref="B3:J3"/>
    <mergeCell ref="B17:J17"/>
    <mergeCell ref="B8:F8"/>
    <mergeCell ref="G10:J10"/>
    <mergeCell ref="G8:J8"/>
    <mergeCell ref="G9:J9"/>
  </mergeCells>
  <hyperlinks>
    <hyperlink ref="G9" r:id="rId1" xr:uid="{00000000-0004-0000-0000-000000000000}"/>
    <hyperlink ref="G10" r:id="rId2" xr:uid="{00000000-0004-0000-0000-000001000000}"/>
    <hyperlink ref="G11" r:id="rId3" xr:uid="{00000000-0004-0000-0000-000002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C14"/>
  <sheetViews>
    <sheetView zoomScale="140" zoomScaleNormal="140" workbookViewId="0">
      <selection activeCell="E9" sqref="E9"/>
    </sheetView>
  </sheetViews>
  <sheetFormatPr baseColWidth="10" defaultRowHeight="15" x14ac:dyDescent="0.2"/>
  <cols>
    <col min="1" max="1" width="22.33203125" bestFit="1" customWidth="1"/>
    <col min="3" max="3" width="16.6640625" style="47" bestFit="1" customWidth="1"/>
  </cols>
  <sheetData>
    <row r="1" spans="1:3" x14ac:dyDescent="0.2">
      <c r="A1" s="49" t="s">
        <v>10</v>
      </c>
      <c r="B1" s="49" t="s">
        <v>11</v>
      </c>
      <c r="C1" s="49" t="s">
        <v>12</v>
      </c>
    </row>
    <row r="2" spans="1:3" x14ac:dyDescent="0.2">
      <c r="A2" s="52" t="s">
        <v>13</v>
      </c>
      <c r="B2" t="s">
        <v>14</v>
      </c>
      <c r="C2" s="48">
        <v>44602</v>
      </c>
    </row>
    <row r="3" spans="1:3" x14ac:dyDescent="0.2">
      <c r="A3" s="52" t="s">
        <v>15</v>
      </c>
      <c r="B3" t="s">
        <v>14</v>
      </c>
      <c r="C3" s="48">
        <v>44783</v>
      </c>
    </row>
    <row r="4" spans="1:3" x14ac:dyDescent="0.2">
      <c r="A4" s="52" t="s">
        <v>16</v>
      </c>
      <c r="B4" t="s">
        <v>14</v>
      </c>
      <c r="C4" s="48">
        <v>44629</v>
      </c>
    </row>
    <row r="5" spans="1:3" x14ac:dyDescent="0.2">
      <c r="A5" s="52" t="s">
        <v>17</v>
      </c>
      <c r="B5" t="s">
        <v>14</v>
      </c>
      <c r="C5" s="48">
        <v>44706</v>
      </c>
    </row>
    <row r="6" spans="1:3" x14ac:dyDescent="0.2">
      <c r="A6" s="52" t="s">
        <v>18</v>
      </c>
      <c r="B6" t="s">
        <v>14</v>
      </c>
      <c r="C6" s="48">
        <v>44614</v>
      </c>
    </row>
    <row r="7" spans="1:3" x14ac:dyDescent="0.2">
      <c r="A7" s="52" t="s">
        <v>19</v>
      </c>
      <c r="B7" t="s">
        <v>14</v>
      </c>
      <c r="C7" s="48">
        <v>44804</v>
      </c>
    </row>
    <row r="8" spans="1:3" x14ac:dyDescent="0.2">
      <c r="A8" s="52" t="s">
        <v>20</v>
      </c>
      <c r="B8" t="s">
        <v>14</v>
      </c>
      <c r="C8" s="48">
        <v>44680</v>
      </c>
    </row>
    <row r="9" spans="1:3" x14ac:dyDescent="0.2">
      <c r="A9" s="52" t="s">
        <v>21</v>
      </c>
      <c r="B9" t="s">
        <v>14</v>
      </c>
      <c r="C9" s="48">
        <v>44624</v>
      </c>
    </row>
    <row r="10" spans="1:3" x14ac:dyDescent="0.2">
      <c r="A10" s="52" t="s">
        <v>22</v>
      </c>
      <c r="B10" t="s">
        <v>14</v>
      </c>
      <c r="C10" s="48">
        <v>44692</v>
      </c>
    </row>
    <row r="11" spans="1:3" x14ac:dyDescent="0.2">
      <c r="A11" s="52" t="s">
        <v>23</v>
      </c>
      <c r="B11" t="s">
        <v>14</v>
      </c>
      <c r="C11" s="48">
        <v>44798</v>
      </c>
    </row>
    <row r="12" spans="1:3" x14ac:dyDescent="0.2">
      <c r="A12" s="52" t="s">
        <v>24</v>
      </c>
      <c r="B12" t="s">
        <v>14</v>
      </c>
      <c r="C12" s="48">
        <v>44734</v>
      </c>
    </row>
    <row r="13" spans="1:3" x14ac:dyDescent="0.2">
      <c r="A13" s="52" t="s">
        <v>25</v>
      </c>
      <c r="B13" t="s">
        <v>14</v>
      </c>
      <c r="C13" s="48">
        <v>44799</v>
      </c>
    </row>
    <row r="14" spans="1:3" x14ac:dyDescent="0.2">
      <c r="A14" s="52" t="s">
        <v>26</v>
      </c>
      <c r="B14" t="s">
        <v>14</v>
      </c>
      <c r="C14" s="48">
        <v>44582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77"/>
  <sheetViews>
    <sheetView zoomScale="140" zoomScaleNormal="140" workbookViewId="0">
      <selection activeCell="H11" sqref="H11"/>
    </sheetView>
  </sheetViews>
  <sheetFormatPr baseColWidth="10" defaultRowHeight="15" x14ac:dyDescent="0.2"/>
  <cols>
    <col min="1" max="1" width="23.33203125" bestFit="1" customWidth="1"/>
    <col min="3" max="3" width="10.83203125" style="47" customWidth="1"/>
    <col min="4" max="4" width="46.1640625" bestFit="1" customWidth="1"/>
  </cols>
  <sheetData>
    <row r="1" spans="1:5" x14ac:dyDescent="0.2">
      <c r="A1" s="49" t="s">
        <v>27</v>
      </c>
      <c r="B1" s="49" t="s">
        <v>28</v>
      </c>
      <c r="C1" s="49" t="s">
        <v>29</v>
      </c>
      <c r="D1" s="49" t="s">
        <v>30</v>
      </c>
      <c r="E1" s="49" t="s">
        <v>31</v>
      </c>
    </row>
    <row r="2" spans="1:5" x14ac:dyDescent="0.2">
      <c r="A2" s="52" t="s">
        <v>32</v>
      </c>
      <c r="B2" t="s">
        <v>33</v>
      </c>
      <c r="C2" t="s">
        <v>34</v>
      </c>
      <c r="D2" t="s">
        <v>35</v>
      </c>
      <c r="E2" t="s">
        <v>36</v>
      </c>
    </row>
    <row r="3" spans="1:5" x14ac:dyDescent="0.2">
      <c r="A3" s="52" t="s">
        <v>37</v>
      </c>
      <c r="B3" t="s">
        <v>38</v>
      </c>
      <c r="C3" t="s">
        <v>39</v>
      </c>
      <c r="D3" t="s">
        <v>40</v>
      </c>
      <c r="E3" t="s">
        <v>41</v>
      </c>
    </row>
    <row r="4" spans="1:5" x14ac:dyDescent="0.2">
      <c r="A4" s="52" t="s">
        <v>37</v>
      </c>
      <c r="B4" t="s">
        <v>38</v>
      </c>
      <c r="C4" t="s">
        <v>42</v>
      </c>
      <c r="D4" t="s">
        <v>43</v>
      </c>
      <c r="E4" t="s">
        <v>44</v>
      </c>
    </row>
    <row r="5" spans="1:5" x14ac:dyDescent="0.2">
      <c r="A5" s="52" t="s">
        <v>37</v>
      </c>
      <c r="B5" t="s">
        <v>45</v>
      </c>
      <c r="C5" t="s">
        <v>34</v>
      </c>
      <c r="D5" t="s">
        <v>46</v>
      </c>
      <c r="E5" t="s">
        <v>47</v>
      </c>
    </row>
    <row r="6" spans="1:5" x14ac:dyDescent="0.2">
      <c r="A6" s="52" t="s">
        <v>37</v>
      </c>
      <c r="B6" t="s">
        <v>45</v>
      </c>
      <c r="C6" t="s">
        <v>34</v>
      </c>
      <c r="D6" t="s">
        <v>48</v>
      </c>
      <c r="E6" t="s">
        <v>47</v>
      </c>
    </row>
    <row r="7" spans="1:5" x14ac:dyDescent="0.2">
      <c r="A7" s="52" t="s">
        <v>49</v>
      </c>
      <c r="B7" t="s">
        <v>33</v>
      </c>
      <c r="C7" t="s">
        <v>34</v>
      </c>
      <c r="D7" t="s">
        <v>50</v>
      </c>
      <c r="E7" t="s">
        <v>51</v>
      </c>
    </row>
    <row r="8" spans="1:5" x14ac:dyDescent="0.2">
      <c r="A8" s="52" t="s">
        <v>49</v>
      </c>
      <c r="B8" t="s">
        <v>33</v>
      </c>
      <c r="C8" t="s">
        <v>34</v>
      </c>
      <c r="D8" t="s">
        <v>52</v>
      </c>
      <c r="E8" t="s">
        <v>47</v>
      </c>
    </row>
    <row r="9" spans="1:5" x14ac:dyDescent="0.2">
      <c r="A9" s="52" t="s">
        <v>49</v>
      </c>
      <c r="B9" t="s">
        <v>53</v>
      </c>
      <c r="C9" t="s">
        <v>34</v>
      </c>
      <c r="D9" t="s">
        <v>54</v>
      </c>
      <c r="E9" t="s">
        <v>55</v>
      </c>
    </row>
    <row r="10" spans="1:5" x14ac:dyDescent="0.2">
      <c r="A10" s="52" t="s">
        <v>49</v>
      </c>
      <c r="B10" t="s">
        <v>56</v>
      </c>
      <c r="C10" t="s">
        <v>34</v>
      </c>
      <c r="D10" t="s">
        <v>57</v>
      </c>
      <c r="E10" t="s">
        <v>58</v>
      </c>
    </row>
    <row r="11" spans="1:5" x14ac:dyDescent="0.2">
      <c r="A11" s="52" t="s">
        <v>49</v>
      </c>
      <c r="B11" t="s">
        <v>56</v>
      </c>
      <c r="C11" t="s">
        <v>34</v>
      </c>
      <c r="D11" t="s">
        <v>59</v>
      </c>
      <c r="E11" t="s">
        <v>60</v>
      </c>
    </row>
    <row r="12" spans="1:5" x14ac:dyDescent="0.2">
      <c r="A12" s="52" t="s">
        <v>49</v>
      </c>
      <c r="B12" t="s">
        <v>61</v>
      </c>
      <c r="C12" t="s">
        <v>62</v>
      </c>
      <c r="D12" t="s">
        <v>63</v>
      </c>
      <c r="E12" t="s">
        <v>64</v>
      </c>
    </row>
    <row r="13" spans="1:5" x14ac:dyDescent="0.2">
      <c r="A13" s="52" t="s">
        <v>65</v>
      </c>
      <c r="B13" t="s">
        <v>66</v>
      </c>
      <c r="C13" t="s">
        <v>67</v>
      </c>
      <c r="D13" t="s">
        <v>68</v>
      </c>
      <c r="E13" t="s">
        <v>55</v>
      </c>
    </row>
    <row r="14" spans="1:5" x14ac:dyDescent="0.2">
      <c r="A14" s="52" t="s">
        <v>65</v>
      </c>
      <c r="B14" t="s">
        <v>69</v>
      </c>
      <c r="C14" t="s">
        <v>42</v>
      </c>
      <c r="D14" t="s">
        <v>70</v>
      </c>
      <c r="E14" t="s">
        <v>71</v>
      </c>
    </row>
    <row r="15" spans="1:5" x14ac:dyDescent="0.2">
      <c r="A15" s="52" t="s">
        <v>65</v>
      </c>
      <c r="B15" t="s">
        <v>69</v>
      </c>
      <c r="C15" t="s">
        <v>42</v>
      </c>
      <c r="D15" t="s">
        <v>72</v>
      </c>
      <c r="E15" t="s">
        <v>71</v>
      </c>
    </row>
    <row r="16" spans="1:5" x14ac:dyDescent="0.2">
      <c r="A16" s="52" t="s">
        <v>65</v>
      </c>
      <c r="B16" t="s">
        <v>45</v>
      </c>
      <c r="C16" t="s">
        <v>34</v>
      </c>
      <c r="D16" t="s">
        <v>73</v>
      </c>
      <c r="E16" t="s">
        <v>55</v>
      </c>
    </row>
    <row r="17" spans="1:5" x14ac:dyDescent="0.2">
      <c r="A17" s="52" t="s">
        <v>65</v>
      </c>
      <c r="B17" t="s">
        <v>33</v>
      </c>
      <c r="C17" t="s">
        <v>34</v>
      </c>
      <c r="D17" t="s">
        <v>74</v>
      </c>
      <c r="E17" t="s">
        <v>75</v>
      </c>
    </row>
    <row r="18" spans="1:5" x14ac:dyDescent="0.2">
      <c r="A18" s="52" t="s">
        <v>76</v>
      </c>
      <c r="B18" t="s">
        <v>66</v>
      </c>
      <c r="C18" t="s">
        <v>67</v>
      </c>
      <c r="D18" t="s">
        <v>77</v>
      </c>
      <c r="E18" t="s">
        <v>78</v>
      </c>
    </row>
    <row r="19" spans="1:5" x14ac:dyDescent="0.2">
      <c r="A19" s="52" t="s">
        <v>76</v>
      </c>
      <c r="B19" t="s">
        <v>79</v>
      </c>
      <c r="C19" t="s">
        <v>67</v>
      </c>
      <c r="D19" t="s">
        <v>80</v>
      </c>
      <c r="E19" t="s">
        <v>55</v>
      </c>
    </row>
    <row r="20" spans="1:5" x14ac:dyDescent="0.2">
      <c r="A20" s="52" t="s">
        <v>76</v>
      </c>
      <c r="B20" t="s">
        <v>79</v>
      </c>
      <c r="C20" t="s">
        <v>67</v>
      </c>
      <c r="D20" t="s">
        <v>81</v>
      </c>
      <c r="E20" t="s">
        <v>55</v>
      </c>
    </row>
    <row r="21" spans="1:5" x14ac:dyDescent="0.2">
      <c r="A21" s="52" t="s">
        <v>76</v>
      </c>
      <c r="B21" t="s">
        <v>79</v>
      </c>
      <c r="C21" t="s">
        <v>67</v>
      </c>
      <c r="D21" t="s">
        <v>82</v>
      </c>
      <c r="E21" t="s">
        <v>55</v>
      </c>
    </row>
    <row r="22" spans="1:5" x14ac:dyDescent="0.2">
      <c r="A22" s="52" t="s">
        <v>76</v>
      </c>
      <c r="B22" t="s">
        <v>69</v>
      </c>
      <c r="C22" t="s">
        <v>39</v>
      </c>
      <c r="D22" t="s">
        <v>83</v>
      </c>
      <c r="E22" t="s">
        <v>55</v>
      </c>
    </row>
    <row r="23" spans="1:5" x14ac:dyDescent="0.2">
      <c r="A23" s="52" t="s">
        <v>76</v>
      </c>
      <c r="B23" t="s">
        <v>69</v>
      </c>
      <c r="C23" t="s">
        <v>39</v>
      </c>
      <c r="D23" t="s">
        <v>84</v>
      </c>
      <c r="E23" t="s">
        <v>55</v>
      </c>
    </row>
    <row r="24" spans="1:5" x14ac:dyDescent="0.2">
      <c r="A24" s="52" t="s">
        <v>76</v>
      </c>
      <c r="B24" t="s">
        <v>69</v>
      </c>
      <c r="C24" t="s">
        <v>39</v>
      </c>
      <c r="D24" t="s">
        <v>85</v>
      </c>
      <c r="E24" t="s">
        <v>55</v>
      </c>
    </row>
    <row r="25" spans="1:5" x14ac:dyDescent="0.2">
      <c r="A25" s="52" t="s">
        <v>76</v>
      </c>
      <c r="B25" t="s">
        <v>86</v>
      </c>
      <c r="C25" t="s">
        <v>87</v>
      </c>
      <c r="D25" t="s">
        <v>88</v>
      </c>
      <c r="E25" t="s">
        <v>55</v>
      </c>
    </row>
    <row r="26" spans="1:5" x14ac:dyDescent="0.2">
      <c r="A26" s="52" t="s">
        <v>76</v>
      </c>
      <c r="B26" t="s">
        <v>86</v>
      </c>
      <c r="C26" t="s">
        <v>87</v>
      </c>
      <c r="D26" t="s">
        <v>89</v>
      </c>
      <c r="E26" t="s">
        <v>55</v>
      </c>
    </row>
    <row r="27" spans="1:5" x14ac:dyDescent="0.2">
      <c r="A27" s="52" t="s">
        <v>76</v>
      </c>
      <c r="B27" t="s">
        <v>86</v>
      </c>
      <c r="C27" t="s">
        <v>87</v>
      </c>
      <c r="D27" t="s">
        <v>90</v>
      </c>
      <c r="E27" t="s">
        <v>55</v>
      </c>
    </row>
    <row r="28" spans="1:5" x14ac:dyDescent="0.2">
      <c r="A28" s="52" t="s">
        <v>76</v>
      </c>
      <c r="B28" t="s">
        <v>91</v>
      </c>
      <c r="C28" t="s">
        <v>92</v>
      </c>
      <c r="D28" t="s">
        <v>93</v>
      </c>
      <c r="E28" t="s">
        <v>55</v>
      </c>
    </row>
    <row r="29" spans="1:5" x14ac:dyDescent="0.2">
      <c r="A29" s="52" t="s">
        <v>76</v>
      </c>
      <c r="B29" t="s">
        <v>91</v>
      </c>
      <c r="C29" t="s">
        <v>92</v>
      </c>
      <c r="D29" t="s">
        <v>94</v>
      </c>
      <c r="E29" t="s">
        <v>55</v>
      </c>
    </row>
    <row r="30" spans="1:5" x14ac:dyDescent="0.2">
      <c r="A30" s="52" t="s">
        <v>76</v>
      </c>
      <c r="B30" t="s">
        <v>91</v>
      </c>
      <c r="C30" t="s">
        <v>92</v>
      </c>
      <c r="D30" t="s">
        <v>95</v>
      </c>
      <c r="E30" t="s">
        <v>55</v>
      </c>
    </row>
    <row r="31" spans="1:5" x14ac:dyDescent="0.2">
      <c r="A31" s="52" t="s">
        <v>76</v>
      </c>
      <c r="B31" t="s">
        <v>96</v>
      </c>
      <c r="C31" t="s">
        <v>34</v>
      </c>
      <c r="D31" t="s">
        <v>97</v>
      </c>
      <c r="E31" t="s">
        <v>55</v>
      </c>
    </row>
    <row r="32" spans="1:5" x14ac:dyDescent="0.2">
      <c r="A32" s="52" t="s">
        <v>76</v>
      </c>
      <c r="B32" t="s">
        <v>96</v>
      </c>
      <c r="C32" t="s">
        <v>34</v>
      </c>
      <c r="D32" t="s">
        <v>98</v>
      </c>
      <c r="E32" t="s">
        <v>55</v>
      </c>
    </row>
    <row r="33" spans="1:5" x14ac:dyDescent="0.2">
      <c r="A33" s="52" t="s">
        <v>76</v>
      </c>
      <c r="B33" t="s">
        <v>96</v>
      </c>
      <c r="C33" t="s">
        <v>34</v>
      </c>
      <c r="D33" t="s">
        <v>99</v>
      </c>
      <c r="E33" t="s">
        <v>55</v>
      </c>
    </row>
    <row r="34" spans="1:5" x14ac:dyDescent="0.2">
      <c r="A34" s="52" t="s">
        <v>100</v>
      </c>
      <c r="B34" t="s">
        <v>86</v>
      </c>
      <c r="C34" t="s">
        <v>39</v>
      </c>
      <c r="D34" t="s">
        <v>101</v>
      </c>
      <c r="E34" t="s">
        <v>55</v>
      </c>
    </row>
    <row r="35" spans="1:5" x14ac:dyDescent="0.2">
      <c r="A35" s="52" t="s">
        <v>100</v>
      </c>
      <c r="B35" t="s">
        <v>86</v>
      </c>
      <c r="C35" t="s">
        <v>39</v>
      </c>
      <c r="D35" t="s">
        <v>102</v>
      </c>
      <c r="E35" t="s">
        <v>55</v>
      </c>
    </row>
    <row r="36" spans="1:5" x14ac:dyDescent="0.2">
      <c r="A36" s="52" t="s">
        <v>100</v>
      </c>
      <c r="B36" t="s">
        <v>86</v>
      </c>
      <c r="C36" t="s">
        <v>39</v>
      </c>
      <c r="D36" t="s">
        <v>103</v>
      </c>
      <c r="E36" t="s">
        <v>55</v>
      </c>
    </row>
    <row r="37" spans="1:5" x14ac:dyDescent="0.2">
      <c r="A37" s="52" t="s">
        <v>100</v>
      </c>
      <c r="B37" t="s">
        <v>45</v>
      </c>
      <c r="C37" t="s">
        <v>34</v>
      </c>
      <c r="D37" t="s">
        <v>104</v>
      </c>
      <c r="E37" t="s">
        <v>105</v>
      </c>
    </row>
    <row r="38" spans="1:5" x14ac:dyDescent="0.2">
      <c r="A38" s="52" t="s">
        <v>106</v>
      </c>
      <c r="B38" t="s">
        <v>38</v>
      </c>
      <c r="C38" t="s">
        <v>62</v>
      </c>
      <c r="D38" t="s">
        <v>107</v>
      </c>
      <c r="E38" t="s">
        <v>55</v>
      </c>
    </row>
    <row r="39" spans="1:5" x14ac:dyDescent="0.2">
      <c r="A39" s="52" t="s">
        <v>106</v>
      </c>
      <c r="B39" t="s">
        <v>86</v>
      </c>
      <c r="C39" t="s">
        <v>87</v>
      </c>
      <c r="D39" t="s">
        <v>108</v>
      </c>
      <c r="E39" t="s">
        <v>55</v>
      </c>
    </row>
    <row r="40" spans="1:5" x14ac:dyDescent="0.2">
      <c r="A40" s="52" t="s">
        <v>106</v>
      </c>
      <c r="B40" t="s">
        <v>45</v>
      </c>
      <c r="C40" t="s">
        <v>34</v>
      </c>
      <c r="D40" t="s">
        <v>109</v>
      </c>
      <c r="E40" t="s">
        <v>55</v>
      </c>
    </row>
    <row r="41" spans="1:5" x14ac:dyDescent="0.2">
      <c r="A41" s="52" t="s">
        <v>106</v>
      </c>
      <c r="B41" t="s">
        <v>110</v>
      </c>
      <c r="C41" t="s">
        <v>34</v>
      </c>
      <c r="D41" t="s">
        <v>111</v>
      </c>
      <c r="E41" t="s">
        <v>55</v>
      </c>
    </row>
    <row r="42" spans="1:5" x14ac:dyDescent="0.2">
      <c r="A42" s="52" t="s">
        <v>106</v>
      </c>
      <c r="B42" t="s">
        <v>33</v>
      </c>
      <c r="C42" t="s">
        <v>34</v>
      </c>
      <c r="D42" t="s">
        <v>112</v>
      </c>
      <c r="E42" t="s">
        <v>113</v>
      </c>
    </row>
    <row r="43" spans="1:5" x14ac:dyDescent="0.2">
      <c r="A43" s="52" t="s">
        <v>106</v>
      </c>
      <c r="B43" t="s">
        <v>33</v>
      </c>
      <c r="C43" t="s">
        <v>34</v>
      </c>
      <c r="D43" t="s">
        <v>114</v>
      </c>
      <c r="E43" t="s">
        <v>55</v>
      </c>
    </row>
    <row r="44" spans="1:5" x14ac:dyDescent="0.2">
      <c r="A44" s="52" t="s">
        <v>106</v>
      </c>
      <c r="B44" t="s">
        <v>33</v>
      </c>
      <c r="C44" t="s">
        <v>34</v>
      </c>
      <c r="D44" t="s">
        <v>115</v>
      </c>
      <c r="E44" t="s">
        <v>116</v>
      </c>
    </row>
    <row r="45" spans="1:5" x14ac:dyDescent="0.2">
      <c r="A45" s="52" t="s">
        <v>106</v>
      </c>
      <c r="B45" t="s">
        <v>33</v>
      </c>
      <c r="C45" t="s">
        <v>34</v>
      </c>
      <c r="D45" t="s">
        <v>117</v>
      </c>
      <c r="E45" t="s">
        <v>118</v>
      </c>
    </row>
    <row r="46" spans="1:5" x14ac:dyDescent="0.2">
      <c r="A46" s="52" t="s">
        <v>119</v>
      </c>
      <c r="B46" t="s">
        <v>66</v>
      </c>
      <c r="C46" t="s">
        <v>67</v>
      </c>
      <c r="D46" t="s">
        <v>120</v>
      </c>
      <c r="E46" t="s">
        <v>55</v>
      </c>
    </row>
    <row r="47" spans="1:5" x14ac:dyDescent="0.2">
      <c r="A47" s="52" t="s">
        <v>119</v>
      </c>
      <c r="B47" t="s">
        <v>45</v>
      </c>
      <c r="C47" t="s">
        <v>34</v>
      </c>
      <c r="D47" t="s">
        <v>121</v>
      </c>
      <c r="E47" t="s">
        <v>55</v>
      </c>
    </row>
    <row r="48" spans="1:5" x14ac:dyDescent="0.2">
      <c r="A48" s="52" t="s">
        <v>119</v>
      </c>
      <c r="B48" t="s">
        <v>33</v>
      </c>
      <c r="C48" t="s">
        <v>34</v>
      </c>
      <c r="D48" t="s">
        <v>122</v>
      </c>
      <c r="E48" t="s">
        <v>123</v>
      </c>
    </row>
    <row r="49" spans="1:5" x14ac:dyDescent="0.2">
      <c r="A49" s="52" t="s">
        <v>119</v>
      </c>
      <c r="B49" t="s">
        <v>53</v>
      </c>
      <c r="C49" t="s">
        <v>34</v>
      </c>
      <c r="D49" t="s">
        <v>54</v>
      </c>
      <c r="E49" t="s">
        <v>55</v>
      </c>
    </row>
    <row r="50" spans="1:5" x14ac:dyDescent="0.2">
      <c r="A50" s="52" t="s">
        <v>124</v>
      </c>
      <c r="B50" t="s">
        <v>125</v>
      </c>
      <c r="C50" t="s">
        <v>87</v>
      </c>
      <c r="D50" t="s">
        <v>126</v>
      </c>
      <c r="E50" t="s">
        <v>55</v>
      </c>
    </row>
    <row r="51" spans="1:5" x14ac:dyDescent="0.2">
      <c r="A51" s="52" t="s">
        <v>124</v>
      </c>
      <c r="B51" t="s">
        <v>127</v>
      </c>
      <c r="C51" t="s">
        <v>39</v>
      </c>
      <c r="D51" t="s">
        <v>128</v>
      </c>
      <c r="E51" t="s">
        <v>55</v>
      </c>
    </row>
    <row r="52" spans="1:5" x14ac:dyDescent="0.2">
      <c r="A52" s="52" t="s">
        <v>124</v>
      </c>
      <c r="B52" t="s">
        <v>127</v>
      </c>
      <c r="C52" t="s">
        <v>39</v>
      </c>
      <c r="D52" t="s">
        <v>129</v>
      </c>
      <c r="E52" t="s">
        <v>55</v>
      </c>
    </row>
    <row r="53" spans="1:5" x14ac:dyDescent="0.2">
      <c r="A53" s="52" t="s">
        <v>124</v>
      </c>
      <c r="B53" t="s">
        <v>45</v>
      </c>
      <c r="C53" t="s">
        <v>34</v>
      </c>
      <c r="D53" t="s">
        <v>130</v>
      </c>
      <c r="E53" t="s">
        <v>55</v>
      </c>
    </row>
    <row r="54" spans="1:5" x14ac:dyDescent="0.2">
      <c r="A54" s="52" t="s">
        <v>124</v>
      </c>
      <c r="B54" t="s">
        <v>45</v>
      </c>
      <c r="C54" t="s">
        <v>34</v>
      </c>
      <c r="D54" t="s">
        <v>73</v>
      </c>
      <c r="E54" t="s">
        <v>55</v>
      </c>
    </row>
    <row r="55" spans="1:5" x14ac:dyDescent="0.2">
      <c r="A55" s="52" t="s">
        <v>124</v>
      </c>
      <c r="B55" t="s">
        <v>131</v>
      </c>
      <c r="C55" t="s">
        <v>62</v>
      </c>
      <c r="D55" t="s">
        <v>132</v>
      </c>
      <c r="E55" t="s">
        <v>55</v>
      </c>
    </row>
    <row r="56" spans="1:5" x14ac:dyDescent="0.2">
      <c r="A56" s="52" t="s">
        <v>124</v>
      </c>
      <c r="B56" t="s">
        <v>133</v>
      </c>
      <c r="C56" t="s">
        <v>62</v>
      </c>
      <c r="D56" t="s">
        <v>134</v>
      </c>
      <c r="E56" t="s">
        <v>55</v>
      </c>
    </row>
    <row r="57" spans="1:5" x14ac:dyDescent="0.2">
      <c r="A57" s="52" t="s">
        <v>124</v>
      </c>
      <c r="B57" t="s">
        <v>133</v>
      </c>
      <c r="C57" t="s">
        <v>62</v>
      </c>
      <c r="D57" t="s">
        <v>135</v>
      </c>
      <c r="E57" t="s">
        <v>55</v>
      </c>
    </row>
    <row r="58" spans="1:5" x14ac:dyDescent="0.2">
      <c r="A58" s="52" t="s">
        <v>124</v>
      </c>
      <c r="B58" t="s">
        <v>133</v>
      </c>
      <c r="C58" t="s">
        <v>62</v>
      </c>
      <c r="D58" t="s">
        <v>136</v>
      </c>
      <c r="E58" t="s">
        <v>55</v>
      </c>
    </row>
    <row r="59" spans="1:5" x14ac:dyDescent="0.2">
      <c r="A59" s="52" t="s">
        <v>124</v>
      </c>
      <c r="B59" t="s">
        <v>137</v>
      </c>
      <c r="C59" t="s">
        <v>138</v>
      </c>
      <c r="D59" t="s">
        <v>139</v>
      </c>
      <c r="E59" t="s">
        <v>55</v>
      </c>
    </row>
    <row r="60" spans="1:5" x14ac:dyDescent="0.2">
      <c r="A60" s="52" t="s">
        <v>124</v>
      </c>
      <c r="B60" t="s">
        <v>137</v>
      </c>
      <c r="C60" t="s">
        <v>138</v>
      </c>
      <c r="D60" t="s">
        <v>140</v>
      </c>
      <c r="E60" t="s">
        <v>55</v>
      </c>
    </row>
    <row r="61" spans="1:5" x14ac:dyDescent="0.2">
      <c r="A61" s="52" t="s">
        <v>124</v>
      </c>
      <c r="B61" t="s">
        <v>137</v>
      </c>
      <c r="C61" t="s">
        <v>138</v>
      </c>
      <c r="D61" t="s">
        <v>141</v>
      </c>
      <c r="E61" t="s">
        <v>55</v>
      </c>
    </row>
    <row r="62" spans="1:5" x14ac:dyDescent="0.2">
      <c r="A62" s="52" t="s">
        <v>124</v>
      </c>
      <c r="B62" t="s">
        <v>142</v>
      </c>
      <c r="C62" t="s">
        <v>138</v>
      </c>
      <c r="D62" t="s">
        <v>143</v>
      </c>
      <c r="E62" t="s">
        <v>55</v>
      </c>
    </row>
    <row r="63" spans="1:5" x14ac:dyDescent="0.2">
      <c r="A63" s="52" t="s">
        <v>144</v>
      </c>
      <c r="B63" t="s">
        <v>38</v>
      </c>
      <c r="C63" t="s">
        <v>92</v>
      </c>
      <c r="D63" t="s">
        <v>145</v>
      </c>
      <c r="E63" t="s">
        <v>146</v>
      </c>
    </row>
    <row r="64" spans="1:5" x14ac:dyDescent="0.2">
      <c r="A64" s="52" t="s">
        <v>144</v>
      </c>
      <c r="B64" t="s">
        <v>147</v>
      </c>
      <c r="C64" t="s">
        <v>42</v>
      </c>
      <c r="D64" t="s">
        <v>148</v>
      </c>
      <c r="E64" t="s">
        <v>55</v>
      </c>
    </row>
    <row r="65" spans="1:5" x14ac:dyDescent="0.2">
      <c r="A65" s="52" t="s">
        <v>144</v>
      </c>
      <c r="B65" t="s">
        <v>66</v>
      </c>
      <c r="C65" t="s">
        <v>67</v>
      </c>
      <c r="D65" t="s">
        <v>40</v>
      </c>
      <c r="E65" t="s">
        <v>55</v>
      </c>
    </row>
    <row r="66" spans="1:5" x14ac:dyDescent="0.2">
      <c r="A66" s="52" t="s">
        <v>144</v>
      </c>
      <c r="B66" t="s">
        <v>66</v>
      </c>
      <c r="C66" t="s">
        <v>67</v>
      </c>
      <c r="D66" t="s">
        <v>40</v>
      </c>
      <c r="E66" t="s">
        <v>55</v>
      </c>
    </row>
    <row r="67" spans="1:5" x14ac:dyDescent="0.2">
      <c r="A67" s="52" t="s">
        <v>144</v>
      </c>
      <c r="B67" t="s">
        <v>66</v>
      </c>
      <c r="C67" t="s">
        <v>67</v>
      </c>
      <c r="D67" t="s">
        <v>128</v>
      </c>
      <c r="E67" t="s">
        <v>55</v>
      </c>
    </row>
    <row r="68" spans="1:5" x14ac:dyDescent="0.2">
      <c r="A68" s="52" t="s">
        <v>144</v>
      </c>
      <c r="B68" t="s">
        <v>149</v>
      </c>
      <c r="C68" t="s">
        <v>42</v>
      </c>
      <c r="D68" t="s">
        <v>150</v>
      </c>
      <c r="E68" t="s">
        <v>55</v>
      </c>
    </row>
    <row r="69" spans="1:5" x14ac:dyDescent="0.2">
      <c r="A69" s="52" t="s">
        <v>144</v>
      </c>
      <c r="B69" t="s">
        <v>151</v>
      </c>
      <c r="C69" t="s">
        <v>39</v>
      </c>
      <c r="D69" t="s">
        <v>152</v>
      </c>
      <c r="E69" t="s">
        <v>55</v>
      </c>
    </row>
    <row r="70" spans="1:5" x14ac:dyDescent="0.2">
      <c r="A70" s="52" t="s">
        <v>144</v>
      </c>
      <c r="B70" t="s">
        <v>125</v>
      </c>
      <c r="C70" t="s">
        <v>87</v>
      </c>
      <c r="D70" t="s">
        <v>129</v>
      </c>
      <c r="E70" t="s">
        <v>55</v>
      </c>
    </row>
    <row r="71" spans="1:5" x14ac:dyDescent="0.2">
      <c r="A71" s="52" t="s">
        <v>144</v>
      </c>
      <c r="B71" t="s">
        <v>125</v>
      </c>
      <c r="C71" t="s">
        <v>87</v>
      </c>
      <c r="D71" t="s">
        <v>153</v>
      </c>
      <c r="E71" t="s">
        <v>55</v>
      </c>
    </row>
    <row r="72" spans="1:5" x14ac:dyDescent="0.2">
      <c r="A72" s="52" t="s">
        <v>144</v>
      </c>
      <c r="B72" t="s">
        <v>45</v>
      </c>
      <c r="C72" t="s">
        <v>34</v>
      </c>
      <c r="D72" t="s">
        <v>154</v>
      </c>
      <c r="E72" t="s">
        <v>55</v>
      </c>
    </row>
    <row r="73" spans="1:5" x14ac:dyDescent="0.2">
      <c r="A73" s="52" t="s">
        <v>144</v>
      </c>
      <c r="B73" t="s">
        <v>45</v>
      </c>
      <c r="C73" t="s">
        <v>34</v>
      </c>
      <c r="D73" t="s">
        <v>155</v>
      </c>
      <c r="E73" t="s">
        <v>55</v>
      </c>
    </row>
    <row r="74" spans="1:5" x14ac:dyDescent="0.2">
      <c r="A74" s="52" t="s">
        <v>144</v>
      </c>
      <c r="B74" t="s">
        <v>45</v>
      </c>
      <c r="C74" t="s">
        <v>34</v>
      </c>
      <c r="D74" t="s">
        <v>156</v>
      </c>
      <c r="E74" t="s">
        <v>55</v>
      </c>
    </row>
    <row r="75" spans="1:5" x14ac:dyDescent="0.2">
      <c r="A75" s="52" t="s">
        <v>144</v>
      </c>
      <c r="B75" t="s">
        <v>45</v>
      </c>
      <c r="C75" t="s">
        <v>34</v>
      </c>
      <c r="D75" t="s">
        <v>157</v>
      </c>
      <c r="E75" t="s">
        <v>55</v>
      </c>
    </row>
    <row r="76" spans="1:5" x14ac:dyDescent="0.2">
      <c r="A76" s="52" t="s">
        <v>144</v>
      </c>
      <c r="B76" t="s">
        <v>96</v>
      </c>
      <c r="C76" t="s">
        <v>34</v>
      </c>
      <c r="D76" t="s">
        <v>158</v>
      </c>
      <c r="E76" t="s">
        <v>55</v>
      </c>
    </row>
    <row r="77" spans="1:5" x14ac:dyDescent="0.2">
      <c r="A77" s="52" t="s">
        <v>144</v>
      </c>
      <c r="B77" t="s">
        <v>33</v>
      </c>
      <c r="C77" t="s">
        <v>34</v>
      </c>
      <c r="D77" t="s">
        <v>159</v>
      </c>
      <c r="E77" t="s">
        <v>55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1:F88"/>
  <sheetViews>
    <sheetView zoomScale="160" zoomScaleNormal="160" workbookViewId="0">
      <selection activeCell="C6" sqref="C6"/>
    </sheetView>
  </sheetViews>
  <sheetFormatPr baseColWidth="10" defaultColWidth="9.1640625" defaultRowHeight="15" x14ac:dyDescent="0.2"/>
  <cols>
    <col min="1" max="1" width="9.1640625" style="50" customWidth="1"/>
    <col min="2" max="2" width="34.1640625" style="50" customWidth="1"/>
    <col min="3" max="3" width="27.6640625" style="50" customWidth="1"/>
    <col min="4" max="4" width="17.6640625" style="50" customWidth="1"/>
    <col min="5" max="5" width="31.1640625" style="50" customWidth="1"/>
    <col min="6" max="6" width="25.33203125" style="50" customWidth="1"/>
    <col min="7" max="9" width="9.1640625" style="50" customWidth="1"/>
    <col min="10" max="16384" width="9.1640625" style="50"/>
  </cols>
  <sheetData>
    <row r="1" spans="2:6" x14ac:dyDescent="0.2">
      <c r="B1" s="6" t="s">
        <v>4</v>
      </c>
    </row>
    <row r="7" spans="2:6" ht="16" customHeight="1" thickBot="1" x14ac:dyDescent="0.25"/>
    <row r="8" spans="2:6" x14ac:dyDescent="0.2">
      <c r="B8" s="7" t="s">
        <v>29</v>
      </c>
      <c r="C8" s="46" t="s">
        <v>10</v>
      </c>
      <c r="D8" s="46" t="s">
        <v>160</v>
      </c>
      <c r="E8" s="46" t="s">
        <v>30</v>
      </c>
      <c r="F8" s="51" t="s">
        <v>161</v>
      </c>
    </row>
    <row r="9" spans="2:6" x14ac:dyDescent="0.2">
      <c r="B9" s="8" t="s">
        <v>162</v>
      </c>
      <c r="C9" s="8" t="s">
        <v>163</v>
      </c>
      <c r="D9" s="8" t="s">
        <v>164</v>
      </c>
      <c r="E9" s="8" t="s">
        <v>165</v>
      </c>
      <c r="F9" s="8" t="s">
        <v>166</v>
      </c>
    </row>
    <row r="10" spans="2:6" x14ac:dyDescent="0.2">
      <c r="B10" s="8" t="s">
        <v>162</v>
      </c>
      <c r="C10" s="8" t="s">
        <v>167</v>
      </c>
      <c r="D10" s="9">
        <v>45536</v>
      </c>
      <c r="E10" s="8" t="s">
        <v>168</v>
      </c>
      <c r="F10" s="8" t="s">
        <v>169</v>
      </c>
    </row>
    <row r="11" spans="2:6" x14ac:dyDescent="0.2">
      <c r="B11" s="8" t="s">
        <v>162</v>
      </c>
      <c r="C11" s="8" t="s">
        <v>170</v>
      </c>
      <c r="D11" s="9">
        <v>45536</v>
      </c>
      <c r="E11" s="8" t="s">
        <v>165</v>
      </c>
      <c r="F11" s="8" t="s">
        <v>171</v>
      </c>
    </row>
    <row r="12" spans="2:6" x14ac:dyDescent="0.2">
      <c r="B12" s="8" t="s">
        <v>162</v>
      </c>
      <c r="C12" s="8" t="s">
        <v>172</v>
      </c>
      <c r="D12" s="9">
        <v>45536</v>
      </c>
      <c r="E12" s="8" t="s">
        <v>173</v>
      </c>
      <c r="F12" s="8" t="s">
        <v>174</v>
      </c>
    </row>
    <row r="13" spans="2:6" x14ac:dyDescent="0.2">
      <c r="B13" s="8" t="s">
        <v>162</v>
      </c>
      <c r="C13" s="8" t="s">
        <v>175</v>
      </c>
      <c r="D13" s="9">
        <v>45536</v>
      </c>
      <c r="E13" s="8" t="s">
        <v>176</v>
      </c>
      <c r="F13" s="8" t="s">
        <v>177</v>
      </c>
    </row>
    <row r="14" spans="2:6" x14ac:dyDescent="0.2">
      <c r="B14" s="8" t="s">
        <v>162</v>
      </c>
      <c r="C14" s="8" t="s">
        <v>178</v>
      </c>
      <c r="D14" s="9">
        <v>45536</v>
      </c>
      <c r="E14" s="8" t="s">
        <v>165</v>
      </c>
      <c r="F14" s="8" t="s">
        <v>179</v>
      </c>
    </row>
    <row r="15" spans="2:6" x14ac:dyDescent="0.2">
      <c r="B15" s="8" t="s">
        <v>162</v>
      </c>
      <c r="C15" s="8" t="s">
        <v>180</v>
      </c>
      <c r="D15" s="9">
        <v>45536</v>
      </c>
      <c r="E15" s="8" t="s">
        <v>181</v>
      </c>
      <c r="F15" s="8" t="s">
        <v>182</v>
      </c>
    </row>
    <row r="16" spans="2:6" x14ac:dyDescent="0.2">
      <c r="B16" s="8" t="s">
        <v>162</v>
      </c>
      <c r="C16" s="8" t="s">
        <v>183</v>
      </c>
      <c r="D16" s="9">
        <v>45536</v>
      </c>
      <c r="E16" s="8" t="s">
        <v>165</v>
      </c>
      <c r="F16" s="8" t="s">
        <v>184</v>
      </c>
    </row>
    <row r="17" spans="2:6" x14ac:dyDescent="0.2">
      <c r="B17" s="8" t="s">
        <v>162</v>
      </c>
      <c r="C17" s="8" t="s">
        <v>185</v>
      </c>
      <c r="D17" s="9">
        <v>45901</v>
      </c>
      <c r="E17" s="8" t="s">
        <v>176</v>
      </c>
      <c r="F17" s="8" t="s">
        <v>186</v>
      </c>
    </row>
    <row r="18" spans="2:6" x14ac:dyDescent="0.2">
      <c r="B18" s="8" t="s">
        <v>162</v>
      </c>
      <c r="C18" s="8" t="s">
        <v>187</v>
      </c>
      <c r="D18" s="9">
        <v>45901</v>
      </c>
      <c r="E18" s="8" t="s">
        <v>176</v>
      </c>
      <c r="F18" s="8" t="s">
        <v>188</v>
      </c>
    </row>
    <row r="19" spans="2:6" x14ac:dyDescent="0.2">
      <c r="B19" s="8" t="s">
        <v>162</v>
      </c>
      <c r="C19" s="8" t="s">
        <v>189</v>
      </c>
      <c r="D19" s="9">
        <v>45901</v>
      </c>
      <c r="E19" s="8" t="s">
        <v>168</v>
      </c>
      <c r="F19" s="8" t="s">
        <v>190</v>
      </c>
    </row>
    <row r="20" spans="2:6" x14ac:dyDescent="0.2">
      <c r="B20" s="8" t="s">
        <v>162</v>
      </c>
      <c r="C20" s="8" t="s">
        <v>191</v>
      </c>
      <c r="D20" s="9">
        <v>45901</v>
      </c>
      <c r="E20" s="8" t="s">
        <v>165</v>
      </c>
      <c r="F20" s="8" t="s">
        <v>192</v>
      </c>
    </row>
    <row r="21" spans="2:6" x14ac:dyDescent="0.2">
      <c r="B21" s="8" t="s">
        <v>162</v>
      </c>
      <c r="C21" s="8" t="s">
        <v>193</v>
      </c>
      <c r="D21" s="9">
        <v>45901</v>
      </c>
      <c r="E21" s="8" t="s">
        <v>168</v>
      </c>
      <c r="F21" s="8" t="s">
        <v>194</v>
      </c>
    </row>
    <row r="22" spans="2:6" x14ac:dyDescent="0.2">
      <c r="B22" s="8" t="s">
        <v>162</v>
      </c>
      <c r="C22" s="8" t="s">
        <v>195</v>
      </c>
      <c r="D22" s="9">
        <v>46266</v>
      </c>
      <c r="E22" s="8" t="s">
        <v>165</v>
      </c>
      <c r="F22" s="8" t="s">
        <v>196</v>
      </c>
    </row>
    <row r="23" spans="2:6" x14ac:dyDescent="0.2">
      <c r="B23" s="8" t="s">
        <v>162</v>
      </c>
      <c r="C23" s="8" t="s">
        <v>197</v>
      </c>
      <c r="D23" s="9">
        <v>46266</v>
      </c>
      <c r="E23" s="8" t="s">
        <v>165</v>
      </c>
      <c r="F23" s="8" t="s">
        <v>198</v>
      </c>
    </row>
    <row r="24" spans="2:6" x14ac:dyDescent="0.2">
      <c r="B24" s="8" t="s">
        <v>162</v>
      </c>
      <c r="C24" s="8" t="s">
        <v>199</v>
      </c>
      <c r="D24" s="9">
        <v>46266</v>
      </c>
      <c r="E24" s="8" t="s">
        <v>168</v>
      </c>
      <c r="F24" s="8" t="s">
        <v>200</v>
      </c>
    </row>
    <row r="25" spans="2:6" x14ac:dyDescent="0.2">
      <c r="B25" s="8" t="s">
        <v>162</v>
      </c>
      <c r="C25" s="8" t="s">
        <v>201</v>
      </c>
      <c r="D25" s="9">
        <v>46266</v>
      </c>
      <c r="E25" s="8" t="s">
        <v>165</v>
      </c>
      <c r="F25" s="8" t="s">
        <v>202</v>
      </c>
    </row>
    <row r="26" spans="2:6" x14ac:dyDescent="0.2">
      <c r="B26" s="8" t="s">
        <v>162</v>
      </c>
      <c r="C26" s="8" t="s">
        <v>203</v>
      </c>
      <c r="D26" s="9">
        <v>46266</v>
      </c>
      <c r="E26" s="8" t="s">
        <v>165</v>
      </c>
      <c r="F26" s="8" t="s">
        <v>204</v>
      </c>
    </row>
    <row r="27" spans="2:6" x14ac:dyDescent="0.2">
      <c r="B27" s="8" t="s">
        <v>162</v>
      </c>
      <c r="C27" s="8" t="s">
        <v>205</v>
      </c>
      <c r="D27" s="9">
        <v>11202</v>
      </c>
      <c r="E27" s="8" t="s">
        <v>165</v>
      </c>
      <c r="F27" s="8" t="s">
        <v>206</v>
      </c>
    </row>
    <row r="28" spans="2:6" x14ac:dyDescent="0.2">
      <c r="B28" s="8" t="s">
        <v>162</v>
      </c>
      <c r="C28" s="8" t="s">
        <v>207</v>
      </c>
      <c r="D28" s="10">
        <v>43475</v>
      </c>
      <c r="E28" s="8" t="s">
        <v>165</v>
      </c>
      <c r="F28" s="8" t="s">
        <v>208</v>
      </c>
    </row>
    <row r="29" spans="2:6" x14ac:dyDescent="0.2">
      <c r="B29" s="8" t="s">
        <v>162</v>
      </c>
      <c r="C29" s="8" t="s">
        <v>209</v>
      </c>
      <c r="D29" s="10">
        <v>43506</v>
      </c>
      <c r="E29" s="8" t="s">
        <v>168</v>
      </c>
      <c r="F29" s="8" t="s">
        <v>210</v>
      </c>
    </row>
    <row r="30" spans="2:6" x14ac:dyDescent="0.2">
      <c r="B30" s="8" t="s">
        <v>162</v>
      </c>
      <c r="C30" s="8" t="s">
        <v>211</v>
      </c>
      <c r="D30" s="10">
        <v>43506</v>
      </c>
      <c r="E30" s="8" t="s">
        <v>168</v>
      </c>
      <c r="F30" s="8" t="s">
        <v>212</v>
      </c>
    </row>
    <row r="31" spans="2:6" x14ac:dyDescent="0.2">
      <c r="B31" s="8" t="s">
        <v>162</v>
      </c>
      <c r="C31" s="8" t="s">
        <v>213</v>
      </c>
      <c r="D31" s="10">
        <v>43506</v>
      </c>
      <c r="E31" s="8" t="s">
        <v>165</v>
      </c>
      <c r="F31" s="8" t="s">
        <v>214</v>
      </c>
    </row>
    <row r="32" spans="2:6" x14ac:dyDescent="0.2">
      <c r="B32" s="8" t="s">
        <v>162</v>
      </c>
      <c r="C32" s="8" t="s">
        <v>215</v>
      </c>
      <c r="D32" s="10">
        <v>43534</v>
      </c>
      <c r="E32" s="8" t="s">
        <v>176</v>
      </c>
      <c r="F32" s="8" t="s">
        <v>216</v>
      </c>
    </row>
    <row r="33" spans="2:6" x14ac:dyDescent="0.2">
      <c r="B33" s="8" t="s">
        <v>162</v>
      </c>
      <c r="C33" s="8" t="s">
        <v>217</v>
      </c>
      <c r="D33" s="10">
        <v>43534</v>
      </c>
      <c r="E33" s="8" t="s">
        <v>165</v>
      </c>
      <c r="F33" s="8" t="s">
        <v>218</v>
      </c>
    </row>
    <row r="34" spans="2:6" x14ac:dyDescent="0.2">
      <c r="B34" s="8" t="s">
        <v>162</v>
      </c>
      <c r="C34" s="8" t="s">
        <v>219</v>
      </c>
      <c r="D34" s="10">
        <v>43534</v>
      </c>
      <c r="E34" s="8" t="s">
        <v>173</v>
      </c>
      <c r="F34" s="8" t="s">
        <v>220</v>
      </c>
    </row>
    <row r="35" spans="2:6" x14ac:dyDescent="0.2">
      <c r="B35" s="8" t="s">
        <v>162</v>
      </c>
      <c r="C35" s="8" t="s">
        <v>221</v>
      </c>
      <c r="D35" s="10">
        <v>43534</v>
      </c>
      <c r="E35" s="8" t="s">
        <v>176</v>
      </c>
      <c r="F35" s="8" t="s">
        <v>222</v>
      </c>
    </row>
    <row r="36" spans="2:6" x14ac:dyDescent="0.2">
      <c r="B36" s="8" t="s">
        <v>162</v>
      </c>
      <c r="C36" s="8" t="s">
        <v>223</v>
      </c>
      <c r="D36" s="10">
        <v>43534</v>
      </c>
      <c r="E36" s="8" t="s">
        <v>176</v>
      </c>
      <c r="F36" s="8" t="s">
        <v>224</v>
      </c>
    </row>
    <row r="37" spans="2:6" x14ac:dyDescent="0.2">
      <c r="B37" s="8" t="s">
        <v>162</v>
      </c>
      <c r="C37" s="8" t="s">
        <v>225</v>
      </c>
      <c r="D37" s="10">
        <v>43656</v>
      </c>
      <c r="E37" s="8" t="s">
        <v>176</v>
      </c>
      <c r="F37" s="8" t="s">
        <v>226</v>
      </c>
    </row>
    <row r="38" spans="2:6" x14ac:dyDescent="0.2">
      <c r="B38" s="8" t="s">
        <v>162</v>
      </c>
      <c r="C38" s="8" t="s">
        <v>227</v>
      </c>
      <c r="D38" s="10">
        <v>43656</v>
      </c>
      <c r="E38" s="8" t="s">
        <v>176</v>
      </c>
      <c r="F38" s="8" t="s">
        <v>228</v>
      </c>
    </row>
    <row r="39" spans="2:6" x14ac:dyDescent="0.2">
      <c r="B39" s="8" t="s">
        <v>162</v>
      </c>
      <c r="C39" s="8" t="s">
        <v>229</v>
      </c>
      <c r="D39" s="10">
        <v>43656</v>
      </c>
      <c r="E39" s="8" t="s">
        <v>168</v>
      </c>
      <c r="F39" s="8" t="s">
        <v>230</v>
      </c>
    </row>
    <row r="40" spans="2:6" x14ac:dyDescent="0.2">
      <c r="B40" s="8" t="s">
        <v>162</v>
      </c>
      <c r="C40" s="8" t="s">
        <v>231</v>
      </c>
      <c r="D40" s="10">
        <v>43687</v>
      </c>
      <c r="E40" s="8" t="s">
        <v>176</v>
      </c>
      <c r="F40" s="8" t="s">
        <v>232</v>
      </c>
    </row>
    <row r="41" spans="2:6" x14ac:dyDescent="0.2">
      <c r="B41" s="8" t="s">
        <v>162</v>
      </c>
      <c r="C41" s="8" t="s">
        <v>233</v>
      </c>
      <c r="D41" s="10">
        <v>43687</v>
      </c>
      <c r="E41" s="8" t="s">
        <v>176</v>
      </c>
      <c r="F41" s="8" t="s">
        <v>234</v>
      </c>
    </row>
    <row r="42" spans="2:6" x14ac:dyDescent="0.2">
      <c r="B42" s="8" t="s">
        <v>162</v>
      </c>
      <c r="C42" s="8" t="s">
        <v>235</v>
      </c>
      <c r="D42" s="10">
        <v>43748</v>
      </c>
      <c r="E42" s="8" t="s">
        <v>165</v>
      </c>
      <c r="F42" s="8" t="s">
        <v>236</v>
      </c>
    </row>
    <row r="43" spans="2:6" x14ac:dyDescent="0.2">
      <c r="B43" s="8" t="s">
        <v>162</v>
      </c>
      <c r="C43" s="8" t="s">
        <v>237</v>
      </c>
      <c r="D43" s="10">
        <v>43748</v>
      </c>
      <c r="E43" s="8" t="s">
        <v>176</v>
      </c>
      <c r="F43" s="8" t="s">
        <v>238</v>
      </c>
    </row>
    <row r="44" spans="2:6" x14ac:dyDescent="0.2">
      <c r="B44" s="8" t="s">
        <v>162</v>
      </c>
      <c r="C44" s="8" t="s">
        <v>239</v>
      </c>
      <c r="D44" s="10">
        <v>43748</v>
      </c>
      <c r="E44" s="8" t="s">
        <v>173</v>
      </c>
      <c r="F44" s="8" t="s">
        <v>240</v>
      </c>
    </row>
    <row r="45" spans="2:6" x14ac:dyDescent="0.2">
      <c r="B45" s="8" t="s">
        <v>162</v>
      </c>
      <c r="C45" s="8" t="s">
        <v>241</v>
      </c>
      <c r="D45" s="10">
        <v>43779</v>
      </c>
      <c r="E45" s="8" t="s">
        <v>242</v>
      </c>
      <c r="F45" s="8" t="s">
        <v>243</v>
      </c>
    </row>
    <row r="46" spans="2:6" x14ac:dyDescent="0.2">
      <c r="B46" s="8" t="s">
        <v>162</v>
      </c>
      <c r="C46" s="8" t="s">
        <v>241</v>
      </c>
      <c r="D46" s="10">
        <v>43779</v>
      </c>
      <c r="E46" s="8" t="s">
        <v>176</v>
      </c>
      <c r="F46" s="8" t="s">
        <v>243</v>
      </c>
    </row>
    <row r="47" spans="2:6" x14ac:dyDescent="0.2">
      <c r="B47" s="8" t="s">
        <v>162</v>
      </c>
      <c r="C47" s="8" t="s">
        <v>244</v>
      </c>
      <c r="D47" s="10">
        <v>43779</v>
      </c>
      <c r="E47" s="8" t="s">
        <v>176</v>
      </c>
      <c r="F47" s="8" t="s">
        <v>245</v>
      </c>
    </row>
    <row r="48" spans="2:6" x14ac:dyDescent="0.2">
      <c r="B48" s="8" t="s">
        <v>162</v>
      </c>
      <c r="C48" s="8" t="s">
        <v>246</v>
      </c>
      <c r="D48" s="10">
        <v>43779</v>
      </c>
      <c r="E48" s="8" t="s">
        <v>176</v>
      </c>
      <c r="F48" s="8" t="s">
        <v>247</v>
      </c>
    </row>
    <row r="49" spans="2:6" x14ac:dyDescent="0.2">
      <c r="B49" s="8" t="s">
        <v>162</v>
      </c>
      <c r="C49" s="8" t="s">
        <v>248</v>
      </c>
      <c r="D49" s="10">
        <v>43809</v>
      </c>
      <c r="E49" s="8" t="s">
        <v>165</v>
      </c>
      <c r="F49" s="8" t="s">
        <v>249</v>
      </c>
    </row>
    <row r="50" spans="2:6" x14ac:dyDescent="0.2">
      <c r="B50" s="8" t="s">
        <v>162</v>
      </c>
      <c r="C50" s="8" t="s">
        <v>250</v>
      </c>
      <c r="D50" s="9">
        <v>41913</v>
      </c>
      <c r="E50" s="8" t="s">
        <v>176</v>
      </c>
      <c r="F50" s="8" t="s">
        <v>251</v>
      </c>
    </row>
    <row r="51" spans="2:6" x14ac:dyDescent="0.2">
      <c r="B51" s="8" t="s">
        <v>162</v>
      </c>
      <c r="C51" s="8" t="s">
        <v>252</v>
      </c>
      <c r="D51" s="9">
        <v>41913</v>
      </c>
      <c r="E51" s="8" t="s">
        <v>176</v>
      </c>
      <c r="F51" s="8" t="s">
        <v>253</v>
      </c>
    </row>
    <row r="52" spans="2:6" x14ac:dyDescent="0.2">
      <c r="B52" s="8" t="s">
        <v>162</v>
      </c>
      <c r="C52" s="8" t="s">
        <v>254</v>
      </c>
      <c r="D52" s="9">
        <v>41913</v>
      </c>
      <c r="E52" s="8" t="s">
        <v>176</v>
      </c>
      <c r="F52" s="8" t="s">
        <v>255</v>
      </c>
    </row>
    <row r="53" spans="2:6" x14ac:dyDescent="0.2">
      <c r="B53" s="8" t="s">
        <v>162</v>
      </c>
      <c r="C53" s="8" t="s">
        <v>256</v>
      </c>
      <c r="D53" s="9">
        <v>41913</v>
      </c>
      <c r="E53" s="8" t="s">
        <v>176</v>
      </c>
      <c r="F53" s="8" t="s">
        <v>257</v>
      </c>
    </row>
    <row r="54" spans="2:6" x14ac:dyDescent="0.2">
      <c r="B54" s="8" t="s">
        <v>162</v>
      </c>
      <c r="C54" s="8" t="s">
        <v>258</v>
      </c>
      <c r="D54" s="9">
        <v>41913</v>
      </c>
      <c r="E54" s="8" t="s">
        <v>176</v>
      </c>
      <c r="F54" s="8" t="s">
        <v>259</v>
      </c>
    </row>
    <row r="55" spans="2:6" x14ac:dyDescent="0.2">
      <c r="B55" s="8" t="s">
        <v>162</v>
      </c>
      <c r="C55" s="8" t="s">
        <v>260</v>
      </c>
      <c r="D55" s="9">
        <v>41913</v>
      </c>
      <c r="E55" s="8" t="s">
        <v>176</v>
      </c>
      <c r="F55" s="8" t="s">
        <v>261</v>
      </c>
    </row>
    <row r="56" spans="2:6" x14ac:dyDescent="0.2">
      <c r="B56" s="8" t="s">
        <v>162</v>
      </c>
      <c r="C56" s="8" t="s">
        <v>262</v>
      </c>
      <c r="D56" s="9">
        <v>41913</v>
      </c>
      <c r="E56" s="8" t="s">
        <v>176</v>
      </c>
      <c r="F56" s="8" t="s">
        <v>263</v>
      </c>
    </row>
    <row r="57" spans="2:6" x14ac:dyDescent="0.2">
      <c r="B57" s="8" t="s">
        <v>162</v>
      </c>
      <c r="C57" s="8" t="s">
        <v>264</v>
      </c>
      <c r="D57" s="9">
        <v>41913</v>
      </c>
      <c r="E57" s="8" t="s">
        <v>176</v>
      </c>
      <c r="F57" s="8" t="s">
        <v>265</v>
      </c>
    </row>
    <row r="58" spans="2:6" x14ac:dyDescent="0.2">
      <c r="B58" s="8" t="s">
        <v>162</v>
      </c>
      <c r="C58" s="8" t="s">
        <v>266</v>
      </c>
      <c r="D58" s="9">
        <v>41913</v>
      </c>
      <c r="E58" s="8" t="s">
        <v>176</v>
      </c>
      <c r="F58" s="8" t="s">
        <v>267</v>
      </c>
    </row>
    <row r="59" spans="2:6" x14ac:dyDescent="0.2">
      <c r="B59" s="8" t="s">
        <v>162</v>
      </c>
      <c r="C59" s="8" t="s">
        <v>268</v>
      </c>
      <c r="D59" s="9">
        <v>41913</v>
      </c>
      <c r="E59" s="8" t="s">
        <v>176</v>
      </c>
      <c r="F59" s="8" t="s">
        <v>269</v>
      </c>
    </row>
    <row r="60" spans="2:6" x14ac:dyDescent="0.2">
      <c r="B60" s="8" t="s">
        <v>162</v>
      </c>
      <c r="C60" s="8" t="s">
        <v>270</v>
      </c>
      <c r="D60" s="9">
        <v>41913</v>
      </c>
      <c r="E60" s="8" t="s">
        <v>176</v>
      </c>
      <c r="F60" s="8" t="s">
        <v>271</v>
      </c>
    </row>
    <row r="61" spans="2:6" x14ac:dyDescent="0.2">
      <c r="B61" s="8" t="s">
        <v>162</v>
      </c>
      <c r="C61" s="8" t="s">
        <v>272</v>
      </c>
      <c r="D61" s="9">
        <v>42278</v>
      </c>
      <c r="E61" s="8" t="s">
        <v>176</v>
      </c>
      <c r="F61" s="8" t="s">
        <v>273</v>
      </c>
    </row>
    <row r="62" spans="2:6" x14ac:dyDescent="0.2">
      <c r="B62" s="8" t="s">
        <v>162</v>
      </c>
      <c r="C62" s="8" t="s">
        <v>274</v>
      </c>
      <c r="D62" s="9">
        <v>42278</v>
      </c>
      <c r="E62" s="8" t="s">
        <v>176</v>
      </c>
      <c r="F62" s="8" t="s">
        <v>275</v>
      </c>
    </row>
    <row r="63" spans="2:6" x14ac:dyDescent="0.2">
      <c r="B63" s="8" t="s">
        <v>162</v>
      </c>
      <c r="C63" s="8" t="s">
        <v>276</v>
      </c>
      <c r="D63" s="9">
        <v>42278</v>
      </c>
      <c r="E63" s="8" t="s">
        <v>176</v>
      </c>
      <c r="F63" s="8" t="s">
        <v>277</v>
      </c>
    </row>
    <row r="64" spans="2:6" x14ac:dyDescent="0.2">
      <c r="B64" s="8" t="s">
        <v>162</v>
      </c>
      <c r="C64" s="8" t="s">
        <v>278</v>
      </c>
      <c r="D64" s="9">
        <v>42278</v>
      </c>
      <c r="E64" s="8" t="s">
        <v>176</v>
      </c>
      <c r="F64" s="8" t="s">
        <v>279</v>
      </c>
    </row>
    <row r="65" spans="2:6" x14ac:dyDescent="0.2">
      <c r="B65" s="8" t="s">
        <v>162</v>
      </c>
      <c r="C65" s="8" t="s">
        <v>280</v>
      </c>
      <c r="D65" s="9">
        <v>42278</v>
      </c>
      <c r="E65" s="8" t="s">
        <v>176</v>
      </c>
      <c r="F65" s="8" t="s">
        <v>281</v>
      </c>
    </row>
    <row r="66" spans="2:6" x14ac:dyDescent="0.2">
      <c r="B66" s="8" t="s">
        <v>162</v>
      </c>
      <c r="C66" s="8" t="s">
        <v>282</v>
      </c>
      <c r="D66" s="9">
        <v>42278</v>
      </c>
      <c r="E66" s="8" t="s">
        <v>176</v>
      </c>
      <c r="F66" s="8" t="s">
        <v>283</v>
      </c>
    </row>
    <row r="67" spans="2:6" x14ac:dyDescent="0.2">
      <c r="B67" s="8" t="s">
        <v>162</v>
      </c>
      <c r="C67" s="8" t="s">
        <v>284</v>
      </c>
      <c r="D67" s="9">
        <v>42278</v>
      </c>
      <c r="E67" s="8" t="s">
        <v>168</v>
      </c>
      <c r="F67" s="8" t="s">
        <v>285</v>
      </c>
    </row>
    <row r="68" spans="2:6" x14ac:dyDescent="0.2">
      <c r="B68" s="8" t="s">
        <v>162</v>
      </c>
      <c r="C68" s="8" t="s">
        <v>286</v>
      </c>
      <c r="D68" s="9">
        <v>42278</v>
      </c>
      <c r="E68" s="8" t="s">
        <v>176</v>
      </c>
      <c r="F68" s="8" t="s">
        <v>287</v>
      </c>
    </row>
    <row r="69" spans="2:6" x14ac:dyDescent="0.2">
      <c r="B69" s="8" t="s">
        <v>162</v>
      </c>
      <c r="C69" s="8" t="s">
        <v>288</v>
      </c>
      <c r="D69" s="9">
        <v>42278</v>
      </c>
      <c r="E69" s="8" t="s">
        <v>176</v>
      </c>
      <c r="F69" s="8" t="s">
        <v>289</v>
      </c>
    </row>
    <row r="70" spans="2:6" x14ac:dyDescent="0.2">
      <c r="B70" s="8" t="s">
        <v>162</v>
      </c>
      <c r="C70" s="8" t="s">
        <v>290</v>
      </c>
      <c r="D70" s="9">
        <v>42278</v>
      </c>
      <c r="E70" s="8" t="s">
        <v>176</v>
      </c>
      <c r="F70" s="8" t="s">
        <v>291</v>
      </c>
    </row>
    <row r="71" spans="2:6" x14ac:dyDescent="0.2">
      <c r="B71" s="8" t="s">
        <v>162</v>
      </c>
      <c r="C71" s="8" t="s">
        <v>292</v>
      </c>
      <c r="D71" s="9">
        <v>42278</v>
      </c>
      <c r="E71" s="8" t="s">
        <v>176</v>
      </c>
      <c r="F71" s="8" t="s">
        <v>293</v>
      </c>
    </row>
    <row r="72" spans="2:6" x14ac:dyDescent="0.2">
      <c r="B72" s="8" t="s">
        <v>162</v>
      </c>
      <c r="C72" s="8" t="s">
        <v>294</v>
      </c>
      <c r="D72" s="9">
        <v>42278</v>
      </c>
      <c r="E72" s="8" t="s">
        <v>176</v>
      </c>
      <c r="F72" s="8" t="s">
        <v>295</v>
      </c>
    </row>
    <row r="73" spans="2:6" x14ac:dyDescent="0.2">
      <c r="B73" s="8" t="s">
        <v>162</v>
      </c>
      <c r="C73" s="8" t="s">
        <v>296</v>
      </c>
      <c r="D73" s="9">
        <v>42278</v>
      </c>
      <c r="E73" s="8" t="s">
        <v>176</v>
      </c>
      <c r="F73" s="8" t="s">
        <v>297</v>
      </c>
    </row>
    <row r="74" spans="2:6" x14ac:dyDescent="0.2">
      <c r="B74" s="8" t="s">
        <v>162</v>
      </c>
      <c r="C74" s="8" t="s">
        <v>298</v>
      </c>
      <c r="D74" s="9">
        <v>42644</v>
      </c>
      <c r="E74" s="8" t="s">
        <v>176</v>
      </c>
      <c r="F74" s="8" t="s">
        <v>299</v>
      </c>
    </row>
    <row r="75" spans="2:6" x14ac:dyDescent="0.2">
      <c r="B75" s="8" t="s">
        <v>162</v>
      </c>
      <c r="C75" s="8" t="s">
        <v>300</v>
      </c>
      <c r="D75" s="9">
        <v>42644</v>
      </c>
      <c r="E75" s="8" t="s">
        <v>176</v>
      </c>
      <c r="F75" s="8" t="s">
        <v>301</v>
      </c>
    </row>
    <row r="76" spans="2:6" x14ac:dyDescent="0.2">
      <c r="B76" s="8" t="s">
        <v>162</v>
      </c>
      <c r="C76" s="8" t="s">
        <v>302</v>
      </c>
      <c r="D76" s="9">
        <v>42644</v>
      </c>
      <c r="E76" s="8" t="s">
        <v>176</v>
      </c>
      <c r="F76" s="8" t="s">
        <v>303</v>
      </c>
    </row>
    <row r="77" spans="2:6" x14ac:dyDescent="0.2">
      <c r="B77" s="8" t="s">
        <v>162</v>
      </c>
      <c r="C77" s="8" t="s">
        <v>304</v>
      </c>
      <c r="D77" s="9">
        <v>42644</v>
      </c>
      <c r="E77" s="8" t="s">
        <v>176</v>
      </c>
      <c r="F77" s="8" t="s">
        <v>305</v>
      </c>
    </row>
    <row r="78" spans="2:6" x14ac:dyDescent="0.2">
      <c r="B78" s="8" t="s">
        <v>162</v>
      </c>
      <c r="C78" s="8" t="s">
        <v>306</v>
      </c>
      <c r="D78" s="9">
        <v>42644</v>
      </c>
      <c r="E78" s="8" t="s">
        <v>176</v>
      </c>
      <c r="F78" s="8" t="s">
        <v>307</v>
      </c>
    </row>
    <row r="79" spans="2:6" x14ac:dyDescent="0.2">
      <c r="B79" s="8" t="s">
        <v>162</v>
      </c>
      <c r="C79" s="8" t="s">
        <v>308</v>
      </c>
      <c r="D79" s="9">
        <v>42644</v>
      </c>
      <c r="E79" s="8" t="s">
        <v>176</v>
      </c>
      <c r="F79" s="8" t="s">
        <v>309</v>
      </c>
    </row>
    <row r="80" spans="2:6" x14ac:dyDescent="0.2">
      <c r="B80" s="8" t="s">
        <v>162</v>
      </c>
      <c r="C80" s="8" t="s">
        <v>225</v>
      </c>
      <c r="D80" s="9">
        <v>42644</v>
      </c>
      <c r="E80" s="8" t="s">
        <v>242</v>
      </c>
      <c r="F80" s="8" t="s">
        <v>226</v>
      </c>
    </row>
    <row r="81" spans="2:6" x14ac:dyDescent="0.2">
      <c r="B81" s="8" t="s">
        <v>162</v>
      </c>
      <c r="C81" s="8" t="s">
        <v>310</v>
      </c>
      <c r="D81" s="9">
        <v>42644</v>
      </c>
      <c r="E81" s="8" t="s">
        <v>176</v>
      </c>
      <c r="F81" s="8" t="s">
        <v>311</v>
      </c>
    </row>
    <row r="82" spans="2:6" x14ac:dyDescent="0.2">
      <c r="B82" s="8" t="s">
        <v>162</v>
      </c>
      <c r="C82" s="8" t="s">
        <v>312</v>
      </c>
      <c r="D82" s="9">
        <v>42644</v>
      </c>
      <c r="E82" s="8" t="s">
        <v>176</v>
      </c>
      <c r="F82" s="8" t="s">
        <v>313</v>
      </c>
    </row>
    <row r="83" spans="2:6" x14ac:dyDescent="0.2">
      <c r="B83" s="8" t="s">
        <v>162</v>
      </c>
      <c r="C83" s="8" t="s">
        <v>314</v>
      </c>
      <c r="D83" s="9">
        <v>42644</v>
      </c>
      <c r="E83" s="8" t="s">
        <v>176</v>
      </c>
      <c r="F83" s="8" t="s">
        <v>315</v>
      </c>
    </row>
    <row r="84" spans="2:6" x14ac:dyDescent="0.2">
      <c r="B84" s="8" t="s">
        <v>162</v>
      </c>
      <c r="C84" s="8" t="s">
        <v>316</v>
      </c>
      <c r="D84" s="9">
        <v>42644</v>
      </c>
      <c r="E84" s="8" t="s">
        <v>176</v>
      </c>
      <c r="F84" s="8" t="s">
        <v>317</v>
      </c>
    </row>
    <row r="85" spans="2:6" x14ac:dyDescent="0.2">
      <c r="B85" s="8" t="s">
        <v>162</v>
      </c>
      <c r="C85" s="8" t="s">
        <v>318</v>
      </c>
      <c r="D85" s="9">
        <v>42644</v>
      </c>
      <c r="E85" s="8" t="s">
        <v>176</v>
      </c>
      <c r="F85" s="8" t="s">
        <v>319</v>
      </c>
    </row>
    <row r="86" spans="2:6" x14ac:dyDescent="0.2">
      <c r="B86" s="8" t="s">
        <v>162</v>
      </c>
      <c r="C86" s="8" t="s">
        <v>320</v>
      </c>
      <c r="D86" s="9">
        <v>42644</v>
      </c>
      <c r="E86" s="8" t="s">
        <v>176</v>
      </c>
      <c r="F86" s="8" t="s">
        <v>321</v>
      </c>
    </row>
    <row r="87" spans="2:6" x14ac:dyDescent="0.2">
      <c r="B87" s="8" t="s">
        <v>162</v>
      </c>
      <c r="C87" s="8" t="s">
        <v>322</v>
      </c>
      <c r="D87" s="9">
        <v>42644</v>
      </c>
      <c r="E87" s="8" t="s">
        <v>176</v>
      </c>
      <c r="F87" s="8" t="s">
        <v>323</v>
      </c>
    </row>
    <row r="88" spans="2:6" x14ac:dyDescent="0.2">
      <c r="B88" s="8" t="s">
        <v>162</v>
      </c>
      <c r="C88" s="8" t="s">
        <v>324</v>
      </c>
      <c r="D88" s="9">
        <v>42644</v>
      </c>
      <c r="E88" s="8" t="s">
        <v>176</v>
      </c>
      <c r="F88" s="8" t="s">
        <v>325</v>
      </c>
    </row>
  </sheetData>
  <autoFilter ref="B8:F8" xr:uid="{00000000-0009-0000-0000-000003000000}"/>
  <hyperlinks>
    <hyperlink ref="B1" r:id="rId1" xr:uid="{00000000-0004-0000-0300-000000000000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131"/>
  <sheetViews>
    <sheetView tabSelected="1" zoomScale="150" zoomScaleNormal="150" workbookViewId="0">
      <selection activeCell="E5" sqref="E5"/>
    </sheetView>
  </sheetViews>
  <sheetFormatPr baseColWidth="10" defaultRowHeight="15" x14ac:dyDescent="0.2"/>
  <cols>
    <col min="1" max="1" width="27" bestFit="1" customWidth="1"/>
    <col min="4" max="4" width="30" bestFit="1" customWidth="1"/>
  </cols>
  <sheetData>
    <row r="1" spans="1:4" x14ac:dyDescent="0.2">
      <c r="A1" s="53" t="s">
        <v>160</v>
      </c>
      <c r="B1" s="53" t="s">
        <v>28</v>
      </c>
      <c r="C1" s="53" t="s">
        <v>326</v>
      </c>
      <c r="D1" s="53" t="s">
        <v>327</v>
      </c>
    </row>
    <row r="2" spans="1:4" x14ac:dyDescent="0.2">
      <c r="A2" s="54" t="s">
        <v>328</v>
      </c>
      <c r="B2" t="s">
        <v>329</v>
      </c>
      <c r="C2" t="s">
        <v>330</v>
      </c>
      <c r="D2" t="s">
        <v>331</v>
      </c>
    </row>
    <row r="3" spans="1:4" x14ac:dyDescent="0.2">
      <c r="A3" s="54" t="s">
        <v>328</v>
      </c>
      <c r="B3" t="s">
        <v>332</v>
      </c>
      <c r="C3" t="s">
        <v>333</v>
      </c>
      <c r="D3" t="s">
        <v>334</v>
      </c>
    </row>
    <row r="4" spans="1:4" x14ac:dyDescent="0.2">
      <c r="A4" s="54" t="s">
        <v>328</v>
      </c>
      <c r="B4" t="s">
        <v>335</v>
      </c>
      <c r="C4" t="s">
        <v>336</v>
      </c>
      <c r="D4" t="s">
        <v>337</v>
      </c>
    </row>
    <row r="5" spans="1:4" x14ac:dyDescent="0.2">
      <c r="A5" s="54" t="s">
        <v>328</v>
      </c>
      <c r="B5" t="s">
        <v>338</v>
      </c>
      <c r="C5" t="s">
        <v>339</v>
      </c>
      <c r="D5" t="s">
        <v>340</v>
      </c>
    </row>
    <row r="6" spans="1:4" x14ac:dyDescent="0.2">
      <c r="A6" s="54" t="s">
        <v>341</v>
      </c>
      <c r="B6" t="s">
        <v>342</v>
      </c>
      <c r="C6" t="s">
        <v>343</v>
      </c>
      <c r="D6" t="s">
        <v>344</v>
      </c>
    </row>
    <row r="7" spans="1:4" x14ac:dyDescent="0.2">
      <c r="A7" s="54" t="s">
        <v>341</v>
      </c>
      <c r="B7" t="s">
        <v>338</v>
      </c>
      <c r="C7" t="s">
        <v>345</v>
      </c>
      <c r="D7" t="s">
        <v>346</v>
      </c>
    </row>
    <row r="8" spans="1:4" x14ac:dyDescent="0.2">
      <c r="A8" s="54" t="s">
        <v>341</v>
      </c>
      <c r="B8" t="s">
        <v>347</v>
      </c>
      <c r="C8" t="s">
        <v>348</v>
      </c>
      <c r="D8" t="s">
        <v>349</v>
      </c>
    </row>
    <row r="9" spans="1:4" x14ac:dyDescent="0.2">
      <c r="A9" s="54" t="s">
        <v>341</v>
      </c>
      <c r="B9" t="s">
        <v>347</v>
      </c>
      <c r="C9" t="s">
        <v>350</v>
      </c>
      <c r="D9" t="s">
        <v>351</v>
      </c>
    </row>
    <row r="10" spans="1:4" x14ac:dyDescent="0.2">
      <c r="A10" s="54" t="s">
        <v>341</v>
      </c>
      <c r="B10" t="s">
        <v>352</v>
      </c>
      <c r="C10" t="s">
        <v>353</v>
      </c>
      <c r="D10" t="s">
        <v>354</v>
      </c>
    </row>
    <row r="11" spans="1:4" x14ac:dyDescent="0.2">
      <c r="A11" s="54" t="s">
        <v>341</v>
      </c>
      <c r="B11" t="s">
        <v>355</v>
      </c>
      <c r="C11" t="s">
        <v>356</v>
      </c>
      <c r="D11" t="s">
        <v>357</v>
      </c>
    </row>
    <row r="12" spans="1:4" x14ac:dyDescent="0.2">
      <c r="A12" s="54" t="s">
        <v>341</v>
      </c>
      <c r="B12" t="s">
        <v>338</v>
      </c>
      <c r="C12" t="s">
        <v>358</v>
      </c>
      <c r="D12" t="s">
        <v>359</v>
      </c>
    </row>
    <row r="13" spans="1:4" x14ac:dyDescent="0.2">
      <c r="A13" s="54" t="s">
        <v>341</v>
      </c>
      <c r="B13" t="s">
        <v>360</v>
      </c>
      <c r="C13" t="s">
        <v>361</v>
      </c>
      <c r="D13" t="s">
        <v>362</v>
      </c>
    </row>
    <row r="14" spans="1:4" x14ac:dyDescent="0.2">
      <c r="A14" s="54" t="s">
        <v>363</v>
      </c>
      <c r="B14" t="s">
        <v>338</v>
      </c>
      <c r="C14" t="s">
        <v>364</v>
      </c>
      <c r="D14" t="s">
        <v>365</v>
      </c>
    </row>
    <row r="15" spans="1:4" x14ac:dyDescent="0.2">
      <c r="A15" s="54" t="s">
        <v>363</v>
      </c>
      <c r="B15" t="s">
        <v>366</v>
      </c>
      <c r="C15" t="s">
        <v>367</v>
      </c>
      <c r="D15" t="s">
        <v>368</v>
      </c>
    </row>
    <row r="16" spans="1:4" x14ac:dyDescent="0.2">
      <c r="A16" s="54" t="s">
        <v>363</v>
      </c>
      <c r="B16" t="s">
        <v>338</v>
      </c>
      <c r="C16" t="s">
        <v>369</v>
      </c>
      <c r="D16" t="s">
        <v>370</v>
      </c>
    </row>
    <row r="17" spans="1:4" x14ac:dyDescent="0.2">
      <c r="A17" s="54" t="s">
        <v>363</v>
      </c>
      <c r="B17" t="s">
        <v>335</v>
      </c>
      <c r="C17" t="s">
        <v>371</v>
      </c>
      <c r="D17" t="s">
        <v>372</v>
      </c>
    </row>
    <row r="18" spans="1:4" x14ac:dyDescent="0.2">
      <c r="A18" s="54" t="s">
        <v>363</v>
      </c>
      <c r="B18" t="s">
        <v>342</v>
      </c>
      <c r="C18" t="s">
        <v>373</v>
      </c>
      <c r="D18" t="s">
        <v>374</v>
      </c>
    </row>
    <row r="19" spans="1:4" x14ac:dyDescent="0.2">
      <c r="A19" s="54" t="s">
        <v>363</v>
      </c>
      <c r="B19" t="s">
        <v>338</v>
      </c>
      <c r="C19" t="s">
        <v>375</v>
      </c>
      <c r="D19" t="s">
        <v>376</v>
      </c>
    </row>
    <row r="20" spans="1:4" x14ac:dyDescent="0.2">
      <c r="A20" s="54" t="s">
        <v>363</v>
      </c>
      <c r="B20" t="s">
        <v>342</v>
      </c>
      <c r="C20" t="s">
        <v>377</v>
      </c>
      <c r="D20" t="s">
        <v>378</v>
      </c>
    </row>
    <row r="21" spans="1:4" x14ac:dyDescent="0.2">
      <c r="A21" s="54" t="s">
        <v>363</v>
      </c>
      <c r="B21" t="s">
        <v>379</v>
      </c>
      <c r="C21" t="s">
        <v>380</v>
      </c>
      <c r="D21" t="s">
        <v>381</v>
      </c>
    </row>
    <row r="22" spans="1:4" x14ac:dyDescent="0.2">
      <c r="A22" s="54" t="s">
        <v>363</v>
      </c>
      <c r="B22" t="s">
        <v>379</v>
      </c>
      <c r="C22" t="s">
        <v>382</v>
      </c>
      <c r="D22" t="s">
        <v>383</v>
      </c>
    </row>
    <row r="23" spans="1:4" x14ac:dyDescent="0.2">
      <c r="A23" s="54" t="s">
        <v>363</v>
      </c>
      <c r="B23" t="s">
        <v>338</v>
      </c>
      <c r="C23" t="s">
        <v>384</v>
      </c>
      <c r="D23" t="s">
        <v>385</v>
      </c>
    </row>
    <row r="24" spans="1:4" x14ac:dyDescent="0.2">
      <c r="A24" s="54" t="s">
        <v>363</v>
      </c>
      <c r="B24" t="s">
        <v>342</v>
      </c>
      <c r="C24" t="s">
        <v>386</v>
      </c>
      <c r="D24" t="s">
        <v>387</v>
      </c>
    </row>
    <row r="25" spans="1:4" x14ac:dyDescent="0.2">
      <c r="A25" s="54" t="s">
        <v>363</v>
      </c>
      <c r="B25" t="s">
        <v>338</v>
      </c>
      <c r="C25" t="s">
        <v>388</v>
      </c>
      <c r="D25" t="s">
        <v>389</v>
      </c>
    </row>
    <row r="26" spans="1:4" x14ac:dyDescent="0.2">
      <c r="A26" s="54" t="s">
        <v>363</v>
      </c>
      <c r="B26" t="s">
        <v>379</v>
      </c>
      <c r="C26" t="s">
        <v>390</v>
      </c>
      <c r="D26" t="s">
        <v>391</v>
      </c>
    </row>
    <row r="27" spans="1:4" x14ac:dyDescent="0.2">
      <c r="A27" s="54" t="s">
        <v>363</v>
      </c>
      <c r="B27" t="s">
        <v>392</v>
      </c>
      <c r="C27" t="s">
        <v>393</v>
      </c>
      <c r="D27" t="s">
        <v>394</v>
      </c>
    </row>
    <row r="28" spans="1:4" x14ac:dyDescent="0.2">
      <c r="A28" s="54" t="s">
        <v>395</v>
      </c>
      <c r="B28" t="s">
        <v>396</v>
      </c>
      <c r="C28" t="s">
        <v>397</v>
      </c>
      <c r="D28" t="s">
        <v>398</v>
      </c>
    </row>
    <row r="29" spans="1:4" x14ac:dyDescent="0.2">
      <c r="A29" s="54" t="s">
        <v>395</v>
      </c>
      <c r="B29" t="s">
        <v>338</v>
      </c>
      <c r="C29" t="s">
        <v>399</v>
      </c>
      <c r="D29" t="s">
        <v>400</v>
      </c>
    </row>
    <row r="30" spans="1:4" x14ac:dyDescent="0.2">
      <c r="A30" s="54" t="s">
        <v>395</v>
      </c>
      <c r="B30" t="s">
        <v>355</v>
      </c>
      <c r="C30" t="s">
        <v>401</v>
      </c>
      <c r="D30" t="s">
        <v>402</v>
      </c>
    </row>
    <row r="31" spans="1:4" x14ac:dyDescent="0.2">
      <c r="A31" s="54" t="s">
        <v>395</v>
      </c>
      <c r="B31" t="s">
        <v>342</v>
      </c>
      <c r="C31" t="s">
        <v>403</v>
      </c>
      <c r="D31" t="s">
        <v>404</v>
      </c>
    </row>
    <row r="32" spans="1:4" x14ac:dyDescent="0.2">
      <c r="A32" s="54" t="s">
        <v>395</v>
      </c>
      <c r="B32" t="s">
        <v>379</v>
      </c>
      <c r="C32" t="s">
        <v>405</v>
      </c>
      <c r="D32" t="s">
        <v>406</v>
      </c>
    </row>
    <row r="33" spans="1:4" x14ac:dyDescent="0.2">
      <c r="A33" s="54" t="s">
        <v>395</v>
      </c>
      <c r="B33" t="s">
        <v>407</v>
      </c>
      <c r="C33" t="s">
        <v>408</v>
      </c>
      <c r="D33" t="s">
        <v>409</v>
      </c>
    </row>
    <row r="34" spans="1:4" x14ac:dyDescent="0.2">
      <c r="A34" s="54" t="s">
        <v>395</v>
      </c>
      <c r="B34" t="s">
        <v>338</v>
      </c>
      <c r="C34" t="s">
        <v>410</v>
      </c>
      <c r="D34" t="s">
        <v>411</v>
      </c>
    </row>
    <row r="35" spans="1:4" x14ac:dyDescent="0.2">
      <c r="A35" s="54" t="s">
        <v>395</v>
      </c>
      <c r="B35" t="s">
        <v>338</v>
      </c>
      <c r="C35" t="s">
        <v>412</v>
      </c>
      <c r="D35" t="s">
        <v>413</v>
      </c>
    </row>
    <row r="36" spans="1:4" x14ac:dyDescent="0.2">
      <c r="A36" s="54" t="s">
        <v>395</v>
      </c>
      <c r="B36" t="s">
        <v>338</v>
      </c>
      <c r="C36" t="s">
        <v>414</v>
      </c>
      <c r="D36" t="s">
        <v>415</v>
      </c>
    </row>
    <row r="37" spans="1:4" x14ac:dyDescent="0.2">
      <c r="A37" s="54" t="s">
        <v>395</v>
      </c>
      <c r="B37" t="s">
        <v>347</v>
      </c>
      <c r="C37" t="s">
        <v>416</v>
      </c>
      <c r="D37" t="s">
        <v>417</v>
      </c>
    </row>
    <row r="38" spans="1:4" x14ac:dyDescent="0.2">
      <c r="A38" s="54" t="s">
        <v>395</v>
      </c>
      <c r="B38" t="s">
        <v>418</v>
      </c>
      <c r="C38" t="s">
        <v>419</v>
      </c>
      <c r="D38" t="s">
        <v>420</v>
      </c>
    </row>
    <row r="39" spans="1:4" x14ac:dyDescent="0.2">
      <c r="A39" s="54" t="s">
        <v>395</v>
      </c>
      <c r="B39" t="s">
        <v>329</v>
      </c>
      <c r="C39" t="s">
        <v>421</v>
      </c>
      <c r="D39" t="s">
        <v>422</v>
      </c>
    </row>
    <row r="40" spans="1:4" x14ac:dyDescent="0.2">
      <c r="A40" s="54" t="s">
        <v>395</v>
      </c>
      <c r="B40" t="s">
        <v>407</v>
      </c>
      <c r="C40" t="s">
        <v>423</v>
      </c>
      <c r="D40" t="s">
        <v>424</v>
      </c>
    </row>
    <row r="41" spans="1:4" x14ac:dyDescent="0.2">
      <c r="A41" s="54" t="s">
        <v>395</v>
      </c>
      <c r="B41" t="s">
        <v>347</v>
      </c>
      <c r="C41" t="s">
        <v>425</v>
      </c>
      <c r="D41" t="s">
        <v>426</v>
      </c>
    </row>
    <row r="42" spans="1:4" x14ac:dyDescent="0.2">
      <c r="A42" s="54" t="s">
        <v>395</v>
      </c>
      <c r="B42" t="s">
        <v>427</v>
      </c>
      <c r="C42" t="s">
        <v>428</v>
      </c>
      <c r="D42" t="s">
        <v>429</v>
      </c>
    </row>
    <row r="43" spans="1:4" x14ac:dyDescent="0.2">
      <c r="A43" s="54" t="s">
        <v>395</v>
      </c>
      <c r="B43" t="s">
        <v>392</v>
      </c>
      <c r="C43" t="s">
        <v>430</v>
      </c>
      <c r="D43" t="s">
        <v>431</v>
      </c>
    </row>
    <row r="44" spans="1:4" x14ac:dyDescent="0.2">
      <c r="A44" s="54" t="s">
        <v>395</v>
      </c>
      <c r="B44" t="s">
        <v>432</v>
      </c>
      <c r="C44" t="s">
        <v>433</v>
      </c>
      <c r="D44" t="s">
        <v>434</v>
      </c>
    </row>
    <row r="45" spans="1:4" x14ac:dyDescent="0.2">
      <c r="A45" s="54" t="s">
        <v>395</v>
      </c>
      <c r="B45" t="s">
        <v>432</v>
      </c>
      <c r="C45" t="s">
        <v>435</v>
      </c>
      <c r="D45" t="s">
        <v>436</v>
      </c>
    </row>
    <row r="46" spans="1:4" x14ac:dyDescent="0.2">
      <c r="A46" s="54" t="s">
        <v>395</v>
      </c>
      <c r="B46" t="s">
        <v>437</v>
      </c>
      <c r="C46" t="s">
        <v>438</v>
      </c>
      <c r="D46" t="s">
        <v>439</v>
      </c>
    </row>
    <row r="47" spans="1:4" x14ac:dyDescent="0.2">
      <c r="A47" s="54" t="s">
        <v>395</v>
      </c>
      <c r="B47" t="s">
        <v>437</v>
      </c>
      <c r="C47" t="s">
        <v>440</v>
      </c>
      <c r="D47" t="s">
        <v>441</v>
      </c>
    </row>
    <row r="48" spans="1:4" x14ac:dyDescent="0.2">
      <c r="A48" s="54" t="s">
        <v>395</v>
      </c>
      <c r="B48" t="s">
        <v>392</v>
      </c>
      <c r="C48" t="s">
        <v>442</v>
      </c>
      <c r="D48" t="s">
        <v>443</v>
      </c>
    </row>
    <row r="49" spans="1:4" x14ac:dyDescent="0.2">
      <c r="A49" s="54" t="s">
        <v>395</v>
      </c>
      <c r="B49" t="s">
        <v>396</v>
      </c>
      <c r="C49" t="s">
        <v>397</v>
      </c>
      <c r="D49" t="s">
        <v>398</v>
      </c>
    </row>
    <row r="50" spans="1:4" x14ac:dyDescent="0.2">
      <c r="A50" s="54" t="s">
        <v>395</v>
      </c>
      <c r="B50" t="s">
        <v>338</v>
      </c>
      <c r="C50" t="s">
        <v>399</v>
      </c>
      <c r="D50" t="s">
        <v>400</v>
      </c>
    </row>
    <row r="51" spans="1:4" x14ac:dyDescent="0.2">
      <c r="A51" s="54" t="s">
        <v>395</v>
      </c>
      <c r="B51" t="s">
        <v>355</v>
      </c>
      <c r="C51" t="s">
        <v>401</v>
      </c>
      <c r="D51" t="s">
        <v>402</v>
      </c>
    </row>
    <row r="52" spans="1:4" x14ac:dyDescent="0.2">
      <c r="A52" s="54" t="s">
        <v>395</v>
      </c>
      <c r="B52" t="s">
        <v>342</v>
      </c>
      <c r="C52" t="s">
        <v>403</v>
      </c>
      <c r="D52" t="s">
        <v>404</v>
      </c>
    </row>
    <row r="53" spans="1:4" x14ac:dyDescent="0.2">
      <c r="A53" s="54" t="s">
        <v>395</v>
      </c>
      <c r="B53" t="s">
        <v>379</v>
      </c>
      <c r="C53" t="s">
        <v>405</v>
      </c>
      <c r="D53" t="s">
        <v>406</v>
      </c>
    </row>
    <row r="54" spans="1:4" x14ac:dyDescent="0.2">
      <c r="A54" s="54" t="s">
        <v>395</v>
      </c>
      <c r="B54" t="s">
        <v>407</v>
      </c>
      <c r="C54" t="s">
        <v>408</v>
      </c>
      <c r="D54" t="s">
        <v>409</v>
      </c>
    </row>
    <row r="55" spans="1:4" x14ac:dyDescent="0.2">
      <c r="A55" s="54" t="s">
        <v>395</v>
      </c>
      <c r="B55" t="s">
        <v>338</v>
      </c>
      <c r="C55" t="s">
        <v>410</v>
      </c>
      <c r="D55" t="s">
        <v>411</v>
      </c>
    </row>
    <row r="56" spans="1:4" x14ac:dyDescent="0.2">
      <c r="A56" s="54" t="s">
        <v>395</v>
      </c>
      <c r="B56" t="s">
        <v>338</v>
      </c>
      <c r="C56" t="s">
        <v>412</v>
      </c>
      <c r="D56" t="s">
        <v>413</v>
      </c>
    </row>
    <row r="57" spans="1:4" x14ac:dyDescent="0.2">
      <c r="A57" s="54" t="s">
        <v>395</v>
      </c>
      <c r="B57" t="s">
        <v>338</v>
      </c>
      <c r="C57" t="s">
        <v>414</v>
      </c>
      <c r="D57" t="s">
        <v>415</v>
      </c>
    </row>
    <row r="58" spans="1:4" x14ac:dyDescent="0.2">
      <c r="A58" s="54" t="s">
        <v>395</v>
      </c>
      <c r="B58" t="s">
        <v>347</v>
      </c>
      <c r="C58" t="s">
        <v>416</v>
      </c>
      <c r="D58" t="s">
        <v>417</v>
      </c>
    </row>
    <row r="59" spans="1:4" x14ac:dyDescent="0.2">
      <c r="A59" s="54" t="s">
        <v>395</v>
      </c>
      <c r="B59" t="s">
        <v>418</v>
      </c>
      <c r="C59" t="s">
        <v>419</v>
      </c>
      <c r="D59" t="s">
        <v>420</v>
      </c>
    </row>
    <row r="60" spans="1:4" x14ac:dyDescent="0.2">
      <c r="A60" s="54" t="s">
        <v>395</v>
      </c>
      <c r="B60" t="s">
        <v>329</v>
      </c>
      <c r="C60" t="s">
        <v>421</v>
      </c>
      <c r="D60" t="s">
        <v>422</v>
      </c>
    </row>
    <row r="61" spans="1:4" x14ac:dyDescent="0.2">
      <c r="A61" s="54" t="s">
        <v>395</v>
      </c>
      <c r="B61" t="s">
        <v>407</v>
      </c>
      <c r="C61" t="s">
        <v>423</v>
      </c>
      <c r="D61" t="s">
        <v>424</v>
      </c>
    </row>
    <row r="62" spans="1:4" x14ac:dyDescent="0.2">
      <c r="A62" s="54" t="s">
        <v>395</v>
      </c>
      <c r="B62" t="s">
        <v>347</v>
      </c>
      <c r="C62" t="s">
        <v>425</v>
      </c>
      <c r="D62" t="s">
        <v>426</v>
      </c>
    </row>
    <row r="63" spans="1:4" x14ac:dyDescent="0.2">
      <c r="A63" s="54" t="s">
        <v>395</v>
      </c>
      <c r="B63" t="s">
        <v>427</v>
      </c>
      <c r="C63" t="s">
        <v>428</v>
      </c>
      <c r="D63" t="s">
        <v>429</v>
      </c>
    </row>
    <row r="64" spans="1:4" x14ac:dyDescent="0.2">
      <c r="A64" s="54" t="s">
        <v>395</v>
      </c>
      <c r="B64" t="s">
        <v>392</v>
      </c>
      <c r="C64" t="s">
        <v>430</v>
      </c>
      <c r="D64" t="s">
        <v>431</v>
      </c>
    </row>
    <row r="65" spans="1:4" x14ac:dyDescent="0.2">
      <c r="A65" s="54" t="s">
        <v>395</v>
      </c>
      <c r="B65" t="s">
        <v>432</v>
      </c>
      <c r="C65" t="s">
        <v>433</v>
      </c>
      <c r="D65" t="s">
        <v>434</v>
      </c>
    </row>
    <row r="66" spans="1:4" x14ac:dyDescent="0.2">
      <c r="A66" s="54" t="s">
        <v>395</v>
      </c>
      <c r="B66" t="s">
        <v>432</v>
      </c>
      <c r="C66" t="s">
        <v>435</v>
      </c>
      <c r="D66" t="s">
        <v>436</v>
      </c>
    </row>
    <row r="67" spans="1:4" x14ac:dyDescent="0.2">
      <c r="A67" s="54" t="s">
        <v>395</v>
      </c>
      <c r="B67" t="s">
        <v>437</v>
      </c>
      <c r="C67" t="s">
        <v>438</v>
      </c>
      <c r="D67" t="s">
        <v>439</v>
      </c>
    </row>
    <row r="68" spans="1:4" x14ac:dyDescent="0.2">
      <c r="A68" s="54" t="s">
        <v>395</v>
      </c>
      <c r="B68" t="s">
        <v>437</v>
      </c>
      <c r="C68" t="s">
        <v>440</v>
      </c>
      <c r="D68" t="s">
        <v>441</v>
      </c>
    </row>
    <row r="69" spans="1:4" x14ac:dyDescent="0.2">
      <c r="A69" s="54" t="s">
        <v>395</v>
      </c>
      <c r="B69" t="s">
        <v>392</v>
      </c>
      <c r="C69" t="s">
        <v>442</v>
      </c>
      <c r="D69" t="s">
        <v>443</v>
      </c>
    </row>
    <row r="70" spans="1:4" x14ac:dyDescent="0.2">
      <c r="A70" s="54" t="s">
        <v>395</v>
      </c>
      <c r="B70" t="s">
        <v>396</v>
      </c>
      <c r="C70" t="s">
        <v>397</v>
      </c>
      <c r="D70" t="s">
        <v>398</v>
      </c>
    </row>
    <row r="71" spans="1:4" x14ac:dyDescent="0.2">
      <c r="A71" s="54" t="s">
        <v>395</v>
      </c>
      <c r="B71" t="s">
        <v>338</v>
      </c>
      <c r="C71" t="s">
        <v>399</v>
      </c>
      <c r="D71" t="s">
        <v>400</v>
      </c>
    </row>
    <row r="72" spans="1:4" x14ac:dyDescent="0.2">
      <c r="A72" s="54" t="s">
        <v>395</v>
      </c>
      <c r="B72" t="s">
        <v>355</v>
      </c>
      <c r="C72" t="s">
        <v>401</v>
      </c>
      <c r="D72" t="s">
        <v>402</v>
      </c>
    </row>
    <row r="73" spans="1:4" x14ac:dyDescent="0.2">
      <c r="A73" s="54" t="s">
        <v>395</v>
      </c>
      <c r="B73" t="s">
        <v>342</v>
      </c>
      <c r="C73" t="s">
        <v>403</v>
      </c>
      <c r="D73" t="s">
        <v>404</v>
      </c>
    </row>
    <row r="74" spans="1:4" x14ac:dyDescent="0.2">
      <c r="A74" s="54" t="s">
        <v>395</v>
      </c>
      <c r="B74" t="s">
        <v>379</v>
      </c>
      <c r="C74" t="s">
        <v>405</v>
      </c>
      <c r="D74" t="s">
        <v>406</v>
      </c>
    </row>
    <row r="75" spans="1:4" x14ac:dyDescent="0.2">
      <c r="A75" s="54" t="s">
        <v>395</v>
      </c>
      <c r="B75" t="s">
        <v>407</v>
      </c>
      <c r="C75" t="s">
        <v>408</v>
      </c>
      <c r="D75" t="s">
        <v>409</v>
      </c>
    </row>
    <row r="76" spans="1:4" x14ac:dyDescent="0.2">
      <c r="A76" s="54" t="s">
        <v>395</v>
      </c>
      <c r="B76" t="s">
        <v>338</v>
      </c>
      <c r="C76" t="s">
        <v>410</v>
      </c>
      <c r="D76" t="s">
        <v>411</v>
      </c>
    </row>
    <row r="77" spans="1:4" x14ac:dyDescent="0.2">
      <c r="A77" s="54" t="s">
        <v>395</v>
      </c>
      <c r="B77" t="s">
        <v>338</v>
      </c>
      <c r="C77" t="s">
        <v>412</v>
      </c>
      <c r="D77" t="s">
        <v>413</v>
      </c>
    </row>
    <row r="78" spans="1:4" x14ac:dyDescent="0.2">
      <c r="A78" s="54" t="s">
        <v>395</v>
      </c>
      <c r="B78" t="s">
        <v>338</v>
      </c>
      <c r="C78" t="s">
        <v>414</v>
      </c>
      <c r="D78" t="s">
        <v>415</v>
      </c>
    </row>
    <row r="79" spans="1:4" x14ac:dyDescent="0.2">
      <c r="A79" s="54" t="s">
        <v>395</v>
      </c>
      <c r="B79" t="s">
        <v>347</v>
      </c>
      <c r="C79" t="s">
        <v>416</v>
      </c>
      <c r="D79" t="s">
        <v>417</v>
      </c>
    </row>
    <row r="80" spans="1:4" x14ac:dyDescent="0.2">
      <c r="A80" s="54" t="s">
        <v>395</v>
      </c>
      <c r="B80" t="s">
        <v>418</v>
      </c>
      <c r="C80" t="s">
        <v>419</v>
      </c>
      <c r="D80" t="s">
        <v>420</v>
      </c>
    </row>
    <row r="81" spans="1:4" x14ac:dyDescent="0.2">
      <c r="A81" s="54" t="s">
        <v>395</v>
      </c>
      <c r="B81" t="s">
        <v>329</v>
      </c>
      <c r="C81" t="s">
        <v>421</v>
      </c>
      <c r="D81" t="s">
        <v>422</v>
      </c>
    </row>
    <row r="82" spans="1:4" x14ac:dyDescent="0.2">
      <c r="A82" s="54" t="s">
        <v>395</v>
      </c>
      <c r="B82" t="s">
        <v>407</v>
      </c>
      <c r="C82" t="s">
        <v>423</v>
      </c>
      <c r="D82" t="s">
        <v>424</v>
      </c>
    </row>
    <row r="83" spans="1:4" x14ac:dyDescent="0.2">
      <c r="A83" s="54" t="s">
        <v>395</v>
      </c>
      <c r="B83" t="s">
        <v>347</v>
      </c>
      <c r="C83" t="s">
        <v>425</v>
      </c>
      <c r="D83" t="s">
        <v>426</v>
      </c>
    </row>
    <row r="84" spans="1:4" x14ac:dyDescent="0.2">
      <c r="A84" s="54" t="s">
        <v>395</v>
      </c>
      <c r="B84" t="s">
        <v>427</v>
      </c>
      <c r="C84" t="s">
        <v>428</v>
      </c>
      <c r="D84" t="s">
        <v>429</v>
      </c>
    </row>
    <row r="85" spans="1:4" x14ac:dyDescent="0.2">
      <c r="A85" s="54" t="s">
        <v>395</v>
      </c>
      <c r="B85" t="s">
        <v>392</v>
      </c>
      <c r="C85" t="s">
        <v>430</v>
      </c>
      <c r="D85" t="s">
        <v>431</v>
      </c>
    </row>
    <row r="86" spans="1:4" x14ac:dyDescent="0.2">
      <c r="A86" s="54" t="s">
        <v>395</v>
      </c>
      <c r="B86" t="s">
        <v>432</v>
      </c>
      <c r="C86" t="s">
        <v>433</v>
      </c>
      <c r="D86" t="s">
        <v>434</v>
      </c>
    </row>
    <row r="87" spans="1:4" x14ac:dyDescent="0.2">
      <c r="A87" s="54" t="s">
        <v>395</v>
      </c>
      <c r="B87" t="s">
        <v>432</v>
      </c>
      <c r="C87" t="s">
        <v>435</v>
      </c>
      <c r="D87" t="s">
        <v>436</v>
      </c>
    </row>
    <row r="88" spans="1:4" x14ac:dyDescent="0.2">
      <c r="A88" s="54" t="s">
        <v>395</v>
      </c>
      <c r="B88" t="s">
        <v>437</v>
      </c>
      <c r="C88" t="s">
        <v>438</v>
      </c>
      <c r="D88" t="s">
        <v>439</v>
      </c>
    </row>
    <row r="89" spans="1:4" x14ac:dyDescent="0.2">
      <c r="A89" s="54" t="s">
        <v>395</v>
      </c>
      <c r="B89" t="s">
        <v>437</v>
      </c>
      <c r="C89" t="s">
        <v>440</v>
      </c>
      <c r="D89" t="s">
        <v>441</v>
      </c>
    </row>
    <row r="90" spans="1:4" x14ac:dyDescent="0.2">
      <c r="A90" s="54" t="s">
        <v>395</v>
      </c>
      <c r="B90" t="s">
        <v>392</v>
      </c>
      <c r="C90" t="s">
        <v>442</v>
      </c>
      <c r="D90" t="s">
        <v>443</v>
      </c>
    </row>
    <row r="91" spans="1:4" x14ac:dyDescent="0.2">
      <c r="A91" s="54" t="s">
        <v>444</v>
      </c>
      <c r="B91" t="s">
        <v>445</v>
      </c>
      <c r="C91" t="s">
        <v>446</v>
      </c>
      <c r="D91" t="s">
        <v>447</v>
      </c>
    </row>
    <row r="92" spans="1:4" x14ac:dyDescent="0.2">
      <c r="A92" s="54" t="s">
        <v>444</v>
      </c>
      <c r="B92" t="s">
        <v>448</v>
      </c>
      <c r="C92" t="s">
        <v>449</v>
      </c>
      <c r="D92" t="s">
        <v>450</v>
      </c>
    </row>
    <row r="93" spans="1:4" x14ac:dyDescent="0.2">
      <c r="A93" s="54" t="s">
        <v>444</v>
      </c>
      <c r="B93" t="s">
        <v>338</v>
      </c>
      <c r="C93" t="s">
        <v>451</v>
      </c>
      <c r="D93" t="s">
        <v>452</v>
      </c>
    </row>
    <row r="94" spans="1:4" x14ac:dyDescent="0.2">
      <c r="A94" s="54" t="s">
        <v>444</v>
      </c>
      <c r="B94" t="s">
        <v>392</v>
      </c>
      <c r="C94" t="s">
        <v>453</v>
      </c>
      <c r="D94" t="s">
        <v>454</v>
      </c>
    </row>
    <row r="95" spans="1:4" x14ac:dyDescent="0.2">
      <c r="A95" s="54" t="s">
        <v>444</v>
      </c>
      <c r="B95" t="s">
        <v>455</v>
      </c>
      <c r="C95" t="s">
        <v>456</v>
      </c>
      <c r="D95" t="s">
        <v>457</v>
      </c>
    </row>
    <row r="96" spans="1:4" x14ac:dyDescent="0.2">
      <c r="A96" s="54" t="s">
        <v>444</v>
      </c>
      <c r="B96" t="s">
        <v>458</v>
      </c>
      <c r="C96" t="s">
        <v>459</v>
      </c>
      <c r="D96" t="s">
        <v>460</v>
      </c>
    </row>
    <row r="97" spans="1:4" x14ac:dyDescent="0.2">
      <c r="A97" s="54" t="s">
        <v>444</v>
      </c>
      <c r="B97" t="s">
        <v>338</v>
      </c>
      <c r="C97" t="s">
        <v>461</v>
      </c>
      <c r="D97" t="s">
        <v>462</v>
      </c>
    </row>
    <row r="98" spans="1:4" x14ac:dyDescent="0.2">
      <c r="A98" s="54" t="s">
        <v>444</v>
      </c>
      <c r="B98" t="s">
        <v>463</v>
      </c>
      <c r="C98" t="s">
        <v>464</v>
      </c>
      <c r="D98" t="s">
        <v>465</v>
      </c>
    </row>
    <row r="99" spans="1:4" x14ac:dyDescent="0.2">
      <c r="A99" s="54" t="s">
        <v>444</v>
      </c>
      <c r="B99" t="s">
        <v>463</v>
      </c>
      <c r="C99" t="s">
        <v>466</v>
      </c>
      <c r="D99" t="s">
        <v>467</v>
      </c>
    </row>
    <row r="100" spans="1:4" x14ac:dyDescent="0.2">
      <c r="A100" s="54" t="s">
        <v>444</v>
      </c>
      <c r="B100" t="s">
        <v>463</v>
      </c>
      <c r="C100" t="s">
        <v>468</v>
      </c>
      <c r="D100" t="s">
        <v>469</v>
      </c>
    </row>
    <row r="101" spans="1:4" x14ac:dyDescent="0.2">
      <c r="A101" s="54" t="s">
        <v>444</v>
      </c>
      <c r="B101" t="s">
        <v>470</v>
      </c>
      <c r="C101" t="s">
        <v>471</v>
      </c>
      <c r="D101" t="s">
        <v>472</v>
      </c>
    </row>
    <row r="102" spans="1:4" x14ac:dyDescent="0.2">
      <c r="A102" s="54" t="s">
        <v>444</v>
      </c>
      <c r="B102" t="s">
        <v>437</v>
      </c>
      <c r="C102" t="s">
        <v>473</v>
      </c>
      <c r="D102" t="s">
        <v>474</v>
      </c>
    </row>
    <row r="103" spans="1:4" x14ac:dyDescent="0.2">
      <c r="A103" s="54" t="s">
        <v>444</v>
      </c>
      <c r="B103" t="s">
        <v>392</v>
      </c>
      <c r="C103" t="s">
        <v>475</v>
      </c>
      <c r="D103" t="s">
        <v>476</v>
      </c>
    </row>
    <row r="104" spans="1:4" x14ac:dyDescent="0.2">
      <c r="A104" s="54" t="s">
        <v>444</v>
      </c>
      <c r="B104" t="s">
        <v>477</v>
      </c>
      <c r="C104" t="s">
        <v>478</v>
      </c>
      <c r="D104" t="s">
        <v>479</v>
      </c>
    </row>
    <row r="105" spans="1:4" x14ac:dyDescent="0.2">
      <c r="A105" s="54" t="s">
        <v>444</v>
      </c>
      <c r="B105" t="s">
        <v>477</v>
      </c>
      <c r="C105" t="s">
        <v>480</v>
      </c>
      <c r="D105" t="s">
        <v>481</v>
      </c>
    </row>
    <row r="106" spans="1:4" x14ac:dyDescent="0.2">
      <c r="A106" s="54" t="s">
        <v>444</v>
      </c>
      <c r="B106" t="s">
        <v>335</v>
      </c>
      <c r="C106" t="s">
        <v>482</v>
      </c>
      <c r="D106" t="s">
        <v>483</v>
      </c>
    </row>
    <row r="107" spans="1:4" x14ac:dyDescent="0.2">
      <c r="A107" s="54" t="s">
        <v>444</v>
      </c>
      <c r="B107" t="s">
        <v>338</v>
      </c>
      <c r="C107" t="s">
        <v>484</v>
      </c>
      <c r="D107" t="s">
        <v>485</v>
      </c>
    </row>
    <row r="108" spans="1:4" x14ac:dyDescent="0.2">
      <c r="A108" s="54" t="s">
        <v>444</v>
      </c>
      <c r="B108" t="s">
        <v>486</v>
      </c>
      <c r="C108" t="s">
        <v>487</v>
      </c>
      <c r="D108" t="s">
        <v>488</v>
      </c>
    </row>
    <row r="109" spans="1:4" x14ac:dyDescent="0.2">
      <c r="A109" s="54" t="s">
        <v>444</v>
      </c>
      <c r="B109" t="s">
        <v>392</v>
      </c>
      <c r="C109" t="s">
        <v>489</v>
      </c>
      <c r="D109" t="s">
        <v>490</v>
      </c>
    </row>
    <row r="110" spans="1:4" x14ac:dyDescent="0.2">
      <c r="A110" s="54" t="s">
        <v>444</v>
      </c>
      <c r="B110" t="s">
        <v>491</v>
      </c>
      <c r="C110" t="s">
        <v>492</v>
      </c>
      <c r="D110" t="s">
        <v>493</v>
      </c>
    </row>
    <row r="111" spans="1:4" x14ac:dyDescent="0.2">
      <c r="A111" s="54" t="s">
        <v>444</v>
      </c>
      <c r="B111" t="s">
        <v>494</v>
      </c>
      <c r="C111" t="s">
        <v>495</v>
      </c>
      <c r="D111" t="s">
        <v>496</v>
      </c>
    </row>
    <row r="112" spans="1:4" x14ac:dyDescent="0.2">
      <c r="A112" s="54" t="s">
        <v>444</v>
      </c>
      <c r="B112" t="s">
        <v>497</v>
      </c>
      <c r="C112" t="s">
        <v>498</v>
      </c>
      <c r="D112" t="s">
        <v>499</v>
      </c>
    </row>
    <row r="113" spans="1:4" x14ac:dyDescent="0.2">
      <c r="A113" s="54" t="s">
        <v>444</v>
      </c>
      <c r="B113" t="s">
        <v>366</v>
      </c>
      <c r="C113" t="s">
        <v>500</v>
      </c>
      <c r="D113" t="s">
        <v>501</v>
      </c>
    </row>
    <row r="114" spans="1:4" x14ac:dyDescent="0.2">
      <c r="A114" s="54" t="s">
        <v>502</v>
      </c>
      <c r="B114" t="s">
        <v>503</v>
      </c>
      <c r="C114" t="s">
        <v>504</v>
      </c>
      <c r="D114" t="s">
        <v>505</v>
      </c>
    </row>
    <row r="115" spans="1:4" x14ac:dyDescent="0.2">
      <c r="A115" s="54" t="s">
        <v>502</v>
      </c>
      <c r="B115" t="s">
        <v>347</v>
      </c>
      <c r="C115" t="s">
        <v>506</v>
      </c>
      <c r="D115" t="s">
        <v>507</v>
      </c>
    </row>
    <row r="116" spans="1:4" x14ac:dyDescent="0.2">
      <c r="A116" s="54" t="s">
        <v>502</v>
      </c>
      <c r="B116" t="s">
        <v>335</v>
      </c>
      <c r="C116" t="s">
        <v>508</v>
      </c>
      <c r="D116" t="s">
        <v>509</v>
      </c>
    </row>
    <row r="117" spans="1:4" x14ac:dyDescent="0.2">
      <c r="A117" s="54" t="s">
        <v>502</v>
      </c>
      <c r="B117" t="s">
        <v>335</v>
      </c>
      <c r="C117" t="s">
        <v>510</v>
      </c>
      <c r="D117" t="s">
        <v>511</v>
      </c>
    </row>
    <row r="118" spans="1:4" x14ac:dyDescent="0.2">
      <c r="A118" s="54" t="s">
        <v>502</v>
      </c>
      <c r="B118" t="s">
        <v>338</v>
      </c>
      <c r="C118" t="s">
        <v>512</v>
      </c>
      <c r="D118" t="s">
        <v>513</v>
      </c>
    </row>
    <row r="119" spans="1:4" x14ac:dyDescent="0.2">
      <c r="A119" s="54" t="s">
        <v>502</v>
      </c>
      <c r="B119" t="s">
        <v>355</v>
      </c>
      <c r="C119" t="s">
        <v>514</v>
      </c>
      <c r="D119" t="s">
        <v>515</v>
      </c>
    </row>
    <row r="120" spans="1:4" x14ac:dyDescent="0.2">
      <c r="A120" s="54" t="s">
        <v>502</v>
      </c>
      <c r="B120" t="s">
        <v>491</v>
      </c>
      <c r="C120" t="s">
        <v>516</v>
      </c>
      <c r="D120" t="s">
        <v>517</v>
      </c>
    </row>
    <row r="121" spans="1:4" x14ac:dyDescent="0.2">
      <c r="A121" s="54" t="s">
        <v>502</v>
      </c>
      <c r="B121" t="s">
        <v>491</v>
      </c>
      <c r="C121" t="s">
        <v>518</v>
      </c>
      <c r="D121" t="s">
        <v>519</v>
      </c>
    </row>
    <row r="122" spans="1:4" x14ac:dyDescent="0.2">
      <c r="A122" s="54" t="s">
        <v>502</v>
      </c>
      <c r="B122" t="s">
        <v>520</v>
      </c>
      <c r="C122" t="s">
        <v>521</v>
      </c>
      <c r="D122" t="s">
        <v>522</v>
      </c>
    </row>
    <row r="123" spans="1:4" x14ac:dyDescent="0.2">
      <c r="A123" s="54" t="s">
        <v>502</v>
      </c>
      <c r="B123" t="s">
        <v>463</v>
      </c>
      <c r="C123" t="s">
        <v>523</v>
      </c>
      <c r="D123" t="s">
        <v>524</v>
      </c>
    </row>
    <row r="124" spans="1:4" x14ac:dyDescent="0.2">
      <c r="A124" s="54" t="s">
        <v>502</v>
      </c>
      <c r="B124" t="s">
        <v>338</v>
      </c>
      <c r="C124" t="s">
        <v>525</v>
      </c>
      <c r="D124" t="s">
        <v>526</v>
      </c>
    </row>
    <row r="125" spans="1:4" x14ac:dyDescent="0.2">
      <c r="A125" s="54" t="s">
        <v>502</v>
      </c>
      <c r="B125" t="s">
        <v>463</v>
      </c>
      <c r="C125" t="s">
        <v>527</v>
      </c>
      <c r="D125" t="s">
        <v>528</v>
      </c>
    </row>
    <row r="126" spans="1:4" x14ac:dyDescent="0.2">
      <c r="A126" s="54" t="s">
        <v>502</v>
      </c>
      <c r="B126" t="s">
        <v>338</v>
      </c>
      <c r="C126" t="s">
        <v>529</v>
      </c>
      <c r="D126" t="s">
        <v>530</v>
      </c>
    </row>
    <row r="127" spans="1:4" x14ac:dyDescent="0.2">
      <c r="A127" s="54" t="s">
        <v>502</v>
      </c>
      <c r="B127" t="s">
        <v>418</v>
      </c>
      <c r="C127" t="s">
        <v>531</v>
      </c>
      <c r="D127" t="s">
        <v>532</v>
      </c>
    </row>
    <row r="128" spans="1:4" x14ac:dyDescent="0.2">
      <c r="A128" s="54" t="s">
        <v>502</v>
      </c>
      <c r="B128" t="s">
        <v>418</v>
      </c>
      <c r="C128" t="s">
        <v>533</v>
      </c>
      <c r="D128" t="s">
        <v>534</v>
      </c>
    </row>
    <row r="129" spans="1:4" x14ac:dyDescent="0.2">
      <c r="A129" s="54" t="s">
        <v>502</v>
      </c>
      <c r="B129" t="s">
        <v>329</v>
      </c>
      <c r="C129" t="s">
        <v>535</v>
      </c>
      <c r="D129" t="s">
        <v>536</v>
      </c>
    </row>
    <row r="130" spans="1:4" x14ac:dyDescent="0.2">
      <c r="A130" s="54" t="s">
        <v>502</v>
      </c>
      <c r="B130" t="s">
        <v>491</v>
      </c>
      <c r="C130" t="s">
        <v>537</v>
      </c>
      <c r="D130" t="s">
        <v>538</v>
      </c>
    </row>
    <row r="131" spans="1:4" x14ac:dyDescent="0.2">
      <c r="A131" s="54" t="s">
        <v>502</v>
      </c>
      <c r="B131" t="s">
        <v>338</v>
      </c>
      <c r="C131" t="s">
        <v>539</v>
      </c>
      <c r="D131" t="s">
        <v>540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D2:K485"/>
  <sheetViews>
    <sheetView zoomScale="160" zoomScaleNormal="16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B451" sqref="B451"/>
    </sheetView>
  </sheetViews>
  <sheetFormatPr baseColWidth="10" defaultColWidth="9.1640625" defaultRowHeight="15" x14ac:dyDescent="0.2"/>
  <cols>
    <col min="1" max="3" width="9.1640625" style="50" customWidth="1"/>
    <col min="4" max="4" width="13.1640625" style="34" customWidth="1"/>
    <col min="5" max="5" width="11.33203125" style="3" customWidth="1"/>
    <col min="6" max="8" width="10.83203125" style="3" bestFit="1" customWidth="1"/>
    <col min="9" max="11" width="17.6640625" style="34" customWidth="1"/>
    <col min="12" max="14" width="9.1640625" style="50" customWidth="1"/>
    <col min="15" max="16384" width="9.1640625" style="50"/>
  </cols>
  <sheetData>
    <row r="2" spans="4:11" ht="16" customHeight="1" thickBot="1" x14ac:dyDescent="0.25"/>
    <row r="3" spans="4:11" ht="24.75" customHeight="1" x14ac:dyDescent="0.2">
      <c r="D3" s="20" t="s">
        <v>541</v>
      </c>
      <c r="E3" s="79" t="s">
        <v>542</v>
      </c>
      <c r="F3" s="80"/>
      <c r="G3" s="80"/>
      <c r="H3" s="81"/>
      <c r="I3" s="82" t="s">
        <v>543</v>
      </c>
      <c r="J3" s="80"/>
      <c r="K3" s="81"/>
    </row>
    <row r="4" spans="4:11" ht="24.75" customHeight="1" thickBot="1" x14ac:dyDescent="0.25">
      <c r="D4" s="21"/>
      <c r="E4" s="18" t="s">
        <v>544</v>
      </c>
      <c r="F4" s="17" t="s">
        <v>545</v>
      </c>
      <c r="G4" s="17" t="s">
        <v>546</v>
      </c>
      <c r="H4" s="19" t="s">
        <v>547</v>
      </c>
      <c r="I4" s="22" t="s">
        <v>548</v>
      </c>
      <c r="J4" s="22" t="s">
        <v>549</v>
      </c>
      <c r="K4" s="23" t="s">
        <v>550</v>
      </c>
    </row>
    <row r="5" spans="4:11" x14ac:dyDescent="0.2">
      <c r="D5" s="14" t="s">
        <v>551</v>
      </c>
      <c r="E5" s="12">
        <v>24982000</v>
      </c>
      <c r="F5" s="12">
        <v>31378000</v>
      </c>
      <c r="G5" s="12">
        <v>32252000</v>
      </c>
      <c r="H5" s="12">
        <v>38260000</v>
      </c>
      <c r="I5" s="55">
        <f t="shared" ref="I5:I68" si="0">(F5-E5)/E5</f>
        <v>0.25602433752301657</v>
      </c>
      <c r="J5" s="55">
        <f t="shared" ref="J5:J68" si="1">(G5-F5)/F5</f>
        <v>2.7853910383070942E-2</v>
      </c>
      <c r="K5" s="56">
        <f t="shared" ref="K5:K68" si="2">(H5-G5)/G5</f>
        <v>0.18628302120798709</v>
      </c>
    </row>
    <row r="6" spans="4:11" x14ac:dyDescent="0.2">
      <c r="D6" s="15" t="s">
        <v>552</v>
      </c>
      <c r="E6" s="11">
        <v>70019000</v>
      </c>
      <c r="F6" s="11">
        <v>53497000</v>
      </c>
      <c r="G6" s="11">
        <v>51774000</v>
      </c>
      <c r="H6" s="11">
        <v>64121000</v>
      </c>
      <c r="I6" s="57">
        <f t="shared" si="0"/>
        <v>-0.23596452391493739</v>
      </c>
      <c r="J6" s="57">
        <f t="shared" si="1"/>
        <v>-3.2207413499822417E-2</v>
      </c>
      <c r="K6" s="58">
        <f t="shared" si="2"/>
        <v>0.23847877312936996</v>
      </c>
    </row>
    <row r="7" spans="4:11" x14ac:dyDescent="0.2">
      <c r="D7" s="15" t="s">
        <v>553</v>
      </c>
      <c r="E7" s="11">
        <v>6652000</v>
      </c>
      <c r="F7" s="11">
        <v>9399000</v>
      </c>
      <c r="G7" s="11">
        <v>6410000</v>
      </c>
      <c r="H7" s="11">
        <v>17296000</v>
      </c>
      <c r="I7" s="57">
        <f t="shared" si="0"/>
        <v>0.41295850871918222</v>
      </c>
      <c r="J7" s="57">
        <f t="shared" si="1"/>
        <v>-0.31801255452707733</v>
      </c>
      <c r="K7" s="58">
        <f t="shared" si="2"/>
        <v>1.6982839313572542</v>
      </c>
    </row>
    <row r="8" spans="4:11" x14ac:dyDescent="0.2">
      <c r="D8" s="15" t="s">
        <v>554</v>
      </c>
      <c r="E8" s="11">
        <v>7797000</v>
      </c>
      <c r="F8" s="11">
        <v>11617000</v>
      </c>
      <c r="G8" s="11">
        <v>17483000</v>
      </c>
      <c r="H8" s="11">
        <v>15359000</v>
      </c>
      <c r="I8" s="57">
        <f t="shared" si="0"/>
        <v>0.48993202513787354</v>
      </c>
      <c r="J8" s="57">
        <f t="shared" si="1"/>
        <v>0.5049496427649135</v>
      </c>
      <c r="K8" s="58">
        <f t="shared" si="2"/>
        <v>-0.1214894468912658</v>
      </c>
    </row>
    <row r="9" spans="4:11" x14ac:dyDescent="0.2">
      <c r="D9" s="15" t="s">
        <v>555</v>
      </c>
      <c r="E9" s="11">
        <v>16622000</v>
      </c>
      <c r="F9" s="11">
        <v>25824000</v>
      </c>
      <c r="G9" s="11">
        <v>23907000</v>
      </c>
      <c r="H9" s="11">
        <v>22832000</v>
      </c>
      <c r="I9" s="57">
        <f t="shared" si="0"/>
        <v>0.55360365780291176</v>
      </c>
      <c r="J9" s="57">
        <f t="shared" si="1"/>
        <v>-7.4233271375464691E-2</v>
      </c>
      <c r="K9" s="58">
        <f t="shared" si="2"/>
        <v>-4.4965909566235827E-2</v>
      </c>
    </row>
    <row r="10" spans="4:11" x14ac:dyDescent="0.2">
      <c r="D10" s="15" t="s">
        <v>556</v>
      </c>
      <c r="E10" s="11">
        <v>73466000</v>
      </c>
      <c r="F10" s="11">
        <v>21884000</v>
      </c>
      <c r="G10" s="11">
        <v>-10827000</v>
      </c>
      <c r="H10" s="11">
        <v>14187000</v>
      </c>
      <c r="I10" s="57">
        <f t="shared" si="0"/>
        <v>-0.70212070889935485</v>
      </c>
      <c r="J10" s="57">
        <f t="shared" si="1"/>
        <v>-1.4947450191921039</v>
      </c>
      <c r="K10" s="58">
        <f t="shared" si="2"/>
        <v>-2.3103352729287892</v>
      </c>
    </row>
    <row r="11" spans="4:11" x14ac:dyDescent="0.2">
      <c r="D11" s="15" t="s">
        <v>557</v>
      </c>
      <c r="E11" s="11">
        <v>16106000</v>
      </c>
      <c r="F11" s="11">
        <v>15541000</v>
      </c>
      <c r="G11" s="11">
        <v>17777000</v>
      </c>
      <c r="H11" s="11">
        <v>18531000</v>
      </c>
      <c r="I11" s="57">
        <f t="shared" si="0"/>
        <v>-3.5080094374767168E-2</v>
      </c>
      <c r="J11" s="57">
        <f t="shared" si="1"/>
        <v>0.14387748536130235</v>
      </c>
      <c r="K11" s="58">
        <f t="shared" si="2"/>
        <v>4.2414355628058731E-2</v>
      </c>
    </row>
    <row r="12" spans="4:11" x14ac:dyDescent="0.2">
      <c r="D12" s="15" t="s">
        <v>558</v>
      </c>
      <c r="E12" s="11">
        <v>6170000</v>
      </c>
      <c r="F12" s="11">
        <v>5051000</v>
      </c>
      <c r="G12" s="11">
        <v>8501000</v>
      </c>
      <c r="H12" s="11">
        <v>11995000</v>
      </c>
      <c r="I12" s="57">
        <f t="shared" si="0"/>
        <v>-0.18136142625607779</v>
      </c>
      <c r="J12" s="57">
        <f t="shared" si="1"/>
        <v>0.68303306275984954</v>
      </c>
      <c r="K12" s="58">
        <f t="shared" si="2"/>
        <v>0.41101046935654628</v>
      </c>
    </row>
    <row r="13" spans="4:11" x14ac:dyDescent="0.2">
      <c r="D13" s="15" t="s">
        <v>559</v>
      </c>
      <c r="E13" s="11">
        <v>12121000</v>
      </c>
      <c r="F13" s="11">
        <v>9369000</v>
      </c>
      <c r="G13" s="11">
        <v>11150000</v>
      </c>
      <c r="H13" s="11">
        <v>11895000</v>
      </c>
      <c r="I13" s="57">
        <f t="shared" si="0"/>
        <v>-0.22704397326953221</v>
      </c>
      <c r="J13" s="57">
        <f t="shared" si="1"/>
        <v>0.19009499412957626</v>
      </c>
      <c r="K13" s="58">
        <f t="shared" si="2"/>
        <v>6.6816143497757843E-2</v>
      </c>
    </row>
    <row r="14" spans="4:11" x14ac:dyDescent="0.2">
      <c r="D14" s="15" t="s">
        <v>560</v>
      </c>
      <c r="E14" s="11">
        <v>3854000</v>
      </c>
      <c r="F14" s="11">
        <v>5919000</v>
      </c>
      <c r="G14" s="11">
        <v>14664000</v>
      </c>
      <c r="H14" s="11">
        <v>16440000</v>
      </c>
      <c r="I14" s="57">
        <f t="shared" si="0"/>
        <v>0.53580695381421894</v>
      </c>
      <c r="J14" s="57">
        <f t="shared" si="1"/>
        <v>1.4774455144450076</v>
      </c>
      <c r="K14" s="58">
        <f t="shared" si="2"/>
        <v>0.12111292962356793</v>
      </c>
    </row>
    <row r="15" spans="4:11" x14ac:dyDescent="0.2">
      <c r="D15" s="15" t="s">
        <v>561</v>
      </c>
      <c r="E15" s="11">
        <v>15865000</v>
      </c>
      <c r="F15" s="11">
        <v>16034000</v>
      </c>
      <c r="G15" s="11">
        <v>16460000</v>
      </c>
      <c r="H15" s="11">
        <v>22351000</v>
      </c>
      <c r="I15" s="57">
        <f t="shared" si="0"/>
        <v>1.0652379451623069E-2</v>
      </c>
      <c r="J15" s="57">
        <f t="shared" si="1"/>
        <v>2.6568541848571783E-2</v>
      </c>
      <c r="K15" s="58">
        <f t="shared" si="2"/>
        <v>0.35789793438639123</v>
      </c>
    </row>
    <row r="16" spans="4:11" x14ac:dyDescent="0.2">
      <c r="D16" s="15" t="s">
        <v>562</v>
      </c>
      <c r="E16" s="11">
        <v>3924000</v>
      </c>
      <c r="F16" s="11">
        <v>4422000</v>
      </c>
      <c r="G16" s="11">
        <v>5364000</v>
      </c>
      <c r="H16" s="11">
        <v>5893000</v>
      </c>
      <c r="I16" s="57">
        <f t="shared" si="0"/>
        <v>0.12691131498470948</v>
      </c>
      <c r="J16" s="57">
        <f t="shared" si="1"/>
        <v>0.2130257801899593</v>
      </c>
      <c r="K16" s="58">
        <f t="shared" si="2"/>
        <v>9.8620432513049958E-2</v>
      </c>
    </row>
    <row r="17" spans="4:11" x14ac:dyDescent="0.2">
      <c r="D17" s="15" t="s">
        <v>563</v>
      </c>
      <c r="E17" s="11">
        <v>7870000</v>
      </c>
      <c r="F17" s="11">
        <v>8162000</v>
      </c>
      <c r="G17" s="11">
        <v>10134000</v>
      </c>
      <c r="H17" s="11">
        <v>10596000</v>
      </c>
      <c r="I17" s="57">
        <f t="shared" si="0"/>
        <v>3.710292249047014E-2</v>
      </c>
      <c r="J17" s="57">
        <f t="shared" si="1"/>
        <v>0.24160744915461896</v>
      </c>
      <c r="K17" s="58">
        <f t="shared" si="2"/>
        <v>4.5589105979869746E-2</v>
      </c>
    </row>
    <row r="18" spans="4:11" x14ac:dyDescent="0.2">
      <c r="D18" s="15" t="s">
        <v>564</v>
      </c>
      <c r="E18" s="11">
        <v>28397000</v>
      </c>
      <c r="F18" s="11">
        <v>17277000</v>
      </c>
      <c r="G18" s="11">
        <v>9864000</v>
      </c>
      <c r="H18" s="11">
        <v>39520000</v>
      </c>
      <c r="I18" s="57">
        <f t="shared" si="0"/>
        <v>-0.39159066098531536</v>
      </c>
      <c r="J18" s="57">
        <f t="shared" si="1"/>
        <v>-0.42906754644903627</v>
      </c>
      <c r="K18" s="58">
        <f t="shared" si="2"/>
        <v>3.0064882400648822</v>
      </c>
    </row>
    <row r="19" spans="4:11" x14ac:dyDescent="0.2">
      <c r="D19" s="15" t="s">
        <v>565</v>
      </c>
      <c r="E19" s="11">
        <v>21252000</v>
      </c>
      <c r="F19" s="11">
        <v>4630000</v>
      </c>
      <c r="G19" s="11">
        <v>7071000</v>
      </c>
      <c r="H19" s="11">
        <v>17681000</v>
      </c>
      <c r="I19" s="57">
        <f t="shared" si="0"/>
        <v>-0.78213815170336909</v>
      </c>
      <c r="J19" s="57">
        <f t="shared" si="1"/>
        <v>0.52721382289416852</v>
      </c>
      <c r="K19" s="58">
        <f t="shared" si="2"/>
        <v>1.5004949794937066</v>
      </c>
    </row>
    <row r="20" spans="4:11" x14ac:dyDescent="0.2">
      <c r="D20" s="15" t="s">
        <v>566</v>
      </c>
      <c r="E20" s="11">
        <v>7120000</v>
      </c>
      <c r="F20" s="11">
        <v>8363000</v>
      </c>
      <c r="G20" s="11">
        <v>8720000</v>
      </c>
      <c r="H20" s="11">
        <v>9830000</v>
      </c>
      <c r="I20" s="57">
        <f t="shared" si="0"/>
        <v>0.17457865168539327</v>
      </c>
      <c r="J20" s="57">
        <f t="shared" si="1"/>
        <v>4.2688030611024753E-2</v>
      </c>
      <c r="K20" s="58">
        <f t="shared" si="2"/>
        <v>0.12729357798165136</v>
      </c>
    </row>
    <row r="21" spans="4:11" x14ac:dyDescent="0.2">
      <c r="D21" s="15" t="s">
        <v>567</v>
      </c>
      <c r="E21" s="11">
        <v>-10048000</v>
      </c>
      <c r="F21" s="11">
        <v>-5419000</v>
      </c>
      <c r="G21" s="11">
        <v>6934000</v>
      </c>
      <c r="H21" s="11">
        <v>16826000</v>
      </c>
      <c r="I21" s="57">
        <f t="shared" si="0"/>
        <v>-0.46068869426751591</v>
      </c>
      <c r="J21" s="57">
        <f t="shared" si="1"/>
        <v>-2.2795718767300239</v>
      </c>
      <c r="K21" s="58">
        <f t="shared" si="2"/>
        <v>1.4265935967695413</v>
      </c>
    </row>
    <row r="22" spans="4:11" x14ac:dyDescent="0.2">
      <c r="D22" s="15" t="s">
        <v>568</v>
      </c>
      <c r="E22" s="11">
        <v>8184000</v>
      </c>
      <c r="F22" s="11">
        <v>8090000</v>
      </c>
      <c r="G22" s="11">
        <v>11573000</v>
      </c>
      <c r="H22" s="11">
        <v>13650000</v>
      </c>
      <c r="I22" s="57">
        <f t="shared" si="0"/>
        <v>-1.1485826001955034E-2</v>
      </c>
      <c r="J22" s="57">
        <f t="shared" si="1"/>
        <v>0.43053152039555004</v>
      </c>
      <c r="K22" s="58">
        <f t="shared" si="2"/>
        <v>0.17946945476540224</v>
      </c>
    </row>
    <row r="23" spans="4:11" x14ac:dyDescent="0.2">
      <c r="D23" s="15" t="s">
        <v>569</v>
      </c>
      <c r="E23" s="11">
        <v>11255000</v>
      </c>
      <c r="F23" s="11">
        <v>8762000</v>
      </c>
      <c r="G23" s="11">
        <v>4563000</v>
      </c>
      <c r="H23" s="11">
        <v>8307000</v>
      </c>
      <c r="I23" s="57">
        <f t="shared" si="0"/>
        <v>-0.22150155486450465</v>
      </c>
      <c r="J23" s="57">
        <f t="shared" si="1"/>
        <v>-0.47922848664688428</v>
      </c>
      <c r="K23" s="58">
        <f t="shared" si="2"/>
        <v>0.82051282051282048</v>
      </c>
    </row>
    <row r="24" spans="4:11" x14ac:dyDescent="0.2">
      <c r="D24" s="15" t="s">
        <v>570</v>
      </c>
      <c r="E24" s="11">
        <v>7975000</v>
      </c>
      <c r="F24" s="11">
        <v>6530000</v>
      </c>
      <c r="G24" s="11">
        <v>5366000</v>
      </c>
      <c r="H24" s="11">
        <v>6280000</v>
      </c>
      <c r="I24" s="57">
        <f t="shared" si="0"/>
        <v>-0.18119122257053291</v>
      </c>
      <c r="J24" s="57">
        <f t="shared" si="1"/>
        <v>-0.1782542113323124</v>
      </c>
      <c r="K24" s="58">
        <f t="shared" si="2"/>
        <v>0.17033171822586657</v>
      </c>
    </row>
    <row r="25" spans="4:11" x14ac:dyDescent="0.2">
      <c r="D25" s="15" t="s">
        <v>571</v>
      </c>
      <c r="E25" s="11">
        <v>11692000</v>
      </c>
      <c r="F25" s="11">
        <v>12183000</v>
      </c>
      <c r="G25" s="11">
        <v>10332000</v>
      </c>
      <c r="H25" s="11">
        <v>14251000</v>
      </c>
      <c r="I25" s="57">
        <f t="shared" si="0"/>
        <v>4.1994526171741361E-2</v>
      </c>
      <c r="J25" s="57">
        <f t="shared" si="1"/>
        <v>-0.15193302142329476</v>
      </c>
      <c r="K25" s="58">
        <f t="shared" si="2"/>
        <v>0.37930700735578782</v>
      </c>
    </row>
    <row r="26" spans="4:11" x14ac:dyDescent="0.2">
      <c r="D26" s="15" t="s">
        <v>572</v>
      </c>
      <c r="E26" s="11">
        <v>12424000</v>
      </c>
      <c r="F26" s="11">
        <v>12912000</v>
      </c>
      <c r="G26" s="11">
        <v>12832000</v>
      </c>
      <c r="H26" s="11">
        <v>14922000</v>
      </c>
      <c r="I26" s="57">
        <f t="shared" si="0"/>
        <v>3.9278815196394076E-2</v>
      </c>
      <c r="J26" s="57">
        <f t="shared" si="1"/>
        <v>-6.1957868649318466E-3</v>
      </c>
      <c r="K26" s="58">
        <f t="shared" si="2"/>
        <v>0.16287406483790523</v>
      </c>
    </row>
    <row r="27" spans="4:11" x14ac:dyDescent="0.2">
      <c r="D27" s="15" t="s">
        <v>573</v>
      </c>
      <c r="E27" s="11">
        <v>10986000</v>
      </c>
      <c r="F27" s="11">
        <v>10534000</v>
      </c>
      <c r="G27" s="11">
        <v>11640000</v>
      </c>
      <c r="H27" s="11">
        <v>14063000</v>
      </c>
      <c r="I27" s="57">
        <f t="shared" si="0"/>
        <v>-4.1143273256872386E-2</v>
      </c>
      <c r="J27" s="57">
        <f t="shared" si="1"/>
        <v>0.1049933548509588</v>
      </c>
      <c r="K27" s="58">
        <f t="shared" si="2"/>
        <v>0.20816151202749142</v>
      </c>
    </row>
    <row r="28" spans="4:11" x14ac:dyDescent="0.2">
      <c r="D28" s="15" t="s">
        <v>574</v>
      </c>
      <c r="E28" s="11">
        <v>13291000</v>
      </c>
      <c r="F28" s="11">
        <v>14369000</v>
      </c>
      <c r="G28" s="11">
        <v>14846000</v>
      </c>
      <c r="H28" s="11">
        <v>13785000</v>
      </c>
      <c r="I28" s="57">
        <f t="shared" si="0"/>
        <v>8.110751636445715E-2</v>
      </c>
      <c r="J28" s="57">
        <f t="shared" si="1"/>
        <v>3.3196464611316027E-2</v>
      </c>
      <c r="K28" s="58">
        <f t="shared" si="2"/>
        <v>-7.146706183483767E-2</v>
      </c>
    </row>
    <row r="29" spans="4:11" x14ac:dyDescent="0.2">
      <c r="D29" s="15" t="s">
        <v>575</v>
      </c>
      <c r="E29" s="11">
        <v>6913000</v>
      </c>
      <c r="F29" s="11">
        <v>7883000</v>
      </c>
      <c r="G29" s="11">
        <v>11607000</v>
      </c>
      <c r="H29" s="11">
        <v>13600000</v>
      </c>
      <c r="I29" s="57">
        <f t="shared" si="0"/>
        <v>0.14031534789526978</v>
      </c>
      <c r="J29" s="57">
        <f t="shared" si="1"/>
        <v>0.47240898135227705</v>
      </c>
      <c r="K29" s="58">
        <f t="shared" si="2"/>
        <v>0.17170672869819936</v>
      </c>
    </row>
    <row r="30" spans="4:11" x14ac:dyDescent="0.2">
      <c r="D30" s="15" t="s">
        <v>576</v>
      </c>
      <c r="E30" s="11">
        <v>8106000</v>
      </c>
      <c r="F30" s="11">
        <v>7623000</v>
      </c>
      <c r="G30" s="11">
        <v>7061000</v>
      </c>
      <c r="H30" s="11">
        <v>6133000</v>
      </c>
      <c r="I30" s="57">
        <f t="shared" si="0"/>
        <v>-5.9585492227979271E-2</v>
      </c>
      <c r="J30" s="57">
        <f t="shared" si="1"/>
        <v>-7.3724255542437361E-2</v>
      </c>
      <c r="K30" s="58">
        <f t="shared" si="2"/>
        <v>-0.13142614360572158</v>
      </c>
    </row>
    <row r="31" spans="4:11" x14ac:dyDescent="0.2">
      <c r="D31" s="15" t="s">
        <v>577</v>
      </c>
      <c r="E31" s="11">
        <v>15904000</v>
      </c>
      <c r="F31" s="11">
        <v>1008000</v>
      </c>
      <c r="G31" s="11">
        <v>18619000</v>
      </c>
      <c r="H31" s="11">
        <v>36073000</v>
      </c>
      <c r="I31" s="57">
        <f t="shared" si="0"/>
        <v>-0.93661971830985913</v>
      </c>
      <c r="J31" s="57">
        <f t="shared" si="1"/>
        <v>17.471230158730158</v>
      </c>
      <c r="K31" s="58">
        <f t="shared" si="2"/>
        <v>0.93742950749234655</v>
      </c>
    </row>
    <row r="32" spans="4:11" x14ac:dyDescent="0.2">
      <c r="D32" s="15" t="s">
        <v>578</v>
      </c>
      <c r="E32" s="11">
        <v>4725200</v>
      </c>
      <c r="F32" s="11">
        <v>4238500</v>
      </c>
      <c r="G32" s="11">
        <v>3697500</v>
      </c>
      <c r="H32" s="11">
        <v>4225000</v>
      </c>
      <c r="I32" s="57">
        <f t="shared" si="0"/>
        <v>-0.1030009311775163</v>
      </c>
      <c r="J32" s="57">
        <f t="shared" si="1"/>
        <v>-0.12763949510440015</v>
      </c>
      <c r="K32" s="58">
        <f t="shared" si="2"/>
        <v>0.14266396213657878</v>
      </c>
    </row>
    <row r="33" spans="4:11" x14ac:dyDescent="0.2">
      <c r="D33" s="15" t="s">
        <v>579</v>
      </c>
      <c r="E33" s="11">
        <v>16075000</v>
      </c>
      <c r="F33" s="11">
        <v>21054000</v>
      </c>
      <c r="G33" s="11">
        <v>18286000</v>
      </c>
      <c r="H33" s="11">
        <v>17409000</v>
      </c>
      <c r="I33" s="57">
        <f t="shared" si="0"/>
        <v>0.30973561430793156</v>
      </c>
      <c r="J33" s="57">
        <f t="shared" si="1"/>
        <v>-0.13147145435546689</v>
      </c>
      <c r="K33" s="58">
        <f t="shared" si="2"/>
        <v>-4.7960188122060592E-2</v>
      </c>
    </row>
    <row r="34" spans="4:11" x14ac:dyDescent="0.2">
      <c r="D34" s="15" t="s">
        <v>580</v>
      </c>
      <c r="E34" s="11">
        <v>1856000</v>
      </c>
      <c r="F34" s="11">
        <v>2082000</v>
      </c>
      <c r="G34" s="11">
        <v>4435000</v>
      </c>
      <c r="H34" s="11">
        <v>4906000</v>
      </c>
      <c r="I34" s="57">
        <f t="shared" si="0"/>
        <v>0.12176724137931035</v>
      </c>
      <c r="J34" s="57">
        <f t="shared" si="1"/>
        <v>1.1301633045148896</v>
      </c>
      <c r="K34" s="58">
        <f t="shared" si="2"/>
        <v>0.10620067643742953</v>
      </c>
    </row>
    <row r="35" spans="4:11" x14ac:dyDescent="0.2">
      <c r="D35" s="15" t="s">
        <v>581</v>
      </c>
      <c r="E35" s="11">
        <v>36539000</v>
      </c>
      <c r="F35" s="11">
        <v>50977000</v>
      </c>
      <c r="G35" s="11">
        <v>-12135000</v>
      </c>
      <c r="H35" s="11">
        <v>33178000</v>
      </c>
      <c r="I35" s="57">
        <f t="shared" si="0"/>
        <v>0.39513944005035717</v>
      </c>
      <c r="J35" s="57">
        <f t="shared" si="1"/>
        <v>-1.2380485316907626</v>
      </c>
      <c r="K35" s="58">
        <f t="shared" si="2"/>
        <v>-3.7340749896992174</v>
      </c>
    </row>
    <row r="36" spans="4:11" x14ac:dyDescent="0.2">
      <c r="D36" s="15" t="s">
        <v>582</v>
      </c>
      <c r="E36" s="11">
        <v>4172000</v>
      </c>
      <c r="F36" s="11">
        <v>5626000</v>
      </c>
      <c r="G36" s="11">
        <v>3616000</v>
      </c>
      <c r="H36" s="11">
        <v>5873000</v>
      </c>
      <c r="I36" s="57">
        <f t="shared" si="0"/>
        <v>0.34851390220517736</v>
      </c>
      <c r="J36" s="57">
        <f t="shared" si="1"/>
        <v>-0.35726981869889796</v>
      </c>
      <c r="K36" s="58">
        <f t="shared" si="2"/>
        <v>0.62417035398230092</v>
      </c>
    </row>
    <row r="37" spans="4:11" x14ac:dyDescent="0.2">
      <c r="D37" s="15" t="s">
        <v>583</v>
      </c>
      <c r="E37" s="11">
        <v>1284566</v>
      </c>
      <c r="F37" s="11">
        <v>1995923</v>
      </c>
      <c r="G37" s="11">
        <v>2734731</v>
      </c>
      <c r="H37" s="11">
        <v>3762725</v>
      </c>
      <c r="I37" s="57">
        <f t="shared" si="0"/>
        <v>0.5537722468133206</v>
      </c>
      <c r="J37" s="57">
        <f t="shared" si="1"/>
        <v>0.37015856824136001</v>
      </c>
      <c r="K37" s="58">
        <f t="shared" si="2"/>
        <v>0.37590315098633104</v>
      </c>
    </row>
    <row r="38" spans="4:11" x14ac:dyDescent="0.2">
      <c r="D38" s="15" t="s">
        <v>584</v>
      </c>
      <c r="E38" s="11">
        <v>962229</v>
      </c>
      <c r="F38" s="11">
        <v>1698000</v>
      </c>
      <c r="G38" s="11">
        <v>2204000</v>
      </c>
      <c r="H38" s="11">
        <v>2803000</v>
      </c>
      <c r="I38" s="57">
        <f t="shared" si="0"/>
        <v>0.76465269701910876</v>
      </c>
      <c r="J38" s="57">
        <f t="shared" si="1"/>
        <v>0.29799764428739695</v>
      </c>
      <c r="K38" s="58">
        <f t="shared" si="2"/>
        <v>0.27177858439201452</v>
      </c>
    </row>
    <row r="39" spans="4:11" x14ac:dyDescent="0.2">
      <c r="D39" s="15" t="s">
        <v>585</v>
      </c>
      <c r="E39" s="11">
        <v>-840687</v>
      </c>
      <c r="F39" s="11">
        <v>-1581637</v>
      </c>
      <c r="G39" s="11">
        <v>-1959250</v>
      </c>
      <c r="H39" s="11">
        <v>-2854425</v>
      </c>
      <c r="I39" s="57">
        <f t="shared" si="0"/>
        <v>0.88136250471340705</v>
      </c>
      <c r="J39" s="57">
        <f t="shared" si="1"/>
        <v>0.23874820834363383</v>
      </c>
      <c r="K39" s="58">
        <f t="shared" si="2"/>
        <v>0.45689677172387394</v>
      </c>
    </row>
    <row r="40" spans="4:11" x14ac:dyDescent="0.2">
      <c r="D40" s="15" t="s">
        <v>586</v>
      </c>
      <c r="E40" s="11">
        <v>6905000</v>
      </c>
      <c r="F40" s="11">
        <v>6905000</v>
      </c>
      <c r="G40" s="11">
        <v>7364000</v>
      </c>
      <c r="H40" s="11">
        <v>8042000</v>
      </c>
      <c r="I40" s="57">
        <f t="shared" si="0"/>
        <v>0</v>
      </c>
      <c r="J40" s="57">
        <f t="shared" si="1"/>
        <v>6.6473569876900798E-2</v>
      </c>
      <c r="K40" s="58">
        <f t="shared" si="2"/>
        <v>9.2069527430744161E-2</v>
      </c>
    </row>
    <row r="41" spans="4:11" x14ac:dyDescent="0.2">
      <c r="D41" s="15" t="s">
        <v>587</v>
      </c>
      <c r="E41" s="11">
        <v>12496000</v>
      </c>
      <c r="F41" s="11">
        <v>12105000</v>
      </c>
      <c r="G41" s="11">
        <v>13650000</v>
      </c>
      <c r="H41" s="11">
        <v>12891000</v>
      </c>
      <c r="I41" s="57">
        <f t="shared" si="0"/>
        <v>-3.1290012804097309E-2</v>
      </c>
      <c r="J41" s="57">
        <f t="shared" si="1"/>
        <v>0.12763320941759604</v>
      </c>
      <c r="K41" s="58">
        <f t="shared" si="2"/>
        <v>-5.5604395604395604E-2</v>
      </c>
    </row>
    <row r="42" spans="4:11" x14ac:dyDescent="0.2">
      <c r="D42" s="15" t="s">
        <v>588</v>
      </c>
      <c r="E42" s="11">
        <v>1824000</v>
      </c>
      <c r="F42" s="11">
        <v>2489000</v>
      </c>
      <c r="G42" s="11">
        <v>1864000</v>
      </c>
      <c r="H42" s="11">
        <v>4660000</v>
      </c>
      <c r="I42" s="57">
        <f t="shared" si="0"/>
        <v>0.36458333333333331</v>
      </c>
      <c r="J42" s="57">
        <f t="shared" si="1"/>
        <v>-0.25110486139011651</v>
      </c>
      <c r="K42" s="58">
        <f t="shared" si="2"/>
        <v>1.5</v>
      </c>
    </row>
    <row r="43" spans="4:11" x14ac:dyDescent="0.2">
      <c r="D43" s="15" t="s">
        <v>367</v>
      </c>
      <c r="E43" s="11">
        <v>3781146</v>
      </c>
      <c r="F43" s="11">
        <v>4170834</v>
      </c>
      <c r="G43" s="11">
        <v>4457120</v>
      </c>
      <c r="H43" s="11">
        <v>5407504</v>
      </c>
      <c r="I43" s="57">
        <f t="shared" si="0"/>
        <v>0.10306081806944244</v>
      </c>
      <c r="J43" s="57">
        <f t="shared" si="1"/>
        <v>6.8639989028573184E-2</v>
      </c>
      <c r="K43" s="58">
        <f t="shared" si="2"/>
        <v>0.2132282729655024</v>
      </c>
    </row>
    <row r="44" spans="4:11" x14ac:dyDescent="0.2">
      <c r="D44" s="15" t="s">
        <v>589</v>
      </c>
      <c r="E44" s="11">
        <v>9137000</v>
      </c>
      <c r="F44" s="11">
        <v>9616000</v>
      </c>
      <c r="G44" s="11">
        <v>10513000</v>
      </c>
      <c r="H44" s="11">
        <v>10558000</v>
      </c>
      <c r="I44" s="57">
        <f t="shared" si="0"/>
        <v>5.2424209259056581E-2</v>
      </c>
      <c r="J44" s="57">
        <f t="shared" si="1"/>
        <v>9.3282029950083195E-2</v>
      </c>
      <c r="K44" s="58">
        <f t="shared" si="2"/>
        <v>4.2804147246266527E-3</v>
      </c>
    </row>
    <row r="45" spans="4:11" x14ac:dyDescent="0.2">
      <c r="D45" s="15" t="s">
        <v>371</v>
      </c>
      <c r="E45" s="11">
        <v>1892000</v>
      </c>
      <c r="F45" s="11">
        <v>643000</v>
      </c>
      <c r="G45" s="11">
        <v>4224000</v>
      </c>
      <c r="H45" s="11">
        <v>2805000</v>
      </c>
      <c r="I45" s="57">
        <f t="shared" si="0"/>
        <v>-0.66014799154334036</v>
      </c>
      <c r="J45" s="57">
        <f t="shared" si="1"/>
        <v>5.5692068429237951</v>
      </c>
      <c r="K45" s="58">
        <f t="shared" si="2"/>
        <v>-0.3359375</v>
      </c>
    </row>
    <row r="46" spans="4:11" x14ac:dyDescent="0.2">
      <c r="D46" s="15" t="s">
        <v>590</v>
      </c>
      <c r="E46" s="11">
        <v>13676000</v>
      </c>
      <c r="F46" s="11">
        <v>13517000</v>
      </c>
      <c r="G46" s="11">
        <v>13495000</v>
      </c>
      <c r="H46" s="11">
        <v>11852000</v>
      </c>
      <c r="I46" s="57">
        <f t="shared" si="0"/>
        <v>-1.1626206493126645E-2</v>
      </c>
      <c r="J46" s="57">
        <f t="shared" si="1"/>
        <v>-1.6275800843382408E-3</v>
      </c>
      <c r="K46" s="58">
        <f t="shared" si="2"/>
        <v>-0.12174879585031494</v>
      </c>
    </row>
    <row r="47" spans="4:11" x14ac:dyDescent="0.2">
      <c r="D47" s="15" t="s">
        <v>591</v>
      </c>
      <c r="E47" s="11">
        <v>2445400</v>
      </c>
      <c r="F47" s="11">
        <v>3257600</v>
      </c>
      <c r="G47" s="11">
        <v>2732400</v>
      </c>
      <c r="H47" s="11">
        <v>9961400</v>
      </c>
      <c r="I47" s="57">
        <f t="shared" si="0"/>
        <v>0.33213380224094219</v>
      </c>
      <c r="J47" s="57">
        <f t="shared" si="1"/>
        <v>-0.16122298624754419</v>
      </c>
      <c r="K47" s="58">
        <f t="shared" si="2"/>
        <v>2.6456594934855806</v>
      </c>
    </row>
    <row r="48" spans="4:11" x14ac:dyDescent="0.2">
      <c r="D48" s="15" t="s">
        <v>592</v>
      </c>
      <c r="E48" s="11">
        <v>4446000</v>
      </c>
      <c r="F48" s="11">
        <v>4403000</v>
      </c>
      <c r="G48" s="11">
        <v>4935000</v>
      </c>
      <c r="H48" s="11">
        <v>5606000</v>
      </c>
      <c r="I48" s="57">
        <f t="shared" si="0"/>
        <v>-9.6716149347728288E-3</v>
      </c>
      <c r="J48" s="57">
        <f t="shared" si="1"/>
        <v>0.12082670906200318</v>
      </c>
      <c r="K48" s="58">
        <f t="shared" si="2"/>
        <v>0.13596757852077002</v>
      </c>
    </row>
    <row r="49" spans="4:11" x14ac:dyDescent="0.2">
      <c r="D49" s="15" t="s">
        <v>593</v>
      </c>
      <c r="E49" s="11">
        <v>2694000</v>
      </c>
      <c r="F49" s="11">
        <v>4020000</v>
      </c>
      <c r="G49" s="11">
        <v>3992000</v>
      </c>
      <c r="H49" s="11">
        <v>5249000</v>
      </c>
      <c r="I49" s="57">
        <f t="shared" si="0"/>
        <v>0.49220489977728288</v>
      </c>
      <c r="J49" s="57">
        <f t="shared" si="1"/>
        <v>-6.965174129353234E-3</v>
      </c>
      <c r="K49" s="58">
        <f t="shared" si="2"/>
        <v>0.31487975951903807</v>
      </c>
    </row>
    <row r="50" spans="4:11" x14ac:dyDescent="0.2">
      <c r="D50" s="15" t="s">
        <v>594</v>
      </c>
      <c r="E50" s="11">
        <v>3846000</v>
      </c>
      <c r="F50" s="11">
        <v>4083000</v>
      </c>
      <c r="G50" s="11">
        <v>4668000</v>
      </c>
      <c r="H50" s="11">
        <v>6058000</v>
      </c>
      <c r="I50" s="57">
        <f t="shared" si="0"/>
        <v>6.1622464898595943E-2</v>
      </c>
      <c r="J50" s="57">
        <f t="shared" si="1"/>
        <v>0.14327700220426157</v>
      </c>
      <c r="K50" s="58">
        <f t="shared" si="2"/>
        <v>0.2977720651242502</v>
      </c>
    </row>
    <row r="51" spans="4:11" x14ac:dyDescent="0.2">
      <c r="D51" s="15" t="s">
        <v>595</v>
      </c>
      <c r="E51" s="11">
        <v>2519000</v>
      </c>
      <c r="F51" s="11">
        <v>2814000</v>
      </c>
      <c r="G51" s="11">
        <v>3497000</v>
      </c>
      <c r="H51" s="11">
        <v>3785000</v>
      </c>
      <c r="I51" s="57">
        <f t="shared" si="0"/>
        <v>0.11710996427153632</v>
      </c>
      <c r="J51" s="57">
        <f t="shared" si="1"/>
        <v>0.24271499644633973</v>
      </c>
      <c r="K51" s="58">
        <f t="shared" si="2"/>
        <v>8.235630540463254E-2</v>
      </c>
    </row>
    <row r="52" spans="4:11" x14ac:dyDescent="0.2">
      <c r="D52" s="15" t="s">
        <v>596</v>
      </c>
      <c r="E52" s="11">
        <v>1725000</v>
      </c>
      <c r="F52" s="11">
        <v>2688000</v>
      </c>
      <c r="G52" s="11">
        <v>5482000</v>
      </c>
      <c r="H52" s="11">
        <v>8245000</v>
      </c>
      <c r="I52" s="57">
        <f t="shared" si="0"/>
        <v>0.55826086956521737</v>
      </c>
      <c r="J52" s="57">
        <f t="shared" si="1"/>
        <v>1.0394345238095237</v>
      </c>
      <c r="K52" s="58">
        <f t="shared" si="2"/>
        <v>0.50401313389273983</v>
      </c>
    </row>
    <row r="53" spans="4:11" x14ac:dyDescent="0.2">
      <c r="D53" s="15" t="s">
        <v>597</v>
      </c>
      <c r="E53" s="11">
        <v>-2288000</v>
      </c>
      <c r="F53" s="11">
        <v>-3267000</v>
      </c>
      <c r="G53" s="11">
        <v>-4282000</v>
      </c>
      <c r="H53" s="11">
        <v>-6411000</v>
      </c>
      <c r="I53" s="57">
        <f t="shared" si="0"/>
        <v>0.42788461538461536</v>
      </c>
      <c r="J53" s="57">
        <f t="shared" si="1"/>
        <v>0.31068258340985616</v>
      </c>
      <c r="K53" s="58">
        <f t="shared" si="2"/>
        <v>0.49719757122839797</v>
      </c>
    </row>
    <row r="54" spans="4:11" x14ac:dyDescent="0.2">
      <c r="D54" s="15" t="s">
        <v>598</v>
      </c>
      <c r="E54" s="11">
        <v>2256000</v>
      </c>
      <c r="F54" s="11">
        <v>2741000</v>
      </c>
      <c r="G54" s="11">
        <v>3927000</v>
      </c>
      <c r="H54" s="11">
        <v>4784000</v>
      </c>
      <c r="I54" s="57">
        <f t="shared" si="0"/>
        <v>0.2149822695035461</v>
      </c>
      <c r="J54" s="57">
        <f t="shared" si="1"/>
        <v>0.43268879970813573</v>
      </c>
      <c r="K54" s="58">
        <f t="shared" si="2"/>
        <v>0.21823274764451234</v>
      </c>
    </row>
    <row r="55" spans="4:11" x14ac:dyDescent="0.2">
      <c r="D55" s="15" t="s">
        <v>599</v>
      </c>
      <c r="E55" s="11">
        <v>2166900</v>
      </c>
      <c r="F55" s="11">
        <v>2701700</v>
      </c>
      <c r="G55" s="11">
        <v>2925600</v>
      </c>
      <c r="H55" s="11">
        <v>3748300</v>
      </c>
      <c r="I55" s="57">
        <f t="shared" si="0"/>
        <v>0.24680419031796574</v>
      </c>
      <c r="J55" s="57">
        <f t="shared" si="1"/>
        <v>8.287374615982529E-2</v>
      </c>
      <c r="K55" s="58">
        <f t="shared" si="2"/>
        <v>0.28120727372162974</v>
      </c>
    </row>
    <row r="56" spans="4:11" x14ac:dyDescent="0.2">
      <c r="D56" s="15" t="s">
        <v>600</v>
      </c>
      <c r="E56" s="11">
        <v>4731000</v>
      </c>
      <c r="F56" s="11">
        <v>2181000</v>
      </c>
      <c r="G56" s="11">
        <v>3617000</v>
      </c>
      <c r="H56" s="11">
        <v>4420000</v>
      </c>
      <c r="I56" s="57">
        <f t="shared" si="0"/>
        <v>-0.53899809765377293</v>
      </c>
      <c r="J56" s="57">
        <f t="shared" si="1"/>
        <v>0.65841357175607518</v>
      </c>
      <c r="K56" s="58">
        <f t="shared" si="2"/>
        <v>0.22200718827757809</v>
      </c>
    </row>
    <row r="57" spans="4:11" x14ac:dyDescent="0.2">
      <c r="D57" s="15" t="s">
        <v>601</v>
      </c>
      <c r="E57" s="11">
        <v>1089000</v>
      </c>
      <c r="F57" s="11">
        <v>1496000</v>
      </c>
      <c r="G57" s="11">
        <v>2909000</v>
      </c>
      <c r="H57" s="11">
        <v>3143000</v>
      </c>
      <c r="I57" s="57">
        <f t="shared" si="0"/>
        <v>0.37373737373737376</v>
      </c>
      <c r="J57" s="57">
        <f t="shared" si="1"/>
        <v>0.94451871657754005</v>
      </c>
      <c r="K57" s="58">
        <f t="shared" si="2"/>
        <v>8.0440013750429695E-2</v>
      </c>
    </row>
    <row r="58" spans="4:11" x14ac:dyDescent="0.2">
      <c r="D58" s="15" t="s">
        <v>602</v>
      </c>
      <c r="E58" s="11">
        <v>7003000</v>
      </c>
      <c r="F58" s="11">
        <v>6562000</v>
      </c>
      <c r="G58" s="11">
        <v>9431000</v>
      </c>
      <c r="H58" s="11">
        <v>12789000</v>
      </c>
      <c r="I58" s="57">
        <f t="shared" si="0"/>
        <v>-6.2973011566471518E-2</v>
      </c>
      <c r="J58" s="57">
        <f t="shared" si="1"/>
        <v>0.43721426394391955</v>
      </c>
      <c r="K58" s="58">
        <f t="shared" si="2"/>
        <v>0.35605980277807231</v>
      </c>
    </row>
    <row r="59" spans="4:11" x14ac:dyDescent="0.2">
      <c r="D59" s="15" t="s">
        <v>603</v>
      </c>
      <c r="E59" s="11">
        <v>1898400</v>
      </c>
      <c r="F59" s="11">
        <v>3814000</v>
      </c>
      <c r="G59" s="11">
        <v>4538800</v>
      </c>
      <c r="H59" s="11">
        <v>4313900</v>
      </c>
      <c r="I59" s="57">
        <f t="shared" si="0"/>
        <v>1.0090602612726507</v>
      </c>
      <c r="J59" s="57">
        <f t="shared" si="1"/>
        <v>0.19003670686942842</v>
      </c>
      <c r="K59" s="58">
        <f t="shared" si="2"/>
        <v>-4.9550541993478456E-2</v>
      </c>
    </row>
    <row r="60" spans="4:11" x14ac:dyDescent="0.2">
      <c r="D60" s="15" t="s">
        <v>604</v>
      </c>
      <c r="E60" s="11">
        <v>4162000</v>
      </c>
      <c r="F60" s="11">
        <v>4126000</v>
      </c>
      <c r="G60" s="11">
        <v>5299000</v>
      </c>
      <c r="H60" s="11">
        <v>1860000</v>
      </c>
      <c r="I60" s="57">
        <f t="shared" si="0"/>
        <v>-8.649687650168188E-3</v>
      </c>
      <c r="J60" s="57">
        <f t="shared" si="1"/>
        <v>0.28429471643238002</v>
      </c>
      <c r="K60" s="58">
        <f t="shared" si="2"/>
        <v>-0.64899037554255523</v>
      </c>
    </row>
    <row r="61" spans="4:11" x14ac:dyDescent="0.2">
      <c r="D61" s="15" t="s">
        <v>605</v>
      </c>
      <c r="E61" s="11">
        <v>4959000</v>
      </c>
      <c r="F61" s="11">
        <v>5242000</v>
      </c>
      <c r="G61" s="11">
        <v>4867000</v>
      </c>
      <c r="H61" s="11">
        <v>4862000</v>
      </c>
      <c r="I61" s="57">
        <f t="shared" si="0"/>
        <v>5.7067957249445453E-2</v>
      </c>
      <c r="J61" s="57">
        <f t="shared" si="1"/>
        <v>-7.1537581075925213E-2</v>
      </c>
      <c r="K61" s="58">
        <f t="shared" si="2"/>
        <v>-1.0273268954181221E-3</v>
      </c>
    </row>
    <row r="62" spans="4:11" x14ac:dyDescent="0.2">
      <c r="D62" s="15" t="s">
        <v>606</v>
      </c>
      <c r="E62" s="11">
        <v>4512000</v>
      </c>
      <c r="F62" s="11">
        <v>7093000</v>
      </c>
      <c r="G62" s="11">
        <v>4311000</v>
      </c>
      <c r="H62" s="11">
        <v>3111000</v>
      </c>
      <c r="I62" s="57">
        <f t="shared" si="0"/>
        <v>0.57203014184397161</v>
      </c>
      <c r="J62" s="57">
        <f t="shared" si="1"/>
        <v>-0.39221767940222757</v>
      </c>
      <c r="K62" s="58">
        <f t="shared" si="2"/>
        <v>-0.27835768963117608</v>
      </c>
    </row>
    <row r="63" spans="4:11" x14ac:dyDescent="0.2">
      <c r="D63" s="15" t="s">
        <v>607</v>
      </c>
      <c r="E63" s="11">
        <v>5614000</v>
      </c>
      <c r="F63" s="11">
        <v>3637000</v>
      </c>
      <c r="G63" s="11">
        <v>4702000</v>
      </c>
      <c r="H63" s="11">
        <v>8153000</v>
      </c>
      <c r="I63" s="57">
        <f t="shared" si="0"/>
        <v>-0.3521553259707873</v>
      </c>
      <c r="J63" s="57">
        <f t="shared" si="1"/>
        <v>0.29282375584272752</v>
      </c>
      <c r="K63" s="58">
        <f t="shared" si="2"/>
        <v>0.7339430029774564</v>
      </c>
    </row>
    <row r="64" spans="4:11" x14ac:dyDescent="0.2">
      <c r="D64" s="15" t="s">
        <v>608</v>
      </c>
      <c r="E64" s="11">
        <v>3288900</v>
      </c>
      <c r="F64" s="11">
        <v>2932200</v>
      </c>
      <c r="G64" s="11">
        <v>2858200</v>
      </c>
      <c r="H64" s="11">
        <v>3366300</v>
      </c>
      <c r="I64" s="57">
        <f t="shared" si="0"/>
        <v>-0.1084557146766396</v>
      </c>
      <c r="J64" s="57">
        <f t="shared" si="1"/>
        <v>-2.523702339540277E-2</v>
      </c>
      <c r="K64" s="58">
        <f t="shared" si="2"/>
        <v>0.17776922538660694</v>
      </c>
    </row>
    <row r="65" spans="4:11" x14ac:dyDescent="0.2">
      <c r="D65" s="15" t="s">
        <v>609</v>
      </c>
      <c r="E65" s="11">
        <v>3587000</v>
      </c>
      <c r="F65" s="11">
        <v>4450000</v>
      </c>
      <c r="G65" s="11">
        <v>3942000</v>
      </c>
      <c r="H65" s="11">
        <v>5019000</v>
      </c>
      <c r="I65" s="57">
        <f t="shared" si="0"/>
        <v>0.24059102313911346</v>
      </c>
      <c r="J65" s="57">
        <f t="shared" si="1"/>
        <v>-0.11415730337078651</v>
      </c>
      <c r="K65" s="58">
        <f t="shared" si="2"/>
        <v>0.27321156773211569</v>
      </c>
    </row>
    <row r="66" spans="4:11" x14ac:dyDescent="0.2">
      <c r="D66" s="15" t="s">
        <v>610</v>
      </c>
      <c r="E66" s="11">
        <v>998000</v>
      </c>
      <c r="F66" s="11">
        <v>1780000</v>
      </c>
      <c r="G66" s="11">
        <v>1596000</v>
      </c>
      <c r="H66" s="11">
        <v>1866000</v>
      </c>
      <c r="I66" s="57">
        <f t="shared" si="0"/>
        <v>0.78356713426853708</v>
      </c>
      <c r="J66" s="57">
        <f t="shared" si="1"/>
        <v>-0.10337078651685393</v>
      </c>
      <c r="K66" s="58">
        <f t="shared" si="2"/>
        <v>0.16917293233082706</v>
      </c>
    </row>
    <row r="67" spans="4:11" x14ac:dyDescent="0.2">
      <c r="D67" s="15" t="s">
        <v>611</v>
      </c>
      <c r="E67" s="11">
        <v>3029608</v>
      </c>
      <c r="F67" s="11">
        <v>3764000</v>
      </c>
      <c r="G67" s="11">
        <v>4374000</v>
      </c>
      <c r="H67" s="11">
        <v>4896000</v>
      </c>
      <c r="I67" s="57">
        <f t="shared" si="0"/>
        <v>0.24240495800116715</v>
      </c>
      <c r="J67" s="57">
        <f t="shared" si="1"/>
        <v>0.1620616365568544</v>
      </c>
      <c r="K67" s="58">
        <f t="shared" si="2"/>
        <v>0.11934156378600823</v>
      </c>
    </row>
    <row r="68" spans="4:11" x14ac:dyDescent="0.2">
      <c r="D68" s="15" t="s">
        <v>612</v>
      </c>
      <c r="E68" s="11">
        <v>9323000</v>
      </c>
      <c r="F68" s="11">
        <v>6914000</v>
      </c>
      <c r="G68" s="11">
        <v>12477000</v>
      </c>
      <c r="H68" s="11">
        <v>7619000</v>
      </c>
      <c r="I68" s="57">
        <f t="shared" si="0"/>
        <v>-0.2583932210661804</v>
      </c>
      <c r="J68" s="57">
        <f t="shared" si="1"/>
        <v>0.80459936361006656</v>
      </c>
      <c r="K68" s="58">
        <f t="shared" si="2"/>
        <v>-0.38935641580508135</v>
      </c>
    </row>
    <row r="69" spans="4:11" x14ac:dyDescent="0.2">
      <c r="D69" s="15" t="s">
        <v>613</v>
      </c>
      <c r="E69" s="11">
        <v>20503000</v>
      </c>
      <c r="F69" s="11">
        <v>16299000</v>
      </c>
      <c r="G69" s="11">
        <v>11308000</v>
      </c>
      <c r="H69" s="11">
        <v>7476000</v>
      </c>
      <c r="I69" s="57">
        <f t="shared" ref="I69:I132" si="3">(F69-E69)/E69</f>
        <v>-0.20504316441496367</v>
      </c>
      <c r="J69" s="57">
        <f t="shared" ref="J69:J132" si="4">(G69-F69)/F69</f>
        <v>-0.30621510522117923</v>
      </c>
      <c r="K69" s="58">
        <f t="shared" ref="K69:K132" si="5">(H69-G69)/G69</f>
        <v>-0.33887513264945174</v>
      </c>
    </row>
    <row r="70" spans="4:11" x14ac:dyDescent="0.2">
      <c r="D70" s="15" t="s">
        <v>614</v>
      </c>
      <c r="E70" s="11">
        <v>6172000</v>
      </c>
      <c r="F70" s="11">
        <v>7917000</v>
      </c>
      <c r="G70" s="11">
        <v>6089000</v>
      </c>
      <c r="H70" s="11">
        <v>6828000</v>
      </c>
      <c r="I70" s="57">
        <f t="shared" si="3"/>
        <v>0.28272845106934541</v>
      </c>
      <c r="J70" s="57">
        <f t="shared" si="4"/>
        <v>-0.23089554124036882</v>
      </c>
      <c r="K70" s="58">
        <f t="shared" si="5"/>
        <v>0.12136639842338644</v>
      </c>
    </row>
    <row r="71" spans="4:11" x14ac:dyDescent="0.2">
      <c r="D71" s="15" t="s">
        <v>615</v>
      </c>
      <c r="E71" s="11">
        <v>5051000</v>
      </c>
      <c r="F71" s="11">
        <v>3508000</v>
      </c>
      <c r="G71" s="11">
        <v>-3748000</v>
      </c>
      <c r="H71" s="11">
        <v>6428000</v>
      </c>
      <c r="I71" s="57">
        <f t="shared" si="3"/>
        <v>-0.30548406256186894</v>
      </c>
      <c r="J71" s="57">
        <f t="shared" si="4"/>
        <v>-2.0684150513112884</v>
      </c>
      <c r="K71" s="58">
        <f t="shared" si="5"/>
        <v>-2.7150480256136604</v>
      </c>
    </row>
    <row r="72" spans="4:11" x14ac:dyDescent="0.2">
      <c r="D72" s="15" t="s">
        <v>616</v>
      </c>
      <c r="E72" s="11">
        <v>2214000</v>
      </c>
      <c r="F72" s="11">
        <v>1614000</v>
      </c>
      <c r="G72" s="11">
        <v>1579000</v>
      </c>
      <c r="H72" s="11">
        <v>2853000</v>
      </c>
      <c r="I72" s="57">
        <f t="shared" si="3"/>
        <v>-0.27100271002710025</v>
      </c>
      <c r="J72" s="57">
        <f t="shared" si="4"/>
        <v>-2.1685254027261461E-2</v>
      </c>
      <c r="K72" s="58">
        <f t="shared" si="5"/>
        <v>0.80683977200759971</v>
      </c>
    </row>
    <row r="73" spans="4:11" x14ac:dyDescent="0.2">
      <c r="D73" s="15" t="s">
        <v>617</v>
      </c>
      <c r="E73" s="11">
        <v>8782000</v>
      </c>
      <c r="F73" s="11">
        <v>5336000</v>
      </c>
      <c r="G73" s="11">
        <v>6472000</v>
      </c>
      <c r="H73" s="11">
        <v>10564000</v>
      </c>
      <c r="I73" s="57">
        <f t="shared" si="3"/>
        <v>-0.39239353222500567</v>
      </c>
      <c r="J73" s="57">
        <f t="shared" si="4"/>
        <v>0.21289355322338829</v>
      </c>
      <c r="K73" s="58">
        <f t="shared" si="5"/>
        <v>0.63226205191594564</v>
      </c>
    </row>
    <row r="74" spans="4:11" x14ac:dyDescent="0.2">
      <c r="D74" s="15" t="s">
        <v>618</v>
      </c>
      <c r="E74" s="11">
        <v>1285000</v>
      </c>
      <c r="F74" s="11">
        <v>1843000</v>
      </c>
      <c r="G74" s="11">
        <v>4220000</v>
      </c>
      <c r="H74" s="11">
        <v>4989000</v>
      </c>
      <c r="I74" s="57">
        <f t="shared" si="3"/>
        <v>0.43424124513618678</v>
      </c>
      <c r="J74" s="57">
        <f t="shared" si="4"/>
        <v>1.2897449810092241</v>
      </c>
      <c r="K74" s="58">
        <f t="shared" si="5"/>
        <v>0.18222748815165876</v>
      </c>
    </row>
    <row r="75" spans="4:11" x14ac:dyDescent="0.2">
      <c r="D75" s="15" t="s">
        <v>619</v>
      </c>
      <c r="E75" s="11">
        <v>1418300</v>
      </c>
      <c r="F75" s="11">
        <v>1640200</v>
      </c>
      <c r="G75" s="11">
        <v>1669200</v>
      </c>
      <c r="H75" s="11">
        <v>2324100</v>
      </c>
      <c r="I75" s="57">
        <f t="shared" si="3"/>
        <v>0.15645491080871465</v>
      </c>
      <c r="J75" s="57">
        <f t="shared" si="4"/>
        <v>1.7680770637727106E-2</v>
      </c>
      <c r="K75" s="58">
        <f t="shared" si="5"/>
        <v>0.39234363767074049</v>
      </c>
    </row>
    <row r="76" spans="4:11" x14ac:dyDescent="0.2">
      <c r="D76" s="15" t="s">
        <v>620</v>
      </c>
      <c r="E76" s="11">
        <v>1044000</v>
      </c>
      <c r="F76" s="11">
        <v>1497000</v>
      </c>
      <c r="G76" s="11">
        <v>2074000</v>
      </c>
      <c r="H76" s="11">
        <v>2248000</v>
      </c>
      <c r="I76" s="57">
        <f t="shared" si="3"/>
        <v>0.43390804597701149</v>
      </c>
      <c r="J76" s="57">
        <f t="shared" si="4"/>
        <v>0.38543754175016698</v>
      </c>
      <c r="K76" s="58">
        <f t="shared" si="5"/>
        <v>8.3895853423336553E-2</v>
      </c>
    </row>
    <row r="77" spans="4:11" x14ac:dyDescent="0.2">
      <c r="D77" s="15" t="s">
        <v>621</v>
      </c>
      <c r="E77" s="11">
        <v>1728800</v>
      </c>
      <c r="F77" s="11">
        <v>1885700</v>
      </c>
      <c r="G77" s="11">
        <v>2309100</v>
      </c>
      <c r="H77" s="11">
        <v>2526300</v>
      </c>
      <c r="I77" s="57">
        <f t="shared" si="3"/>
        <v>9.0756594169366031E-2</v>
      </c>
      <c r="J77" s="57">
        <f t="shared" si="4"/>
        <v>0.22453200403033358</v>
      </c>
      <c r="K77" s="58">
        <f t="shared" si="5"/>
        <v>9.4062621800701574E-2</v>
      </c>
    </row>
    <row r="78" spans="4:11" x14ac:dyDescent="0.2">
      <c r="D78" s="15" t="s">
        <v>622</v>
      </c>
      <c r="E78" s="11">
        <v>3864000</v>
      </c>
      <c r="F78" s="11">
        <v>5292000</v>
      </c>
      <c r="G78" s="11">
        <v>4503000</v>
      </c>
      <c r="H78" s="11">
        <v>5480000</v>
      </c>
      <c r="I78" s="57">
        <f t="shared" si="3"/>
        <v>0.36956521739130432</v>
      </c>
      <c r="J78" s="57">
        <f t="shared" si="4"/>
        <v>-0.14909297052154194</v>
      </c>
      <c r="K78" s="58">
        <f t="shared" si="5"/>
        <v>0.21696646679991116</v>
      </c>
    </row>
    <row r="79" spans="4:11" x14ac:dyDescent="0.2">
      <c r="D79" s="15" t="s">
        <v>623</v>
      </c>
      <c r="E79" s="11">
        <v>12582000</v>
      </c>
      <c r="F79" s="11">
        <v>-6039000</v>
      </c>
      <c r="G79" s="11">
        <v>-1339000</v>
      </c>
      <c r="H79" s="11">
        <v>-3449000</v>
      </c>
      <c r="I79" s="57">
        <f t="shared" si="3"/>
        <v>-1.4799713876967096</v>
      </c>
      <c r="J79" s="57">
        <f t="shared" si="4"/>
        <v>-0.77827454876635205</v>
      </c>
      <c r="K79" s="58">
        <f t="shared" si="5"/>
        <v>1.5758028379387603</v>
      </c>
    </row>
    <row r="80" spans="4:11" x14ac:dyDescent="0.2">
      <c r="D80" s="15" t="s">
        <v>624</v>
      </c>
      <c r="E80" s="11">
        <v>1134000</v>
      </c>
      <c r="F80" s="11">
        <v>1866000</v>
      </c>
      <c r="G80" s="11">
        <v>1823000</v>
      </c>
      <c r="H80" s="11">
        <v>1970000</v>
      </c>
      <c r="I80" s="57">
        <f t="shared" si="3"/>
        <v>0.64550264550264547</v>
      </c>
      <c r="J80" s="57">
        <f t="shared" si="4"/>
        <v>-2.3043944265809219E-2</v>
      </c>
      <c r="K80" s="58">
        <f t="shared" si="5"/>
        <v>8.0636313768513435E-2</v>
      </c>
    </row>
    <row r="81" spans="4:11" x14ac:dyDescent="0.2">
      <c r="D81" s="15" t="s">
        <v>625</v>
      </c>
      <c r="E81" s="11">
        <v>3573700</v>
      </c>
      <c r="F81" s="11">
        <v>2686000</v>
      </c>
      <c r="G81" s="11">
        <v>3385000</v>
      </c>
      <c r="H81" s="11">
        <v>2619000</v>
      </c>
      <c r="I81" s="57">
        <f t="shared" si="3"/>
        <v>-0.24839801886000504</v>
      </c>
      <c r="J81" s="57">
        <f t="shared" si="4"/>
        <v>0.26023827252419957</v>
      </c>
      <c r="K81" s="58">
        <f t="shared" si="5"/>
        <v>-0.22629246676514034</v>
      </c>
    </row>
    <row r="82" spans="4:11" x14ac:dyDescent="0.2">
      <c r="D82" s="15" t="s">
        <v>626</v>
      </c>
      <c r="E82" s="11">
        <v>7648000</v>
      </c>
      <c r="F82" s="11">
        <v>3629000</v>
      </c>
      <c r="G82" s="11">
        <v>-21411000</v>
      </c>
      <c r="H82" s="11">
        <v>12439000</v>
      </c>
      <c r="I82" s="57">
        <f t="shared" si="3"/>
        <v>-0.52549686192468614</v>
      </c>
      <c r="J82" s="57">
        <f t="shared" si="4"/>
        <v>-6.8999724441995038</v>
      </c>
      <c r="K82" s="58">
        <f t="shared" si="5"/>
        <v>-1.5809630563728925</v>
      </c>
    </row>
    <row r="83" spans="4:11" x14ac:dyDescent="0.2">
      <c r="D83" s="15" t="s">
        <v>627</v>
      </c>
      <c r="E83" s="11">
        <v>519000</v>
      </c>
      <c r="F83" s="11">
        <v>2716000</v>
      </c>
      <c r="G83" s="11">
        <v>3273000</v>
      </c>
      <c r="H83" s="11">
        <v>2642000</v>
      </c>
      <c r="I83" s="57">
        <f t="shared" si="3"/>
        <v>4.2331406551059727</v>
      </c>
      <c r="J83" s="57">
        <f t="shared" si="4"/>
        <v>0.20508100147275404</v>
      </c>
      <c r="K83" s="58">
        <f t="shared" si="5"/>
        <v>-0.19278948976474183</v>
      </c>
    </row>
    <row r="84" spans="4:11" x14ac:dyDescent="0.2">
      <c r="D84" s="15" t="s">
        <v>628</v>
      </c>
      <c r="E84" s="11">
        <v>711000</v>
      </c>
      <c r="F84" s="11">
        <v>1425000</v>
      </c>
      <c r="G84" s="11">
        <v>961000</v>
      </c>
      <c r="H84" s="11">
        <v>2038000</v>
      </c>
      <c r="I84" s="57">
        <f t="shared" si="3"/>
        <v>1.0042194092827004</v>
      </c>
      <c r="J84" s="57">
        <f t="shared" si="4"/>
        <v>-0.3256140350877193</v>
      </c>
      <c r="K84" s="58">
        <f t="shared" si="5"/>
        <v>1.1207075962539021</v>
      </c>
    </row>
    <row r="85" spans="4:11" x14ac:dyDescent="0.2">
      <c r="D85" s="15" t="s">
        <v>629</v>
      </c>
      <c r="E85" s="11">
        <v>2499000</v>
      </c>
      <c r="F85" s="11">
        <v>3929000</v>
      </c>
      <c r="G85" s="11">
        <v>4967000</v>
      </c>
      <c r="H85" s="11">
        <v>4841000</v>
      </c>
      <c r="I85" s="57">
        <f t="shared" si="3"/>
        <v>0.5722288915566226</v>
      </c>
      <c r="J85" s="57">
        <f t="shared" si="4"/>
        <v>0.26418936116060066</v>
      </c>
      <c r="K85" s="58">
        <f t="shared" si="5"/>
        <v>-2.5367425005033219E-2</v>
      </c>
    </row>
    <row r="86" spans="4:11" x14ac:dyDescent="0.2">
      <c r="D86" s="15" t="s">
        <v>630</v>
      </c>
      <c r="E86" s="11">
        <v>-66000</v>
      </c>
      <c r="F86" s="11">
        <v>-1038000</v>
      </c>
      <c r="G86" s="11">
        <v>-1428000</v>
      </c>
      <c r="H86" s="11">
        <v>-2203000</v>
      </c>
      <c r="I86" s="57">
        <f t="shared" si="3"/>
        <v>14.727272727272727</v>
      </c>
      <c r="J86" s="57">
        <f t="shared" si="4"/>
        <v>0.37572254335260113</v>
      </c>
      <c r="K86" s="58">
        <f t="shared" si="5"/>
        <v>0.54271708683473385</v>
      </c>
    </row>
    <row r="87" spans="4:11" x14ac:dyDescent="0.2">
      <c r="D87" s="15" t="s">
        <v>631</v>
      </c>
      <c r="E87" s="11">
        <v>3438000</v>
      </c>
      <c r="F87" s="11">
        <v>2711000</v>
      </c>
      <c r="G87" s="11">
        <v>3370000</v>
      </c>
      <c r="H87" s="11">
        <v>3642000</v>
      </c>
      <c r="I87" s="57">
        <f t="shared" si="3"/>
        <v>-0.21146015125072717</v>
      </c>
      <c r="J87" s="57">
        <f t="shared" si="4"/>
        <v>0.24308373293987459</v>
      </c>
      <c r="K87" s="58">
        <f t="shared" si="5"/>
        <v>8.0712166172106831E-2</v>
      </c>
    </row>
    <row r="88" spans="4:11" x14ac:dyDescent="0.2">
      <c r="D88" s="15" t="s">
        <v>632</v>
      </c>
      <c r="E88" s="11">
        <v>2067535</v>
      </c>
      <c r="F88" s="11">
        <v>2602112</v>
      </c>
      <c r="G88" s="11">
        <v>1968007</v>
      </c>
      <c r="H88" s="11">
        <v>2963320</v>
      </c>
      <c r="I88" s="57">
        <f t="shared" si="3"/>
        <v>0.2585576544048831</v>
      </c>
      <c r="J88" s="57">
        <f t="shared" si="4"/>
        <v>-0.24368858834669685</v>
      </c>
      <c r="K88" s="58">
        <f t="shared" si="5"/>
        <v>0.50574667671405638</v>
      </c>
    </row>
    <row r="89" spans="4:11" x14ac:dyDescent="0.2">
      <c r="D89" s="15" t="s">
        <v>633</v>
      </c>
      <c r="E89" s="11">
        <v>88000</v>
      </c>
      <c r="F89" s="11">
        <v>1445000</v>
      </c>
      <c r="G89" s="11">
        <v>1893000</v>
      </c>
      <c r="H89" s="11">
        <v>1951000</v>
      </c>
      <c r="I89" s="57">
        <f t="shared" si="3"/>
        <v>15.420454545454545</v>
      </c>
      <c r="J89" s="57">
        <f t="shared" si="4"/>
        <v>0.31003460207612454</v>
      </c>
      <c r="K89" s="58">
        <f t="shared" si="5"/>
        <v>3.0639197041732701E-2</v>
      </c>
    </row>
    <row r="90" spans="4:11" x14ac:dyDescent="0.2">
      <c r="D90" s="15" t="s">
        <v>634</v>
      </c>
      <c r="E90" s="11">
        <v>2258000</v>
      </c>
      <c r="F90" s="11">
        <v>2548000</v>
      </c>
      <c r="G90" s="11">
        <v>2501000</v>
      </c>
      <c r="H90" s="11">
        <v>2620000</v>
      </c>
      <c r="I90" s="57">
        <f t="shared" si="3"/>
        <v>0.12843224092116917</v>
      </c>
      <c r="J90" s="57">
        <f t="shared" si="4"/>
        <v>-1.8445839874411302E-2</v>
      </c>
      <c r="K90" s="58">
        <f t="shared" si="5"/>
        <v>4.7580967612954821E-2</v>
      </c>
    </row>
    <row r="91" spans="4:11" x14ac:dyDescent="0.2">
      <c r="D91" s="15" t="s">
        <v>635</v>
      </c>
      <c r="E91" s="11">
        <v>1691000</v>
      </c>
      <c r="F91" s="11">
        <v>1893000</v>
      </c>
      <c r="G91" s="11">
        <v>1685000</v>
      </c>
      <c r="H91" s="11">
        <v>2578000</v>
      </c>
      <c r="I91" s="57">
        <f t="shared" si="3"/>
        <v>0.11945594322885866</v>
      </c>
      <c r="J91" s="57">
        <f t="shared" si="4"/>
        <v>-0.109878499735869</v>
      </c>
      <c r="K91" s="58">
        <f t="shared" si="5"/>
        <v>0.5299703264094956</v>
      </c>
    </row>
    <row r="92" spans="4:11" x14ac:dyDescent="0.2">
      <c r="D92" s="15" t="s">
        <v>636</v>
      </c>
      <c r="E92" s="11">
        <v>-1518000</v>
      </c>
      <c r="F92" s="11">
        <v>-1974000</v>
      </c>
      <c r="G92" s="11">
        <v>-1407000</v>
      </c>
      <c r="H92" s="11">
        <v>368000</v>
      </c>
      <c r="I92" s="57">
        <f t="shared" si="3"/>
        <v>0.30039525691699603</v>
      </c>
      <c r="J92" s="57">
        <f t="shared" si="4"/>
        <v>-0.28723404255319152</v>
      </c>
      <c r="K92" s="58">
        <f t="shared" si="5"/>
        <v>-1.2615493958777542</v>
      </c>
    </row>
    <row r="93" spans="4:11" x14ac:dyDescent="0.2">
      <c r="D93" s="15" t="s">
        <v>637</v>
      </c>
      <c r="E93" s="11">
        <v>887833</v>
      </c>
      <c r="F93" s="11">
        <v>913000</v>
      </c>
      <c r="G93" s="11">
        <v>815000</v>
      </c>
      <c r="H93" s="11">
        <v>761000</v>
      </c>
      <c r="I93" s="57">
        <f t="shared" si="3"/>
        <v>2.834654715470139E-2</v>
      </c>
      <c r="J93" s="57">
        <f t="shared" si="4"/>
        <v>-0.10733844468784227</v>
      </c>
      <c r="K93" s="58">
        <f t="shared" si="5"/>
        <v>-6.6257668711656448E-2</v>
      </c>
    </row>
    <row r="94" spans="4:11" x14ac:dyDescent="0.2">
      <c r="D94" s="15" t="s">
        <v>638</v>
      </c>
      <c r="E94" s="11">
        <v>600000</v>
      </c>
      <c r="F94" s="11">
        <v>-2416000</v>
      </c>
      <c r="G94" s="11">
        <v>-1029000</v>
      </c>
      <c r="H94" s="11">
        <v>-1056000</v>
      </c>
      <c r="I94" s="57">
        <f t="shared" si="3"/>
        <v>-5.0266666666666664</v>
      </c>
      <c r="J94" s="57">
        <f t="shared" si="4"/>
        <v>-0.57408940397350994</v>
      </c>
      <c r="K94" s="58">
        <f t="shared" si="5"/>
        <v>2.6239067055393587E-2</v>
      </c>
    </row>
    <row r="95" spans="4:11" x14ac:dyDescent="0.2">
      <c r="D95" s="15" t="s">
        <v>639</v>
      </c>
      <c r="E95" s="11">
        <v>987000</v>
      </c>
      <c r="F95" s="11">
        <v>1141000</v>
      </c>
      <c r="G95" s="11">
        <v>1215000</v>
      </c>
      <c r="H95" s="11">
        <v>1235000</v>
      </c>
      <c r="I95" s="57">
        <f t="shared" si="3"/>
        <v>0.15602836879432624</v>
      </c>
      <c r="J95" s="57">
        <f t="shared" si="4"/>
        <v>6.4855390008764238E-2</v>
      </c>
      <c r="K95" s="58">
        <f t="shared" si="5"/>
        <v>1.646090534979424E-2</v>
      </c>
    </row>
    <row r="96" spans="4:11" x14ac:dyDescent="0.2">
      <c r="D96" s="15" t="s">
        <v>640</v>
      </c>
      <c r="E96" s="11">
        <v>440000</v>
      </c>
      <c r="F96" s="11">
        <v>497000</v>
      </c>
      <c r="G96" s="11">
        <v>1122000</v>
      </c>
      <c r="H96" s="11">
        <v>1452000</v>
      </c>
      <c r="I96" s="57">
        <f t="shared" si="3"/>
        <v>0.12954545454545455</v>
      </c>
      <c r="J96" s="57">
        <f t="shared" si="4"/>
        <v>1.2575452716297786</v>
      </c>
      <c r="K96" s="58">
        <f t="shared" si="5"/>
        <v>0.29411764705882354</v>
      </c>
    </row>
    <row r="97" spans="4:11" x14ac:dyDescent="0.2">
      <c r="D97" s="15" t="s">
        <v>641</v>
      </c>
      <c r="E97" s="11">
        <v>2423000</v>
      </c>
      <c r="F97" s="11">
        <v>3565000</v>
      </c>
      <c r="G97" s="11">
        <v>3615000</v>
      </c>
      <c r="H97" s="11">
        <v>3242000</v>
      </c>
      <c r="I97" s="57">
        <f t="shared" si="3"/>
        <v>0.47131654973173753</v>
      </c>
      <c r="J97" s="57">
        <f t="shared" si="4"/>
        <v>1.4025245441795231E-2</v>
      </c>
      <c r="K97" s="58">
        <f t="shared" si="5"/>
        <v>-0.10318118948824342</v>
      </c>
    </row>
    <row r="98" spans="4:11" x14ac:dyDescent="0.2">
      <c r="D98" s="15" t="s">
        <v>642</v>
      </c>
      <c r="E98" s="11">
        <v>444000</v>
      </c>
      <c r="F98" s="11">
        <v>806000</v>
      </c>
      <c r="G98" s="11">
        <v>1107000</v>
      </c>
      <c r="H98" s="11">
        <v>-6000</v>
      </c>
      <c r="I98" s="57">
        <f t="shared" si="3"/>
        <v>0.81531531531531531</v>
      </c>
      <c r="J98" s="57">
        <f t="shared" si="4"/>
        <v>0.37344913151364767</v>
      </c>
      <c r="K98" s="58">
        <f t="shared" si="5"/>
        <v>-1.005420054200542</v>
      </c>
    </row>
    <row r="99" spans="4:11" x14ac:dyDescent="0.2">
      <c r="D99" s="15" t="s">
        <v>643</v>
      </c>
      <c r="E99" s="11">
        <v>-2478000</v>
      </c>
      <c r="F99" s="11">
        <v>-466000</v>
      </c>
      <c r="G99" s="11">
        <v>2486000</v>
      </c>
      <c r="H99" s="11">
        <v>6184000</v>
      </c>
      <c r="I99" s="57">
        <f t="shared" si="3"/>
        <v>-0.81194511702986283</v>
      </c>
      <c r="J99" s="57">
        <f t="shared" si="4"/>
        <v>-6.3347639484978542</v>
      </c>
      <c r="K99" s="58">
        <f t="shared" si="5"/>
        <v>1.4875301689460982</v>
      </c>
    </row>
    <row r="100" spans="4:11" x14ac:dyDescent="0.2">
      <c r="D100" s="15" t="s">
        <v>644</v>
      </c>
      <c r="E100" s="11">
        <v>725200</v>
      </c>
      <c r="F100" s="11">
        <v>1033100</v>
      </c>
      <c r="G100" s="11">
        <v>953200</v>
      </c>
      <c r="H100" s="11">
        <v>982200</v>
      </c>
      <c r="I100" s="57">
        <f t="shared" si="3"/>
        <v>0.42457253171538883</v>
      </c>
      <c r="J100" s="57">
        <f t="shared" si="4"/>
        <v>-7.734004452618333E-2</v>
      </c>
      <c r="K100" s="58">
        <f t="shared" si="5"/>
        <v>3.0423835501468738E-2</v>
      </c>
    </row>
    <row r="101" spans="4:11" x14ac:dyDescent="0.2">
      <c r="D101" s="15" t="s">
        <v>645</v>
      </c>
      <c r="E101" s="11">
        <v>5525000</v>
      </c>
      <c r="F101" s="11">
        <v>3500000</v>
      </c>
      <c r="G101" s="11">
        <v>5579000</v>
      </c>
      <c r="H101" s="11">
        <v>7840000</v>
      </c>
      <c r="I101" s="57">
        <f t="shared" si="3"/>
        <v>-0.36651583710407237</v>
      </c>
      <c r="J101" s="57">
        <f t="shared" si="4"/>
        <v>0.59399999999999997</v>
      </c>
      <c r="K101" s="58">
        <f t="shared" si="5"/>
        <v>0.40526976160602257</v>
      </c>
    </row>
    <row r="102" spans="4:11" x14ac:dyDescent="0.2">
      <c r="D102" s="15" t="s">
        <v>646</v>
      </c>
      <c r="E102" s="11">
        <v>4520000</v>
      </c>
      <c r="F102" s="11">
        <v>3897000</v>
      </c>
      <c r="G102" s="11">
        <v>4402000</v>
      </c>
      <c r="H102" s="11">
        <v>2457000</v>
      </c>
      <c r="I102" s="57">
        <f t="shared" si="3"/>
        <v>-0.13783185840707965</v>
      </c>
      <c r="J102" s="57">
        <f t="shared" si="4"/>
        <v>0.12958686168847833</v>
      </c>
      <c r="K102" s="58">
        <f t="shared" si="5"/>
        <v>-0.44184461608359837</v>
      </c>
    </row>
    <row r="103" spans="4:11" x14ac:dyDescent="0.2">
      <c r="D103" s="15" t="s">
        <v>647</v>
      </c>
      <c r="E103" s="11">
        <v>1121000</v>
      </c>
      <c r="F103" s="11">
        <v>1899000</v>
      </c>
      <c r="G103" s="11">
        <v>1865000</v>
      </c>
      <c r="H103" s="11">
        <v>2399000</v>
      </c>
      <c r="I103" s="57">
        <f t="shared" si="3"/>
        <v>0.69402319357716324</v>
      </c>
      <c r="J103" s="57">
        <f t="shared" si="4"/>
        <v>-1.7904160084254869E-2</v>
      </c>
      <c r="K103" s="58">
        <f t="shared" si="5"/>
        <v>0.28632707774798927</v>
      </c>
    </row>
    <row r="104" spans="4:11" x14ac:dyDescent="0.2">
      <c r="D104" s="15" t="s">
        <v>648</v>
      </c>
      <c r="E104" s="11">
        <v>-5836000</v>
      </c>
      <c r="F104" s="11">
        <v>4107000</v>
      </c>
      <c r="G104" s="11">
        <v>-6134000</v>
      </c>
      <c r="H104" s="11">
        <v>5440000</v>
      </c>
      <c r="I104" s="57">
        <f t="shared" si="3"/>
        <v>-1.7037354352296092</v>
      </c>
      <c r="J104" s="57">
        <f t="shared" si="4"/>
        <v>-2.4935476016557097</v>
      </c>
      <c r="K104" s="58">
        <f t="shared" si="5"/>
        <v>-1.8868601238995761</v>
      </c>
    </row>
    <row r="105" spans="4:11" x14ac:dyDescent="0.2">
      <c r="D105" s="15" t="s">
        <v>649</v>
      </c>
      <c r="E105" s="11">
        <v>1953000</v>
      </c>
      <c r="F105" s="11">
        <v>2291000</v>
      </c>
      <c r="G105" s="11">
        <v>2202000</v>
      </c>
      <c r="H105" s="11">
        <v>2665000</v>
      </c>
      <c r="I105" s="57">
        <f t="shared" si="3"/>
        <v>0.17306707629288273</v>
      </c>
      <c r="J105" s="57">
        <f t="shared" si="4"/>
        <v>-3.8847664775207333E-2</v>
      </c>
      <c r="K105" s="58">
        <f t="shared" si="5"/>
        <v>0.21026339691189827</v>
      </c>
    </row>
    <row r="106" spans="4:11" x14ac:dyDescent="0.2">
      <c r="D106" s="15" t="s">
        <v>650</v>
      </c>
      <c r="E106" s="11">
        <v>1995000</v>
      </c>
      <c r="F106" s="11">
        <v>1717000</v>
      </c>
      <c r="G106" s="11">
        <v>3408000</v>
      </c>
      <c r="H106" s="11">
        <v>2438000</v>
      </c>
      <c r="I106" s="57">
        <f t="shared" si="3"/>
        <v>-0.1393483709273183</v>
      </c>
      <c r="J106" s="57">
        <f t="shared" si="4"/>
        <v>0.98485730926033777</v>
      </c>
      <c r="K106" s="58">
        <f t="shared" si="5"/>
        <v>-0.28462441314553988</v>
      </c>
    </row>
    <row r="107" spans="4:11" x14ac:dyDescent="0.2">
      <c r="D107" s="15" t="s">
        <v>651</v>
      </c>
      <c r="E107" s="11">
        <v>808000</v>
      </c>
      <c r="F107" s="11">
        <v>643000</v>
      </c>
      <c r="G107" s="11">
        <v>1432000</v>
      </c>
      <c r="H107" s="11">
        <v>2896000</v>
      </c>
      <c r="I107" s="57">
        <f t="shared" si="3"/>
        <v>-0.2042079207920792</v>
      </c>
      <c r="J107" s="57">
        <f t="shared" si="4"/>
        <v>1.2270606531881805</v>
      </c>
      <c r="K107" s="58">
        <f t="shared" si="5"/>
        <v>1.0223463687150838</v>
      </c>
    </row>
    <row r="108" spans="4:11" x14ac:dyDescent="0.2">
      <c r="D108" s="15" t="s">
        <v>652</v>
      </c>
      <c r="E108" s="11">
        <v>4151200</v>
      </c>
      <c r="F108" s="11">
        <v>1114300</v>
      </c>
      <c r="G108" s="11">
        <v>5729100</v>
      </c>
      <c r="H108" s="11">
        <v>5386600</v>
      </c>
      <c r="I108" s="57">
        <f t="shared" si="3"/>
        <v>-0.73157159375602232</v>
      </c>
      <c r="J108" s="57">
        <f t="shared" si="4"/>
        <v>4.1414340841784076</v>
      </c>
      <c r="K108" s="58">
        <f t="shared" si="5"/>
        <v>-5.978251383288824E-2</v>
      </c>
    </row>
    <row r="109" spans="4:11" x14ac:dyDescent="0.2">
      <c r="D109" s="15" t="s">
        <v>653</v>
      </c>
      <c r="E109" s="11">
        <v>1563000</v>
      </c>
      <c r="F109" s="11">
        <v>1754000</v>
      </c>
      <c r="G109" s="11">
        <v>1591000</v>
      </c>
      <c r="H109" s="11">
        <v>2114000</v>
      </c>
      <c r="I109" s="57">
        <f t="shared" si="3"/>
        <v>0.12220089571337173</v>
      </c>
      <c r="J109" s="57">
        <f t="shared" si="4"/>
        <v>-9.2930444697833528E-2</v>
      </c>
      <c r="K109" s="58">
        <f t="shared" si="5"/>
        <v>0.3287240729101194</v>
      </c>
    </row>
    <row r="110" spans="4:11" x14ac:dyDescent="0.2">
      <c r="D110" s="15" t="s">
        <v>654</v>
      </c>
      <c r="E110" s="11">
        <v>1307300</v>
      </c>
      <c r="F110" s="11">
        <v>1753000</v>
      </c>
      <c r="G110" s="11">
        <v>528200</v>
      </c>
      <c r="H110" s="11">
        <v>973500</v>
      </c>
      <c r="I110" s="57">
        <f t="shared" si="3"/>
        <v>0.3409316912720875</v>
      </c>
      <c r="J110" s="57">
        <f t="shared" si="4"/>
        <v>-0.69868796349115803</v>
      </c>
      <c r="K110" s="58">
        <f t="shared" si="5"/>
        <v>0.84305187429004169</v>
      </c>
    </row>
    <row r="111" spans="4:11" x14ac:dyDescent="0.2">
      <c r="D111" s="15" t="s">
        <v>655</v>
      </c>
      <c r="E111" s="11">
        <v>2783000</v>
      </c>
      <c r="F111" s="11">
        <v>2154000</v>
      </c>
      <c r="G111" s="11">
        <v>3795000</v>
      </c>
      <c r="H111" s="11">
        <v>2871000</v>
      </c>
      <c r="I111" s="57">
        <f t="shared" si="3"/>
        <v>-0.22601509162773986</v>
      </c>
      <c r="J111" s="57">
        <f t="shared" si="4"/>
        <v>0.76183844011142066</v>
      </c>
      <c r="K111" s="58">
        <f t="shared" si="5"/>
        <v>-0.24347826086956523</v>
      </c>
    </row>
    <row r="112" spans="4:11" x14ac:dyDescent="0.2">
      <c r="D112" s="15" t="s">
        <v>656</v>
      </c>
      <c r="E112" s="11">
        <v>1250000</v>
      </c>
      <c r="F112" s="11">
        <v>2461000</v>
      </c>
      <c r="G112" s="11">
        <v>2144000</v>
      </c>
      <c r="H112" s="11">
        <v>2093000</v>
      </c>
      <c r="I112" s="57">
        <f t="shared" si="3"/>
        <v>0.96879999999999999</v>
      </c>
      <c r="J112" s="57">
        <f t="shared" si="4"/>
        <v>-0.12880942706216986</v>
      </c>
      <c r="K112" s="58">
        <f t="shared" si="5"/>
        <v>-2.378731343283582E-2</v>
      </c>
    </row>
    <row r="113" spans="4:11" x14ac:dyDescent="0.2">
      <c r="D113" s="15" t="s">
        <v>657</v>
      </c>
      <c r="E113" s="11">
        <v>1187000</v>
      </c>
      <c r="F113" s="11">
        <v>-2649000</v>
      </c>
      <c r="G113" s="11">
        <v>3419000</v>
      </c>
      <c r="H113" s="11">
        <v>8521000</v>
      </c>
      <c r="I113" s="57">
        <f t="shared" si="3"/>
        <v>-3.2316764953664703</v>
      </c>
      <c r="J113" s="57">
        <f t="shared" si="4"/>
        <v>-2.2906757266893165</v>
      </c>
      <c r="K113" s="58">
        <f t="shared" si="5"/>
        <v>1.4922491956712489</v>
      </c>
    </row>
    <row r="114" spans="4:11" x14ac:dyDescent="0.2">
      <c r="D114" s="15" t="s">
        <v>658</v>
      </c>
      <c r="E114" s="11">
        <v>-10140000</v>
      </c>
      <c r="F114" s="11">
        <v>-11272000</v>
      </c>
      <c r="G114" s="11">
        <v>-10305000</v>
      </c>
      <c r="H114" s="11">
        <v>-10241000</v>
      </c>
      <c r="I114" s="57">
        <f t="shared" si="3"/>
        <v>0.1116370808678501</v>
      </c>
      <c r="J114" s="57">
        <f t="shared" si="4"/>
        <v>-8.5787792760823281E-2</v>
      </c>
      <c r="K114" s="58">
        <f t="shared" si="5"/>
        <v>-6.2105773896166906E-3</v>
      </c>
    </row>
    <row r="115" spans="4:11" x14ac:dyDescent="0.2">
      <c r="D115" s="15" t="s">
        <v>39</v>
      </c>
      <c r="E115" s="11">
        <v>932700</v>
      </c>
      <c r="F115" s="11">
        <v>814600</v>
      </c>
      <c r="G115" s="11">
        <v>-392500</v>
      </c>
      <c r="H115" s="11">
        <v>-1129800</v>
      </c>
      <c r="I115" s="57">
        <f t="shared" si="3"/>
        <v>-0.12662163611021765</v>
      </c>
      <c r="J115" s="57">
        <f t="shared" si="4"/>
        <v>-1.4818315737785417</v>
      </c>
      <c r="K115" s="58">
        <f t="shared" si="5"/>
        <v>1.8784713375796178</v>
      </c>
    </row>
    <row r="116" spans="4:11" x14ac:dyDescent="0.2">
      <c r="D116" s="15" t="s">
        <v>659</v>
      </c>
      <c r="E116" s="11">
        <v>894823</v>
      </c>
      <c r="F116" s="11">
        <v>1019353</v>
      </c>
      <c r="G116" s="11">
        <v>1439233</v>
      </c>
      <c r="H116" s="11">
        <v>1815426</v>
      </c>
      <c r="I116" s="57">
        <f t="shared" si="3"/>
        <v>0.1391671872537921</v>
      </c>
      <c r="J116" s="57">
        <f t="shared" si="4"/>
        <v>0.41190833793592602</v>
      </c>
      <c r="K116" s="58">
        <f t="shared" si="5"/>
        <v>0.26138436236523205</v>
      </c>
    </row>
    <row r="117" spans="4:11" x14ac:dyDescent="0.2">
      <c r="D117" s="15" t="s">
        <v>660</v>
      </c>
      <c r="E117" s="11">
        <v>-410734</v>
      </c>
      <c r="F117" s="11">
        <v>179540</v>
      </c>
      <c r="G117" s="11">
        <v>745521</v>
      </c>
      <c r="H117" s="11">
        <v>1174762</v>
      </c>
      <c r="I117" s="57">
        <f t="shared" si="3"/>
        <v>-1.4371198878106024</v>
      </c>
      <c r="J117" s="57">
        <f t="shared" si="4"/>
        <v>3.1523950094686422</v>
      </c>
      <c r="K117" s="58">
        <f t="shared" si="5"/>
        <v>0.57575977068385731</v>
      </c>
    </row>
    <row r="118" spans="4:11" x14ac:dyDescent="0.2">
      <c r="D118" s="15" t="s">
        <v>661</v>
      </c>
      <c r="E118" s="11">
        <v>2877000</v>
      </c>
      <c r="F118" s="11">
        <v>3502000</v>
      </c>
      <c r="G118" s="11">
        <v>-7818000</v>
      </c>
      <c r="H118" s="11">
        <v>61000</v>
      </c>
      <c r="I118" s="57">
        <f t="shared" si="3"/>
        <v>0.21724018074383039</v>
      </c>
      <c r="J118" s="57">
        <f t="shared" si="4"/>
        <v>-3.2324386065105655</v>
      </c>
      <c r="K118" s="58">
        <f t="shared" si="5"/>
        <v>-1.0078025070350474</v>
      </c>
    </row>
    <row r="119" spans="4:11" x14ac:dyDescent="0.2">
      <c r="D119" s="15" t="s">
        <v>662</v>
      </c>
      <c r="E119" s="11">
        <v>1809000</v>
      </c>
      <c r="F119" s="11">
        <v>2170000</v>
      </c>
      <c r="G119" s="11">
        <v>551000</v>
      </c>
      <c r="H119" s="11">
        <v>1446000</v>
      </c>
      <c r="I119" s="57">
        <f t="shared" si="3"/>
        <v>0.19955776672194583</v>
      </c>
      <c r="J119" s="57">
        <f t="shared" si="4"/>
        <v>-0.74608294930875574</v>
      </c>
      <c r="K119" s="58">
        <f t="shared" si="5"/>
        <v>1.6243194192377495</v>
      </c>
    </row>
    <row r="120" spans="4:11" x14ac:dyDescent="0.2">
      <c r="D120" s="15" t="s">
        <v>663</v>
      </c>
      <c r="E120" s="11">
        <v>1295000</v>
      </c>
      <c r="F120" s="11">
        <v>1664000</v>
      </c>
      <c r="G120" s="11">
        <v>1671000</v>
      </c>
      <c r="H120" s="11">
        <v>1876000</v>
      </c>
      <c r="I120" s="57">
        <f t="shared" si="3"/>
        <v>0.28494208494208495</v>
      </c>
      <c r="J120" s="57">
        <f t="shared" si="4"/>
        <v>4.206730769230769E-3</v>
      </c>
      <c r="K120" s="58">
        <f t="shared" si="5"/>
        <v>0.12268102932375823</v>
      </c>
    </row>
    <row r="121" spans="4:11" x14ac:dyDescent="0.2">
      <c r="D121" s="15" t="s">
        <v>664</v>
      </c>
      <c r="E121" s="11">
        <v>523000</v>
      </c>
      <c r="F121" s="11">
        <v>1147000</v>
      </c>
      <c r="G121" s="11">
        <v>1530000</v>
      </c>
      <c r="H121" s="11">
        <v>1775000</v>
      </c>
      <c r="I121" s="57">
        <f t="shared" si="3"/>
        <v>1.1931166347992352</v>
      </c>
      <c r="J121" s="57">
        <f t="shared" si="4"/>
        <v>0.33391455972101136</v>
      </c>
      <c r="K121" s="58">
        <f t="shared" si="5"/>
        <v>0.16013071895424835</v>
      </c>
    </row>
    <row r="122" spans="4:11" x14ac:dyDescent="0.2">
      <c r="D122" s="15" t="s">
        <v>665</v>
      </c>
      <c r="E122" s="11">
        <v>2003761</v>
      </c>
      <c r="F122" s="11">
        <v>2574229</v>
      </c>
      <c r="G122" s="11">
        <v>2861688</v>
      </c>
      <c r="H122" s="11">
        <v>2968887</v>
      </c>
      <c r="I122" s="57">
        <f t="shared" si="3"/>
        <v>0.28469862423712211</v>
      </c>
      <c r="J122" s="57">
        <f t="shared" si="4"/>
        <v>0.11166799845701374</v>
      </c>
      <c r="K122" s="58">
        <f t="shared" si="5"/>
        <v>3.7460058538876358E-2</v>
      </c>
    </row>
    <row r="123" spans="4:11" x14ac:dyDescent="0.2">
      <c r="D123" s="15" t="s">
        <v>666</v>
      </c>
      <c r="E123" s="11">
        <v>447000</v>
      </c>
      <c r="F123" s="11">
        <v>528300</v>
      </c>
      <c r="G123" s="11">
        <v>832600</v>
      </c>
      <c r="H123" s="11">
        <v>688100</v>
      </c>
      <c r="I123" s="57">
        <f t="shared" si="3"/>
        <v>0.18187919463087249</v>
      </c>
      <c r="J123" s="57">
        <f t="shared" si="4"/>
        <v>0.57599848570887757</v>
      </c>
      <c r="K123" s="58">
        <f t="shared" si="5"/>
        <v>-0.17355272639923133</v>
      </c>
    </row>
    <row r="124" spans="4:11" x14ac:dyDescent="0.2">
      <c r="D124" s="15" t="s">
        <v>667</v>
      </c>
      <c r="E124" s="11">
        <v>5209000</v>
      </c>
      <c r="F124" s="11">
        <v>3175000</v>
      </c>
      <c r="G124" s="11">
        <v>1947000</v>
      </c>
      <c r="H124" s="11">
        <v>2572000</v>
      </c>
      <c r="I124" s="57">
        <f t="shared" si="3"/>
        <v>-0.39047801881359184</v>
      </c>
      <c r="J124" s="57">
        <f t="shared" si="4"/>
        <v>-0.38677165354330706</v>
      </c>
      <c r="K124" s="58">
        <f t="shared" si="5"/>
        <v>0.32100667693888035</v>
      </c>
    </row>
    <row r="125" spans="4:11" x14ac:dyDescent="0.2">
      <c r="D125" s="15" t="s">
        <v>668</v>
      </c>
      <c r="E125" s="11">
        <v>213200</v>
      </c>
      <c r="F125" s="11">
        <v>-498200</v>
      </c>
      <c r="G125" s="11">
        <v>-1535700</v>
      </c>
      <c r="H125" s="11">
        <v>-1148400</v>
      </c>
      <c r="I125" s="57">
        <f t="shared" si="3"/>
        <v>-3.3367729831144466</v>
      </c>
      <c r="J125" s="57">
        <f t="shared" si="4"/>
        <v>2.0824969891609797</v>
      </c>
      <c r="K125" s="58">
        <f t="shared" si="5"/>
        <v>-0.25219769486227778</v>
      </c>
    </row>
    <row r="126" spans="4:11" x14ac:dyDescent="0.2">
      <c r="D126" s="15" t="s">
        <v>669</v>
      </c>
      <c r="E126" s="11">
        <v>3276400</v>
      </c>
      <c r="F126" s="11">
        <v>3971100</v>
      </c>
      <c r="G126" s="11">
        <v>3683600</v>
      </c>
      <c r="H126" s="11">
        <v>5417100</v>
      </c>
      <c r="I126" s="57">
        <f t="shared" si="3"/>
        <v>0.21203149798559395</v>
      </c>
      <c r="J126" s="57">
        <f t="shared" si="4"/>
        <v>-7.2398076099821213E-2</v>
      </c>
      <c r="K126" s="58">
        <f t="shared" si="5"/>
        <v>0.47059941361711372</v>
      </c>
    </row>
    <row r="127" spans="4:11" x14ac:dyDescent="0.2">
      <c r="D127" s="15" t="s">
        <v>670</v>
      </c>
      <c r="E127" s="11">
        <v>2015000</v>
      </c>
      <c r="F127" s="11">
        <v>2029000</v>
      </c>
      <c r="G127" s="11">
        <v>2105000</v>
      </c>
      <c r="H127" s="11">
        <v>2447000</v>
      </c>
      <c r="I127" s="57">
        <f t="shared" si="3"/>
        <v>6.9478908188585608E-3</v>
      </c>
      <c r="J127" s="57">
        <f t="shared" si="4"/>
        <v>3.7456875308033516E-2</v>
      </c>
      <c r="K127" s="58">
        <f t="shared" si="5"/>
        <v>0.16247030878859858</v>
      </c>
    </row>
    <row r="128" spans="4:11" x14ac:dyDescent="0.2">
      <c r="D128" s="15" t="s">
        <v>671</v>
      </c>
      <c r="E128" s="11">
        <v>2162200</v>
      </c>
      <c r="F128" s="11">
        <v>2517700</v>
      </c>
      <c r="G128" s="11">
        <v>3601100</v>
      </c>
      <c r="H128" s="11">
        <v>6018800</v>
      </c>
      <c r="I128" s="57">
        <f t="shared" si="3"/>
        <v>0.16441587272222735</v>
      </c>
      <c r="J128" s="57">
        <f t="shared" si="4"/>
        <v>0.43031338126067442</v>
      </c>
      <c r="K128" s="58">
        <f t="shared" si="5"/>
        <v>0.67137818999750076</v>
      </c>
    </row>
    <row r="129" spans="4:11" x14ac:dyDescent="0.2">
      <c r="D129" s="15" t="s">
        <v>672</v>
      </c>
      <c r="E129" s="11">
        <v>-8000</v>
      </c>
      <c r="F129" s="11">
        <v>-92000</v>
      </c>
      <c r="G129" s="11">
        <v>-104000</v>
      </c>
      <c r="H129" s="11">
        <v>896000</v>
      </c>
      <c r="I129" s="57">
        <f t="shared" si="3"/>
        <v>10.5</v>
      </c>
      <c r="J129" s="57">
        <f t="shared" si="4"/>
        <v>0.13043478260869565</v>
      </c>
      <c r="K129" s="58">
        <f t="shared" si="5"/>
        <v>-9.615384615384615</v>
      </c>
    </row>
    <row r="130" spans="4:11" x14ac:dyDescent="0.2">
      <c r="D130" s="15" t="s">
        <v>673</v>
      </c>
      <c r="E130" s="11">
        <v>980000</v>
      </c>
      <c r="F130" s="11">
        <v>3257000</v>
      </c>
      <c r="G130" s="11">
        <v>-1239000</v>
      </c>
      <c r="H130" s="11">
        <v>11886000</v>
      </c>
      <c r="I130" s="57">
        <f t="shared" si="3"/>
        <v>2.323469387755102</v>
      </c>
      <c r="J130" s="57">
        <f t="shared" si="4"/>
        <v>-1.380411421553577</v>
      </c>
      <c r="K130" s="58">
        <f t="shared" si="5"/>
        <v>-10.59322033898305</v>
      </c>
    </row>
    <row r="131" spans="4:11" x14ac:dyDescent="0.2">
      <c r="D131" s="15" t="s">
        <v>674</v>
      </c>
      <c r="E131" s="11">
        <v>1264000</v>
      </c>
      <c r="F131" s="11">
        <v>1286000</v>
      </c>
      <c r="G131" s="11">
        <v>1933000</v>
      </c>
      <c r="H131" s="11">
        <v>1773000</v>
      </c>
      <c r="I131" s="57">
        <f t="shared" si="3"/>
        <v>1.740506329113924E-2</v>
      </c>
      <c r="J131" s="57">
        <f t="shared" si="4"/>
        <v>0.50311041990668737</v>
      </c>
      <c r="K131" s="58">
        <f t="shared" si="5"/>
        <v>-8.2772891877909982E-2</v>
      </c>
    </row>
    <row r="132" spans="4:11" x14ac:dyDescent="0.2">
      <c r="D132" s="15" t="s">
        <v>675</v>
      </c>
      <c r="E132" s="11">
        <v>14052000</v>
      </c>
      <c r="F132" s="11">
        <v>14774000</v>
      </c>
      <c r="G132" s="11">
        <v>12283000</v>
      </c>
      <c r="H132" s="11">
        <v>11738000</v>
      </c>
      <c r="I132" s="57">
        <f t="shared" si="3"/>
        <v>5.1380586393395961E-2</v>
      </c>
      <c r="J132" s="57">
        <f t="shared" si="4"/>
        <v>-0.16860701231893868</v>
      </c>
      <c r="K132" s="58">
        <f t="shared" si="5"/>
        <v>-4.4370267849873808E-2</v>
      </c>
    </row>
    <row r="133" spans="4:11" x14ac:dyDescent="0.2">
      <c r="D133" s="15" t="s">
        <v>676</v>
      </c>
      <c r="E133" s="11">
        <v>948000</v>
      </c>
      <c r="F133" s="11">
        <v>2313000</v>
      </c>
      <c r="G133" s="11">
        <v>3444000</v>
      </c>
      <c r="H133" s="11">
        <v>3165000</v>
      </c>
      <c r="I133" s="57">
        <f t="shared" ref="I133:I196" si="6">(F133-E133)/E133</f>
        <v>1.4398734177215189</v>
      </c>
      <c r="J133" s="57">
        <f t="shared" ref="J133:J196" si="7">(G133-F133)/F133</f>
        <v>0.48897535667963682</v>
      </c>
      <c r="K133" s="58">
        <f t="shared" ref="K133:K196" si="8">(H133-G133)/G133</f>
        <v>-8.1010452961672474E-2</v>
      </c>
    </row>
    <row r="134" spans="4:11" x14ac:dyDescent="0.2">
      <c r="D134" s="15" t="s">
        <v>677</v>
      </c>
      <c r="E134" s="11">
        <v>1213123</v>
      </c>
      <c r="F134" s="11">
        <v>1069546</v>
      </c>
      <c r="G134" s="11">
        <v>1661201</v>
      </c>
      <c r="H134" s="11">
        <v>1692743</v>
      </c>
      <c r="I134" s="57">
        <f t="shared" si="6"/>
        <v>-0.11835320903156564</v>
      </c>
      <c r="J134" s="57">
        <f t="shared" si="7"/>
        <v>0.55318331329367787</v>
      </c>
      <c r="K134" s="58">
        <f t="shared" si="8"/>
        <v>1.8987467500922527E-2</v>
      </c>
    </row>
    <row r="135" spans="4:11" x14ac:dyDescent="0.2">
      <c r="D135" s="15" t="s">
        <v>678</v>
      </c>
      <c r="E135" s="11">
        <v>-1417998</v>
      </c>
      <c r="F135" s="11">
        <v>-223732</v>
      </c>
      <c r="G135" s="11">
        <v>141094</v>
      </c>
      <c r="H135" s="11">
        <v>1692133</v>
      </c>
      <c r="I135" s="57">
        <f t="shared" si="6"/>
        <v>-0.84221980566968357</v>
      </c>
      <c r="J135" s="57">
        <f t="shared" si="7"/>
        <v>-1.6306384424221836</v>
      </c>
      <c r="K135" s="58">
        <f t="shared" si="8"/>
        <v>10.992947963768835</v>
      </c>
    </row>
    <row r="136" spans="4:11" x14ac:dyDescent="0.2">
      <c r="D136" s="15" t="s">
        <v>679</v>
      </c>
      <c r="E136" s="11">
        <v>643000</v>
      </c>
      <c r="F136" s="11">
        <v>519000</v>
      </c>
      <c r="G136" s="11">
        <v>565000</v>
      </c>
      <c r="H136" s="11">
        <v>846000</v>
      </c>
      <c r="I136" s="57">
        <f t="shared" si="6"/>
        <v>-0.19284603421461896</v>
      </c>
      <c r="J136" s="57">
        <f t="shared" si="7"/>
        <v>8.8631984585741813E-2</v>
      </c>
      <c r="K136" s="58">
        <f t="shared" si="8"/>
        <v>0.49734513274336284</v>
      </c>
    </row>
    <row r="137" spans="4:11" x14ac:dyDescent="0.2">
      <c r="D137" s="15" t="s">
        <v>680</v>
      </c>
      <c r="E137" s="11">
        <v>860000</v>
      </c>
      <c r="F137" s="11">
        <v>935000</v>
      </c>
      <c r="G137" s="11">
        <v>1203000</v>
      </c>
      <c r="H137" s="11">
        <v>1415000</v>
      </c>
      <c r="I137" s="57">
        <f t="shared" si="6"/>
        <v>8.7209302325581398E-2</v>
      </c>
      <c r="J137" s="57">
        <f t="shared" si="7"/>
        <v>0.28663101604278074</v>
      </c>
      <c r="K137" s="58">
        <f t="shared" si="8"/>
        <v>0.17622610141313383</v>
      </c>
    </row>
    <row r="138" spans="4:11" x14ac:dyDescent="0.2">
      <c r="D138" s="15" t="s">
        <v>681</v>
      </c>
      <c r="E138" s="11">
        <v>1561000</v>
      </c>
      <c r="F138" s="11">
        <v>119000</v>
      </c>
      <c r="G138" s="11">
        <v>1816000</v>
      </c>
      <c r="H138" s="11">
        <v>4934000</v>
      </c>
      <c r="I138" s="57">
        <f t="shared" si="6"/>
        <v>-0.92376681614349776</v>
      </c>
      <c r="J138" s="57">
        <f t="shared" si="7"/>
        <v>14.260504201680673</v>
      </c>
      <c r="K138" s="58">
        <f t="shared" si="8"/>
        <v>1.7169603524229076</v>
      </c>
    </row>
    <row r="139" spans="4:11" x14ac:dyDescent="0.2">
      <c r="D139" s="15" t="s">
        <v>682</v>
      </c>
      <c r="E139" s="11">
        <v>9595000</v>
      </c>
      <c r="F139" s="11">
        <v>11077000</v>
      </c>
      <c r="G139" s="11">
        <v>13164000</v>
      </c>
      <c r="H139" s="11">
        <v>12104000</v>
      </c>
      <c r="I139" s="57">
        <f t="shared" si="6"/>
        <v>0.15445544554455445</v>
      </c>
      <c r="J139" s="57">
        <f t="shared" si="7"/>
        <v>0.1884084138304595</v>
      </c>
      <c r="K139" s="58">
        <f t="shared" si="8"/>
        <v>-8.0522637496201768E-2</v>
      </c>
    </row>
    <row r="140" spans="4:11" x14ac:dyDescent="0.2">
      <c r="D140" s="15" t="s">
        <v>683</v>
      </c>
      <c r="E140" s="11">
        <v>1748279</v>
      </c>
      <c r="F140" s="11">
        <v>1945336</v>
      </c>
      <c r="G140" s="11">
        <v>1975679</v>
      </c>
      <c r="H140" s="11">
        <v>2061503</v>
      </c>
      <c r="I140" s="57">
        <f t="shared" si="6"/>
        <v>0.11271484700096494</v>
      </c>
      <c r="J140" s="57">
        <f t="shared" si="7"/>
        <v>1.5597819605456333E-2</v>
      </c>
      <c r="K140" s="58">
        <f t="shared" si="8"/>
        <v>4.344025522364716E-2</v>
      </c>
    </row>
    <row r="141" spans="4:11" x14ac:dyDescent="0.2">
      <c r="D141" s="15" t="s">
        <v>684</v>
      </c>
      <c r="E141" s="11">
        <v>345000</v>
      </c>
      <c r="F141" s="11">
        <v>1409000</v>
      </c>
      <c r="G141" s="11">
        <v>3527000</v>
      </c>
      <c r="H141" s="11">
        <v>1561000</v>
      </c>
      <c r="I141" s="57">
        <f t="shared" si="6"/>
        <v>3.0840579710144929</v>
      </c>
      <c r="J141" s="57">
        <f t="shared" si="7"/>
        <v>1.5031937544357701</v>
      </c>
      <c r="K141" s="58">
        <f t="shared" si="8"/>
        <v>-0.55741423305925719</v>
      </c>
    </row>
    <row r="142" spans="4:11" x14ac:dyDescent="0.2">
      <c r="D142" s="15" t="s">
        <v>685</v>
      </c>
      <c r="E142" s="11">
        <v>753838</v>
      </c>
      <c r="F142" s="11">
        <v>1163951</v>
      </c>
      <c r="G142" s="11">
        <v>950267</v>
      </c>
      <c r="H142" s="11">
        <v>2187485</v>
      </c>
      <c r="I142" s="57">
        <f t="shared" si="6"/>
        <v>0.54403333342176963</v>
      </c>
      <c r="J142" s="57">
        <f t="shared" si="7"/>
        <v>-0.18358504782417817</v>
      </c>
      <c r="K142" s="58">
        <f t="shared" si="8"/>
        <v>1.3019688150803932</v>
      </c>
    </row>
    <row r="143" spans="4:11" x14ac:dyDescent="0.2">
      <c r="D143" s="15" t="s">
        <v>686</v>
      </c>
      <c r="E143" s="11">
        <v>4413000</v>
      </c>
      <c r="F143" s="11">
        <v>6522000</v>
      </c>
      <c r="G143" s="11">
        <v>5900000</v>
      </c>
      <c r="H143" s="11">
        <v>6898000</v>
      </c>
      <c r="I143" s="57">
        <f t="shared" si="6"/>
        <v>0.47790618626784498</v>
      </c>
      <c r="J143" s="57">
        <f t="shared" si="7"/>
        <v>-9.5369518552591223E-2</v>
      </c>
      <c r="K143" s="58">
        <f t="shared" si="8"/>
        <v>0.16915254237288135</v>
      </c>
    </row>
    <row r="144" spans="4:11" x14ac:dyDescent="0.2">
      <c r="D144" s="15" t="s">
        <v>687</v>
      </c>
      <c r="E144" s="11">
        <v>-368000</v>
      </c>
      <c r="F144" s="11">
        <v>1543000</v>
      </c>
      <c r="G144" s="11">
        <v>1409000</v>
      </c>
      <c r="H144" s="11">
        <v>2100000</v>
      </c>
      <c r="I144" s="57">
        <f t="shared" si="6"/>
        <v>-5.1929347826086953</v>
      </c>
      <c r="J144" s="57">
        <f t="shared" si="7"/>
        <v>-8.6843810758263126E-2</v>
      </c>
      <c r="K144" s="58">
        <f t="shared" si="8"/>
        <v>0.49041873669268987</v>
      </c>
    </row>
    <row r="145" spans="4:11" x14ac:dyDescent="0.2">
      <c r="D145" s="15" t="s">
        <v>688</v>
      </c>
      <c r="E145" s="11">
        <v>-282000</v>
      </c>
      <c r="F145" s="11">
        <v>-1924000</v>
      </c>
      <c r="G145" s="11">
        <v>-324000</v>
      </c>
      <c r="H145" s="11">
        <v>-342000</v>
      </c>
      <c r="I145" s="57">
        <f t="shared" si="6"/>
        <v>5.8226950354609928</v>
      </c>
      <c r="J145" s="57">
        <f t="shared" si="7"/>
        <v>-0.83160083160083165</v>
      </c>
      <c r="K145" s="58">
        <f t="shared" si="8"/>
        <v>5.5555555555555552E-2</v>
      </c>
    </row>
    <row r="146" spans="4:11" x14ac:dyDescent="0.2">
      <c r="D146" s="15" t="s">
        <v>689</v>
      </c>
      <c r="E146" s="11">
        <v>959292</v>
      </c>
      <c r="F146" s="11">
        <v>1261021</v>
      </c>
      <c r="G146" s="11">
        <v>1309915</v>
      </c>
      <c r="H146" s="11">
        <v>1652779</v>
      </c>
      <c r="I146" s="57">
        <f t="shared" si="6"/>
        <v>0.31453300976136567</v>
      </c>
      <c r="J146" s="57">
        <f t="shared" si="7"/>
        <v>3.8773343187781965E-2</v>
      </c>
      <c r="K146" s="58">
        <f t="shared" si="8"/>
        <v>0.26174522774378489</v>
      </c>
    </row>
    <row r="147" spans="4:11" x14ac:dyDescent="0.2">
      <c r="D147" s="15" t="s">
        <v>690</v>
      </c>
      <c r="E147" s="11">
        <v>3434000</v>
      </c>
      <c r="F147" s="11">
        <v>4469000</v>
      </c>
      <c r="G147" s="11">
        <v>4148000</v>
      </c>
      <c r="H147" s="11">
        <v>4380000</v>
      </c>
      <c r="I147" s="57">
        <f t="shared" si="6"/>
        <v>0.30139778683750729</v>
      </c>
      <c r="J147" s="57">
        <f t="shared" si="7"/>
        <v>-7.1828149474155292E-2</v>
      </c>
      <c r="K147" s="58">
        <f t="shared" si="8"/>
        <v>5.5930568948891035E-2</v>
      </c>
    </row>
    <row r="148" spans="4:11" x14ac:dyDescent="0.2">
      <c r="D148" s="15" t="s">
        <v>691</v>
      </c>
      <c r="E148" s="11">
        <v>-2030000</v>
      </c>
      <c r="F148" s="11">
        <v>-1377000</v>
      </c>
      <c r="G148" s="11">
        <v>198000</v>
      </c>
      <c r="H148" s="11">
        <v>1766000</v>
      </c>
      <c r="I148" s="57">
        <f t="shared" si="6"/>
        <v>-0.32167487684729063</v>
      </c>
      <c r="J148" s="57">
        <f t="shared" si="7"/>
        <v>-1.1437908496732025</v>
      </c>
      <c r="K148" s="58">
        <f t="shared" si="8"/>
        <v>7.9191919191919196</v>
      </c>
    </row>
    <row r="149" spans="4:11" x14ac:dyDescent="0.2">
      <c r="D149" s="15" t="s">
        <v>380</v>
      </c>
      <c r="E149" s="11">
        <v>890000</v>
      </c>
      <c r="F149" s="11">
        <v>-186000</v>
      </c>
      <c r="G149" s="11">
        <v>-989000</v>
      </c>
      <c r="H149" s="11">
        <v>123000</v>
      </c>
      <c r="I149" s="57">
        <f t="shared" si="6"/>
        <v>-1.2089887640449439</v>
      </c>
      <c r="J149" s="57">
        <f t="shared" si="7"/>
        <v>4.317204301075269</v>
      </c>
      <c r="K149" s="58">
        <f t="shared" si="8"/>
        <v>-1.1243680485338725</v>
      </c>
    </row>
    <row r="150" spans="4:11" x14ac:dyDescent="0.2">
      <c r="D150" s="15" t="s">
        <v>692</v>
      </c>
      <c r="E150" s="11">
        <v>1148000</v>
      </c>
      <c r="F150" s="11">
        <v>2019000</v>
      </c>
      <c r="G150" s="11">
        <v>2058000</v>
      </c>
      <c r="H150" s="11">
        <v>1659000</v>
      </c>
      <c r="I150" s="57">
        <f t="shared" si="6"/>
        <v>0.75871080139372826</v>
      </c>
      <c r="J150" s="57">
        <f t="shared" si="7"/>
        <v>1.9316493313521546E-2</v>
      </c>
      <c r="K150" s="58">
        <f t="shared" si="8"/>
        <v>-0.19387755102040816</v>
      </c>
    </row>
    <row r="151" spans="4:11" x14ac:dyDescent="0.2">
      <c r="D151" s="15" t="s">
        <v>693</v>
      </c>
      <c r="E151" s="11">
        <v>3526000</v>
      </c>
      <c r="F151" s="11">
        <v>5442000</v>
      </c>
      <c r="G151" s="11">
        <v>3470000</v>
      </c>
      <c r="H151" s="11">
        <v>4888000</v>
      </c>
      <c r="I151" s="57">
        <f t="shared" si="6"/>
        <v>0.54339194554736248</v>
      </c>
      <c r="J151" s="57">
        <f t="shared" si="7"/>
        <v>-0.36236677692024993</v>
      </c>
      <c r="K151" s="58">
        <f t="shared" si="8"/>
        <v>0.40864553314121038</v>
      </c>
    </row>
    <row r="152" spans="4:11" x14ac:dyDescent="0.2">
      <c r="D152" s="15" t="s">
        <v>694</v>
      </c>
      <c r="E152" s="11">
        <v>6776000</v>
      </c>
      <c r="F152" s="11">
        <v>5987000</v>
      </c>
      <c r="G152" s="11">
        <v>6128000</v>
      </c>
      <c r="H152" s="11">
        <v>6014000</v>
      </c>
      <c r="I152" s="57">
        <f t="shared" si="6"/>
        <v>-0.11644037780401417</v>
      </c>
      <c r="J152" s="57">
        <f t="shared" si="7"/>
        <v>2.3551027225655587E-2</v>
      </c>
      <c r="K152" s="58">
        <f t="shared" si="8"/>
        <v>-1.8603133159268929E-2</v>
      </c>
    </row>
    <row r="153" spans="4:11" x14ac:dyDescent="0.2">
      <c r="D153" s="15" t="s">
        <v>695</v>
      </c>
      <c r="E153" s="11">
        <v>1382599</v>
      </c>
      <c r="F153" s="11">
        <v>1639064</v>
      </c>
      <c r="G153" s="11">
        <v>1434177</v>
      </c>
      <c r="H153" s="11">
        <v>1583944</v>
      </c>
      <c r="I153" s="57">
        <f t="shared" si="6"/>
        <v>0.18549485425636789</v>
      </c>
      <c r="J153" s="57">
        <f t="shared" si="7"/>
        <v>-0.12500244041721373</v>
      </c>
      <c r="K153" s="58">
        <f t="shared" si="8"/>
        <v>0.10442713835182128</v>
      </c>
    </row>
    <row r="154" spans="4:11" x14ac:dyDescent="0.2">
      <c r="D154" s="15" t="s">
        <v>696</v>
      </c>
      <c r="E154" s="11">
        <v>886880</v>
      </c>
      <c r="F154" s="11">
        <v>1044745</v>
      </c>
      <c r="G154" s="11">
        <v>1155652</v>
      </c>
      <c r="H154" s="11">
        <v>1409170</v>
      </c>
      <c r="I154" s="57">
        <f t="shared" si="6"/>
        <v>0.17800040591737326</v>
      </c>
      <c r="J154" s="57">
        <f t="shared" si="7"/>
        <v>0.10615700481935783</v>
      </c>
      <c r="K154" s="58">
        <f t="shared" si="8"/>
        <v>0.21937226777611255</v>
      </c>
    </row>
    <row r="155" spans="4:11" x14ac:dyDescent="0.2">
      <c r="D155" s="15" t="s">
        <v>697</v>
      </c>
      <c r="E155" s="11">
        <v>818000</v>
      </c>
      <c r="F155" s="11">
        <v>821000</v>
      </c>
      <c r="G155" s="11">
        <v>712000</v>
      </c>
      <c r="H155" s="11">
        <v>942000</v>
      </c>
      <c r="I155" s="57">
        <f t="shared" si="6"/>
        <v>3.667481662591687E-3</v>
      </c>
      <c r="J155" s="57">
        <f t="shared" si="7"/>
        <v>-0.13276492082825822</v>
      </c>
      <c r="K155" s="58">
        <f t="shared" si="8"/>
        <v>0.32303370786516855</v>
      </c>
    </row>
    <row r="156" spans="4:11" x14ac:dyDescent="0.2">
      <c r="D156" s="15" t="s">
        <v>698</v>
      </c>
      <c r="E156" s="11">
        <v>3131000</v>
      </c>
      <c r="F156" s="11">
        <v>3115000</v>
      </c>
      <c r="G156" s="11">
        <v>4635000</v>
      </c>
      <c r="H156" s="11">
        <v>4349000</v>
      </c>
      <c r="I156" s="57">
        <f t="shared" si="6"/>
        <v>-5.1101884381986587E-3</v>
      </c>
      <c r="J156" s="57">
        <f t="shared" si="7"/>
        <v>0.48796147672552165</v>
      </c>
      <c r="K156" s="58">
        <f t="shared" si="8"/>
        <v>-6.1704422869471413E-2</v>
      </c>
    </row>
    <row r="157" spans="4:11" x14ac:dyDescent="0.2">
      <c r="D157" s="15" t="s">
        <v>699</v>
      </c>
      <c r="E157" s="11">
        <v>1109100</v>
      </c>
      <c r="F157" s="11">
        <v>1144000</v>
      </c>
      <c r="G157" s="11">
        <v>664000</v>
      </c>
      <c r="H157" s="11">
        <v>1370700</v>
      </c>
      <c r="I157" s="57">
        <f t="shared" si="6"/>
        <v>3.1466955188891893E-2</v>
      </c>
      <c r="J157" s="57">
        <f t="shared" si="7"/>
        <v>-0.41958041958041958</v>
      </c>
      <c r="K157" s="58">
        <f t="shared" si="8"/>
        <v>1.0643072289156625</v>
      </c>
    </row>
    <row r="158" spans="4:11" x14ac:dyDescent="0.2">
      <c r="D158" s="15" t="s">
        <v>700</v>
      </c>
      <c r="E158" s="11">
        <v>1210000</v>
      </c>
      <c r="F158" s="11">
        <v>1420000</v>
      </c>
      <c r="G158" s="11">
        <v>1987000</v>
      </c>
      <c r="H158" s="11">
        <v>1801000</v>
      </c>
      <c r="I158" s="57">
        <f t="shared" si="6"/>
        <v>0.17355371900826447</v>
      </c>
      <c r="J158" s="57">
        <f t="shared" si="7"/>
        <v>0.39929577464788735</v>
      </c>
      <c r="K158" s="58">
        <f t="shared" si="8"/>
        <v>-9.3608454957221948E-2</v>
      </c>
    </row>
    <row r="159" spans="4:11" x14ac:dyDescent="0.2">
      <c r="D159" s="15" t="s">
        <v>701</v>
      </c>
      <c r="E159" s="11">
        <v>9030000</v>
      </c>
      <c r="F159" s="11">
        <v>12858000</v>
      </c>
      <c r="G159" s="11">
        <v>11047000</v>
      </c>
      <c r="H159" s="11">
        <v>7237000</v>
      </c>
      <c r="I159" s="57">
        <f t="shared" si="6"/>
        <v>0.42392026578073089</v>
      </c>
      <c r="J159" s="57">
        <f t="shared" si="7"/>
        <v>-0.14084616581116816</v>
      </c>
      <c r="K159" s="58">
        <f t="shared" si="8"/>
        <v>-0.34489001538879333</v>
      </c>
    </row>
    <row r="160" spans="4:11" x14ac:dyDescent="0.2">
      <c r="D160" s="15" t="s">
        <v>702</v>
      </c>
      <c r="E160" s="11">
        <v>1461001</v>
      </c>
      <c r="F160" s="11">
        <v>1546189</v>
      </c>
      <c r="G160" s="11">
        <v>1467565</v>
      </c>
      <c r="H160" s="11">
        <v>1718816</v>
      </c>
      <c r="I160" s="57">
        <f t="shared" si="6"/>
        <v>5.8307968303923131E-2</v>
      </c>
      <c r="J160" s="57">
        <f t="shared" si="7"/>
        <v>-5.0850187137536224E-2</v>
      </c>
      <c r="K160" s="58">
        <f t="shared" si="8"/>
        <v>0.1712026383839898</v>
      </c>
    </row>
    <row r="161" spans="4:11" x14ac:dyDescent="0.2">
      <c r="D161" s="15" t="s">
        <v>703</v>
      </c>
      <c r="E161" s="11">
        <v>1914000</v>
      </c>
      <c r="F161" s="11">
        <v>1345000</v>
      </c>
      <c r="G161" s="11">
        <v>2123000</v>
      </c>
      <c r="H161" s="11">
        <v>2215000</v>
      </c>
      <c r="I161" s="57">
        <f t="shared" si="6"/>
        <v>-0.29728317659352144</v>
      </c>
      <c r="J161" s="57">
        <f t="shared" si="7"/>
        <v>0.57843866171003722</v>
      </c>
      <c r="K161" s="58">
        <f t="shared" si="8"/>
        <v>4.333490343853038E-2</v>
      </c>
    </row>
    <row r="162" spans="4:11" x14ac:dyDescent="0.2">
      <c r="D162" s="15" t="s">
        <v>704</v>
      </c>
      <c r="E162" s="11">
        <v>3313000</v>
      </c>
      <c r="F162" s="11">
        <v>3680000</v>
      </c>
      <c r="G162" s="11">
        <v>4015000</v>
      </c>
      <c r="H162" s="11">
        <v>4898000</v>
      </c>
      <c r="I162" s="57">
        <f t="shared" si="6"/>
        <v>0.11077573196498641</v>
      </c>
      <c r="J162" s="57">
        <f t="shared" si="7"/>
        <v>9.1032608695652176E-2</v>
      </c>
      <c r="K162" s="58">
        <f t="shared" si="8"/>
        <v>0.21992528019925281</v>
      </c>
    </row>
    <row r="163" spans="4:11" x14ac:dyDescent="0.2">
      <c r="D163" s="15" t="s">
        <v>705</v>
      </c>
      <c r="E163" s="11">
        <v>4982000</v>
      </c>
      <c r="F163" s="11">
        <v>3824000</v>
      </c>
      <c r="G163" s="11">
        <v>1132000</v>
      </c>
      <c r="H163" s="11">
        <v>1846000</v>
      </c>
      <c r="I163" s="57">
        <f t="shared" si="6"/>
        <v>-0.23243677238057006</v>
      </c>
      <c r="J163" s="57">
        <f t="shared" si="7"/>
        <v>-0.70397489539748959</v>
      </c>
      <c r="K163" s="58">
        <f t="shared" si="8"/>
        <v>0.63074204946996471</v>
      </c>
    </row>
    <row r="164" spans="4:11" x14ac:dyDescent="0.2">
      <c r="D164" s="15" t="s">
        <v>706</v>
      </c>
      <c r="E164" s="11">
        <v>522400</v>
      </c>
      <c r="F164" s="11">
        <v>788600</v>
      </c>
      <c r="G164" s="11">
        <v>873800</v>
      </c>
      <c r="H164" s="11">
        <v>1360000</v>
      </c>
      <c r="I164" s="57">
        <f t="shared" si="6"/>
        <v>0.50957120980091886</v>
      </c>
      <c r="J164" s="57">
        <f t="shared" si="7"/>
        <v>0.10803956378392088</v>
      </c>
      <c r="K164" s="58">
        <f t="shared" si="8"/>
        <v>0.55642023346303504</v>
      </c>
    </row>
    <row r="165" spans="4:11" x14ac:dyDescent="0.2">
      <c r="D165" s="15" t="s">
        <v>707</v>
      </c>
      <c r="E165" s="11">
        <v>465000</v>
      </c>
      <c r="F165" s="11">
        <v>659000</v>
      </c>
      <c r="G165" s="11">
        <v>-1312000</v>
      </c>
      <c r="H165" s="11">
        <v>1483000</v>
      </c>
      <c r="I165" s="57">
        <f t="shared" si="6"/>
        <v>0.41720430107526879</v>
      </c>
      <c r="J165" s="57">
        <f t="shared" si="7"/>
        <v>-2.9908952959028832</v>
      </c>
      <c r="K165" s="58">
        <f t="shared" si="8"/>
        <v>-2.1303353658536586</v>
      </c>
    </row>
    <row r="166" spans="4:11" x14ac:dyDescent="0.2">
      <c r="D166" s="15" t="s">
        <v>708</v>
      </c>
      <c r="E166" s="11">
        <v>1903000</v>
      </c>
      <c r="F166" s="11">
        <v>2073000</v>
      </c>
      <c r="G166" s="11">
        <v>2146000</v>
      </c>
      <c r="H166" s="11">
        <v>2093000</v>
      </c>
      <c r="I166" s="57">
        <f t="shared" si="6"/>
        <v>8.9332632685233837E-2</v>
      </c>
      <c r="J166" s="57">
        <f t="shared" si="7"/>
        <v>3.5214664737095995E-2</v>
      </c>
      <c r="K166" s="58">
        <f t="shared" si="8"/>
        <v>-2.4697110904007457E-2</v>
      </c>
    </row>
    <row r="167" spans="4:11" x14ac:dyDescent="0.2">
      <c r="D167" s="15" t="s">
        <v>709</v>
      </c>
      <c r="E167" s="11">
        <v>-589000</v>
      </c>
      <c r="F167" s="11">
        <v>-143000</v>
      </c>
      <c r="G167" s="11">
        <v>-118000</v>
      </c>
      <c r="H167" s="11">
        <v>-835000</v>
      </c>
      <c r="I167" s="57">
        <f t="shared" si="6"/>
        <v>-0.75721561969439732</v>
      </c>
      <c r="J167" s="57">
        <f t="shared" si="7"/>
        <v>-0.17482517482517482</v>
      </c>
      <c r="K167" s="58">
        <f t="shared" si="8"/>
        <v>6.0762711864406782</v>
      </c>
    </row>
    <row r="168" spans="4:11" x14ac:dyDescent="0.2">
      <c r="D168" s="15" t="s">
        <v>710</v>
      </c>
      <c r="E168" s="11">
        <v>13942000</v>
      </c>
      <c r="F168" s="11">
        <v>14876000</v>
      </c>
      <c r="G168" s="11">
        <v>13460000</v>
      </c>
      <c r="H168" s="11">
        <v>21664000</v>
      </c>
      <c r="I168" s="57">
        <f t="shared" si="6"/>
        <v>6.6991823267823838E-2</v>
      </c>
      <c r="J168" s="57">
        <f t="shared" si="7"/>
        <v>-9.5186878193062652E-2</v>
      </c>
      <c r="K168" s="58">
        <f t="shared" si="8"/>
        <v>0.60950965824665682</v>
      </c>
    </row>
    <row r="169" spans="4:11" x14ac:dyDescent="0.2">
      <c r="D169" s="15" t="s">
        <v>343</v>
      </c>
      <c r="E169" s="11">
        <v>2034900</v>
      </c>
      <c r="F169" s="11">
        <v>1730800</v>
      </c>
      <c r="G169" s="11">
        <v>2218300</v>
      </c>
      <c r="H169" s="11">
        <v>2269400</v>
      </c>
      <c r="I169" s="57">
        <f t="shared" si="6"/>
        <v>-0.1494422330335643</v>
      </c>
      <c r="J169" s="57">
        <f t="shared" si="7"/>
        <v>0.28166165934827825</v>
      </c>
      <c r="K169" s="58">
        <f t="shared" si="8"/>
        <v>2.3035657936257496E-2</v>
      </c>
    </row>
    <row r="170" spans="4:11" x14ac:dyDescent="0.2">
      <c r="D170" s="15" t="s">
        <v>711</v>
      </c>
      <c r="E170" s="11">
        <v>834000</v>
      </c>
      <c r="F170" s="11">
        <v>1150000</v>
      </c>
      <c r="G170" s="11">
        <v>1258000</v>
      </c>
      <c r="H170" s="11">
        <v>795000</v>
      </c>
      <c r="I170" s="57">
        <f t="shared" si="6"/>
        <v>0.37889688249400477</v>
      </c>
      <c r="J170" s="57">
        <f t="shared" si="7"/>
        <v>9.3913043478260863E-2</v>
      </c>
      <c r="K170" s="58">
        <f t="shared" si="8"/>
        <v>-0.36804451510333863</v>
      </c>
    </row>
    <row r="171" spans="4:11" x14ac:dyDescent="0.2">
      <c r="D171" s="15" t="s">
        <v>712</v>
      </c>
      <c r="E171" s="11">
        <v>2359000</v>
      </c>
      <c r="F171" s="11">
        <v>2893000</v>
      </c>
      <c r="G171" s="11">
        <v>2411000</v>
      </c>
      <c r="H171" s="11">
        <v>3188000</v>
      </c>
      <c r="I171" s="57">
        <f t="shared" si="6"/>
        <v>0.22636710470538363</v>
      </c>
      <c r="J171" s="57">
        <f t="shared" si="7"/>
        <v>-0.16660905634289666</v>
      </c>
      <c r="K171" s="58">
        <f t="shared" si="8"/>
        <v>0.32227291580257156</v>
      </c>
    </row>
    <row r="172" spans="4:11" x14ac:dyDescent="0.2">
      <c r="D172" s="15" t="s">
        <v>713</v>
      </c>
      <c r="E172" s="11">
        <v>3365000</v>
      </c>
      <c r="F172" s="11">
        <v>2200000</v>
      </c>
      <c r="G172" s="11">
        <v>2480000</v>
      </c>
      <c r="H172" s="11">
        <v>2007000</v>
      </c>
      <c r="I172" s="57">
        <f t="shared" si="6"/>
        <v>-0.34621099554234769</v>
      </c>
      <c r="J172" s="57">
        <f t="shared" si="7"/>
        <v>0.12727272727272726</v>
      </c>
      <c r="K172" s="58">
        <f t="shared" si="8"/>
        <v>-0.19072580645161291</v>
      </c>
    </row>
    <row r="173" spans="4:11" x14ac:dyDescent="0.2">
      <c r="D173" s="15" t="s">
        <v>714</v>
      </c>
      <c r="E173" s="11">
        <v>341600</v>
      </c>
      <c r="F173" s="11">
        <v>93700</v>
      </c>
      <c r="G173" s="11">
        <v>-49800</v>
      </c>
      <c r="H173" s="11">
        <v>310100</v>
      </c>
      <c r="I173" s="57">
        <f t="shared" si="6"/>
        <v>-0.72570257611241218</v>
      </c>
      <c r="J173" s="57">
        <f t="shared" si="7"/>
        <v>-1.5314834578441836</v>
      </c>
      <c r="K173" s="58">
        <f t="shared" si="8"/>
        <v>-7.2269076305220885</v>
      </c>
    </row>
    <row r="174" spans="4:11" x14ac:dyDescent="0.2">
      <c r="D174" s="15" t="s">
        <v>715</v>
      </c>
      <c r="E174" s="11">
        <v>3993000</v>
      </c>
      <c r="F174" s="11">
        <v>3542000</v>
      </c>
      <c r="G174" s="11">
        <v>4031000</v>
      </c>
      <c r="H174" s="11">
        <v>2087000</v>
      </c>
      <c r="I174" s="57">
        <f t="shared" si="6"/>
        <v>-0.11294765840220386</v>
      </c>
      <c r="J174" s="57">
        <f t="shared" si="7"/>
        <v>0.1380575945793337</v>
      </c>
      <c r="K174" s="58">
        <f t="shared" si="8"/>
        <v>-0.48226246588935751</v>
      </c>
    </row>
    <row r="175" spans="4:11" x14ac:dyDescent="0.2">
      <c r="D175" s="15" t="s">
        <v>716</v>
      </c>
      <c r="E175" s="11">
        <v>1352637</v>
      </c>
      <c r="F175" s="11">
        <v>1208392</v>
      </c>
      <c r="G175" s="11">
        <v>1264282</v>
      </c>
      <c r="H175" s="11">
        <v>1351790</v>
      </c>
      <c r="I175" s="57">
        <f t="shared" si="6"/>
        <v>-0.10663984498427885</v>
      </c>
      <c r="J175" s="57">
        <f t="shared" si="7"/>
        <v>4.6251547511072563E-2</v>
      </c>
      <c r="K175" s="58">
        <f t="shared" si="8"/>
        <v>6.9215570576817514E-2</v>
      </c>
    </row>
    <row r="176" spans="4:11" x14ac:dyDescent="0.2">
      <c r="D176" s="15" t="s">
        <v>717</v>
      </c>
      <c r="E176" s="11">
        <v>2075000</v>
      </c>
      <c r="F176" s="11">
        <v>1125000</v>
      </c>
      <c r="G176" s="11">
        <v>3880000</v>
      </c>
      <c r="H176" s="11">
        <v>2580000</v>
      </c>
      <c r="I176" s="57">
        <f t="shared" si="6"/>
        <v>-0.45783132530120479</v>
      </c>
      <c r="J176" s="57">
        <f t="shared" si="7"/>
        <v>2.4488888888888889</v>
      </c>
      <c r="K176" s="58">
        <f t="shared" si="8"/>
        <v>-0.33505154639175255</v>
      </c>
    </row>
    <row r="177" spans="4:11" x14ac:dyDescent="0.2">
      <c r="D177" s="15" t="s">
        <v>718</v>
      </c>
      <c r="E177" s="11">
        <v>1330000</v>
      </c>
      <c r="F177" s="11">
        <v>1344000</v>
      </c>
      <c r="G177" s="11">
        <v>1642000</v>
      </c>
      <c r="H177" s="11">
        <v>1516000</v>
      </c>
      <c r="I177" s="57">
        <f t="shared" si="6"/>
        <v>1.0526315789473684E-2</v>
      </c>
      <c r="J177" s="57">
        <f t="shared" si="7"/>
        <v>0.22172619047619047</v>
      </c>
      <c r="K177" s="58">
        <f t="shared" si="8"/>
        <v>-7.6735688185140066E-2</v>
      </c>
    </row>
    <row r="178" spans="4:11" x14ac:dyDescent="0.2">
      <c r="D178" s="15" t="s">
        <v>719</v>
      </c>
      <c r="E178" s="11">
        <v>1174947</v>
      </c>
      <c r="F178" s="11">
        <v>1871863</v>
      </c>
      <c r="G178" s="11">
        <v>2382278</v>
      </c>
      <c r="H178" s="11">
        <v>2872522</v>
      </c>
      <c r="I178" s="57">
        <f t="shared" si="6"/>
        <v>0.59314675470468026</v>
      </c>
      <c r="J178" s="57">
        <f t="shared" si="7"/>
        <v>0.27267754103799263</v>
      </c>
      <c r="K178" s="58">
        <f t="shared" si="8"/>
        <v>0.20578790552571949</v>
      </c>
    </row>
    <row r="179" spans="4:11" x14ac:dyDescent="0.2">
      <c r="D179" s="15" t="s">
        <v>720</v>
      </c>
      <c r="E179" s="11">
        <v>35786</v>
      </c>
      <c r="F179" s="11">
        <v>544398</v>
      </c>
      <c r="G179" s="11">
        <v>670467</v>
      </c>
      <c r="H179" s="11">
        <v>855777</v>
      </c>
      <c r="I179" s="57">
        <f t="shared" si="6"/>
        <v>14.212597105013133</v>
      </c>
      <c r="J179" s="57">
        <f t="shared" si="7"/>
        <v>0.23157506089294963</v>
      </c>
      <c r="K179" s="58">
        <f t="shared" si="8"/>
        <v>0.27638944198595905</v>
      </c>
    </row>
    <row r="180" spans="4:11" x14ac:dyDescent="0.2">
      <c r="D180" s="15" t="s">
        <v>721</v>
      </c>
      <c r="E180" s="11">
        <v>931468</v>
      </c>
      <c r="F180" s="11">
        <v>1034369</v>
      </c>
      <c r="G180" s="11">
        <v>937747</v>
      </c>
      <c r="H180" s="11">
        <v>1223287</v>
      </c>
      <c r="I180" s="57">
        <f t="shared" si="6"/>
        <v>0.11047185732628496</v>
      </c>
      <c r="J180" s="57">
        <f t="shared" si="7"/>
        <v>-9.3411538822219156E-2</v>
      </c>
      <c r="K180" s="58">
        <f t="shared" si="8"/>
        <v>0.30449577551301149</v>
      </c>
    </row>
    <row r="181" spans="4:11" x14ac:dyDescent="0.2">
      <c r="D181" s="15" t="s">
        <v>722</v>
      </c>
      <c r="E181" s="11">
        <v>514323</v>
      </c>
      <c r="F181" s="11">
        <v>602543</v>
      </c>
      <c r="G181" s="11">
        <v>671426</v>
      </c>
      <c r="H181" s="11">
        <v>700806</v>
      </c>
      <c r="I181" s="57">
        <f t="shared" si="6"/>
        <v>0.17152645322103036</v>
      </c>
      <c r="J181" s="57">
        <f t="shared" si="7"/>
        <v>0.11432047173396753</v>
      </c>
      <c r="K181" s="58">
        <f t="shared" si="8"/>
        <v>4.3757614390863626E-2</v>
      </c>
    </row>
    <row r="182" spans="4:11" x14ac:dyDescent="0.2">
      <c r="D182" s="15" t="s">
        <v>723</v>
      </c>
      <c r="E182" s="11">
        <v>56000</v>
      </c>
      <c r="F182" s="11">
        <v>-886000</v>
      </c>
      <c r="G182" s="11">
        <v>-930000</v>
      </c>
      <c r="H182" s="11">
        <v>-999000</v>
      </c>
      <c r="I182" s="57">
        <f t="shared" si="6"/>
        <v>-16.821428571428573</v>
      </c>
      <c r="J182" s="57">
        <f t="shared" si="7"/>
        <v>4.9661399548532728E-2</v>
      </c>
      <c r="K182" s="58">
        <f t="shared" si="8"/>
        <v>7.4193548387096769E-2</v>
      </c>
    </row>
    <row r="183" spans="4:11" x14ac:dyDescent="0.2">
      <c r="D183" s="15" t="s">
        <v>724</v>
      </c>
      <c r="E183" s="11">
        <v>27400</v>
      </c>
      <c r="F183" s="11">
        <v>680100</v>
      </c>
      <c r="G183" s="11">
        <v>119100</v>
      </c>
      <c r="H183" s="11">
        <v>329800</v>
      </c>
      <c r="I183" s="57">
        <f t="shared" si="6"/>
        <v>23.821167883211679</v>
      </c>
      <c r="J183" s="57">
        <f t="shared" si="7"/>
        <v>-0.82487869430966032</v>
      </c>
      <c r="K183" s="58">
        <f t="shared" si="8"/>
        <v>1.7691015952980689</v>
      </c>
    </row>
    <row r="184" spans="4:11" x14ac:dyDescent="0.2">
      <c r="D184" s="15" t="s">
        <v>725</v>
      </c>
      <c r="E184" s="11">
        <v>846000</v>
      </c>
      <c r="F184" s="11">
        <v>894000</v>
      </c>
      <c r="G184" s="11">
        <v>1119000</v>
      </c>
      <c r="H184" s="11">
        <v>878000</v>
      </c>
      <c r="I184" s="57">
        <f t="shared" si="6"/>
        <v>5.6737588652482268E-2</v>
      </c>
      <c r="J184" s="57">
        <f t="shared" si="7"/>
        <v>0.25167785234899331</v>
      </c>
      <c r="K184" s="58">
        <f t="shared" si="8"/>
        <v>-0.21537086684539766</v>
      </c>
    </row>
    <row r="185" spans="4:11" x14ac:dyDescent="0.2">
      <c r="D185" s="15" t="s">
        <v>726</v>
      </c>
      <c r="E185" s="11">
        <v>1066972</v>
      </c>
      <c r="F185" s="11">
        <v>1154391</v>
      </c>
      <c r="G185" s="11">
        <v>1247448</v>
      </c>
      <c r="H185" s="11">
        <v>1297786</v>
      </c>
      <c r="I185" s="57">
        <f t="shared" si="6"/>
        <v>8.1931859505216628E-2</v>
      </c>
      <c r="J185" s="57">
        <f t="shared" si="7"/>
        <v>8.0611335327458372E-2</v>
      </c>
      <c r="K185" s="58">
        <f t="shared" si="8"/>
        <v>4.035278424431319E-2</v>
      </c>
    </row>
    <row r="186" spans="4:11" x14ac:dyDescent="0.2">
      <c r="D186" s="15" t="s">
        <v>727</v>
      </c>
      <c r="E186" s="11">
        <v>-76000</v>
      </c>
      <c r="F186" s="11">
        <v>-1690000</v>
      </c>
      <c r="G186" s="11">
        <v>-166000</v>
      </c>
      <c r="H186" s="11">
        <v>-1069000</v>
      </c>
      <c r="I186" s="57">
        <f t="shared" si="6"/>
        <v>21.236842105263158</v>
      </c>
      <c r="J186" s="57">
        <f t="shared" si="7"/>
        <v>-0.90177514792899405</v>
      </c>
      <c r="K186" s="58">
        <f t="shared" si="8"/>
        <v>5.4397590361445785</v>
      </c>
    </row>
    <row r="187" spans="4:11" x14ac:dyDescent="0.2">
      <c r="D187" s="15" t="s">
        <v>728</v>
      </c>
      <c r="E187" s="11">
        <v>638800</v>
      </c>
      <c r="F187" s="11">
        <v>1339200</v>
      </c>
      <c r="G187" s="11">
        <v>1302200</v>
      </c>
      <c r="H187" s="11">
        <v>1042200</v>
      </c>
      <c r="I187" s="57">
        <f t="shared" si="6"/>
        <v>1.0964308077645586</v>
      </c>
      <c r="J187" s="57">
        <f t="shared" si="7"/>
        <v>-2.7628434886499402E-2</v>
      </c>
      <c r="K187" s="58">
        <f t="shared" si="8"/>
        <v>-0.19966211027491937</v>
      </c>
    </row>
    <row r="188" spans="4:11" x14ac:dyDescent="0.2">
      <c r="D188" s="15" t="s">
        <v>729</v>
      </c>
      <c r="E188" s="11">
        <v>-165527</v>
      </c>
      <c r="F188" s="11">
        <v>728586</v>
      </c>
      <c r="G188" s="11">
        <v>803019</v>
      </c>
      <c r="H188" s="11">
        <v>45244</v>
      </c>
      <c r="I188" s="57">
        <f t="shared" si="6"/>
        <v>-5.4016142381605414</v>
      </c>
      <c r="J188" s="57">
        <f t="shared" si="7"/>
        <v>0.10216089795851142</v>
      </c>
      <c r="K188" s="58">
        <f t="shared" si="8"/>
        <v>-0.94365762204879333</v>
      </c>
    </row>
    <row r="189" spans="4:11" x14ac:dyDescent="0.2">
      <c r="D189" s="15" t="s">
        <v>730</v>
      </c>
      <c r="E189" s="11">
        <v>-459000</v>
      </c>
      <c r="F189" s="11">
        <v>2104000</v>
      </c>
      <c r="G189" s="11">
        <v>649000</v>
      </c>
      <c r="H189" s="11">
        <v>30000</v>
      </c>
      <c r="I189" s="57">
        <f t="shared" si="6"/>
        <v>-5.5838779956427018</v>
      </c>
      <c r="J189" s="57">
        <f t="shared" si="7"/>
        <v>-0.69153992395437258</v>
      </c>
      <c r="K189" s="58">
        <f t="shared" si="8"/>
        <v>-0.95377503852080125</v>
      </c>
    </row>
    <row r="190" spans="4:11" x14ac:dyDescent="0.2">
      <c r="D190" s="15" t="s">
        <v>731</v>
      </c>
      <c r="E190" s="11">
        <v>1372000</v>
      </c>
      <c r="F190" s="11">
        <v>1455000</v>
      </c>
      <c r="G190" s="11">
        <v>1585000</v>
      </c>
      <c r="H190" s="11">
        <v>1428000</v>
      </c>
      <c r="I190" s="57">
        <f t="shared" si="6"/>
        <v>6.0495626822157436E-2</v>
      </c>
      <c r="J190" s="57">
        <f t="shared" si="7"/>
        <v>8.9347079037800689E-2</v>
      </c>
      <c r="K190" s="58">
        <f t="shared" si="8"/>
        <v>-9.9053627760252366E-2</v>
      </c>
    </row>
    <row r="191" spans="4:11" x14ac:dyDescent="0.2">
      <c r="D191" s="15" t="s">
        <v>732</v>
      </c>
      <c r="E191" s="11">
        <v>3184000</v>
      </c>
      <c r="F191" s="11">
        <v>4340000</v>
      </c>
      <c r="G191" s="11">
        <v>3940000</v>
      </c>
      <c r="H191" s="11">
        <v>3610000</v>
      </c>
      <c r="I191" s="57">
        <f t="shared" si="6"/>
        <v>0.36306532663316582</v>
      </c>
      <c r="J191" s="57">
        <f t="shared" si="7"/>
        <v>-9.2165898617511524E-2</v>
      </c>
      <c r="K191" s="58">
        <f t="shared" si="8"/>
        <v>-8.3756345177664976E-2</v>
      </c>
    </row>
    <row r="192" spans="4:11" x14ac:dyDescent="0.2">
      <c r="D192" s="15" t="s">
        <v>733</v>
      </c>
      <c r="E192" s="11">
        <v>415700</v>
      </c>
      <c r="F192" s="11">
        <v>1102000</v>
      </c>
      <c r="G192" s="11">
        <v>1089300</v>
      </c>
      <c r="H192" s="11">
        <v>1308400</v>
      </c>
      <c r="I192" s="57">
        <f t="shared" si="6"/>
        <v>1.6509502044743805</v>
      </c>
      <c r="J192" s="57">
        <f t="shared" si="7"/>
        <v>-1.1524500907441016E-2</v>
      </c>
      <c r="K192" s="58">
        <f t="shared" si="8"/>
        <v>0.20113834572661343</v>
      </c>
    </row>
    <row r="193" spans="4:11" x14ac:dyDescent="0.2">
      <c r="D193" s="15" t="s">
        <v>734</v>
      </c>
      <c r="E193" s="11">
        <v>3423000</v>
      </c>
      <c r="F193" s="11">
        <v>2819000</v>
      </c>
      <c r="G193" s="11">
        <v>3275000</v>
      </c>
      <c r="H193" s="11">
        <v>3982000</v>
      </c>
      <c r="I193" s="57">
        <f t="shared" si="6"/>
        <v>-0.17645340344726848</v>
      </c>
      <c r="J193" s="57">
        <f t="shared" si="7"/>
        <v>0.16175948918056049</v>
      </c>
      <c r="K193" s="58">
        <f t="shared" si="8"/>
        <v>0.21587786259541986</v>
      </c>
    </row>
    <row r="194" spans="4:11" x14ac:dyDescent="0.2">
      <c r="D194" s="15" t="s">
        <v>735</v>
      </c>
      <c r="E194" s="11">
        <v>1291344</v>
      </c>
      <c r="F194" s="11">
        <v>1237246</v>
      </c>
      <c r="G194" s="11">
        <v>1296194</v>
      </c>
      <c r="H194" s="11">
        <v>1249609</v>
      </c>
      <c r="I194" s="57">
        <f t="shared" si="6"/>
        <v>-4.1892787669280999E-2</v>
      </c>
      <c r="J194" s="57">
        <f t="shared" si="7"/>
        <v>4.7644526634153597E-2</v>
      </c>
      <c r="K194" s="58">
        <f t="shared" si="8"/>
        <v>-3.5939836166499768E-2</v>
      </c>
    </row>
    <row r="195" spans="4:11" x14ac:dyDescent="0.2">
      <c r="D195" s="15" t="s">
        <v>736</v>
      </c>
      <c r="E195" s="11">
        <v>1716000</v>
      </c>
      <c r="F195" s="11">
        <v>2021000</v>
      </c>
      <c r="G195" s="11">
        <v>1530000</v>
      </c>
      <c r="H195" s="11">
        <v>1763000</v>
      </c>
      <c r="I195" s="57">
        <f t="shared" si="6"/>
        <v>0.17773892773892774</v>
      </c>
      <c r="J195" s="57">
        <f t="shared" si="7"/>
        <v>-0.2429490351311232</v>
      </c>
      <c r="K195" s="58">
        <f t="shared" si="8"/>
        <v>0.15228758169934639</v>
      </c>
    </row>
    <row r="196" spans="4:11" x14ac:dyDescent="0.2">
      <c r="D196" s="15" t="s">
        <v>737</v>
      </c>
      <c r="E196" s="11">
        <v>1136000</v>
      </c>
      <c r="F196" s="11">
        <v>993000</v>
      </c>
      <c r="G196" s="11">
        <v>791000</v>
      </c>
      <c r="H196" s="11">
        <v>1183000</v>
      </c>
      <c r="I196" s="57">
        <f t="shared" si="6"/>
        <v>-0.12588028169014084</v>
      </c>
      <c r="J196" s="57">
        <f t="shared" si="7"/>
        <v>-0.20342396777442096</v>
      </c>
      <c r="K196" s="58">
        <f t="shared" si="8"/>
        <v>0.49557522123893805</v>
      </c>
    </row>
    <row r="197" spans="4:11" x14ac:dyDescent="0.2">
      <c r="D197" s="15" t="s">
        <v>738</v>
      </c>
      <c r="E197" s="11">
        <v>-322000</v>
      </c>
      <c r="F197" s="11">
        <v>4000</v>
      </c>
      <c r="G197" s="11">
        <v>-101000</v>
      </c>
      <c r="H197" s="11">
        <v>-129000</v>
      </c>
      <c r="I197" s="57">
        <f t="shared" ref="I197:I260" si="9">(F197-E197)/E197</f>
        <v>-1.0124223602484472</v>
      </c>
      <c r="J197" s="57">
        <f t="shared" ref="J197:J260" si="10">(G197-F197)/F197</f>
        <v>-26.25</v>
      </c>
      <c r="K197" s="58">
        <f t="shared" ref="K197:K260" si="11">(H197-G197)/G197</f>
        <v>0.27722772277227725</v>
      </c>
    </row>
    <row r="198" spans="4:11" x14ac:dyDescent="0.2">
      <c r="D198" s="15" t="s">
        <v>739</v>
      </c>
      <c r="E198" s="11">
        <v>479000</v>
      </c>
      <c r="F198" s="11">
        <v>-413000</v>
      </c>
      <c r="G198" s="11">
        <v>922000</v>
      </c>
      <c r="H198" s="11">
        <v>750000</v>
      </c>
      <c r="I198" s="57">
        <f t="shared" si="9"/>
        <v>-1.8622129436325678</v>
      </c>
      <c r="J198" s="57">
        <f t="shared" si="10"/>
        <v>-3.232445520581114</v>
      </c>
      <c r="K198" s="58">
        <f t="shared" si="11"/>
        <v>-0.18655097613882862</v>
      </c>
    </row>
    <row r="199" spans="4:11" x14ac:dyDescent="0.2">
      <c r="D199" s="15" t="s">
        <v>740</v>
      </c>
      <c r="E199" s="11">
        <v>1092439</v>
      </c>
      <c r="F199" s="11">
        <v>1152269</v>
      </c>
      <c r="G199" s="11">
        <v>1016780</v>
      </c>
      <c r="H199" s="11">
        <v>1558504</v>
      </c>
      <c r="I199" s="57">
        <f t="shared" si="9"/>
        <v>5.4767360008201829E-2</v>
      </c>
      <c r="J199" s="57">
        <f t="shared" si="10"/>
        <v>-0.11758452236413545</v>
      </c>
      <c r="K199" s="58">
        <f t="shared" si="11"/>
        <v>0.53278388638643559</v>
      </c>
    </row>
    <row r="200" spans="4:11" x14ac:dyDescent="0.2">
      <c r="D200" s="15" t="s">
        <v>741</v>
      </c>
      <c r="E200" s="11">
        <v>3366000</v>
      </c>
      <c r="F200" s="11">
        <v>-801000</v>
      </c>
      <c r="G200" s="11">
        <v>5212000</v>
      </c>
      <c r="H200" s="11">
        <v>2224000</v>
      </c>
      <c r="I200" s="57">
        <f t="shared" si="9"/>
        <v>-1.2379679144385027</v>
      </c>
      <c r="J200" s="57">
        <f t="shared" si="10"/>
        <v>-7.5068664169787764</v>
      </c>
      <c r="K200" s="58">
        <f t="shared" si="11"/>
        <v>-0.57329240214888721</v>
      </c>
    </row>
    <row r="201" spans="4:11" x14ac:dyDescent="0.2">
      <c r="D201" s="15" t="s">
        <v>742</v>
      </c>
      <c r="E201" s="11">
        <v>388900</v>
      </c>
      <c r="F201" s="11">
        <v>753600</v>
      </c>
      <c r="G201" s="11">
        <v>758300</v>
      </c>
      <c r="H201" s="11">
        <v>213000</v>
      </c>
      <c r="I201" s="57">
        <f t="shared" si="9"/>
        <v>0.93777320647981488</v>
      </c>
      <c r="J201" s="57">
        <f t="shared" si="10"/>
        <v>6.2367303609341829E-3</v>
      </c>
      <c r="K201" s="58">
        <f t="shared" si="11"/>
        <v>-0.7191085322431755</v>
      </c>
    </row>
    <row r="202" spans="4:11" x14ac:dyDescent="0.2">
      <c r="D202" s="15" t="s">
        <v>743</v>
      </c>
      <c r="E202" s="11">
        <v>712251</v>
      </c>
      <c r="F202" s="11">
        <v>862080</v>
      </c>
      <c r="G202" s="11">
        <v>770109</v>
      </c>
      <c r="H202" s="11">
        <v>1002170</v>
      </c>
      <c r="I202" s="57">
        <f t="shared" si="9"/>
        <v>0.21035983101462827</v>
      </c>
      <c r="J202" s="57">
        <f t="shared" si="10"/>
        <v>-0.10668499443207127</v>
      </c>
      <c r="K202" s="58">
        <f t="shared" si="11"/>
        <v>0.30133526552734741</v>
      </c>
    </row>
    <row r="203" spans="4:11" x14ac:dyDescent="0.2">
      <c r="D203" s="15" t="s">
        <v>744</v>
      </c>
      <c r="E203" s="11">
        <v>858400</v>
      </c>
      <c r="F203" s="11">
        <v>886800</v>
      </c>
      <c r="G203" s="11">
        <v>917600</v>
      </c>
      <c r="H203" s="11">
        <v>802100</v>
      </c>
      <c r="I203" s="57">
        <f t="shared" si="9"/>
        <v>3.308480894687791E-2</v>
      </c>
      <c r="J203" s="57">
        <f t="shared" si="10"/>
        <v>3.4731619305367611E-2</v>
      </c>
      <c r="K203" s="58">
        <f t="shared" si="11"/>
        <v>-0.12587183958151701</v>
      </c>
    </row>
    <row r="204" spans="4:11" x14ac:dyDescent="0.2">
      <c r="D204" s="15" t="s">
        <v>745</v>
      </c>
      <c r="E204" s="11">
        <v>284000</v>
      </c>
      <c r="F204" s="11">
        <v>-495000</v>
      </c>
      <c r="G204" s="11">
        <v>-247000</v>
      </c>
      <c r="H204" s="11">
        <v>-1332000</v>
      </c>
      <c r="I204" s="57">
        <f t="shared" si="9"/>
        <v>-2.742957746478873</v>
      </c>
      <c r="J204" s="57">
        <f t="shared" si="10"/>
        <v>-0.50101010101010102</v>
      </c>
      <c r="K204" s="58">
        <f t="shared" si="11"/>
        <v>4.3927125506072873</v>
      </c>
    </row>
    <row r="205" spans="4:11" x14ac:dyDescent="0.2">
      <c r="D205" s="15" t="s">
        <v>746</v>
      </c>
      <c r="E205" s="11">
        <v>1304728</v>
      </c>
      <c r="F205" s="11">
        <v>1305107</v>
      </c>
      <c r="G205" s="11">
        <v>-1190388</v>
      </c>
      <c r="H205" s="11">
        <v>1413589</v>
      </c>
      <c r="I205" s="57">
        <f t="shared" si="9"/>
        <v>2.9048200084615339E-4</v>
      </c>
      <c r="J205" s="57">
        <f t="shared" si="10"/>
        <v>-1.9120999274388997</v>
      </c>
      <c r="K205" s="58">
        <f t="shared" si="11"/>
        <v>-2.1875027302022532</v>
      </c>
    </row>
    <row r="206" spans="4:11" x14ac:dyDescent="0.2">
      <c r="D206" s="15" t="s">
        <v>747</v>
      </c>
      <c r="E206" s="11">
        <v>466067</v>
      </c>
      <c r="F206" s="11">
        <v>639316</v>
      </c>
      <c r="G206" s="11">
        <v>717720</v>
      </c>
      <c r="H206" s="11">
        <v>948832</v>
      </c>
      <c r="I206" s="57">
        <f t="shared" si="9"/>
        <v>0.37172552444176482</v>
      </c>
      <c r="J206" s="57">
        <f t="shared" si="10"/>
        <v>0.12263731863429039</v>
      </c>
      <c r="K206" s="58">
        <f t="shared" si="11"/>
        <v>0.3220085827342139</v>
      </c>
    </row>
    <row r="207" spans="4:11" x14ac:dyDescent="0.2">
      <c r="D207" s="15" t="s">
        <v>748</v>
      </c>
      <c r="E207" s="11">
        <v>-290388</v>
      </c>
      <c r="F207" s="11">
        <v>231375</v>
      </c>
      <c r="G207" s="11">
        <v>-351903</v>
      </c>
      <c r="H207" s="11">
        <v>-739393</v>
      </c>
      <c r="I207" s="57">
        <f t="shared" si="9"/>
        <v>-1.7967787925120873</v>
      </c>
      <c r="J207" s="57">
        <f t="shared" si="10"/>
        <v>-2.5209205834683956</v>
      </c>
      <c r="K207" s="58">
        <f t="shared" si="11"/>
        <v>1.1011272992841779</v>
      </c>
    </row>
    <row r="208" spans="4:11" x14ac:dyDescent="0.2">
      <c r="D208" s="15" t="s">
        <v>531</v>
      </c>
      <c r="E208" s="11">
        <v>920500</v>
      </c>
      <c r="F208" s="11">
        <v>866100</v>
      </c>
      <c r="G208" s="11">
        <v>1122400</v>
      </c>
      <c r="H208" s="11">
        <v>1147700</v>
      </c>
      <c r="I208" s="57">
        <f t="shared" si="9"/>
        <v>-5.9098316132536667E-2</v>
      </c>
      <c r="J208" s="57">
        <f t="shared" si="10"/>
        <v>0.29592425816880269</v>
      </c>
      <c r="K208" s="58">
        <f t="shared" si="11"/>
        <v>2.2540983606557378E-2</v>
      </c>
    </row>
    <row r="209" spans="4:11" x14ac:dyDescent="0.2">
      <c r="D209" s="15" t="s">
        <v>749</v>
      </c>
      <c r="E209" s="11">
        <v>497700</v>
      </c>
      <c r="F209" s="11">
        <v>421000</v>
      </c>
      <c r="G209" s="11">
        <v>560000</v>
      </c>
      <c r="H209" s="11">
        <v>703400</v>
      </c>
      <c r="I209" s="57">
        <f t="shared" si="9"/>
        <v>-0.15410890094434399</v>
      </c>
      <c r="J209" s="57">
        <f t="shared" si="10"/>
        <v>0.33016627078384797</v>
      </c>
      <c r="K209" s="58">
        <f t="shared" si="11"/>
        <v>0.25607142857142856</v>
      </c>
    </row>
    <row r="210" spans="4:11" x14ac:dyDescent="0.2">
      <c r="D210" s="15" t="s">
        <v>750</v>
      </c>
      <c r="E210" s="11">
        <v>712709</v>
      </c>
      <c r="F210" s="11">
        <v>649207</v>
      </c>
      <c r="G210" s="11">
        <v>609965</v>
      </c>
      <c r="H210" s="11">
        <v>821995</v>
      </c>
      <c r="I210" s="57">
        <f t="shared" si="9"/>
        <v>-8.9099478188152531E-2</v>
      </c>
      <c r="J210" s="57">
        <f t="shared" si="10"/>
        <v>-6.0446051875595923E-2</v>
      </c>
      <c r="K210" s="58">
        <f t="shared" si="11"/>
        <v>0.3476101087767331</v>
      </c>
    </row>
    <row r="211" spans="4:11" x14ac:dyDescent="0.2">
      <c r="D211" s="15" t="s">
        <v>751</v>
      </c>
      <c r="E211" s="11">
        <v>1465000</v>
      </c>
      <c r="F211" s="11">
        <v>971000</v>
      </c>
      <c r="G211" s="11">
        <v>1208000</v>
      </c>
      <c r="H211" s="11">
        <v>1056000</v>
      </c>
      <c r="I211" s="57">
        <f t="shared" si="9"/>
        <v>-0.33720136518771332</v>
      </c>
      <c r="J211" s="57">
        <f t="shared" si="10"/>
        <v>0.24407826982492276</v>
      </c>
      <c r="K211" s="58">
        <f t="shared" si="11"/>
        <v>-0.12582781456953643</v>
      </c>
    </row>
    <row r="212" spans="4:11" x14ac:dyDescent="0.2">
      <c r="D212" s="15" t="s">
        <v>752</v>
      </c>
      <c r="E212" s="11">
        <v>1379200</v>
      </c>
      <c r="F212" s="11">
        <v>22200</v>
      </c>
      <c r="G212" s="11">
        <v>43400</v>
      </c>
      <c r="H212" s="11">
        <v>1451400</v>
      </c>
      <c r="I212" s="57">
        <f t="shared" si="9"/>
        <v>-0.98390371229698381</v>
      </c>
      <c r="J212" s="57">
        <f t="shared" si="10"/>
        <v>0.95495495495495497</v>
      </c>
      <c r="K212" s="58">
        <f t="shared" si="11"/>
        <v>32.442396313364057</v>
      </c>
    </row>
    <row r="213" spans="4:11" x14ac:dyDescent="0.2">
      <c r="D213" s="15" t="s">
        <v>753</v>
      </c>
      <c r="E213" s="11">
        <v>796840</v>
      </c>
      <c r="F213" s="11">
        <v>911242</v>
      </c>
      <c r="G213" s="11">
        <v>1023305</v>
      </c>
      <c r="H213" s="11">
        <v>1385324</v>
      </c>
      <c r="I213" s="57">
        <f t="shared" si="9"/>
        <v>0.14356959991968274</v>
      </c>
      <c r="J213" s="57">
        <f t="shared" si="10"/>
        <v>0.1229783087258928</v>
      </c>
      <c r="K213" s="58">
        <f t="shared" si="11"/>
        <v>0.35377429016764306</v>
      </c>
    </row>
    <row r="214" spans="4:11" x14ac:dyDescent="0.2">
      <c r="D214" s="15" t="s">
        <v>754</v>
      </c>
      <c r="E214" s="11">
        <v>3687000</v>
      </c>
      <c r="F214" s="11">
        <v>4246000</v>
      </c>
      <c r="G214" s="11">
        <v>4990000</v>
      </c>
      <c r="H214" s="11">
        <v>4937000</v>
      </c>
      <c r="I214" s="57">
        <f t="shared" si="9"/>
        <v>0.15161377813940874</v>
      </c>
      <c r="J214" s="57">
        <f t="shared" si="10"/>
        <v>0.17522373999057936</v>
      </c>
      <c r="K214" s="58">
        <f t="shared" si="11"/>
        <v>-1.062124248496994E-2</v>
      </c>
    </row>
    <row r="215" spans="4:11" x14ac:dyDescent="0.2">
      <c r="D215" s="15" t="s">
        <v>755</v>
      </c>
      <c r="E215" s="11">
        <v>1095000</v>
      </c>
      <c r="F215" s="11">
        <v>2146000</v>
      </c>
      <c r="G215" s="11">
        <v>1680000</v>
      </c>
      <c r="H215" s="11">
        <v>2917000</v>
      </c>
      <c r="I215" s="57">
        <f t="shared" si="9"/>
        <v>0.9598173515981735</v>
      </c>
      <c r="J215" s="57">
        <f t="shared" si="10"/>
        <v>-0.21714818266542404</v>
      </c>
      <c r="K215" s="58">
        <f t="shared" si="11"/>
        <v>0.73630952380952386</v>
      </c>
    </row>
    <row r="216" spans="4:11" x14ac:dyDescent="0.2">
      <c r="D216" s="15" t="s">
        <v>756</v>
      </c>
      <c r="E216" s="11">
        <v>501299</v>
      </c>
      <c r="F216" s="11">
        <v>731850.97900000005</v>
      </c>
      <c r="G216" s="11">
        <v>330483</v>
      </c>
      <c r="H216" s="11">
        <v>892792</v>
      </c>
      <c r="I216" s="57">
        <f t="shared" si="9"/>
        <v>0.45990911412151242</v>
      </c>
      <c r="J216" s="57">
        <f t="shared" si="10"/>
        <v>-0.54842856061821299</v>
      </c>
      <c r="K216" s="58">
        <f t="shared" si="11"/>
        <v>1.7014763240469253</v>
      </c>
    </row>
    <row r="217" spans="4:11" x14ac:dyDescent="0.2">
      <c r="D217" s="15" t="s">
        <v>757</v>
      </c>
      <c r="E217" s="11">
        <v>98000</v>
      </c>
      <c r="F217" s="11">
        <v>715000</v>
      </c>
      <c r="G217" s="11">
        <v>562000</v>
      </c>
      <c r="H217" s="11">
        <v>1020000</v>
      </c>
      <c r="I217" s="57">
        <f t="shared" si="9"/>
        <v>6.295918367346939</v>
      </c>
      <c r="J217" s="57">
        <f t="shared" si="10"/>
        <v>-0.213986013986014</v>
      </c>
      <c r="K217" s="58">
        <f t="shared" si="11"/>
        <v>0.81494661921708189</v>
      </c>
    </row>
    <row r="218" spans="4:11" x14ac:dyDescent="0.2">
      <c r="D218" s="15" t="s">
        <v>758</v>
      </c>
      <c r="E218" s="11">
        <v>398000</v>
      </c>
      <c r="F218" s="11">
        <v>696000</v>
      </c>
      <c r="G218" s="11">
        <v>601000</v>
      </c>
      <c r="H218" s="11">
        <v>795000</v>
      </c>
      <c r="I218" s="57">
        <f t="shared" si="9"/>
        <v>0.74874371859296485</v>
      </c>
      <c r="J218" s="57">
        <f t="shared" si="10"/>
        <v>-0.13649425287356323</v>
      </c>
      <c r="K218" s="58">
        <f t="shared" si="11"/>
        <v>0.32279534109816971</v>
      </c>
    </row>
    <row r="219" spans="4:11" x14ac:dyDescent="0.2">
      <c r="D219" s="15" t="s">
        <v>759</v>
      </c>
      <c r="E219" s="11">
        <v>690000</v>
      </c>
      <c r="F219" s="11">
        <v>-1923000</v>
      </c>
      <c r="G219" s="11">
        <v>-1406000</v>
      </c>
      <c r="H219" s="11">
        <v>-1642000</v>
      </c>
      <c r="I219" s="57">
        <f t="shared" si="9"/>
        <v>-3.7869565217391306</v>
      </c>
      <c r="J219" s="57">
        <f t="shared" si="10"/>
        <v>-0.26885075403016123</v>
      </c>
      <c r="K219" s="58">
        <f t="shared" si="11"/>
        <v>0.1678520625889047</v>
      </c>
    </row>
    <row r="220" spans="4:11" x14ac:dyDescent="0.2">
      <c r="D220" s="15" t="s">
        <v>760</v>
      </c>
      <c r="E220" s="11">
        <v>-104000</v>
      </c>
      <c r="F220" s="11">
        <v>39000</v>
      </c>
      <c r="G220" s="11">
        <v>-133000</v>
      </c>
      <c r="H220" s="11">
        <v>-33000</v>
      </c>
      <c r="I220" s="57">
        <f t="shared" si="9"/>
        <v>-1.375</v>
      </c>
      <c r="J220" s="57">
        <f t="shared" si="10"/>
        <v>-4.4102564102564106</v>
      </c>
      <c r="K220" s="58">
        <f t="shared" si="11"/>
        <v>-0.75187969924812026</v>
      </c>
    </row>
    <row r="221" spans="4:11" x14ac:dyDescent="0.2">
      <c r="D221" s="15" t="s">
        <v>761</v>
      </c>
      <c r="E221" s="11">
        <v>138881</v>
      </c>
      <c r="F221" s="11">
        <v>274156</v>
      </c>
      <c r="G221" s="11">
        <v>298892</v>
      </c>
      <c r="H221" s="11">
        <v>284333</v>
      </c>
      <c r="I221" s="57">
        <f t="shared" si="9"/>
        <v>0.97403532520647174</v>
      </c>
      <c r="J221" s="57">
        <f t="shared" si="10"/>
        <v>9.0226002713783393E-2</v>
      </c>
      <c r="K221" s="58">
        <f t="shared" si="11"/>
        <v>-4.8709901904366797E-2</v>
      </c>
    </row>
    <row r="222" spans="4:11" x14ac:dyDescent="0.2">
      <c r="D222" s="15" t="s">
        <v>762</v>
      </c>
      <c r="E222" s="11">
        <v>693567</v>
      </c>
      <c r="F222" s="11">
        <v>799863</v>
      </c>
      <c r="G222" s="11">
        <v>875850</v>
      </c>
      <c r="H222" s="11">
        <v>940742</v>
      </c>
      <c r="I222" s="57">
        <f t="shared" si="9"/>
        <v>0.15325988693233675</v>
      </c>
      <c r="J222" s="57">
        <f t="shared" si="10"/>
        <v>9.5000018753211485E-2</v>
      </c>
      <c r="K222" s="58">
        <f t="shared" si="11"/>
        <v>7.4090312268082437E-2</v>
      </c>
    </row>
    <row r="223" spans="4:11" x14ac:dyDescent="0.2">
      <c r="D223" s="15" t="s">
        <v>763</v>
      </c>
      <c r="E223" s="11">
        <v>489700</v>
      </c>
      <c r="F223" s="11">
        <v>490700</v>
      </c>
      <c r="G223" s="11">
        <v>701300</v>
      </c>
      <c r="H223" s="11">
        <v>1066800</v>
      </c>
      <c r="I223" s="57">
        <f t="shared" si="9"/>
        <v>2.0420665713702267E-3</v>
      </c>
      <c r="J223" s="57">
        <f t="shared" si="10"/>
        <v>0.42918280008151621</v>
      </c>
      <c r="K223" s="58">
        <f t="shared" si="11"/>
        <v>0.52117496078710968</v>
      </c>
    </row>
    <row r="224" spans="4:11" x14ac:dyDescent="0.2">
      <c r="D224" s="15" t="s">
        <v>764</v>
      </c>
      <c r="E224" s="11">
        <v>566000</v>
      </c>
      <c r="F224" s="11">
        <v>316000</v>
      </c>
      <c r="G224" s="11">
        <v>967000</v>
      </c>
      <c r="H224" s="11">
        <v>-1265000</v>
      </c>
      <c r="I224" s="57">
        <f t="shared" si="9"/>
        <v>-0.44169611307420492</v>
      </c>
      <c r="J224" s="57">
        <f t="shared" si="10"/>
        <v>2.0601265822784809</v>
      </c>
      <c r="K224" s="58">
        <f t="shared" si="11"/>
        <v>-2.3081695966907962</v>
      </c>
    </row>
    <row r="225" spans="4:11" x14ac:dyDescent="0.2">
      <c r="D225" s="15" t="s">
        <v>765</v>
      </c>
      <c r="E225" s="11">
        <v>322000</v>
      </c>
      <c r="F225" s="11">
        <v>1108600</v>
      </c>
      <c r="G225" s="11">
        <v>878000</v>
      </c>
      <c r="H225" s="11">
        <v>948900</v>
      </c>
      <c r="I225" s="57">
        <f t="shared" si="9"/>
        <v>2.4428571428571431</v>
      </c>
      <c r="J225" s="57">
        <f t="shared" si="10"/>
        <v>-0.20801010283240123</v>
      </c>
      <c r="K225" s="58">
        <f t="shared" si="11"/>
        <v>8.0751708428246013E-2</v>
      </c>
    </row>
    <row r="226" spans="4:11" x14ac:dyDescent="0.2">
      <c r="D226" s="15" t="s">
        <v>766</v>
      </c>
      <c r="E226" s="11">
        <v>727955</v>
      </c>
      <c r="F226" s="11">
        <v>1041071</v>
      </c>
      <c r="G226" s="11">
        <v>1162173</v>
      </c>
      <c r="H226" s="11">
        <v>1022134</v>
      </c>
      <c r="I226" s="57">
        <f t="shared" si="9"/>
        <v>0.43013098337122485</v>
      </c>
      <c r="J226" s="57">
        <f t="shared" si="10"/>
        <v>0.11632443896717899</v>
      </c>
      <c r="K226" s="58">
        <f t="shared" si="11"/>
        <v>-0.12049755070888757</v>
      </c>
    </row>
    <row r="227" spans="4:11" x14ac:dyDescent="0.2">
      <c r="D227" s="15" t="s">
        <v>767</v>
      </c>
      <c r="E227" s="11">
        <v>35000</v>
      </c>
      <c r="F227" s="11">
        <v>-22000</v>
      </c>
      <c r="G227" s="11">
        <v>15000</v>
      </c>
      <c r="H227" s="11">
        <v>-200000</v>
      </c>
      <c r="I227" s="57">
        <f t="shared" si="9"/>
        <v>-1.6285714285714286</v>
      </c>
      <c r="J227" s="57">
        <f t="shared" si="10"/>
        <v>-1.6818181818181819</v>
      </c>
      <c r="K227" s="58">
        <f t="shared" si="11"/>
        <v>-14.333333333333334</v>
      </c>
    </row>
    <row r="228" spans="4:11" x14ac:dyDescent="0.2">
      <c r="D228" s="15" t="s">
        <v>768</v>
      </c>
      <c r="E228" s="11">
        <v>677796</v>
      </c>
      <c r="F228" s="11">
        <v>786210</v>
      </c>
      <c r="G228" s="11">
        <v>945592</v>
      </c>
      <c r="H228" s="11">
        <v>1007081</v>
      </c>
      <c r="I228" s="57">
        <f t="shared" si="9"/>
        <v>0.15995078165111626</v>
      </c>
      <c r="J228" s="57">
        <f t="shared" si="10"/>
        <v>0.20272191908014398</v>
      </c>
      <c r="K228" s="58">
        <f t="shared" si="11"/>
        <v>6.5026988383996481E-2</v>
      </c>
    </row>
    <row r="229" spans="4:11" x14ac:dyDescent="0.2">
      <c r="D229" s="15" t="s">
        <v>769</v>
      </c>
      <c r="E229" s="11">
        <v>1224000</v>
      </c>
      <c r="F229" s="11">
        <v>654000</v>
      </c>
      <c r="G229" s="11">
        <v>713000</v>
      </c>
      <c r="H229" s="11">
        <v>910000</v>
      </c>
      <c r="I229" s="57">
        <f t="shared" si="9"/>
        <v>-0.46568627450980393</v>
      </c>
      <c r="J229" s="57">
        <f t="shared" si="10"/>
        <v>9.0214067278287458E-2</v>
      </c>
      <c r="K229" s="58">
        <f t="shared" si="11"/>
        <v>0.27629733520336608</v>
      </c>
    </row>
    <row r="230" spans="4:11" x14ac:dyDescent="0.2">
      <c r="D230" s="15" t="s">
        <v>770</v>
      </c>
      <c r="E230" s="11">
        <v>487118</v>
      </c>
      <c r="F230" s="11">
        <v>601536</v>
      </c>
      <c r="G230" s="11">
        <v>904296</v>
      </c>
      <c r="H230" s="11">
        <v>1099940</v>
      </c>
      <c r="I230" s="57">
        <f t="shared" si="9"/>
        <v>0.23488764529333755</v>
      </c>
      <c r="J230" s="57">
        <f t="shared" si="10"/>
        <v>0.50331152250239386</v>
      </c>
      <c r="K230" s="58">
        <f t="shared" si="11"/>
        <v>0.2163495138759875</v>
      </c>
    </row>
    <row r="231" spans="4:11" x14ac:dyDescent="0.2">
      <c r="D231" s="15" t="s">
        <v>771</v>
      </c>
      <c r="E231" s="11">
        <v>899501</v>
      </c>
      <c r="F231" s="11">
        <v>743952</v>
      </c>
      <c r="G231" s="11">
        <v>991840</v>
      </c>
      <c r="H231" s="11">
        <v>1271392</v>
      </c>
      <c r="I231" s="57">
        <f t="shared" si="9"/>
        <v>-0.17292810124724708</v>
      </c>
      <c r="J231" s="57">
        <f t="shared" si="10"/>
        <v>0.33320429275006991</v>
      </c>
      <c r="K231" s="58">
        <f t="shared" si="11"/>
        <v>0.28185191159864492</v>
      </c>
    </row>
    <row r="232" spans="4:11" x14ac:dyDescent="0.2">
      <c r="D232" s="15" t="s">
        <v>504</v>
      </c>
      <c r="E232" s="11">
        <v>190460</v>
      </c>
      <c r="F232" s="11">
        <v>490570</v>
      </c>
      <c r="G232" s="11">
        <v>692461</v>
      </c>
      <c r="H232" s="11">
        <v>791143</v>
      </c>
      <c r="I232" s="57">
        <f t="shared" si="9"/>
        <v>1.5757114354720152</v>
      </c>
      <c r="J232" s="57">
        <f t="shared" si="10"/>
        <v>0.41154371445461402</v>
      </c>
      <c r="K232" s="58">
        <f t="shared" si="11"/>
        <v>0.14250910881623657</v>
      </c>
    </row>
    <row r="233" spans="4:11" x14ac:dyDescent="0.2">
      <c r="D233" s="15" t="s">
        <v>772</v>
      </c>
      <c r="E233" s="11">
        <v>830800</v>
      </c>
      <c r="F233" s="11">
        <v>335900</v>
      </c>
      <c r="G233" s="11">
        <v>869200</v>
      </c>
      <c r="H233" s="11">
        <v>1040000</v>
      </c>
      <c r="I233" s="57">
        <f t="shared" si="9"/>
        <v>-0.59569090033702454</v>
      </c>
      <c r="J233" s="57">
        <f t="shared" si="10"/>
        <v>1.5876749032450135</v>
      </c>
      <c r="K233" s="58">
        <f t="shared" si="11"/>
        <v>0.19650253106304649</v>
      </c>
    </row>
    <row r="234" spans="4:11" x14ac:dyDescent="0.2">
      <c r="D234" s="15" t="s">
        <v>773</v>
      </c>
      <c r="E234" s="11">
        <v>1579000</v>
      </c>
      <c r="F234" s="11">
        <v>1407000</v>
      </c>
      <c r="G234" s="11">
        <v>200000</v>
      </c>
      <c r="H234" s="11">
        <v>609000</v>
      </c>
      <c r="I234" s="57">
        <f t="shared" si="9"/>
        <v>-0.10892970234325522</v>
      </c>
      <c r="J234" s="57">
        <f t="shared" si="10"/>
        <v>-0.85785358919687282</v>
      </c>
      <c r="K234" s="58">
        <f t="shared" si="11"/>
        <v>2.0449999999999999</v>
      </c>
    </row>
    <row r="235" spans="4:11" x14ac:dyDescent="0.2">
      <c r="D235" s="15" t="s">
        <v>774</v>
      </c>
      <c r="E235" s="11">
        <v>-918000</v>
      </c>
      <c r="F235" s="11">
        <v>-30000</v>
      </c>
      <c r="G235" s="11">
        <v>-672000</v>
      </c>
      <c r="H235" s="11">
        <v>-417000</v>
      </c>
      <c r="I235" s="57">
        <f t="shared" si="9"/>
        <v>-0.9673202614379085</v>
      </c>
      <c r="J235" s="57">
        <f t="shared" si="10"/>
        <v>21.4</v>
      </c>
      <c r="K235" s="58">
        <f t="shared" si="11"/>
        <v>-0.3794642857142857</v>
      </c>
    </row>
    <row r="236" spans="4:11" x14ac:dyDescent="0.2">
      <c r="D236" s="15" t="s">
        <v>775</v>
      </c>
      <c r="E236" s="11">
        <v>629290</v>
      </c>
      <c r="F236" s="11">
        <v>666433</v>
      </c>
      <c r="G236" s="11">
        <v>653262</v>
      </c>
      <c r="H236" s="11">
        <v>660760</v>
      </c>
      <c r="I236" s="57">
        <f t="shared" si="9"/>
        <v>5.902366158686774E-2</v>
      </c>
      <c r="J236" s="57">
        <f t="shared" si="10"/>
        <v>-1.9763427081191959E-2</v>
      </c>
      <c r="K236" s="58">
        <f t="shared" si="11"/>
        <v>1.1477783798843342E-2</v>
      </c>
    </row>
    <row r="237" spans="4:11" x14ac:dyDescent="0.2">
      <c r="D237" s="15" t="s">
        <v>776</v>
      </c>
      <c r="E237" s="11">
        <v>2449000</v>
      </c>
      <c r="F237" s="11">
        <v>1842000</v>
      </c>
      <c r="G237" s="11">
        <v>1936000</v>
      </c>
      <c r="H237" s="11">
        <v>2721000</v>
      </c>
      <c r="I237" s="57">
        <f t="shared" si="9"/>
        <v>-0.24785626786443446</v>
      </c>
      <c r="J237" s="57">
        <f t="shared" si="10"/>
        <v>5.1031487513572206E-2</v>
      </c>
      <c r="K237" s="58">
        <f t="shared" si="11"/>
        <v>0.40547520661157027</v>
      </c>
    </row>
    <row r="238" spans="4:11" x14ac:dyDescent="0.2">
      <c r="D238" s="15" t="s">
        <v>777</v>
      </c>
      <c r="E238" s="11">
        <v>580000</v>
      </c>
      <c r="F238" s="11">
        <v>-7390000</v>
      </c>
      <c r="G238" s="11">
        <v>-7015000</v>
      </c>
      <c r="H238" s="11">
        <v>-5626000</v>
      </c>
      <c r="I238" s="57">
        <f t="shared" si="9"/>
        <v>-13.741379310344827</v>
      </c>
      <c r="J238" s="57">
        <f t="shared" si="10"/>
        <v>-5.0744248985115023E-2</v>
      </c>
      <c r="K238" s="58">
        <f t="shared" si="11"/>
        <v>-0.19800427655024946</v>
      </c>
    </row>
    <row r="239" spans="4:11" x14ac:dyDescent="0.2">
      <c r="D239" s="15" t="s">
        <v>778</v>
      </c>
      <c r="E239" s="11">
        <v>547394</v>
      </c>
      <c r="F239" s="11">
        <v>667152</v>
      </c>
      <c r="G239" s="11">
        <v>787010</v>
      </c>
      <c r="H239" s="11">
        <v>928401</v>
      </c>
      <c r="I239" s="57">
        <f t="shared" si="9"/>
        <v>0.21877843016182127</v>
      </c>
      <c r="J239" s="57">
        <f t="shared" si="10"/>
        <v>0.17965621027891696</v>
      </c>
      <c r="K239" s="58">
        <f t="shared" si="11"/>
        <v>0.17965591288547794</v>
      </c>
    </row>
    <row r="240" spans="4:11" x14ac:dyDescent="0.2">
      <c r="D240" s="15" t="s">
        <v>779</v>
      </c>
      <c r="E240" s="11">
        <v>350355</v>
      </c>
      <c r="F240" s="11">
        <v>-977213</v>
      </c>
      <c r="G240" s="11">
        <v>-1282118</v>
      </c>
      <c r="H240" s="11">
        <v>-1755775</v>
      </c>
      <c r="I240" s="57">
        <f t="shared" si="9"/>
        <v>-3.7892080889383624</v>
      </c>
      <c r="J240" s="57">
        <f t="shared" si="10"/>
        <v>0.31201488314216042</v>
      </c>
      <c r="K240" s="58">
        <f t="shared" si="11"/>
        <v>0.36943323469446648</v>
      </c>
    </row>
    <row r="241" spans="4:11" x14ac:dyDescent="0.2">
      <c r="D241" s="15" t="s">
        <v>780</v>
      </c>
      <c r="E241" s="11">
        <v>618168</v>
      </c>
      <c r="F241" s="11">
        <v>716792</v>
      </c>
      <c r="G241" s="11">
        <v>769607</v>
      </c>
      <c r="H241" s="11">
        <v>826554</v>
      </c>
      <c r="I241" s="57">
        <f t="shared" si="9"/>
        <v>0.15954238977106547</v>
      </c>
      <c r="J241" s="57">
        <f t="shared" si="10"/>
        <v>7.3682462973917118E-2</v>
      </c>
      <c r="K241" s="58">
        <f t="shared" si="11"/>
        <v>7.3994909089964103E-2</v>
      </c>
    </row>
    <row r="242" spans="4:11" x14ac:dyDescent="0.2">
      <c r="D242" s="15" t="s">
        <v>781</v>
      </c>
      <c r="E242" s="11">
        <v>1200000</v>
      </c>
      <c r="F242" s="11">
        <v>1284000</v>
      </c>
      <c r="G242" s="11">
        <v>770000</v>
      </c>
      <c r="H242" s="11">
        <v>782000</v>
      </c>
      <c r="I242" s="57">
        <f t="shared" si="9"/>
        <v>7.0000000000000007E-2</v>
      </c>
      <c r="J242" s="57">
        <f t="shared" si="10"/>
        <v>-0.40031152647975077</v>
      </c>
      <c r="K242" s="58">
        <f t="shared" si="11"/>
        <v>1.5584415584415584E-2</v>
      </c>
    </row>
    <row r="243" spans="4:11" x14ac:dyDescent="0.2">
      <c r="D243" s="15" t="s">
        <v>782</v>
      </c>
      <c r="E243" s="11">
        <v>1321000</v>
      </c>
      <c r="F243" s="11">
        <v>1408000</v>
      </c>
      <c r="G243" s="11">
        <v>1771000</v>
      </c>
      <c r="H243" s="11">
        <v>1669000</v>
      </c>
      <c r="I243" s="57">
        <f t="shared" si="9"/>
        <v>6.5859197577592732E-2</v>
      </c>
      <c r="J243" s="57">
        <f t="shared" si="10"/>
        <v>0.2578125</v>
      </c>
      <c r="K243" s="58">
        <f t="shared" si="11"/>
        <v>-5.7594579333709768E-2</v>
      </c>
    </row>
    <row r="244" spans="4:11" x14ac:dyDescent="0.2">
      <c r="D244" s="15" t="s">
        <v>783</v>
      </c>
      <c r="E244" s="11">
        <v>1061371</v>
      </c>
      <c r="F244" s="11">
        <v>1096815</v>
      </c>
      <c r="G244" s="11">
        <v>1349033</v>
      </c>
      <c r="H244" s="11">
        <v>1535051</v>
      </c>
      <c r="I244" s="57">
        <f t="shared" si="9"/>
        <v>3.3394543472546355E-2</v>
      </c>
      <c r="J244" s="57">
        <f t="shared" si="10"/>
        <v>0.22995491491272457</v>
      </c>
      <c r="K244" s="58">
        <f t="shared" si="11"/>
        <v>0.13788988112225573</v>
      </c>
    </row>
    <row r="245" spans="4:11" x14ac:dyDescent="0.2">
      <c r="D245" s="15" t="s">
        <v>784</v>
      </c>
      <c r="E245" s="11">
        <v>-855000</v>
      </c>
      <c r="F245" s="11">
        <v>-357000</v>
      </c>
      <c r="G245" s="11">
        <v>-266000</v>
      </c>
      <c r="H245" s="11">
        <v>-278000</v>
      </c>
      <c r="I245" s="57">
        <f t="shared" si="9"/>
        <v>-0.58245614035087723</v>
      </c>
      <c r="J245" s="57">
        <f t="shared" si="10"/>
        <v>-0.25490196078431371</v>
      </c>
      <c r="K245" s="58">
        <f t="shared" si="11"/>
        <v>4.5112781954887216E-2</v>
      </c>
    </row>
    <row r="246" spans="4:11" x14ac:dyDescent="0.2">
      <c r="D246" s="15" t="s">
        <v>785</v>
      </c>
      <c r="E246" s="11">
        <v>888900</v>
      </c>
      <c r="F246" s="11">
        <v>1026800</v>
      </c>
      <c r="G246" s="11">
        <v>1065300</v>
      </c>
      <c r="H246" s="11">
        <v>1232100</v>
      </c>
      <c r="I246" s="57">
        <f t="shared" si="9"/>
        <v>0.15513556080548993</v>
      </c>
      <c r="J246" s="57">
        <f t="shared" si="10"/>
        <v>3.7495130502532135E-2</v>
      </c>
      <c r="K246" s="58">
        <f t="shared" si="11"/>
        <v>0.15657561250352015</v>
      </c>
    </row>
    <row r="247" spans="4:11" x14ac:dyDescent="0.2">
      <c r="D247" s="15" t="s">
        <v>786</v>
      </c>
      <c r="E247" s="11">
        <v>6184000</v>
      </c>
      <c r="F247" s="11">
        <v>6511000</v>
      </c>
      <c r="G247" s="11">
        <v>8575000</v>
      </c>
      <c r="H247" s="11">
        <v>9342000</v>
      </c>
      <c r="I247" s="57">
        <f t="shared" si="9"/>
        <v>5.2878395860284602E-2</v>
      </c>
      <c r="J247" s="57">
        <f t="shared" si="10"/>
        <v>0.31700199662110273</v>
      </c>
      <c r="K247" s="58">
        <f t="shared" si="11"/>
        <v>8.9446064139941689E-2</v>
      </c>
    </row>
    <row r="248" spans="4:11" x14ac:dyDescent="0.2">
      <c r="D248" s="15" t="s">
        <v>787</v>
      </c>
      <c r="E248" s="11">
        <v>646500</v>
      </c>
      <c r="F248" s="11">
        <v>984200</v>
      </c>
      <c r="G248" s="11">
        <v>1212800</v>
      </c>
      <c r="H248" s="11">
        <v>1445900</v>
      </c>
      <c r="I248" s="57">
        <f t="shared" si="9"/>
        <v>0.52235112142304718</v>
      </c>
      <c r="J248" s="57">
        <f t="shared" si="10"/>
        <v>0.23226986384881121</v>
      </c>
      <c r="K248" s="58">
        <f t="shared" si="11"/>
        <v>0.19219986807387862</v>
      </c>
    </row>
    <row r="249" spans="4:11" x14ac:dyDescent="0.2">
      <c r="D249" s="15" t="s">
        <v>788</v>
      </c>
      <c r="E249" s="11">
        <v>606000</v>
      </c>
      <c r="F249" s="11">
        <v>634000</v>
      </c>
      <c r="G249" s="11">
        <v>782000</v>
      </c>
      <c r="H249" s="11">
        <v>786000</v>
      </c>
      <c r="I249" s="57">
        <f t="shared" si="9"/>
        <v>4.6204620462046202E-2</v>
      </c>
      <c r="J249" s="57">
        <f t="shared" si="10"/>
        <v>0.2334384858044164</v>
      </c>
      <c r="K249" s="58">
        <f t="shared" si="11"/>
        <v>5.1150895140664966E-3</v>
      </c>
    </row>
    <row r="250" spans="4:11" x14ac:dyDescent="0.2">
      <c r="D250" s="15" t="s">
        <v>789</v>
      </c>
      <c r="E250" s="11">
        <v>870900</v>
      </c>
      <c r="F250" s="11">
        <v>838500</v>
      </c>
      <c r="G250" s="11">
        <v>226100</v>
      </c>
      <c r="H250" s="11">
        <v>768800</v>
      </c>
      <c r="I250" s="57">
        <f t="shared" si="9"/>
        <v>-3.7202893558387871E-2</v>
      </c>
      <c r="J250" s="57">
        <f t="shared" si="10"/>
        <v>-0.73035181872391175</v>
      </c>
      <c r="K250" s="58">
        <f t="shared" si="11"/>
        <v>2.4002653693056168</v>
      </c>
    </row>
    <row r="251" spans="4:11" x14ac:dyDescent="0.2">
      <c r="D251" s="15" t="s">
        <v>790</v>
      </c>
      <c r="E251" s="11">
        <v>461600</v>
      </c>
      <c r="F251" s="11">
        <v>504300</v>
      </c>
      <c r="G251" s="11">
        <v>632900</v>
      </c>
      <c r="H251" s="11">
        <v>652100</v>
      </c>
      <c r="I251" s="57">
        <f t="shared" si="9"/>
        <v>9.2504332755632579E-2</v>
      </c>
      <c r="J251" s="57">
        <f t="shared" si="10"/>
        <v>0.25500694031330556</v>
      </c>
      <c r="K251" s="58">
        <f t="shared" si="11"/>
        <v>3.0336546057829043E-2</v>
      </c>
    </row>
    <row r="252" spans="4:11" x14ac:dyDescent="0.2">
      <c r="D252" s="15" t="s">
        <v>791</v>
      </c>
      <c r="E252" s="11">
        <v>1660472</v>
      </c>
      <c r="F252" s="11">
        <v>1075718</v>
      </c>
      <c r="G252" s="11">
        <v>2702969</v>
      </c>
      <c r="H252" s="11">
        <v>1992176</v>
      </c>
      <c r="I252" s="57">
        <f t="shared" si="9"/>
        <v>-0.35216131316878574</v>
      </c>
      <c r="J252" s="57">
        <f t="shared" si="10"/>
        <v>1.5127115098938568</v>
      </c>
      <c r="K252" s="58">
        <f t="shared" si="11"/>
        <v>-0.26296749981224349</v>
      </c>
    </row>
    <row r="253" spans="4:11" x14ac:dyDescent="0.2">
      <c r="D253" s="15" t="s">
        <v>792</v>
      </c>
      <c r="E253" s="11">
        <v>280595</v>
      </c>
      <c r="F253" s="11">
        <v>410079</v>
      </c>
      <c r="G253" s="11">
        <v>370981</v>
      </c>
      <c r="H253" s="11">
        <v>582505</v>
      </c>
      <c r="I253" s="57">
        <f t="shared" si="9"/>
        <v>0.4614622498619006</v>
      </c>
      <c r="J253" s="57">
        <f t="shared" si="10"/>
        <v>-9.534260471762758E-2</v>
      </c>
      <c r="K253" s="58">
        <f t="shared" si="11"/>
        <v>0.57017475288491859</v>
      </c>
    </row>
    <row r="254" spans="4:11" x14ac:dyDescent="0.2">
      <c r="D254" s="15" t="s">
        <v>793</v>
      </c>
      <c r="E254" s="11">
        <v>425898</v>
      </c>
      <c r="F254" s="11">
        <v>96318</v>
      </c>
      <c r="G254" s="11">
        <v>251439</v>
      </c>
      <c r="H254" s="11">
        <v>334162</v>
      </c>
      <c r="I254" s="57">
        <f t="shared" si="9"/>
        <v>-0.77384725920290776</v>
      </c>
      <c r="J254" s="57">
        <f t="shared" si="10"/>
        <v>1.6105089391391016</v>
      </c>
      <c r="K254" s="58">
        <f t="shared" si="11"/>
        <v>0.32899828586655211</v>
      </c>
    </row>
    <row r="255" spans="4:11" x14ac:dyDescent="0.2">
      <c r="D255" s="15" t="s">
        <v>794</v>
      </c>
      <c r="E255" s="11">
        <v>799411</v>
      </c>
      <c r="F255" s="11">
        <v>1034548</v>
      </c>
      <c r="G255" s="11">
        <v>911979</v>
      </c>
      <c r="H255" s="11">
        <v>1150245</v>
      </c>
      <c r="I255" s="57">
        <f t="shared" si="9"/>
        <v>0.29413780896184816</v>
      </c>
      <c r="J255" s="57">
        <f t="shared" si="10"/>
        <v>-0.11847589478690211</v>
      </c>
      <c r="K255" s="58">
        <f t="shared" si="11"/>
        <v>0.26126259486238168</v>
      </c>
    </row>
    <row r="256" spans="4:11" x14ac:dyDescent="0.2">
      <c r="D256" s="15" t="s">
        <v>795</v>
      </c>
      <c r="E256" s="11">
        <v>544300</v>
      </c>
      <c r="F256" s="11">
        <v>605500</v>
      </c>
      <c r="G256" s="11">
        <v>636500</v>
      </c>
      <c r="H256" s="11">
        <v>703200</v>
      </c>
      <c r="I256" s="57">
        <f t="shared" si="9"/>
        <v>0.11243799375344479</v>
      </c>
      <c r="J256" s="57">
        <f t="shared" si="10"/>
        <v>5.1197357555739058E-2</v>
      </c>
      <c r="K256" s="58">
        <f t="shared" si="11"/>
        <v>0.10479183032207384</v>
      </c>
    </row>
    <row r="257" spans="4:11" x14ac:dyDescent="0.2">
      <c r="D257" s="15" t="s">
        <v>796</v>
      </c>
      <c r="E257" s="11">
        <v>4402000</v>
      </c>
      <c r="F257" s="11">
        <v>3363000</v>
      </c>
      <c r="G257" s="11">
        <v>3659000</v>
      </c>
      <c r="H257" s="11">
        <v>3366000</v>
      </c>
      <c r="I257" s="57">
        <f t="shared" si="9"/>
        <v>-0.23602907769195819</v>
      </c>
      <c r="J257" s="57">
        <f t="shared" si="10"/>
        <v>8.8016651798989001E-2</v>
      </c>
      <c r="K257" s="58">
        <f t="shared" si="11"/>
        <v>-8.007652364033889E-2</v>
      </c>
    </row>
    <row r="258" spans="4:11" x14ac:dyDescent="0.2">
      <c r="D258" s="15" t="s">
        <v>797</v>
      </c>
      <c r="E258" s="11">
        <v>603457</v>
      </c>
      <c r="F258" s="11">
        <v>693555</v>
      </c>
      <c r="G258" s="11">
        <v>758185</v>
      </c>
      <c r="H258" s="11">
        <v>843442</v>
      </c>
      <c r="I258" s="57">
        <f t="shared" si="9"/>
        <v>0.14930309864663099</v>
      </c>
      <c r="J258" s="57">
        <f t="shared" si="10"/>
        <v>9.3186553337514688E-2</v>
      </c>
      <c r="K258" s="58">
        <f t="shared" si="11"/>
        <v>0.11244880866806914</v>
      </c>
    </row>
    <row r="259" spans="4:11" x14ac:dyDescent="0.2">
      <c r="D259" s="15" t="s">
        <v>798</v>
      </c>
      <c r="E259" s="11">
        <v>489399</v>
      </c>
      <c r="F259" s="11">
        <v>351834</v>
      </c>
      <c r="G259" s="11">
        <v>442445</v>
      </c>
      <c r="H259" s="11">
        <v>390341</v>
      </c>
      <c r="I259" s="57">
        <f t="shared" si="9"/>
        <v>-0.28108966303568256</v>
      </c>
      <c r="J259" s="57">
        <f t="shared" si="10"/>
        <v>0.25753906671896404</v>
      </c>
      <c r="K259" s="58">
        <f t="shared" si="11"/>
        <v>-0.11776378984958583</v>
      </c>
    </row>
    <row r="260" spans="4:11" x14ac:dyDescent="0.2">
      <c r="D260" s="15" t="s">
        <v>799</v>
      </c>
      <c r="E260" s="11">
        <v>1568000</v>
      </c>
      <c r="F260" s="11">
        <v>573000</v>
      </c>
      <c r="G260" s="11">
        <v>604000</v>
      </c>
      <c r="H260" s="11">
        <v>1197000</v>
      </c>
      <c r="I260" s="57">
        <f t="shared" si="9"/>
        <v>-0.63456632653061229</v>
      </c>
      <c r="J260" s="57">
        <f t="shared" si="10"/>
        <v>5.4101221640488653E-2</v>
      </c>
      <c r="K260" s="58">
        <f t="shared" si="11"/>
        <v>0.98178807947019864</v>
      </c>
    </row>
    <row r="261" spans="4:11" x14ac:dyDescent="0.2">
      <c r="D261" s="15" t="s">
        <v>800</v>
      </c>
      <c r="E261" s="11">
        <v>333392</v>
      </c>
      <c r="F261" s="11">
        <v>391167</v>
      </c>
      <c r="G261" s="11">
        <v>412839</v>
      </c>
      <c r="H261" s="11">
        <v>543248</v>
      </c>
      <c r="I261" s="57">
        <f t="shared" ref="I261:I324" si="12">(F261-E261)/E261</f>
        <v>0.17329450016797043</v>
      </c>
      <c r="J261" s="57">
        <f t="shared" ref="J261:J324" si="13">(G261-F261)/F261</f>
        <v>5.5403446609760029E-2</v>
      </c>
      <c r="K261" s="58">
        <f t="shared" ref="K261:K324" si="14">(H261-G261)/G261</f>
        <v>0.31588343155564275</v>
      </c>
    </row>
    <row r="262" spans="4:11" x14ac:dyDescent="0.2">
      <c r="D262" s="15" t="s">
        <v>801</v>
      </c>
      <c r="E262" s="11">
        <v>734100</v>
      </c>
      <c r="F262" s="11">
        <v>920000</v>
      </c>
      <c r="G262" s="11">
        <v>920900</v>
      </c>
      <c r="H262" s="11">
        <v>1171000</v>
      </c>
      <c r="I262" s="57">
        <f t="shared" si="12"/>
        <v>0.2532352540525814</v>
      </c>
      <c r="J262" s="57">
        <f t="shared" si="13"/>
        <v>9.7826086956521747E-4</v>
      </c>
      <c r="K262" s="58">
        <f t="shared" si="14"/>
        <v>0.27158214789879465</v>
      </c>
    </row>
    <row r="263" spans="4:11" x14ac:dyDescent="0.2">
      <c r="D263" s="15" t="s">
        <v>802</v>
      </c>
      <c r="E263" s="11">
        <v>-2106000</v>
      </c>
      <c r="F263" s="11">
        <v>1677000</v>
      </c>
      <c r="G263" s="11">
        <v>6296000</v>
      </c>
      <c r="H263" s="11">
        <v>9848000</v>
      </c>
      <c r="I263" s="57">
        <f t="shared" si="12"/>
        <v>-1.7962962962962963</v>
      </c>
      <c r="J263" s="57">
        <f t="shared" si="13"/>
        <v>2.7543231961836612</v>
      </c>
      <c r="K263" s="58">
        <f t="shared" si="14"/>
        <v>0.56416772554002537</v>
      </c>
    </row>
    <row r="264" spans="4:11" x14ac:dyDescent="0.2">
      <c r="D264" s="15" t="s">
        <v>803</v>
      </c>
      <c r="E264" s="11">
        <v>999000</v>
      </c>
      <c r="F264" s="11">
        <v>676000</v>
      </c>
      <c r="G264" s="11">
        <v>1140000</v>
      </c>
      <c r="H264" s="11">
        <v>1053000</v>
      </c>
      <c r="I264" s="57">
        <f t="shared" si="12"/>
        <v>-0.32332332332332331</v>
      </c>
      <c r="J264" s="57">
        <f t="shared" si="13"/>
        <v>0.68639053254437865</v>
      </c>
      <c r="K264" s="58">
        <f t="shared" si="14"/>
        <v>-7.6315789473684212E-2</v>
      </c>
    </row>
    <row r="265" spans="4:11" x14ac:dyDescent="0.2">
      <c r="D265" s="15" t="s">
        <v>804</v>
      </c>
      <c r="E265" s="11">
        <v>230276</v>
      </c>
      <c r="F265" s="11">
        <v>294440</v>
      </c>
      <c r="G265" s="11">
        <v>185112</v>
      </c>
      <c r="H265" s="11">
        <v>363689</v>
      </c>
      <c r="I265" s="57">
        <f t="shared" si="12"/>
        <v>0.27863954558877174</v>
      </c>
      <c r="J265" s="57">
        <f t="shared" si="13"/>
        <v>-0.3713082461622062</v>
      </c>
      <c r="K265" s="58">
        <f t="shared" si="14"/>
        <v>0.96469704827347769</v>
      </c>
    </row>
    <row r="266" spans="4:11" x14ac:dyDescent="0.2">
      <c r="D266" s="15" t="s">
        <v>805</v>
      </c>
      <c r="E266" s="11">
        <v>1735900</v>
      </c>
      <c r="F266" s="11">
        <v>1398700</v>
      </c>
      <c r="G266" s="11">
        <v>1628800</v>
      </c>
      <c r="H266" s="11">
        <v>1669900</v>
      </c>
      <c r="I266" s="57">
        <f t="shared" si="12"/>
        <v>-0.19425082089982143</v>
      </c>
      <c r="J266" s="57">
        <f t="shared" si="13"/>
        <v>0.16450990205190535</v>
      </c>
      <c r="K266" s="58">
        <f t="shared" si="14"/>
        <v>2.5233300589390963E-2</v>
      </c>
    </row>
    <row r="267" spans="4:11" x14ac:dyDescent="0.2">
      <c r="D267" s="15" t="s">
        <v>806</v>
      </c>
      <c r="E267" s="11">
        <v>508000</v>
      </c>
      <c r="F267" s="11">
        <v>1545000</v>
      </c>
      <c r="G267" s="11">
        <v>1067000</v>
      </c>
      <c r="H267" s="11">
        <v>559000</v>
      </c>
      <c r="I267" s="57">
        <f t="shared" si="12"/>
        <v>2.0413385826771653</v>
      </c>
      <c r="J267" s="57">
        <f t="shared" si="13"/>
        <v>-0.3093851132686084</v>
      </c>
      <c r="K267" s="58">
        <f t="shared" si="14"/>
        <v>-0.47610121836925962</v>
      </c>
    </row>
    <row r="268" spans="4:11" x14ac:dyDescent="0.2">
      <c r="D268" s="15" t="s">
        <v>807</v>
      </c>
      <c r="E268" s="11">
        <v>62000</v>
      </c>
      <c r="F268" s="11">
        <v>-14000</v>
      </c>
      <c r="G268" s="11">
        <v>-77000</v>
      </c>
      <c r="H268" s="11">
        <v>-168000</v>
      </c>
      <c r="I268" s="57">
        <f t="shared" si="12"/>
        <v>-1.2258064516129032</v>
      </c>
      <c r="J268" s="57">
        <f t="shared" si="13"/>
        <v>4.5</v>
      </c>
      <c r="K268" s="58">
        <f t="shared" si="14"/>
        <v>1.1818181818181819</v>
      </c>
    </row>
    <row r="269" spans="4:11" x14ac:dyDescent="0.2">
      <c r="D269" s="15" t="s">
        <v>808</v>
      </c>
      <c r="E269" s="11">
        <v>3245000</v>
      </c>
      <c r="F269" s="11">
        <v>2319000</v>
      </c>
      <c r="G269" s="11">
        <v>-585000</v>
      </c>
      <c r="H269" s="11">
        <v>2004000</v>
      </c>
      <c r="I269" s="57">
        <f t="shared" si="12"/>
        <v>-0.28536209553158703</v>
      </c>
      <c r="J269" s="57">
        <f t="shared" si="13"/>
        <v>-1.2522639068564037</v>
      </c>
      <c r="K269" s="58">
        <f t="shared" si="14"/>
        <v>-4.4256410256410259</v>
      </c>
    </row>
    <row r="270" spans="4:11" x14ac:dyDescent="0.2">
      <c r="D270" s="15" t="s">
        <v>809</v>
      </c>
      <c r="E270" s="11">
        <v>2169000</v>
      </c>
      <c r="F270" s="11">
        <v>1779000</v>
      </c>
      <c r="G270" s="11">
        <v>1249000</v>
      </c>
      <c r="H270" s="11">
        <v>2664000</v>
      </c>
      <c r="I270" s="57">
        <f t="shared" si="12"/>
        <v>-0.17980636237897649</v>
      </c>
      <c r="J270" s="57">
        <f t="shared" si="13"/>
        <v>-0.29792017987633501</v>
      </c>
      <c r="K270" s="58">
        <f t="shared" si="14"/>
        <v>1.132906325060048</v>
      </c>
    </row>
    <row r="271" spans="4:11" x14ac:dyDescent="0.2">
      <c r="D271" s="15" t="s">
        <v>810</v>
      </c>
      <c r="E271" s="11">
        <v>76707</v>
      </c>
      <c r="F271" s="11">
        <v>260938</v>
      </c>
      <c r="G271" s="11">
        <v>338652</v>
      </c>
      <c r="H271" s="11">
        <v>636727</v>
      </c>
      <c r="I271" s="57">
        <f t="shared" si="12"/>
        <v>2.40174951438591</v>
      </c>
      <c r="J271" s="57">
        <f t="shared" si="13"/>
        <v>0.29782553710076726</v>
      </c>
      <c r="K271" s="58">
        <f t="shared" si="14"/>
        <v>0.88018083460307339</v>
      </c>
    </row>
    <row r="272" spans="4:11" x14ac:dyDescent="0.2">
      <c r="D272" s="15" t="s">
        <v>811</v>
      </c>
      <c r="E272" s="11">
        <v>359554</v>
      </c>
      <c r="F272" s="11">
        <v>353537</v>
      </c>
      <c r="G272" s="11">
        <v>411289</v>
      </c>
      <c r="H272" s="11">
        <v>464675</v>
      </c>
      <c r="I272" s="57">
        <f t="shared" si="12"/>
        <v>-1.6734621225184536E-2</v>
      </c>
      <c r="J272" s="57">
        <f t="shared" si="13"/>
        <v>0.1633548963757683</v>
      </c>
      <c r="K272" s="58">
        <f t="shared" si="14"/>
        <v>0.12980167230341683</v>
      </c>
    </row>
    <row r="273" spans="4:11" x14ac:dyDescent="0.2">
      <c r="D273" s="15" t="s">
        <v>812</v>
      </c>
      <c r="E273" s="11">
        <v>581004</v>
      </c>
      <c r="F273" s="11">
        <v>800000</v>
      </c>
      <c r="G273" s="11">
        <v>1135000</v>
      </c>
      <c r="H273" s="11">
        <v>1097000</v>
      </c>
      <c r="I273" s="57">
        <f t="shared" si="12"/>
        <v>0.37692683699251639</v>
      </c>
      <c r="J273" s="57">
        <f t="shared" si="13"/>
        <v>0.41875000000000001</v>
      </c>
      <c r="K273" s="58">
        <f t="shared" si="14"/>
        <v>-3.3480176211453744E-2</v>
      </c>
    </row>
    <row r="274" spans="4:11" x14ac:dyDescent="0.2">
      <c r="D274" s="15" t="s">
        <v>813</v>
      </c>
      <c r="E274" s="11">
        <v>333026</v>
      </c>
      <c r="F274" s="11">
        <v>22327</v>
      </c>
      <c r="G274" s="11">
        <v>2310428</v>
      </c>
      <c r="H274" s="11">
        <v>-180889</v>
      </c>
      <c r="I274" s="57">
        <f t="shared" si="12"/>
        <v>-0.93295718652597692</v>
      </c>
      <c r="J274" s="57">
        <f t="shared" si="13"/>
        <v>102.48134545617414</v>
      </c>
      <c r="K274" s="58">
        <f t="shared" si="14"/>
        <v>-1.0782924202788402</v>
      </c>
    </row>
    <row r="275" spans="4:11" x14ac:dyDescent="0.2">
      <c r="D275" s="15" t="s">
        <v>814</v>
      </c>
      <c r="E275" s="11">
        <v>1064800</v>
      </c>
      <c r="F275" s="11">
        <v>830400</v>
      </c>
      <c r="G275" s="11">
        <v>892300</v>
      </c>
      <c r="H275" s="11">
        <v>1174500</v>
      </c>
      <c r="I275" s="57">
        <f t="shared" si="12"/>
        <v>-0.22013523666416229</v>
      </c>
      <c r="J275" s="57">
        <f t="shared" si="13"/>
        <v>7.4542389210019266E-2</v>
      </c>
      <c r="K275" s="58">
        <f t="shared" si="14"/>
        <v>0.31626134708057829</v>
      </c>
    </row>
    <row r="276" spans="4:11" x14ac:dyDescent="0.2">
      <c r="D276" s="15" t="s">
        <v>815</v>
      </c>
      <c r="E276" s="11">
        <v>-78000</v>
      </c>
      <c r="F276" s="11">
        <v>-43000</v>
      </c>
      <c r="G276" s="11">
        <v>40000</v>
      </c>
      <c r="H276" s="11">
        <v>-371000</v>
      </c>
      <c r="I276" s="57">
        <f t="shared" si="12"/>
        <v>-0.44871794871794873</v>
      </c>
      <c r="J276" s="57">
        <f t="shared" si="13"/>
        <v>-1.930232558139535</v>
      </c>
      <c r="K276" s="58">
        <f t="shared" si="14"/>
        <v>-10.275</v>
      </c>
    </row>
    <row r="277" spans="4:11" x14ac:dyDescent="0.2">
      <c r="D277" s="15" t="s">
        <v>816</v>
      </c>
      <c r="E277" s="11">
        <v>284000</v>
      </c>
      <c r="F277" s="11">
        <v>329000</v>
      </c>
      <c r="G277" s="11">
        <v>256000</v>
      </c>
      <c r="H277" s="11">
        <v>423000</v>
      </c>
      <c r="I277" s="57">
        <f t="shared" si="12"/>
        <v>0.15845070422535212</v>
      </c>
      <c r="J277" s="57">
        <f t="shared" si="13"/>
        <v>-0.22188449848024316</v>
      </c>
      <c r="K277" s="58">
        <f t="shared" si="14"/>
        <v>0.65234375</v>
      </c>
    </row>
    <row r="278" spans="4:11" x14ac:dyDescent="0.2">
      <c r="D278" s="15" t="s">
        <v>817</v>
      </c>
      <c r="E278" s="11">
        <v>2251000</v>
      </c>
      <c r="F278" s="11">
        <v>2072000</v>
      </c>
      <c r="G278" s="11">
        <v>2378000</v>
      </c>
      <c r="H278" s="11">
        <v>1800000</v>
      </c>
      <c r="I278" s="57">
        <f t="shared" si="12"/>
        <v>-7.9520213238560636E-2</v>
      </c>
      <c r="J278" s="57">
        <f t="shared" si="13"/>
        <v>0.14768339768339769</v>
      </c>
      <c r="K278" s="58">
        <f t="shared" si="14"/>
        <v>-0.2430613961312027</v>
      </c>
    </row>
    <row r="279" spans="4:11" x14ac:dyDescent="0.2">
      <c r="D279" s="15" t="s">
        <v>818</v>
      </c>
      <c r="E279" s="11">
        <v>317000</v>
      </c>
      <c r="F279" s="11">
        <v>1776000</v>
      </c>
      <c r="G279" s="11">
        <v>-1802000</v>
      </c>
      <c r="H279" s="11">
        <v>8000</v>
      </c>
      <c r="I279" s="57">
        <f t="shared" si="12"/>
        <v>4.6025236593059935</v>
      </c>
      <c r="J279" s="57">
        <f t="shared" si="13"/>
        <v>-2.0146396396396398</v>
      </c>
      <c r="K279" s="58">
        <f t="shared" si="14"/>
        <v>-1.0044395116537181</v>
      </c>
    </row>
    <row r="280" spans="4:11" x14ac:dyDescent="0.2">
      <c r="D280" s="15" t="s">
        <v>819</v>
      </c>
      <c r="E280" s="11">
        <v>622900</v>
      </c>
      <c r="F280" s="11">
        <v>649500</v>
      </c>
      <c r="G280" s="11">
        <v>597800</v>
      </c>
      <c r="H280" s="11">
        <v>350300</v>
      </c>
      <c r="I280" s="57">
        <f t="shared" si="12"/>
        <v>4.2703483705249637E-2</v>
      </c>
      <c r="J280" s="57">
        <f t="shared" si="13"/>
        <v>-7.9599692070823708E-2</v>
      </c>
      <c r="K280" s="58">
        <f t="shared" si="14"/>
        <v>-0.41401806624289061</v>
      </c>
    </row>
    <row r="281" spans="4:11" x14ac:dyDescent="0.2">
      <c r="D281" s="15" t="s">
        <v>820</v>
      </c>
      <c r="E281" s="11">
        <v>395100</v>
      </c>
      <c r="F281" s="11">
        <v>330400</v>
      </c>
      <c r="G281" s="11">
        <v>465300</v>
      </c>
      <c r="H281" s="11">
        <v>497900</v>
      </c>
      <c r="I281" s="57">
        <f t="shared" si="12"/>
        <v>-0.16375601113642116</v>
      </c>
      <c r="J281" s="57">
        <f t="shared" si="13"/>
        <v>0.40829297820823246</v>
      </c>
      <c r="K281" s="58">
        <f t="shared" si="14"/>
        <v>7.0062325381474319E-2</v>
      </c>
    </row>
    <row r="282" spans="4:11" x14ac:dyDescent="0.2">
      <c r="D282" s="15" t="s">
        <v>821</v>
      </c>
      <c r="E282" s="11">
        <v>2558000</v>
      </c>
      <c r="F282" s="11">
        <v>2239000</v>
      </c>
      <c r="G282" s="11">
        <v>1361000</v>
      </c>
      <c r="H282" s="11">
        <v>2435000</v>
      </c>
      <c r="I282" s="57">
        <f t="shared" si="12"/>
        <v>-0.12470680218921032</v>
      </c>
      <c r="J282" s="57">
        <f t="shared" si="13"/>
        <v>-0.39213934792318</v>
      </c>
      <c r="K282" s="58">
        <f t="shared" si="14"/>
        <v>0.78912564290962528</v>
      </c>
    </row>
    <row r="283" spans="4:11" x14ac:dyDescent="0.2">
      <c r="D283" s="15" t="s">
        <v>822</v>
      </c>
      <c r="E283" s="11">
        <v>1996800</v>
      </c>
      <c r="F283" s="11">
        <v>1786900</v>
      </c>
      <c r="G283" s="11">
        <v>1867900</v>
      </c>
      <c r="H283" s="11">
        <v>1526600</v>
      </c>
      <c r="I283" s="57">
        <f t="shared" si="12"/>
        <v>-0.1051181891025641</v>
      </c>
      <c r="J283" s="57">
        <f t="shared" si="13"/>
        <v>4.5329900945772009E-2</v>
      </c>
      <c r="K283" s="58">
        <f t="shared" si="14"/>
        <v>-0.18271856095080036</v>
      </c>
    </row>
    <row r="284" spans="4:11" x14ac:dyDescent="0.2">
      <c r="D284" s="15" t="s">
        <v>823</v>
      </c>
      <c r="E284" s="11">
        <v>644300</v>
      </c>
      <c r="F284" s="11">
        <v>537800</v>
      </c>
      <c r="G284" s="11">
        <v>282900</v>
      </c>
      <c r="H284" s="11">
        <v>406900</v>
      </c>
      <c r="I284" s="57">
        <f t="shared" si="12"/>
        <v>-0.16529566971907497</v>
      </c>
      <c r="J284" s="57">
        <f t="shared" si="13"/>
        <v>-0.47396801785050202</v>
      </c>
      <c r="K284" s="58">
        <f t="shared" si="14"/>
        <v>0.43831742665252738</v>
      </c>
    </row>
    <row r="285" spans="4:11" x14ac:dyDescent="0.2">
      <c r="D285" s="15" t="s">
        <v>824</v>
      </c>
      <c r="E285" s="11">
        <v>239362</v>
      </c>
      <c r="F285" s="11">
        <v>355345</v>
      </c>
      <c r="G285" s="11">
        <v>348982</v>
      </c>
      <c r="H285" s="11">
        <v>356583</v>
      </c>
      <c r="I285" s="57">
        <f t="shared" si="12"/>
        <v>0.48455059700370151</v>
      </c>
      <c r="J285" s="57">
        <f t="shared" si="13"/>
        <v>-1.7906541530062332E-2</v>
      </c>
      <c r="K285" s="58">
        <f t="shared" si="14"/>
        <v>2.1780492976715131E-2</v>
      </c>
    </row>
    <row r="286" spans="4:11" x14ac:dyDescent="0.2">
      <c r="D286" s="15" t="s">
        <v>825</v>
      </c>
      <c r="E286" s="11">
        <v>342611</v>
      </c>
      <c r="F286" s="11">
        <v>393487</v>
      </c>
      <c r="G286" s="11">
        <v>450882</v>
      </c>
      <c r="H286" s="11">
        <v>570339</v>
      </c>
      <c r="I286" s="57">
        <f t="shared" si="12"/>
        <v>0.14849494032590899</v>
      </c>
      <c r="J286" s="57">
        <f t="shared" si="13"/>
        <v>0.14586250625814831</v>
      </c>
      <c r="K286" s="58">
        <f t="shared" si="14"/>
        <v>0.26494071619625537</v>
      </c>
    </row>
    <row r="287" spans="4:11" x14ac:dyDescent="0.2">
      <c r="D287" s="15" t="s">
        <v>826</v>
      </c>
      <c r="E287" s="11">
        <v>1065000</v>
      </c>
      <c r="F287" s="11">
        <v>1102000</v>
      </c>
      <c r="G287" s="11">
        <v>1036000</v>
      </c>
      <c r="H287" s="11">
        <v>1161000</v>
      </c>
      <c r="I287" s="57">
        <f t="shared" si="12"/>
        <v>3.4741784037558683E-2</v>
      </c>
      <c r="J287" s="57">
        <f t="shared" si="13"/>
        <v>-5.9891107078039928E-2</v>
      </c>
      <c r="K287" s="58">
        <f t="shared" si="14"/>
        <v>0.12065637065637065</v>
      </c>
    </row>
    <row r="288" spans="4:11" x14ac:dyDescent="0.2">
      <c r="D288" s="15" t="s">
        <v>827</v>
      </c>
      <c r="E288" s="11">
        <v>726600</v>
      </c>
      <c r="F288" s="11">
        <v>918200</v>
      </c>
      <c r="G288" s="11">
        <v>1185200</v>
      </c>
      <c r="H288" s="11">
        <v>925600</v>
      </c>
      <c r="I288" s="57">
        <f t="shared" si="12"/>
        <v>0.26369391687310761</v>
      </c>
      <c r="J288" s="57">
        <f t="shared" si="13"/>
        <v>0.29078632106294927</v>
      </c>
      <c r="K288" s="58">
        <f t="shared" si="14"/>
        <v>-0.21903476206547418</v>
      </c>
    </row>
    <row r="289" spans="4:11" x14ac:dyDescent="0.2">
      <c r="D289" s="15" t="s">
        <v>828</v>
      </c>
      <c r="E289" s="11">
        <v>1216087</v>
      </c>
      <c r="F289" s="11">
        <v>1214131</v>
      </c>
      <c r="G289" s="11">
        <v>847041</v>
      </c>
      <c r="H289" s="11">
        <v>848709</v>
      </c>
      <c r="I289" s="57">
        <f t="shared" si="12"/>
        <v>-1.6084375542210385E-3</v>
      </c>
      <c r="J289" s="57">
        <f t="shared" si="13"/>
        <v>-0.30234793444858915</v>
      </c>
      <c r="K289" s="58">
        <f t="shared" si="14"/>
        <v>1.9692081020871483E-3</v>
      </c>
    </row>
    <row r="290" spans="4:11" x14ac:dyDescent="0.2">
      <c r="D290" s="15" t="s">
        <v>333</v>
      </c>
      <c r="E290" s="11">
        <v>587100</v>
      </c>
      <c r="F290" s="11">
        <v>431800</v>
      </c>
      <c r="G290" s="11">
        <v>725000</v>
      </c>
      <c r="H290" s="11">
        <v>640700</v>
      </c>
      <c r="I290" s="57">
        <f t="shared" si="12"/>
        <v>-0.26452052461250214</v>
      </c>
      <c r="J290" s="57">
        <f t="shared" si="13"/>
        <v>0.67901806391848074</v>
      </c>
      <c r="K290" s="58">
        <f t="shared" si="14"/>
        <v>-0.11627586206896552</v>
      </c>
    </row>
    <row r="291" spans="4:11" x14ac:dyDescent="0.2">
      <c r="D291" s="15" t="s">
        <v>829</v>
      </c>
      <c r="E291" s="11">
        <v>1056000</v>
      </c>
      <c r="F291" s="11">
        <v>1544000</v>
      </c>
      <c r="G291" s="11">
        <v>1703000</v>
      </c>
      <c r="H291" s="11">
        <v>2407000</v>
      </c>
      <c r="I291" s="57">
        <f t="shared" si="12"/>
        <v>0.4621212121212121</v>
      </c>
      <c r="J291" s="57">
        <f t="shared" si="13"/>
        <v>0.10297927461139897</v>
      </c>
      <c r="K291" s="58">
        <f t="shared" si="14"/>
        <v>0.41338813857897827</v>
      </c>
    </row>
    <row r="292" spans="4:11" x14ac:dyDescent="0.2">
      <c r="D292" s="15" t="s">
        <v>830</v>
      </c>
      <c r="E292" s="11">
        <v>1399000</v>
      </c>
      <c r="F292" s="11">
        <v>2859000</v>
      </c>
      <c r="G292" s="11">
        <v>3370000</v>
      </c>
      <c r="H292" s="11">
        <v>671000</v>
      </c>
      <c r="I292" s="57">
        <f t="shared" si="12"/>
        <v>1.043602573266619</v>
      </c>
      <c r="J292" s="57">
        <f t="shared" si="13"/>
        <v>0.17873382301504023</v>
      </c>
      <c r="K292" s="58">
        <f t="shared" si="14"/>
        <v>-0.80089020771513353</v>
      </c>
    </row>
    <row r="293" spans="4:11" x14ac:dyDescent="0.2">
      <c r="D293" s="15" t="s">
        <v>831</v>
      </c>
      <c r="E293" s="11">
        <v>357291</v>
      </c>
      <c r="F293" s="11">
        <v>336801</v>
      </c>
      <c r="G293" s="11">
        <v>388899</v>
      </c>
      <c r="H293" s="11">
        <v>422279</v>
      </c>
      <c r="I293" s="57">
        <f t="shared" si="12"/>
        <v>-5.7348211961678296E-2</v>
      </c>
      <c r="J293" s="57">
        <f t="shared" si="13"/>
        <v>0.15468481388119393</v>
      </c>
      <c r="K293" s="58">
        <f t="shared" si="14"/>
        <v>8.5832054080879613E-2</v>
      </c>
    </row>
    <row r="294" spans="4:11" x14ac:dyDescent="0.2">
      <c r="D294" s="15" t="s">
        <v>832</v>
      </c>
      <c r="E294" s="11">
        <v>147900</v>
      </c>
      <c r="F294" s="11">
        <v>357000</v>
      </c>
      <c r="G294" s="11">
        <v>466400</v>
      </c>
      <c r="H294" s="11">
        <v>-630100</v>
      </c>
      <c r="I294" s="57">
        <f t="shared" si="12"/>
        <v>1.4137931034482758</v>
      </c>
      <c r="J294" s="57">
        <f t="shared" si="13"/>
        <v>0.30644257703081235</v>
      </c>
      <c r="K294" s="58">
        <f t="shared" si="14"/>
        <v>-2.3509862778730701</v>
      </c>
    </row>
    <row r="295" spans="4:11" x14ac:dyDescent="0.2">
      <c r="D295" s="15" t="s">
        <v>833</v>
      </c>
      <c r="E295" s="11">
        <v>1138000</v>
      </c>
      <c r="F295" s="11">
        <v>764000</v>
      </c>
      <c r="G295" s="11">
        <v>-98000</v>
      </c>
      <c r="H295" s="11">
        <v>958000</v>
      </c>
      <c r="I295" s="57">
        <f t="shared" si="12"/>
        <v>-0.32864674868189808</v>
      </c>
      <c r="J295" s="57">
        <f t="shared" si="13"/>
        <v>-1.1282722513089005</v>
      </c>
      <c r="K295" s="58">
        <f t="shared" si="14"/>
        <v>-10.775510204081632</v>
      </c>
    </row>
    <row r="296" spans="4:11" x14ac:dyDescent="0.2">
      <c r="D296" s="15" t="s">
        <v>834</v>
      </c>
      <c r="E296" s="11">
        <v>15622</v>
      </c>
      <c r="F296" s="11">
        <v>-283200</v>
      </c>
      <c r="G296" s="11">
        <v>148100</v>
      </c>
      <c r="H296" s="11">
        <v>428100</v>
      </c>
      <c r="I296" s="57">
        <f t="shared" si="12"/>
        <v>-19.128280629880937</v>
      </c>
      <c r="J296" s="57">
        <f t="shared" si="13"/>
        <v>-1.52295197740113</v>
      </c>
      <c r="K296" s="58">
        <f t="shared" si="14"/>
        <v>1.8906144496961512</v>
      </c>
    </row>
    <row r="297" spans="4:11" x14ac:dyDescent="0.2">
      <c r="D297" s="15" t="s">
        <v>835</v>
      </c>
      <c r="E297" s="11">
        <v>237134</v>
      </c>
      <c r="F297" s="11">
        <v>218763</v>
      </c>
      <c r="G297" s="11">
        <v>203679</v>
      </c>
      <c r="H297" s="11">
        <v>249843</v>
      </c>
      <c r="I297" s="57">
        <f t="shared" si="12"/>
        <v>-7.747096578305937E-2</v>
      </c>
      <c r="J297" s="57">
        <f t="shared" si="13"/>
        <v>-6.8951330892335544E-2</v>
      </c>
      <c r="K297" s="58">
        <f t="shared" si="14"/>
        <v>0.22665075928298942</v>
      </c>
    </row>
    <row r="298" spans="4:11" x14ac:dyDescent="0.2">
      <c r="D298" s="15" t="s">
        <v>836</v>
      </c>
      <c r="E298" s="11">
        <v>624000</v>
      </c>
      <c r="F298" s="11">
        <v>1401000</v>
      </c>
      <c r="G298" s="11">
        <v>-693000</v>
      </c>
      <c r="H298" s="11">
        <v>1748000</v>
      </c>
      <c r="I298" s="57">
        <f t="shared" si="12"/>
        <v>1.2451923076923077</v>
      </c>
      <c r="J298" s="57">
        <f t="shared" si="13"/>
        <v>-1.4946466809421841</v>
      </c>
      <c r="K298" s="58">
        <f t="shared" si="14"/>
        <v>-3.5223665223665224</v>
      </c>
    </row>
    <row r="299" spans="4:11" x14ac:dyDescent="0.2">
      <c r="D299" s="15" t="s">
        <v>837</v>
      </c>
      <c r="E299" s="11">
        <v>694000</v>
      </c>
      <c r="F299" s="11">
        <v>1977000</v>
      </c>
      <c r="G299" s="11">
        <v>1453000</v>
      </c>
      <c r="H299" s="11">
        <v>1589000</v>
      </c>
      <c r="I299" s="57">
        <f t="shared" si="12"/>
        <v>1.8487031700288183</v>
      </c>
      <c r="J299" s="57">
        <f t="shared" si="13"/>
        <v>-0.26504805260495701</v>
      </c>
      <c r="K299" s="58">
        <f t="shared" si="14"/>
        <v>9.3599449415003436E-2</v>
      </c>
    </row>
    <row r="300" spans="4:11" x14ac:dyDescent="0.2">
      <c r="D300" s="15" t="s">
        <v>838</v>
      </c>
      <c r="E300" s="11">
        <v>359949</v>
      </c>
      <c r="F300" s="11">
        <v>534295</v>
      </c>
      <c r="G300" s="11">
        <v>589556</v>
      </c>
      <c r="H300" s="11">
        <v>673498</v>
      </c>
      <c r="I300" s="57">
        <f t="shared" si="12"/>
        <v>0.48436306254497163</v>
      </c>
      <c r="J300" s="57">
        <f t="shared" si="13"/>
        <v>0.10342788160098822</v>
      </c>
      <c r="K300" s="58">
        <f t="shared" si="14"/>
        <v>0.14238172455203577</v>
      </c>
    </row>
    <row r="301" spans="4:11" x14ac:dyDescent="0.2">
      <c r="D301" s="15" t="s">
        <v>839</v>
      </c>
      <c r="E301" s="11">
        <v>722000</v>
      </c>
      <c r="F301" s="11">
        <v>-2501000</v>
      </c>
      <c r="G301" s="11">
        <v>1095000</v>
      </c>
      <c r="H301" s="11">
        <v>1131000</v>
      </c>
      <c r="I301" s="57">
        <f t="shared" si="12"/>
        <v>-4.4639889196675897</v>
      </c>
      <c r="J301" s="57">
        <f t="shared" si="13"/>
        <v>-1.4378248700519791</v>
      </c>
      <c r="K301" s="58">
        <f t="shared" si="14"/>
        <v>3.287671232876712E-2</v>
      </c>
    </row>
    <row r="302" spans="4:11" x14ac:dyDescent="0.2">
      <c r="D302" s="15" t="s">
        <v>840</v>
      </c>
      <c r="E302" s="11">
        <v>512433</v>
      </c>
      <c r="F302" s="11">
        <v>425780</v>
      </c>
      <c r="G302" s="11">
        <v>716369</v>
      </c>
      <c r="H302" s="11">
        <v>903446</v>
      </c>
      <c r="I302" s="57">
        <f t="shared" si="12"/>
        <v>-0.16910113126984405</v>
      </c>
      <c r="J302" s="57">
        <f t="shared" si="13"/>
        <v>0.68248626051012262</v>
      </c>
      <c r="K302" s="58">
        <f t="shared" si="14"/>
        <v>0.2611461411646791</v>
      </c>
    </row>
    <row r="303" spans="4:11" x14ac:dyDescent="0.2">
      <c r="D303" s="15" t="s">
        <v>841</v>
      </c>
      <c r="E303" s="11">
        <v>-2340000</v>
      </c>
      <c r="F303" s="11">
        <v>-1456000</v>
      </c>
      <c r="G303" s="11">
        <v>-992000</v>
      </c>
      <c r="H303" s="11">
        <v>-158000</v>
      </c>
      <c r="I303" s="57">
        <f t="shared" si="12"/>
        <v>-0.37777777777777777</v>
      </c>
      <c r="J303" s="57">
        <f t="shared" si="13"/>
        <v>-0.31868131868131866</v>
      </c>
      <c r="K303" s="58">
        <f t="shared" si="14"/>
        <v>-0.84072580645161288</v>
      </c>
    </row>
    <row r="304" spans="4:11" x14ac:dyDescent="0.2">
      <c r="D304" s="15" t="s">
        <v>842</v>
      </c>
      <c r="E304" s="11">
        <v>1093000</v>
      </c>
      <c r="F304" s="11">
        <v>1130000</v>
      </c>
      <c r="G304" s="11">
        <v>366000</v>
      </c>
      <c r="H304" s="11">
        <v>1654000</v>
      </c>
      <c r="I304" s="57">
        <f t="shared" si="12"/>
        <v>3.385178408051235E-2</v>
      </c>
      <c r="J304" s="57">
        <f t="shared" si="13"/>
        <v>-0.67610619469026545</v>
      </c>
      <c r="K304" s="58">
        <f t="shared" si="14"/>
        <v>3.5191256830601092</v>
      </c>
    </row>
    <row r="305" spans="4:11" x14ac:dyDescent="0.2">
      <c r="D305" s="15" t="s">
        <v>843</v>
      </c>
      <c r="E305" s="11">
        <v>158581</v>
      </c>
      <c r="F305" s="11">
        <v>319880</v>
      </c>
      <c r="G305" s="11">
        <v>247159</v>
      </c>
      <c r="H305" s="11">
        <v>272018</v>
      </c>
      <c r="I305" s="57">
        <f t="shared" si="12"/>
        <v>1.0171395059937824</v>
      </c>
      <c r="J305" s="57">
        <f t="shared" si="13"/>
        <v>-0.22733837689133424</v>
      </c>
      <c r="K305" s="58">
        <f t="shared" si="14"/>
        <v>0.10057897952330282</v>
      </c>
    </row>
    <row r="306" spans="4:11" x14ac:dyDescent="0.2">
      <c r="D306" s="15" t="s">
        <v>844</v>
      </c>
      <c r="E306" s="11">
        <v>380000</v>
      </c>
      <c r="F306" s="11">
        <v>430500</v>
      </c>
      <c r="G306" s="11">
        <v>616900</v>
      </c>
      <c r="H306" s="11">
        <v>566400</v>
      </c>
      <c r="I306" s="57">
        <f t="shared" si="12"/>
        <v>0.13289473684210526</v>
      </c>
      <c r="J306" s="57">
        <f t="shared" si="13"/>
        <v>0.43298490127758421</v>
      </c>
      <c r="K306" s="58">
        <f t="shared" si="14"/>
        <v>-8.1860917490679197E-2</v>
      </c>
    </row>
    <row r="307" spans="4:11" x14ac:dyDescent="0.2">
      <c r="D307" s="15" t="s">
        <v>353</v>
      </c>
      <c r="E307" s="11">
        <v>-511001</v>
      </c>
      <c r="F307" s="11">
        <v>431365</v>
      </c>
      <c r="G307" s="11">
        <v>885091</v>
      </c>
      <c r="H307" s="11">
        <v>1581170</v>
      </c>
      <c r="I307" s="57">
        <f t="shared" si="12"/>
        <v>-1.8441568607497834</v>
      </c>
      <c r="J307" s="57">
        <f t="shared" si="13"/>
        <v>1.0518377707973525</v>
      </c>
      <c r="K307" s="58">
        <f t="shared" si="14"/>
        <v>0.78644907698756394</v>
      </c>
    </row>
    <row r="308" spans="4:11" x14ac:dyDescent="0.2">
      <c r="D308" s="15" t="s">
        <v>373</v>
      </c>
      <c r="E308" s="11">
        <v>549700</v>
      </c>
      <c r="F308" s="11">
        <v>605000</v>
      </c>
      <c r="G308" s="11">
        <v>605300</v>
      </c>
      <c r="H308" s="11">
        <v>805200</v>
      </c>
      <c r="I308" s="57">
        <f t="shared" si="12"/>
        <v>0.1006003274513371</v>
      </c>
      <c r="J308" s="57">
        <f t="shared" si="13"/>
        <v>4.9586776859504133E-4</v>
      </c>
      <c r="K308" s="58">
        <f t="shared" si="14"/>
        <v>0.3302494630761606</v>
      </c>
    </row>
    <row r="309" spans="4:11" x14ac:dyDescent="0.2">
      <c r="D309" s="15" t="s">
        <v>845</v>
      </c>
      <c r="E309" s="11">
        <v>574544</v>
      </c>
      <c r="F309" s="11">
        <v>765737</v>
      </c>
      <c r="G309" s="11">
        <v>845432</v>
      </c>
      <c r="H309" s="11">
        <v>977329</v>
      </c>
      <c r="I309" s="57">
        <f t="shared" si="12"/>
        <v>0.33277346904675709</v>
      </c>
      <c r="J309" s="57">
        <f t="shared" si="13"/>
        <v>0.10407620370962876</v>
      </c>
      <c r="K309" s="58">
        <f t="shared" si="14"/>
        <v>0.15601136460413137</v>
      </c>
    </row>
    <row r="310" spans="4:11" x14ac:dyDescent="0.2">
      <c r="D310" s="15" t="s">
        <v>846</v>
      </c>
      <c r="E310" s="11">
        <v>119711</v>
      </c>
      <c r="F310" s="11">
        <v>83362</v>
      </c>
      <c r="G310" s="11">
        <v>155949</v>
      </c>
      <c r="H310" s="11">
        <v>188029</v>
      </c>
      <c r="I310" s="57">
        <f t="shared" si="12"/>
        <v>-0.30363959870020296</v>
      </c>
      <c r="J310" s="57">
        <f t="shared" si="13"/>
        <v>0.87074446390441684</v>
      </c>
      <c r="K310" s="58">
        <f t="shared" si="14"/>
        <v>0.20570827642370262</v>
      </c>
    </row>
    <row r="311" spans="4:11" x14ac:dyDescent="0.2">
      <c r="D311" s="15" t="s">
        <v>847</v>
      </c>
      <c r="E311" s="11">
        <v>1223000</v>
      </c>
      <c r="F311" s="11">
        <v>1489000</v>
      </c>
      <c r="G311" s="11">
        <v>702000</v>
      </c>
      <c r="H311" s="11">
        <v>1261000</v>
      </c>
      <c r="I311" s="57">
        <f t="shared" si="12"/>
        <v>0.21749795584627965</v>
      </c>
      <c r="J311" s="57">
        <f t="shared" si="13"/>
        <v>-0.52854264607118873</v>
      </c>
      <c r="K311" s="58">
        <f t="shared" si="14"/>
        <v>0.79629629629629628</v>
      </c>
    </row>
    <row r="312" spans="4:11" x14ac:dyDescent="0.2">
      <c r="D312" s="15" t="s">
        <v>848</v>
      </c>
      <c r="E312" s="11">
        <v>1108000</v>
      </c>
      <c r="F312" s="11">
        <v>1352000</v>
      </c>
      <c r="G312" s="11">
        <v>1630000</v>
      </c>
      <c r="H312" s="11">
        <v>1535000</v>
      </c>
      <c r="I312" s="57">
        <f t="shared" si="12"/>
        <v>0.22021660649819494</v>
      </c>
      <c r="J312" s="57">
        <f t="shared" si="13"/>
        <v>0.20562130177514792</v>
      </c>
      <c r="K312" s="58">
        <f t="shared" si="14"/>
        <v>-5.8282208588957052E-2</v>
      </c>
    </row>
    <row r="313" spans="4:11" x14ac:dyDescent="0.2">
      <c r="D313" s="15" t="s">
        <v>849</v>
      </c>
      <c r="E313" s="11">
        <v>-441679</v>
      </c>
      <c r="F313" s="11">
        <v>-653366</v>
      </c>
      <c r="G313" s="11">
        <v>-2413212</v>
      </c>
      <c r="H313" s="11">
        <v>-1918320</v>
      </c>
      <c r="I313" s="57">
        <f t="shared" si="12"/>
        <v>0.4792779371443967</v>
      </c>
      <c r="J313" s="57">
        <f t="shared" si="13"/>
        <v>2.6935071613766248</v>
      </c>
      <c r="K313" s="58">
        <f t="shared" si="14"/>
        <v>-0.20507605631001338</v>
      </c>
    </row>
    <row r="314" spans="4:11" x14ac:dyDescent="0.2">
      <c r="D314" s="15" t="s">
        <v>850</v>
      </c>
      <c r="E314" s="11">
        <v>63405</v>
      </c>
      <c r="F314" s="11">
        <v>184479</v>
      </c>
      <c r="G314" s="11">
        <v>-204009</v>
      </c>
      <c r="H314" s="11">
        <v>262744</v>
      </c>
      <c r="I314" s="57">
        <f t="shared" si="12"/>
        <v>1.9095339484267801</v>
      </c>
      <c r="J314" s="57">
        <f t="shared" si="13"/>
        <v>-2.1058657082920007</v>
      </c>
      <c r="K314" s="58">
        <f t="shared" si="14"/>
        <v>-2.287903965021151</v>
      </c>
    </row>
    <row r="315" spans="4:11" x14ac:dyDescent="0.2">
      <c r="D315" s="15" t="s">
        <v>851</v>
      </c>
      <c r="E315" s="11">
        <v>224025</v>
      </c>
      <c r="F315" s="11">
        <v>386736</v>
      </c>
      <c r="G315" s="11">
        <v>406005</v>
      </c>
      <c r="H315" s="11">
        <v>776546</v>
      </c>
      <c r="I315" s="57">
        <f t="shared" si="12"/>
        <v>0.7263073317710077</v>
      </c>
      <c r="J315" s="57">
        <f t="shared" si="13"/>
        <v>4.9824686607918584E-2</v>
      </c>
      <c r="K315" s="58">
        <f t="shared" si="14"/>
        <v>0.91265132202805388</v>
      </c>
    </row>
    <row r="316" spans="4:11" x14ac:dyDescent="0.2">
      <c r="D316" s="15" t="s">
        <v>852</v>
      </c>
      <c r="E316" s="11">
        <v>530000</v>
      </c>
      <c r="F316" s="11">
        <v>-279000</v>
      </c>
      <c r="G316" s="11">
        <v>808000</v>
      </c>
      <c r="H316" s="11">
        <v>1288000</v>
      </c>
      <c r="I316" s="57">
        <f t="shared" si="12"/>
        <v>-1.5264150943396226</v>
      </c>
      <c r="J316" s="57">
        <f t="shared" si="13"/>
        <v>-3.8960573476702507</v>
      </c>
      <c r="K316" s="58">
        <f t="shared" si="14"/>
        <v>0.59405940594059403</v>
      </c>
    </row>
    <row r="317" spans="4:11" x14ac:dyDescent="0.2">
      <c r="D317" s="15" t="s">
        <v>853</v>
      </c>
      <c r="E317" s="11">
        <v>1794638</v>
      </c>
      <c r="F317" s="11">
        <v>1145161</v>
      </c>
      <c r="G317" s="11">
        <v>606783</v>
      </c>
      <c r="H317" s="11">
        <v>1411421</v>
      </c>
      <c r="I317" s="57">
        <f t="shared" si="12"/>
        <v>-0.36189861130768436</v>
      </c>
      <c r="J317" s="57">
        <f t="shared" si="13"/>
        <v>-0.47013302059710382</v>
      </c>
      <c r="K317" s="58">
        <f t="shared" si="14"/>
        <v>1.3260720883742623</v>
      </c>
    </row>
    <row r="318" spans="4:11" x14ac:dyDescent="0.2">
      <c r="D318" s="15" t="s">
        <v>854</v>
      </c>
      <c r="E318" s="11">
        <v>473236</v>
      </c>
      <c r="F318" s="11">
        <v>547953</v>
      </c>
      <c r="G318" s="11">
        <v>612167</v>
      </c>
      <c r="H318" s="11">
        <v>506881</v>
      </c>
      <c r="I318" s="57">
        <f t="shared" si="12"/>
        <v>0.15788528345265365</v>
      </c>
      <c r="J318" s="57">
        <f t="shared" si="13"/>
        <v>0.1171888829881395</v>
      </c>
      <c r="K318" s="58">
        <f t="shared" si="14"/>
        <v>-0.17198901606914452</v>
      </c>
    </row>
    <row r="319" spans="4:11" x14ac:dyDescent="0.2">
      <c r="D319" s="15" t="s">
        <v>855</v>
      </c>
      <c r="E319" s="11">
        <v>481776</v>
      </c>
      <c r="F319" s="11">
        <v>690863</v>
      </c>
      <c r="G319" s="11">
        <v>546837</v>
      </c>
      <c r="H319" s="11">
        <v>790718</v>
      </c>
      <c r="I319" s="57">
        <f t="shared" si="12"/>
        <v>0.43399214572747502</v>
      </c>
      <c r="J319" s="57">
        <f t="shared" si="13"/>
        <v>-0.20847259152682948</v>
      </c>
      <c r="K319" s="58">
        <f t="shared" si="14"/>
        <v>0.44598481814507795</v>
      </c>
    </row>
    <row r="320" spans="4:11" x14ac:dyDescent="0.2">
      <c r="D320" s="15" t="s">
        <v>856</v>
      </c>
      <c r="E320" s="11">
        <v>652516</v>
      </c>
      <c r="F320" s="11">
        <v>722236</v>
      </c>
      <c r="G320" s="11">
        <v>753682</v>
      </c>
      <c r="H320" s="11">
        <v>793017</v>
      </c>
      <c r="I320" s="57">
        <f t="shared" si="12"/>
        <v>0.10684795468616862</v>
      </c>
      <c r="J320" s="57">
        <f t="shared" si="13"/>
        <v>4.3539784779490359E-2</v>
      </c>
      <c r="K320" s="58">
        <f t="shared" si="14"/>
        <v>5.2190446368627616E-2</v>
      </c>
    </row>
    <row r="321" spans="4:11" x14ac:dyDescent="0.2">
      <c r="D321" s="15" t="s">
        <v>857</v>
      </c>
      <c r="E321" s="11">
        <v>463721</v>
      </c>
      <c r="F321" s="11">
        <v>485004</v>
      </c>
      <c r="G321" s="11">
        <v>660800</v>
      </c>
      <c r="H321" s="11">
        <v>734292</v>
      </c>
      <c r="I321" s="57">
        <f t="shared" si="12"/>
        <v>4.5896131510110606E-2</v>
      </c>
      <c r="J321" s="57">
        <f t="shared" si="13"/>
        <v>0.36246298999595877</v>
      </c>
      <c r="K321" s="58">
        <f t="shared" si="14"/>
        <v>0.11121670702179176</v>
      </c>
    </row>
    <row r="322" spans="4:11" x14ac:dyDescent="0.2">
      <c r="D322" s="15" t="s">
        <v>858</v>
      </c>
      <c r="E322" s="11">
        <v>-461740</v>
      </c>
      <c r="F322" s="11">
        <v>-728501</v>
      </c>
      <c r="G322" s="11">
        <v>342329</v>
      </c>
      <c r="H322" s="11">
        <v>235696</v>
      </c>
      <c r="I322" s="57">
        <f t="shared" si="12"/>
        <v>0.57772989128080743</v>
      </c>
      <c r="J322" s="57">
        <f t="shared" si="13"/>
        <v>-1.4699087578465919</v>
      </c>
      <c r="K322" s="58">
        <f t="shared" si="14"/>
        <v>-0.31149274528304643</v>
      </c>
    </row>
    <row r="323" spans="4:11" x14ac:dyDescent="0.2">
      <c r="D323" s="15" t="s">
        <v>859</v>
      </c>
      <c r="E323" s="11">
        <v>-981000</v>
      </c>
      <c r="F323" s="11">
        <v>-1074000</v>
      </c>
      <c r="G323" s="11">
        <v>-838000</v>
      </c>
      <c r="H323" s="11">
        <v>-164000</v>
      </c>
      <c r="I323" s="57">
        <f t="shared" si="12"/>
        <v>9.480122324159021E-2</v>
      </c>
      <c r="J323" s="57">
        <f t="shared" si="13"/>
        <v>-0.21973929236499068</v>
      </c>
      <c r="K323" s="58">
        <f t="shared" si="14"/>
        <v>-0.80429594272076377</v>
      </c>
    </row>
    <row r="324" spans="4:11" x14ac:dyDescent="0.2">
      <c r="D324" s="15" t="s">
        <v>860</v>
      </c>
      <c r="E324" s="11">
        <v>1599000</v>
      </c>
      <c r="F324" s="11">
        <v>2037000</v>
      </c>
      <c r="G324" s="11">
        <v>2297000</v>
      </c>
      <c r="H324" s="11">
        <v>2275000</v>
      </c>
      <c r="I324" s="57">
        <f t="shared" si="12"/>
        <v>0.27392120075046905</v>
      </c>
      <c r="J324" s="57">
        <f t="shared" si="13"/>
        <v>0.12763868433971526</v>
      </c>
      <c r="K324" s="58">
        <f t="shared" si="14"/>
        <v>-9.5777100565955595E-3</v>
      </c>
    </row>
    <row r="325" spans="4:11" x14ac:dyDescent="0.2">
      <c r="D325" s="15" t="s">
        <v>861</v>
      </c>
      <c r="E325" s="11">
        <v>286000</v>
      </c>
      <c r="F325" s="11">
        <v>509000</v>
      </c>
      <c r="G325" s="11">
        <v>-9000</v>
      </c>
      <c r="H325" s="11">
        <v>485000</v>
      </c>
      <c r="I325" s="57">
        <f t="shared" ref="I325:I388" si="15">(F325-E325)/E325</f>
        <v>0.77972027972027969</v>
      </c>
      <c r="J325" s="57">
        <f t="shared" ref="J325:J388" si="16">(G325-F325)/F325</f>
        <v>-1.0176817288801572</v>
      </c>
      <c r="K325" s="58">
        <f t="shared" ref="K325:K388" si="17">(H325-G325)/G325</f>
        <v>-54.888888888888886</v>
      </c>
    </row>
    <row r="326" spans="4:11" x14ac:dyDescent="0.2">
      <c r="D326" s="15" t="s">
        <v>862</v>
      </c>
      <c r="E326" s="11">
        <v>342000</v>
      </c>
      <c r="F326" s="11">
        <v>647000</v>
      </c>
      <c r="G326" s="11">
        <v>536000</v>
      </c>
      <c r="H326" s="11">
        <v>1221000</v>
      </c>
      <c r="I326" s="57">
        <f t="shared" si="15"/>
        <v>0.89181286549707606</v>
      </c>
      <c r="J326" s="57">
        <f t="shared" si="16"/>
        <v>-0.17156105100463678</v>
      </c>
      <c r="K326" s="58">
        <f t="shared" si="17"/>
        <v>1.2779850746268657</v>
      </c>
    </row>
    <row r="327" spans="4:11" x14ac:dyDescent="0.2">
      <c r="D327" s="15" t="s">
        <v>863</v>
      </c>
      <c r="E327" s="11">
        <v>981700</v>
      </c>
      <c r="F327" s="11">
        <v>928100</v>
      </c>
      <c r="G327" s="11">
        <v>702600</v>
      </c>
      <c r="H327" s="11">
        <v>772400</v>
      </c>
      <c r="I327" s="57">
        <f t="shared" si="15"/>
        <v>-5.4599164714271162E-2</v>
      </c>
      <c r="J327" s="57">
        <f t="shared" si="16"/>
        <v>-0.2429695075961642</v>
      </c>
      <c r="K327" s="58">
        <f t="shared" si="17"/>
        <v>9.9345288926843148E-2</v>
      </c>
    </row>
    <row r="328" spans="4:11" x14ac:dyDescent="0.2">
      <c r="D328" s="15" t="s">
        <v>864</v>
      </c>
      <c r="E328" s="11">
        <v>4240700</v>
      </c>
      <c r="F328" s="11">
        <v>3702900</v>
      </c>
      <c r="G328" s="11">
        <v>4023200</v>
      </c>
      <c r="H328" s="11">
        <v>5064200</v>
      </c>
      <c r="I328" s="57">
        <f t="shared" si="15"/>
        <v>-0.12681868559435941</v>
      </c>
      <c r="J328" s="57">
        <f t="shared" si="16"/>
        <v>8.6499770450187696E-2</v>
      </c>
      <c r="K328" s="58">
        <f t="shared" si="17"/>
        <v>0.25874925432491547</v>
      </c>
    </row>
    <row r="329" spans="4:11" x14ac:dyDescent="0.2">
      <c r="D329" s="15" t="s">
        <v>865</v>
      </c>
      <c r="E329" s="11">
        <v>558000</v>
      </c>
      <c r="F329" s="11">
        <v>823000</v>
      </c>
      <c r="G329" s="11">
        <v>923000</v>
      </c>
      <c r="H329" s="11">
        <v>817000</v>
      </c>
      <c r="I329" s="57">
        <f t="shared" si="15"/>
        <v>0.47491039426523296</v>
      </c>
      <c r="J329" s="57">
        <f t="shared" si="16"/>
        <v>0.12150668286755771</v>
      </c>
      <c r="K329" s="58">
        <f t="shared" si="17"/>
        <v>-0.11484290357529794</v>
      </c>
    </row>
    <row r="330" spans="4:11" x14ac:dyDescent="0.2">
      <c r="D330" s="15" t="s">
        <v>866</v>
      </c>
      <c r="E330" s="11">
        <v>-432341</v>
      </c>
      <c r="F330" s="11">
        <v>-873455</v>
      </c>
      <c r="G330" s="11">
        <v>-377366</v>
      </c>
      <c r="H330" s="11">
        <v>-141665</v>
      </c>
      <c r="I330" s="57">
        <f t="shared" si="15"/>
        <v>1.02029185295866</v>
      </c>
      <c r="J330" s="57">
        <f t="shared" si="16"/>
        <v>-0.56796171525722561</v>
      </c>
      <c r="K330" s="58">
        <f t="shared" si="17"/>
        <v>-0.62459522055511096</v>
      </c>
    </row>
    <row r="331" spans="4:11" x14ac:dyDescent="0.2">
      <c r="D331" s="15" t="s">
        <v>867</v>
      </c>
      <c r="E331" s="11">
        <v>575600</v>
      </c>
      <c r="F331" s="11">
        <v>643000</v>
      </c>
      <c r="G331" s="11">
        <v>921600</v>
      </c>
      <c r="H331" s="11">
        <v>125500</v>
      </c>
      <c r="I331" s="57">
        <f t="shared" si="15"/>
        <v>0.11709520500347463</v>
      </c>
      <c r="J331" s="57">
        <f t="shared" si="16"/>
        <v>0.43328149300155522</v>
      </c>
      <c r="K331" s="58">
        <f t="shared" si="17"/>
        <v>-0.86382378472222221</v>
      </c>
    </row>
    <row r="332" spans="4:11" x14ac:dyDescent="0.2">
      <c r="D332" s="15" t="s">
        <v>868</v>
      </c>
      <c r="E332" s="11">
        <v>347000</v>
      </c>
      <c r="F332" s="11">
        <v>373000</v>
      </c>
      <c r="G332" s="11">
        <v>516000</v>
      </c>
      <c r="H332" s="11">
        <v>349000</v>
      </c>
      <c r="I332" s="57">
        <f t="shared" si="15"/>
        <v>7.492795389048991E-2</v>
      </c>
      <c r="J332" s="57">
        <f t="shared" si="16"/>
        <v>0.38337801608579086</v>
      </c>
      <c r="K332" s="58">
        <f t="shared" si="17"/>
        <v>-0.3236434108527132</v>
      </c>
    </row>
    <row r="333" spans="4:11" x14ac:dyDescent="0.2">
      <c r="D333" s="15" t="s">
        <v>869</v>
      </c>
      <c r="E333" s="11">
        <v>940000</v>
      </c>
      <c r="F333" s="11">
        <v>1095000</v>
      </c>
      <c r="G333" s="11">
        <v>1760000</v>
      </c>
      <c r="H333" s="11">
        <v>1616000</v>
      </c>
      <c r="I333" s="57">
        <f t="shared" si="15"/>
        <v>0.16489361702127658</v>
      </c>
      <c r="J333" s="57">
        <f t="shared" si="16"/>
        <v>0.60730593607305938</v>
      </c>
      <c r="K333" s="58">
        <f t="shared" si="17"/>
        <v>-8.1818181818181818E-2</v>
      </c>
    </row>
    <row r="334" spans="4:11" x14ac:dyDescent="0.2">
      <c r="D334" s="15" t="s">
        <v>870</v>
      </c>
      <c r="E334" s="11">
        <v>3690643</v>
      </c>
      <c r="F334" s="11">
        <v>2713881</v>
      </c>
      <c r="G334" s="11">
        <v>1037741</v>
      </c>
      <c r="H334" s="11">
        <v>1074977</v>
      </c>
      <c r="I334" s="57">
        <f t="shared" si="15"/>
        <v>-0.26465903096018767</v>
      </c>
      <c r="J334" s="57">
        <f t="shared" si="16"/>
        <v>-0.61761735315586797</v>
      </c>
      <c r="K334" s="58">
        <f t="shared" si="17"/>
        <v>3.5881785532228178E-2</v>
      </c>
    </row>
    <row r="335" spans="4:11" x14ac:dyDescent="0.2">
      <c r="D335" s="15" t="s">
        <v>871</v>
      </c>
      <c r="E335" s="11">
        <v>707400</v>
      </c>
      <c r="F335" s="11">
        <v>703700</v>
      </c>
      <c r="G335" s="11">
        <v>-99300</v>
      </c>
      <c r="H335" s="11">
        <v>627300</v>
      </c>
      <c r="I335" s="57">
        <f t="shared" si="15"/>
        <v>-5.230421260955612E-3</v>
      </c>
      <c r="J335" s="57">
        <f t="shared" si="16"/>
        <v>-1.1411112690066789</v>
      </c>
      <c r="K335" s="58">
        <f t="shared" si="17"/>
        <v>-7.3172205438066467</v>
      </c>
    </row>
    <row r="336" spans="4:11" x14ac:dyDescent="0.2">
      <c r="D336" s="15" t="s">
        <v>872</v>
      </c>
      <c r="E336" s="11">
        <v>-3133000</v>
      </c>
      <c r="F336" s="11">
        <v>924000</v>
      </c>
      <c r="G336" s="11">
        <v>3256000</v>
      </c>
      <c r="H336" s="11">
        <v>1892000</v>
      </c>
      <c r="I336" s="57">
        <f t="shared" si="15"/>
        <v>-1.2949249920204278</v>
      </c>
      <c r="J336" s="57">
        <f t="shared" si="16"/>
        <v>2.5238095238095237</v>
      </c>
      <c r="K336" s="58">
        <f t="shared" si="17"/>
        <v>-0.41891891891891891</v>
      </c>
    </row>
    <row r="337" spans="4:11" x14ac:dyDescent="0.2">
      <c r="D337" s="15" t="s">
        <v>873</v>
      </c>
      <c r="E337" s="11">
        <v>680862</v>
      </c>
      <c r="F337" s="11">
        <v>723364</v>
      </c>
      <c r="G337" s="11">
        <v>665566</v>
      </c>
      <c r="H337" s="11">
        <v>627641</v>
      </c>
      <c r="I337" s="57">
        <f t="shared" si="15"/>
        <v>6.2423809817554805E-2</v>
      </c>
      <c r="J337" s="57">
        <f t="shared" si="16"/>
        <v>-7.9901681587693063E-2</v>
      </c>
      <c r="K337" s="58">
        <f t="shared" si="17"/>
        <v>-5.6981576582938433E-2</v>
      </c>
    </row>
    <row r="338" spans="4:11" x14ac:dyDescent="0.2">
      <c r="D338" s="15" t="s">
        <v>874</v>
      </c>
      <c r="E338" s="11">
        <v>1049829</v>
      </c>
      <c r="F338" s="11">
        <v>785435</v>
      </c>
      <c r="G338" s="11">
        <v>658283</v>
      </c>
      <c r="H338" s="11">
        <v>912742</v>
      </c>
      <c r="I338" s="57">
        <f t="shared" si="15"/>
        <v>-0.25184482425233062</v>
      </c>
      <c r="J338" s="57">
        <f t="shared" si="16"/>
        <v>-0.16188736178041468</v>
      </c>
      <c r="K338" s="58">
        <f t="shared" si="17"/>
        <v>0.38654955391526136</v>
      </c>
    </row>
    <row r="339" spans="4:11" x14ac:dyDescent="0.2">
      <c r="D339" s="15" t="s">
        <v>875</v>
      </c>
      <c r="E339" s="11">
        <v>184546</v>
      </c>
      <c r="F339" s="11">
        <v>177078</v>
      </c>
      <c r="G339" s="11">
        <v>242844</v>
      </c>
      <c r="H339" s="11">
        <v>331369</v>
      </c>
      <c r="I339" s="57">
        <f t="shared" si="15"/>
        <v>-4.0466875467363148E-2</v>
      </c>
      <c r="J339" s="57">
        <f t="shared" si="16"/>
        <v>0.37139565615152642</v>
      </c>
      <c r="K339" s="58">
        <f t="shared" si="17"/>
        <v>0.36453443362817284</v>
      </c>
    </row>
    <row r="340" spans="4:11" x14ac:dyDescent="0.2">
      <c r="D340" s="15" t="s">
        <v>876</v>
      </c>
      <c r="E340" s="11">
        <v>562700</v>
      </c>
      <c r="F340" s="11">
        <v>888400</v>
      </c>
      <c r="G340" s="11">
        <v>1153000</v>
      </c>
      <c r="H340" s="11">
        <v>838300</v>
      </c>
      <c r="I340" s="57">
        <f t="shared" si="15"/>
        <v>0.57881642082814999</v>
      </c>
      <c r="J340" s="57">
        <f t="shared" si="16"/>
        <v>0.29783881134624041</v>
      </c>
      <c r="K340" s="58">
        <f t="shared" si="17"/>
        <v>-0.27294015611448397</v>
      </c>
    </row>
    <row r="341" spans="4:11" x14ac:dyDescent="0.2">
      <c r="D341" s="15" t="s">
        <v>877</v>
      </c>
      <c r="E341" s="11">
        <v>1992000</v>
      </c>
      <c r="F341" s="11">
        <v>803000</v>
      </c>
      <c r="G341" s="11">
        <v>1559000</v>
      </c>
      <c r="H341" s="11">
        <v>3227000</v>
      </c>
      <c r="I341" s="57">
        <f t="shared" si="15"/>
        <v>-0.5968875502008032</v>
      </c>
      <c r="J341" s="57">
        <f t="shared" si="16"/>
        <v>0.94146948941469488</v>
      </c>
      <c r="K341" s="58">
        <f t="shared" si="17"/>
        <v>1.0699166132135984</v>
      </c>
    </row>
    <row r="342" spans="4:11" x14ac:dyDescent="0.2">
      <c r="D342" s="15" t="s">
        <v>878</v>
      </c>
      <c r="E342" s="11">
        <v>-151707</v>
      </c>
      <c r="F342" s="11">
        <v>-291960</v>
      </c>
      <c r="G342" s="11">
        <v>-269999</v>
      </c>
      <c r="H342" s="11">
        <v>-342929</v>
      </c>
      <c r="I342" s="57">
        <f t="shared" si="15"/>
        <v>0.92449919911408174</v>
      </c>
      <c r="J342" s="57">
        <f t="shared" si="16"/>
        <v>-7.5219208110700098E-2</v>
      </c>
      <c r="K342" s="58">
        <f t="shared" si="17"/>
        <v>0.27011211152633896</v>
      </c>
    </row>
    <row r="343" spans="4:11" x14ac:dyDescent="0.2">
      <c r="D343" s="15" t="s">
        <v>879</v>
      </c>
      <c r="E343" s="11">
        <v>2506000</v>
      </c>
      <c r="F343" s="11">
        <v>797000</v>
      </c>
      <c r="G343" s="11">
        <v>2384000</v>
      </c>
      <c r="H343" s="11">
        <v>2394000</v>
      </c>
      <c r="I343" s="57">
        <f t="shared" si="15"/>
        <v>-0.68196328810853946</v>
      </c>
      <c r="J343" s="57">
        <f t="shared" si="16"/>
        <v>1.9912170639899625</v>
      </c>
      <c r="K343" s="58">
        <f t="shared" si="17"/>
        <v>4.1946308724832215E-3</v>
      </c>
    </row>
    <row r="344" spans="4:11" x14ac:dyDescent="0.2">
      <c r="D344" s="15" t="s">
        <v>880</v>
      </c>
      <c r="E344" s="11">
        <v>1259600</v>
      </c>
      <c r="F344" s="11">
        <v>866600</v>
      </c>
      <c r="G344" s="11">
        <v>896100</v>
      </c>
      <c r="H344" s="11">
        <v>781400</v>
      </c>
      <c r="I344" s="57">
        <f t="shared" si="15"/>
        <v>-0.3120038107335662</v>
      </c>
      <c r="J344" s="57">
        <f t="shared" si="16"/>
        <v>3.4041080083083312E-2</v>
      </c>
      <c r="K344" s="58">
        <f t="shared" si="17"/>
        <v>-0.12799910724249525</v>
      </c>
    </row>
    <row r="345" spans="4:11" x14ac:dyDescent="0.2">
      <c r="D345" s="15" t="s">
        <v>881</v>
      </c>
      <c r="E345" s="11">
        <v>-163100</v>
      </c>
      <c r="F345" s="11">
        <v>-804000</v>
      </c>
      <c r="G345" s="11">
        <v>-945300</v>
      </c>
      <c r="H345" s="11">
        <v>-1106200</v>
      </c>
      <c r="I345" s="57">
        <f t="shared" si="15"/>
        <v>3.9294911097486205</v>
      </c>
      <c r="J345" s="57">
        <f t="shared" si="16"/>
        <v>0.17574626865671641</v>
      </c>
      <c r="K345" s="58">
        <f t="shared" si="17"/>
        <v>0.17021051518036603</v>
      </c>
    </row>
    <row r="346" spans="4:11" x14ac:dyDescent="0.2">
      <c r="D346" s="15" t="s">
        <v>882</v>
      </c>
      <c r="E346" s="11">
        <v>425400</v>
      </c>
      <c r="F346" s="11">
        <v>438400</v>
      </c>
      <c r="G346" s="11">
        <v>457600</v>
      </c>
      <c r="H346" s="11">
        <v>317300</v>
      </c>
      <c r="I346" s="57">
        <f t="shared" si="15"/>
        <v>3.0559473436765398E-2</v>
      </c>
      <c r="J346" s="57">
        <f t="shared" si="16"/>
        <v>4.3795620437956206E-2</v>
      </c>
      <c r="K346" s="58">
        <f t="shared" si="17"/>
        <v>-0.30659965034965037</v>
      </c>
    </row>
    <row r="347" spans="4:11" x14ac:dyDescent="0.2">
      <c r="D347" s="15" t="s">
        <v>883</v>
      </c>
      <c r="E347" s="11">
        <v>316545</v>
      </c>
      <c r="F347" s="11">
        <v>361675</v>
      </c>
      <c r="G347" s="11">
        <v>388895</v>
      </c>
      <c r="H347" s="11">
        <v>423256</v>
      </c>
      <c r="I347" s="57">
        <f t="shared" si="15"/>
        <v>0.14257056658610939</v>
      </c>
      <c r="J347" s="57">
        <f t="shared" si="16"/>
        <v>7.5260938688048659E-2</v>
      </c>
      <c r="K347" s="58">
        <f t="shared" si="17"/>
        <v>8.8355468699777576E-2</v>
      </c>
    </row>
    <row r="348" spans="4:11" x14ac:dyDescent="0.2">
      <c r="D348" s="15" t="s">
        <v>884</v>
      </c>
      <c r="E348" s="11">
        <v>77000</v>
      </c>
      <c r="F348" s="11">
        <v>328800</v>
      </c>
      <c r="G348" s="11">
        <v>400400</v>
      </c>
      <c r="H348" s="11">
        <v>326500</v>
      </c>
      <c r="I348" s="57">
        <f t="shared" si="15"/>
        <v>3.2701298701298702</v>
      </c>
      <c r="J348" s="57">
        <f t="shared" si="16"/>
        <v>0.21776155717761558</v>
      </c>
      <c r="K348" s="58">
        <f t="shared" si="17"/>
        <v>-0.18456543456543456</v>
      </c>
    </row>
    <row r="349" spans="4:11" x14ac:dyDescent="0.2">
      <c r="D349" s="15" t="s">
        <v>885</v>
      </c>
      <c r="E349" s="11">
        <v>429344</v>
      </c>
      <c r="F349" s="11">
        <v>662413</v>
      </c>
      <c r="G349" s="11">
        <v>589501</v>
      </c>
      <c r="H349" s="11">
        <v>350120</v>
      </c>
      <c r="I349" s="57">
        <f t="shared" si="15"/>
        <v>0.54284909070582099</v>
      </c>
      <c r="J349" s="57">
        <f t="shared" si="16"/>
        <v>-0.11007030357194077</v>
      </c>
      <c r="K349" s="58">
        <f t="shared" si="17"/>
        <v>-0.40607395068032115</v>
      </c>
    </row>
    <row r="350" spans="4:11" x14ac:dyDescent="0.2">
      <c r="D350" s="15" t="s">
        <v>886</v>
      </c>
      <c r="E350" s="11">
        <v>688941</v>
      </c>
      <c r="F350" s="11">
        <v>813903</v>
      </c>
      <c r="G350" s="11">
        <v>625746</v>
      </c>
      <c r="H350" s="11">
        <v>675931</v>
      </c>
      <c r="I350" s="57">
        <f t="shared" si="15"/>
        <v>0.18138273088696999</v>
      </c>
      <c r="J350" s="57">
        <f t="shared" si="16"/>
        <v>-0.23117865396736467</v>
      </c>
      <c r="K350" s="58">
        <f t="shared" si="17"/>
        <v>8.0200272954201859E-2</v>
      </c>
    </row>
    <row r="351" spans="4:11" x14ac:dyDescent="0.2">
      <c r="D351" s="15" t="s">
        <v>887</v>
      </c>
      <c r="E351" s="11">
        <v>662241</v>
      </c>
      <c r="F351" s="11">
        <v>740000</v>
      </c>
      <c r="G351" s="11">
        <v>820000</v>
      </c>
      <c r="H351" s="11">
        <v>818000</v>
      </c>
      <c r="I351" s="57">
        <f t="shared" si="15"/>
        <v>0.11741797925528621</v>
      </c>
      <c r="J351" s="57">
        <f t="shared" si="16"/>
        <v>0.10810810810810811</v>
      </c>
      <c r="K351" s="58">
        <f t="shared" si="17"/>
        <v>-2.4390243902439024E-3</v>
      </c>
    </row>
    <row r="352" spans="4:11" x14ac:dyDescent="0.2">
      <c r="D352" s="15" t="s">
        <v>888</v>
      </c>
      <c r="E352" s="11">
        <v>379636.33199999999</v>
      </c>
      <c r="F352" s="11">
        <v>420000</v>
      </c>
      <c r="G352" s="11">
        <v>445000</v>
      </c>
      <c r="H352" s="11">
        <v>695000</v>
      </c>
      <c r="I352" s="57">
        <f t="shared" si="15"/>
        <v>0.10632193127395406</v>
      </c>
      <c r="J352" s="57">
        <f t="shared" si="16"/>
        <v>5.9523809523809521E-2</v>
      </c>
      <c r="K352" s="58">
        <f t="shared" si="17"/>
        <v>0.5617977528089888</v>
      </c>
    </row>
    <row r="353" spans="4:11" x14ac:dyDescent="0.2">
      <c r="D353" s="15" t="s">
        <v>889</v>
      </c>
      <c r="E353" s="11">
        <v>1093000</v>
      </c>
      <c r="F353" s="11">
        <v>1482000</v>
      </c>
      <c r="G353" s="11">
        <v>1747000</v>
      </c>
      <c r="H353" s="11">
        <v>1159000</v>
      </c>
      <c r="I353" s="57">
        <f t="shared" si="15"/>
        <v>0.35590118938700821</v>
      </c>
      <c r="J353" s="57">
        <f t="shared" si="16"/>
        <v>0.17881241565452091</v>
      </c>
      <c r="K353" s="58">
        <f t="shared" si="17"/>
        <v>-0.33657698912421291</v>
      </c>
    </row>
    <row r="354" spans="4:11" x14ac:dyDescent="0.2">
      <c r="D354" s="15" t="s">
        <v>890</v>
      </c>
      <c r="E354" s="11">
        <v>217795</v>
      </c>
      <c r="F354" s="11">
        <v>152876</v>
      </c>
      <c r="G354" s="11">
        <v>616348</v>
      </c>
      <c r="H354" s="11">
        <v>479289</v>
      </c>
      <c r="I354" s="57">
        <f t="shared" si="15"/>
        <v>-0.29807387681076242</v>
      </c>
      <c r="J354" s="57">
        <f t="shared" si="16"/>
        <v>3.0316858107224154</v>
      </c>
      <c r="K354" s="58">
        <f t="shared" si="17"/>
        <v>-0.22237275045915619</v>
      </c>
    </row>
    <row r="355" spans="4:11" x14ac:dyDescent="0.2">
      <c r="D355" s="15" t="s">
        <v>891</v>
      </c>
      <c r="E355" s="11">
        <v>522179</v>
      </c>
      <c r="F355" s="11">
        <v>470169</v>
      </c>
      <c r="G355" s="11">
        <v>393623</v>
      </c>
      <c r="H355" s="11">
        <v>525330</v>
      </c>
      <c r="I355" s="57">
        <f t="shared" si="15"/>
        <v>-9.9601860664637984E-2</v>
      </c>
      <c r="J355" s="57">
        <f t="shared" si="16"/>
        <v>-0.16280528916198217</v>
      </c>
      <c r="K355" s="58">
        <f t="shared" si="17"/>
        <v>0.33460189064155293</v>
      </c>
    </row>
    <row r="356" spans="4:11" x14ac:dyDescent="0.2">
      <c r="D356" s="15" t="s">
        <v>892</v>
      </c>
      <c r="E356" s="11">
        <v>245189</v>
      </c>
      <c r="F356" s="11">
        <v>278500</v>
      </c>
      <c r="G356" s="11">
        <v>459100</v>
      </c>
      <c r="H356" s="11">
        <v>585900</v>
      </c>
      <c r="I356" s="57">
        <f t="shared" si="15"/>
        <v>0.13585846020824752</v>
      </c>
      <c r="J356" s="57">
        <f t="shared" si="16"/>
        <v>0.64847396768402155</v>
      </c>
      <c r="K356" s="58">
        <f t="shared" si="17"/>
        <v>0.27619255064256154</v>
      </c>
    </row>
    <row r="357" spans="4:11" x14ac:dyDescent="0.2">
      <c r="D357" s="15" t="s">
        <v>893</v>
      </c>
      <c r="E357" s="11">
        <v>1160000</v>
      </c>
      <c r="F357" s="11">
        <v>1302000</v>
      </c>
      <c r="G357" s="11">
        <v>1230000</v>
      </c>
      <c r="H357" s="11">
        <v>1300000</v>
      </c>
      <c r="I357" s="57">
        <f t="shared" si="15"/>
        <v>0.12241379310344827</v>
      </c>
      <c r="J357" s="57">
        <f t="shared" si="16"/>
        <v>-5.5299539170506916E-2</v>
      </c>
      <c r="K357" s="58">
        <f t="shared" si="17"/>
        <v>5.6910569105691054E-2</v>
      </c>
    </row>
    <row r="358" spans="4:11" x14ac:dyDescent="0.2">
      <c r="D358" s="15" t="s">
        <v>894</v>
      </c>
      <c r="E358" s="11">
        <v>219716</v>
      </c>
      <c r="F358" s="11">
        <v>424694</v>
      </c>
      <c r="G358" s="11">
        <v>381049</v>
      </c>
      <c r="H358" s="11">
        <v>415864</v>
      </c>
      <c r="I358" s="57">
        <f t="shared" si="15"/>
        <v>0.93292249995448673</v>
      </c>
      <c r="J358" s="57">
        <f t="shared" si="16"/>
        <v>-0.10276811068675329</v>
      </c>
      <c r="K358" s="58">
        <f t="shared" si="17"/>
        <v>9.1366202246955117E-2</v>
      </c>
    </row>
    <row r="359" spans="4:11" x14ac:dyDescent="0.2">
      <c r="D359" s="15" t="s">
        <v>895</v>
      </c>
      <c r="E359" s="11">
        <v>936982</v>
      </c>
      <c r="F359" s="11">
        <v>1030795</v>
      </c>
      <c r="G359" s="11">
        <v>827375</v>
      </c>
      <c r="H359" s="11">
        <v>965991</v>
      </c>
      <c r="I359" s="57">
        <f t="shared" si="15"/>
        <v>0.1001225210302866</v>
      </c>
      <c r="J359" s="57">
        <f t="shared" si="16"/>
        <v>-0.19734282762333927</v>
      </c>
      <c r="K359" s="58">
        <f t="shared" si="17"/>
        <v>0.16753709019489349</v>
      </c>
    </row>
    <row r="360" spans="4:11" x14ac:dyDescent="0.2">
      <c r="D360" s="15" t="s">
        <v>896</v>
      </c>
      <c r="E360" s="11">
        <v>299433</v>
      </c>
      <c r="F360" s="11">
        <v>315769</v>
      </c>
      <c r="G360" s="11">
        <v>143752</v>
      </c>
      <c r="H360" s="11">
        <v>344285</v>
      </c>
      <c r="I360" s="57">
        <f t="shared" si="15"/>
        <v>5.4556445014410572E-2</v>
      </c>
      <c r="J360" s="57">
        <f t="shared" si="16"/>
        <v>-0.54475581833555542</v>
      </c>
      <c r="K360" s="58">
        <f t="shared" si="17"/>
        <v>1.3949927653180478</v>
      </c>
    </row>
    <row r="361" spans="4:11" x14ac:dyDescent="0.2">
      <c r="D361" s="15" t="s">
        <v>897</v>
      </c>
      <c r="E361" s="11">
        <v>847929</v>
      </c>
      <c r="F361" s="11">
        <v>784496</v>
      </c>
      <c r="G361" s="11">
        <v>812599</v>
      </c>
      <c r="H361" s="11">
        <v>852122</v>
      </c>
      <c r="I361" s="57">
        <f t="shared" si="15"/>
        <v>-7.4809329554715073E-2</v>
      </c>
      <c r="J361" s="57">
        <f t="shared" si="16"/>
        <v>3.5822999734861617E-2</v>
      </c>
      <c r="K361" s="58">
        <f t="shared" si="17"/>
        <v>4.863776598297561E-2</v>
      </c>
    </row>
    <row r="362" spans="4:11" x14ac:dyDescent="0.2">
      <c r="D362" s="15" t="s">
        <v>898</v>
      </c>
      <c r="E362" s="11">
        <v>652000</v>
      </c>
      <c r="F362" s="11">
        <v>609000</v>
      </c>
      <c r="G362" s="11">
        <v>578000</v>
      </c>
      <c r="H362" s="11">
        <v>813000</v>
      </c>
      <c r="I362" s="57">
        <f t="shared" si="15"/>
        <v>-6.5950920245398767E-2</v>
      </c>
      <c r="J362" s="57">
        <f t="shared" si="16"/>
        <v>-5.090311986863711E-2</v>
      </c>
      <c r="K362" s="58">
        <f t="shared" si="17"/>
        <v>0.40657439446366783</v>
      </c>
    </row>
    <row r="363" spans="4:11" x14ac:dyDescent="0.2">
      <c r="D363" s="15" t="s">
        <v>899</v>
      </c>
      <c r="E363" s="11">
        <v>594000</v>
      </c>
      <c r="F363" s="11">
        <v>642000</v>
      </c>
      <c r="G363" s="11">
        <v>765000</v>
      </c>
      <c r="H363" s="11">
        <v>917000</v>
      </c>
      <c r="I363" s="57">
        <f t="shared" si="15"/>
        <v>8.0808080808080815E-2</v>
      </c>
      <c r="J363" s="57">
        <f t="shared" si="16"/>
        <v>0.19158878504672897</v>
      </c>
      <c r="K363" s="58">
        <f t="shared" si="17"/>
        <v>0.19869281045751633</v>
      </c>
    </row>
    <row r="364" spans="4:11" x14ac:dyDescent="0.2">
      <c r="D364" s="15" t="s">
        <v>900</v>
      </c>
      <c r="E364" s="11">
        <v>690221</v>
      </c>
      <c r="F364" s="11">
        <v>455956</v>
      </c>
      <c r="G364" s="11">
        <v>343879</v>
      </c>
      <c r="H364" s="11">
        <v>747896</v>
      </c>
      <c r="I364" s="57">
        <f t="shared" si="15"/>
        <v>-0.33940578452408721</v>
      </c>
      <c r="J364" s="57">
        <f t="shared" si="16"/>
        <v>-0.24580661291879041</v>
      </c>
      <c r="K364" s="58">
        <f t="shared" si="17"/>
        <v>1.174881280915671</v>
      </c>
    </row>
    <row r="365" spans="4:11" x14ac:dyDescent="0.2">
      <c r="D365" s="15" t="s">
        <v>901</v>
      </c>
      <c r="E365" s="11">
        <v>814000</v>
      </c>
      <c r="F365" s="11">
        <v>811000</v>
      </c>
      <c r="G365" s="11">
        <v>1333000</v>
      </c>
      <c r="H365" s="11">
        <v>1168000</v>
      </c>
      <c r="I365" s="57">
        <f t="shared" si="15"/>
        <v>-3.6855036855036856E-3</v>
      </c>
      <c r="J365" s="57">
        <f t="shared" si="16"/>
        <v>0.64364981504315655</v>
      </c>
      <c r="K365" s="58">
        <f t="shared" si="17"/>
        <v>-0.12378094523630907</v>
      </c>
    </row>
    <row r="366" spans="4:11" x14ac:dyDescent="0.2">
      <c r="D366" s="15" t="s">
        <v>902</v>
      </c>
      <c r="E366" s="11">
        <v>990000</v>
      </c>
      <c r="F366" s="11">
        <v>1464000</v>
      </c>
      <c r="G366" s="11">
        <v>1102000</v>
      </c>
      <c r="H366" s="11">
        <v>2289000</v>
      </c>
      <c r="I366" s="57">
        <f t="shared" si="15"/>
        <v>0.47878787878787876</v>
      </c>
      <c r="J366" s="57">
        <f t="shared" si="16"/>
        <v>-0.24726775956284153</v>
      </c>
      <c r="K366" s="58">
        <f t="shared" si="17"/>
        <v>1.0771324863883847</v>
      </c>
    </row>
    <row r="367" spans="4:11" x14ac:dyDescent="0.2">
      <c r="D367" s="15" t="s">
        <v>903</v>
      </c>
      <c r="E367" s="11">
        <v>-411500</v>
      </c>
      <c r="F367" s="11">
        <v>406600</v>
      </c>
      <c r="G367" s="11">
        <v>249800</v>
      </c>
      <c r="H367" s="11">
        <v>211800</v>
      </c>
      <c r="I367" s="57">
        <f t="shared" si="15"/>
        <v>-1.9880923450789794</v>
      </c>
      <c r="J367" s="57">
        <f t="shared" si="16"/>
        <v>-0.3856369896704378</v>
      </c>
      <c r="K367" s="58">
        <f t="shared" si="17"/>
        <v>-0.1521216973578863</v>
      </c>
    </row>
    <row r="368" spans="4:11" x14ac:dyDescent="0.2">
      <c r="D368" s="15" t="s">
        <v>904</v>
      </c>
      <c r="E368" s="11">
        <v>366285</v>
      </c>
      <c r="F368" s="11">
        <v>423727</v>
      </c>
      <c r="G368" s="11">
        <v>261783</v>
      </c>
      <c r="H368" s="11">
        <v>267481</v>
      </c>
      <c r="I368" s="57">
        <f t="shared" si="15"/>
        <v>0.15682323873486492</v>
      </c>
      <c r="J368" s="57">
        <f t="shared" si="16"/>
        <v>-0.3821894757709563</v>
      </c>
      <c r="K368" s="58">
        <f t="shared" si="17"/>
        <v>2.176611926672091E-2</v>
      </c>
    </row>
    <row r="369" spans="4:11" x14ac:dyDescent="0.2">
      <c r="D369" s="15" t="s">
        <v>905</v>
      </c>
      <c r="E369" s="11">
        <v>2281000</v>
      </c>
      <c r="F369" s="11">
        <v>1627000</v>
      </c>
      <c r="G369" s="11">
        <v>772000</v>
      </c>
      <c r="H369" s="11">
        <v>3857000</v>
      </c>
      <c r="I369" s="57">
        <f t="shared" si="15"/>
        <v>-0.28671635247698379</v>
      </c>
      <c r="J369" s="57">
        <f t="shared" si="16"/>
        <v>-0.52550706822372462</v>
      </c>
      <c r="K369" s="58">
        <f t="shared" si="17"/>
        <v>3.9961139896373057</v>
      </c>
    </row>
    <row r="370" spans="4:11" x14ac:dyDescent="0.2">
      <c r="D370" s="15" t="s">
        <v>906</v>
      </c>
      <c r="E370" s="11">
        <v>96100</v>
      </c>
      <c r="F370" s="11">
        <v>-671900</v>
      </c>
      <c r="G370" s="11">
        <v>-953600</v>
      </c>
      <c r="H370" s="11">
        <v>-1278100</v>
      </c>
      <c r="I370" s="57">
        <f t="shared" si="15"/>
        <v>-7.9916753381893857</v>
      </c>
      <c r="J370" s="57">
        <f t="shared" si="16"/>
        <v>0.41925881827652922</v>
      </c>
      <c r="K370" s="58">
        <f t="shared" si="17"/>
        <v>0.34028942953020136</v>
      </c>
    </row>
    <row r="371" spans="4:11" x14ac:dyDescent="0.2">
      <c r="D371" s="15" t="s">
        <v>907</v>
      </c>
      <c r="E371" s="11">
        <v>-79806</v>
      </c>
      <c r="F371" s="11">
        <v>171996</v>
      </c>
      <c r="G371" s="11">
        <v>229033</v>
      </c>
      <c r="H371" s="11">
        <v>508375</v>
      </c>
      <c r="I371" s="57">
        <f t="shared" si="15"/>
        <v>-3.1551763025336439</v>
      </c>
      <c r="J371" s="57">
        <f t="shared" si="16"/>
        <v>0.33161817716691083</v>
      </c>
      <c r="K371" s="58">
        <f t="shared" si="17"/>
        <v>1.219658302515358</v>
      </c>
    </row>
    <row r="372" spans="4:11" x14ac:dyDescent="0.2">
      <c r="D372" s="15" t="s">
        <v>908</v>
      </c>
      <c r="E372" s="11">
        <v>401416</v>
      </c>
      <c r="F372" s="11">
        <v>400314</v>
      </c>
      <c r="G372" s="11">
        <v>99345</v>
      </c>
      <c r="H372" s="11">
        <v>221366</v>
      </c>
      <c r="I372" s="57">
        <f t="shared" si="15"/>
        <v>-2.7452817027721864E-3</v>
      </c>
      <c r="J372" s="57">
        <f t="shared" si="16"/>
        <v>-0.75183231163536623</v>
      </c>
      <c r="K372" s="58">
        <f t="shared" si="17"/>
        <v>1.2282550707131712</v>
      </c>
    </row>
    <row r="373" spans="4:11" x14ac:dyDescent="0.2">
      <c r="D373" s="15" t="s">
        <v>909</v>
      </c>
      <c r="E373" s="11">
        <v>670000</v>
      </c>
      <c r="F373" s="11">
        <v>-162000</v>
      </c>
      <c r="G373" s="11">
        <v>-1464000</v>
      </c>
      <c r="H373" s="11">
        <v>767000</v>
      </c>
      <c r="I373" s="57">
        <f t="shared" si="15"/>
        <v>-1.2417910447761193</v>
      </c>
      <c r="J373" s="57">
        <f t="shared" si="16"/>
        <v>8.0370370370370363</v>
      </c>
      <c r="K373" s="58">
        <f t="shared" si="17"/>
        <v>-1.5239071038251366</v>
      </c>
    </row>
    <row r="374" spans="4:11" x14ac:dyDescent="0.2">
      <c r="D374" s="15" t="s">
        <v>910</v>
      </c>
      <c r="E374" s="11">
        <v>2243000</v>
      </c>
      <c r="F374" s="11">
        <v>1272000</v>
      </c>
      <c r="G374" s="11">
        <v>788000</v>
      </c>
      <c r="H374" s="11">
        <v>1943000</v>
      </c>
      <c r="I374" s="57">
        <f t="shared" si="15"/>
        <v>-0.43290236290682121</v>
      </c>
      <c r="J374" s="57">
        <f t="shared" si="16"/>
        <v>-0.38050314465408808</v>
      </c>
      <c r="K374" s="58">
        <f t="shared" si="17"/>
        <v>1.4657360406091371</v>
      </c>
    </row>
    <row r="375" spans="4:11" x14ac:dyDescent="0.2">
      <c r="D375" s="15" t="s">
        <v>911</v>
      </c>
      <c r="E375" s="11">
        <v>310097</v>
      </c>
      <c r="F375" s="11">
        <v>315375</v>
      </c>
      <c r="G375" s="11">
        <v>372007</v>
      </c>
      <c r="H375" s="11">
        <v>377530</v>
      </c>
      <c r="I375" s="57">
        <f t="shared" si="15"/>
        <v>1.7020480688300758E-2</v>
      </c>
      <c r="J375" s="57">
        <f t="shared" si="16"/>
        <v>0.17957035275465716</v>
      </c>
      <c r="K375" s="58">
        <f t="shared" si="17"/>
        <v>1.4846494824022128E-2</v>
      </c>
    </row>
    <row r="376" spans="4:11" x14ac:dyDescent="0.2">
      <c r="D376" s="15" t="s">
        <v>912</v>
      </c>
      <c r="E376" s="11">
        <v>1981</v>
      </c>
      <c r="F376" s="11">
        <v>-272052</v>
      </c>
      <c r="G376" s="11">
        <v>-312850</v>
      </c>
      <c r="H376" s="11">
        <v>73795</v>
      </c>
      <c r="I376" s="57">
        <f t="shared" si="15"/>
        <v>-138.3306410903584</v>
      </c>
      <c r="J376" s="57">
        <f t="shared" si="16"/>
        <v>0.14996397747489451</v>
      </c>
      <c r="K376" s="58">
        <f t="shared" si="17"/>
        <v>-1.2358798146076395</v>
      </c>
    </row>
    <row r="377" spans="4:11" x14ac:dyDescent="0.2">
      <c r="D377" s="15" t="s">
        <v>913</v>
      </c>
      <c r="E377" s="11">
        <v>285543</v>
      </c>
      <c r="F377" s="11">
        <v>297177</v>
      </c>
      <c r="G377" s="11">
        <v>469784</v>
      </c>
      <c r="H377" s="11">
        <v>610327</v>
      </c>
      <c r="I377" s="57">
        <f t="shared" si="15"/>
        <v>4.0743425683697376E-2</v>
      </c>
      <c r="J377" s="57">
        <f t="shared" si="16"/>
        <v>0.58082220360256687</v>
      </c>
      <c r="K377" s="58">
        <f t="shared" si="17"/>
        <v>0.29916514823833934</v>
      </c>
    </row>
    <row r="378" spans="4:11" x14ac:dyDescent="0.2">
      <c r="D378" s="15" t="s">
        <v>914</v>
      </c>
      <c r="E378" s="11">
        <v>-1262000</v>
      </c>
      <c r="F378" s="11">
        <v>-1594000</v>
      </c>
      <c r="G378" s="11">
        <v>1158000</v>
      </c>
      <c r="H378" s="11">
        <v>1075000</v>
      </c>
      <c r="I378" s="57">
        <f t="shared" si="15"/>
        <v>0.26307448494453251</v>
      </c>
      <c r="J378" s="57">
        <f t="shared" si="16"/>
        <v>-1.7264742785445419</v>
      </c>
      <c r="K378" s="58">
        <f t="shared" si="17"/>
        <v>-7.1675302245250427E-2</v>
      </c>
    </row>
    <row r="379" spans="4:11" x14ac:dyDescent="0.2">
      <c r="D379" s="15" t="s">
        <v>915</v>
      </c>
      <c r="E379" s="11">
        <v>-917000</v>
      </c>
      <c r="F379" s="11">
        <v>-190000</v>
      </c>
      <c r="G379" s="11">
        <v>-698000</v>
      </c>
      <c r="H379" s="11">
        <v>-943000</v>
      </c>
      <c r="I379" s="57">
        <f t="shared" si="15"/>
        <v>-0.79280261723009815</v>
      </c>
      <c r="J379" s="57">
        <f t="shared" si="16"/>
        <v>2.6736842105263157</v>
      </c>
      <c r="K379" s="58">
        <f t="shared" si="17"/>
        <v>0.35100286532951291</v>
      </c>
    </row>
    <row r="380" spans="4:11" x14ac:dyDescent="0.2">
      <c r="D380" s="15" t="s">
        <v>916</v>
      </c>
      <c r="E380" s="11">
        <v>672091</v>
      </c>
      <c r="F380" s="11">
        <v>995080</v>
      </c>
      <c r="G380" s="11">
        <v>860142</v>
      </c>
      <c r="H380" s="11">
        <v>802641</v>
      </c>
      <c r="I380" s="57">
        <f t="shared" si="15"/>
        <v>0.48057331522070673</v>
      </c>
      <c r="J380" s="57">
        <f t="shared" si="16"/>
        <v>-0.135605177473168</v>
      </c>
      <c r="K380" s="58">
        <f t="shared" si="17"/>
        <v>-6.6850589786337608E-2</v>
      </c>
    </row>
    <row r="381" spans="4:11" x14ac:dyDescent="0.2">
      <c r="D381" s="15" t="s">
        <v>917</v>
      </c>
      <c r="E381" s="11">
        <v>-1348427</v>
      </c>
      <c r="F381" s="11">
        <v>-255397</v>
      </c>
      <c r="G381" s="11">
        <v>941103</v>
      </c>
      <c r="H381" s="11">
        <v>-514483</v>
      </c>
      <c r="I381" s="57">
        <f t="shared" si="15"/>
        <v>-0.81059634670619918</v>
      </c>
      <c r="J381" s="57">
        <f t="shared" si="16"/>
        <v>-4.6848631738039206</v>
      </c>
      <c r="K381" s="58">
        <f t="shared" si="17"/>
        <v>-1.5466808627748503</v>
      </c>
    </row>
    <row r="382" spans="4:11" x14ac:dyDescent="0.2">
      <c r="D382" s="15" t="s">
        <v>918</v>
      </c>
      <c r="E382" s="11">
        <v>670000</v>
      </c>
      <c r="F382" s="11">
        <v>479000</v>
      </c>
      <c r="G382" s="11">
        <v>513000</v>
      </c>
      <c r="H382" s="11">
        <v>738000</v>
      </c>
      <c r="I382" s="57">
        <f t="shared" si="15"/>
        <v>-0.28507462686567164</v>
      </c>
      <c r="J382" s="57">
        <f t="shared" si="16"/>
        <v>7.0981210855949897E-2</v>
      </c>
      <c r="K382" s="58">
        <f t="shared" si="17"/>
        <v>0.43859649122807015</v>
      </c>
    </row>
    <row r="383" spans="4:11" x14ac:dyDescent="0.2">
      <c r="D383" s="15" t="s">
        <v>919</v>
      </c>
      <c r="E383" s="11">
        <v>98000</v>
      </c>
      <c r="F383" s="11">
        <v>793000</v>
      </c>
      <c r="G383" s="11">
        <v>-1227000</v>
      </c>
      <c r="H383" s="11">
        <v>-212000</v>
      </c>
      <c r="I383" s="57">
        <f t="shared" si="15"/>
        <v>7.091836734693878</v>
      </c>
      <c r="J383" s="57">
        <f t="shared" si="16"/>
        <v>-2.5472887767969734</v>
      </c>
      <c r="K383" s="58">
        <f t="shared" si="17"/>
        <v>-0.8272208638956805</v>
      </c>
    </row>
    <row r="384" spans="4:11" x14ac:dyDescent="0.2">
      <c r="D384" s="15" t="s">
        <v>920</v>
      </c>
      <c r="E384" s="11">
        <v>230000</v>
      </c>
      <c r="F384" s="11">
        <v>159500</v>
      </c>
      <c r="G384" s="11">
        <v>174400</v>
      </c>
      <c r="H384" s="11">
        <v>346700</v>
      </c>
      <c r="I384" s="57">
        <f t="shared" si="15"/>
        <v>-0.30652173913043479</v>
      </c>
      <c r="J384" s="57">
        <f t="shared" si="16"/>
        <v>9.3416927899686517E-2</v>
      </c>
      <c r="K384" s="58">
        <f t="shared" si="17"/>
        <v>0.98795871559633031</v>
      </c>
    </row>
    <row r="385" spans="4:11" x14ac:dyDescent="0.2">
      <c r="D385" s="15" t="s">
        <v>921</v>
      </c>
      <c r="E385" s="11">
        <v>1108235</v>
      </c>
      <c r="F385" s="11">
        <v>1383600</v>
      </c>
      <c r="G385" s="11">
        <v>1162693</v>
      </c>
      <c r="H385" s="11">
        <v>610069</v>
      </c>
      <c r="I385" s="57">
        <f t="shared" si="15"/>
        <v>0.24847166891498645</v>
      </c>
      <c r="J385" s="57">
        <f t="shared" si="16"/>
        <v>-0.15966102919919051</v>
      </c>
      <c r="K385" s="58">
        <f t="shared" si="17"/>
        <v>-0.47529657441818263</v>
      </c>
    </row>
    <row r="386" spans="4:11" x14ac:dyDescent="0.2">
      <c r="D386" s="15" t="s">
        <v>922</v>
      </c>
      <c r="E386" s="11">
        <v>773000</v>
      </c>
      <c r="F386" s="11">
        <v>1969000</v>
      </c>
      <c r="G386" s="11">
        <v>480000</v>
      </c>
      <c r="H386" s="11">
        <v>1574000</v>
      </c>
      <c r="I386" s="57">
        <f t="shared" si="15"/>
        <v>1.5472186287192755</v>
      </c>
      <c r="J386" s="57">
        <f t="shared" si="16"/>
        <v>-0.75622143219908589</v>
      </c>
      <c r="K386" s="58">
        <f t="shared" si="17"/>
        <v>2.2791666666666668</v>
      </c>
    </row>
    <row r="387" spans="4:11" x14ac:dyDescent="0.2">
      <c r="D387" s="15" t="s">
        <v>923</v>
      </c>
      <c r="E387" s="11">
        <v>-149000</v>
      </c>
      <c r="F387" s="11">
        <v>510000</v>
      </c>
      <c r="G387" s="11">
        <v>199000</v>
      </c>
      <c r="H387" s="11">
        <v>296000</v>
      </c>
      <c r="I387" s="57">
        <f t="shared" si="15"/>
        <v>-4.4228187919463089</v>
      </c>
      <c r="J387" s="57">
        <f t="shared" si="16"/>
        <v>-0.6098039215686275</v>
      </c>
      <c r="K387" s="58">
        <f t="shared" si="17"/>
        <v>0.48743718592964824</v>
      </c>
    </row>
    <row r="388" spans="4:11" x14ac:dyDescent="0.2">
      <c r="D388" s="15" t="s">
        <v>924</v>
      </c>
      <c r="E388" s="11">
        <v>396168</v>
      </c>
      <c r="F388" s="11">
        <v>612485</v>
      </c>
      <c r="G388" s="11">
        <v>456821</v>
      </c>
      <c r="H388" s="11">
        <v>386268</v>
      </c>
      <c r="I388" s="57">
        <f t="shared" si="15"/>
        <v>0.5460234042123544</v>
      </c>
      <c r="J388" s="57">
        <f t="shared" si="16"/>
        <v>-0.25415153024155696</v>
      </c>
      <c r="K388" s="58">
        <f t="shared" si="17"/>
        <v>-0.15444342532414229</v>
      </c>
    </row>
    <row r="389" spans="4:11" x14ac:dyDescent="0.2">
      <c r="D389" s="15" t="s">
        <v>925</v>
      </c>
      <c r="E389" s="11">
        <v>374800</v>
      </c>
      <c r="F389" s="11">
        <v>180900</v>
      </c>
      <c r="G389" s="11">
        <v>-45000</v>
      </c>
      <c r="H389" s="11">
        <v>-553500</v>
      </c>
      <c r="I389" s="57">
        <f t="shared" ref="I389:I452" si="18">(F389-E389)/E389</f>
        <v>-0.51734258271077904</v>
      </c>
      <c r="J389" s="57">
        <f t="shared" ref="J389:J452" si="19">(G389-F389)/F389</f>
        <v>-1.2487562189054726</v>
      </c>
      <c r="K389" s="58">
        <f t="shared" ref="K389:K452" si="20">(H389-G389)/G389</f>
        <v>11.3</v>
      </c>
    </row>
    <row r="390" spans="4:11" x14ac:dyDescent="0.2">
      <c r="D390" s="15" t="s">
        <v>926</v>
      </c>
      <c r="E390" s="11">
        <v>402000</v>
      </c>
      <c r="F390" s="11">
        <v>-1030000</v>
      </c>
      <c r="G390" s="11">
        <v>-635000</v>
      </c>
      <c r="H390" s="11">
        <v>-551000</v>
      </c>
      <c r="I390" s="57">
        <f t="shared" si="18"/>
        <v>-3.5621890547263684</v>
      </c>
      <c r="J390" s="57">
        <f t="shared" si="19"/>
        <v>-0.38349514563106796</v>
      </c>
      <c r="K390" s="58">
        <f t="shared" si="20"/>
        <v>-0.13228346456692913</v>
      </c>
    </row>
    <row r="391" spans="4:11" x14ac:dyDescent="0.2">
      <c r="D391" s="15" t="s">
        <v>927</v>
      </c>
      <c r="E391" s="11">
        <v>285279</v>
      </c>
      <c r="F391" s="11">
        <v>418449</v>
      </c>
      <c r="G391" s="11">
        <v>595981</v>
      </c>
      <c r="H391" s="11">
        <v>887697</v>
      </c>
      <c r="I391" s="57">
        <f t="shared" si="18"/>
        <v>0.46680617921403256</v>
      </c>
      <c r="J391" s="57">
        <f t="shared" si="19"/>
        <v>0.42426197696732459</v>
      </c>
      <c r="K391" s="58">
        <f t="shared" si="20"/>
        <v>0.48947197981143692</v>
      </c>
    </row>
    <row r="392" spans="4:11" x14ac:dyDescent="0.2">
      <c r="D392" s="15" t="s">
        <v>928</v>
      </c>
      <c r="E392" s="11">
        <v>467897</v>
      </c>
      <c r="F392" s="11">
        <v>263744</v>
      </c>
      <c r="G392" s="11">
        <v>411047</v>
      </c>
      <c r="H392" s="11">
        <v>617313</v>
      </c>
      <c r="I392" s="57">
        <f t="shared" si="18"/>
        <v>-0.43632038675178514</v>
      </c>
      <c r="J392" s="57">
        <f t="shared" si="19"/>
        <v>0.55850749211356465</v>
      </c>
      <c r="K392" s="58">
        <f t="shared" si="20"/>
        <v>0.50180636277603297</v>
      </c>
    </row>
    <row r="393" spans="4:11" x14ac:dyDescent="0.2">
      <c r="D393" s="15" t="s">
        <v>929</v>
      </c>
      <c r="E393" s="11">
        <v>378200</v>
      </c>
      <c r="F393" s="11">
        <v>275900</v>
      </c>
      <c r="G393" s="11">
        <v>340000</v>
      </c>
      <c r="H393" s="11">
        <v>407200</v>
      </c>
      <c r="I393" s="57">
        <f t="shared" si="18"/>
        <v>-0.27049180327868855</v>
      </c>
      <c r="J393" s="57">
        <f t="shared" si="19"/>
        <v>0.23233055454874954</v>
      </c>
      <c r="K393" s="58">
        <f t="shared" si="20"/>
        <v>0.1976470588235294</v>
      </c>
    </row>
    <row r="394" spans="4:11" x14ac:dyDescent="0.2">
      <c r="D394" s="15" t="s">
        <v>930</v>
      </c>
      <c r="E394" s="11">
        <v>824583</v>
      </c>
      <c r="F394" s="11">
        <v>-695051</v>
      </c>
      <c r="G394" s="11">
        <v>1115942</v>
      </c>
      <c r="H394" s="11">
        <v>1769741</v>
      </c>
      <c r="I394" s="57">
        <f t="shared" si="18"/>
        <v>-1.8429121143656855</v>
      </c>
      <c r="J394" s="57">
        <f t="shared" si="19"/>
        <v>-2.6055541248052303</v>
      </c>
      <c r="K394" s="58">
        <f t="shared" si="20"/>
        <v>0.58587184638628176</v>
      </c>
    </row>
    <row r="395" spans="4:11" x14ac:dyDescent="0.2">
      <c r="D395" s="15" t="s">
        <v>931</v>
      </c>
      <c r="E395" s="11">
        <v>-1819000</v>
      </c>
      <c r="F395" s="11">
        <v>-65000</v>
      </c>
      <c r="G395" s="11">
        <v>157000</v>
      </c>
      <c r="H395" s="11">
        <v>481000</v>
      </c>
      <c r="I395" s="57">
        <f t="shared" si="18"/>
        <v>-0.96426608026388128</v>
      </c>
      <c r="J395" s="57">
        <f t="shared" si="19"/>
        <v>-3.4153846153846152</v>
      </c>
      <c r="K395" s="58">
        <f t="shared" si="20"/>
        <v>2.0636942675159236</v>
      </c>
    </row>
    <row r="396" spans="4:11" x14ac:dyDescent="0.2">
      <c r="D396" s="15" t="s">
        <v>932</v>
      </c>
      <c r="E396" s="11">
        <v>322950</v>
      </c>
      <c r="F396" s="11">
        <v>370112</v>
      </c>
      <c r="G396" s="11">
        <v>381876</v>
      </c>
      <c r="H396" s="11">
        <v>450550</v>
      </c>
      <c r="I396" s="57">
        <f t="shared" si="18"/>
        <v>0.14603498993652267</v>
      </c>
      <c r="J396" s="57">
        <f t="shared" si="19"/>
        <v>3.1784973197302439E-2</v>
      </c>
      <c r="K396" s="58">
        <f t="shared" si="20"/>
        <v>0.17983324429919659</v>
      </c>
    </row>
    <row r="397" spans="4:11" x14ac:dyDescent="0.2">
      <c r="D397" s="15" t="s">
        <v>933</v>
      </c>
      <c r="E397" s="11">
        <v>199875</v>
      </c>
      <c r="F397" s="11">
        <v>614722</v>
      </c>
      <c r="G397" s="11">
        <v>521146</v>
      </c>
      <c r="H397" s="11">
        <v>763765</v>
      </c>
      <c r="I397" s="57">
        <f t="shared" si="18"/>
        <v>2.0755322076297684</v>
      </c>
      <c r="J397" s="57">
        <f t="shared" si="19"/>
        <v>-0.15222490816987191</v>
      </c>
      <c r="K397" s="58">
        <f t="shared" si="20"/>
        <v>0.46554900162334545</v>
      </c>
    </row>
    <row r="398" spans="4:11" x14ac:dyDescent="0.2">
      <c r="D398" s="15" t="s">
        <v>934</v>
      </c>
      <c r="E398" s="11">
        <v>337900</v>
      </c>
      <c r="F398" s="11">
        <v>405200</v>
      </c>
      <c r="G398" s="11">
        <v>455200</v>
      </c>
      <c r="H398" s="11">
        <v>231200</v>
      </c>
      <c r="I398" s="57">
        <f t="shared" si="18"/>
        <v>0.19917135247114531</v>
      </c>
      <c r="J398" s="57">
        <f t="shared" si="19"/>
        <v>0.12339585389930899</v>
      </c>
      <c r="K398" s="58">
        <f t="shared" si="20"/>
        <v>-0.49209138840070299</v>
      </c>
    </row>
    <row r="399" spans="4:11" x14ac:dyDescent="0.2">
      <c r="D399" s="15" t="s">
        <v>935</v>
      </c>
      <c r="E399" s="11">
        <v>1645600</v>
      </c>
      <c r="F399" s="11">
        <v>1656800</v>
      </c>
      <c r="G399" s="11">
        <v>1788900</v>
      </c>
      <c r="H399" s="11">
        <v>2089600</v>
      </c>
      <c r="I399" s="57">
        <f t="shared" si="18"/>
        <v>6.8060281964025283E-3</v>
      </c>
      <c r="J399" s="57">
        <f t="shared" si="19"/>
        <v>7.9732013520038628E-2</v>
      </c>
      <c r="K399" s="58">
        <f t="shared" si="20"/>
        <v>0.16809212365140588</v>
      </c>
    </row>
    <row r="400" spans="4:11" x14ac:dyDescent="0.2">
      <c r="D400" s="15" t="s">
        <v>936</v>
      </c>
      <c r="E400" s="11">
        <v>320000</v>
      </c>
      <c r="F400" s="11">
        <v>1364000</v>
      </c>
      <c r="G400" s="11">
        <v>1356000</v>
      </c>
      <c r="H400" s="11">
        <v>989000</v>
      </c>
      <c r="I400" s="57">
        <f t="shared" si="18"/>
        <v>3.2625000000000002</v>
      </c>
      <c r="J400" s="57">
        <f t="shared" si="19"/>
        <v>-5.8651026392961877E-3</v>
      </c>
      <c r="K400" s="58">
        <f t="shared" si="20"/>
        <v>-0.27064896755162243</v>
      </c>
    </row>
    <row r="401" spans="4:11" x14ac:dyDescent="0.2">
      <c r="D401" s="15" t="s">
        <v>937</v>
      </c>
      <c r="E401" s="11">
        <v>454100</v>
      </c>
      <c r="F401" s="11">
        <v>532600</v>
      </c>
      <c r="G401" s="11">
        <v>513100</v>
      </c>
      <c r="H401" s="11">
        <v>628700</v>
      </c>
      <c r="I401" s="57">
        <f t="shared" si="18"/>
        <v>0.17286941202378331</v>
      </c>
      <c r="J401" s="57">
        <f t="shared" si="19"/>
        <v>-3.661284265865565E-2</v>
      </c>
      <c r="K401" s="58">
        <f t="shared" si="20"/>
        <v>0.22529721301890471</v>
      </c>
    </row>
    <row r="402" spans="4:11" x14ac:dyDescent="0.2">
      <c r="D402" s="15" t="s">
        <v>938</v>
      </c>
      <c r="E402" s="11">
        <v>746000</v>
      </c>
      <c r="F402" s="11">
        <v>391000</v>
      </c>
      <c r="G402" s="11">
        <v>1016000</v>
      </c>
      <c r="H402" s="11">
        <v>1526000</v>
      </c>
      <c r="I402" s="57">
        <f t="shared" si="18"/>
        <v>-0.47587131367292224</v>
      </c>
      <c r="J402" s="57">
        <f t="shared" si="19"/>
        <v>1.5984654731457801</v>
      </c>
      <c r="K402" s="58">
        <f t="shared" si="20"/>
        <v>0.50196850393700787</v>
      </c>
    </row>
    <row r="403" spans="4:11" x14ac:dyDescent="0.2">
      <c r="D403" s="15" t="s">
        <v>939</v>
      </c>
      <c r="E403" s="11">
        <v>976700</v>
      </c>
      <c r="F403" s="11">
        <v>973100</v>
      </c>
      <c r="G403" s="11">
        <v>672900</v>
      </c>
      <c r="H403" s="11">
        <v>684600</v>
      </c>
      <c r="I403" s="57">
        <f t="shared" si="18"/>
        <v>-3.6858810279512644E-3</v>
      </c>
      <c r="J403" s="57">
        <f t="shared" si="19"/>
        <v>-0.30849861268112216</v>
      </c>
      <c r="K403" s="58">
        <f t="shared" si="20"/>
        <v>1.7387427552385197E-2</v>
      </c>
    </row>
    <row r="404" spans="4:11" x14ac:dyDescent="0.2">
      <c r="D404" s="15" t="s">
        <v>940</v>
      </c>
      <c r="E404" s="11">
        <v>-996000</v>
      </c>
      <c r="F404" s="11">
        <v>-733000</v>
      </c>
      <c r="G404" s="11">
        <v>895000</v>
      </c>
      <c r="H404" s="11">
        <v>198000</v>
      </c>
      <c r="I404" s="57">
        <f t="shared" si="18"/>
        <v>-0.2640562248995984</v>
      </c>
      <c r="J404" s="57">
        <f t="shared" si="19"/>
        <v>-2.2210095497953617</v>
      </c>
      <c r="K404" s="58">
        <f t="shared" si="20"/>
        <v>-0.7787709497206704</v>
      </c>
    </row>
    <row r="405" spans="4:11" x14ac:dyDescent="0.2">
      <c r="D405" s="15" t="s">
        <v>941</v>
      </c>
      <c r="E405" s="11">
        <v>446000</v>
      </c>
      <c r="F405" s="11">
        <v>373000</v>
      </c>
      <c r="G405" s="11">
        <v>2343000</v>
      </c>
      <c r="H405" s="11">
        <v>1486000</v>
      </c>
      <c r="I405" s="57">
        <f t="shared" si="18"/>
        <v>-0.16367713004484305</v>
      </c>
      <c r="J405" s="57">
        <f t="shared" si="19"/>
        <v>5.2815013404825741</v>
      </c>
      <c r="K405" s="58">
        <f t="shared" si="20"/>
        <v>-0.36577037985488692</v>
      </c>
    </row>
    <row r="406" spans="4:11" x14ac:dyDescent="0.2">
      <c r="D406" s="15" t="s">
        <v>942</v>
      </c>
      <c r="E406" s="11">
        <v>543816</v>
      </c>
      <c r="F406" s="11">
        <v>572397</v>
      </c>
      <c r="G406" s="11">
        <v>464014</v>
      </c>
      <c r="H406" s="11">
        <v>594069</v>
      </c>
      <c r="I406" s="57">
        <f t="shared" si="18"/>
        <v>5.2556379363608283E-2</v>
      </c>
      <c r="J406" s="57">
        <f t="shared" si="19"/>
        <v>-0.18934935018876758</v>
      </c>
      <c r="K406" s="58">
        <f t="shared" si="20"/>
        <v>0.28028249147655027</v>
      </c>
    </row>
    <row r="407" spans="4:11" x14ac:dyDescent="0.2">
      <c r="D407" s="15" t="s">
        <v>943</v>
      </c>
      <c r="E407" s="11">
        <v>258880</v>
      </c>
      <c r="F407" s="11">
        <v>318913</v>
      </c>
      <c r="G407" s="11">
        <v>249364</v>
      </c>
      <c r="H407" s="11">
        <v>217785</v>
      </c>
      <c r="I407" s="57">
        <f t="shared" si="18"/>
        <v>0.23189508652657603</v>
      </c>
      <c r="J407" s="57">
        <f t="shared" si="19"/>
        <v>-0.21808142032466535</v>
      </c>
      <c r="K407" s="58">
        <f t="shared" si="20"/>
        <v>-0.12663816749811521</v>
      </c>
    </row>
    <row r="408" spans="4:11" x14ac:dyDescent="0.2">
      <c r="D408" s="15" t="s">
        <v>944</v>
      </c>
      <c r="E408" s="11">
        <v>251511</v>
      </c>
      <c r="F408" s="11">
        <v>215292</v>
      </c>
      <c r="G408" s="11">
        <v>377837</v>
      </c>
      <c r="H408" s="11">
        <v>475487</v>
      </c>
      <c r="I408" s="57">
        <f t="shared" si="18"/>
        <v>-0.14400562997244654</v>
      </c>
      <c r="J408" s="57">
        <f t="shared" si="19"/>
        <v>0.75499786336696206</v>
      </c>
      <c r="K408" s="58">
        <f t="shared" si="20"/>
        <v>0.25844477909786495</v>
      </c>
    </row>
    <row r="409" spans="4:11" x14ac:dyDescent="0.2">
      <c r="D409" s="15" t="s">
        <v>945</v>
      </c>
      <c r="E409" s="11">
        <v>221800</v>
      </c>
      <c r="F409" s="11">
        <v>335000</v>
      </c>
      <c r="G409" s="11">
        <v>297900</v>
      </c>
      <c r="H409" s="11">
        <v>408700</v>
      </c>
      <c r="I409" s="57">
        <f t="shared" si="18"/>
        <v>0.51036970243462576</v>
      </c>
      <c r="J409" s="57">
        <f t="shared" si="19"/>
        <v>-0.11074626865671641</v>
      </c>
      <c r="K409" s="58">
        <f t="shared" si="20"/>
        <v>0.37193689157435383</v>
      </c>
    </row>
    <row r="410" spans="4:11" x14ac:dyDescent="0.2">
      <c r="D410" s="15" t="s">
        <v>946</v>
      </c>
      <c r="E410" s="11">
        <v>564700</v>
      </c>
      <c r="F410" s="11">
        <v>482900</v>
      </c>
      <c r="G410" s="11">
        <v>692900</v>
      </c>
      <c r="H410" s="11">
        <v>249700</v>
      </c>
      <c r="I410" s="57">
        <f t="shared" si="18"/>
        <v>-0.14485567557995396</v>
      </c>
      <c r="J410" s="57">
        <f t="shared" si="19"/>
        <v>0.43487264443984264</v>
      </c>
      <c r="K410" s="58">
        <f t="shared" si="20"/>
        <v>-0.6396305383172175</v>
      </c>
    </row>
    <row r="411" spans="4:11" x14ac:dyDescent="0.2">
      <c r="D411" s="15" t="s">
        <v>947</v>
      </c>
      <c r="E411" s="11">
        <v>2171000</v>
      </c>
      <c r="F411" s="11">
        <v>1199000</v>
      </c>
      <c r="G411" s="11">
        <v>1477000</v>
      </c>
      <c r="H411" s="11">
        <v>1644000</v>
      </c>
      <c r="I411" s="57">
        <f t="shared" si="18"/>
        <v>-0.44771994472593274</v>
      </c>
      <c r="J411" s="57">
        <f t="shared" si="19"/>
        <v>0.23185988323603002</v>
      </c>
      <c r="K411" s="58">
        <f t="shared" si="20"/>
        <v>0.11306702775897089</v>
      </c>
    </row>
    <row r="412" spans="4:11" x14ac:dyDescent="0.2">
      <c r="D412" s="15" t="s">
        <v>948</v>
      </c>
      <c r="E412" s="11">
        <v>148186</v>
      </c>
      <c r="F412" s="11">
        <v>215713</v>
      </c>
      <c r="G412" s="11">
        <v>328225</v>
      </c>
      <c r="H412" s="11">
        <v>92191</v>
      </c>
      <c r="I412" s="57">
        <f t="shared" si="18"/>
        <v>0.45569082099523572</v>
      </c>
      <c r="J412" s="57">
        <f t="shared" si="19"/>
        <v>0.52158191671341092</v>
      </c>
      <c r="K412" s="58">
        <f t="shared" si="20"/>
        <v>-0.71912255312666618</v>
      </c>
    </row>
    <row r="413" spans="4:11" x14ac:dyDescent="0.2">
      <c r="D413" s="15" t="s">
        <v>949</v>
      </c>
      <c r="E413" s="11">
        <v>972000</v>
      </c>
      <c r="F413" s="11">
        <v>759000</v>
      </c>
      <c r="G413" s="11">
        <v>1008000</v>
      </c>
      <c r="H413" s="11">
        <v>1015000</v>
      </c>
      <c r="I413" s="57">
        <f t="shared" si="18"/>
        <v>-0.2191358024691358</v>
      </c>
      <c r="J413" s="57">
        <f t="shared" si="19"/>
        <v>0.32806324110671936</v>
      </c>
      <c r="K413" s="58">
        <f t="shared" si="20"/>
        <v>6.9444444444444441E-3</v>
      </c>
    </row>
    <row r="414" spans="4:11" x14ac:dyDescent="0.2">
      <c r="D414" s="15" t="s">
        <v>950</v>
      </c>
      <c r="E414" s="11">
        <v>673000</v>
      </c>
      <c r="F414" s="11">
        <v>537000</v>
      </c>
      <c r="G414" s="11">
        <v>432000</v>
      </c>
      <c r="H414" s="11">
        <v>451000</v>
      </c>
      <c r="I414" s="57">
        <f t="shared" si="18"/>
        <v>-0.20208023774145617</v>
      </c>
      <c r="J414" s="57">
        <f t="shared" si="19"/>
        <v>-0.19553072625698323</v>
      </c>
      <c r="K414" s="58">
        <f t="shared" si="20"/>
        <v>4.3981481481481483E-2</v>
      </c>
    </row>
    <row r="415" spans="4:11" x14ac:dyDescent="0.2">
      <c r="D415" s="15" t="s">
        <v>951</v>
      </c>
      <c r="E415" s="11">
        <v>536000</v>
      </c>
      <c r="F415" s="11">
        <v>543000</v>
      </c>
      <c r="G415" s="11">
        <v>580000</v>
      </c>
      <c r="H415" s="11">
        <v>639000</v>
      </c>
      <c r="I415" s="57">
        <f t="shared" si="18"/>
        <v>1.3059701492537313E-2</v>
      </c>
      <c r="J415" s="57">
        <f t="shared" si="19"/>
        <v>6.8139963167587483E-2</v>
      </c>
      <c r="K415" s="58">
        <f t="shared" si="20"/>
        <v>0.10172413793103448</v>
      </c>
    </row>
    <row r="416" spans="4:11" x14ac:dyDescent="0.2">
      <c r="D416" s="15" t="s">
        <v>952</v>
      </c>
      <c r="E416" s="11">
        <v>-383030</v>
      </c>
      <c r="F416" s="11">
        <v>28975</v>
      </c>
      <c r="G416" s="11">
        <v>631026</v>
      </c>
      <c r="H416" s="11">
        <v>1390705</v>
      </c>
      <c r="I416" s="57">
        <f t="shared" si="18"/>
        <v>-1.0756468161762787</v>
      </c>
      <c r="J416" s="57">
        <f t="shared" si="19"/>
        <v>20.778291630716133</v>
      </c>
      <c r="K416" s="58">
        <f t="shared" si="20"/>
        <v>1.203879079467407</v>
      </c>
    </row>
    <row r="417" spans="4:11" x14ac:dyDescent="0.2">
      <c r="D417" s="15" t="s">
        <v>953</v>
      </c>
      <c r="E417" s="11">
        <v>372303</v>
      </c>
      <c r="F417" s="11">
        <v>224118</v>
      </c>
      <c r="G417" s="11">
        <v>582685</v>
      </c>
      <c r="H417" s="11">
        <v>589427</v>
      </c>
      <c r="I417" s="57">
        <f t="shared" si="18"/>
        <v>-0.39802257838373584</v>
      </c>
      <c r="J417" s="57">
        <f t="shared" si="19"/>
        <v>1.5999027298119741</v>
      </c>
      <c r="K417" s="58">
        <f t="shared" si="20"/>
        <v>1.1570574152415114E-2</v>
      </c>
    </row>
    <row r="418" spans="4:11" x14ac:dyDescent="0.2">
      <c r="D418" s="15" t="s">
        <v>954</v>
      </c>
      <c r="E418" s="11">
        <v>618100</v>
      </c>
      <c r="F418" s="11">
        <v>891700</v>
      </c>
      <c r="G418" s="11">
        <v>1121900</v>
      </c>
      <c r="H418" s="11">
        <v>1421000</v>
      </c>
      <c r="I418" s="57">
        <f t="shared" si="18"/>
        <v>0.44264682090276652</v>
      </c>
      <c r="J418" s="57">
        <f t="shared" si="19"/>
        <v>0.25815857351127058</v>
      </c>
      <c r="K418" s="58">
        <f t="shared" si="20"/>
        <v>0.26660130136375793</v>
      </c>
    </row>
    <row r="419" spans="4:11" x14ac:dyDescent="0.2">
      <c r="D419" s="15" t="s">
        <v>955</v>
      </c>
      <c r="E419" s="11">
        <v>897000</v>
      </c>
      <c r="F419" s="11">
        <v>1098000</v>
      </c>
      <c r="G419" s="11">
        <v>870000</v>
      </c>
      <c r="H419" s="11">
        <v>1226000</v>
      </c>
      <c r="I419" s="57">
        <f t="shared" si="18"/>
        <v>0.22408026755852842</v>
      </c>
      <c r="J419" s="57">
        <f t="shared" si="19"/>
        <v>-0.20765027322404372</v>
      </c>
      <c r="K419" s="58">
        <f t="shared" si="20"/>
        <v>0.4091954022988506</v>
      </c>
    </row>
    <row r="420" spans="4:11" x14ac:dyDescent="0.2">
      <c r="D420" s="15" t="s">
        <v>956</v>
      </c>
      <c r="E420" s="11">
        <v>1150000</v>
      </c>
      <c r="F420" s="11">
        <v>953000</v>
      </c>
      <c r="G420" s="11">
        <v>898000</v>
      </c>
      <c r="H420" s="11">
        <v>1014000</v>
      </c>
      <c r="I420" s="57">
        <f t="shared" si="18"/>
        <v>-0.17130434782608694</v>
      </c>
      <c r="J420" s="57">
        <f t="shared" si="19"/>
        <v>-5.7712486883525711E-2</v>
      </c>
      <c r="K420" s="58">
        <f t="shared" si="20"/>
        <v>0.1291759465478842</v>
      </c>
    </row>
    <row r="421" spans="4:11" x14ac:dyDescent="0.2">
      <c r="D421" s="15" t="s">
        <v>957</v>
      </c>
      <c r="E421" s="11">
        <v>426800</v>
      </c>
      <c r="F421" s="11">
        <v>501800</v>
      </c>
      <c r="G421" s="11">
        <v>526500</v>
      </c>
      <c r="H421" s="11">
        <v>673600</v>
      </c>
      <c r="I421" s="57">
        <f t="shared" si="18"/>
        <v>0.17572633552014996</v>
      </c>
      <c r="J421" s="57">
        <f t="shared" si="19"/>
        <v>4.9222797927461141E-2</v>
      </c>
      <c r="K421" s="58">
        <f t="shared" si="20"/>
        <v>0.27939221272554604</v>
      </c>
    </row>
    <row r="422" spans="4:11" x14ac:dyDescent="0.2">
      <c r="D422" s="15" t="s">
        <v>958</v>
      </c>
      <c r="E422" s="11">
        <v>373792</v>
      </c>
      <c r="F422" s="11">
        <v>427940</v>
      </c>
      <c r="G422" s="11">
        <v>339810</v>
      </c>
      <c r="H422" s="11">
        <v>460712</v>
      </c>
      <c r="I422" s="57">
        <f t="shared" si="18"/>
        <v>0.14486131324372914</v>
      </c>
      <c r="J422" s="57">
        <f t="shared" si="19"/>
        <v>-0.20594008505865308</v>
      </c>
      <c r="K422" s="58">
        <f t="shared" si="20"/>
        <v>0.35579294311527032</v>
      </c>
    </row>
    <row r="423" spans="4:11" x14ac:dyDescent="0.2">
      <c r="D423" s="15" t="s">
        <v>959</v>
      </c>
      <c r="E423" s="11">
        <v>689200</v>
      </c>
      <c r="F423" s="11">
        <v>911900</v>
      </c>
      <c r="G423" s="11">
        <v>1108100</v>
      </c>
      <c r="H423" s="11">
        <v>713700</v>
      </c>
      <c r="I423" s="57">
        <f t="shared" si="18"/>
        <v>0.32312826465467209</v>
      </c>
      <c r="J423" s="57">
        <f t="shared" si="19"/>
        <v>0.21515517052308367</v>
      </c>
      <c r="K423" s="58">
        <f t="shared" si="20"/>
        <v>-0.35592455554552838</v>
      </c>
    </row>
    <row r="424" spans="4:11" x14ac:dyDescent="0.2">
      <c r="D424" s="15" t="s">
        <v>960</v>
      </c>
      <c r="E424" s="11">
        <v>-2141000</v>
      </c>
      <c r="F424" s="11">
        <v>481000</v>
      </c>
      <c r="G424" s="11">
        <v>-332000</v>
      </c>
      <c r="H424" s="11">
        <v>-127000</v>
      </c>
      <c r="I424" s="57">
        <f t="shared" si="18"/>
        <v>-1.2246613731900982</v>
      </c>
      <c r="J424" s="57">
        <f t="shared" si="19"/>
        <v>-1.6902286902286903</v>
      </c>
      <c r="K424" s="58">
        <f t="shared" si="20"/>
        <v>-0.61746987951807231</v>
      </c>
    </row>
    <row r="425" spans="4:11" x14ac:dyDescent="0.2">
      <c r="D425" s="15" t="s">
        <v>961</v>
      </c>
      <c r="E425" s="11">
        <v>2183200</v>
      </c>
      <c r="F425" s="11">
        <v>1630100</v>
      </c>
      <c r="G425" s="11">
        <v>1060500</v>
      </c>
      <c r="H425" s="11">
        <v>2123200</v>
      </c>
      <c r="I425" s="57">
        <f t="shared" si="18"/>
        <v>-0.25334371564675706</v>
      </c>
      <c r="J425" s="57">
        <f t="shared" si="19"/>
        <v>-0.34942641555732779</v>
      </c>
      <c r="K425" s="58">
        <f t="shared" si="20"/>
        <v>1.0020744931636021</v>
      </c>
    </row>
    <row r="426" spans="4:11" x14ac:dyDescent="0.2">
      <c r="D426" s="15" t="s">
        <v>962</v>
      </c>
      <c r="E426" s="11">
        <v>527400</v>
      </c>
      <c r="F426" s="11">
        <v>312100</v>
      </c>
      <c r="G426" s="11">
        <v>725900</v>
      </c>
      <c r="H426" s="11">
        <v>388000</v>
      </c>
      <c r="I426" s="57">
        <f t="shared" si="18"/>
        <v>-0.40822904816078875</v>
      </c>
      <c r="J426" s="57">
        <f t="shared" si="19"/>
        <v>1.3258570970842678</v>
      </c>
      <c r="K426" s="58">
        <f t="shared" si="20"/>
        <v>-0.46549111447857833</v>
      </c>
    </row>
    <row r="427" spans="4:11" x14ac:dyDescent="0.2">
      <c r="D427" s="15" t="s">
        <v>963</v>
      </c>
      <c r="E427" s="11">
        <v>493701</v>
      </c>
      <c r="F427" s="11">
        <v>592096</v>
      </c>
      <c r="G427" s="11">
        <v>614181</v>
      </c>
      <c r="H427" s="11">
        <v>637936</v>
      </c>
      <c r="I427" s="57">
        <f t="shared" si="18"/>
        <v>0.19930079136967516</v>
      </c>
      <c r="J427" s="57">
        <f t="shared" si="19"/>
        <v>3.7299694644111765E-2</v>
      </c>
      <c r="K427" s="58">
        <f t="shared" si="20"/>
        <v>3.867752340108209E-2</v>
      </c>
    </row>
    <row r="428" spans="4:11" x14ac:dyDescent="0.2">
      <c r="D428" s="15" t="s">
        <v>964</v>
      </c>
      <c r="E428" s="11">
        <v>-13954</v>
      </c>
      <c r="F428" s="11">
        <v>22316</v>
      </c>
      <c r="G428" s="11">
        <v>25069</v>
      </c>
      <c r="H428" s="11">
        <v>48181</v>
      </c>
      <c r="I428" s="57">
        <f t="shared" si="18"/>
        <v>-2.5992546939945536</v>
      </c>
      <c r="J428" s="57">
        <f t="shared" si="19"/>
        <v>0.12336440222262055</v>
      </c>
      <c r="K428" s="58">
        <f t="shared" si="20"/>
        <v>0.92193545813554589</v>
      </c>
    </row>
    <row r="429" spans="4:11" x14ac:dyDescent="0.2">
      <c r="D429" s="15" t="s">
        <v>965</v>
      </c>
      <c r="E429" s="11">
        <v>624234</v>
      </c>
      <c r="F429" s="11">
        <v>648047</v>
      </c>
      <c r="G429" s="11">
        <v>701600</v>
      </c>
      <c r="H429" s="11">
        <v>707603</v>
      </c>
      <c r="I429" s="57">
        <f t="shared" si="18"/>
        <v>3.8147553641743319E-2</v>
      </c>
      <c r="J429" s="57">
        <f t="shared" si="19"/>
        <v>8.2637524747433438E-2</v>
      </c>
      <c r="K429" s="58">
        <f t="shared" si="20"/>
        <v>8.5561573546180155E-3</v>
      </c>
    </row>
    <row r="430" spans="4:11" x14ac:dyDescent="0.2">
      <c r="D430" s="15" t="s">
        <v>966</v>
      </c>
      <c r="E430" s="11">
        <v>115000</v>
      </c>
      <c r="F430" s="11">
        <v>23400</v>
      </c>
      <c r="G430" s="11">
        <v>468300</v>
      </c>
      <c r="H430" s="11">
        <v>573900</v>
      </c>
      <c r="I430" s="57">
        <f t="shared" si="18"/>
        <v>-0.79652173913043478</v>
      </c>
      <c r="J430" s="57">
        <f t="shared" si="19"/>
        <v>19.012820512820515</v>
      </c>
      <c r="K430" s="58">
        <f t="shared" si="20"/>
        <v>0.22549647661755284</v>
      </c>
    </row>
    <row r="431" spans="4:11" x14ac:dyDescent="0.2">
      <c r="D431" s="15" t="s">
        <v>967</v>
      </c>
      <c r="E431" s="11">
        <v>307000</v>
      </c>
      <c r="F431" s="11">
        <v>400000</v>
      </c>
      <c r="G431" s="11">
        <v>759000</v>
      </c>
      <c r="H431" s="11">
        <v>1047000</v>
      </c>
      <c r="I431" s="57">
        <f t="shared" si="18"/>
        <v>0.30293159609120524</v>
      </c>
      <c r="J431" s="57">
        <f t="shared" si="19"/>
        <v>0.89749999999999996</v>
      </c>
      <c r="K431" s="58">
        <f t="shared" si="20"/>
        <v>0.37944664031620551</v>
      </c>
    </row>
    <row r="432" spans="4:11" x14ac:dyDescent="0.2">
      <c r="D432" s="15" t="s">
        <v>968</v>
      </c>
      <c r="E432" s="11">
        <v>794000</v>
      </c>
      <c r="F432" s="11">
        <v>1385000</v>
      </c>
      <c r="G432" s="11">
        <v>1019000</v>
      </c>
      <c r="H432" s="11">
        <v>1529000</v>
      </c>
      <c r="I432" s="57">
        <f t="shared" si="18"/>
        <v>0.74433249370277077</v>
      </c>
      <c r="J432" s="57">
        <f t="shared" si="19"/>
        <v>-0.26425992779783392</v>
      </c>
      <c r="K432" s="58">
        <f t="shared" si="20"/>
        <v>0.50049067713444551</v>
      </c>
    </row>
    <row r="433" spans="4:11" x14ac:dyDescent="0.2">
      <c r="D433" s="15" t="s">
        <v>969</v>
      </c>
      <c r="E433" s="11">
        <v>1724125</v>
      </c>
      <c r="F433" s="11">
        <v>2240192</v>
      </c>
      <c r="G433" s="11">
        <v>2347712</v>
      </c>
      <c r="H433" s="11">
        <v>2123903</v>
      </c>
      <c r="I433" s="57">
        <f t="shared" si="18"/>
        <v>0.29932110490828684</v>
      </c>
      <c r="J433" s="57">
        <f t="shared" si="19"/>
        <v>4.799588606690855E-2</v>
      </c>
      <c r="K433" s="58">
        <f t="shared" si="20"/>
        <v>-9.5330687920835266E-2</v>
      </c>
    </row>
    <row r="434" spans="4:11" x14ac:dyDescent="0.2">
      <c r="D434" s="15" t="s">
        <v>970</v>
      </c>
      <c r="E434" s="11">
        <v>879000</v>
      </c>
      <c r="F434" s="11">
        <v>676000</v>
      </c>
      <c r="G434" s="11">
        <v>640000</v>
      </c>
      <c r="H434" s="11">
        <v>277000</v>
      </c>
      <c r="I434" s="57">
        <f t="shared" si="18"/>
        <v>-0.23094425483503983</v>
      </c>
      <c r="J434" s="57">
        <f t="shared" si="19"/>
        <v>-5.3254437869822487E-2</v>
      </c>
      <c r="K434" s="58">
        <f t="shared" si="20"/>
        <v>-0.56718749999999996</v>
      </c>
    </row>
    <row r="435" spans="4:11" x14ac:dyDescent="0.2">
      <c r="D435" s="15" t="s">
        <v>971</v>
      </c>
      <c r="E435" s="11">
        <v>753000</v>
      </c>
      <c r="F435" s="11">
        <v>708000</v>
      </c>
      <c r="G435" s="11">
        <v>564000</v>
      </c>
      <c r="H435" s="11">
        <v>235000</v>
      </c>
      <c r="I435" s="57">
        <f t="shared" si="18"/>
        <v>-5.9760956175298807E-2</v>
      </c>
      <c r="J435" s="57">
        <f t="shared" si="19"/>
        <v>-0.20338983050847459</v>
      </c>
      <c r="K435" s="58">
        <f t="shared" si="20"/>
        <v>-0.58333333333333337</v>
      </c>
    </row>
    <row r="436" spans="4:11" x14ac:dyDescent="0.2">
      <c r="D436" s="15" t="s">
        <v>972</v>
      </c>
      <c r="E436" s="11">
        <v>-222316</v>
      </c>
      <c r="F436" s="11">
        <v>22288</v>
      </c>
      <c r="G436" s="11">
        <v>133602</v>
      </c>
      <c r="H436" s="11">
        <v>210433</v>
      </c>
      <c r="I436" s="57">
        <f t="shared" si="18"/>
        <v>-1.1002536929415787</v>
      </c>
      <c r="J436" s="57">
        <f t="shared" si="19"/>
        <v>4.9943467336683414</v>
      </c>
      <c r="K436" s="58">
        <f t="shared" si="20"/>
        <v>0.5750737264412209</v>
      </c>
    </row>
    <row r="437" spans="4:11" x14ac:dyDescent="0.2">
      <c r="D437" s="15" t="s">
        <v>973</v>
      </c>
      <c r="E437" s="11">
        <v>1075000</v>
      </c>
      <c r="F437" s="11">
        <v>1187000</v>
      </c>
      <c r="G437" s="11">
        <v>1191000</v>
      </c>
      <c r="H437" s="11">
        <v>952000</v>
      </c>
      <c r="I437" s="57">
        <f t="shared" si="18"/>
        <v>0.10418604651162791</v>
      </c>
      <c r="J437" s="57">
        <f t="shared" si="19"/>
        <v>3.3698399326032012E-3</v>
      </c>
      <c r="K437" s="58">
        <f t="shared" si="20"/>
        <v>-0.20067170445004198</v>
      </c>
    </row>
    <row r="438" spans="4:11" x14ac:dyDescent="0.2">
      <c r="D438" s="15" t="s">
        <v>974</v>
      </c>
      <c r="E438" s="11">
        <v>425495</v>
      </c>
      <c r="F438" s="11">
        <v>673164</v>
      </c>
      <c r="G438" s="11">
        <v>287597</v>
      </c>
      <c r="H438" s="11">
        <v>387234</v>
      </c>
      <c r="I438" s="57">
        <f t="shared" si="18"/>
        <v>0.58207264480193655</v>
      </c>
      <c r="J438" s="57">
        <f t="shared" si="19"/>
        <v>-0.5727683001467696</v>
      </c>
      <c r="K438" s="58">
        <f t="shared" si="20"/>
        <v>0.34644659019391716</v>
      </c>
    </row>
    <row r="439" spans="4:11" x14ac:dyDescent="0.2">
      <c r="D439" s="15" t="s">
        <v>975</v>
      </c>
      <c r="E439" s="11">
        <v>300700</v>
      </c>
      <c r="F439" s="11">
        <v>501200</v>
      </c>
      <c r="G439" s="11">
        <v>435300</v>
      </c>
      <c r="H439" s="11">
        <v>453900</v>
      </c>
      <c r="I439" s="57">
        <f t="shared" si="18"/>
        <v>0.66677751912204852</v>
      </c>
      <c r="J439" s="57">
        <f t="shared" si="19"/>
        <v>-0.13148443735035914</v>
      </c>
      <c r="K439" s="58">
        <f t="shared" si="20"/>
        <v>4.2729152308752585E-2</v>
      </c>
    </row>
    <row r="440" spans="4:11" x14ac:dyDescent="0.2">
      <c r="D440" s="15" t="s">
        <v>976</v>
      </c>
      <c r="E440" s="11">
        <v>309713</v>
      </c>
      <c r="F440" s="11">
        <v>127158</v>
      </c>
      <c r="G440" s="11">
        <v>679131</v>
      </c>
      <c r="H440" s="11">
        <v>1243387</v>
      </c>
      <c r="I440" s="57">
        <f t="shared" si="18"/>
        <v>-0.58943279746087507</v>
      </c>
      <c r="J440" s="57">
        <f t="shared" si="19"/>
        <v>4.3408436747982826</v>
      </c>
      <c r="K440" s="58">
        <f t="shared" si="20"/>
        <v>0.83085001273686521</v>
      </c>
    </row>
    <row r="441" spans="4:11" x14ac:dyDescent="0.2">
      <c r="D441" s="15" t="s">
        <v>977</v>
      </c>
      <c r="E441" s="11">
        <v>823347</v>
      </c>
      <c r="F441" s="11">
        <v>1158824</v>
      </c>
      <c r="G441" s="11">
        <v>1060942</v>
      </c>
      <c r="H441" s="11">
        <v>543709</v>
      </c>
      <c r="I441" s="57">
        <f t="shared" si="18"/>
        <v>0.40745517989377505</v>
      </c>
      <c r="J441" s="57">
        <f t="shared" si="19"/>
        <v>-8.4466666206429966E-2</v>
      </c>
      <c r="K441" s="58">
        <f t="shared" si="20"/>
        <v>-0.48752240933057606</v>
      </c>
    </row>
    <row r="442" spans="4:11" x14ac:dyDescent="0.2">
      <c r="D442" s="15" t="s">
        <v>978</v>
      </c>
      <c r="E442" s="11">
        <v>526484</v>
      </c>
      <c r="F442" s="11">
        <v>644010</v>
      </c>
      <c r="G442" s="11">
        <v>543001</v>
      </c>
      <c r="H442" s="11">
        <v>441537</v>
      </c>
      <c r="I442" s="57">
        <f t="shared" si="18"/>
        <v>0.22322805631320231</v>
      </c>
      <c r="J442" s="57">
        <f t="shared" si="19"/>
        <v>-0.15684383782860514</v>
      </c>
      <c r="K442" s="58">
        <f t="shared" si="20"/>
        <v>-0.18685785109051364</v>
      </c>
    </row>
    <row r="443" spans="4:11" x14ac:dyDescent="0.2">
      <c r="D443" s="15" t="s">
        <v>979</v>
      </c>
      <c r="E443" s="11">
        <v>133161</v>
      </c>
      <c r="F443" s="11">
        <v>538870</v>
      </c>
      <c r="G443" s="11">
        <v>-13724</v>
      </c>
      <c r="H443" s="11">
        <v>-153826</v>
      </c>
      <c r="I443" s="57">
        <f t="shared" si="18"/>
        <v>3.046755431395078</v>
      </c>
      <c r="J443" s="57">
        <f t="shared" si="19"/>
        <v>-1.0254681091914561</v>
      </c>
      <c r="K443" s="58">
        <f t="shared" si="20"/>
        <v>10.20853978431944</v>
      </c>
    </row>
    <row r="444" spans="4:11" x14ac:dyDescent="0.2">
      <c r="D444" s="15" t="s">
        <v>980</v>
      </c>
      <c r="E444" s="11">
        <v>363179</v>
      </c>
      <c r="F444" s="11">
        <v>359125</v>
      </c>
      <c r="G444" s="11">
        <v>412238</v>
      </c>
      <c r="H444" s="11">
        <v>529838</v>
      </c>
      <c r="I444" s="57">
        <f t="shared" si="18"/>
        <v>-1.1162539684287914E-2</v>
      </c>
      <c r="J444" s="57">
        <f t="shared" si="19"/>
        <v>0.14789557953358859</v>
      </c>
      <c r="K444" s="58">
        <f t="shared" si="20"/>
        <v>0.28527210009751647</v>
      </c>
    </row>
    <row r="445" spans="4:11" x14ac:dyDescent="0.2">
      <c r="D445" s="15" t="s">
        <v>981</v>
      </c>
      <c r="E445" s="11">
        <v>279000</v>
      </c>
      <c r="F445" s="11">
        <v>365900</v>
      </c>
      <c r="G445" s="11">
        <v>232200</v>
      </c>
      <c r="H445" s="11">
        <v>363700</v>
      </c>
      <c r="I445" s="57">
        <f t="shared" si="18"/>
        <v>0.31146953405017919</v>
      </c>
      <c r="J445" s="57">
        <f t="shared" si="19"/>
        <v>-0.36540038261820168</v>
      </c>
      <c r="K445" s="58">
        <f t="shared" si="20"/>
        <v>0.56632213608957793</v>
      </c>
    </row>
    <row r="446" spans="4:11" x14ac:dyDescent="0.2">
      <c r="D446" s="15" t="s">
        <v>982</v>
      </c>
      <c r="E446" s="11">
        <v>290600</v>
      </c>
      <c r="F446" s="11">
        <v>535100</v>
      </c>
      <c r="G446" s="11">
        <v>620300</v>
      </c>
      <c r="H446" s="11">
        <v>579900</v>
      </c>
      <c r="I446" s="57">
        <f t="shared" si="18"/>
        <v>0.8413626978664831</v>
      </c>
      <c r="J446" s="57">
        <f t="shared" si="19"/>
        <v>0.15922257521958513</v>
      </c>
      <c r="K446" s="58">
        <f t="shared" si="20"/>
        <v>-6.5129775914879895E-2</v>
      </c>
    </row>
    <row r="447" spans="4:11" x14ac:dyDescent="0.2">
      <c r="D447" s="15" t="s">
        <v>983</v>
      </c>
      <c r="E447" s="11">
        <v>798100</v>
      </c>
      <c r="F447" s="11">
        <v>631200</v>
      </c>
      <c r="G447" s="11">
        <v>240600</v>
      </c>
      <c r="H447" s="11">
        <v>259400</v>
      </c>
      <c r="I447" s="57">
        <f t="shared" si="18"/>
        <v>-0.20912166395188572</v>
      </c>
      <c r="J447" s="57">
        <f t="shared" si="19"/>
        <v>-0.61882129277566544</v>
      </c>
      <c r="K447" s="58">
        <f t="shared" si="20"/>
        <v>7.813798836242726E-2</v>
      </c>
    </row>
    <row r="448" spans="4:11" x14ac:dyDescent="0.2">
      <c r="D448" s="15" t="s">
        <v>984</v>
      </c>
      <c r="E448" s="11">
        <v>225191</v>
      </c>
      <c r="F448" s="11">
        <v>283811</v>
      </c>
      <c r="G448" s="11">
        <v>266143</v>
      </c>
      <c r="H448" s="11">
        <v>343384</v>
      </c>
      <c r="I448" s="57">
        <f t="shared" si="18"/>
        <v>0.26031235706577971</v>
      </c>
      <c r="J448" s="57">
        <f t="shared" si="19"/>
        <v>-6.2252696336646568E-2</v>
      </c>
      <c r="K448" s="58">
        <f t="shared" si="20"/>
        <v>0.29022367674520838</v>
      </c>
    </row>
    <row r="449" spans="4:11" x14ac:dyDescent="0.2">
      <c r="D449" s="15" t="s">
        <v>985</v>
      </c>
      <c r="E449" s="11">
        <v>1003900</v>
      </c>
      <c r="F449" s="11">
        <v>506300</v>
      </c>
      <c r="G449" s="11">
        <v>1046100</v>
      </c>
      <c r="H449" s="11">
        <v>726300</v>
      </c>
      <c r="I449" s="57">
        <f t="shared" si="18"/>
        <v>-0.49566689909353523</v>
      </c>
      <c r="J449" s="57">
        <f t="shared" si="19"/>
        <v>1.0661663045625123</v>
      </c>
      <c r="K449" s="58">
        <f t="shared" si="20"/>
        <v>-0.30570691138514483</v>
      </c>
    </row>
    <row r="450" spans="4:11" x14ac:dyDescent="0.2">
      <c r="D450" s="15" t="s">
        <v>986</v>
      </c>
      <c r="E450" s="11">
        <v>1038000</v>
      </c>
      <c r="F450" s="11">
        <v>417100</v>
      </c>
      <c r="G450" s="11">
        <v>115400</v>
      </c>
      <c r="H450" s="11">
        <v>455300</v>
      </c>
      <c r="I450" s="57">
        <f t="shared" si="18"/>
        <v>-0.59816955684007711</v>
      </c>
      <c r="J450" s="57">
        <f t="shared" si="19"/>
        <v>-0.72332773915128268</v>
      </c>
      <c r="K450" s="58">
        <f t="shared" si="20"/>
        <v>2.9454072790294625</v>
      </c>
    </row>
    <row r="451" spans="4:11" x14ac:dyDescent="0.2">
      <c r="D451" s="15" t="s">
        <v>987</v>
      </c>
      <c r="E451" s="11">
        <v>381500</v>
      </c>
      <c r="F451" s="11">
        <v>1399000</v>
      </c>
      <c r="G451" s="11">
        <v>560000</v>
      </c>
      <c r="H451" s="11">
        <v>295600</v>
      </c>
      <c r="I451" s="57">
        <f t="shared" si="18"/>
        <v>2.6671035386631718</v>
      </c>
      <c r="J451" s="57">
        <f t="shared" si="19"/>
        <v>-0.5997140814867763</v>
      </c>
      <c r="K451" s="58">
        <f t="shared" si="20"/>
        <v>-0.47214285714285714</v>
      </c>
    </row>
    <row r="452" spans="4:11" x14ac:dyDescent="0.2">
      <c r="D452" s="15" t="s">
        <v>988</v>
      </c>
      <c r="E452" s="11">
        <v>1568100</v>
      </c>
      <c r="F452" s="11">
        <v>1920200</v>
      </c>
      <c r="G452" s="11">
        <v>2373700</v>
      </c>
      <c r="H452" s="11">
        <v>2555100</v>
      </c>
      <c r="I452" s="57">
        <f t="shared" si="18"/>
        <v>0.22453925132325744</v>
      </c>
      <c r="J452" s="57">
        <f t="shared" si="19"/>
        <v>0.23617331527965837</v>
      </c>
      <c r="K452" s="58">
        <f t="shared" si="20"/>
        <v>7.6420777688840202E-2</v>
      </c>
    </row>
    <row r="453" spans="4:11" x14ac:dyDescent="0.2">
      <c r="D453" s="15" t="s">
        <v>989</v>
      </c>
      <c r="E453" s="11">
        <v>362200</v>
      </c>
      <c r="F453" s="11">
        <v>570700</v>
      </c>
      <c r="G453" s="11">
        <v>729300</v>
      </c>
      <c r="H453" s="11">
        <v>517500</v>
      </c>
      <c r="I453" s="57">
        <f t="shared" ref="I453:I485" si="21">(F453-E453)/E453</f>
        <v>0.57564881281060187</v>
      </c>
      <c r="J453" s="57">
        <f t="shared" ref="J453:J485" si="22">(G453-F453)/F453</f>
        <v>0.27790432801822323</v>
      </c>
      <c r="K453" s="58">
        <f t="shared" ref="K453:K485" si="23">(H453-G453)/G453</f>
        <v>-0.29041546688605513</v>
      </c>
    </row>
    <row r="454" spans="4:11" x14ac:dyDescent="0.2">
      <c r="D454" s="15" t="s">
        <v>990</v>
      </c>
      <c r="E454" s="11">
        <v>597500</v>
      </c>
      <c r="F454" s="11">
        <v>483600</v>
      </c>
      <c r="G454" s="11">
        <v>610300</v>
      </c>
      <c r="H454" s="11">
        <v>485200</v>
      </c>
      <c r="I454" s="57">
        <f t="shared" si="21"/>
        <v>-0.19062761506276152</v>
      </c>
      <c r="J454" s="57">
        <f t="shared" si="22"/>
        <v>0.2619933829611249</v>
      </c>
      <c r="K454" s="58">
        <f t="shared" si="23"/>
        <v>-0.20498115680812715</v>
      </c>
    </row>
    <row r="455" spans="4:11" x14ac:dyDescent="0.2">
      <c r="D455" s="15" t="s">
        <v>991</v>
      </c>
      <c r="E455" s="11">
        <v>1191900</v>
      </c>
      <c r="F455" s="11">
        <v>1036600</v>
      </c>
      <c r="G455" s="11">
        <v>1058800</v>
      </c>
      <c r="H455" s="11">
        <v>1392400</v>
      </c>
      <c r="I455" s="57">
        <f t="shared" si="21"/>
        <v>-0.13029616578572029</v>
      </c>
      <c r="J455" s="57">
        <f t="shared" si="22"/>
        <v>2.1416168242330696E-2</v>
      </c>
      <c r="K455" s="58">
        <f t="shared" si="23"/>
        <v>0.31507366830374006</v>
      </c>
    </row>
    <row r="456" spans="4:11" x14ac:dyDescent="0.2">
      <c r="D456" s="15" t="s">
        <v>992</v>
      </c>
      <c r="E456" s="11">
        <v>248000</v>
      </c>
      <c r="F456" s="11">
        <v>293600</v>
      </c>
      <c r="G456" s="11">
        <v>574000</v>
      </c>
      <c r="H456" s="11">
        <v>501400</v>
      </c>
      <c r="I456" s="57">
        <f t="shared" si="21"/>
        <v>0.18387096774193548</v>
      </c>
      <c r="J456" s="57">
        <f t="shared" si="22"/>
        <v>0.95504087193460485</v>
      </c>
      <c r="K456" s="58">
        <f t="shared" si="23"/>
        <v>-0.12648083623693379</v>
      </c>
    </row>
    <row r="457" spans="4:11" x14ac:dyDescent="0.2">
      <c r="D457" s="15" t="s">
        <v>993</v>
      </c>
      <c r="E457" s="11">
        <v>648000</v>
      </c>
      <c r="F457" s="11">
        <v>818100</v>
      </c>
      <c r="G457" s="11">
        <v>581100</v>
      </c>
      <c r="H457" s="11">
        <v>390900</v>
      </c>
      <c r="I457" s="57">
        <f t="shared" si="21"/>
        <v>0.26250000000000001</v>
      </c>
      <c r="J457" s="57">
        <f t="shared" si="22"/>
        <v>-0.28969563623028971</v>
      </c>
      <c r="K457" s="58">
        <f t="shared" si="23"/>
        <v>-0.32731027361899845</v>
      </c>
    </row>
    <row r="458" spans="4:11" x14ac:dyDescent="0.2">
      <c r="D458" s="15" t="s">
        <v>994</v>
      </c>
      <c r="E458" s="11">
        <v>444630</v>
      </c>
      <c r="F458" s="11">
        <v>462942</v>
      </c>
      <c r="G458" s="11">
        <v>751420</v>
      </c>
      <c r="H458" s="11">
        <v>511048</v>
      </c>
      <c r="I458" s="57">
        <f t="shared" si="21"/>
        <v>4.1184805343768977E-2</v>
      </c>
      <c r="J458" s="57">
        <f t="shared" si="22"/>
        <v>0.6231406958107063</v>
      </c>
      <c r="K458" s="58">
        <f t="shared" si="23"/>
        <v>-0.31989034095445956</v>
      </c>
    </row>
    <row r="459" spans="4:11" x14ac:dyDescent="0.2">
      <c r="D459" s="15" t="s">
        <v>995</v>
      </c>
      <c r="E459" s="11">
        <v>641300</v>
      </c>
      <c r="F459" s="11">
        <v>656000</v>
      </c>
      <c r="G459" s="11">
        <v>286100</v>
      </c>
      <c r="H459" s="11">
        <v>473000</v>
      </c>
      <c r="I459" s="57">
        <f t="shared" si="21"/>
        <v>2.2922189302978326E-2</v>
      </c>
      <c r="J459" s="57">
        <f t="shared" si="22"/>
        <v>-0.56387195121951217</v>
      </c>
      <c r="K459" s="58">
        <f t="shared" si="23"/>
        <v>0.65326808808109049</v>
      </c>
    </row>
    <row r="460" spans="4:11" x14ac:dyDescent="0.2">
      <c r="D460" s="15" t="s">
        <v>996</v>
      </c>
      <c r="E460" s="11">
        <v>258898</v>
      </c>
      <c r="F460" s="11">
        <v>150777</v>
      </c>
      <c r="G460" s="11">
        <v>249464</v>
      </c>
      <c r="H460" s="11">
        <v>106838</v>
      </c>
      <c r="I460" s="57">
        <f t="shared" si="21"/>
        <v>-0.41762006658993117</v>
      </c>
      <c r="J460" s="57">
        <f t="shared" si="22"/>
        <v>0.65452290468705443</v>
      </c>
      <c r="K460" s="58">
        <f t="shared" si="23"/>
        <v>-0.57172978866690183</v>
      </c>
    </row>
    <row r="461" spans="4:11" x14ac:dyDescent="0.2">
      <c r="D461" s="15" t="s">
        <v>997</v>
      </c>
      <c r="E461" s="11">
        <v>622000</v>
      </c>
      <c r="F461" s="11">
        <v>238000</v>
      </c>
      <c r="G461" s="11">
        <v>393000</v>
      </c>
      <c r="H461" s="11">
        <v>356000</v>
      </c>
      <c r="I461" s="57">
        <f t="shared" si="21"/>
        <v>-0.61736334405144699</v>
      </c>
      <c r="J461" s="57">
        <f t="shared" si="22"/>
        <v>0.65126050420168069</v>
      </c>
      <c r="K461" s="58">
        <f t="shared" si="23"/>
        <v>-9.4147582697201013E-2</v>
      </c>
    </row>
    <row r="462" spans="4:11" x14ac:dyDescent="0.2">
      <c r="D462" s="15" t="s">
        <v>902</v>
      </c>
      <c r="E462" s="11">
        <v>990000</v>
      </c>
      <c r="F462" s="11">
        <v>1464000</v>
      </c>
      <c r="G462" s="11">
        <v>1102000</v>
      </c>
      <c r="H462" s="11">
        <v>2289000</v>
      </c>
      <c r="I462" s="57">
        <f t="shared" si="21"/>
        <v>0.47878787878787876</v>
      </c>
      <c r="J462" s="57">
        <f t="shared" si="22"/>
        <v>-0.24726775956284153</v>
      </c>
      <c r="K462" s="58">
        <f t="shared" si="23"/>
        <v>1.0771324863883847</v>
      </c>
    </row>
    <row r="463" spans="4:11" x14ac:dyDescent="0.2">
      <c r="D463" s="15" t="s">
        <v>998</v>
      </c>
      <c r="E463" s="11">
        <v>127632</v>
      </c>
      <c r="F463" s="11">
        <v>522208</v>
      </c>
      <c r="G463" s="11">
        <v>568710</v>
      </c>
      <c r="H463" s="11">
        <v>557109</v>
      </c>
      <c r="I463" s="57">
        <f t="shared" si="21"/>
        <v>3.0915131001629685</v>
      </c>
      <c r="J463" s="57">
        <f t="shared" si="22"/>
        <v>8.9048808137753538E-2</v>
      </c>
      <c r="K463" s="58">
        <f t="shared" si="23"/>
        <v>-2.0398797278050326E-2</v>
      </c>
    </row>
    <row r="464" spans="4:11" x14ac:dyDescent="0.2">
      <c r="D464" s="15" t="s">
        <v>999</v>
      </c>
      <c r="E464" s="11">
        <v>840144</v>
      </c>
      <c r="F464" s="11">
        <v>918076</v>
      </c>
      <c r="G464" s="11">
        <v>798767</v>
      </c>
      <c r="H464" s="11">
        <v>992405</v>
      </c>
      <c r="I464" s="57">
        <f t="shared" si="21"/>
        <v>9.276028871241121E-2</v>
      </c>
      <c r="J464" s="57">
        <f t="shared" si="22"/>
        <v>-0.12995547209599206</v>
      </c>
      <c r="K464" s="58">
        <f t="shared" si="23"/>
        <v>0.24242113156903078</v>
      </c>
    </row>
    <row r="465" spans="4:11" x14ac:dyDescent="0.2">
      <c r="D465" s="15" t="s">
        <v>1000</v>
      </c>
      <c r="E465" s="11">
        <v>441023</v>
      </c>
      <c r="F465" s="11">
        <v>177159</v>
      </c>
      <c r="G465" s="11">
        <v>127240</v>
      </c>
      <c r="H465" s="11">
        <v>65194</v>
      </c>
      <c r="I465" s="57">
        <f t="shared" si="21"/>
        <v>-0.59829986191196383</v>
      </c>
      <c r="J465" s="57">
        <f t="shared" si="22"/>
        <v>-0.28177512855683312</v>
      </c>
      <c r="K465" s="58">
        <f t="shared" si="23"/>
        <v>-0.48762967620245207</v>
      </c>
    </row>
    <row r="466" spans="4:11" x14ac:dyDescent="0.2">
      <c r="D466" s="15" t="s">
        <v>1001</v>
      </c>
      <c r="E466" s="11">
        <v>255900</v>
      </c>
      <c r="F466" s="11">
        <v>428600</v>
      </c>
      <c r="G466" s="11">
        <v>284300</v>
      </c>
      <c r="H466" s="11">
        <v>280700</v>
      </c>
      <c r="I466" s="57">
        <f t="shared" si="21"/>
        <v>0.67487299726455652</v>
      </c>
      <c r="J466" s="57">
        <f t="shared" si="22"/>
        <v>-0.33667755482967804</v>
      </c>
      <c r="K466" s="58">
        <f t="shared" si="23"/>
        <v>-1.2662680267323249E-2</v>
      </c>
    </row>
    <row r="467" spans="4:11" x14ac:dyDescent="0.2">
      <c r="D467" s="15" t="s">
        <v>1002</v>
      </c>
      <c r="E467" s="11">
        <v>156861</v>
      </c>
      <c r="F467" s="11">
        <v>193444</v>
      </c>
      <c r="G467" s="11">
        <v>210690</v>
      </c>
      <c r="H467" s="11">
        <v>259093</v>
      </c>
      <c r="I467" s="57">
        <f t="shared" si="21"/>
        <v>0.23321921956381764</v>
      </c>
      <c r="J467" s="57">
        <f t="shared" si="22"/>
        <v>8.9152416203138893E-2</v>
      </c>
      <c r="K467" s="58">
        <f t="shared" si="23"/>
        <v>0.22973563054724952</v>
      </c>
    </row>
    <row r="468" spans="4:11" x14ac:dyDescent="0.2">
      <c r="D468" s="15" t="s">
        <v>1003</v>
      </c>
      <c r="E468" s="11">
        <v>1207000</v>
      </c>
      <c r="F468" s="11">
        <v>1205000</v>
      </c>
      <c r="G468" s="11">
        <v>1489000</v>
      </c>
      <c r="H468" s="11">
        <v>1078000</v>
      </c>
      <c r="I468" s="57">
        <f t="shared" si="21"/>
        <v>-1.6570008285004142E-3</v>
      </c>
      <c r="J468" s="57">
        <f t="shared" si="22"/>
        <v>0.23568464730290456</v>
      </c>
      <c r="K468" s="58">
        <f t="shared" si="23"/>
        <v>-0.27602417730020146</v>
      </c>
    </row>
    <row r="469" spans="4:11" x14ac:dyDescent="0.2">
      <c r="D469" s="15" t="s">
        <v>521</v>
      </c>
      <c r="E469" s="11">
        <v>-1057649</v>
      </c>
      <c r="F469" s="11">
        <v>315746</v>
      </c>
      <c r="G469" s="11">
        <v>665267</v>
      </c>
      <c r="H469" s="11">
        <v>398658.51299999998</v>
      </c>
      <c r="I469" s="57">
        <f t="shared" si="21"/>
        <v>-1.2985357145896228</v>
      </c>
      <c r="J469" s="57">
        <f t="shared" si="22"/>
        <v>1.106968892717564</v>
      </c>
      <c r="K469" s="58">
        <f t="shared" si="23"/>
        <v>-0.400754113761843</v>
      </c>
    </row>
    <row r="470" spans="4:11" x14ac:dyDescent="0.2">
      <c r="D470" s="15" t="s">
        <v>1004</v>
      </c>
      <c r="E470" s="11">
        <v>599000</v>
      </c>
      <c r="F470" s="11">
        <v>668600</v>
      </c>
      <c r="G470" s="11">
        <v>813500</v>
      </c>
      <c r="H470" s="11">
        <v>586100</v>
      </c>
      <c r="I470" s="57">
        <f t="shared" si="21"/>
        <v>0.11619365609348915</v>
      </c>
      <c r="J470" s="57">
        <f t="shared" si="22"/>
        <v>0.21672150762787915</v>
      </c>
      <c r="K470" s="58">
        <f t="shared" si="23"/>
        <v>-0.27953288260602338</v>
      </c>
    </row>
    <row r="471" spans="4:11" x14ac:dyDescent="0.2">
      <c r="D471" s="15" t="s">
        <v>1005</v>
      </c>
      <c r="E471" s="11">
        <v>1191000</v>
      </c>
      <c r="F471" s="11">
        <v>1292000</v>
      </c>
      <c r="G471" s="11">
        <v>1494000</v>
      </c>
      <c r="H471" s="11">
        <v>2429000</v>
      </c>
      <c r="I471" s="57">
        <f t="shared" si="21"/>
        <v>8.4802686817800163E-2</v>
      </c>
      <c r="J471" s="57">
        <f t="shared" si="22"/>
        <v>0.15634674922600619</v>
      </c>
      <c r="K471" s="58">
        <f t="shared" si="23"/>
        <v>0.62583668005354753</v>
      </c>
    </row>
    <row r="472" spans="4:11" x14ac:dyDescent="0.2">
      <c r="D472" s="15" t="s">
        <v>1006</v>
      </c>
      <c r="E472" s="11">
        <v>193363</v>
      </c>
      <c r="F472" s="11">
        <v>170654</v>
      </c>
      <c r="G472" s="11">
        <v>278860</v>
      </c>
      <c r="H472" s="11">
        <v>232958</v>
      </c>
      <c r="I472" s="57">
        <f t="shared" si="21"/>
        <v>-0.11744232350553105</v>
      </c>
      <c r="J472" s="57">
        <f t="shared" si="22"/>
        <v>0.63406659087979189</v>
      </c>
      <c r="K472" s="58">
        <f t="shared" si="23"/>
        <v>-0.16460589543139928</v>
      </c>
    </row>
    <row r="473" spans="4:11" x14ac:dyDescent="0.2">
      <c r="D473" s="15" t="s">
        <v>1007</v>
      </c>
      <c r="E473" s="11">
        <v>297129</v>
      </c>
      <c r="F473" s="11">
        <v>497362</v>
      </c>
      <c r="G473" s="11">
        <v>-35936</v>
      </c>
      <c r="H473" s="11">
        <v>77947</v>
      </c>
      <c r="I473" s="57">
        <f t="shared" si="21"/>
        <v>0.67389248440912874</v>
      </c>
      <c r="J473" s="57">
        <f t="shared" si="22"/>
        <v>-1.0722532079250124</v>
      </c>
      <c r="K473" s="58">
        <f t="shared" si="23"/>
        <v>-3.1690505342831701</v>
      </c>
    </row>
    <row r="474" spans="4:11" x14ac:dyDescent="0.2">
      <c r="D474" s="15" t="s">
        <v>1008</v>
      </c>
      <c r="E474" s="11">
        <v>1300000</v>
      </c>
      <c r="F474" s="11">
        <v>1000000</v>
      </c>
      <c r="G474" s="11">
        <v>699000</v>
      </c>
      <c r="H474" s="11">
        <v>748000</v>
      </c>
      <c r="I474" s="57">
        <f t="shared" si="21"/>
        <v>-0.23076923076923078</v>
      </c>
      <c r="J474" s="57">
        <f t="shared" si="22"/>
        <v>-0.30099999999999999</v>
      </c>
      <c r="K474" s="58">
        <f t="shared" si="23"/>
        <v>7.0100143061516448E-2</v>
      </c>
    </row>
    <row r="475" spans="4:11" x14ac:dyDescent="0.2">
      <c r="D475" s="15" t="s">
        <v>1009</v>
      </c>
      <c r="E475" s="11">
        <v>-323908</v>
      </c>
      <c r="F475" s="11">
        <v>-95937</v>
      </c>
      <c r="G475" s="11">
        <v>-181914</v>
      </c>
      <c r="H475" s="11">
        <v>-119048</v>
      </c>
      <c r="I475" s="57">
        <f t="shared" si="21"/>
        <v>-0.7038140459636687</v>
      </c>
      <c r="J475" s="57">
        <f t="shared" si="22"/>
        <v>0.89618186935176214</v>
      </c>
      <c r="K475" s="58">
        <f t="shared" si="23"/>
        <v>-0.34558087887683192</v>
      </c>
    </row>
    <row r="476" spans="4:11" x14ac:dyDescent="0.2">
      <c r="D476" s="15" t="s">
        <v>1010</v>
      </c>
      <c r="E476" s="11">
        <v>1175000</v>
      </c>
      <c r="F476" s="11">
        <v>1030100</v>
      </c>
      <c r="G476" s="11">
        <v>1151900</v>
      </c>
      <c r="H476" s="11">
        <v>1121900</v>
      </c>
      <c r="I476" s="57">
        <f t="shared" si="21"/>
        <v>-0.12331914893617021</v>
      </c>
      <c r="J476" s="57">
        <f t="shared" si="22"/>
        <v>0.1182409474808271</v>
      </c>
      <c r="K476" s="58">
        <f t="shared" si="23"/>
        <v>-2.6043927424255577E-2</v>
      </c>
    </row>
    <row r="477" spans="4:11" x14ac:dyDescent="0.2">
      <c r="D477" s="15" t="s">
        <v>1011</v>
      </c>
      <c r="E477" s="11">
        <v>309000</v>
      </c>
      <c r="F477" s="11">
        <v>249000</v>
      </c>
      <c r="G477" s="11">
        <v>174000</v>
      </c>
      <c r="H477" s="11">
        <v>344000</v>
      </c>
      <c r="I477" s="57">
        <f t="shared" si="21"/>
        <v>-0.1941747572815534</v>
      </c>
      <c r="J477" s="57">
        <f t="shared" si="22"/>
        <v>-0.30120481927710846</v>
      </c>
      <c r="K477" s="58">
        <f t="shared" si="23"/>
        <v>0.97701149425287359</v>
      </c>
    </row>
    <row r="478" spans="4:11" x14ac:dyDescent="0.2">
      <c r="D478" s="15" t="s">
        <v>1012</v>
      </c>
      <c r="E478" s="11">
        <v>868000</v>
      </c>
      <c r="F478" s="11">
        <v>1195000</v>
      </c>
      <c r="G478" s="11">
        <v>649000</v>
      </c>
      <c r="H478" s="11">
        <v>676000</v>
      </c>
      <c r="I478" s="57">
        <f t="shared" si="21"/>
        <v>0.37672811059907835</v>
      </c>
      <c r="J478" s="57">
        <f t="shared" si="22"/>
        <v>-0.45690376569037655</v>
      </c>
      <c r="K478" s="58">
        <f t="shared" si="23"/>
        <v>4.1602465331278891E-2</v>
      </c>
    </row>
    <row r="479" spans="4:11" x14ac:dyDescent="0.2">
      <c r="D479" s="15" t="s">
        <v>1013</v>
      </c>
      <c r="E479" s="11">
        <v>-284387</v>
      </c>
      <c r="F479" s="11">
        <v>-20123</v>
      </c>
      <c r="G479" s="11">
        <v>-43879</v>
      </c>
      <c r="H479" s="11">
        <v>457845</v>
      </c>
      <c r="I479" s="57">
        <f t="shared" si="21"/>
        <v>-0.92924078808103039</v>
      </c>
      <c r="J479" s="57">
        <f t="shared" si="22"/>
        <v>1.1805396809620832</v>
      </c>
      <c r="K479" s="58">
        <f t="shared" si="23"/>
        <v>-11.434262403427608</v>
      </c>
    </row>
    <row r="480" spans="4:11" x14ac:dyDescent="0.2">
      <c r="D480" s="15" t="s">
        <v>1014</v>
      </c>
      <c r="E480" s="11">
        <v>-284387</v>
      </c>
      <c r="F480" s="11">
        <v>-20123</v>
      </c>
      <c r="G480" s="11">
        <v>-43879</v>
      </c>
      <c r="H480" s="11">
        <v>457845</v>
      </c>
      <c r="I480" s="57">
        <f t="shared" si="21"/>
        <v>-0.92924078808103039</v>
      </c>
      <c r="J480" s="57">
        <f t="shared" si="22"/>
        <v>1.1805396809620832</v>
      </c>
      <c r="K480" s="58">
        <f t="shared" si="23"/>
        <v>-11.434262403427608</v>
      </c>
    </row>
    <row r="481" spans="4:11" x14ac:dyDescent="0.2">
      <c r="D481" s="15" t="s">
        <v>1015</v>
      </c>
      <c r="E481" s="11">
        <v>1388000</v>
      </c>
      <c r="F481" s="11">
        <v>812000</v>
      </c>
      <c r="G481" s="11">
        <v>669000</v>
      </c>
      <c r="H481" s="11">
        <v>642000</v>
      </c>
      <c r="I481" s="57">
        <f t="shared" si="21"/>
        <v>-0.41498559077809799</v>
      </c>
      <c r="J481" s="57">
        <f t="shared" si="22"/>
        <v>-0.17610837438423646</v>
      </c>
      <c r="K481" s="58">
        <f t="shared" si="23"/>
        <v>-4.0358744394618833E-2</v>
      </c>
    </row>
    <row r="482" spans="4:11" x14ac:dyDescent="0.2">
      <c r="D482" s="15" t="s">
        <v>1016</v>
      </c>
      <c r="E482" s="11">
        <v>554956</v>
      </c>
      <c r="F482" s="11">
        <v>429534</v>
      </c>
      <c r="G482" s="11">
        <v>386389</v>
      </c>
      <c r="H482" s="11">
        <v>344311</v>
      </c>
      <c r="I482" s="57">
        <f t="shared" si="21"/>
        <v>-0.22600350298041647</v>
      </c>
      <c r="J482" s="57">
        <f t="shared" si="22"/>
        <v>-0.10044606480511438</v>
      </c>
      <c r="K482" s="58">
        <f t="shared" si="23"/>
        <v>-0.10890061570075753</v>
      </c>
    </row>
    <row r="483" spans="4:11" x14ac:dyDescent="0.2">
      <c r="D483" s="15" t="s">
        <v>1017</v>
      </c>
      <c r="E483" s="11">
        <v>-84278</v>
      </c>
      <c r="F483" s="11">
        <v>-123416</v>
      </c>
      <c r="G483" s="11">
        <v>-90090</v>
      </c>
      <c r="H483" s="11">
        <v>703975</v>
      </c>
      <c r="I483" s="57">
        <f t="shared" si="21"/>
        <v>0.46439165618548139</v>
      </c>
      <c r="J483" s="57">
        <f t="shared" si="22"/>
        <v>-0.27002981785181823</v>
      </c>
      <c r="K483" s="58">
        <f t="shared" si="23"/>
        <v>-8.8141303141303133</v>
      </c>
    </row>
    <row r="484" spans="4:11" x14ac:dyDescent="0.2">
      <c r="D484" s="15" t="s">
        <v>1018</v>
      </c>
      <c r="E484" s="11">
        <v>351300</v>
      </c>
      <c r="F484" s="11">
        <v>325200</v>
      </c>
      <c r="G484" s="11">
        <v>-32700</v>
      </c>
      <c r="H484" s="11">
        <v>213000</v>
      </c>
      <c r="I484" s="57">
        <f t="shared" si="21"/>
        <v>-7.4295473953885569E-2</v>
      </c>
      <c r="J484" s="57">
        <f t="shared" si="22"/>
        <v>-1.1005535055350553</v>
      </c>
      <c r="K484" s="58">
        <f t="shared" si="23"/>
        <v>-7.5137614678899078</v>
      </c>
    </row>
    <row r="485" spans="4:11" ht="16" customHeight="1" thickBot="1" x14ac:dyDescent="0.25">
      <c r="D485" s="16" t="s">
        <v>1019</v>
      </c>
      <c r="E485" s="13">
        <v>622000</v>
      </c>
      <c r="F485" s="13">
        <v>238000</v>
      </c>
      <c r="G485" s="13">
        <v>393000</v>
      </c>
      <c r="H485" s="13">
        <v>356000</v>
      </c>
      <c r="I485" s="59">
        <f t="shared" si="21"/>
        <v>-0.61736334405144699</v>
      </c>
      <c r="J485" s="59">
        <f t="shared" si="22"/>
        <v>0.65126050420168069</v>
      </c>
      <c r="K485" s="60">
        <f t="shared" si="23"/>
        <v>-9.4147582697201013E-2</v>
      </c>
    </row>
  </sheetData>
  <mergeCells count="2">
    <mergeCell ref="E3:H3"/>
    <mergeCell ref="I3:K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D2:K493"/>
  <sheetViews>
    <sheetView zoomScale="160" zoomScaleNormal="160" workbookViewId="0">
      <selection activeCell="M32" sqref="M32"/>
    </sheetView>
  </sheetViews>
  <sheetFormatPr baseColWidth="10" defaultColWidth="9.1640625" defaultRowHeight="15" x14ac:dyDescent="0.2"/>
  <cols>
    <col min="1" max="3" width="9.1640625" style="50" customWidth="1"/>
    <col min="4" max="4" width="13.1640625" style="34" customWidth="1"/>
    <col min="5" max="5" width="11.33203125" style="3" customWidth="1"/>
    <col min="6" max="8" width="10.83203125" style="3" bestFit="1" customWidth="1"/>
    <col min="9" max="11" width="17.6640625" style="34" customWidth="1"/>
    <col min="12" max="14" width="9.1640625" style="50" customWidth="1"/>
    <col min="15" max="16384" width="9.1640625" style="50"/>
  </cols>
  <sheetData>
    <row r="2" spans="4:11" ht="16" customHeight="1" thickBot="1" x14ac:dyDescent="0.25"/>
    <row r="3" spans="4:11" ht="24.75" customHeight="1" x14ac:dyDescent="0.2">
      <c r="D3" s="20"/>
      <c r="E3" s="79" t="s">
        <v>1020</v>
      </c>
      <c r="F3" s="80"/>
      <c r="G3" s="80"/>
      <c r="H3" s="81"/>
      <c r="I3" s="82" t="s">
        <v>543</v>
      </c>
      <c r="J3" s="80"/>
      <c r="K3" s="81"/>
    </row>
    <row r="4" spans="4:11" ht="24.75" customHeight="1" x14ac:dyDescent="0.2">
      <c r="D4" s="31" t="s">
        <v>541</v>
      </c>
      <c r="E4" s="35" t="s">
        <v>544</v>
      </c>
      <c r="F4" s="36" t="s">
        <v>545</v>
      </c>
      <c r="G4" s="36" t="s">
        <v>546</v>
      </c>
      <c r="H4" s="37" t="s">
        <v>547</v>
      </c>
      <c r="I4" s="28" t="s">
        <v>548</v>
      </c>
      <c r="J4" s="28" t="s">
        <v>549</v>
      </c>
      <c r="K4" s="33" t="s">
        <v>550</v>
      </c>
    </row>
    <row r="5" spans="4:11" x14ac:dyDescent="0.2">
      <c r="D5" s="8" t="s">
        <v>551</v>
      </c>
      <c r="E5" s="61">
        <v>5.0599999999999996</v>
      </c>
      <c r="F5" s="61">
        <v>5.22</v>
      </c>
      <c r="G5" s="61">
        <v>5.94</v>
      </c>
      <c r="H5" s="61">
        <v>6.63</v>
      </c>
      <c r="I5" s="57">
        <f t="shared" ref="I5:I16" si="0">(F5-E5)/E5</f>
        <v>3.1620553359683827E-2</v>
      </c>
      <c r="J5" s="57">
        <f t="shared" ref="J5:J16" si="1">(G5-F5)/F5</f>
        <v>0.13793103448275876</v>
      </c>
      <c r="K5" s="57">
        <f t="shared" ref="K5:K16" si="2">(H5-G5)/G5</f>
        <v>0.11616161616161608</v>
      </c>
    </row>
    <row r="6" spans="4:11" x14ac:dyDescent="0.2">
      <c r="D6" s="8" t="s">
        <v>552</v>
      </c>
      <c r="E6" s="61">
        <v>11.9</v>
      </c>
      <c r="F6" s="61">
        <v>11.7</v>
      </c>
      <c r="G6" s="61">
        <v>12.7</v>
      </c>
      <c r="H6" s="61">
        <v>14.4</v>
      </c>
      <c r="I6" s="57">
        <f t="shared" si="0"/>
        <v>-1.680672268907572E-2</v>
      </c>
      <c r="J6" s="57">
        <f t="shared" si="1"/>
        <v>8.5470085470085472E-2</v>
      </c>
      <c r="K6" s="57">
        <f t="shared" si="2"/>
        <v>0.13385826771653553</v>
      </c>
    </row>
    <row r="7" spans="4:11" x14ac:dyDescent="0.2">
      <c r="D7" s="8" t="s">
        <v>553</v>
      </c>
      <c r="E7" s="61">
        <v>20.100000000000001</v>
      </c>
      <c r="F7" s="61">
        <v>23.7</v>
      </c>
      <c r="G7" s="61">
        <v>33.6</v>
      </c>
      <c r="H7" s="61">
        <v>48.3</v>
      </c>
      <c r="I7" s="57">
        <f t="shared" si="0"/>
        <v>0.17910447761194018</v>
      </c>
      <c r="J7" s="57">
        <f t="shared" si="1"/>
        <v>0.41772151898734189</v>
      </c>
      <c r="K7" s="57">
        <f t="shared" si="2"/>
        <v>0.43749999999999983</v>
      </c>
    </row>
    <row r="8" spans="4:11" x14ac:dyDescent="0.2">
      <c r="D8" s="8" t="s">
        <v>554</v>
      </c>
      <c r="E8" s="61">
        <v>7.57</v>
      </c>
      <c r="F8" s="61">
        <v>6.13</v>
      </c>
      <c r="G8" s="61">
        <v>9.44</v>
      </c>
      <c r="H8" s="61">
        <v>11.3</v>
      </c>
      <c r="I8" s="57">
        <f t="shared" si="0"/>
        <v>-0.19022457067371207</v>
      </c>
      <c r="J8" s="57">
        <f t="shared" si="1"/>
        <v>0.53996737357259372</v>
      </c>
      <c r="K8" s="57">
        <f t="shared" si="2"/>
        <v>0.19703389830508489</v>
      </c>
    </row>
    <row r="9" spans="4:11" x14ac:dyDescent="0.2">
      <c r="D9" s="8" t="s">
        <v>555</v>
      </c>
      <c r="E9" s="61">
        <v>43.7</v>
      </c>
      <c r="F9" s="61">
        <v>48.8</v>
      </c>
      <c r="G9" s="61">
        <v>55.6</v>
      </c>
      <c r="H9" s="61">
        <v>64.099999999999994</v>
      </c>
      <c r="I9" s="57">
        <f t="shared" si="0"/>
        <v>0.11670480549199071</v>
      </c>
      <c r="J9" s="57">
        <f t="shared" si="1"/>
        <v>0.13934426229508207</v>
      </c>
      <c r="K9" s="57">
        <f t="shared" si="2"/>
        <v>0.15287769784172647</v>
      </c>
    </row>
    <row r="10" spans="4:11" x14ac:dyDescent="0.2">
      <c r="D10" s="8" t="s">
        <v>556</v>
      </c>
      <c r="E10" s="61">
        <v>9</v>
      </c>
      <c r="F10" s="61">
        <v>10.199999999999999</v>
      </c>
      <c r="G10" s="61">
        <v>10.4</v>
      </c>
      <c r="H10" s="61">
        <v>11</v>
      </c>
      <c r="I10" s="57">
        <f t="shared" si="0"/>
        <v>0.13333333333333325</v>
      </c>
      <c r="J10" s="57">
        <f t="shared" si="1"/>
        <v>1.9607843137255009E-2</v>
      </c>
      <c r="K10" s="57">
        <f t="shared" si="2"/>
        <v>5.7692307692307654E-2</v>
      </c>
    </row>
    <row r="11" spans="4:11" x14ac:dyDescent="0.2">
      <c r="D11" s="8" t="s">
        <v>557</v>
      </c>
      <c r="E11" s="61">
        <v>5.61</v>
      </c>
      <c r="F11" s="61">
        <v>6.97</v>
      </c>
      <c r="G11" s="61">
        <v>7.78</v>
      </c>
      <c r="H11" s="61">
        <v>8.73</v>
      </c>
      <c r="I11" s="57">
        <f t="shared" si="0"/>
        <v>0.24242424242424232</v>
      </c>
      <c r="J11" s="57">
        <f t="shared" si="1"/>
        <v>0.11621233859397426</v>
      </c>
      <c r="K11" s="57">
        <f t="shared" si="2"/>
        <v>0.12210796915167096</v>
      </c>
    </row>
    <row r="12" spans="4:11" x14ac:dyDescent="0.2">
      <c r="D12" s="8" t="s">
        <v>558</v>
      </c>
      <c r="E12" s="61">
        <v>4.42</v>
      </c>
      <c r="F12" s="61">
        <v>5.39</v>
      </c>
      <c r="G12" s="61">
        <v>6.24</v>
      </c>
      <c r="H12" s="61">
        <v>7.27</v>
      </c>
      <c r="I12" s="57">
        <f t="shared" si="0"/>
        <v>0.21945701357466058</v>
      </c>
      <c r="J12" s="57">
        <f t="shared" si="1"/>
        <v>0.15769944341372924</v>
      </c>
      <c r="K12" s="57">
        <f t="shared" si="2"/>
        <v>0.16506410256410245</v>
      </c>
    </row>
    <row r="13" spans="4:11" x14ac:dyDescent="0.2">
      <c r="D13" s="8" t="s">
        <v>559</v>
      </c>
      <c r="E13" s="61">
        <v>1.43</v>
      </c>
      <c r="F13" s="61">
        <v>4.83</v>
      </c>
      <c r="G13" s="61">
        <v>5.15</v>
      </c>
      <c r="H13" s="61">
        <v>5.49</v>
      </c>
      <c r="I13" s="57">
        <f t="shared" si="0"/>
        <v>2.3776223776223779</v>
      </c>
      <c r="J13" s="57">
        <f t="shared" si="1"/>
        <v>6.6252587991718487E-2</v>
      </c>
      <c r="K13" s="57">
        <f t="shared" si="2"/>
        <v>6.601941747572812E-2</v>
      </c>
    </row>
    <row r="14" spans="4:11" x14ac:dyDescent="0.2">
      <c r="D14" s="8" t="s">
        <v>560</v>
      </c>
      <c r="E14" s="61">
        <v>4.88</v>
      </c>
      <c r="F14" s="61">
        <v>3.17</v>
      </c>
      <c r="G14" s="61">
        <v>4.21</v>
      </c>
      <c r="H14" s="61">
        <v>4.78</v>
      </c>
      <c r="I14" s="57">
        <f t="shared" si="0"/>
        <v>-0.35040983606557374</v>
      </c>
      <c r="J14" s="57">
        <f t="shared" si="1"/>
        <v>0.32807570977917982</v>
      </c>
      <c r="K14" s="57">
        <f t="shared" si="2"/>
        <v>0.13539192399049887</v>
      </c>
    </row>
    <row r="15" spans="4:11" x14ac:dyDescent="0.2">
      <c r="D15" s="8" t="s">
        <v>561</v>
      </c>
      <c r="E15" s="61">
        <v>2.85</v>
      </c>
      <c r="F15" s="61">
        <v>2.48</v>
      </c>
      <c r="G15" s="61">
        <v>2.89</v>
      </c>
      <c r="H15" s="61">
        <v>3.07</v>
      </c>
      <c r="I15" s="57">
        <f t="shared" si="0"/>
        <v>-0.12982456140350881</v>
      </c>
      <c r="J15" s="57">
        <f t="shared" si="1"/>
        <v>0.16532258064516134</v>
      </c>
      <c r="K15" s="57">
        <f t="shared" si="2"/>
        <v>6.2283737024221353E-2</v>
      </c>
    </row>
    <row r="16" spans="4:11" x14ac:dyDescent="0.2">
      <c r="D16" s="8" t="s">
        <v>562</v>
      </c>
      <c r="E16" s="61">
        <v>5.6</v>
      </c>
      <c r="F16" s="61">
        <v>7.72</v>
      </c>
      <c r="G16" s="61">
        <v>8.99</v>
      </c>
      <c r="H16" s="61">
        <v>10.7</v>
      </c>
      <c r="I16" s="57">
        <f t="shared" si="0"/>
        <v>0.37857142857142861</v>
      </c>
      <c r="J16" s="57">
        <f t="shared" si="1"/>
        <v>0.16450777202072545</v>
      </c>
      <c r="K16" s="57">
        <f t="shared" si="2"/>
        <v>0.19021134593993316</v>
      </c>
    </row>
    <row r="17" spans="4:11" x14ac:dyDescent="0.2">
      <c r="D17" s="8" t="s">
        <v>563</v>
      </c>
      <c r="E17" s="61" t="s">
        <v>1021</v>
      </c>
      <c r="F17" s="61" t="s">
        <v>1021</v>
      </c>
      <c r="G17" s="61" t="s">
        <v>1021</v>
      </c>
      <c r="H17" s="61" t="s">
        <v>1022</v>
      </c>
      <c r="I17" s="57"/>
      <c r="J17" s="57"/>
      <c r="K17" s="57"/>
    </row>
    <row r="18" spans="4:11" x14ac:dyDescent="0.2">
      <c r="D18" s="8" t="s">
        <v>564</v>
      </c>
      <c r="E18" s="61">
        <v>2.61</v>
      </c>
      <c r="F18" s="61">
        <v>2.82</v>
      </c>
      <c r="G18" s="61">
        <v>3.04</v>
      </c>
      <c r="H18" s="61">
        <v>3.25</v>
      </c>
      <c r="I18" s="57">
        <f t="shared" ref="I18:K25" si="3">(F18-E18)/E18</f>
        <v>8.0459770114942514E-2</v>
      </c>
      <c r="J18" s="57">
        <f t="shared" si="3"/>
        <v>7.8014184397163192E-2</v>
      </c>
      <c r="K18" s="57">
        <f t="shared" si="3"/>
        <v>6.9078947368421045E-2</v>
      </c>
    </row>
    <row r="19" spans="4:11" x14ac:dyDescent="0.2">
      <c r="D19" s="8" t="s">
        <v>565</v>
      </c>
      <c r="E19" s="61">
        <v>3.76</v>
      </c>
      <c r="F19" s="61">
        <v>4.57</v>
      </c>
      <c r="G19" s="61">
        <v>4.8600000000000003</v>
      </c>
      <c r="H19" s="61">
        <v>5.0199999999999996</v>
      </c>
      <c r="I19" s="57">
        <f t="shared" si="3"/>
        <v>0.21542553191489378</v>
      </c>
      <c r="J19" s="57">
        <f t="shared" si="3"/>
        <v>6.3457330415754923E-2</v>
      </c>
      <c r="K19" s="57">
        <f t="shared" si="3"/>
        <v>3.2921810699588321E-2</v>
      </c>
    </row>
    <row r="20" spans="4:11" x14ac:dyDescent="0.2">
      <c r="D20" s="8" t="s">
        <v>566</v>
      </c>
      <c r="E20" s="61">
        <v>8.36</v>
      </c>
      <c r="F20" s="61">
        <v>6.66</v>
      </c>
      <c r="G20" s="61">
        <v>5.12</v>
      </c>
      <c r="H20" s="61">
        <v>5.4</v>
      </c>
      <c r="I20" s="57">
        <f t="shared" si="3"/>
        <v>-0.20334928229665064</v>
      </c>
      <c r="J20" s="57">
        <f t="shared" si="3"/>
        <v>-0.23123123123123124</v>
      </c>
      <c r="K20" s="57">
        <f t="shared" si="3"/>
        <v>5.4687500000000049E-2</v>
      </c>
    </row>
    <row r="21" spans="4:11" x14ac:dyDescent="0.2">
      <c r="D21" s="8" t="s">
        <v>567</v>
      </c>
      <c r="E21" s="61">
        <v>7.74</v>
      </c>
      <c r="F21" s="61">
        <v>7.1</v>
      </c>
      <c r="G21" s="61">
        <v>7.77</v>
      </c>
      <c r="H21" s="61">
        <v>8.1300000000000008</v>
      </c>
      <c r="I21" s="57">
        <f t="shared" si="3"/>
        <v>-8.2687338501292063E-2</v>
      </c>
      <c r="J21" s="57">
        <f t="shared" si="3"/>
        <v>9.4366197183098591E-2</v>
      </c>
      <c r="K21" s="57">
        <f t="shared" si="3"/>
        <v>4.6332046332046489E-2</v>
      </c>
    </row>
    <row r="22" spans="4:11" x14ac:dyDescent="0.2">
      <c r="D22" s="8" t="s">
        <v>568</v>
      </c>
      <c r="E22" s="61">
        <v>12.2</v>
      </c>
      <c r="F22" s="61">
        <v>14.1</v>
      </c>
      <c r="G22" s="61">
        <v>15.9</v>
      </c>
      <c r="H22" s="61">
        <v>18.2</v>
      </c>
      <c r="I22" s="57">
        <f t="shared" si="3"/>
        <v>0.15573770491803282</v>
      </c>
      <c r="J22" s="57">
        <f t="shared" si="3"/>
        <v>0.12765957446808515</v>
      </c>
      <c r="K22" s="57">
        <f t="shared" si="3"/>
        <v>0.14465408805031441</v>
      </c>
    </row>
    <row r="23" spans="4:11" x14ac:dyDescent="0.2">
      <c r="D23" s="8" t="s">
        <v>569</v>
      </c>
      <c r="E23" s="61">
        <v>2.3199999999999998</v>
      </c>
      <c r="F23" s="61">
        <v>4.1500000000000004</v>
      </c>
      <c r="G23" s="61">
        <v>5</v>
      </c>
      <c r="H23" s="61">
        <v>5.95</v>
      </c>
      <c r="I23" s="57">
        <f t="shared" si="3"/>
        <v>0.78879310344827613</v>
      </c>
      <c r="J23" s="57">
        <f t="shared" si="3"/>
        <v>0.20481927710843364</v>
      </c>
      <c r="K23" s="57">
        <f t="shared" si="3"/>
        <v>0.19000000000000003</v>
      </c>
    </row>
    <row r="24" spans="4:11" x14ac:dyDescent="0.2">
      <c r="D24" s="8" t="s">
        <v>570</v>
      </c>
      <c r="E24" s="61">
        <v>1.5</v>
      </c>
      <c r="F24" s="61">
        <v>2.02</v>
      </c>
      <c r="G24" s="61">
        <v>2.29</v>
      </c>
      <c r="H24" s="61">
        <v>2.46</v>
      </c>
      <c r="I24" s="57">
        <f t="shared" si="3"/>
        <v>0.34666666666666668</v>
      </c>
      <c r="J24" s="57">
        <f t="shared" si="3"/>
        <v>0.13366336633663367</v>
      </c>
      <c r="K24" s="57">
        <f t="shared" si="3"/>
        <v>7.4235807860261974E-2</v>
      </c>
    </row>
    <row r="25" spans="4:11" x14ac:dyDescent="0.2">
      <c r="D25" s="8" t="s">
        <v>571</v>
      </c>
      <c r="E25" s="61">
        <v>4.4800000000000004</v>
      </c>
      <c r="F25" s="61">
        <v>4.0999999999999996</v>
      </c>
      <c r="G25" s="61">
        <v>4.24</v>
      </c>
      <c r="H25" s="61">
        <v>4.49</v>
      </c>
      <c r="I25" s="57">
        <f t="shared" si="3"/>
        <v>-8.4821428571428742E-2</v>
      </c>
      <c r="J25" s="57">
        <f t="shared" si="3"/>
        <v>3.4146341463414775E-2</v>
      </c>
      <c r="K25" s="57">
        <f t="shared" si="3"/>
        <v>5.896226415094339E-2</v>
      </c>
    </row>
    <row r="26" spans="4:11" x14ac:dyDescent="0.2">
      <c r="D26" s="8" t="s">
        <v>572</v>
      </c>
      <c r="E26" s="61" t="s">
        <v>1021</v>
      </c>
      <c r="F26" s="61" t="s">
        <v>1021</v>
      </c>
      <c r="G26" s="61" t="s">
        <v>1021</v>
      </c>
      <c r="H26" s="61" t="s">
        <v>1022</v>
      </c>
      <c r="I26" s="57"/>
      <c r="J26" s="57"/>
      <c r="K26" s="57"/>
    </row>
    <row r="27" spans="4:11" x14ac:dyDescent="0.2">
      <c r="D27" s="8" t="s">
        <v>573</v>
      </c>
      <c r="E27" s="61">
        <v>2.5299999999999998</v>
      </c>
      <c r="F27" s="61">
        <v>2.85</v>
      </c>
      <c r="G27" s="61">
        <v>3.14</v>
      </c>
      <c r="H27" s="61">
        <v>3.35</v>
      </c>
      <c r="I27" s="57">
        <f t="shared" ref="I27:K32" si="4">(F27-E27)/E27</f>
        <v>0.12648221343873531</v>
      </c>
      <c r="J27" s="57">
        <f t="shared" si="4"/>
        <v>0.10175438596491229</v>
      </c>
      <c r="K27" s="57">
        <f t="shared" si="4"/>
        <v>6.687898089171973E-2</v>
      </c>
    </row>
    <row r="28" spans="4:11" x14ac:dyDescent="0.2">
      <c r="D28" s="8" t="s">
        <v>574</v>
      </c>
      <c r="E28" s="61">
        <v>1.87</v>
      </c>
      <c r="F28" s="61">
        <v>2.31</v>
      </c>
      <c r="G28" s="61">
        <v>2.36</v>
      </c>
      <c r="H28" s="61">
        <v>2.9</v>
      </c>
      <c r="I28" s="57">
        <f t="shared" si="4"/>
        <v>0.23529411764705879</v>
      </c>
      <c r="J28" s="57">
        <f t="shared" si="4"/>
        <v>2.1645021645021568E-2</v>
      </c>
      <c r="K28" s="57">
        <f t="shared" si="4"/>
        <v>0.22881355932203393</v>
      </c>
    </row>
    <row r="29" spans="4:11" x14ac:dyDescent="0.2">
      <c r="D29" s="8" t="s">
        <v>575</v>
      </c>
      <c r="E29" s="61">
        <v>17.899999999999999</v>
      </c>
      <c r="F29" s="61">
        <v>5.83</v>
      </c>
      <c r="G29" s="61">
        <v>24.2</v>
      </c>
      <c r="H29" s="61">
        <v>25.9</v>
      </c>
      <c r="I29" s="57">
        <f t="shared" si="4"/>
        <v>-0.67430167597765356</v>
      </c>
      <c r="J29" s="57">
        <f t="shared" si="4"/>
        <v>3.1509433962264146</v>
      </c>
      <c r="K29" s="57">
        <f t="shared" si="4"/>
        <v>7.0247933884297495E-2</v>
      </c>
    </row>
    <row r="30" spans="4:11" x14ac:dyDescent="0.2">
      <c r="D30" s="8" t="s">
        <v>576</v>
      </c>
      <c r="E30" s="61">
        <v>8.7799999999999994</v>
      </c>
      <c r="F30" s="61">
        <v>5.32</v>
      </c>
      <c r="G30" s="61">
        <v>5.86</v>
      </c>
      <c r="H30" s="61">
        <v>6.33</v>
      </c>
      <c r="I30" s="57">
        <f t="shared" si="4"/>
        <v>-0.39407744874715256</v>
      </c>
      <c r="J30" s="57">
        <f t="shared" si="4"/>
        <v>0.10150375939849623</v>
      </c>
      <c r="K30" s="57">
        <f t="shared" si="4"/>
        <v>8.0204778156996545E-2</v>
      </c>
    </row>
    <row r="31" spans="4:11" x14ac:dyDescent="0.2">
      <c r="D31" s="8" t="s">
        <v>577</v>
      </c>
      <c r="E31" s="61">
        <v>4.28</v>
      </c>
      <c r="F31" s="61">
        <v>4.7699999999999996</v>
      </c>
      <c r="G31" s="61">
        <v>4.49</v>
      </c>
      <c r="H31" s="61">
        <v>4.87</v>
      </c>
      <c r="I31" s="57">
        <f t="shared" si="4"/>
        <v>0.11448598130841105</v>
      </c>
      <c r="J31" s="57">
        <f t="shared" si="4"/>
        <v>-5.8700209643605741E-2</v>
      </c>
      <c r="K31" s="57">
        <f t="shared" si="4"/>
        <v>8.4632516703786159E-2</v>
      </c>
    </row>
    <row r="32" spans="4:11" x14ac:dyDescent="0.2">
      <c r="D32" s="8" t="s">
        <v>578</v>
      </c>
      <c r="E32" s="61">
        <v>7.54</v>
      </c>
      <c r="F32" s="61">
        <v>7.99</v>
      </c>
      <c r="G32" s="61">
        <v>8.75</v>
      </c>
      <c r="H32" s="61">
        <v>9.3699999999999992</v>
      </c>
      <c r="I32" s="57">
        <f t="shared" si="4"/>
        <v>5.9681697612732121E-2</v>
      </c>
      <c r="J32" s="57">
        <f t="shared" si="4"/>
        <v>9.5118898623279075E-2</v>
      </c>
      <c r="K32" s="57">
        <f t="shared" si="4"/>
        <v>7.0857142857142771E-2</v>
      </c>
    </row>
    <row r="33" spans="4:11" x14ac:dyDescent="0.2">
      <c r="D33" s="8" t="s">
        <v>579</v>
      </c>
      <c r="E33" s="61" t="s">
        <v>1021</v>
      </c>
      <c r="F33" s="61" t="s">
        <v>1021</v>
      </c>
      <c r="G33" s="61" t="s">
        <v>1021</v>
      </c>
      <c r="H33" s="61" t="s">
        <v>1022</v>
      </c>
      <c r="I33" s="57"/>
      <c r="J33" s="57"/>
      <c r="K33" s="57"/>
    </row>
    <row r="34" spans="4:11" x14ac:dyDescent="0.2">
      <c r="D34" s="8" t="s">
        <v>580</v>
      </c>
      <c r="E34" s="61">
        <v>1.31</v>
      </c>
      <c r="F34" s="61">
        <v>2.19</v>
      </c>
      <c r="G34" s="61">
        <v>2.52</v>
      </c>
      <c r="H34" s="61">
        <v>2.94</v>
      </c>
      <c r="I34" s="57">
        <f t="shared" ref="I34:K37" si="5">(F34-E34)/E34</f>
        <v>0.67175572519083959</v>
      </c>
      <c r="J34" s="57">
        <f t="shared" si="5"/>
        <v>0.15068493150684936</v>
      </c>
      <c r="K34" s="57">
        <f t="shared" si="5"/>
        <v>0.16666666666666663</v>
      </c>
    </row>
    <row r="35" spans="4:11" x14ac:dyDescent="0.2">
      <c r="D35" s="8" t="s">
        <v>581</v>
      </c>
      <c r="E35" s="61">
        <v>6.68</v>
      </c>
      <c r="F35" s="61">
        <v>7.61</v>
      </c>
      <c r="G35" s="61">
        <v>8.42</v>
      </c>
      <c r="H35" s="61">
        <v>9.42</v>
      </c>
      <c r="I35" s="57">
        <f t="shared" si="5"/>
        <v>0.13922155688622764</v>
      </c>
      <c r="J35" s="57">
        <f t="shared" si="5"/>
        <v>0.10643889618922465</v>
      </c>
      <c r="K35" s="57">
        <f t="shared" si="5"/>
        <v>0.11876484560570072</v>
      </c>
    </row>
    <row r="36" spans="4:11" x14ac:dyDescent="0.2">
      <c r="D36" s="8" t="s">
        <v>582</v>
      </c>
      <c r="E36" s="61">
        <v>3.41</v>
      </c>
      <c r="F36" s="61">
        <v>3.99</v>
      </c>
      <c r="G36" s="61">
        <v>4.54</v>
      </c>
      <c r="H36" s="61">
        <v>5.4</v>
      </c>
      <c r="I36" s="57">
        <f t="shared" si="5"/>
        <v>0.17008797653958946</v>
      </c>
      <c r="J36" s="57">
        <f t="shared" si="5"/>
        <v>0.13784461152882199</v>
      </c>
      <c r="K36" s="57">
        <f t="shared" si="5"/>
        <v>0.18942731277533045</v>
      </c>
    </row>
    <row r="37" spans="4:11" x14ac:dyDescent="0.2">
      <c r="D37" s="8" t="s">
        <v>583</v>
      </c>
      <c r="E37" s="61">
        <v>5.2</v>
      </c>
      <c r="F37" s="61">
        <v>5.96</v>
      </c>
      <c r="G37" s="61">
        <v>7.37</v>
      </c>
      <c r="H37" s="61">
        <v>9.0299999999999994</v>
      </c>
      <c r="I37" s="57">
        <f t="shared" si="5"/>
        <v>0.14615384615384611</v>
      </c>
      <c r="J37" s="57">
        <f t="shared" si="5"/>
        <v>0.23657718120805371</v>
      </c>
      <c r="K37" s="57">
        <f t="shared" si="5"/>
        <v>0.22523744911804602</v>
      </c>
    </row>
    <row r="38" spans="4:11" x14ac:dyDescent="0.2">
      <c r="D38" s="8" t="s">
        <v>584</v>
      </c>
      <c r="E38" s="61" t="s">
        <v>1021</v>
      </c>
      <c r="F38" s="61" t="s">
        <v>1021</v>
      </c>
      <c r="G38" s="61" t="s">
        <v>1021</v>
      </c>
      <c r="H38" s="61" t="s">
        <v>1022</v>
      </c>
      <c r="I38" s="57"/>
      <c r="J38" s="57"/>
      <c r="K38" s="57"/>
    </row>
    <row r="39" spans="4:11" x14ac:dyDescent="0.2">
      <c r="D39" s="8" t="s">
        <v>585</v>
      </c>
      <c r="E39" s="61">
        <v>2.68</v>
      </c>
      <c r="F39" s="61">
        <v>3.26</v>
      </c>
      <c r="G39" s="61">
        <v>5.62</v>
      </c>
      <c r="H39" s="61">
        <v>9.09</v>
      </c>
      <c r="I39" s="57">
        <f t="shared" ref="I39:I56" si="6">(F39-E39)/E39</f>
        <v>0.21641791044776104</v>
      </c>
      <c r="J39" s="57">
        <f t="shared" ref="J39:J56" si="7">(G39-F39)/F39</f>
        <v>0.72392638036809831</v>
      </c>
      <c r="K39" s="57">
        <f t="shared" ref="K39:K56" si="8">(H39-G39)/G39</f>
        <v>0.61743772241992878</v>
      </c>
    </row>
    <row r="40" spans="4:11" x14ac:dyDescent="0.2">
      <c r="D40" s="8" t="s">
        <v>586</v>
      </c>
      <c r="E40" s="61">
        <v>5.08</v>
      </c>
      <c r="F40" s="61">
        <v>5.07</v>
      </c>
      <c r="G40" s="61">
        <v>5.65</v>
      </c>
      <c r="H40" s="61">
        <v>6.14</v>
      </c>
      <c r="I40" s="57">
        <f t="shared" si="6"/>
        <v>-1.9685039370078319E-3</v>
      </c>
      <c r="J40" s="57">
        <f t="shared" si="7"/>
        <v>0.11439842209072978</v>
      </c>
      <c r="K40" s="57">
        <f t="shared" si="8"/>
        <v>8.6725663716814033E-2</v>
      </c>
    </row>
    <row r="41" spans="4:11" x14ac:dyDescent="0.2">
      <c r="D41" s="8" t="s">
        <v>587</v>
      </c>
      <c r="E41" s="61">
        <v>2.97</v>
      </c>
      <c r="F41" s="61">
        <v>3.08</v>
      </c>
      <c r="G41" s="61">
        <v>3.41</v>
      </c>
      <c r="H41" s="61">
        <v>3.82</v>
      </c>
      <c r="I41" s="57">
        <f t="shared" si="6"/>
        <v>3.7037037037036993E-2</v>
      </c>
      <c r="J41" s="57">
        <f t="shared" si="7"/>
        <v>0.10714285714285716</v>
      </c>
      <c r="K41" s="57">
        <f t="shared" si="8"/>
        <v>0.12023460410557175</v>
      </c>
    </row>
    <row r="42" spans="4:11" x14ac:dyDescent="0.2">
      <c r="D42" s="8" t="s">
        <v>588</v>
      </c>
      <c r="E42" s="61">
        <v>1.71</v>
      </c>
      <c r="F42" s="61">
        <v>2.27</v>
      </c>
      <c r="G42" s="61">
        <v>2.5499999999999998</v>
      </c>
      <c r="H42" s="61">
        <v>3.28</v>
      </c>
      <c r="I42" s="57">
        <f t="shared" si="6"/>
        <v>0.3274853801169591</v>
      </c>
      <c r="J42" s="57">
        <f t="shared" si="7"/>
        <v>0.12334801762114529</v>
      </c>
      <c r="K42" s="57">
        <f t="shared" si="8"/>
        <v>0.28627450980392161</v>
      </c>
    </row>
    <row r="43" spans="4:11" x14ac:dyDescent="0.2">
      <c r="D43" s="8" t="s">
        <v>367</v>
      </c>
      <c r="E43" s="61">
        <v>6.34</v>
      </c>
      <c r="F43" s="61">
        <v>7.35</v>
      </c>
      <c r="G43" s="61">
        <v>8</v>
      </c>
      <c r="H43" s="61">
        <v>8.77</v>
      </c>
      <c r="I43" s="57">
        <f t="shared" si="6"/>
        <v>0.15930599369085172</v>
      </c>
      <c r="J43" s="57">
        <f t="shared" si="7"/>
        <v>8.843537414965992E-2</v>
      </c>
      <c r="K43" s="57">
        <f t="shared" si="8"/>
        <v>9.6249999999999947E-2</v>
      </c>
    </row>
    <row r="44" spans="4:11" x14ac:dyDescent="0.2">
      <c r="D44" s="8" t="s">
        <v>589</v>
      </c>
      <c r="E44" s="61">
        <v>12.6</v>
      </c>
      <c r="F44" s="61">
        <v>12.7</v>
      </c>
      <c r="G44" s="61">
        <v>13.9</v>
      </c>
      <c r="H44" s="61">
        <v>15.5</v>
      </c>
      <c r="I44" s="57">
        <f t="shared" si="6"/>
        <v>7.9365079365079083E-3</v>
      </c>
      <c r="J44" s="57">
        <f t="shared" si="7"/>
        <v>9.4488188976378049E-2</v>
      </c>
      <c r="K44" s="57">
        <f t="shared" si="8"/>
        <v>0.11510791366906473</v>
      </c>
    </row>
    <row r="45" spans="4:11" x14ac:dyDescent="0.2">
      <c r="D45" s="8" t="s">
        <v>371</v>
      </c>
      <c r="E45" s="61">
        <v>7.09</v>
      </c>
      <c r="F45" s="61">
        <v>8.27</v>
      </c>
      <c r="G45" s="61">
        <v>8.56</v>
      </c>
      <c r="H45" s="61">
        <v>9.23</v>
      </c>
      <c r="I45" s="57">
        <f t="shared" si="6"/>
        <v>0.16643159379407613</v>
      </c>
      <c r="J45" s="57">
        <f t="shared" si="7"/>
        <v>3.5066505441354409E-2</v>
      </c>
      <c r="K45" s="57">
        <f t="shared" si="8"/>
        <v>7.8271028037383159E-2</v>
      </c>
    </row>
    <row r="46" spans="4:11" x14ac:dyDescent="0.2">
      <c r="D46" s="8" t="s">
        <v>590</v>
      </c>
      <c r="E46" s="61">
        <v>9.52</v>
      </c>
      <c r="F46" s="61">
        <v>11.4</v>
      </c>
      <c r="G46" s="61">
        <v>12.3</v>
      </c>
      <c r="H46" s="61">
        <v>12.7</v>
      </c>
      <c r="I46" s="57">
        <f t="shared" si="6"/>
        <v>0.19747899159663876</v>
      </c>
      <c r="J46" s="57">
        <f t="shared" si="7"/>
        <v>7.8947368421052655E-2</v>
      </c>
      <c r="K46" s="57">
        <f t="shared" si="8"/>
        <v>3.2520325203251918E-2</v>
      </c>
    </row>
    <row r="47" spans="4:11" x14ac:dyDescent="0.2">
      <c r="D47" s="8" t="s">
        <v>591</v>
      </c>
      <c r="E47" s="61">
        <v>3.24</v>
      </c>
      <c r="F47" s="61">
        <v>2.9</v>
      </c>
      <c r="G47" s="61">
        <v>3.04</v>
      </c>
      <c r="H47" s="61">
        <v>3.56</v>
      </c>
      <c r="I47" s="57">
        <f t="shared" si="6"/>
        <v>-0.10493827160493836</v>
      </c>
      <c r="J47" s="57">
        <f t="shared" si="7"/>
        <v>4.8275862068965558E-2</v>
      </c>
      <c r="K47" s="57">
        <f t="shared" si="8"/>
        <v>0.17105263157894737</v>
      </c>
    </row>
    <row r="48" spans="4:11" x14ac:dyDescent="0.2">
      <c r="D48" s="8" t="s">
        <v>592</v>
      </c>
      <c r="E48" s="61">
        <v>8.98</v>
      </c>
      <c r="F48" s="61">
        <v>8.09</v>
      </c>
      <c r="G48" s="61">
        <v>8.83</v>
      </c>
      <c r="H48" s="61">
        <v>9.65</v>
      </c>
      <c r="I48" s="57">
        <f t="shared" si="6"/>
        <v>-9.9109131403118098E-2</v>
      </c>
      <c r="J48" s="57">
        <f t="shared" si="7"/>
        <v>9.1470951792336247E-2</v>
      </c>
      <c r="K48" s="57">
        <f t="shared" si="8"/>
        <v>9.2865232163080444E-2</v>
      </c>
    </row>
    <row r="49" spans="4:11" x14ac:dyDescent="0.2">
      <c r="D49" s="8" t="s">
        <v>593</v>
      </c>
      <c r="E49" s="61">
        <v>7.91</v>
      </c>
      <c r="F49" s="61">
        <v>8.8800000000000008</v>
      </c>
      <c r="G49" s="61">
        <v>10.1</v>
      </c>
      <c r="H49" s="61">
        <v>11.3</v>
      </c>
      <c r="I49" s="57">
        <f t="shared" si="6"/>
        <v>0.12262958280657403</v>
      </c>
      <c r="J49" s="57">
        <f t="shared" si="7"/>
        <v>0.13738738738738726</v>
      </c>
      <c r="K49" s="57">
        <f t="shared" si="8"/>
        <v>0.11881188118811892</v>
      </c>
    </row>
    <row r="50" spans="4:11" x14ac:dyDescent="0.2">
      <c r="D50" s="8" t="s">
        <v>594</v>
      </c>
      <c r="E50" s="61">
        <v>5.59</v>
      </c>
      <c r="F50" s="61">
        <v>5.32</v>
      </c>
      <c r="G50" s="61">
        <v>5.8</v>
      </c>
      <c r="H50" s="61">
        <v>6.27</v>
      </c>
      <c r="I50" s="57">
        <f t="shared" si="6"/>
        <v>-4.8300536672629624E-2</v>
      </c>
      <c r="J50" s="57">
        <f t="shared" si="7"/>
        <v>9.0225563909774348E-2</v>
      </c>
      <c r="K50" s="57">
        <f t="shared" si="8"/>
        <v>8.1034482758620643E-2</v>
      </c>
    </row>
    <row r="51" spans="4:11" x14ac:dyDescent="0.2">
      <c r="D51" s="8" t="s">
        <v>595</v>
      </c>
      <c r="E51" s="61">
        <v>7.24</v>
      </c>
      <c r="F51" s="61">
        <v>9.2899999999999991</v>
      </c>
      <c r="G51" s="61">
        <v>9.75</v>
      </c>
      <c r="H51" s="61">
        <v>11.5</v>
      </c>
      <c r="I51" s="57">
        <f t="shared" si="6"/>
        <v>0.28314917127071809</v>
      </c>
      <c r="J51" s="57">
        <f t="shared" si="7"/>
        <v>4.9515608180839707E-2</v>
      </c>
      <c r="K51" s="57">
        <f t="shared" si="8"/>
        <v>0.17948717948717949</v>
      </c>
    </row>
    <row r="52" spans="4:11" x14ac:dyDescent="0.2">
      <c r="D52" s="8" t="s">
        <v>596</v>
      </c>
      <c r="E52" s="61">
        <v>28.4</v>
      </c>
      <c r="F52" s="61">
        <v>5.67</v>
      </c>
      <c r="G52" s="61">
        <v>9.51</v>
      </c>
      <c r="H52" s="61">
        <v>13.2</v>
      </c>
      <c r="I52" s="57">
        <f t="shared" si="6"/>
        <v>-0.80035211267605622</v>
      </c>
      <c r="J52" s="57">
        <f t="shared" si="7"/>
        <v>0.67724867724867721</v>
      </c>
      <c r="K52" s="57">
        <f t="shared" si="8"/>
        <v>0.38801261829652994</v>
      </c>
    </row>
    <row r="53" spans="4:11" x14ac:dyDescent="0.2">
      <c r="D53" s="8" t="s">
        <v>597</v>
      </c>
      <c r="E53" s="61">
        <v>13.9</v>
      </c>
      <c r="F53" s="61">
        <v>7.6</v>
      </c>
      <c r="G53" s="61">
        <v>9.09</v>
      </c>
      <c r="H53" s="61">
        <v>9.82</v>
      </c>
      <c r="I53" s="57">
        <f t="shared" si="6"/>
        <v>-0.45323741007194246</v>
      </c>
      <c r="J53" s="57">
        <f t="shared" si="7"/>
        <v>0.1960526315789474</v>
      </c>
      <c r="K53" s="57">
        <f t="shared" si="8"/>
        <v>8.0308030803080355E-2</v>
      </c>
    </row>
    <row r="54" spans="4:11" x14ac:dyDescent="0.2">
      <c r="D54" s="8" t="s">
        <v>598</v>
      </c>
      <c r="E54" s="61">
        <v>2.4900000000000002</v>
      </c>
      <c r="F54" s="61">
        <v>2.9</v>
      </c>
      <c r="G54" s="61">
        <v>3.41</v>
      </c>
      <c r="H54" s="61">
        <v>4.04</v>
      </c>
      <c r="I54" s="57">
        <f t="shared" si="6"/>
        <v>0.16465863453815247</v>
      </c>
      <c r="J54" s="57">
        <f t="shared" si="7"/>
        <v>0.17586206896551732</v>
      </c>
      <c r="K54" s="57">
        <f t="shared" si="8"/>
        <v>0.18475073313782989</v>
      </c>
    </row>
    <row r="55" spans="4:11" x14ac:dyDescent="0.2">
      <c r="D55" s="8" t="s">
        <v>599</v>
      </c>
      <c r="E55" s="61">
        <v>2.77</v>
      </c>
      <c r="F55" s="61">
        <v>3.7</v>
      </c>
      <c r="G55" s="61">
        <v>4.43</v>
      </c>
      <c r="H55" s="61">
        <v>5.23</v>
      </c>
      <c r="I55" s="57">
        <f t="shared" si="6"/>
        <v>0.33574007220216612</v>
      </c>
      <c r="J55" s="57">
        <f t="shared" si="7"/>
        <v>0.19729729729729717</v>
      </c>
      <c r="K55" s="57">
        <f t="shared" si="8"/>
        <v>0.1805869074492101</v>
      </c>
    </row>
    <row r="56" spans="4:11" x14ac:dyDescent="0.2">
      <c r="D56" s="8" t="s">
        <v>600</v>
      </c>
      <c r="E56" s="61">
        <v>6.5</v>
      </c>
      <c r="F56" s="61">
        <v>7.4</v>
      </c>
      <c r="G56" s="61">
        <v>8.44</v>
      </c>
      <c r="H56" s="61">
        <v>9.1999999999999993</v>
      </c>
      <c r="I56" s="57">
        <f t="shared" si="6"/>
        <v>0.13846153846153852</v>
      </c>
      <c r="J56" s="57">
        <f t="shared" si="7"/>
        <v>0.14054054054054041</v>
      </c>
      <c r="K56" s="57">
        <f t="shared" si="8"/>
        <v>9.0047393364928896E-2</v>
      </c>
    </row>
    <row r="57" spans="4:11" x14ac:dyDescent="0.2">
      <c r="D57" s="8" t="s">
        <v>601</v>
      </c>
      <c r="E57" s="61" t="s">
        <v>1021</v>
      </c>
      <c r="F57" s="61" t="s">
        <v>1021</v>
      </c>
      <c r="G57" s="61" t="s">
        <v>1021</v>
      </c>
      <c r="H57" s="61" t="s">
        <v>1022</v>
      </c>
      <c r="I57" s="57"/>
      <c r="J57" s="57"/>
      <c r="K57" s="57"/>
    </row>
    <row r="58" spans="4:11" x14ac:dyDescent="0.2">
      <c r="D58" s="8" t="s">
        <v>602</v>
      </c>
      <c r="E58" s="61">
        <v>3.66</v>
      </c>
      <c r="F58" s="61">
        <v>6.56</v>
      </c>
      <c r="G58" s="61">
        <v>8.59</v>
      </c>
      <c r="H58" s="61">
        <v>9.01</v>
      </c>
      <c r="I58" s="57">
        <f t="shared" ref="I58:K64" si="9">(F58-E58)/E58</f>
        <v>0.79234972677595605</v>
      </c>
      <c r="J58" s="57">
        <f t="shared" si="9"/>
        <v>0.30945121951219517</v>
      </c>
      <c r="K58" s="57">
        <f t="shared" si="9"/>
        <v>4.88940628637951E-2</v>
      </c>
    </row>
    <row r="59" spans="4:11" x14ac:dyDescent="0.2">
      <c r="D59" s="8" t="s">
        <v>603</v>
      </c>
      <c r="E59" s="61">
        <v>3.13</v>
      </c>
      <c r="F59" s="61">
        <v>8.81</v>
      </c>
      <c r="G59" s="61">
        <v>6.26</v>
      </c>
      <c r="H59" s="61">
        <v>8.08</v>
      </c>
      <c r="I59" s="57">
        <f t="shared" si="9"/>
        <v>1.8146964856230035</v>
      </c>
      <c r="J59" s="57">
        <f t="shared" si="9"/>
        <v>-0.28944381384790019</v>
      </c>
      <c r="K59" s="57">
        <f t="shared" si="9"/>
        <v>0.29073482428115022</v>
      </c>
    </row>
    <row r="60" spans="4:11" x14ac:dyDescent="0.2">
      <c r="D60" s="8" t="s">
        <v>604</v>
      </c>
      <c r="E60" s="61">
        <v>17.600000000000001</v>
      </c>
      <c r="F60" s="61">
        <v>21.2</v>
      </c>
      <c r="G60" s="61">
        <v>25.2</v>
      </c>
      <c r="H60" s="61">
        <v>27.7</v>
      </c>
      <c r="I60" s="57">
        <f t="shared" si="9"/>
        <v>0.20454545454545442</v>
      </c>
      <c r="J60" s="57">
        <f t="shared" si="9"/>
        <v>0.18867924528301888</v>
      </c>
      <c r="K60" s="57">
        <f t="shared" si="9"/>
        <v>9.9206349206349215E-2</v>
      </c>
    </row>
    <row r="61" spans="4:11" x14ac:dyDescent="0.2">
      <c r="D61" s="8" t="s">
        <v>605</v>
      </c>
      <c r="E61" s="61">
        <v>8.89</v>
      </c>
      <c r="F61" s="61">
        <v>8.15</v>
      </c>
      <c r="G61" s="61">
        <v>10</v>
      </c>
      <c r="H61" s="61">
        <v>10.8</v>
      </c>
      <c r="I61" s="57">
        <f t="shared" si="9"/>
        <v>-8.3239595050618689E-2</v>
      </c>
      <c r="J61" s="57">
        <f t="shared" si="9"/>
        <v>0.22699386503067479</v>
      </c>
      <c r="K61" s="57">
        <f t="shared" si="9"/>
        <v>8.0000000000000071E-2</v>
      </c>
    </row>
    <row r="62" spans="4:11" x14ac:dyDescent="0.2">
      <c r="D62" s="8" t="s">
        <v>606</v>
      </c>
      <c r="E62" s="61">
        <v>-3.32</v>
      </c>
      <c r="F62" s="61">
        <v>3.83</v>
      </c>
      <c r="G62" s="61">
        <v>3.37</v>
      </c>
      <c r="H62" s="61">
        <v>5.25</v>
      </c>
      <c r="I62" s="57">
        <f t="shared" si="9"/>
        <v>-2.1536144578313254</v>
      </c>
      <c r="J62" s="57">
        <f t="shared" si="9"/>
        <v>-0.12010443864229764</v>
      </c>
      <c r="K62" s="57">
        <f t="shared" si="9"/>
        <v>0.55786350148367947</v>
      </c>
    </row>
    <row r="63" spans="4:11" x14ac:dyDescent="0.2">
      <c r="D63" s="8" t="s">
        <v>607</v>
      </c>
      <c r="E63" s="61">
        <v>3.68</v>
      </c>
      <c r="F63" s="61">
        <v>3.88</v>
      </c>
      <c r="G63" s="61">
        <v>4.34</v>
      </c>
      <c r="H63" s="61">
        <v>4.7300000000000004</v>
      </c>
      <c r="I63" s="57">
        <f t="shared" si="9"/>
        <v>5.4347826086956444E-2</v>
      </c>
      <c r="J63" s="57">
        <f t="shared" si="9"/>
        <v>0.11855670103092783</v>
      </c>
      <c r="K63" s="57">
        <f t="shared" si="9"/>
        <v>8.9861751152073871E-2</v>
      </c>
    </row>
    <row r="64" spans="4:11" x14ac:dyDescent="0.2">
      <c r="D64" s="8" t="s">
        <v>608</v>
      </c>
      <c r="E64" s="61">
        <v>3.74</v>
      </c>
      <c r="F64" s="61">
        <v>3.68</v>
      </c>
      <c r="G64" s="61">
        <v>4.3099999999999996</v>
      </c>
      <c r="H64" s="61">
        <v>4.9000000000000004</v>
      </c>
      <c r="I64" s="57">
        <f t="shared" si="9"/>
        <v>-1.6042780748663114E-2</v>
      </c>
      <c r="J64" s="57">
        <f t="shared" si="9"/>
        <v>0.17119565217391289</v>
      </c>
      <c r="K64" s="57">
        <f t="shared" si="9"/>
        <v>0.13689095127610226</v>
      </c>
    </row>
    <row r="65" spans="4:11" x14ac:dyDescent="0.2">
      <c r="D65" s="8" t="s">
        <v>609</v>
      </c>
      <c r="E65" s="61" t="s">
        <v>1021</v>
      </c>
      <c r="F65" s="61" t="s">
        <v>1021</v>
      </c>
      <c r="G65" s="61" t="s">
        <v>1021</v>
      </c>
      <c r="H65" s="61" t="s">
        <v>1022</v>
      </c>
      <c r="I65" s="57"/>
      <c r="J65" s="57"/>
      <c r="K65" s="57"/>
    </row>
    <row r="66" spans="4:11" x14ac:dyDescent="0.2">
      <c r="D66" s="8" t="s">
        <v>610</v>
      </c>
      <c r="E66" s="61">
        <v>2.5499999999999998</v>
      </c>
      <c r="F66" s="61">
        <v>2.61</v>
      </c>
      <c r="G66" s="61">
        <v>3.89</v>
      </c>
      <c r="H66" s="61">
        <v>5.23</v>
      </c>
      <c r="I66" s="57">
        <f t="shared" ref="I66:I87" si="10">(F66-E66)/E66</f>
        <v>2.3529411764705906E-2</v>
      </c>
      <c r="J66" s="57">
        <f t="shared" ref="J66:J87" si="11">(G66-F66)/F66</f>
        <v>0.49042145593869746</v>
      </c>
      <c r="K66" s="57">
        <f t="shared" ref="K66:K87" si="12">(H66-G66)/G66</f>
        <v>0.34447300771208234</v>
      </c>
    </row>
    <row r="67" spans="4:11" x14ac:dyDescent="0.2">
      <c r="D67" s="8" t="s">
        <v>611</v>
      </c>
      <c r="E67" s="61">
        <v>83.3</v>
      </c>
      <c r="F67" s="61">
        <v>106</v>
      </c>
      <c r="G67" s="61">
        <v>114</v>
      </c>
      <c r="H67" s="61">
        <v>128</v>
      </c>
      <c r="I67" s="57">
        <f t="shared" si="10"/>
        <v>0.27250900360144065</v>
      </c>
      <c r="J67" s="57">
        <f t="shared" si="11"/>
        <v>7.5471698113207544E-2</v>
      </c>
      <c r="K67" s="57">
        <f t="shared" si="12"/>
        <v>0.12280701754385964</v>
      </c>
    </row>
    <row r="68" spans="4:11" x14ac:dyDescent="0.2">
      <c r="D68" s="8" t="s">
        <v>612</v>
      </c>
      <c r="E68" s="61">
        <v>7.91</v>
      </c>
      <c r="F68" s="61">
        <v>7.96</v>
      </c>
      <c r="G68" s="61">
        <v>9.02</v>
      </c>
      <c r="H68" s="61">
        <v>9.93</v>
      </c>
      <c r="I68" s="57">
        <f t="shared" si="10"/>
        <v>6.3211125158027584E-3</v>
      </c>
      <c r="J68" s="57">
        <f t="shared" si="11"/>
        <v>0.13316582914572858</v>
      </c>
      <c r="K68" s="57">
        <f t="shared" si="12"/>
        <v>0.10088691796008871</v>
      </c>
    </row>
    <row r="69" spans="4:11" x14ac:dyDescent="0.2">
      <c r="D69" s="8" t="s">
        <v>613</v>
      </c>
      <c r="E69" s="61">
        <v>4.17</v>
      </c>
      <c r="F69" s="61">
        <v>3.51</v>
      </c>
      <c r="G69" s="61">
        <v>5.72</v>
      </c>
      <c r="H69" s="61">
        <v>5.89</v>
      </c>
      <c r="I69" s="57">
        <f t="shared" si="10"/>
        <v>-0.15827338129496407</v>
      </c>
      <c r="J69" s="57">
        <f t="shared" si="11"/>
        <v>0.62962962962962965</v>
      </c>
      <c r="K69" s="57">
        <f t="shared" si="12"/>
        <v>2.972027972027971E-2</v>
      </c>
    </row>
    <row r="70" spans="4:11" x14ac:dyDescent="0.2">
      <c r="D70" s="8" t="s">
        <v>614</v>
      </c>
      <c r="E70" s="61">
        <v>-0.56999999999999995</v>
      </c>
      <c r="F70" s="61">
        <v>5.0599999999999996</v>
      </c>
      <c r="G70" s="61">
        <v>5.6</v>
      </c>
      <c r="H70" s="61">
        <v>6.16</v>
      </c>
      <c r="I70" s="57">
        <f t="shared" si="10"/>
        <v>-9.8771929824561404</v>
      </c>
      <c r="J70" s="57">
        <f t="shared" si="11"/>
        <v>0.10671936758893281</v>
      </c>
      <c r="K70" s="57">
        <f t="shared" si="12"/>
        <v>0.10000000000000009</v>
      </c>
    </row>
    <row r="71" spans="4:11" x14ac:dyDescent="0.2">
      <c r="D71" s="8" t="s">
        <v>615</v>
      </c>
      <c r="E71" s="61">
        <v>5.51</v>
      </c>
      <c r="F71" s="61">
        <v>7.39</v>
      </c>
      <c r="G71" s="61">
        <v>8.15</v>
      </c>
      <c r="H71" s="61">
        <v>9</v>
      </c>
      <c r="I71" s="57">
        <f t="shared" si="10"/>
        <v>0.3411978221415608</v>
      </c>
      <c r="J71" s="57">
        <f t="shared" si="11"/>
        <v>0.10284167794316654</v>
      </c>
      <c r="K71" s="57">
        <f t="shared" si="12"/>
        <v>0.10429447852760731</v>
      </c>
    </row>
    <row r="72" spans="4:11" x14ac:dyDescent="0.2">
      <c r="D72" s="8" t="s">
        <v>616</v>
      </c>
      <c r="E72" s="61">
        <v>2.2799999999999998</v>
      </c>
      <c r="F72" s="61">
        <v>2.37</v>
      </c>
      <c r="G72" s="61">
        <v>2.5</v>
      </c>
      <c r="H72" s="61">
        <v>2.67</v>
      </c>
      <c r="I72" s="57">
        <f t="shared" si="10"/>
        <v>3.9473684210526452E-2</v>
      </c>
      <c r="J72" s="57">
        <f t="shared" si="11"/>
        <v>5.485232067510544E-2</v>
      </c>
      <c r="K72" s="57">
        <f t="shared" si="12"/>
        <v>6.7999999999999977E-2</v>
      </c>
    </row>
    <row r="73" spans="4:11" x14ac:dyDescent="0.2">
      <c r="D73" s="8" t="s">
        <v>617</v>
      </c>
      <c r="E73" s="61">
        <v>4.1399999999999997</v>
      </c>
      <c r="F73" s="61">
        <v>4.3</v>
      </c>
      <c r="G73" s="61">
        <v>4.41</v>
      </c>
      <c r="H73" s="61">
        <v>4.58</v>
      </c>
      <c r="I73" s="57">
        <f t="shared" si="10"/>
        <v>3.8647342995169122E-2</v>
      </c>
      <c r="J73" s="57">
        <f t="shared" si="11"/>
        <v>2.5581395348837285E-2</v>
      </c>
      <c r="K73" s="57">
        <f t="shared" si="12"/>
        <v>3.8548752834467105E-2</v>
      </c>
    </row>
    <row r="74" spans="4:11" x14ac:dyDescent="0.2">
      <c r="D74" s="8" t="s">
        <v>618</v>
      </c>
      <c r="E74" s="61">
        <v>3.03</v>
      </c>
      <c r="F74" s="61">
        <v>3.97</v>
      </c>
      <c r="G74" s="61">
        <v>6.07</v>
      </c>
      <c r="H74" s="61">
        <v>8.4</v>
      </c>
      <c r="I74" s="57">
        <f t="shared" si="10"/>
        <v>0.31023102310231038</v>
      </c>
      <c r="J74" s="57">
        <f t="shared" si="11"/>
        <v>0.52896725440806047</v>
      </c>
      <c r="K74" s="57">
        <f t="shared" si="12"/>
        <v>0.38385502471169686</v>
      </c>
    </row>
    <row r="75" spans="4:11" x14ac:dyDescent="0.2">
      <c r="D75" s="8" t="s">
        <v>619</v>
      </c>
      <c r="E75" s="61">
        <v>5.71</v>
      </c>
      <c r="F75" s="61">
        <v>5.72</v>
      </c>
      <c r="G75" s="61">
        <v>6.73</v>
      </c>
      <c r="H75" s="61">
        <v>7.35</v>
      </c>
      <c r="I75" s="57">
        <f t="shared" si="10"/>
        <v>1.7513134851137981E-3</v>
      </c>
      <c r="J75" s="57">
        <f t="shared" si="11"/>
        <v>0.1765734265734267</v>
      </c>
      <c r="K75" s="57">
        <f t="shared" si="12"/>
        <v>9.2124814264487251E-2</v>
      </c>
    </row>
    <row r="76" spans="4:11" x14ac:dyDescent="0.2">
      <c r="D76" s="8" t="s">
        <v>620</v>
      </c>
      <c r="E76" s="61">
        <v>5.89</v>
      </c>
      <c r="F76" s="61">
        <v>6.38</v>
      </c>
      <c r="G76" s="61">
        <v>7.18</v>
      </c>
      <c r="H76" s="61">
        <v>8.0399999999999991</v>
      </c>
      <c r="I76" s="57">
        <f t="shared" si="10"/>
        <v>8.319185059422754E-2</v>
      </c>
      <c r="J76" s="57">
        <f t="shared" si="11"/>
        <v>0.12539184952978052</v>
      </c>
      <c r="K76" s="57">
        <f t="shared" si="12"/>
        <v>0.11977715877437319</v>
      </c>
    </row>
    <row r="77" spans="4:11" x14ac:dyDescent="0.2">
      <c r="D77" s="8" t="s">
        <v>621</v>
      </c>
      <c r="E77" s="61">
        <v>5.24</v>
      </c>
      <c r="F77" s="61">
        <v>6.09</v>
      </c>
      <c r="G77" s="61">
        <v>6.83</v>
      </c>
      <c r="H77" s="61">
        <v>7.68</v>
      </c>
      <c r="I77" s="57">
        <f t="shared" si="10"/>
        <v>0.1622137404580152</v>
      </c>
      <c r="J77" s="57">
        <f t="shared" si="11"/>
        <v>0.1215106732348112</v>
      </c>
      <c r="K77" s="57">
        <f t="shared" si="12"/>
        <v>0.12445095168374812</v>
      </c>
    </row>
    <row r="78" spans="4:11" x14ac:dyDescent="0.2">
      <c r="D78" s="8" t="s">
        <v>622</v>
      </c>
      <c r="E78" s="61">
        <v>8.49</v>
      </c>
      <c r="F78" s="61">
        <v>9.83</v>
      </c>
      <c r="G78" s="61">
        <v>10.9</v>
      </c>
      <c r="H78" s="61">
        <v>12</v>
      </c>
      <c r="I78" s="57">
        <f t="shared" si="10"/>
        <v>0.15783274440518255</v>
      </c>
      <c r="J78" s="57">
        <f t="shared" si="11"/>
        <v>0.10885045778229911</v>
      </c>
      <c r="K78" s="57">
        <f t="shared" si="12"/>
        <v>0.10091743119266051</v>
      </c>
    </row>
    <row r="79" spans="4:11" x14ac:dyDescent="0.2">
      <c r="D79" s="8" t="s">
        <v>623</v>
      </c>
      <c r="E79" s="61">
        <v>-2.4300000000000002</v>
      </c>
      <c r="F79" s="61">
        <v>0.39</v>
      </c>
      <c r="G79" s="61">
        <v>0.51</v>
      </c>
      <c r="H79" s="61">
        <v>0.69</v>
      </c>
      <c r="I79" s="57">
        <f t="shared" si="10"/>
        <v>-1.1604938271604939</v>
      </c>
      <c r="J79" s="57">
        <f t="shared" si="11"/>
        <v>0.30769230769230765</v>
      </c>
      <c r="K79" s="57">
        <f t="shared" si="12"/>
        <v>0.35294117647058809</v>
      </c>
    </row>
    <row r="80" spans="4:11" x14ac:dyDescent="0.2">
      <c r="D80" s="8" t="s">
        <v>624</v>
      </c>
      <c r="E80" s="61">
        <v>0.6</v>
      </c>
      <c r="F80" s="61">
        <v>5.9</v>
      </c>
      <c r="G80" s="61">
        <v>9.24</v>
      </c>
      <c r="H80" s="61">
        <v>11.4</v>
      </c>
      <c r="I80" s="57">
        <f t="shared" si="10"/>
        <v>8.8333333333333357</v>
      </c>
      <c r="J80" s="57">
        <f t="shared" si="11"/>
        <v>0.56610169491525419</v>
      </c>
      <c r="K80" s="57">
        <f t="shared" si="12"/>
        <v>0.23376623376623379</v>
      </c>
    </row>
    <row r="81" spans="4:11" x14ac:dyDescent="0.2">
      <c r="D81" s="8" t="s">
        <v>625</v>
      </c>
      <c r="E81" s="61">
        <v>14.2</v>
      </c>
      <c r="F81" s="61">
        <v>18.399999999999999</v>
      </c>
      <c r="G81" s="61">
        <v>21.9</v>
      </c>
      <c r="H81" s="61">
        <v>25.7</v>
      </c>
      <c r="I81" s="57">
        <f t="shared" si="10"/>
        <v>0.29577464788732388</v>
      </c>
      <c r="J81" s="57">
        <f t="shared" si="11"/>
        <v>0.19021739130434784</v>
      </c>
      <c r="K81" s="57">
        <f t="shared" si="12"/>
        <v>0.17351598173515986</v>
      </c>
    </row>
    <row r="82" spans="4:11" x14ac:dyDescent="0.2">
      <c r="D82" s="8" t="s">
        <v>626</v>
      </c>
      <c r="E82" s="61">
        <v>25.3</v>
      </c>
      <c r="F82" s="61">
        <v>23.1</v>
      </c>
      <c r="G82" s="61">
        <v>24.7</v>
      </c>
      <c r="H82" s="61">
        <v>25.2</v>
      </c>
      <c r="I82" s="57">
        <f t="shared" si="10"/>
        <v>-8.6956521739130405E-2</v>
      </c>
      <c r="J82" s="57">
        <f t="shared" si="11"/>
        <v>6.9264069264069167E-2</v>
      </c>
      <c r="K82" s="57">
        <f t="shared" si="12"/>
        <v>2.0242914979757085E-2</v>
      </c>
    </row>
    <row r="83" spans="4:11" x14ac:dyDescent="0.2">
      <c r="D83" s="8" t="s">
        <v>627</v>
      </c>
      <c r="E83" s="61">
        <v>5.22</v>
      </c>
      <c r="F83" s="61">
        <v>6.57</v>
      </c>
      <c r="G83" s="61">
        <v>12.6</v>
      </c>
      <c r="H83" s="61">
        <v>19.100000000000001</v>
      </c>
      <c r="I83" s="57">
        <f t="shared" si="10"/>
        <v>0.25862068965517254</v>
      </c>
      <c r="J83" s="57">
        <f t="shared" si="11"/>
        <v>0.91780821917808209</v>
      </c>
      <c r="K83" s="57">
        <f t="shared" si="12"/>
        <v>0.51587301587301604</v>
      </c>
    </row>
    <row r="84" spans="4:11" x14ac:dyDescent="0.2">
      <c r="D84" s="8" t="s">
        <v>628</v>
      </c>
      <c r="E84" s="61">
        <v>9.34</v>
      </c>
      <c r="F84" s="61">
        <v>6.38</v>
      </c>
      <c r="G84" s="61">
        <v>7.94</v>
      </c>
      <c r="H84" s="61">
        <v>9.0500000000000007</v>
      </c>
      <c r="I84" s="57">
        <f t="shared" si="10"/>
        <v>-0.31691648822269808</v>
      </c>
      <c r="J84" s="57">
        <f t="shared" si="11"/>
        <v>0.24451410658307218</v>
      </c>
      <c r="K84" s="57">
        <f t="shared" si="12"/>
        <v>0.13979848866498745</v>
      </c>
    </row>
    <row r="85" spans="4:11" x14ac:dyDescent="0.2">
      <c r="D85" s="8" t="s">
        <v>629</v>
      </c>
      <c r="E85" s="61">
        <v>5.51</v>
      </c>
      <c r="F85" s="61">
        <v>8.7100000000000009</v>
      </c>
      <c r="G85" s="61">
        <v>10.4</v>
      </c>
      <c r="H85" s="61">
        <v>12.8</v>
      </c>
      <c r="I85" s="57">
        <f t="shared" si="10"/>
        <v>0.58076225045372076</v>
      </c>
      <c r="J85" s="57">
        <f t="shared" si="11"/>
        <v>0.19402985074626858</v>
      </c>
      <c r="K85" s="57">
        <f t="shared" si="12"/>
        <v>0.23076923076923078</v>
      </c>
    </row>
    <row r="86" spans="4:11" x14ac:dyDescent="0.2">
      <c r="D86" s="8" t="s">
        <v>630</v>
      </c>
      <c r="E86" s="61">
        <v>3.76</v>
      </c>
      <c r="F86" s="61">
        <v>4.9800000000000004</v>
      </c>
      <c r="G86" s="61">
        <v>5.22</v>
      </c>
      <c r="H86" s="61">
        <v>5.49</v>
      </c>
      <c r="I86" s="57">
        <f t="shared" si="10"/>
        <v>0.32446808510638314</v>
      </c>
      <c r="J86" s="57">
        <f t="shared" si="11"/>
        <v>4.8192771084337213E-2</v>
      </c>
      <c r="K86" s="57">
        <f t="shared" si="12"/>
        <v>5.1724137931034572E-2</v>
      </c>
    </row>
    <row r="87" spans="4:11" x14ac:dyDescent="0.2">
      <c r="D87" s="8" t="s">
        <v>631</v>
      </c>
      <c r="E87" s="61">
        <v>10.3</v>
      </c>
      <c r="F87" s="61">
        <v>12</v>
      </c>
      <c r="G87" s="61">
        <v>12.2</v>
      </c>
      <c r="H87" s="61">
        <v>12.9</v>
      </c>
      <c r="I87" s="57">
        <f t="shared" si="10"/>
        <v>0.16504854368932032</v>
      </c>
      <c r="J87" s="57">
        <f t="shared" si="11"/>
        <v>1.6666666666666607E-2</v>
      </c>
      <c r="K87" s="57">
        <f t="shared" si="12"/>
        <v>5.737704918032796E-2</v>
      </c>
    </row>
    <row r="88" spans="4:11" x14ac:dyDescent="0.2">
      <c r="D88" s="8" t="s">
        <v>632</v>
      </c>
      <c r="E88" s="61" t="s">
        <v>1021</v>
      </c>
      <c r="F88" s="61" t="s">
        <v>1021</v>
      </c>
      <c r="G88" s="61" t="s">
        <v>1021</v>
      </c>
      <c r="H88" s="61" t="s">
        <v>1022</v>
      </c>
      <c r="I88" s="57"/>
      <c r="J88" s="57"/>
      <c r="K88" s="57"/>
    </row>
    <row r="89" spans="4:11" x14ac:dyDescent="0.2">
      <c r="D89" s="8" t="s">
        <v>633</v>
      </c>
      <c r="E89" s="61">
        <v>7.73</v>
      </c>
      <c r="F89" s="61">
        <v>8.31</v>
      </c>
      <c r="G89" s="61">
        <v>9.65</v>
      </c>
      <c r="H89" s="61">
        <v>10.9</v>
      </c>
      <c r="I89" s="57">
        <f t="shared" ref="I89:I101" si="13">(F89-E89)/E89</f>
        <v>7.5032341526520052E-2</v>
      </c>
      <c r="J89" s="57">
        <f t="shared" ref="J89:J101" si="14">(G89-F89)/F89</f>
        <v>0.16125150421179299</v>
      </c>
      <c r="K89" s="57">
        <f t="shared" ref="K89:K101" si="15">(H89-G89)/G89</f>
        <v>0.12953367875647667</v>
      </c>
    </row>
    <row r="90" spans="4:11" x14ac:dyDescent="0.2">
      <c r="D90" s="8" t="s">
        <v>634</v>
      </c>
      <c r="E90" s="61">
        <v>2.75</v>
      </c>
      <c r="F90" s="61">
        <v>2.76</v>
      </c>
      <c r="G90" s="61">
        <v>3</v>
      </c>
      <c r="H90" s="61">
        <v>3.17</v>
      </c>
      <c r="I90" s="57">
        <f t="shared" si="13"/>
        <v>3.6363636363635587E-3</v>
      </c>
      <c r="J90" s="57">
        <f t="shared" si="14"/>
        <v>8.6956521739130516E-2</v>
      </c>
      <c r="K90" s="57">
        <f t="shared" si="15"/>
        <v>5.6666666666666643E-2</v>
      </c>
    </row>
    <row r="91" spans="4:11" x14ac:dyDescent="0.2">
      <c r="D91" s="8" t="s">
        <v>635</v>
      </c>
      <c r="E91" s="61">
        <v>18.5</v>
      </c>
      <c r="F91" s="61">
        <v>19.600000000000001</v>
      </c>
      <c r="G91" s="61">
        <v>22.5</v>
      </c>
      <c r="H91" s="61">
        <v>26.2</v>
      </c>
      <c r="I91" s="57">
        <f t="shared" si="13"/>
        <v>5.9459459459459539E-2</v>
      </c>
      <c r="J91" s="57">
        <f t="shared" si="14"/>
        <v>0.1479591836734693</v>
      </c>
      <c r="K91" s="57">
        <f t="shared" si="15"/>
        <v>0.16444444444444442</v>
      </c>
    </row>
    <row r="92" spans="4:11" x14ac:dyDescent="0.2">
      <c r="D92" s="8" t="s">
        <v>636</v>
      </c>
      <c r="E92" s="61">
        <v>3.74</v>
      </c>
      <c r="F92" s="61">
        <v>4.1900000000000004</v>
      </c>
      <c r="G92" s="61">
        <v>4.38</v>
      </c>
      <c r="H92" s="61">
        <v>4.66</v>
      </c>
      <c r="I92" s="57">
        <f t="shared" si="13"/>
        <v>0.1203208556149733</v>
      </c>
      <c r="J92" s="57">
        <f t="shared" si="14"/>
        <v>4.5346062052505846E-2</v>
      </c>
      <c r="K92" s="57">
        <f t="shared" si="15"/>
        <v>6.3926940639269458E-2</v>
      </c>
    </row>
    <row r="93" spans="4:11" x14ac:dyDescent="0.2">
      <c r="D93" s="8" t="s">
        <v>637</v>
      </c>
      <c r="E93" s="61">
        <v>1.34</v>
      </c>
      <c r="F93" s="61">
        <v>1.94</v>
      </c>
      <c r="G93" s="61">
        <v>2.08</v>
      </c>
      <c r="H93" s="61">
        <v>2.31</v>
      </c>
      <c r="I93" s="57">
        <f t="shared" si="13"/>
        <v>0.4477611940298506</v>
      </c>
      <c r="J93" s="57">
        <f t="shared" si="14"/>
        <v>7.216494845360831E-2</v>
      </c>
      <c r="K93" s="57">
        <f t="shared" si="15"/>
        <v>0.11057692307692306</v>
      </c>
    </row>
    <row r="94" spans="4:11" x14ac:dyDescent="0.2">
      <c r="D94" s="8" t="s">
        <v>638</v>
      </c>
      <c r="E94" s="61">
        <v>2.1800000000000002</v>
      </c>
      <c r="F94" s="61">
        <v>4.03</v>
      </c>
      <c r="G94" s="61">
        <v>3.16</v>
      </c>
      <c r="H94" s="61">
        <v>3.26</v>
      </c>
      <c r="I94" s="57">
        <f t="shared" si="13"/>
        <v>0.84862385321100919</v>
      </c>
      <c r="J94" s="57">
        <f t="shared" si="14"/>
        <v>-0.21588089330024815</v>
      </c>
      <c r="K94" s="57">
        <f t="shared" si="15"/>
        <v>3.1645569620253049E-2</v>
      </c>
    </row>
    <row r="95" spans="4:11" x14ac:dyDescent="0.2">
      <c r="D95" s="8" t="s">
        <v>639</v>
      </c>
      <c r="E95" s="61">
        <v>2.87</v>
      </c>
      <c r="F95" s="61">
        <v>3.18</v>
      </c>
      <c r="G95" s="61">
        <v>3.67</v>
      </c>
      <c r="H95" s="61">
        <v>4.8499999999999996</v>
      </c>
      <c r="I95" s="57">
        <f t="shared" si="13"/>
        <v>0.10801393728222998</v>
      </c>
      <c r="J95" s="57">
        <f t="shared" si="14"/>
        <v>0.15408805031446532</v>
      </c>
      <c r="K95" s="57">
        <f t="shared" si="15"/>
        <v>0.32152588555858302</v>
      </c>
    </row>
    <row r="96" spans="4:11" x14ac:dyDescent="0.2">
      <c r="D96" s="8" t="s">
        <v>640</v>
      </c>
      <c r="E96" s="61">
        <v>2.93</v>
      </c>
      <c r="F96" s="61">
        <v>2.95</v>
      </c>
      <c r="G96" s="61">
        <v>3.64</v>
      </c>
      <c r="H96" s="61">
        <v>4.28</v>
      </c>
      <c r="I96" s="57">
        <f t="shared" si="13"/>
        <v>6.8259385665529063E-3</v>
      </c>
      <c r="J96" s="57">
        <f t="shared" si="14"/>
        <v>0.23389830508474574</v>
      </c>
      <c r="K96" s="57">
        <f t="shared" si="15"/>
        <v>0.17582417582417587</v>
      </c>
    </row>
    <row r="97" spans="4:11" x14ac:dyDescent="0.2">
      <c r="D97" s="8" t="s">
        <v>641</v>
      </c>
      <c r="E97" s="61">
        <v>10.5</v>
      </c>
      <c r="F97" s="61">
        <v>14.2</v>
      </c>
      <c r="G97" s="61">
        <v>14.1</v>
      </c>
      <c r="H97" s="61">
        <v>15.7</v>
      </c>
      <c r="I97" s="57">
        <f t="shared" si="13"/>
        <v>0.35238095238095229</v>
      </c>
      <c r="J97" s="57">
        <f t="shared" si="14"/>
        <v>-7.0422535211267356E-3</v>
      </c>
      <c r="K97" s="57">
        <f t="shared" si="15"/>
        <v>0.11347517730496452</v>
      </c>
    </row>
    <row r="98" spans="4:11" x14ac:dyDescent="0.2">
      <c r="D98" s="8" t="s">
        <v>642</v>
      </c>
      <c r="E98" s="61">
        <v>1.19</v>
      </c>
      <c r="F98" s="61">
        <v>0.98</v>
      </c>
      <c r="G98" s="61">
        <v>1.37</v>
      </c>
      <c r="H98" s="61">
        <v>1.62</v>
      </c>
      <c r="I98" s="57">
        <f t="shared" si="13"/>
        <v>-0.1764705882352941</v>
      </c>
      <c r="J98" s="57">
        <f t="shared" si="14"/>
        <v>0.3979591836734695</v>
      </c>
      <c r="K98" s="57">
        <f t="shared" si="15"/>
        <v>0.18248175182481752</v>
      </c>
    </row>
    <row r="99" spans="4:11" x14ac:dyDescent="0.2">
      <c r="D99" s="8" t="s">
        <v>643</v>
      </c>
      <c r="E99" s="61">
        <v>5.32</v>
      </c>
      <c r="F99" s="61">
        <v>5.03</v>
      </c>
      <c r="G99" s="61">
        <v>4.07</v>
      </c>
      <c r="H99" s="61">
        <v>4.51</v>
      </c>
      <c r="I99" s="57">
        <f t="shared" si="13"/>
        <v>-5.4511278195488726E-2</v>
      </c>
      <c r="J99" s="57">
        <f t="shared" si="14"/>
        <v>-0.19085487077534791</v>
      </c>
      <c r="K99" s="57">
        <f t="shared" si="15"/>
        <v>0.10810810810810798</v>
      </c>
    </row>
    <row r="100" spans="4:11" x14ac:dyDescent="0.2">
      <c r="D100" s="8" t="s">
        <v>644</v>
      </c>
      <c r="E100" s="61">
        <v>9.49</v>
      </c>
      <c r="F100" s="61">
        <v>10.1</v>
      </c>
      <c r="G100" s="61">
        <v>11.4</v>
      </c>
      <c r="H100" s="61">
        <v>13.3</v>
      </c>
      <c r="I100" s="57">
        <f t="shared" si="13"/>
        <v>6.4278187565858735E-2</v>
      </c>
      <c r="J100" s="57">
        <f t="shared" si="14"/>
        <v>0.1287128712871288</v>
      </c>
      <c r="K100" s="57">
        <f t="shared" si="15"/>
        <v>0.16666666666666669</v>
      </c>
    </row>
    <row r="101" spans="4:11" x14ac:dyDescent="0.2">
      <c r="D101" s="8" t="s">
        <v>645</v>
      </c>
      <c r="E101" s="61">
        <v>10.7</v>
      </c>
      <c r="F101" s="61">
        <v>11.2</v>
      </c>
      <c r="G101" s="61">
        <v>11.9</v>
      </c>
      <c r="H101" s="61">
        <v>12.4</v>
      </c>
      <c r="I101" s="57">
        <f t="shared" si="13"/>
        <v>4.6728971962616828E-2</v>
      </c>
      <c r="J101" s="57">
        <f t="shared" si="14"/>
        <v>6.2500000000000097E-2</v>
      </c>
      <c r="K101" s="57">
        <f t="shared" si="15"/>
        <v>4.2016806722689072E-2</v>
      </c>
    </row>
    <row r="102" spans="4:11" x14ac:dyDescent="0.2">
      <c r="D102" s="8" t="s">
        <v>646</v>
      </c>
      <c r="E102" s="61" t="s">
        <v>1021</v>
      </c>
      <c r="F102" s="61" t="s">
        <v>1021</v>
      </c>
      <c r="G102" s="61" t="s">
        <v>1021</v>
      </c>
      <c r="H102" s="61" t="s">
        <v>1022</v>
      </c>
      <c r="I102" s="57"/>
      <c r="J102" s="57"/>
      <c r="K102" s="57"/>
    </row>
    <row r="103" spans="4:11" x14ac:dyDescent="0.2">
      <c r="D103" s="8" t="s">
        <v>1023</v>
      </c>
      <c r="E103" s="61">
        <v>2.87</v>
      </c>
      <c r="F103" s="61">
        <v>1.96</v>
      </c>
      <c r="G103" s="61">
        <v>1.45</v>
      </c>
      <c r="H103" s="61">
        <v>1.41</v>
      </c>
      <c r="I103" s="57">
        <f t="shared" ref="I103:K104" si="16">(F103-E103)/E103</f>
        <v>-0.31707317073170738</v>
      </c>
      <c r="J103" s="57">
        <f t="shared" si="16"/>
        <v>-0.26020408163265307</v>
      </c>
      <c r="K103" s="57">
        <f t="shared" si="16"/>
        <v>-2.7586206896551748E-2</v>
      </c>
    </row>
    <row r="104" spans="4:11" x14ac:dyDescent="0.2">
      <c r="D104" s="8" t="s">
        <v>647</v>
      </c>
      <c r="E104" s="61">
        <v>9.52</v>
      </c>
      <c r="F104" s="61">
        <v>11.4</v>
      </c>
      <c r="G104" s="61">
        <v>12.3</v>
      </c>
      <c r="H104" s="61">
        <v>12.7</v>
      </c>
      <c r="I104" s="57">
        <f t="shared" si="16"/>
        <v>0.19747899159663876</v>
      </c>
      <c r="J104" s="57">
        <f t="shared" si="16"/>
        <v>7.8947368421052655E-2</v>
      </c>
      <c r="K104" s="57">
        <f t="shared" si="16"/>
        <v>3.2520325203251918E-2</v>
      </c>
    </row>
    <row r="105" spans="4:11" x14ac:dyDescent="0.2">
      <c r="D105" s="8" t="s">
        <v>1024</v>
      </c>
      <c r="E105" s="61" t="s">
        <v>1021</v>
      </c>
      <c r="F105" s="61" t="s">
        <v>1021</v>
      </c>
      <c r="G105" s="61" t="s">
        <v>1021</v>
      </c>
      <c r="H105" s="61" t="s">
        <v>1022</v>
      </c>
      <c r="I105" s="57"/>
      <c r="J105" s="57"/>
      <c r="K105" s="57"/>
    </row>
    <row r="106" spans="4:11" x14ac:dyDescent="0.2">
      <c r="D106" s="8" t="s">
        <v>648</v>
      </c>
      <c r="E106" s="61">
        <v>4.7300000000000004</v>
      </c>
      <c r="F106" s="61">
        <v>4.87</v>
      </c>
      <c r="G106" s="61">
        <v>5.19</v>
      </c>
      <c r="H106" s="61">
        <v>5.56</v>
      </c>
      <c r="I106" s="57">
        <f t="shared" ref="I106:I147" si="17">(F106-E106)/E106</f>
        <v>2.9598308668076039E-2</v>
      </c>
      <c r="J106" s="57">
        <f t="shared" ref="J106:J147" si="18">(G106-F106)/F106</f>
        <v>6.5708418891170489E-2</v>
      </c>
      <c r="K106" s="57">
        <f t="shared" ref="K106:K147" si="19">(H106-G106)/G106</f>
        <v>7.129094412331391E-2</v>
      </c>
    </row>
    <row r="107" spans="4:11" x14ac:dyDescent="0.2">
      <c r="D107" s="8" t="s">
        <v>649</v>
      </c>
      <c r="E107" s="61">
        <v>10.199999999999999</v>
      </c>
      <c r="F107" s="61">
        <v>11.7</v>
      </c>
      <c r="G107" s="61">
        <v>12.9</v>
      </c>
      <c r="H107" s="61">
        <v>14.2</v>
      </c>
      <c r="I107" s="57">
        <f t="shared" si="17"/>
        <v>0.14705882352941177</v>
      </c>
      <c r="J107" s="57">
        <f t="shared" si="18"/>
        <v>0.10256410256410266</v>
      </c>
      <c r="K107" s="57">
        <f t="shared" si="19"/>
        <v>0.10077519379844953</v>
      </c>
    </row>
    <row r="108" spans="4:11" x14ac:dyDescent="0.2">
      <c r="D108" s="8" t="s">
        <v>650</v>
      </c>
      <c r="E108" s="61">
        <v>11.2</v>
      </c>
      <c r="F108" s="61">
        <v>11.9</v>
      </c>
      <c r="G108" s="61">
        <v>13.1</v>
      </c>
      <c r="H108" s="61">
        <v>14.3</v>
      </c>
      <c r="I108" s="57">
        <f t="shared" si="17"/>
        <v>6.2500000000000097E-2</v>
      </c>
      <c r="J108" s="57">
        <f t="shared" si="18"/>
        <v>0.10084033613445371</v>
      </c>
      <c r="K108" s="57">
        <f t="shared" si="19"/>
        <v>9.1603053435114587E-2</v>
      </c>
    </row>
    <row r="109" spans="4:11" x14ac:dyDescent="0.2">
      <c r="D109" s="8" t="s">
        <v>651</v>
      </c>
      <c r="E109" s="61">
        <v>3.84</v>
      </c>
      <c r="F109" s="61">
        <v>4.1500000000000004</v>
      </c>
      <c r="G109" s="61">
        <v>4.51</v>
      </c>
      <c r="H109" s="61">
        <v>5.01</v>
      </c>
      <c r="I109" s="57">
        <f t="shared" si="17"/>
        <v>8.0729166666666796E-2</v>
      </c>
      <c r="J109" s="57">
        <f t="shared" si="18"/>
        <v>8.6746987951807089E-2</v>
      </c>
      <c r="K109" s="57">
        <f t="shared" si="19"/>
        <v>0.11086474501108648</v>
      </c>
    </row>
    <row r="110" spans="4:11" x14ac:dyDescent="0.2">
      <c r="D110" s="8" t="s">
        <v>652</v>
      </c>
      <c r="E110" s="61">
        <v>-15.3</v>
      </c>
      <c r="F110" s="61">
        <v>-9.42</v>
      </c>
      <c r="G110" s="61">
        <v>2.5</v>
      </c>
      <c r="H110" s="61">
        <v>5.22</v>
      </c>
      <c r="I110" s="57">
        <f t="shared" si="17"/>
        <v>-0.3843137254901961</v>
      </c>
      <c r="J110" s="57">
        <f t="shared" si="18"/>
        <v>-1.2653927813163481</v>
      </c>
      <c r="K110" s="57">
        <f t="shared" si="19"/>
        <v>1.0879999999999999</v>
      </c>
    </row>
    <row r="111" spans="4:11" x14ac:dyDescent="0.2">
      <c r="D111" s="8" t="s">
        <v>653</v>
      </c>
      <c r="E111" s="61">
        <v>3.23</v>
      </c>
      <c r="F111" s="61">
        <v>3.88</v>
      </c>
      <c r="G111" s="61">
        <v>4.8499999999999996</v>
      </c>
      <c r="H111" s="61">
        <v>5.47</v>
      </c>
      <c r="I111" s="57">
        <f t="shared" si="17"/>
        <v>0.20123839009287922</v>
      </c>
      <c r="J111" s="57">
        <f t="shared" si="18"/>
        <v>0.24999999999999994</v>
      </c>
      <c r="K111" s="57">
        <f t="shared" si="19"/>
        <v>0.12783505154639177</v>
      </c>
    </row>
    <row r="112" spans="4:11" x14ac:dyDescent="0.2">
      <c r="D112" s="8" t="s">
        <v>654</v>
      </c>
      <c r="E112" s="61">
        <v>6.59</v>
      </c>
      <c r="F112" s="61">
        <v>7.96</v>
      </c>
      <c r="G112" s="61">
        <v>9.2100000000000009</v>
      </c>
      <c r="H112" s="61">
        <v>10.199999999999999</v>
      </c>
      <c r="I112" s="57">
        <f t="shared" si="17"/>
        <v>0.20789074355083462</v>
      </c>
      <c r="J112" s="57">
        <f t="shared" si="18"/>
        <v>0.15703517587939711</v>
      </c>
      <c r="K112" s="57">
        <f t="shared" si="19"/>
        <v>0.10749185667752426</v>
      </c>
    </row>
    <row r="113" spans="4:11" x14ac:dyDescent="0.2">
      <c r="D113" s="8" t="s">
        <v>655</v>
      </c>
      <c r="E113" s="61">
        <v>26.6</v>
      </c>
      <c r="F113" s="61">
        <v>27.4</v>
      </c>
      <c r="G113" s="61">
        <v>30.5</v>
      </c>
      <c r="H113" s="61">
        <v>33.4</v>
      </c>
      <c r="I113" s="57">
        <f t="shared" si="17"/>
        <v>3.0075187969924703E-2</v>
      </c>
      <c r="J113" s="57">
        <f t="shared" si="18"/>
        <v>0.11313868613138692</v>
      </c>
      <c r="K113" s="57">
        <f t="shared" si="19"/>
        <v>9.508196721311471E-2</v>
      </c>
    </row>
    <row r="114" spans="4:11" x14ac:dyDescent="0.2">
      <c r="D114" s="8" t="s">
        <v>656</v>
      </c>
      <c r="E114" s="61">
        <v>4.03</v>
      </c>
      <c r="F114" s="61">
        <v>5.82</v>
      </c>
      <c r="G114" s="61">
        <v>6.83</v>
      </c>
      <c r="H114" s="61">
        <v>7.77</v>
      </c>
      <c r="I114" s="57">
        <f t="shared" si="17"/>
        <v>0.44416873449131511</v>
      </c>
      <c r="J114" s="57">
        <f t="shared" si="18"/>
        <v>0.17353951890034361</v>
      </c>
      <c r="K114" s="57">
        <f t="shared" si="19"/>
        <v>0.13762811127379201</v>
      </c>
    </row>
    <row r="115" spans="4:11" x14ac:dyDescent="0.2">
      <c r="D115" s="8" t="s">
        <v>657</v>
      </c>
      <c r="E115" s="61">
        <v>11.5</v>
      </c>
      <c r="F115" s="61">
        <v>5.45</v>
      </c>
      <c r="G115" s="61">
        <v>2.69</v>
      </c>
      <c r="H115" s="61">
        <v>5.38</v>
      </c>
      <c r="I115" s="57">
        <f t="shared" si="17"/>
        <v>-0.52608695652173909</v>
      </c>
      <c r="J115" s="57">
        <f t="shared" si="18"/>
        <v>-0.50642201834862388</v>
      </c>
      <c r="K115" s="57">
        <f t="shared" si="19"/>
        <v>1</v>
      </c>
    </row>
    <row r="116" spans="4:11" x14ac:dyDescent="0.2">
      <c r="D116" s="8" t="s">
        <v>658</v>
      </c>
      <c r="E116" s="61">
        <v>5.53</v>
      </c>
      <c r="F116" s="61">
        <v>6.72</v>
      </c>
      <c r="G116" s="61">
        <v>6.5</v>
      </c>
      <c r="H116" s="61">
        <v>6.18</v>
      </c>
      <c r="I116" s="57">
        <f t="shared" si="17"/>
        <v>0.21518987341772142</v>
      </c>
      <c r="J116" s="57">
        <f t="shared" si="18"/>
        <v>-3.2738095238095205E-2</v>
      </c>
      <c r="K116" s="57">
        <f t="shared" si="19"/>
        <v>-4.9230769230769272E-2</v>
      </c>
    </row>
    <row r="117" spans="4:11" x14ac:dyDescent="0.2">
      <c r="D117" s="8" t="s">
        <v>39</v>
      </c>
      <c r="E117" s="61">
        <v>7.24</v>
      </c>
      <c r="F117" s="61">
        <v>10</v>
      </c>
      <c r="G117" s="61">
        <v>11.2</v>
      </c>
      <c r="H117" s="61">
        <v>12.9</v>
      </c>
      <c r="I117" s="57">
        <f t="shared" si="17"/>
        <v>0.38121546961325964</v>
      </c>
      <c r="J117" s="57">
        <f t="shared" si="18"/>
        <v>0.11999999999999993</v>
      </c>
      <c r="K117" s="57">
        <f t="shared" si="19"/>
        <v>0.15178571428571438</v>
      </c>
    </row>
    <row r="118" spans="4:11" x14ac:dyDescent="0.2">
      <c r="D118" s="8" t="s">
        <v>659</v>
      </c>
      <c r="E118" s="61">
        <v>4.5599999999999996</v>
      </c>
      <c r="F118" s="61">
        <v>6.39</v>
      </c>
      <c r="G118" s="61">
        <v>8.15</v>
      </c>
      <c r="H118" s="61">
        <v>9.77</v>
      </c>
      <c r="I118" s="57">
        <f t="shared" si="17"/>
        <v>0.40131578947368424</v>
      </c>
      <c r="J118" s="57">
        <f t="shared" si="18"/>
        <v>0.27543035993740234</v>
      </c>
      <c r="K118" s="57">
        <f t="shared" si="19"/>
        <v>0.19877300613496923</v>
      </c>
    </row>
    <row r="119" spans="4:11" x14ac:dyDescent="0.2">
      <c r="D119" s="8" t="s">
        <v>660</v>
      </c>
      <c r="E119" s="61">
        <v>8.09</v>
      </c>
      <c r="F119" s="61">
        <v>3.36</v>
      </c>
      <c r="G119" s="61">
        <v>4.72</v>
      </c>
      <c r="H119" s="61">
        <v>6.92</v>
      </c>
      <c r="I119" s="57">
        <f t="shared" si="17"/>
        <v>-0.58467243510506806</v>
      </c>
      <c r="J119" s="57">
        <f t="shared" si="18"/>
        <v>0.40476190476190477</v>
      </c>
      <c r="K119" s="57">
        <f t="shared" si="19"/>
        <v>0.46610169491525427</v>
      </c>
    </row>
    <row r="120" spans="4:11" x14ac:dyDescent="0.2">
      <c r="D120" s="8" t="s">
        <v>661</v>
      </c>
      <c r="E120" s="61">
        <v>-0.01</v>
      </c>
      <c r="F120" s="61">
        <v>4.17</v>
      </c>
      <c r="G120" s="61">
        <v>5.27</v>
      </c>
      <c r="H120" s="61">
        <v>5.71</v>
      </c>
      <c r="I120" s="57">
        <f t="shared" si="17"/>
        <v>-417.99999999999994</v>
      </c>
      <c r="J120" s="57">
        <f t="shared" si="18"/>
        <v>0.26378896882493996</v>
      </c>
      <c r="K120" s="57">
        <f t="shared" si="19"/>
        <v>8.3491461100569347E-2</v>
      </c>
    </row>
    <row r="121" spans="4:11" x14ac:dyDescent="0.2">
      <c r="D121" s="8" t="s">
        <v>662</v>
      </c>
      <c r="E121" s="61">
        <v>4.59</v>
      </c>
      <c r="F121" s="61">
        <v>6.68</v>
      </c>
      <c r="G121" s="61">
        <v>9.39</v>
      </c>
      <c r="H121" s="61">
        <v>11.1</v>
      </c>
      <c r="I121" s="57">
        <f t="shared" si="17"/>
        <v>0.45533769063180829</v>
      </c>
      <c r="J121" s="57">
        <f t="shared" si="18"/>
        <v>0.40568862275449119</v>
      </c>
      <c r="K121" s="57">
        <f t="shared" si="19"/>
        <v>0.18210862619808296</v>
      </c>
    </row>
    <row r="122" spans="4:11" x14ac:dyDescent="0.2">
      <c r="D122" s="8" t="s">
        <v>663</v>
      </c>
      <c r="E122" s="61">
        <v>4.45</v>
      </c>
      <c r="F122" s="61">
        <v>3.99</v>
      </c>
      <c r="G122" s="61">
        <v>4.62</v>
      </c>
      <c r="H122" s="61">
        <v>5.0199999999999996</v>
      </c>
      <c r="I122" s="57">
        <f t="shared" si="17"/>
        <v>-0.10337078651685393</v>
      </c>
      <c r="J122" s="57">
        <f t="shared" si="18"/>
        <v>0.15789473684210523</v>
      </c>
      <c r="K122" s="57">
        <f t="shared" si="19"/>
        <v>8.6580086580086466E-2</v>
      </c>
    </row>
    <row r="123" spans="4:11" x14ac:dyDescent="0.2">
      <c r="D123" s="8" t="s">
        <v>664</v>
      </c>
      <c r="E123" s="61">
        <v>9.51</v>
      </c>
      <c r="F123" s="61">
        <v>10.6</v>
      </c>
      <c r="G123" s="61">
        <v>11.9</v>
      </c>
      <c r="H123" s="61">
        <v>13.5</v>
      </c>
      <c r="I123" s="57">
        <f t="shared" si="17"/>
        <v>0.11461619348054677</v>
      </c>
      <c r="J123" s="57">
        <f t="shared" si="18"/>
        <v>0.12264150943396233</v>
      </c>
      <c r="K123" s="57">
        <f t="shared" si="19"/>
        <v>0.13445378151260501</v>
      </c>
    </row>
    <row r="124" spans="4:11" x14ac:dyDescent="0.2">
      <c r="D124" s="8" t="s">
        <v>665</v>
      </c>
      <c r="E124" s="61">
        <v>7.87</v>
      </c>
      <c r="F124" s="61">
        <v>6.64</v>
      </c>
      <c r="G124" s="61">
        <v>6.96</v>
      </c>
      <c r="H124" s="61">
        <v>6.81</v>
      </c>
      <c r="I124" s="57">
        <f t="shared" si="17"/>
        <v>-0.15628970775095305</v>
      </c>
      <c r="J124" s="57">
        <f t="shared" si="18"/>
        <v>4.8192771084337394E-2</v>
      </c>
      <c r="K124" s="57">
        <f t="shared" si="19"/>
        <v>-2.1551724137931084E-2</v>
      </c>
    </row>
    <row r="125" spans="4:11" x14ac:dyDescent="0.2">
      <c r="D125" s="8" t="s">
        <v>666</v>
      </c>
      <c r="E125" s="61">
        <v>3.38</v>
      </c>
      <c r="F125" s="61">
        <v>4.95</v>
      </c>
      <c r="G125" s="61">
        <v>5.78</v>
      </c>
      <c r="H125" s="61">
        <v>6.74</v>
      </c>
      <c r="I125" s="57">
        <f t="shared" si="17"/>
        <v>0.46449704142011844</v>
      </c>
      <c r="J125" s="57">
        <f t="shared" si="18"/>
        <v>0.16767676767676767</v>
      </c>
      <c r="K125" s="57">
        <f t="shared" si="19"/>
        <v>0.16608996539792387</v>
      </c>
    </row>
    <row r="126" spans="4:11" x14ac:dyDescent="0.2">
      <c r="D126" s="8" t="s">
        <v>667</v>
      </c>
      <c r="E126" s="61">
        <v>1.53</v>
      </c>
      <c r="F126" s="61">
        <v>1.48</v>
      </c>
      <c r="G126" s="61">
        <v>2.0299999999999998</v>
      </c>
      <c r="H126" s="61">
        <v>2.29</v>
      </c>
      <c r="I126" s="57">
        <f t="shared" si="17"/>
        <v>-3.2679738562091533E-2</v>
      </c>
      <c r="J126" s="57">
        <f t="shared" si="18"/>
        <v>0.37162162162162149</v>
      </c>
      <c r="K126" s="57">
        <f t="shared" si="19"/>
        <v>0.12807881773399027</v>
      </c>
    </row>
    <row r="127" spans="4:11" x14ac:dyDescent="0.2">
      <c r="D127" s="8" t="s">
        <v>668</v>
      </c>
      <c r="E127" s="61">
        <v>3.9</v>
      </c>
      <c r="F127" s="61">
        <v>4.01</v>
      </c>
      <c r="G127" s="61">
        <v>4.38</v>
      </c>
      <c r="H127" s="61">
        <v>4.67</v>
      </c>
      <c r="I127" s="57">
        <f t="shared" si="17"/>
        <v>2.8205128205128174E-2</v>
      </c>
      <c r="J127" s="57">
        <f t="shared" si="18"/>
        <v>9.2269326683291797E-2</v>
      </c>
      <c r="K127" s="57">
        <f t="shared" si="19"/>
        <v>6.6210045662100467E-2</v>
      </c>
    </row>
    <row r="128" spans="4:11" x14ac:dyDescent="0.2">
      <c r="D128" s="8" t="s">
        <v>669</v>
      </c>
      <c r="E128" s="61">
        <v>21.6</v>
      </c>
      <c r="F128" s="61">
        <v>30.3</v>
      </c>
      <c r="G128" s="61">
        <v>30.2</v>
      </c>
      <c r="H128" s="61">
        <v>30.1</v>
      </c>
      <c r="I128" s="57">
        <f t="shared" si="17"/>
        <v>0.40277777777777773</v>
      </c>
      <c r="J128" s="57">
        <f t="shared" si="18"/>
        <v>-3.3003300330033472E-3</v>
      </c>
      <c r="K128" s="57">
        <f t="shared" si="19"/>
        <v>-3.3112582781456247E-3</v>
      </c>
    </row>
    <row r="129" spans="4:11" x14ac:dyDescent="0.2">
      <c r="D129" s="8" t="s">
        <v>670</v>
      </c>
      <c r="E129" s="61">
        <v>7.6</v>
      </c>
      <c r="F129" s="61">
        <v>7.65</v>
      </c>
      <c r="G129" s="61">
        <v>8.15</v>
      </c>
      <c r="H129" s="61">
        <v>8.6199999999999992</v>
      </c>
      <c r="I129" s="57">
        <f t="shared" si="17"/>
        <v>6.5789473684211468E-3</v>
      </c>
      <c r="J129" s="57">
        <f t="shared" si="18"/>
        <v>6.535947712418301E-2</v>
      </c>
      <c r="K129" s="57">
        <f t="shared" si="19"/>
        <v>5.7668711656441579E-2</v>
      </c>
    </row>
    <row r="130" spans="4:11" x14ac:dyDescent="0.2">
      <c r="D130" s="8" t="s">
        <v>671</v>
      </c>
      <c r="E130" s="61">
        <v>4.42</v>
      </c>
      <c r="F130" s="61">
        <v>6.07</v>
      </c>
      <c r="G130" s="61">
        <v>5.53</v>
      </c>
      <c r="H130" s="61">
        <v>5.92</v>
      </c>
      <c r="I130" s="57">
        <f t="shared" si="17"/>
        <v>0.37330316742081454</v>
      </c>
      <c r="J130" s="57">
        <f t="shared" si="18"/>
        <v>-8.8962108731466233E-2</v>
      </c>
      <c r="K130" s="57">
        <f t="shared" si="19"/>
        <v>7.0524412296564129E-2</v>
      </c>
    </row>
    <row r="131" spans="4:11" x14ac:dyDescent="0.2">
      <c r="D131" s="8" t="s">
        <v>672</v>
      </c>
      <c r="E131" s="61">
        <v>2.0699999999999998</v>
      </c>
      <c r="F131" s="61">
        <v>3.15</v>
      </c>
      <c r="G131" s="61">
        <v>2.99</v>
      </c>
      <c r="H131" s="61">
        <v>3</v>
      </c>
      <c r="I131" s="57">
        <f t="shared" si="17"/>
        <v>0.52173913043478271</v>
      </c>
      <c r="J131" s="57">
        <f t="shared" si="18"/>
        <v>-5.0793650793650696E-2</v>
      </c>
      <c r="K131" s="57">
        <f t="shared" si="19"/>
        <v>3.344481605351099E-3</v>
      </c>
    </row>
    <row r="132" spans="4:11" x14ac:dyDescent="0.2">
      <c r="D132" s="8" t="s">
        <v>673</v>
      </c>
      <c r="E132" s="61">
        <v>2.4500000000000002</v>
      </c>
      <c r="F132" s="61">
        <v>2.66</v>
      </c>
      <c r="G132" s="61">
        <v>2.66</v>
      </c>
      <c r="H132" s="61">
        <v>2.95</v>
      </c>
      <c r="I132" s="57">
        <f t="shared" si="17"/>
        <v>8.5714285714285687E-2</v>
      </c>
      <c r="J132" s="57">
        <f t="shared" si="18"/>
        <v>0</v>
      </c>
      <c r="K132" s="57">
        <f t="shared" si="19"/>
        <v>0.10902255639097745</v>
      </c>
    </row>
    <row r="133" spans="4:11" x14ac:dyDescent="0.2">
      <c r="D133" s="8" t="s">
        <v>674</v>
      </c>
      <c r="E133" s="61">
        <v>4.82</v>
      </c>
      <c r="F133" s="61">
        <v>5.88</v>
      </c>
      <c r="G133" s="61">
        <v>6.67</v>
      </c>
      <c r="H133" s="61">
        <v>7.37</v>
      </c>
      <c r="I133" s="57">
        <f t="shared" si="17"/>
        <v>0.21991701244813269</v>
      </c>
      <c r="J133" s="57">
        <f t="shared" si="18"/>
        <v>0.13435374149659865</v>
      </c>
      <c r="K133" s="57">
        <f t="shared" si="19"/>
        <v>0.10494752623688158</v>
      </c>
    </row>
    <row r="134" spans="4:11" x14ac:dyDescent="0.2">
      <c r="D134" s="8" t="s">
        <v>675</v>
      </c>
      <c r="E134" s="61">
        <v>4.91</v>
      </c>
      <c r="F134" s="61">
        <v>5.7</v>
      </c>
      <c r="G134" s="61">
        <v>5.6</v>
      </c>
      <c r="H134" s="61">
        <v>5.94</v>
      </c>
      <c r="I134" s="57">
        <f t="shared" si="17"/>
        <v>0.16089613034623218</v>
      </c>
      <c r="J134" s="57">
        <f t="shared" si="18"/>
        <v>-1.75438596491229E-2</v>
      </c>
      <c r="K134" s="57">
        <f t="shared" si="19"/>
        <v>6.0714285714285852E-2</v>
      </c>
    </row>
    <row r="135" spans="4:11" x14ac:dyDescent="0.2">
      <c r="D135" s="8" t="s">
        <v>676</v>
      </c>
      <c r="E135" s="61">
        <v>3.23</v>
      </c>
      <c r="F135" s="61">
        <v>2.86</v>
      </c>
      <c r="G135" s="61">
        <v>3.35</v>
      </c>
      <c r="H135" s="61">
        <v>4.17</v>
      </c>
      <c r="I135" s="57">
        <f t="shared" si="17"/>
        <v>-0.1145510835913313</v>
      </c>
      <c r="J135" s="57">
        <f t="shared" si="18"/>
        <v>0.17132867132867141</v>
      </c>
      <c r="K135" s="57">
        <f t="shared" si="19"/>
        <v>0.24477611940298502</v>
      </c>
    </row>
    <row r="136" spans="4:11" x14ac:dyDescent="0.2">
      <c r="D136" s="8" t="s">
        <v>677</v>
      </c>
      <c r="E136" s="61">
        <v>11.7</v>
      </c>
      <c r="F136" s="61">
        <v>17.399999999999999</v>
      </c>
      <c r="G136" s="61">
        <v>21.9</v>
      </c>
      <c r="H136" s="61">
        <v>24.6</v>
      </c>
      <c r="I136" s="57">
        <f t="shared" si="17"/>
        <v>0.48717948717948717</v>
      </c>
      <c r="J136" s="57">
        <f t="shared" si="18"/>
        <v>0.25862068965517243</v>
      </c>
      <c r="K136" s="57">
        <f t="shared" si="19"/>
        <v>0.12328767123287684</v>
      </c>
    </row>
    <row r="137" spans="4:11" x14ac:dyDescent="0.2">
      <c r="D137" s="8" t="s">
        <v>678</v>
      </c>
      <c r="E137" s="61">
        <v>5.89</v>
      </c>
      <c r="F137" s="61">
        <v>5.0999999999999996</v>
      </c>
      <c r="G137" s="61">
        <v>5.61</v>
      </c>
      <c r="H137" s="61">
        <v>6.68</v>
      </c>
      <c r="I137" s="57">
        <f t="shared" si="17"/>
        <v>-0.13412563667232599</v>
      </c>
      <c r="J137" s="57">
        <f t="shared" si="18"/>
        <v>0.10000000000000014</v>
      </c>
      <c r="K137" s="57">
        <f t="shared" si="19"/>
        <v>0.19073083778966121</v>
      </c>
    </row>
    <row r="138" spans="4:11" x14ac:dyDescent="0.2">
      <c r="D138" s="8" t="s">
        <v>679</v>
      </c>
      <c r="E138" s="61">
        <v>5.56</v>
      </c>
      <c r="F138" s="61">
        <v>6.41</v>
      </c>
      <c r="G138" s="61">
        <v>6.6</v>
      </c>
      <c r="H138" s="61">
        <v>8.17</v>
      </c>
      <c r="I138" s="57">
        <f t="shared" si="17"/>
        <v>0.15287769784172672</v>
      </c>
      <c r="J138" s="57">
        <f t="shared" si="18"/>
        <v>2.9641185647425818E-2</v>
      </c>
      <c r="K138" s="57">
        <f t="shared" si="19"/>
        <v>0.23787878787878794</v>
      </c>
    </row>
    <row r="139" spans="4:11" x14ac:dyDescent="0.2">
      <c r="D139" s="8" t="s">
        <v>680</v>
      </c>
      <c r="E139" s="61">
        <v>2.97</v>
      </c>
      <c r="F139" s="61">
        <v>2.99</v>
      </c>
      <c r="G139" s="61">
        <v>3.57</v>
      </c>
      <c r="H139" s="61">
        <v>3.94</v>
      </c>
      <c r="I139" s="57">
        <f t="shared" si="17"/>
        <v>6.7340067340067398E-3</v>
      </c>
      <c r="J139" s="57">
        <f t="shared" si="18"/>
        <v>0.19397993311036776</v>
      </c>
      <c r="K139" s="57">
        <f t="shared" si="19"/>
        <v>0.10364145658263309</v>
      </c>
    </row>
    <row r="140" spans="4:11" x14ac:dyDescent="0.2">
      <c r="D140" s="8" t="s">
        <v>681</v>
      </c>
      <c r="E140" s="61">
        <v>11.8</v>
      </c>
      <c r="F140" s="61">
        <v>8.19</v>
      </c>
      <c r="G140" s="61">
        <v>10.6</v>
      </c>
      <c r="H140" s="61">
        <v>8.85</v>
      </c>
      <c r="I140" s="57">
        <f t="shared" si="17"/>
        <v>-0.30593220338983057</v>
      </c>
      <c r="J140" s="57">
        <f t="shared" si="18"/>
        <v>0.29426129426129427</v>
      </c>
      <c r="K140" s="57">
        <f t="shared" si="19"/>
        <v>-0.16509433962264153</v>
      </c>
    </row>
    <row r="141" spans="4:11" x14ac:dyDescent="0.2">
      <c r="D141" s="8" t="s">
        <v>682</v>
      </c>
      <c r="E141" s="61">
        <v>11.8</v>
      </c>
      <c r="F141" s="61">
        <v>11.2</v>
      </c>
      <c r="G141" s="61">
        <v>11.9</v>
      </c>
      <c r="H141" s="61">
        <v>12.9</v>
      </c>
      <c r="I141" s="57">
        <f t="shared" si="17"/>
        <v>-5.0847457627118758E-2</v>
      </c>
      <c r="J141" s="57">
        <f t="shared" si="18"/>
        <v>6.2500000000000097E-2</v>
      </c>
      <c r="K141" s="57">
        <f t="shared" si="19"/>
        <v>8.4033613445378144E-2</v>
      </c>
    </row>
    <row r="142" spans="4:11" x14ac:dyDescent="0.2">
      <c r="D142" s="8" t="s">
        <v>683</v>
      </c>
      <c r="E142" s="61">
        <v>8.5399999999999991</v>
      </c>
      <c r="F142" s="61">
        <v>7.53</v>
      </c>
      <c r="G142" s="61">
        <v>7.8</v>
      </c>
      <c r="H142" s="61">
        <v>8</v>
      </c>
      <c r="I142" s="57">
        <f t="shared" si="17"/>
        <v>-0.11826697892271651</v>
      </c>
      <c r="J142" s="57">
        <f t="shared" si="18"/>
        <v>3.5856573705179223E-2</v>
      </c>
      <c r="K142" s="57">
        <f t="shared" si="19"/>
        <v>2.5641025641025664E-2</v>
      </c>
    </row>
    <row r="143" spans="4:11" x14ac:dyDescent="0.2">
      <c r="D143" s="8" t="s">
        <v>684</v>
      </c>
      <c r="E143" s="61">
        <v>12.2</v>
      </c>
      <c r="F143" s="61">
        <v>18</v>
      </c>
      <c r="G143" s="61">
        <v>18.399999999999999</v>
      </c>
      <c r="H143" s="61">
        <v>21.3</v>
      </c>
      <c r="I143" s="57">
        <f t="shared" si="17"/>
        <v>0.47540983606557385</v>
      </c>
      <c r="J143" s="57">
        <f t="shared" si="18"/>
        <v>2.2222222222222143E-2</v>
      </c>
      <c r="K143" s="57">
        <f t="shared" si="19"/>
        <v>0.15760869565217403</v>
      </c>
    </row>
    <row r="144" spans="4:11" x14ac:dyDescent="0.2">
      <c r="D144" s="8" t="s">
        <v>685</v>
      </c>
      <c r="E144" s="61">
        <v>3.97</v>
      </c>
      <c r="F144" s="61">
        <v>3.75</v>
      </c>
      <c r="G144" s="61">
        <v>3.97</v>
      </c>
      <c r="H144" s="61">
        <v>4.66</v>
      </c>
      <c r="I144" s="57">
        <f t="shared" si="17"/>
        <v>-5.5415617128463525E-2</v>
      </c>
      <c r="J144" s="57">
        <f t="shared" si="18"/>
        <v>5.8666666666666721E-2</v>
      </c>
      <c r="K144" s="57">
        <f t="shared" si="19"/>
        <v>0.17380352644836269</v>
      </c>
    </row>
    <row r="145" spans="4:11" x14ac:dyDescent="0.2">
      <c r="D145" s="8" t="s">
        <v>686</v>
      </c>
      <c r="E145" s="61">
        <v>5.05</v>
      </c>
      <c r="F145" s="61">
        <v>4.92</v>
      </c>
      <c r="G145" s="61">
        <v>5.37</v>
      </c>
      <c r="H145" s="61">
        <v>5.69</v>
      </c>
      <c r="I145" s="57">
        <f t="shared" si="17"/>
        <v>-2.5742574257425724E-2</v>
      </c>
      <c r="J145" s="57">
        <f t="shared" si="18"/>
        <v>9.1463414634146381E-2</v>
      </c>
      <c r="K145" s="57">
        <f t="shared" si="19"/>
        <v>5.9590316573556852E-2</v>
      </c>
    </row>
    <row r="146" spans="4:11" x14ac:dyDescent="0.2">
      <c r="D146" s="8" t="s">
        <v>687</v>
      </c>
      <c r="E146" s="61">
        <v>0.66</v>
      </c>
      <c r="F146" s="61">
        <v>1.02</v>
      </c>
      <c r="G146" s="61">
        <v>1.07</v>
      </c>
      <c r="H146" s="61">
        <v>1.08</v>
      </c>
      <c r="I146" s="57">
        <f t="shared" si="17"/>
        <v>0.54545454545454541</v>
      </c>
      <c r="J146" s="57">
        <f t="shared" si="18"/>
        <v>4.9019607843137296E-2</v>
      </c>
      <c r="K146" s="57">
        <f t="shared" si="19"/>
        <v>9.3457943925233725E-3</v>
      </c>
    </row>
    <row r="147" spans="4:11" x14ac:dyDescent="0.2">
      <c r="D147" s="8" t="s">
        <v>688</v>
      </c>
      <c r="E147" s="61">
        <v>3.42</v>
      </c>
      <c r="F147" s="61">
        <v>6.01</v>
      </c>
      <c r="G147" s="61">
        <v>7.01</v>
      </c>
      <c r="H147" s="61">
        <v>7.66</v>
      </c>
      <c r="I147" s="57">
        <f t="shared" si="17"/>
        <v>0.75730994152046782</v>
      </c>
      <c r="J147" s="57">
        <f t="shared" si="18"/>
        <v>0.1663893510815308</v>
      </c>
      <c r="K147" s="57">
        <f t="shared" si="19"/>
        <v>9.2724679029957263E-2</v>
      </c>
    </row>
    <row r="148" spans="4:11" x14ac:dyDescent="0.2">
      <c r="D148" s="8" t="s">
        <v>689</v>
      </c>
      <c r="E148" s="61" t="s">
        <v>1021</v>
      </c>
      <c r="F148" s="61" t="s">
        <v>1021</v>
      </c>
      <c r="G148" s="61" t="s">
        <v>1021</v>
      </c>
      <c r="H148" s="61" t="s">
        <v>1022</v>
      </c>
      <c r="I148" s="57"/>
      <c r="J148" s="57"/>
      <c r="K148" s="57"/>
    </row>
    <row r="149" spans="4:11" x14ac:dyDescent="0.2">
      <c r="D149" s="8" t="s">
        <v>690</v>
      </c>
      <c r="E149" s="61">
        <v>9.2799999999999994</v>
      </c>
      <c r="F149" s="61">
        <v>11</v>
      </c>
      <c r="G149" s="61">
        <v>11.6</v>
      </c>
      <c r="H149" s="61">
        <v>12.5</v>
      </c>
      <c r="I149" s="57">
        <f t="shared" ref="I149:K156" si="20">(F149-E149)/E149</f>
        <v>0.18534482758620699</v>
      </c>
      <c r="J149" s="57">
        <f t="shared" si="20"/>
        <v>5.4545454545454515E-2</v>
      </c>
      <c r="K149" s="57">
        <f t="shared" si="20"/>
        <v>7.7586206896551754E-2</v>
      </c>
    </row>
    <row r="150" spans="4:11" x14ac:dyDescent="0.2">
      <c r="D150" s="8" t="s">
        <v>691</v>
      </c>
      <c r="E150" s="61">
        <v>5.39</v>
      </c>
      <c r="F150" s="61">
        <v>2.91</v>
      </c>
      <c r="G150" s="61">
        <v>2.65</v>
      </c>
      <c r="H150" s="61">
        <v>3.04</v>
      </c>
      <c r="I150" s="57">
        <f t="shared" si="20"/>
        <v>-0.46011131725417431</v>
      </c>
      <c r="J150" s="57">
        <f t="shared" si="20"/>
        <v>-8.9347079037800758E-2</v>
      </c>
      <c r="K150" s="57">
        <f t="shared" si="20"/>
        <v>0.14716981132075477</v>
      </c>
    </row>
    <row r="151" spans="4:11" x14ac:dyDescent="0.2">
      <c r="D151" s="8" t="s">
        <v>380</v>
      </c>
      <c r="E151" s="61">
        <v>2.0299999999999998</v>
      </c>
      <c r="F151" s="61">
        <v>11.8</v>
      </c>
      <c r="G151" s="61">
        <v>14.1</v>
      </c>
      <c r="H151" s="61">
        <v>16.2</v>
      </c>
      <c r="I151" s="57">
        <f t="shared" si="20"/>
        <v>4.8128078817734004</v>
      </c>
      <c r="J151" s="57">
        <f t="shared" si="20"/>
        <v>0.19491525423728803</v>
      </c>
      <c r="K151" s="57">
        <f t="shared" si="20"/>
        <v>0.14893617021276592</v>
      </c>
    </row>
    <row r="152" spans="4:11" x14ac:dyDescent="0.2">
      <c r="D152" s="8" t="s">
        <v>692</v>
      </c>
      <c r="E152" s="61">
        <v>2.35</v>
      </c>
      <c r="F152" s="61">
        <v>1.54</v>
      </c>
      <c r="G152" s="61">
        <v>1.76</v>
      </c>
      <c r="H152" s="61">
        <v>1.88</v>
      </c>
      <c r="I152" s="57">
        <f t="shared" si="20"/>
        <v>-0.34468085106382979</v>
      </c>
      <c r="J152" s="57">
        <f t="shared" si="20"/>
        <v>0.14285714285714285</v>
      </c>
      <c r="K152" s="57">
        <f t="shared" si="20"/>
        <v>6.8181818181818121E-2</v>
      </c>
    </row>
    <row r="153" spans="4:11" x14ac:dyDescent="0.2">
      <c r="D153" s="8" t="s">
        <v>1025</v>
      </c>
      <c r="E153" s="61">
        <v>9.0500000000000007</v>
      </c>
      <c r="F153" s="61">
        <v>10.7</v>
      </c>
      <c r="G153" s="61">
        <v>10.7</v>
      </c>
      <c r="H153" s="61">
        <v>12.1</v>
      </c>
      <c r="I153" s="57">
        <f t="shared" si="20"/>
        <v>0.18232044198895012</v>
      </c>
      <c r="J153" s="57">
        <f t="shared" si="20"/>
        <v>0</v>
      </c>
      <c r="K153" s="57">
        <f t="shared" si="20"/>
        <v>0.13084112149532715</v>
      </c>
    </row>
    <row r="154" spans="4:11" x14ac:dyDescent="0.2">
      <c r="D154" s="8" t="s">
        <v>693</v>
      </c>
      <c r="E154" s="61">
        <v>4.04</v>
      </c>
      <c r="F154" s="61">
        <v>3.93</v>
      </c>
      <c r="G154" s="61">
        <v>4.1399999999999997</v>
      </c>
      <c r="H154" s="61">
        <v>4.1900000000000004</v>
      </c>
      <c r="I154" s="57">
        <f t="shared" si="20"/>
        <v>-2.7227722772277196E-2</v>
      </c>
      <c r="J154" s="57">
        <f t="shared" si="20"/>
        <v>5.3435114503816668E-2</v>
      </c>
      <c r="K154" s="57">
        <f t="shared" si="20"/>
        <v>1.2077294685990511E-2</v>
      </c>
    </row>
    <row r="155" spans="4:11" x14ac:dyDescent="0.2">
      <c r="D155" s="8" t="s">
        <v>694</v>
      </c>
      <c r="E155" s="61">
        <v>3.77</v>
      </c>
      <c r="F155" s="61">
        <v>4.37</v>
      </c>
      <c r="G155" s="61">
        <v>4.38</v>
      </c>
      <c r="H155" s="61">
        <v>4.47</v>
      </c>
      <c r="I155" s="57">
        <f t="shared" si="20"/>
        <v>0.15915119363395228</v>
      </c>
      <c r="J155" s="57">
        <f t="shared" si="20"/>
        <v>2.2883295194507519E-3</v>
      </c>
      <c r="K155" s="57">
        <f t="shared" si="20"/>
        <v>2.054794520547942E-2</v>
      </c>
    </row>
    <row r="156" spans="4:11" x14ac:dyDescent="0.2">
      <c r="D156" s="8" t="s">
        <v>695</v>
      </c>
      <c r="E156" s="61">
        <v>2.02</v>
      </c>
      <c r="F156" s="61">
        <v>2.31</v>
      </c>
      <c r="G156" s="61">
        <v>1.99</v>
      </c>
      <c r="H156" s="61">
        <v>2.11</v>
      </c>
      <c r="I156" s="57">
        <f t="shared" si="20"/>
        <v>0.14356435643564358</v>
      </c>
      <c r="J156" s="57">
        <f t="shared" si="20"/>
        <v>-0.13852813852813856</v>
      </c>
      <c r="K156" s="57">
        <f t="shared" si="20"/>
        <v>6.0301507537688384E-2</v>
      </c>
    </row>
    <row r="157" spans="4:11" x14ac:dyDescent="0.2">
      <c r="D157" s="8" t="s">
        <v>696</v>
      </c>
      <c r="E157" s="61" t="s">
        <v>1021</v>
      </c>
      <c r="F157" s="61" t="s">
        <v>1021</v>
      </c>
      <c r="G157" s="61" t="s">
        <v>1021</v>
      </c>
      <c r="H157" s="61" t="s">
        <v>1022</v>
      </c>
      <c r="I157" s="57"/>
      <c r="J157" s="57"/>
      <c r="K157" s="57"/>
    </row>
    <row r="158" spans="4:11" x14ac:dyDescent="0.2">
      <c r="D158" s="8" t="s">
        <v>1026</v>
      </c>
      <c r="E158" s="61">
        <v>3.46</v>
      </c>
      <c r="F158" s="61">
        <v>3.64</v>
      </c>
      <c r="G158" s="61">
        <v>3.83</v>
      </c>
      <c r="H158" s="61">
        <v>4.1900000000000004</v>
      </c>
      <c r="I158" s="57">
        <f t="shared" ref="I158:I175" si="21">(F158-E158)/E158</f>
        <v>5.202312138728328E-2</v>
      </c>
      <c r="J158" s="57">
        <f t="shared" ref="J158:J175" si="22">(G158-F158)/F158</f>
        <v>5.2197802197802179E-2</v>
      </c>
      <c r="K158" s="57">
        <f t="shared" ref="K158:K175" si="23">(H158-G158)/G158</f>
        <v>9.3994778067885199E-2</v>
      </c>
    </row>
    <row r="159" spans="4:11" x14ac:dyDescent="0.2">
      <c r="D159" s="8" t="s">
        <v>698</v>
      </c>
      <c r="E159" s="61">
        <v>3.91</v>
      </c>
      <c r="F159" s="61">
        <v>3.97</v>
      </c>
      <c r="G159" s="61">
        <v>4.05</v>
      </c>
      <c r="H159" s="61">
        <v>4.91</v>
      </c>
      <c r="I159" s="57">
        <f t="shared" si="21"/>
        <v>1.5345268542199501E-2</v>
      </c>
      <c r="J159" s="57">
        <f t="shared" si="22"/>
        <v>2.0151133501259352E-2</v>
      </c>
      <c r="K159" s="57">
        <f t="shared" si="23"/>
        <v>0.21234567901234577</v>
      </c>
    </row>
    <row r="160" spans="4:11" x14ac:dyDescent="0.2">
      <c r="D160" s="8" t="s">
        <v>699</v>
      </c>
      <c r="E160" s="61">
        <v>6.74</v>
      </c>
      <c r="F160" s="61">
        <v>7.25</v>
      </c>
      <c r="G160" s="61">
        <v>8.43</v>
      </c>
      <c r="H160" s="61">
        <v>9.51</v>
      </c>
      <c r="I160" s="57">
        <f t="shared" si="21"/>
        <v>7.566765578635011E-2</v>
      </c>
      <c r="J160" s="57">
        <f t="shared" si="22"/>
        <v>0.16275862068965513</v>
      </c>
      <c r="K160" s="57">
        <f t="shared" si="23"/>
        <v>0.12811387900355872</v>
      </c>
    </row>
    <row r="161" spans="4:11" x14ac:dyDescent="0.2">
      <c r="D161" s="8" t="s">
        <v>700</v>
      </c>
      <c r="E161" s="61">
        <v>5.38</v>
      </c>
      <c r="F161" s="61">
        <v>5.0199999999999996</v>
      </c>
      <c r="G161" s="61">
        <v>6.65</v>
      </c>
      <c r="H161" s="61">
        <v>7.37</v>
      </c>
      <c r="I161" s="57">
        <f t="shared" si="21"/>
        <v>-6.6914498141264003E-2</v>
      </c>
      <c r="J161" s="57">
        <f t="shared" si="22"/>
        <v>0.32470119521912366</v>
      </c>
      <c r="K161" s="57">
        <f t="shared" si="23"/>
        <v>0.10827067669172928</v>
      </c>
    </row>
    <row r="162" spans="4:11" x14ac:dyDescent="0.2">
      <c r="D162" s="8" t="s">
        <v>701</v>
      </c>
      <c r="E162" s="61">
        <v>0.92</v>
      </c>
      <c r="F162" s="61">
        <v>0.85</v>
      </c>
      <c r="G162" s="61">
        <v>1.26</v>
      </c>
      <c r="H162" s="61">
        <v>1.52</v>
      </c>
      <c r="I162" s="57">
        <f t="shared" si="21"/>
        <v>-7.6086956521739191E-2</v>
      </c>
      <c r="J162" s="57">
        <f t="shared" si="22"/>
        <v>0.48235294117647065</v>
      </c>
      <c r="K162" s="57">
        <f t="shared" si="23"/>
        <v>0.20634920634920637</v>
      </c>
    </row>
    <row r="163" spans="4:11" x14ac:dyDescent="0.2">
      <c r="D163" s="8" t="s">
        <v>702</v>
      </c>
      <c r="E163" s="61">
        <v>3.2</v>
      </c>
      <c r="F163" s="61">
        <v>3.75</v>
      </c>
      <c r="G163" s="61">
        <v>4.1500000000000004</v>
      </c>
      <c r="H163" s="61">
        <v>4.38</v>
      </c>
      <c r="I163" s="57">
        <f t="shared" si="21"/>
        <v>0.17187499999999994</v>
      </c>
      <c r="J163" s="57">
        <f t="shared" si="22"/>
        <v>0.10666666666666676</v>
      </c>
      <c r="K163" s="57">
        <f t="shared" si="23"/>
        <v>5.5421686746987837E-2</v>
      </c>
    </row>
    <row r="164" spans="4:11" x14ac:dyDescent="0.2">
      <c r="D164" s="8" t="s">
        <v>703</v>
      </c>
      <c r="E164" s="61">
        <v>3.6</v>
      </c>
      <c r="F164" s="61">
        <v>3.75</v>
      </c>
      <c r="G164" s="61">
        <v>4.2699999999999996</v>
      </c>
      <c r="H164" s="61">
        <v>4.76</v>
      </c>
      <c r="I164" s="57">
        <f t="shared" si="21"/>
        <v>4.1666666666666644E-2</v>
      </c>
      <c r="J164" s="57">
        <f t="shared" si="22"/>
        <v>0.13866666666666655</v>
      </c>
      <c r="K164" s="57">
        <f t="shared" si="23"/>
        <v>0.1147540983606558</v>
      </c>
    </row>
    <row r="165" spans="4:11" x14ac:dyDescent="0.2">
      <c r="D165" s="8" t="s">
        <v>704</v>
      </c>
      <c r="E165" s="61">
        <v>5.96</v>
      </c>
      <c r="F165" s="61">
        <v>11</v>
      </c>
      <c r="G165" s="61">
        <v>10</v>
      </c>
      <c r="H165" s="61">
        <v>11</v>
      </c>
      <c r="I165" s="57">
        <f t="shared" si="21"/>
        <v>0.84563758389261745</v>
      </c>
      <c r="J165" s="57">
        <f t="shared" si="22"/>
        <v>-9.0909090909090912E-2</v>
      </c>
      <c r="K165" s="57">
        <f t="shared" si="23"/>
        <v>0.1</v>
      </c>
    </row>
    <row r="166" spans="4:11" x14ac:dyDescent="0.2">
      <c r="D166" s="8" t="s">
        <v>705</v>
      </c>
      <c r="E166" s="61">
        <v>5.67</v>
      </c>
      <c r="F166" s="61">
        <v>7.08</v>
      </c>
      <c r="G166" s="61">
        <v>7.39</v>
      </c>
      <c r="H166" s="61">
        <v>7.88</v>
      </c>
      <c r="I166" s="57">
        <f t="shared" si="21"/>
        <v>0.24867724867724872</v>
      </c>
      <c r="J166" s="57">
        <f t="shared" si="22"/>
        <v>4.378531073446322E-2</v>
      </c>
      <c r="K166" s="57">
        <f t="shared" si="23"/>
        <v>6.630581867388366E-2</v>
      </c>
    </row>
    <row r="167" spans="4:11" x14ac:dyDescent="0.2">
      <c r="D167" s="8" t="s">
        <v>706</v>
      </c>
      <c r="E167" s="61">
        <v>17.600000000000001</v>
      </c>
      <c r="F167" s="61">
        <v>4.92</v>
      </c>
      <c r="G167" s="61">
        <v>9.34</v>
      </c>
      <c r="H167" s="61">
        <v>10.8</v>
      </c>
      <c r="I167" s="57">
        <f t="shared" si="21"/>
        <v>-0.72045454545454546</v>
      </c>
      <c r="J167" s="57">
        <f t="shared" si="22"/>
        <v>0.89837398373983735</v>
      </c>
      <c r="K167" s="57">
        <f t="shared" si="23"/>
        <v>0.1563169164882228</v>
      </c>
    </row>
    <row r="168" spans="4:11" x14ac:dyDescent="0.2">
      <c r="D168" s="8" t="s">
        <v>707</v>
      </c>
      <c r="E168" s="61">
        <v>2.3199999999999998</v>
      </c>
      <c r="F168" s="61">
        <v>4.75</v>
      </c>
      <c r="G168" s="61">
        <v>2.46</v>
      </c>
      <c r="H168" s="61">
        <v>2.99</v>
      </c>
      <c r="I168" s="57">
        <f t="shared" si="21"/>
        <v>1.0474137931034484</v>
      </c>
      <c r="J168" s="57">
        <f t="shared" si="22"/>
        <v>-0.48210526315789476</v>
      </c>
      <c r="K168" s="57">
        <f t="shared" si="23"/>
        <v>0.21544715447154483</v>
      </c>
    </row>
    <row r="169" spans="4:11" x14ac:dyDescent="0.2">
      <c r="D169" s="8" t="s">
        <v>708</v>
      </c>
      <c r="E169" s="61">
        <v>4.91</v>
      </c>
      <c r="F169" s="61">
        <v>5.78</v>
      </c>
      <c r="G169" s="61">
        <v>6.25</v>
      </c>
      <c r="H169" s="61">
        <v>6.73</v>
      </c>
      <c r="I169" s="57">
        <f t="shared" si="21"/>
        <v>0.17718940936863545</v>
      </c>
      <c r="J169" s="57">
        <f t="shared" si="22"/>
        <v>8.1314878892733519E-2</v>
      </c>
      <c r="K169" s="57">
        <f t="shared" si="23"/>
        <v>7.6800000000000063E-2</v>
      </c>
    </row>
    <row r="170" spans="4:11" x14ac:dyDescent="0.2">
      <c r="D170" s="8" t="s">
        <v>709</v>
      </c>
      <c r="E170" s="61">
        <v>2.4700000000000002</v>
      </c>
      <c r="F170" s="61">
        <v>2.62</v>
      </c>
      <c r="G170" s="61">
        <v>2.79</v>
      </c>
      <c r="H170" s="61">
        <v>2.95</v>
      </c>
      <c r="I170" s="57">
        <f t="shared" si="21"/>
        <v>6.0728744939271218E-2</v>
      </c>
      <c r="J170" s="57">
        <f t="shared" si="22"/>
        <v>6.4885496183206076E-2</v>
      </c>
      <c r="K170" s="57">
        <f t="shared" si="23"/>
        <v>5.7347670250896106E-2</v>
      </c>
    </row>
    <row r="171" spans="4:11" x14ac:dyDescent="0.2">
      <c r="D171" s="8" t="s">
        <v>710</v>
      </c>
      <c r="E171" s="61">
        <v>9.5</v>
      </c>
      <c r="F171" s="61">
        <v>10.199999999999999</v>
      </c>
      <c r="G171" s="61">
        <v>12.5</v>
      </c>
      <c r="H171" s="61">
        <v>13.4</v>
      </c>
      <c r="I171" s="57">
        <f t="shared" si="21"/>
        <v>7.3684210526315713E-2</v>
      </c>
      <c r="J171" s="57">
        <f t="shared" si="22"/>
        <v>0.22549019607843146</v>
      </c>
      <c r="K171" s="57">
        <f t="shared" si="23"/>
        <v>7.2000000000000022E-2</v>
      </c>
    </row>
    <row r="172" spans="4:11" x14ac:dyDescent="0.2">
      <c r="D172" s="8" t="s">
        <v>343</v>
      </c>
      <c r="E172" s="61">
        <v>2.9</v>
      </c>
      <c r="F172" s="61">
        <v>3.35</v>
      </c>
      <c r="G172" s="61">
        <v>3.45</v>
      </c>
      <c r="H172" s="61">
        <v>3.36</v>
      </c>
      <c r="I172" s="57">
        <f t="shared" si="21"/>
        <v>0.15517241379310351</v>
      </c>
      <c r="J172" s="57">
        <f t="shared" si="22"/>
        <v>2.9850746268656744E-2</v>
      </c>
      <c r="K172" s="57">
        <f t="shared" si="23"/>
        <v>-2.6086956521739216E-2</v>
      </c>
    </row>
    <row r="173" spans="4:11" x14ac:dyDescent="0.2">
      <c r="D173" s="8" t="s">
        <v>711</v>
      </c>
      <c r="E173" s="61">
        <v>0.64</v>
      </c>
      <c r="F173" s="61">
        <v>1.22</v>
      </c>
      <c r="G173" s="61">
        <v>2.19</v>
      </c>
      <c r="H173" s="61">
        <v>2.39</v>
      </c>
      <c r="I173" s="57">
        <f t="shared" si="21"/>
        <v>0.90624999999999989</v>
      </c>
      <c r="J173" s="57">
        <f t="shared" si="22"/>
        <v>0.79508196721311475</v>
      </c>
      <c r="K173" s="57">
        <f t="shared" si="23"/>
        <v>9.1324200913242087E-2</v>
      </c>
    </row>
    <row r="174" spans="4:11" x14ac:dyDescent="0.2">
      <c r="D174" s="8" t="s">
        <v>712</v>
      </c>
      <c r="E174" s="61">
        <v>10.7</v>
      </c>
      <c r="F174" s="61">
        <v>10.4</v>
      </c>
      <c r="G174" s="61">
        <v>11.4</v>
      </c>
      <c r="H174" s="61">
        <v>12.7</v>
      </c>
      <c r="I174" s="57">
        <f t="shared" si="21"/>
        <v>-2.8037383177569996E-2</v>
      </c>
      <c r="J174" s="57">
        <f t="shared" si="22"/>
        <v>9.6153846153846145E-2</v>
      </c>
      <c r="K174" s="57">
        <f t="shared" si="23"/>
        <v>0.11403508771929814</v>
      </c>
    </row>
    <row r="175" spans="4:11" x14ac:dyDescent="0.2">
      <c r="D175" s="8" t="s">
        <v>713</v>
      </c>
      <c r="E175" s="61">
        <v>2.5499999999999998</v>
      </c>
      <c r="F175" s="61">
        <v>2.0499999999999998</v>
      </c>
      <c r="G175" s="61">
        <v>2.33</v>
      </c>
      <c r="H175" s="61">
        <v>2.64</v>
      </c>
      <c r="I175" s="57">
        <f t="shared" si="21"/>
        <v>-0.19607843137254904</v>
      </c>
      <c r="J175" s="57">
        <f t="shared" si="22"/>
        <v>0.13658536585365866</v>
      </c>
      <c r="K175" s="57">
        <f t="shared" si="23"/>
        <v>0.13304721030042921</v>
      </c>
    </row>
    <row r="176" spans="4:11" x14ac:dyDescent="0.2">
      <c r="D176" s="8" t="s">
        <v>714</v>
      </c>
      <c r="E176" s="61" t="s">
        <v>1021</v>
      </c>
      <c r="F176" s="61" t="s">
        <v>1021</v>
      </c>
      <c r="G176" s="61" t="s">
        <v>1021</v>
      </c>
      <c r="H176" s="61" t="s">
        <v>1022</v>
      </c>
      <c r="I176" s="57"/>
      <c r="J176" s="57"/>
      <c r="K176" s="57"/>
    </row>
    <row r="177" spans="4:11" x14ac:dyDescent="0.2">
      <c r="D177" s="8" t="s">
        <v>715</v>
      </c>
      <c r="E177" s="61">
        <v>7.29</v>
      </c>
      <c r="F177" s="61">
        <v>5.09</v>
      </c>
      <c r="G177" s="61">
        <v>9.86</v>
      </c>
      <c r="H177" s="61">
        <v>8.99</v>
      </c>
      <c r="I177" s="57">
        <f t="shared" ref="I177:I205" si="24">(F177-E177)/E177</f>
        <v>-0.30178326474622774</v>
      </c>
      <c r="J177" s="57">
        <f t="shared" ref="J177:J205" si="25">(G177-F177)/F177</f>
        <v>0.93713163064833005</v>
      </c>
      <c r="K177" s="57">
        <f t="shared" ref="K177:K205" si="26">(H177-G177)/G177</f>
        <v>-8.8235294117646981E-2</v>
      </c>
    </row>
    <row r="178" spans="4:11" x14ac:dyDescent="0.2">
      <c r="D178" s="8" t="s">
        <v>716</v>
      </c>
      <c r="E178" s="61">
        <v>1.77</v>
      </c>
      <c r="F178" s="61">
        <v>1.83</v>
      </c>
      <c r="G178" s="61">
        <v>1.53</v>
      </c>
      <c r="H178" s="61">
        <v>1.65</v>
      </c>
      <c r="I178" s="57">
        <f t="shared" si="24"/>
        <v>3.389830508474579E-2</v>
      </c>
      <c r="J178" s="57">
        <f t="shared" si="25"/>
        <v>-0.16393442622950821</v>
      </c>
      <c r="K178" s="57">
        <f t="shared" si="26"/>
        <v>7.8431372549019537E-2</v>
      </c>
    </row>
    <row r="179" spans="4:11" x14ac:dyDescent="0.2">
      <c r="D179" s="8" t="s">
        <v>717</v>
      </c>
      <c r="E179" s="61">
        <v>5.28</v>
      </c>
      <c r="F179" s="61">
        <v>4.84</v>
      </c>
      <c r="G179" s="61">
        <v>7.86</v>
      </c>
      <c r="H179" s="61">
        <v>6.1</v>
      </c>
      <c r="I179" s="57">
        <f t="shared" si="24"/>
        <v>-8.3333333333333398E-2</v>
      </c>
      <c r="J179" s="57">
        <f t="shared" si="25"/>
        <v>0.62396694214876047</v>
      </c>
      <c r="K179" s="57">
        <f t="shared" si="26"/>
        <v>-0.22391857506361332</v>
      </c>
    </row>
    <row r="180" spans="4:11" x14ac:dyDescent="0.2">
      <c r="D180" s="8" t="s">
        <v>718</v>
      </c>
      <c r="E180" s="61">
        <v>7.27</v>
      </c>
      <c r="F180" s="61">
        <v>5.46</v>
      </c>
      <c r="G180" s="61">
        <v>5.59</v>
      </c>
      <c r="H180" s="61">
        <v>6.48</v>
      </c>
      <c r="I180" s="57">
        <f t="shared" si="24"/>
        <v>-0.24896836313617601</v>
      </c>
      <c r="J180" s="57">
        <f t="shared" si="25"/>
        <v>2.3809523809523791E-2</v>
      </c>
      <c r="K180" s="57">
        <f t="shared" si="26"/>
        <v>0.1592128801431128</v>
      </c>
    </row>
    <row r="181" spans="4:11" x14ac:dyDescent="0.2">
      <c r="D181" s="8" t="s">
        <v>719</v>
      </c>
      <c r="E181" s="61">
        <v>13.7</v>
      </c>
      <c r="F181" s="61">
        <v>12.8</v>
      </c>
      <c r="G181" s="61">
        <v>16.100000000000001</v>
      </c>
      <c r="H181" s="61">
        <v>19.3</v>
      </c>
      <c r="I181" s="57">
        <f t="shared" si="24"/>
        <v>-6.5693430656934212E-2</v>
      </c>
      <c r="J181" s="57">
        <f t="shared" si="25"/>
        <v>0.25781250000000006</v>
      </c>
      <c r="K181" s="57">
        <f t="shared" si="26"/>
        <v>0.19875776397515521</v>
      </c>
    </row>
    <row r="182" spans="4:11" x14ac:dyDescent="0.2">
      <c r="D182" s="8" t="s">
        <v>720</v>
      </c>
      <c r="E182" s="61">
        <v>1.56</v>
      </c>
      <c r="F182" s="61">
        <v>1.99</v>
      </c>
      <c r="G182" s="61">
        <v>0.68</v>
      </c>
      <c r="H182" s="61">
        <v>0.92</v>
      </c>
      <c r="I182" s="57">
        <f t="shared" si="24"/>
        <v>0.27564102564102561</v>
      </c>
      <c r="J182" s="57">
        <f t="shared" si="25"/>
        <v>-0.65829145728643224</v>
      </c>
      <c r="K182" s="57">
        <f t="shared" si="26"/>
        <v>0.3529411764705882</v>
      </c>
    </row>
    <row r="183" spans="4:11" x14ac:dyDescent="0.2">
      <c r="D183" s="8" t="s">
        <v>721</v>
      </c>
      <c r="E183" s="61">
        <v>16.100000000000001</v>
      </c>
      <c r="F183" s="61">
        <v>17.600000000000001</v>
      </c>
      <c r="G183" s="61">
        <v>19.600000000000001</v>
      </c>
      <c r="H183" s="61">
        <v>22.2</v>
      </c>
      <c r="I183" s="57">
        <f t="shared" si="24"/>
        <v>9.3167701863354033E-2</v>
      </c>
      <c r="J183" s="57">
        <f t="shared" si="25"/>
        <v>0.11363636363636363</v>
      </c>
      <c r="K183" s="57">
        <f t="shared" si="26"/>
        <v>0.13265306122448967</v>
      </c>
    </row>
    <row r="184" spans="4:11" x14ac:dyDescent="0.2">
      <c r="D184" s="8" t="s">
        <v>722</v>
      </c>
      <c r="E184" s="61">
        <v>0.41</v>
      </c>
      <c r="F184" s="61">
        <v>1.27</v>
      </c>
      <c r="G184" s="61">
        <v>2.12</v>
      </c>
      <c r="H184" s="61">
        <v>2.82</v>
      </c>
      <c r="I184" s="57">
        <f t="shared" si="24"/>
        <v>2.0975609756097566</v>
      </c>
      <c r="J184" s="57">
        <f t="shared" si="25"/>
        <v>0.6692913385826772</v>
      </c>
      <c r="K184" s="57">
        <f t="shared" si="26"/>
        <v>0.33018867924528289</v>
      </c>
    </row>
    <row r="185" spans="4:11" x14ac:dyDescent="0.2">
      <c r="D185" s="8" t="s">
        <v>723</v>
      </c>
      <c r="E185" s="61">
        <v>2.83</v>
      </c>
      <c r="F185" s="61">
        <v>3.22</v>
      </c>
      <c r="G185" s="61">
        <v>3.4</v>
      </c>
      <c r="H185" s="61">
        <v>3.53</v>
      </c>
      <c r="I185" s="57">
        <f t="shared" si="24"/>
        <v>0.13780918727915198</v>
      </c>
      <c r="J185" s="57">
        <f t="shared" si="25"/>
        <v>5.5900621118012334E-2</v>
      </c>
      <c r="K185" s="57">
        <f t="shared" si="26"/>
        <v>3.8235294117647027E-2</v>
      </c>
    </row>
    <row r="186" spans="4:11" x14ac:dyDescent="0.2">
      <c r="D186" s="8" t="s">
        <v>724</v>
      </c>
      <c r="E186" s="61">
        <v>3.34</v>
      </c>
      <c r="F186" s="61">
        <v>3.53</v>
      </c>
      <c r="G186" s="61">
        <v>3.76</v>
      </c>
      <c r="H186" s="61">
        <v>3.98</v>
      </c>
      <c r="I186" s="57">
        <f t="shared" si="24"/>
        <v>5.6886227544910163E-2</v>
      </c>
      <c r="J186" s="57">
        <f t="shared" si="25"/>
        <v>6.5155807365439092E-2</v>
      </c>
      <c r="K186" s="57">
        <f t="shared" si="26"/>
        <v>5.8510638297872397E-2</v>
      </c>
    </row>
    <row r="187" spans="4:11" x14ac:dyDescent="0.2">
      <c r="D187" s="8" t="s">
        <v>725</v>
      </c>
      <c r="E187" s="61">
        <v>5.62</v>
      </c>
      <c r="F187" s="61">
        <v>6.09</v>
      </c>
      <c r="G187" s="61">
        <v>7.19</v>
      </c>
      <c r="H187" s="61">
        <v>8.2100000000000009</v>
      </c>
      <c r="I187" s="57">
        <f t="shared" si="24"/>
        <v>8.3629893238434116E-2</v>
      </c>
      <c r="J187" s="57">
        <f t="shared" si="25"/>
        <v>0.18062397372742209</v>
      </c>
      <c r="K187" s="57">
        <f t="shared" si="26"/>
        <v>0.14186369958275388</v>
      </c>
    </row>
    <row r="188" spans="4:11" x14ac:dyDescent="0.2">
      <c r="D188" s="8" t="s">
        <v>726</v>
      </c>
      <c r="E188" s="61">
        <v>7.05</v>
      </c>
      <c r="F188" s="61">
        <v>4.87</v>
      </c>
      <c r="G188" s="61">
        <v>5.01</v>
      </c>
      <c r="H188" s="61">
        <v>5.39</v>
      </c>
      <c r="I188" s="57">
        <f t="shared" si="24"/>
        <v>-0.30921985815602832</v>
      </c>
      <c r="J188" s="57">
        <f t="shared" si="25"/>
        <v>2.8747433264886997E-2</v>
      </c>
      <c r="K188" s="57">
        <f t="shared" si="26"/>
        <v>7.5848303393213551E-2</v>
      </c>
    </row>
    <row r="189" spans="4:11" x14ac:dyDescent="0.2">
      <c r="D189" s="8" t="s">
        <v>727</v>
      </c>
      <c r="E189" s="61">
        <v>4.43</v>
      </c>
      <c r="F189" s="61">
        <v>4.68</v>
      </c>
      <c r="G189" s="61">
        <v>4.8600000000000003</v>
      </c>
      <c r="H189" s="61">
        <v>4.91</v>
      </c>
      <c r="I189" s="57">
        <f t="shared" si="24"/>
        <v>5.6433408577878111E-2</v>
      </c>
      <c r="J189" s="57">
        <f t="shared" si="25"/>
        <v>3.8461538461538596E-2</v>
      </c>
      <c r="K189" s="57">
        <f t="shared" si="26"/>
        <v>1.0288065843621363E-2</v>
      </c>
    </row>
    <row r="190" spans="4:11" x14ac:dyDescent="0.2">
      <c r="D190" s="8" t="s">
        <v>728</v>
      </c>
      <c r="E190" s="61">
        <v>5.35</v>
      </c>
      <c r="F190" s="61">
        <v>6</v>
      </c>
      <c r="G190" s="61">
        <v>6.91</v>
      </c>
      <c r="H190" s="61">
        <v>7.47</v>
      </c>
      <c r="I190" s="57">
        <f t="shared" si="24"/>
        <v>0.12149532710280381</v>
      </c>
      <c r="J190" s="57">
        <f t="shared" si="25"/>
        <v>0.1516666666666667</v>
      </c>
      <c r="K190" s="57">
        <f t="shared" si="26"/>
        <v>8.104196816208388E-2</v>
      </c>
    </row>
    <row r="191" spans="4:11" x14ac:dyDescent="0.2">
      <c r="D191" s="8" t="s">
        <v>729</v>
      </c>
      <c r="E191" s="61">
        <v>2.78</v>
      </c>
      <c r="F191" s="61">
        <v>3.15</v>
      </c>
      <c r="G191" s="61">
        <v>3.86</v>
      </c>
      <c r="H191" s="61">
        <v>4.47</v>
      </c>
      <c r="I191" s="57">
        <f t="shared" si="24"/>
        <v>0.13309352517985618</v>
      </c>
      <c r="J191" s="57">
        <f t="shared" si="25"/>
        <v>0.2253968253968254</v>
      </c>
      <c r="K191" s="57">
        <f t="shared" si="26"/>
        <v>0.15803108808290153</v>
      </c>
    </row>
    <row r="192" spans="4:11" x14ac:dyDescent="0.2">
      <c r="D192" s="8" t="s">
        <v>730</v>
      </c>
      <c r="E192" s="61">
        <v>-0.16</v>
      </c>
      <c r="F192" s="61">
        <v>1</v>
      </c>
      <c r="G192" s="61">
        <v>1.1000000000000001</v>
      </c>
      <c r="H192" s="61">
        <v>1.06</v>
      </c>
      <c r="I192" s="57">
        <f t="shared" si="24"/>
        <v>-7.2499999999999991</v>
      </c>
      <c r="J192" s="57">
        <f t="shared" si="25"/>
        <v>0.10000000000000009</v>
      </c>
      <c r="K192" s="57">
        <f t="shared" si="26"/>
        <v>-3.636363636363639E-2</v>
      </c>
    </row>
    <row r="193" spans="4:11" x14ac:dyDescent="0.2">
      <c r="D193" s="8" t="s">
        <v>731</v>
      </c>
      <c r="E193" s="61">
        <v>3.33</v>
      </c>
      <c r="F193" s="61">
        <v>8.5</v>
      </c>
      <c r="G193" s="61">
        <v>4.12</v>
      </c>
      <c r="H193" s="61">
        <v>4.18</v>
      </c>
      <c r="I193" s="57">
        <f t="shared" si="24"/>
        <v>1.5525525525525525</v>
      </c>
      <c r="J193" s="57">
        <f t="shared" si="25"/>
        <v>-0.51529411764705879</v>
      </c>
      <c r="K193" s="57">
        <f t="shared" si="26"/>
        <v>1.456310679611641E-2</v>
      </c>
    </row>
    <row r="194" spans="4:11" x14ac:dyDescent="0.2">
      <c r="D194" s="8" t="s">
        <v>732</v>
      </c>
      <c r="E194" s="61">
        <v>0.17</v>
      </c>
      <c r="F194" s="61">
        <v>10.199999999999999</v>
      </c>
      <c r="G194" s="61">
        <v>11.6</v>
      </c>
      <c r="H194" s="61">
        <v>13.1</v>
      </c>
      <c r="I194" s="57">
        <f t="shared" si="24"/>
        <v>58.999999999999993</v>
      </c>
      <c r="J194" s="57">
        <f t="shared" si="25"/>
        <v>0.13725490196078435</v>
      </c>
      <c r="K194" s="57">
        <f t="shared" si="26"/>
        <v>0.12931034482758622</v>
      </c>
    </row>
    <row r="195" spans="4:11" x14ac:dyDescent="0.2">
      <c r="D195" s="8" t="s">
        <v>733</v>
      </c>
      <c r="E195" s="61">
        <v>-1.86</v>
      </c>
      <c r="F195" s="61">
        <v>4.5599999999999996</v>
      </c>
      <c r="G195" s="61">
        <v>5.85</v>
      </c>
      <c r="H195" s="61">
        <v>6.43</v>
      </c>
      <c r="I195" s="57">
        <f t="shared" si="24"/>
        <v>-3.4516129032258061</v>
      </c>
      <c r="J195" s="57">
        <f t="shared" si="25"/>
        <v>0.28289473684210531</v>
      </c>
      <c r="K195" s="57">
        <f t="shared" si="26"/>
        <v>9.9145299145299168E-2</v>
      </c>
    </row>
    <row r="196" spans="4:11" x14ac:dyDescent="0.2">
      <c r="D196" s="8" t="s">
        <v>734</v>
      </c>
      <c r="E196" s="61">
        <v>3.26</v>
      </c>
      <c r="F196" s="61">
        <v>2.33</v>
      </c>
      <c r="G196" s="61">
        <v>2.0499999999999998</v>
      </c>
      <c r="H196" s="61">
        <v>2.12</v>
      </c>
      <c r="I196" s="57">
        <f t="shared" si="24"/>
        <v>-0.28527607361963181</v>
      </c>
      <c r="J196" s="57">
        <f t="shared" si="25"/>
        <v>-0.12017167381974259</v>
      </c>
      <c r="K196" s="57">
        <f t="shared" si="26"/>
        <v>3.4146341463414775E-2</v>
      </c>
    </row>
    <row r="197" spans="4:11" x14ac:dyDescent="0.2">
      <c r="D197" s="8" t="s">
        <v>735</v>
      </c>
      <c r="E197" s="61">
        <v>1.1399999999999999</v>
      </c>
      <c r="F197" s="61">
        <v>1.56</v>
      </c>
      <c r="G197" s="61">
        <v>1.36</v>
      </c>
      <c r="H197" s="61">
        <v>1.31</v>
      </c>
      <c r="I197" s="57">
        <f t="shared" si="24"/>
        <v>0.36842105263157909</v>
      </c>
      <c r="J197" s="57">
        <f t="shared" si="25"/>
        <v>-0.12820512820512817</v>
      </c>
      <c r="K197" s="57">
        <f t="shared" si="26"/>
        <v>-3.676470588235297E-2</v>
      </c>
    </row>
    <row r="198" spans="4:11" x14ac:dyDescent="0.2">
      <c r="D198" s="8" t="s">
        <v>736</v>
      </c>
      <c r="E198" s="61">
        <v>8.19</v>
      </c>
      <c r="F198" s="61">
        <v>5.68</v>
      </c>
      <c r="G198" s="61">
        <v>6.99</v>
      </c>
      <c r="H198" s="61">
        <v>8.2200000000000006</v>
      </c>
      <c r="I198" s="57">
        <f t="shared" si="24"/>
        <v>-0.30647130647130644</v>
      </c>
      <c r="J198" s="57">
        <f t="shared" si="25"/>
        <v>0.23063380281690152</v>
      </c>
      <c r="K198" s="57">
        <f t="shared" si="26"/>
        <v>0.17596566523605156</v>
      </c>
    </row>
    <row r="199" spans="4:11" x14ac:dyDescent="0.2">
      <c r="D199" s="8" t="s">
        <v>737</v>
      </c>
      <c r="E199" s="61">
        <v>2.5</v>
      </c>
      <c r="F199" s="61">
        <v>3.13</v>
      </c>
      <c r="G199" s="61">
        <v>3.75</v>
      </c>
      <c r="H199" s="61">
        <v>4.26</v>
      </c>
      <c r="I199" s="57">
        <f t="shared" si="24"/>
        <v>0.25199999999999995</v>
      </c>
      <c r="J199" s="57">
        <f t="shared" si="25"/>
        <v>0.1980830670926518</v>
      </c>
      <c r="K199" s="57">
        <f t="shared" si="26"/>
        <v>0.13599999999999995</v>
      </c>
    </row>
    <row r="200" spans="4:11" x14ac:dyDescent="0.2">
      <c r="D200" s="8" t="s">
        <v>738</v>
      </c>
      <c r="E200" s="61">
        <v>0.32</v>
      </c>
      <c r="F200" s="61">
        <v>0.47</v>
      </c>
      <c r="G200" s="61">
        <v>0.95</v>
      </c>
      <c r="H200" s="61">
        <v>1.1100000000000001</v>
      </c>
      <c r="I200" s="57">
        <f t="shared" si="24"/>
        <v>0.46874999999999989</v>
      </c>
      <c r="J200" s="57">
        <f t="shared" si="25"/>
        <v>1.0212765957446808</v>
      </c>
      <c r="K200" s="57">
        <f t="shared" si="26"/>
        <v>0.16842105263157911</v>
      </c>
    </row>
    <row r="201" spans="4:11" x14ac:dyDescent="0.2">
      <c r="D201" s="8" t="s">
        <v>739</v>
      </c>
      <c r="E201" s="61">
        <v>1.29</v>
      </c>
      <c r="F201" s="61">
        <v>2.0299999999999998</v>
      </c>
      <c r="G201" s="61">
        <v>2.48</v>
      </c>
      <c r="H201" s="61">
        <v>2.95</v>
      </c>
      <c r="I201" s="57">
        <f t="shared" si="24"/>
        <v>0.57364341085271298</v>
      </c>
      <c r="J201" s="57">
        <f t="shared" si="25"/>
        <v>0.22167487684729076</v>
      </c>
      <c r="K201" s="57">
        <f t="shared" si="26"/>
        <v>0.18951612903225815</v>
      </c>
    </row>
    <row r="202" spans="4:11" x14ac:dyDescent="0.2">
      <c r="D202" s="8" t="s">
        <v>740</v>
      </c>
      <c r="E202" s="61">
        <v>48.8</v>
      </c>
      <c r="F202" s="61">
        <v>62.6</v>
      </c>
      <c r="G202" s="61">
        <v>65.400000000000006</v>
      </c>
      <c r="H202" s="61">
        <v>72.099999999999994</v>
      </c>
      <c r="I202" s="57">
        <f t="shared" si="24"/>
        <v>0.28278688524590173</v>
      </c>
      <c r="J202" s="57">
        <f t="shared" si="25"/>
        <v>4.47284345047924E-2</v>
      </c>
      <c r="K202" s="57">
        <f t="shared" si="26"/>
        <v>0.10244648318042796</v>
      </c>
    </row>
    <row r="203" spans="4:11" x14ac:dyDescent="0.2">
      <c r="D203" s="8" t="s">
        <v>741</v>
      </c>
      <c r="E203" s="61">
        <v>5.74</v>
      </c>
      <c r="F203" s="61">
        <v>5.46</v>
      </c>
      <c r="G203" s="61">
        <v>5.52</v>
      </c>
      <c r="H203" s="61">
        <v>5.88</v>
      </c>
      <c r="I203" s="57">
        <f t="shared" si="24"/>
        <v>-4.8780487804878092E-2</v>
      </c>
      <c r="J203" s="57">
        <f t="shared" si="25"/>
        <v>1.0989010989010917E-2</v>
      </c>
      <c r="K203" s="57">
        <f t="shared" si="26"/>
        <v>6.5217391304347894E-2</v>
      </c>
    </row>
    <row r="204" spans="4:11" x14ac:dyDescent="0.2">
      <c r="D204" s="8" t="s">
        <v>742</v>
      </c>
      <c r="E204" s="61">
        <v>0.35</v>
      </c>
      <c r="F204" s="61">
        <v>8.44</v>
      </c>
      <c r="G204" s="61">
        <v>9.0500000000000007</v>
      </c>
      <c r="H204" s="61">
        <v>10.1</v>
      </c>
      <c r="I204" s="57">
        <f t="shared" si="24"/>
        <v>23.114285714285714</v>
      </c>
      <c r="J204" s="57">
        <f t="shared" si="25"/>
        <v>7.2274881516587827E-2</v>
      </c>
      <c r="K204" s="57">
        <f t="shared" si="26"/>
        <v>0.11602209944751368</v>
      </c>
    </row>
    <row r="205" spans="4:11" x14ac:dyDescent="0.2">
      <c r="D205" s="8" t="s">
        <v>743</v>
      </c>
      <c r="E205" s="61">
        <v>3.47</v>
      </c>
      <c r="F205" s="61">
        <v>3.67</v>
      </c>
      <c r="G205" s="61">
        <v>4.17</v>
      </c>
      <c r="H205" s="61">
        <v>4.24</v>
      </c>
      <c r="I205" s="57">
        <f t="shared" si="24"/>
        <v>5.7636887608069086E-2</v>
      </c>
      <c r="J205" s="57">
        <f t="shared" si="25"/>
        <v>0.13623978201634879</v>
      </c>
      <c r="K205" s="57">
        <f t="shared" si="26"/>
        <v>1.6786570743405345E-2</v>
      </c>
    </row>
    <row r="206" spans="4:11" x14ac:dyDescent="0.2">
      <c r="D206" s="8" t="s">
        <v>744</v>
      </c>
      <c r="E206" s="61" t="s">
        <v>1021</v>
      </c>
      <c r="F206" s="61" t="s">
        <v>1021</v>
      </c>
      <c r="G206" s="61" t="s">
        <v>1021</v>
      </c>
      <c r="H206" s="61" t="s">
        <v>1022</v>
      </c>
      <c r="I206" s="57"/>
      <c r="J206" s="57"/>
      <c r="K206" s="57"/>
    </row>
    <row r="207" spans="4:11" x14ac:dyDescent="0.2">
      <c r="D207" s="8" t="s">
        <v>745</v>
      </c>
      <c r="E207" s="61">
        <v>-1.3</v>
      </c>
      <c r="F207" s="61">
        <v>4.57</v>
      </c>
      <c r="G207" s="61">
        <v>4.43</v>
      </c>
      <c r="H207" s="61">
        <v>4.6900000000000004</v>
      </c>
      <c r="I207" s="57">
        <f>(F207-E207)/E207</f>
        <v>-4.5153846153846153</v>
      </c>
      <c r="J207" s="57">
        <f>(G207-F207)/F207</f>
        <v>-3.0634573304157673E-2</v>
      </c>
      <c r="K207" s="57">
        <f>(H207-G207)/G207</f>
        <v>5.8690744920993382E-2</v>
      </c>
    </row>
    <row r="208" spans="4:11" x14ac:dyDescent="0.2">
      <c r="D208" s="8" t="s">
        <v>746</v>
      </c>
      <c r="E208" s="61" t="s">
        <v>1021</v>
      </c>
      <c r="F208" s="61" t="s">
        <v>1021</v>
      </c>
      <c r="G208" s="61" t="s">
        <v>1021</v>
      </c>
      <c r="H208" s="61" t="s">
        <v>1022</v>
      </c>
      <c r="I208" s="57"/>
      <c r="J208" s="57"/>
      <c r="K208" s="57"/>
    </row>
    <row r="209" spans="4:11" x14ac:dyDescent="0.2">
      <c r="D209" s="8" t="s">
        <v>747</v>
      </c>
      <c r="E209" s="61">
        <v>16.3</v>
      </c>
      <c r="F209" s="61">
        <v>13.6</v>
      </c>
      <c r="G209" s="61">
        <v>20.3</v>
      </c>
      <c r="H209" s="61">
        <v>24.3</v>
      </c>
      <c r="I209" s="57">
        <f t="shared" ref="I209:I226" si="27">(F209-E209)/E209</f>
        <v>-0.16564417177914117</v>
      </c>
      <c r="J209" s="57">
        <f t="shared" ref="J209:J226" si="28">(G209-F209)/F209</f>
        <v>0.49264705882352949</v>
      </c>
      <c r="K209" s="57">
        <f t="shared" ref="K209:K226" si="29">(H209-G209)/G209</f>
        <v>0.19704433497536944</v>
      </c>
    </row>
    <row r="210" spans="4:11" x14ac:dyDescent="0.2">
      <c r="D210" s="8" t="s">
        <v>748</v>
      </c>
      <c r="E210" s="61">
        <v>3.25</v>
      </c>
      <c r="F210" s="61">
        <v>3.02</v>
      </c>
      <c r="G210" s="61">
        <v>3.64</v>
      </c>
      <c r="H210" s="61">
        <v>3.85</v>
      </c>
      <c r="I210" s="57">
        <f t="shared" si="27"/>
        <v>-7.0769230769230765E-2</v>
      </c>
      <c r="J210" s="57">
        <f t="shared" si="28"/>
        <v>0.20529801324503313</v>
      </c>
      <c r="K210" s="57">
        <f t="shared" si="29"/>
        <v>5.7692307692307682E-2</v>
      </c>
    </row>
    <row r="211" spans="4:11" x14ac:dyDescent="0.2">
      <c r="D211" s="8" t="s">
        <v>531</v>
      </c>
      <c r="E211" s="61">
        <v>2.86</v>
      </c>
      <c r="F211" s="61">
        <v>3.1</v>
      </c>
      <c r="G211" s="61">
        <v>3.35</v>
      </c>
      <c r="H211" s="61">
        <v>3.61</v>
      </c>
      <c r="I211" s="57">
        <f t="shared" si="27"/>
        <v>8.3916083916083989E-2</v>
      </c>
      <c r="J211" s="57">
        <f t="shared" si="28"/>
        <v>8.0645161290322578E-2</v>
      </c>
      <c r="K211" s="57">
        <f t="shared" si="29"/>
        <v>7.7611940298507404E-2</v>
      </c>
    </row>
    <row r="212" spans="4:11" x14ac:dyDescent="0.2">
      <c r="D212" s="8" t="s">
        <v>749</v>
      </c>
      <c r="E212" s="61">
        <v>3.56</v>
      </c>
      <c r="F212" s="61">
        <v>3.68</v>
      </c>
      <c r="G212" s="61">
        <v>4.26</v>
      </c>
      <c r="H212" s="61">
        <v>5.03</v>
      </c>
      <c r="I212" s="57">
        <f t="shared" si="27"/>
        <v>3.3707865168539353E-2</v>
      </c>
      <c r="J212" s="57">
        <f t="shared" si="28"/>
        <v>0.15760869565217381</v>
      </c>
      <c r="K212" s="57">
        <f t="shared" si="29"/>
        <v>0.1807511737089203</v>
      </c>
    </row>
    <row r="213" spans="4:11" x14ac:dyDescent="0.2">
      <c r="D213" s="8" t="s">
        <v>750</v>
      </c>
      <c r="E213" s="61">
        <v>8.81</v>
      </c>
      <c r="F213" s="61">
        <v>9.76</v>
      </c>
      <c r="G213" s="61">
        <v>10.9</v>
      </c>
      <c r="H213" s="61">
        <v>12.8</v>
      </c>
      <c r="I213" s="57">
        <f t="shared" si="27"/>
        <v>0.10783200908059015</v>
      </c>
      <c r="J213" s="57">
        <f t="shared" si="28"/>
        <v>0.11680327868852465</v>
      </c>
      <c r="K213" s="57">
        <f t="shared" si="29"/>
        <v>0.17431192660550462</v>
      </c>
    </row>
    <row r="214" spans="4:11" x14ac:dyDescent="0.2">
      <c r="D214" s="8" t="s">
        <v>751</v>
      </c>
      <c r="E214" s="61">
        <v>5.47</v>
      </c>
      <c r="F214" s="61">
        <v>5.86</v>
      </c>
      <c r="G214" s="61">
        <v>6.89</v>
      </c>
      <c r="H214" s="61">
        <v>7.55</v>
      </c>
      <c r="I214" s="57">
        <f t="shared" si="27"/>
        <v>7.1297989031078715E-2</v>
      </c>
      <c r="J214" s="57">
        <f t="shared" si="28"/>
        <v>0.1757679180887371</v>
      </c>
      <c r="K214" s="57">
        <f t="shared" si="29"/>
        <v>9.5791001451378838E-2</v>
      </c>
    </row>
    <row r="215" spans="4:11" x14ac:dyDescent="0.2">
      <c r="D215" s="8" t="s">
        <v>752</v>
      </c>
      <c r="E215" s="61">
        <v>7.27</v>
      </c>
      <c r="F215" s="61">
        <v>8.2100000000000009</v>
      </c>
      <c r="G215" s="61">
        <v>8.33</v>
      </c>
      <c r="H215" s="61">
        <v>9.0299999999999994</v>
      </c>
      <c r="I215" s="57">
        <f t="shared" si="27"/>
        <v>0.1292984869325999</v>
      </c>
      <c r="J215" s="57">
        <f t="shared" si="28"/>
        <v>1.4616321559074203E-2</v>
      </c>
      <c r="K215" s="57">
        <f t="shared" si="29"/>
        <v>8.4033613445378061E-2</v>
      </c>
    </row>
    <row r="216" spans="4:11" x14ac:dyDescent="0.2">
      <c r="D216" s="8" t="s">
        <v>753</v>
      </c>
      <c r="E216" s="61">
        <v>1.21</v>
      </c>
      <c r="F216" s="61">
        <v>1.1599999999999999</v>
      </c>
      <c r="G216" s="61">
        <v>1.46</v>
      </c>
      <c r="H216" s="61">
        <v>1.8</v>
      </c>
      <c r="I216" s="57">
        <f t="shared" si="27"/>
        <v>-4.1322314049586813E-2</v>
      </c>
      <c r="J216" s="57">
        <f t="shared" si="28"/>
        <v>0.25862068965517249</v>
      </c>
      <c r="K216" s="57">
        <f t="shared" si="29"/>
        <v>0.23287671232876719</v>
      </c>
    </row>
    <row r="217" spans="4:11" x14ac:dyDescent="0.2">
      <c r="D217" s="8" t="s">
        <v>754</v>
      </c>
      <c r="E217" s="61">
        <v>7.79</v>
      </c>
      <c r="F217" s="61">
        <v>8.99</v>
      </c>
      <c r="G217" s="61">
        <v>9.58</v>
      </c>
      <c r="H217" s="61">
        <v>10.5</v>
      </c>
      <c r="I217" s="57">
        <f t="shared" si="27"/>
        <v>0.1540436456996149</v>
      </c>
      <c r="J217" s="57">
        <f t="shared" si="28"/>
        <v>6.5628476084538354E-2</v>
      </c>
      <c r="K217" s="57">
        <f t="shared" si="29"/>
        <v>9.6033402922755737E-2</v>
      </c>
    </row>
    <row r="218" spans="4:11" x14ac:dyDescent="0.2">
      <c r="D218" s="8" t="s">
        <v>755</v>
      </c>
      <c r="E218" s="61">
        <v>4.29</v>
      </c>
      <c r="F218" s="61">
        <v>4.2699999999999996</v>
      </c>
      <c r="G218" s="61">
        <v>5.15</v>
      </c>
      <c r="H218" s="61">
        <v>5.83</v>
      </c>
      <c r="I218" s="57">
        <f t="shared" si="27"/>
        <v>-4.6620046620047696E-3</v>
      </c>
      <c r="J218" s="57">
        <f t="shared" si="28"/>
        <v>0.20608899297423908</v>
      </c>
      <c r="K218" s="57">
        <f t="shared" si="29"/>
        <v>0.13203883495145624</v>
      </c>
    </row>
    <row r="219" spans="4:11" x14ac:dyDescent="0.2">
      <c r="D219" s="8" t="s">
        <v>756</v>
      </c>
      <c r="E219" s="61">
        <v>2.84</v>
      </c>
      <c r="F219" s="61">
        <v>3.08</v>
      </c>
      <c r="G219" s="61">
        <v>4.88</v>
      </c>
      <c r="H219" s="61">
        <v>6.23</v>
      </c>
      <c r="I219" s="57">
        <f t="shared" si="27"/>
        <v>8.4507042253521208E-2</v>
      </c>
      <c r="J219" s="57">
        <f t="shared" si="28"/>
        <v>0.58441558441558439</v>
      </c>
      <c r="K219" s="57">
        <f t="shared" si="29"/>
        <v>0.27663934426229519</v>
      </c>
    </row>
    <row r="220" spans="4:11" x14ac:dyDescent="0.2">
      <c r="D220" s="8" t="s">
        <v>757</v>
      </c>
      <c r="E220" s="61">
        <v>5.27</v>
      </c>
      <c r="F220" s="61">
        <v>7.53</v>
      </c>
      <c r="G220" s="61">
        <v>8.85</v>
      </c>
      <c r="H220" s="61">
        <v>10.5</v>
      </c>
      <c r="I220" s="57">
        <f t="shared" si="27"/>
        <v>0.42884250474383317</v>
      </c>
      <c r="J220" s="57">
        <f t="shared" si="28"/>
        <v>0.17529880478087642</v>
      </c>
      <c r="K220" s="57">
        <f t="shared" si="29"/>
        <v>0.18644067796610175</v>
      </c>
    </row>
    <row r="221" spans="4:11" x14ac:dyDescent="0.2">
      <c r="D221" s="8" t="s">
        <v>758</v>
      </c>
      <c r="E221" s="61">
        <v>1.24</v>
      </c>
      <c r="F221" s="61">
        <v>1.72</v>
      </c>
      <c r="G221" s="61">
        <v>2.69</v>
      </c>
      <c r="H221" s="61">
        <v>3.83</v>
      </c>
      <c r="I221" s="57">
        <f t="shared" si="27"/>
        <v>0.38709677419354838</v>
      </c>
      <c r="J221" s="57">
        <f t="shared" si="28"/>
        <v>0.56395348837209303</v>
      </c>
      <c r="K221" s="57">
        <f t="shared" si="29"/>
        <v>0.42379182156133832</v>
      </c>
    </row>
    <row r="222" spans="4:11" x14ac:dyDescent="0.2">
      <c r="D222" s="8" t="s">
        <v>759</v>
      </c>
      <c r="E222" s="61">
        <v>3.36</v>
      </c>
      <c r="F222" s="61">
        <v>3.99</v>
      </c>
      <c r="G222" s="61">
        <v>4.82</v>
      </c>
      <c r="H222" s="61">
        <v>5.57</v>
      </c>
      <c r="I222" s="57">
        <f t="shared" si="27"/>
        <v>0.18750000000000011</v>
      </c>
      <c r="J222" s="57">
        <f t="shared" si="28"/>
        <v>0.2080200501253133</v>
      </c>
      <c r="K222" s="57">
        <f t="shared" si="29"/>
        <v>0.15560165975103735</v>
      </c>
    </row>
    <row r="223" spans="4:11" x14ac:dyDescent="0.2">
      <c r="D223" s="8" t="s">
        <v>760</v>
      </c>
      <c r="E223" s="61">
        <v>6.17</v>
      </c>
      <c r="F223" s="61">
        <v>6.29</v>
      </c>
      <c r="G223" s="61">
        <v>6.58</v>
      </c>
      <c r="H223" s="61">
        <v>7.08</v>
      </c>
      <c r="I223" s="57">
        <f t="shared" si="27"/>
        <v>1.9448946515397102E-2</v>
      </c>
      <c r="J223" s="57">
        <f t="shared" si="28"/>
        <v>4.6104928457869641E-2</v>
      </c>
      <c r="K223" s="57">
        <f t="shared" si="29"/>
        <v>7.598784194528875E-2</v>
      </c>
    </row>
    <row r="224" spans="4:11" x14ac:dyDescent="0.2">
      <c r="D224" s="8" t="s">
        <v>761</v>
      </c>
      <c r="E224" s="61">
        <v>4.26</v>
      </c>
      <c r="F224" s="61">
        <v>4.87</v>
      </c>
      <c r="G224" s="61">
        <v>5.56</v>
      </c>
      <c r="H224" s="61">
        <v>6.36</v>
      </c>
      <c r="I224" s="57">
        <f t="shared" si="27"/>
        <v>0.14319248826291089</v>
      </c>
      <c r="J224" s="57">
        <f t="shared" si="28"/>
        <v>0.14168377823408615</v>
      </c>
      <c r="K224" s="57">
        <f t="shared" si="29"/>
        <v>0.14388489208633107</v>
      </c>
    </row>
    <row r="225" spans="4:11" x14ac:dyDescent="0.2">
      <c r="D225" s="8" t="s">
        <v>762</v>
      </c>
      <c r="E225" s="61">
        <v>1.26</v>
      </c>
      <c r="F225" s="61">
        <v>1.33</v>
      </c>
      <c r="G225" s="61">
        <v>1.38</v>
      </c>
      <c r="H225" s="61">
        <v>1.43</v>
      </c>
      <c r="I225" s="57">
        <f t="shared" si="27"/>
        <v>5.5555555555555601E-2</v>
      </c>
      <c r="J225" s="57">
        <f t="shared" si="28"/>
        <v>3.7593984962405881E-2</v>
      </c>
      <c r="K225" s="57">
        <f t="shared" si="29"/>
        <v>3.623188405797105E-2</v>
      </c>
    </row>
    <row r="226" spans="4:11" x14ac:dyDescent="0.2">
      <c r="D226" s="8" t="s">
        <v>764</v>
      </c>
      <c r="E226" s="61">
        <v>1.99</v>
      </c>
      <c r="F226" s="61">
        <v>2.41</v>
      </c>
      <c r="G226" s="61">
        <v>2.4900000000000002</v>
      </c>
      <c r="H226" s="61">
        <v>2.61</v>
      </c>
      <c r="I226" s="57">
        <f t="shared" si="27"/>
        <v>0.21105527638190963</v>
      </c>
      <c r="J226" s="57">
        <f t="shared" si="28"/>
        <v>3.3195020746887995E-2</v>
      </c>
      <c r="K226" s="57">
        <f t="shared" si="29"/>
        <v>4.8192771084337213E-2</v>
      </c>
    </row>
    <row r="227" spans="4:11" x14ac:dyDescent="0.2">
      <c r="D227" s="8" t="s">
        <v>765</v>
      </c>
      <c r="E227" s="61" t="s">
        <v>1021</v>
      </c>
      <c r="F227" s="61" t="s">
        <v>1021</v>
      </c>
      <c r="G227" s="61" t="s">
        <v>1021</v>
      </c>
      <c r="H227" s="61" t="s">
        <v>1022</v>
      </c>
      <c r="I227" s="57"/>
      <c r="J227" s="57"/>
      <c r="K227" s="57"/>
    </row>
    <row r="228" spans="4:11" x14ac:dyDescent="0.2">
      <c r="D228" s="8" t="s">
        <v>1027</v>
      </c>
      <c r="E228" s="61">
        <v>21.3</v>
      </c>
      <c r="F228" s="61">
        <v>17.399999999999999</v>
      </c>
      <c r="G228" s="61">
        <v>21</v>
      </c>
      <c r="H228" s="61">
        <v>21.1</v>
      </c>
      <c r="I228" s="57">
        <f>(F228-E228)/E228</f>
        <v>-0.18309859154929586</v>
      </c>
      <c r="J228" s="57">
        <f>(G228-F228)/F228</f>
        <v>0.20689655172413804</v>
      </c>
      <c r="K228" s="57">
        <f>(H228-G228)/G228</f>
        <v>4.76190476190483E-3</v>
      </c>
    </row>
    <row r="229" spans="4:11" x14ac:dyDescent="0.2">
      <c r="D229" s="8" t="s">
        <v>766</v>
      </c>
      <c r="E229" s="61" t="s">
        <v>1021</v>
      </c>
      <c r="F229" s="61" t="s">
        <v>1021</v>
      </c>
      <c r="G229" s="61" t="s">
        <v>1021</v>
      </c>
      <c r="H229" s="61" t="s">
        <v>1022</v>
      </c>
      <c r="I229" s="57"/>
      <c r="J229" s="57"/>
      <c r="K229" s="57"/>
    </row>
    <row r="230" spans="4:11" x14ac:dyDescent="0.2">
      <c r="D230" s="8" t="s">
        <v>767</v>
      </c>
      <c r="E230" s="61">
        <v>3.15</v>
      </c>
      <c r="F230" s="61">
        <v>3.6</v>
      </c>
      <c r="G230" s="61">
        <v>3.91</v>
      </c>
      <c r="H230" s="61">
        <v>4.17</v>
      </c>
      <c r="I230" s="57">
        <f t="shared" ref="I230:K234" si="30">(F230-E230)/E230</f>
        <v>0.1428571428571429</v>
      </c>
      <c r="J230" s="57">
        <f t="shared" si="30"/>
        <v>8.6111111111111124E-2</v>
      </c>
      <c r="K230" s="57">
        <f t="shared" si="30"/>
        <v>6.6496163682864387E-2</v>
      </c>
    </row>
    <row r="231" spans="4:11" x14ac:dyDescent="0.2">
      <c r="D231" s="8" t="s">
        <v>768</v>
      </c>
      <c r="E231" s="61">
        <v>1.89</v>
      </c>
      <c r="F231" s="61">
        <v>2.06</v>
      </c>
      <c r="G231" s="61">
        <v>2.76</v>
      </c>
      <c r="H231" s="61">
        <v>3.07</v>
      </c>
      <c r="I231" s="57">
        <f t="shared" si="30"/>
        <v>8.9947089947090025E-2</v>
      </c>
      <c r="J231" s="57">
        <f t="shared" si="30"/>
        <v>0.3398058252427183</v>
      </c>
      <c r="K231" s="57">
        <f t="shared" si="30"/>
        <v>0.11231884057971017</v>
      </c>
    </row>
    <row r="232" spans="4:11" x14ac:dyDescent="0.2">
      <c r="D232" s="8" t="s">
        <v>769</v>
      </c>
      <c r="E232" s="61">
        <v>0.97</v>
      </c>
      <c r="F232" s="61">
        <v>3.49</v>
      </c>
      <c r="G232" s="61">
        <v>3.02</v>
      </c>
      <c r="H232" s="61">
        <v>3.46</v>
      </c>
      <c r="I232" s="57">
        <f t="shared" si="30"/>
        <v>2.5979381443298974</v>
      </c>
      <c r="J232" s="57">
        <f t="shared" si="30"/>
        <v>-0.13467048710601723</v>
      </c>
      <c r="K232" s="57">
        <f t="shared" si="30"/>
        <v>0.14569536423841059</v>
      </c>
    </row>
    <row r="233" spans="4:11" x14ac:dyDescent="0.2">
      <c r="D233" s="8" t="s">
        <v>770</v>
      </c>
      <c r="E233" s="61">
        <v>1.76</v>
      </c>
      <c r="F233" s="61">
        <v>2.0299999999999998</v>
      </c>
      <c r="G233" s="61">
        <v>2.2599999999999998</v>
      </c>
      <c r="H233" s="61">
        <v>2.39</v>
      </c>
      <c r="I233" s="57">
        <f t="shared" si="30"/>
        <v>0.1534090909090908</v>
      </c>
      <c r="J233" s="57">
        <f t="shared" si="30"/>
        <v>0.11330049261083744</v>
      </c>
      <c r="K233" s="57">
        <f t="shared" si="30"/>
        <v>5.7522123893805462E-2</v>
      </c>
    </row>
    <row r="234" spans="4:11" x14ac:dyDescent="0.2">
      <c r="D234" s="8" t="s">
        <v>771</v>
      </c>
      <c r="E234" s="61">
        <v>5.58</v>
      </c>
      <c r="F234" s="61">
        <v>5.76</v>
      </c>
      <c r="G234" s="61">
        <v>6.12</v>
      </c>
      <c r="H234" s="61">
        <v>6.61</v>
      </c>
      <c r="I234" s="57">
        <f t="shared" si="30"/>
        <v>3.2258064516128983E-2</v>
      </c>
      <c r="J234" s="57">
        <f t="shared" si="30"/>
        <v>6.2500000000000056E-2</v>
      </c>
      <c r="K234" s="57">
        <f t="shared" si="30"/>
        <v>8.0065359477124218E-2</v>
      </c>
    </row>
    <row r="235" spans="4:11" x14ac:dyDescent="0.2">
      <c r="D235" s="8" t="s">
        <v>504</v>
      </c>
      <c r="E235" s="61" t="s">
        <v>1021</v>
      </c>
      <c r="F235" s="61" t="s">
        <v>1021</v>
      </c>
      <c r="G235" s="61" t="s">
        <v>1021</v>
      </c>
      <c r="H235" s="61" t="s">
        <v>1022</v>
      </c>
      <c r="I235" s="57"/>
      <c r="J235" s="57"/>
      <c r="K235" s="57"/>
    </row>
    <row r="236" spans="4:11" x14ac:dyDescent="0.2">
      <c r="D236" s="8" t="s">
        <v>772</v>
      </c>
      <c r="E236" s="61">
        <v>6.24</v>
      </c>
      <c r="F236" s="61">
        <v>6.76</v>
      </c>
      <c r="G236" s="61">
        <v>5.65</v>
      </c>
      <c r="H236" s="61">
        <v>5.66</v>
      </c>
      <c r="I236" s="57">
        <f t="shared" ref="I236:I262" si="31">(F236-E236)/E236</f>
        <v>8.3333333333333259E-2</v>
      </c>
      <c r="J236" s="57">
        <f t="shared" ref="J236:J262" si="32">(G236-F236)/F236</f>
        <v>-0.16420118343195259</v>
      </c>
      <c r="K236" s="57">
        <f t="shared" ref="K236:K262" si="33">(H236-G236)/G236</f>
        <v>1.769911504424741E-3</v>
      </c>
    </row>
    <row r="237" spans="4:11" x14ac:dyDescent="0.2">
      <c r="D237" s="8" t="s">
        <v>773</v>
      </c>
      <c r="E237" s="61">
        <v>1.1299999999999999</v>
      </c>
      <c r="F237" s="61">
        <v>1.51</v>
      </c>
      <c r="G237" s="61">
        <v>1.87</v>
      </c>
      <c r="H237" s="61">
        <v>2.17</v>
      </c>
      <c r="I237" s="57">
        <f t="shared" si="31"/>
        <v>0.3362831858407081</v>
      </c>
      <c r="J237" s="57">
        <f t="shared" si="32"/>
        <v>0.23841059602649012</v>
      </c>
      <c r="K237" s="57">
        <f t="shared" si="33"/>
        <v>0.16042780748663091</v>
      </c>
    </row>
    <row r="238" spans="4:11" x14ac:dyDescent="0.2">
      <c r="D238" s="8" t="s">
        <v>774</v>
      </c>
      <c r="E238" s="61">
        <v>2.58</v>
      </c>
      <c r="F238" s="61">
        <v>2.42</v>
      </c>
      <c r="G238" s="61">
        <v>2.5499999999999998</v>
      </c>
      <c r="H238" s="61">
        <v>2.52</v>
      </c>
      <c r="I238" s="57">
        <f t="shared" si="31"/>
        <v>-6.2015503875969047E-2</v>
      </c>
      <c r="J238" s="57">
        <f t="shared" si="32"/>
        <v>5.371900826446277E-2</v>
      </c>
      <c r="K238" s="57">
        <f t="shared" si="33"/>
        <v>-1.1764705882352865E-2</v>
      </c>
    </row>
    <row r="239" spans="4:11" x14ac:dyDescent="0.2">
      <c r="D239" s="8" t="s">
        <v>775</v>
      </c>
      <c r="E239" s="61">
        <v>4.75</v>
      </c>
      <c r="F239" s="61">
        <v>5.18</v>
      </c>
      <c r="G239" s="61">
        <v>5.36</v>
      </c>
      <c r="H239" s="61">
        <v>5.98</v>
      </c>
      <c r="I239" s="57">
        <f t="shared" si="31"/>
        <v>9.0526315789473621E-2</v>
      </c>
      <c r="J239" s="57">
        <f t="shared" si="32"/>
        <v>3.4749034749034867E-2</v>
      </c>
      <c r="K239" s="57">
        <f t="shared" si="33"/>
        <v>0.11567164179104479</v>
      </c>
    </row>
    <row r="240" spans="4:11" x14ac:dyDescent="0.2">
      <c r="D240" s="8" t="s">
        <v>776</v>
      </c>
      <c r="E240" s="61">
        <v>4.95</v>
      </c>
      <c r="F240" s="61">
        <v>5.27</v>
      </c>
      <c r="G240" s="61">
        <v>5.33</v>
      </c>
      <c r="H240" s="61">
        <v>5.76</v>
      </c>
      <c r="I240" s="57">
        <f t="shared" si="31"/>
        <v>6.4646464646464522E-2</v>
      </c>
      <c r="J240" s="57">
        <f t="shared" si="32"/>
        <v>1.1385199240986812E-2</v>
      </c>
      <c r="K240" s="57">
        <f t="shared" si="33"/>
        <v>8.0675422138836717E-2</v>
      </c>
    </row>
    <row r="241" spans="4:11" x14ac:dyDescent="0.2">
      <c r="D241" s="8" t="s">
        <v>777</v>
      </c>
      <c r="E241" s="61">
        <v>3.19</v>
      </c>
      <c r="F241" s="61">
        <v>2.64</v>
      </c>
      <c r="G241" s="61">
        <v>3.4</v>
      </c>
      <c r="H241" s="61">
        <v>3.73</v>
      </c>
      <c r="I241" s="57">
        <f t="shared" si="31"/>
        <v>-0.17241379310344823</v>
      </c>
      <c r="J241" s="57">
        <f t="shared" si="32"/>
        <v>0.28787878787878779</v>
      </c>
      <c r="K241" s="57">
        <f t="shared" si="33"/>
        <v>9.7058823529411795E-2</v>
      </c>
    </row>
    <row r="242" spans="4:11" x14ac:dyDescent="0.2">
      <c r="D242" s="8" t="s">
        <v>779</v>
      </c>
      <c r="E242" s="61">
        <v>4.63</v>
      </c>
      <c r="F242" s="61">
        <v>5.91</v>
      </c>
      <c r="G242" s="61">
        <v>5.76</v>
      </c>
      <c r="H242" s="61">
        <v>6.09</v>
      </c>
      <c r="I242" s="57">
        <f t="shared" si="31"/>
        <v>0.27645788336933053</v>
      </c>
      <c r="J242" s="57">
        <f t="shared" si="32"/>
        <v>-2.5380710659898536E-2</v>
      </c>
      <c r="K242" s="57">
        <f t="shared" si="33"/>
        <v>5.7291666666666678E-2</v>
      </c>
    </row>
    <row r="243" spans="4:11" x14ac:dyDescent="0.2">
      <c r="D243" s="8" t="s">
        <v>780</v>
      </c>
      <c r="E243" s="61">
        <v>5.9</v>
      </c>
      <c r="F243" s="61">
        <v>5.91</v>
      </c>
      <c r="G243" s="61">
        <v>5.79</v>
      </c>
      <c r="H243" s="61">
        <v>6.32</v>
      </c>
      <c r="I243" s="57">
        <f t="shared" si="31"/>
        <v>1.6949152542372519E-3</v>
      </c>
      <c r="J243" s="57">
        <f t="shared" si="32"/>
        <v>-2.0304568527918801E-2</v>
      </c>
      <c r="K243" s="57">
        <f t="shared" si="33"/>
        <v>9.1537132987910233E-2</v>
      </c>
    </row>
    <row r="244" spans="4:11" x14ac:dyDescent="0.2">
      <c r="D244" s="8" t="s">
        <v>781</v>
      </c>
      <c r="E244" s="61">
        <v>4.0199999999999996</v>
      </c>
      <c r="F244" s="61">
        <v>4.55</v>
      </c>
      <c r="G244" s="61">
        <v>5.55</v>
      </c>
      <c r="H244" s="61">
        <v>6.15</v>
      </c>
      <c r="I244" s="57">
        <f t="shared" si="31"/>
        <v>0.13184079601990056</v>
      </c>
      <c r="J244" s="57">
        <f t="shared" si="32"/>
        <v>0.21978021978021978</v>
      </c>
      <c r="K244" s="57">
        <f t="shared" si="33"/>
        <v>0.10810810810810821</v>
      </c>
    </row>
    <row r="245" spans="4:11" x14ac:dyDescent="0.2">
      <c r="D245" s="8" t="s">
        <v>782</v>
      </c>
      <c r="E245" s="61">
        <v>13.2</v>
      </c>
      <c r="F245" s="61">
        <v>15.8</v>
      </c>
      <c r="G245" s="61">
        <v>14.1</v>
      </c>
      <c r="H245" s="61">
        <v>14.6</v>
      </c>
      <c r="I245" s="57">
        <f t="shared" si="31"/>
        <v>0.1969696969696971</v>
      </c>
      <c r="J245" s="57">
        <f t="shared" si="32"/>
        <v>-0.10759493670886082</v>
      </c>
      <c r="K245" s="57">
        <f t="shared" si="33"/>
        <v>3.5460992907801421E-2</v>
      </c>
    </row>
    <row r="246" spans="4:11" x14ac:dyDescent="0.2">
      <c r="D246" s="8" t="s">
        <v>783</v>
      </c>
      <c r="E246" s="61">
        <v>11.5</v>
      </c>
      <c r="F246" s="61">
        <v>11.8</v>
      </c>
      <c r="G246" s="61">
        <v>12.5</v>
      </c>
      <c r="H246" s="61">
        <v>13.2</v>
      </c>
      <c r="I246" s="57">
        <f t="shared" si="31"/>
        <v>2.6086956521739191E-2</v>
      </c>
      <c r="J246" s="57">
        <f t="shared" si="32"/>
        <v>5.9322033898305024E-2</v>
      </c>
      <c r="K246" s="57">
        <f t="shared" si="33"/>
        <v>5.5999999999999946E-2</v>
      </c>
    </row>
    <row r="247" spans="4:11" x14ac:dyDescent="0.2">
      <c r="D247" s="8" t="s">
        <v>784</v>
      </c>
      <c r="E247" s="61">
        <v>5.7</v>
      </c>
      <c r="F247" s="61">
        <v>5.34</v>
      </c>
      <c r="G247" s="61">
        <v>9.68</v>
      </c>
      <c r="H247" s="61">
        <v>11.2</v>
      </c>
      <c r="I247" s="57">
        <f t="shared" si="31"/>
        <v>-6.3157894736842163E-2</v>
      </c>
      <c r="J247" s="57">
        <f t="shared" si="32"/>
        <v>0.81273408239700373</v>
      </c>
      <c r="K247" s="57">
        <f t="shared" si="33"/>
        <v>0.1570247933884297</v>
      </c>
    </row>
    <row r="248" spans="4:11" x14ac:dyDescent="0.2">
      <c r="D248" s="8" t="s">
        <v>785</v>
      </c>
      <c r="E248" s="61">
        <v>2.52</v>
      </c>
      <c r="F248" s="61">
        <v>2.5</v>
      </c>
      <c r="G248" s="61">
        <v>3.1</v>
      </c>
      <c r="H248" s="61">
        <v>3.36</v>
      </c>
      <c r="I248" s="57">
        <f t="shared" si="31"/>
        <v>-7.936507936507943E-3</v>
      </c>
      <c r="J248" s="57">
        <f t="shared" si="32"/>
        <v>0.24000000000000005</v>
      </c>
      <c r="K248" s="57">
        <f t="shared" si="33"/>
        <v>8.3870967741935407E-2</v>
      </c>
    </row>
    <row r="249" spans="4:11" x14ac:dyDescent="0.2">
      <c r="D249" s="8" t="s">
        <v>1028</v>
      </c>
      <c r="E249" s="61">
        <v>2.82</v>
      </c>
      <c r="F249" s="61">
        <v>3.18</v>
      </c>
      <c r="G249" s="61">
        <v>3.64</v>
      </c>
      <c r="H249" s="61">
        <v>4.05</v>
      </c>
      <c r="I249" s="57">
        <f t="shared" si="31"/>
        <v>0.12765957446808524</v>
      </c>
      <c r="J249" s="57">
        <f t="shared" si="32"/>
        <v>0.14465408805031443</v>
      </c>
      <c r="K249" s="57">
        <f t="shared" si="33"/>
        <v>0.11263736263736256</v>
      </c>
    </row>
    <row r="250" spans="4:11" x14ac:dyDescent="0.2">
      <c r="D250" s="8" t="s">
        <v>786</v>
      </c>
      <c r="E250" s="61">
        <v>3.74</v>
      </c>
      <c r="F250" s="61">
        <v>5.22</v>
      </c>
      <c r="G250" s="61">
        <v>4.6500000000000004</v>
      </c>
      <c r="H250" s="61">
        <v>5.18</v>
      </c>
      <c r="I250" s="57">
        <f t="shared" si="31"/>
        <v>0.3957219251336897</v>
      </c>
      <c r="J250" s="57">
        <f t="shared" si="32"/>
        <v>-0.10919540229885047</v>
      </c>
      <c r="K250" s="57">
        <f t="shared" si="33"/>
        <v>0.11397849462365577</v>
      </c>
    </row>
    <row r="251" spans="4:11" x14ac:dyDescent="0.2">
      <c r="D251" s="8" t="s">
        <v>787</v>
      </c>
      <c r="E251" s="61">
        <v>1.42</v>
      </c>
      <c r="F251" s="61">
        <v>1.0900000000000001</v>
      </c>
      <c r="G251" s="61">
        <v>2.33</v>
      </c>
      <c r="H251" s="61">
        <v>4.37</v>
      </c>
      <c r="I251" s="57">
        <f t="shared" si="31"/>
        <v>-0.23239436619718301</v>
      </c>
      <c r="J251" s="57">
        <f t="shared" si="32"/>
        <v>1.1376146788990824</v>
      </c>
      <c r="K251" s="57">
        <f t="shared" si="33"/>
        <v>0.87553648068669532</v>
      </c>
    </row>
    <row r="252" spans="4:11" x14ac:dyDescent="0.2">
      <c r="D252" s="8" t="s">
        <v>788</v>
      </c>
      <c r="E252" s="61">
        <v>6.32</v>
      </c>
      <c r="F252" s="61">
        <v>6.39</v>
      </c>
      <c r="G252" s="61">
        <v>6.71</v>
      </c>
      <c r="H252" s="61">
        <v>7.08</v>
      </c>
      <c r="I252" s="57">
        <f t="shared" si="31"/>
        <v>1.1075949367088512E-2</v>
      </c>
      <c r="J252" s="57">
        <f t="shared" si="32"/>
        <v>5.0078247261345903E-2</v>
      </c>
      <c r="K252" s="57">
        <f t="shared" si="33"/>
        <v>5.5141579731743683E-2</v>
      </c>
    </row>
    <row r="253" spans="4:11" x14ac:dyDescent="0.2">
      <c r="D253" s="8" t="s">
        <v>789</v>
      </c>
      <c r="E253" s="61">
        <v>4.26</v>
      </c>
      <c r="F253" s="61">
        <v>7.73</v>
      </c>
      <c r="G253" s="61">
        <v>9.19</v>
      </c>
      <c r="H253" s="61">
        <v>10.3</v>
      </c>
      <c r="I253" s="57">
        <f t="shared" si="31"/>
        <v>0.81455399061032885</v>
      </c>
      <c r="J253" s="57">
        <f t="shared" si="32"/>
        <v>0.18887451487710208</v>
      </c>
      <c r="K253" s="57">
        <f t="shared" si="33"/>
        <v>0.12078346028291635</v>
      </c>
    </row>
    <row r="254" spans="4:11" x14ac:dyDescent="0.2">
      <c r="D254" s="8" t="s">
        <v>790</v>
      </c>
      <c r="E254" s="61">
        <v>7</v>
      </c>
      <c r="F254" s="61">
        <v>5.2</v>
      </c>
      <c r="G254" s="61">
        <v>5.61</v>
      </c>
      <c r="H254" s="61">
        <v>6.22</v>
      </c>
      <c r="I254" s="57">
        <f t="shared" si="31"/>
        <v>-0.25714285714285712</v>
      </c>
      <c r="J254" s="57">
        <f t="shared" si="32"/>
        <v>7.8846153846153871E-2</v>
      </c>
      <c r="K254" s="57">
        <f t="shared" si="33"/>
        <v>0.1087344028520498</v>
      </c>
    </row>
    <row r="255" spans="4:11" x14ac:dyDescent="0.2">
      <c r="D255" s="8" t="s">
        <v>791</v>
      </c>
      <c r="E255" s="61">
        <v>12.7</v>
      </c>
      <c r="F255" s="61">
        <v>13.8</v>
      </c>
      <c r="G255" s="61">
        <v>14.1</v>
      </c>
      <c r="H255" s="61">
        <v>15.1</v>
      </c>
      <c r="I255" s="57">
        <f t="shared" si="31"/>
        <v>8.6614173228346567E-2</v>
      </c>
      <c r="J255" s="57">
        <f t="shared" si="32"/>
        <v>2.1739130434782532E-2</v>
      </c>
      <c r="K255" s="57">
        <f t="shared" si="33"/>
        <v>7.0921985815602842E-2</v>
      </c>
    </row>
    <row r="256" spans="4:11" x14ac:dyDescent="0.2">
      <c r="D256" s="8" t="s">
        <v>792</v>
      </c>
      <c r="E256" s="61">
        <v>5.66</v>
      </c>
      <c r="F256" s="61">
        <v>6.54</v>
      </c>
      <c r="G256" s="61">
        <v>6.62</v>
      </c>
      <c r="H256" s="61">
        <v>8.25</v>
      </c>
      <c r="I256" s="57">
        <f t="shared" si="31"/>
        <v>0.15547703180212011</v>
      </c>
      <c r="J256" s="57">
        <f t="shared" si="32"/>
        <v>1.2232415902140683E-2</v>
      </c>
      <c r="K256" s="57">
        <f t="shared" si="33"/>
        <v>0.24622356495468276</v>
      </c>
    </row>
    <row r="257" spans="4:11" x14ac:dyDescent="0.2">
      <c r="D257" s="8" t="s">
        <v>793</v>
      </c>
      <c r="E257" s="61">
        <v>6.31</v>
      </c>
      <c r="F257" s="61">
        <v>12.6</v>
      </c>
      <c r="G257" s="61">
        <v>17.600000000000001</v>
      </c>
      <c r="H257" s="61">
        <v>22</v>
      </c>
      <c r="I257" s="57">
        <f t="shared" si="31"/>
        <v>0.99683042789223464</v>
      </c>
      <c r="J257" s="57">
        <f t="shared" si="32"/>
        <v>0.39682539682539697</v>
      </c>
      <c r="K257" s="57">
        <f t="shared" si="33"/>
        <v>0.24999999999999989</v>
      </c>
    </row>
    <row r="258" spans="4:11" x14ac:dyDescent="0.2">
      <c r="D258" s="8" t="s">
        <v>794</v>
      </c>
      <c r="E258" s="61">
        <v>3.7</v>
      </c>
      <c r="F258" s="61">
        <v>3.1</v>
      </c>
      <c r="G258" s="61">
        <v>3.53</v>
      </c>
      <c r="H258" s="61">
        <v>3.3</v>
      </c>
      <c r="I258" s="57">
        <f t="shared" si="31"/>
        <v>-0.16216216216216217</v>
      </c>
      <c r="J258" s="57">
        <f t="shared" si="32"/>
        <v>0.13870967741935475</v>
      </c>
      <c r="K258" s="57">
        <f t="shared" si="33"/>
        <v>-6.5155807365439092E-2</v>
      </c>
    </row>
    <row r="259" spans="4:11" x14ac:dyDescent="0.2">
      <c r="D259" s="8" t="s">
        <v>795</v>
      </c>
      <c r="E259" s="61">
        <v>2.27</v>
      </c>
      <c r="F259" s="61">
        <v>2.4900000000000002</v>
      </c>
      <c r="G259" s="61">
        <v>2.7</v>
      </c>
      <c r="H259" s="61">
        <v>2.88</v>
      </c>
      <c r="I259" s="57">
        <f t="shared" si="31"/>
        <v>9.6916299559471453E-2</v>
      </c>
      <c r="J259" s="57">
        <f t="shared" si="32"/>
        <v>8.4337349397590342E-2</v>
      </c>
      <c r="K259" s="57">
        <f t="shared" si="33"/>
        <v>6.6666666666666555E-2</v>
      </c>
    </row>
    <row r="260" spans="4:11" x14ac:dyDescent="0.2">
      <c r="D260" s="8" t="s">
        <v>796</v>
      </c>
      <c r="E260" s="61">
        <v>12</v>
      </c>
      <c r="F260" s="61">
        <v>9.99</v>
      </c>
      <c r="G260" s="61">
        <v>11.3</v>
      </c>
      <c r="H260" s="61">
        <v>11.4</v>
      </c>
      <c r="I260" s="57">
        <f t="shared" si="31"/>
        <v>-0.16749999999999998</v>
      </c>
      <c r="J260" s="57">
        <f t="shared" si="32"/>
        <v>0.13113113113113117</v>
      </c>
      <c r="K260" s="57">
        <f t="shared" si="33"/>
        <v>8.8495575221238625E-3</v>
      </c>
    </row>
    <row r="261" spans="4:11" x14ac:dyDescent="0.2">
      <c r="D261" s="8" t="s">
        <v>797</v>
      </c>
      <c r="E261" s="61">
        <v>3.34</v>
      </c>
      <c r="F261" s="61">
        <v>3.68</v>
      </c>
      <c r="G261" s="61">
        <v>3.94</v>
      </c>
      <c r="H261" s="61">
        <v>4.4000000000000004</v>
      </c>
      <c r="I261" s="57">
        <f t="shared" si="31"/>
        <v>0.10179640718562884</v>
      </c>
      <c r="J261" s="57">
        <f t="shared" si="32"/>
        <v>7.0652173913043417E-2</v>
      </c>
      <c r="K261" s="57">
        <f t="shared" si="33"/>
        <v>0.1167512690355331</v>
      </c>
    </row>
    <row r="262" spans="4:11" x14ac:dyDescent="0.2">
      <c r="D262" s="8" t="s">
        <v>798</v>
      </c>
      <c r="E262" s="61">
        <v>2.8</v>
      </c>
      <c r="F262" s="61">
        <v>3.56</v>
      </c>
      <c r="G262" s="61">
        <v>3.95</v>
      </c>
      <c r="H262" s="61">
        <v>4.3499999999999996</v>
      </c>
      <c r="I262" s="57">
        <f t="shared" si="31"/>
        <v>0.27142857142857152</v>
      </c>
      <c r="J262" s="57">
        <f t="shared" si="32"/>
        <v>0.10955056179775284</v>
      </c>
      <c r="K262" s="57">
        <f t="shared" si="33"/>
        <v>0.10126582278480999</v>
      </c>
    </row>
    <row r="263" spans="4:11" x14ac:dyDescent="0.2">
      <c r="D263" s="8" t="s">
        <v>799</v>
      </c>
      <c r="E263" s="61" t="s">
        <v>1021</v>
      </c>
      <c r="F263" s="61" t="s">
        <v>1021</v>
      </c>
      <c r="G263" s="61" t="s">
        <v>1021</v>
      </c>
      <c r="H263" s="61" t="s">
        <v>1022</v>
      </c>
      <c r="I263" s="57"/>
      <c r="J263" s="57"/>
      <c r="K263" s="57"/>
    </row>
    <row r="264" spans="4:11" x14ac:dyDescent="0.2">
      <c r="D264" s="8" t="s">
        <v>800</v>
      </c>
      <c r="E264" s="61">
        <v>1.23</v>
      </c>
      <c r="F264" s="61">
        <v>1.49</v>
      </c>
      <c r="G264" s="61">
        <v>1.6</v>
      </c>
      <c r="H264" s="61">
        <v>1.74</v>
      </c>
      <c r="I264" s="57">
        <f t="shared" ref="I264:K266" si="34">(F264-E264)/E264</f>
        <v>0.21138211382113822</v>
      </c>
      <c r="J264" s="57">
        <f t="shared" si="34"/>
        <v>7.3825503355704758E-2</v>
      </c>
      <c r="K264" s="57">
        <f t="shared" si="34"/>
        <v>8.7499999999999939E-2</v>
      </c>
    </row>
    <row r="265" spans="4:11" x14ac:dyDescent="0.2">
      <c r="D265" s="8" t="s">
        <v>801</v>
      </c>
      <c r="E265" s="61">
        <v>3.16</v>
      </c>
      <c r="F265" s="61">
        <v>3.21</v>
      </c>
      <c r="G265" s="61">
        <v>3.56</v>
      </c>
      <c r="H265" s="61">
        <v>3.8</v>
      </c>
      <c r="I265" s="57">
        <f t="shared" si="34"/>
        <v>1.5822784810126524E-2</v>
      </c>
      <c r="J265" s="57">
        <f t="shared" si="34"/>
        <v>0.10903426791277261</v>
      </c>
      <c r="K265" s="57">
        <f t="shared" si="34"/>
        <v>6.741573033707858E-2</v>
      </c>
    </row>
    <row r="266" spans="4:11" x14ac:dyDescent="0.2">
      <c r="D266" s="8" t="s">
        <v>802</v>
      </c>
      <c r="E266" s="61">
        <v>6.4</v>
      </c>
      <c r="F266" s="61">
        <v>5.54</v>
      </c>
      <c r="G266" s="61">
        <v>6.13</v>
      </c>
      <c r="H266" s="61">
        <v>6.39</v>
      </c>
      <c r="I266" s="57">
        <f t="shared" si="34"/>
        <v>-0.13437500000000005</v>
      </c>
      <c r="J266" s="57">
        <f t="shared" si="34"/>
        <v>0.10649819494584835</v>
      </c>
      <c r="K266" s="57">
        <f t="shared" si="34"/>
        <v>4.2414355628058696E-2</v>
      </c>
    </row>
    <row r="267" spans="4:11" x14ac:dyDescent="0.2">
      <c r="D267" s="8" t="s">
        <v>803</v>
      </c>
      <c r="E267" s="61" t="s">
        <v>1021</v>
      </c>
      <c r="F267" s="61" t="s">
        <v>1021</v>
      </c>
      <c r="G267" s="61" t="s">
        <v>1021</v>
      </c>
      <c r="H267" s="61" t="s">
        <v>1022</v>
      </c>
      <c r="I267" s="57"/>
      <c r="J267" s="57"/>
      <c r="K267" s="57"/>
    </row>
    <row r="268" spans="4:11" x14ac:dyDescent="0.2">
      <c r="D268" s="8" t="s">
        <v>804</v>
      </c>
      <c r="E268" s="61">
        <v>3.85</v>
      </c>
      <c r="F268" s="61">
        <v>4.8499999999999996</v>
      </c>
      <c r="G268" s="61">
        <v>5.83</v>
      </c>
      <c r="H268" s="61">
        <v>6.6</v>
      </c>
      <c r="I268" s="57">
        <f t="shared" ref="I268:K273" si="35">(F268-E268)/E268</f>
        <v>0.2597402597402596</v>
      </c>
      <c r="J268" s="57">
        <f t="shared" si="35"/>
        <v>0.20206185567010321</v>
      </c>
      <c r="K268" s="57">
        <f t="shared" si="35"/>
        <v>0.13207547169811312</v>
      </c>
    </row>
    <row r="269" spans="4:11" x14ac:dyDescent="0.2">
      <c r="D269" s="8" t="s">
        <v>805</v>
      </c>
      <c r="E269" s="61">
        <v>6.64</v>
      </c>
      <c r="F269" s="61">
        <v>6.59</v>
      </c>
      <c r="G269" s="61">
        <v>6.98</v>
      </c>
      <c r="H269" s="61">
        <v>6.34</v>
      </c>
      <c r="I269" s="57">
        <f t="shared" si="35"/>
        <v>-7.5301204819276848E-3</v>
      </c>
      <c r="J269" s="57">
        <f t="shared" si="35"/>
        <v>5.9180576631259571E-2</v>
      </c>
      <c r="K269" s="57">
        <f t="shared" si="35"/>
        <v>-9.169054441260753E-2</v>
      </c>
    </row>
    <row r="270" spans="4:11" x14ac:dyDescent="0.2">
      <c r="D270" s="8" t="s">
        <v>806</v>
      </c>
      <c r="E270" s="61">
        <v>2.2599999999999998</v>
      </c>
      <c r="F270" s="61">
        <v>3.9</v>
      </c>
      <c r="G270" s="61">
        <v>4.4800000000000004</v>
      </c>
      <c r="H270" s="61">
        <v>5.27</v>
      </c>
      <c r="I270" s="57">
        <f t="shared" si="35"/>
        <v>0.72566371681415942</v>
      </c>
      <c r="J270" s="57">
        <f t="shared" si="35"/>
        <v>0.14871794871794886</v>
      </c>
      <c r="K270" s="57">
        <f t="shared" si="35"/>
        <v>0.1763392857142855</v>
      </c>
    </row>
    <row r="271" spans="4:11" x14ac:dyDescent="0.2">
      <c r="D271" s="8" t="s">
        <v>807</v>
      </c>
      <c r="E271" s="61">
        <v>3.32</v>
      </c>
      <c r="F271" s="61">
        <v>3.23</v>
      </c>
      <c r="G271" s="61">
        <v>3.5</v>
      </c>
      <c r="H271" s="61">
        <v>3.83</v>
      </c>
      <c r="I271" s="57">
        <f t="shared" si="35"/>
        <v>-2.7108433734939718E-2</v>
      </c>
      <c r="J271" s="57">
        <f t="shared" si="35"/>
        <v>8.3591331269349853E-2</v>
      </c>
      <c r="K271" s="57">
        <f t="shared" si="35"/>
        <v>9.4285714285714306E-2</v>
      </c>
    </row>
    <row r="272" spans="4:11" x14ac:dyDescent="0.2">
      <c r="D272" s="8" t="s">
        <v>808</v>
      </c>
      <c r="E272" s="61">
        <v>7.7</v>
      </c>
      <c r="F272" s="61">
        <v>11.4</v>
      </c>
      <c r="G272" s="61">
        <v>12.3</v>
      </c>
      <c r="H272" s="61">
        <v>14</v>
      </c>
      <c r="I272" s="57">
        <f t="shared" si="35"/>
        <v>0.48051948051948051</v>
      </c>
      <c r="J272" s="57">
        <f t="shared" si="35"/>
        <v>7.8947368421052655E-2</v>
      </c>
      <c r="K272" s="57">
        <f t="shared" si="35"/>
        <v>0.13821138211382109</v>
      </c>
    </row>
    <row r="273" spans="4:11" x14ac:dyDescent="0.2">
      <c r="D273" s="8" t="s">
        <v>809</v>
      </c>
      <c r="E273" s="61">
        <v>3.06</v>
      </c>
      <c r="F273" s="61">
        <v>3.1</v>
      </c>
      <c r="G273" s="61">
        <v>3</v>
      </c>
      <c r="H273" s="61">
        <v>3.18</v>
      </c>
      <c r="I273" s="57">
        <f t="shared" si="35"/>
        <v>1.3071895424836612E-2</v>
      </c>
      <c r="J273" s="57">
        <f t="shared" si="35"/>
        <v>-3.2258064516129059E-2</v>
      </c>
      <c r="K273" s="57">
        <f t="shared" si="35"/>
        <v>6.0000000000000053E-2</v>
      </c>
    </row>
    <row r="274" spans="4:11" x14ac:dyDescent="0.2">
      <c r="D274" s="8" t="s">
        <v>810</v>
      </c>
      <c r="E274" s="61" t="s">
        <v>1021</v>
      </c>
      <c r="F274" s="61" t="s">
        <v>1021</v>
      </c>
      <c r="G274" s="61" t="s">
        <v>1021</v>
      </c>
      <c r="H274" s="61" t="s">
        <v>1022</v>
      </c>
      <c r="I274" s="57"/>
      <c r="J274" s="57"/>
      <c r="K274" s="57"/>
    </row>
    <row r="275" spans="4:11" x14ac:dyDescent="0.2">
      <c r="D275" s="8" t="s">
        <v>811</v>
      </c>
      <c r="E275" s="61">
        <v>4.88</v>
      </c>
      <c r="F275" s="61">
        <v>4.91</v>
      </c>
      <c r="G275" s="61">
        <v>5.3</v>
      </c>
      <c r="H275" s="61">
        <v>5.91</v>
      </c>
      <c r="I275" s="57">
        <f t="shared" ref="I275:K279" si="36">(F275-E275)/E275</f>
        <v>6.1475409836066084E-3</v>
      </c>
      <c r="J275" s="57">
        <f t="shared" si="36"/>
        <v>7.9429735234215815E-2</v>
      </c>
      <c r="K275" s="57">
        <f t="shared" si="36"/>
        <v>0.11509433962264157</v>
      </c>
    </row>
    <row r="276" spans="4:11" x14ac:dyDescent="0.2">
      <c r="D276" s="8" t="s">
        <v>812</v>
      </c>
      <c r="E276" s="61">
        <v>2.65</v>
      </c>
      <c r="F276" s="61">
        <v>4.8099999999999996</v>
      </c>
      <c r="G276" s="61">
        <v>5.99</v>
      </c>
      <c r="H276" s="61">
        <v>7.42</v>
      </c>
      <c r="I276" s="57">
        <f t="shared" si="36"/>
        <v>0.81509433962264144</v>
      </c>
      <c r="J276" s="57">
        <f t="shared" si="36"/>
        <v>0.24532224532224547</v>
      </c>
      <c r="K276" s="57">
        <f t="shared" si="36"/>
        <v>0.23873121869782965</v>
      </c>
    </row>
    <row r="277" spans="4:11" x14ac:dyDescent="0.2">
      <c r="D277" s="8" t="s">
        <v>813</v>
      </c>
      <c r="E277" s="61">
        <v>8.56</v>
      </c>
      <c r="F277" s="61">
        <v>9.4499999999999993</v>
      </c>
      <c r="G277" s="61">
        <v>10.7</v>
      </c>
      <c r="H277" s="61">
        <v>12.5</v>
      </c>
      <c r="I277" s="57">
        <f t="shared" si="36"/>
        <v>0.10397196261682229</v>
      </c>
      <c r="J277" s="57">
        <f t="shared" si="36"/>
        <v>0.1322751322751323</v>
      </c>
      <c r="K277" s="57">
        <f t="shared" si="36"/>
        <v>0.16822429906542063</v>
      </c>
    </row>
    <row r="278" spans="4:11" x14ac:dyDescent="0.2">
      <c r="D278" s="8" t="s">
        <v>814</v>
      </c>
      <c r="E278" s="61">
        <v>4.21</v>
      </c>
      <c r="F278" s="61">
        <v>7.84</v>
      </c>
      <c r="G278" s="61">
        <v>8.7799999999999994</v>
      </c>
      <c r="H278" s="61">
        <v>9.1999999999999993</v>
      </c>
      <c r="I278" s="57">
        <f t="shared" si="36"/>
        <v>0.86223277909738716</v>
      </c>
      <c r="J278" s="57">
        <f t="shared" si="36"/>
        <v>0.11989795918367341</v>
      </c>
      <c r="K278" s="57">
        <f t="shared" si="36"/>
        <v>4.7835990888382682E-2</v>
      </c>
    </row>
    <row r="279" spans="4:11" x14ac:dyDescent="0.2">
      <c r="D279" s="8" t="s">
        <v>815</v>
      </c>
      <c r="E279" s="61">
        <v>2.3199999999999998</v>
      </c>
      <c r="F279" s="61">
        <v>2.5</v>
      </c>
      <c r="G279" s="61">
        <v>2.68</v>
      </c>
      <c r="H279" s="61">
        <v>2.87</v>
      </c>
      <c r="I279" s="57">
        <f t="shared" si="36"/>
        <v>7.7586206896551796E-2</v>
      </c>
      <c r="J279" s="57">
        <f t="shared" si="36"/>
        <v>7.2000000000000064E-2</v>
      </c>
      <c r="K279" s="57">
        <f t="shared" si="36"/>
        <v>7.0895522388059684E-2</v>
      </c>
    </row>
    <row r="280" spans="4:11" x14ac:dyDescent="0.2">
      <c r="D280" s="8" t="s">
        <v>816</v>
      </c>
      <c r="E280" s="61" t="s">
        <v>1021</v>
      </c>
      <c r="F280" s="61" t="s">
        <v>1021</v>
      </c>
      <c r="G280" s="61" t="s">
        <v>1021</v>
      </c>
      <c r="H280" s="61" t="s">
        <v>1022</v>
      </c>
      <c r="I280" s="57"/>
      <c r="J280" s="57"/>
      <c r="K280" s="57"/>
    </row>
    <row r="281" spans="4:11" x14ac:dyDescent="0.2">
      <c r="D281" s="8" t="s">
        <v>817</v>
      </c>
      <c r="E281" s="61">
        <v>4.4400000000000004</v>
      </c>
      <c r="F281" s="61">
        <v>4.29</v>
      </c>
      <c r="G281" s="61">
        <v>4.7</v>
      </c>
      <c r="H281" s="61">
        <v>5.36</v>
      </c>
      <c r="I281" s="57">
        <f t="shared" ref="I281:K287" si="37">(F281-E281)/E281</f>
        <v>-3.3783783783783862E-2</v>
      </c>
      <c r="J281" s="57">
        <f t="shared" si="37"/>
        <v>9.557109557109561E-2</v>
      </c>
      <c r="K281" s="57">
        <f t="shared" si="37"/>
        <v>0.14042553191489365</v>
      </c>
    </row>
    <row r="282" spans="4:11" x14ac:dyDescent="0.2">
      <c r="D282" s="8" t="s">
        <v>818</v>
      </c>
      <c r="E282" s="61">
        <v>1.23</v>
      </c>
      <c r="F282" s="61">
        <v>0.71</v>
      </c>
      <c r="G282" s="61">
        <v>1.24</v>
      </c>
      <c r="H282" s="61">
        <v>1.22</v>
      </c>
      <c r="I282" s="57">
        <f t="shared" si="37"/>
        <v>-0.42276422764227645</v>
      </c>
      <c r="J282" s="57">
        <f t="shared" si="37"/>
        <v>0.74647887323943674</v>
      </c>
      <c r="K282" s="57">
        <f t="shared" si="37"/>
        <v>-1.612903225806453E-2</v>
      </c>
    </row>
    <row r="283" spans="4:11" x14ac:dyDescent="0.2">
      <c r="D283" s="8" t="s">
        <v>819</v>
      </c>
      <c r="E283" s="61">
        <v>2.4700000000000002</v>
      </c>
      <c r="F283" s="61">
        <v>-1.86</v>
      </c>
      <c r="G283" s="61">
        <v>4.42</v>
      </c>
      <c r="H283" s="61">
        <v>5.69</v>
      </c>
      <c r="I283" s="57">
        <f t="shared" si="37"/>
        <v>-1.7530364372469636</v>
      </c>
      <c r="J283" s="57">
        <f t="shared" si="37"/>
        <v>-3.3763440860215055</v>
      </c>
      <c r="K283" s="57">
        <f t="shared" si="37"/>
        <v>0.28733031674208154</v>
      </c>
    </row>
    <row r="284" spans="4:11" x14ac:dyDescent="0.2">
      <c r="D284" s="8" t="s">
        <v>820</v>
      </c>
      <c r="E284" s="61">
        <v>1.31</v>
      </c>
      <c r="F284" s="61">
        <v>1.37</v>
      </c>
      <c r="G284" s="61">
        <v>1.46</v>
      </c>
      <c r="H284" s="61">
        <v>1.58</v>
      </c>
      <c r="I284" s="57">
        <f t="shared" si="37"/>
        <v>4.5801526717557293E-2</v>
      </c>
      <c r="J284" s="57">
        <f t="shared" si="37"/>
        <v>6.5693430656934199E-2</v>
      </c>
      <c r="K284" s="57">
        <f t="shared" si="37"/>
        <v>8.2191780821917887E-2</v>
      </c>
    </row>
    <row r="285" spans="4:11" x14ac:dyDescent="0.2">
      <c r="D285" s="8" t="s">
        <v>821</v>
      </c>
      <c r="E285" s="61">
        <v>14.2</v>
      </c>
      <c r="F285" s="61">
        <v>14.2</v>
      </c>
      <c r="G285" s="61">
        <v>15.8</v>
      </c>
      <c r="H285" s="61">
        <v>16.5</v>
      </c>
      <c r="I285" s="57">
        <f t="shared" si="37"/>
        <v>0</v>
      </c>
      <c r="J285" s="57">
        <f t="shared" si="37"/>
        <v>0.11267605633802827</v>
      </c>
      <c r="K285" s="57">
        <f t="shared" si="37"/>
        <v>4.4303797468354382E-2</v>
      </c>
    </row>
    <row r="286" spans="4:11" x14ac:dyDescent="0.2">
      <c r="D286" s="8" t="s">
        <v>822</v>
      </c>
      <c r="E286" s="61">
        <v>5.83</v>
      </c>
      <c r="F286" s="61">
        <v>5.99</v>
      </c>
      <c r="G286" s="61">
        <v>6.32</v>
      </c>
      <c r="H286" s="61">
        <v>6.78</v>
      </c>
      <c r="I286" s="57">
        <f t="shared" si="37"/>
        <v>2.7444253859348223E-2</v>
      </c>
      <c r="J286" s="57">
        <f t="shared" si="37"/>
        <v>5.5091819699499174E-2</v>
      </c>
      <c r="K286" s="57">
        <f t="shared" si="37"/>
        <v>7.2784810126582264E-2</v>
      </c>
    </row>
    <row r="287" spans="4:11" x14ac:dyDescent="0.2">
      <c r="D287" s="8" t="s">
        <v>823</v>
      </c>
      <c r="E287" s="61">
        <v>3.81</v>
      </c>
      <c r="F287" s="61">
        <v>4.1900000000000004</v>
      </c>
      <c r="G287" s="61">
        <v>4.5999999999999996</v>
      </c>
      <c r="H287" s="61">
        <v>4.97</v>
      </c>
      <c r="I287" s="57">
        <f t="shared" si="37"/>
        <v>9.9737532808399032E-2</v>
      </c>
      <c r="J287" s="57">
        <f t="shared" si="37"/>
        <v>9.785202863961795E-2</v>
      </c>
      <c r="K287" s="57">
        <f t="shared" si="37"/>
        <v>8.0434782608695687E-2</v>
      </c>
    </row>
    <row r="288" spans="4:11" x14ac:dyDescent="0.2">
      <c r="D288" s="8" t="s">
        <v>824</v>
      </c>
      <c r="E288" s="61" t="s">
        <v>1021</v>
      </c>
      <c r="F288" s="61" t="s">
        <v>1021</v>
      </c>
      <c r="G288" s="61" t="s">
        <v>1021</v>
      </c>
      <c r="H288" s="61" t="s">
        <v>1022</v>
      </c>
      <c r="I288" s="57"/>
      <c r="J288" s="57"/>
      <c r="K288" s="57"/>
    </row>
    <row r="289" spans="4:11" x14ac:dyDescent="0.2">
      <c r="D289" s="8" t="s">
        <v>825</v>
      </c>
      <c r="E289" s="61">
        <v>3.52</v>
      </c>
      <c r="F289" s="61">
        <v>2.94</v>
      </c>
      <c r="G289" s="61">
        <v>2.89</v>
      </c>
      <c r="H289" s="61">
        <v>2.2599999999999998</v>
      </c>
      <c r="I289" s="57">
        <f t="shared" ref="I289:I301" si="38">(F289-E289)/E289</f>
        <v>-0.16477272727272729</v>
      </c>
      <c r="J289" s="57">
        <f t="shared" ref="J289:J301" si="39">(G289-F289)/F289</f>
        <v>-1.7006802721088374E-2</v>
      </c>
      <c r="K289" s="57">
        <f t="shared" ref="K289:K301" si="40">(H289-G289)/G289</f>
        <v>-0.21799307958477521</v>
      </c>
    </row>
    <row r="290" spans="4:11" x14ac:dyDescent="0.2">
      <c r="D290" s="8" t="s">
        <v>826</v>
      </c>
      <c r="E290" s="61">
        <v>1.75</v>
      </c>
      <c r="F290" s="61">
        <v>8.91</v>
      </c>
      <c r="G290" s="61">
        <v>4.12</v>
      </c>
      <c r="H290" s="61">
        <v>4.18</v>
      </c>
      <c r="I290" s="57">
        <f t="shared" si="38"/>
        <v>4.0914285714285716</v>
      </c>
      <c r="J290" s="57">
        <f t="shared" si="39"/>
        <v>-0.53759820426487093</v>
      </c>
      <c r="K290" s="57">
        <f t="shared" si="40"/>
        <v>1.456310679611641E-2</v>
      </c>
    </row>
    <row r="291" spans="4:11" x14ac:dyDescent="0.2">
      <c r="D291" s="8" t="s">
        <v>827</v>
      </c>
      <c r="E291" s="61">
        <v>8.61</v>
      </c>
      <c r="F291" s="61">
        <v>8.43</v>
      </c>
      <c r="G291" s="61">
        <v>9.7799999999999994</v>
      </c>
      <c r="H291" s="61">
        <v>10.4</v>
      </c>
      <c r="I291" s="57">
        <f t="shared" si="38"/>
        <v>-2.0905923344947702E-2</v>
      </c>
      <c r="J291" s="57">
        <f t="shared" si="39"/>
        <v>0.16014234875444835</v>
      </c>
      <c r="K291" s="57">
        <f t="shared" si="40"/>
        <v>6.3394683026584978E-2</v>
      </c>
    </row>
    <row r="292" spans="4:11" x14ac:dyDescent="0.2">
      <c r="D292" s="8" t="s">
        <v>828</v>
      </c>
      <c r="E292" s="61">
        <v>2.2400000000000002</v>
      </c>
      <c r="F292" s="61">
        <v>0.25</v>
      </c>
      <c r="G292" s="61">
        <v>0.4</v>
      </c>
      <c r="H292" s="61">
        <v>0.47</v>
      </c>
      <c r="I292" s="57">
        <f t="shared" si="38"/>
        <v>-0.88839285714285721</v>
      </c>
      <c r="J292" s="57">
        <f t="shared" si="39"/>
        <v>0.60000000000000009</v>
      </c>
      <c r="K292" s="57">
        <f t="shared" si="40"/>
        <v>0.17499999999999988</v>
      </c>
    </row>
    <row r="293" spans="4:11" x14ac:dyDescent="0.2">
      <c r="D293" s="8" t="s">
        <v>333</v>
      </c>
      <c r="E293" s="61">
        <v>3.4</v>
      </c>
      <c r="F293" s="61">
        <v>3.75</v>
      </c>
      <c r="G293" s="61">
        <v>4.2</v>
      </c>
      <c r="H293" s="61">
        <v>4.8600000000000003</v>
      </c>
      <c r="I293" s="57">
        <f t="shared" si="38"/>
        <v>0.10294117647058826</v>
      </c>
      <c r="J293" s="57">
        <f t="shared" si="39"/>
        <v>0.12000000000000005</v>
      </c>
      <c r="K293" s="57">
        <f t="shared" si="40"/>
        <v>0.15714285714285717</v>
      </c>
    </row>
    <row r="294" spans="4:11" x14ac:dyDescent="0.2">
      <c r="D294" s="8" t="s">
        <v>829</v>
      </c>
      <c r="E294" s="61">
        <v>1.71</v>
      </c>
      <c r="F294" s="61">
        <v>1.73</v>
      </c>
      <c r="G294" s="61">
        <v>1.89</v>
      </c>
      <c r="H294" s="61">
        <v>2</v>
      </c>
      <c r="I294" s="57">
        <f t="shared" si="38"/>
        <v>1.169590643274855E-2</v>
      </c>
      <c r="J294" s="57">
        <f t="shared" si="39"/>
        <v>9.2485549132947931E-2</v>
      </c>
      <c r="K294" s="57">
        <f t="shared" si="40"/>
        <v>5.8201058201058253E-2</v>
      </c>
    </row>
    <row r="295" spans="4:11" x14ac:dyDescent="0.2">
      <c r="D295" s="8" t="s">
        <v>830</v>
      </c>
      <c r="E295" s="61">
        <v>-2.58</v>
      </c>
      <c r="F295" s="61">
        <v>-0.5</v>
      </c>
      <c r="G295" s="61">
        <v>3.5</v>
      </c>
      <c r="H295" s="61">
        <v>4.0999999999999996</v>
      </c>
      <c r="I295" s="57">
        <f t="shared" si="38"/>
        <v>-0.80620155038759689</v>
      </c>
      <c r="J295" s="57">
        <f t="shared" si="39"/>
        <v>-8</v>
      </c>
      <c r="K295" s="57">
        <f t="shared" si="40"/>
        <v>0.17142857142857132</v>
      </c>
    </row>
    <row r="296" spans="4:11" x14ac:dyDescent="0.2">
      <c r="D296" s="8" t="s">
        <v>831</v>
      </c>
      <c r="E296" s="61">
        <v>19.899999999999999</v>
      </c>
      <c r="F296" s="61">
        <v>22.6</v>
      </c>
      <c r="G296" s="61">
        <v>25.1</v>
      </c>
      <c r="H296" s="61">
        <v>28.5</v>
      </c>
      <c r="I296" s="57">
        <f t="shared" si="38"/>
        <v>0.13567839195979914</v>
      </c>
      <c r="J296" s="57">
        <f t="shared" si="39"/>
        <v>0.11061946902654866</v>
      </c>
      <c r="K296" s="57">
        <f t="shared" si="40"/>
        <v>0.13545816733067723</v>
      </c>
    </row>
    <row r="297" spans="4:11" x14ac:dyDescent="0.2">
      <c r="D297" s="8" t="s">
        <v>832</v>
      </c>
      <c r="E297" s="61">
        <v>2.81</v>
      </c>
      <c r="F297" s="61">
        <v>9.4600000000000009</v>
      </c>
      <c r="G297" s="61">
        <v>11</v>
      </c>
      <c r="H297" s="61">
        <v>12.6</v>
      </c>
      <c r="I297" s="57">
        <f t="shared" si="38"/>
        <v>2.3665480427046264</v>
      </c>
      <c r="J297" s="57">
        <f t="shared" si="39"/>
        <v>0.16279069767441851</v>
      </c>
      <c r="K297" s="57">
        <f t="shared" si="40"/>
        <v>0.14545454545454542</v>
      </c>
    </row>
    <row r="298" spans="4:11" x14ac:dyDescent="0.2">
      <c r="D298" s="8" t="s">
        <v>833</v>
      </c>
      <c r="E298" s="61">
        <v>3.83</v>
      </c>
      <c r="F298" s="61">
        <v>3.36</v>
      </c>
      <c r="G298" s="61">
        <v>4</v>
      </c>
      <c r="H298" s="61">
        <v>4.13</v>
      </c>
      <c r="I298" s="57">
        <f t="shared" si="38"/>
        <v>-0.12271540469973895</v>
      </c>
      <c r="J298" s="57">
        <f t="shared" si="39"/>
        <v>0.19047619047619052</v>
      </c>
      <c r="K298" s="57">
        <f t="shared" si="40"/>
        <v>3.2499999999999973E-2</v>
      </c>
    </row>
    <row r="299" spans="4:11" x14ac:dyDescent="0.2">
      <c r="D299" s="8" t="s">
        <v>834</v>
      </c>
      <c r="E299" s="61">
        <v>2.88</v>
      </c>
      <c r="F299" s="61">
        <v>3.17</v>
      </c>
      <c r="G299" s="61">
        <v>3.32</v>
      </c>
      <c r="H299" s="61" t="s">
        <v>1022</v>
      </c>
      <c r="I299" s="57">
        <f t="shared" si="38"/>
        <v>0.10069444444444446</v>
      </c>
      <c r="J299" s="57">
        <f t="shared" si="39"/>
        <v>4.731861198738168E-2</v>
      </c>
      <c r="K299" s="57" t="e">
        <f t="shared" si="40"/>
        <v>#VALUE!</v>
      </c>
    </row>
    <row r="300" spans="4:11" x14ac:dyDescent="0.2">
      <c r="D300" s="8" t="s">
        <v>835</v>
      </c>
      <c r="E300" s="61">
        <v>7.43</v>
      </c>
      <c r="F300" s="61">
        <v>9.4600000000000009</v>
      </c>
      <c r="G300" s="61">
        <v>11.2</v>
      </c>
      <c r="H300" s="61">
        <v>12.7</v>
      </c>
      <c r="I300" s="57">
        <f t="shared" si="38"/>
        <v>0.27321668909825048</v>
      </c>
      <c r="J300" s="57">
        <f t="shared" si="39"/>
        <v>0.1839323467230442</v>
      </c>
      <c r="K300" s="57">
        <f t="shared" si="40"/>
        <v>0.13392857142857142</v>
      </c>
    </row>
    <row r="301" spans="4:11" x14ac:dyDescent="0.2">
      <c r="D301" s="8" t="s">
        <v>836</v>
      </c>
      <c r="E301" s="61">
        <v>-8.39</v>
      </c>
      <c r="F301" s="61">
        <v>1.86</v>
      </c>
      <c r="G301" s="61">
        <v>2.58</v>
      </c>
      <c r="H301" s="61">
        <v>2.61</v>
      </c>
      <c r="I301" s="57">
        <f t="shared" si="38"/>
        <v>-1.2216924910607865</v>
      </c>
      <c r="J301" s="57">
        <f t="shared" si="39"/>
        <v>0.38709677419354838</v>
      </c>
      <c r="K301" s="57">
        <f t="shared" si="40"/>
        <v>1.162790697674411E-2</v>
      </c>
    </row>
    <row r="302" spans="4:11" x14ac:dyDescent="0.2">
      <c r="D302" s="8" t="s">
        <v>837</v>
      </c>
      <c r="E302" s="61" t="s">
        <v>1021</v>
      </c>
      <c r="F302" s="61" t="s">
        <v>1021</v>
      </c>
      <c r="G302" s="61" t="s">
        <v>1021</v>
      </c>
      <c r="H302" s="61" t="s">
        <v>1022</v>
      </c>
      <c r="I302" s="57"/>
      <c r="J302" s="57"/>
      <c r="K302" s="57"/>
    </row>
    <row r="303" spans="4:11" x14ac:dyDescent="0.2">
      <c r="D303" s="8" t="s">
        <v>838</v>
      </c>
      <c r="E303" s="61">
        <v>3.27</v>
      </c>
      <c r="F303" s="61">
        <v>3.07</v>
      </c>
      <c r="G303" s="61">
        <v>3.24</v>
      </c>
      <c r="H303" s="61">
        <v>3.39</v>
      </c>
      <c r="I303" s="57">
        <f t="shared" ref="I303:K307" si="41">(F303-E303)/E303</f>
        <v>-6.1162079510703418E-2</v>
      </c>
      <c r="J303" s="57">
        <f t="shared" si="41"/>
        <v>5.5374592833876343E-2</v>
      </c>
      <c r="K303" s="57">
        <f t="shared" si="41"/>
        <v>4.6296296296296266E-2</v>
      </c>
    </row>
    <row r="304" spans="4:11" x14ac:dyDescent="0.2">
      <c r="D304" s="8" t="s">
        <v>839</v>
      </c>
      <c r="E304" s="61">
        <v>1.89</v>
      </c>
      <c r="F304" s="61">
        <v>1.03</v>
      </c>
      <c r="G304" s="61">
        <v>1.75</v>
      </c>
      <c r="H304" s="61">
        <v>1.98</v>
      </c>
      <c r="I304" s="57">
        <f t="shared" si="41"/>
        <v>-0.455026455026455</v>
      </c>
      <c r="J304" s="57">
        <f t="shared" si="41"/>
        <v>0.69902912621359214</v>
      </c>
      <c r="K304" s="57">
        <f t="shared" si="41"/>
        <v>0.13142857142857142</v>
      </c>
    </row>
    <row r="305" spans="4:11" x14ac:dyDescent="0.2">
      <c r="D305" s="8" t="s">
        <v>840</v>
      </c>
      <c r="E305" s="61">
        <v>3.1</v>
      </c>
      <c r="F305" s="61">
        <v>3.27</v>
      </c>
      <c r="G305" s="61">
        <v>3.76</v>
      </c>
      <c r="H305" s="61">
        <v>4.05</v>
      </c>
      <c r="I305" s="57">
        <f t="shared" si="41"/>
        <v>5.4838709677419328E-2</v>
      </c>
      <c r="J305" s="57">
        <f t="shared" si="41"/>
        <v>0.14984709480122316</v>
      </c>
      <c r="K305" s="57">
        <f t="shared" si="41"/>
        <v>7.7127659574468099E-2</v>
      </c>
    </row>
    <row r="306" spans="4:11" x14ac:dyDescent="0.2">
      <c r="D306" s="8" t="s">
        <v>841</v>
      </c>
      <c r="E306" s="61">
        <v>-1.1000000000000001</v>
      </c>
      <c r="F306" s="61">
        <v>-0.15</v>
      </c>
      <c r="G306" s="61">
        <v>0.81</v>
      </c>
      <c r="H306" s="61">
        <v>1.46</v>
      </c>
      <c r="I306" s="57">
        <f t="shared" si="41"/>
        <v>-0.86363636363636365</v>
      </c>
      <c r="J306" s="57">
        <f t="shared" si="41"/>
        <v>-6.4</v>
      </c>
      <c r="K306" s="57">
        <f t="shared" si="41"/>
        <v>0.80246913580246892</v>
      </c>
    </row>
    <row r="307" spans="4:11" x14ac:dyDescent="0.2">
      <c r="D307" s="8" t="s">
        <v>842</v>
      </c>
      <c r="E307" s="61">
        <v>4.8499999999999996</v>
      </c>
      <c r="F307" s="61">
        <v>4</v>
      </c>
      <c r="G307" s="61">
        <v>4</v>
      </c>
      <c r="H307" s="61">
        <v>4.5999999999999996</v>
      </c>
      <c r="I307" s="57">
        <f t="shared" si="41"/>
        <v>-0.17525773195876282</v>
      </c>
      <c r="J307" s="57">
        <f t="shared" si="41"/>
        <v>0</v>
      </c>
      <c r="K307" s="57">
        <f t="shared" si="41"/>
        <v>0.14999999999999991</v>
      </c>
    </row>
    <row r="308" spans="4:11" x14ac:dyDescent="0.2">
      <c r="D308" s="8" t="s">
        <v>843</v>
      </c>
      <c r="E308" s="61" t="s">
        <v>1021</v>
      </c>
      <c r="F308" s="61" t="s">
        <v>1021</v>
      </c>
      <c r="G308" s="61" t="s">
        <v>1021</v>
      </c>
      <c r="H308" s="61" t="s">
        <v>1022</v>
      </c>
      <c r="I308" s="57"/>
      <c r="J308" s="57"/>
      <c r="K308" s="57"/>
    </row>
    <row r="309" spans="4:11" x14ac:dyDescent="0.2">
      <c r="D309" s="8" t="s">
        <v>844</v>
      </c>
      <c r="E309" s="61">
        <v>4.0599999999999996</v>
      </c>
      <c r="F309" s="61">
        <v>4.42</v>
      </c>
      <c r="G309" s="61">
        <v>4.9800000000000004</v>
      </c>
      <c r="H309" s="61">
        <v>5.59</v>
      </c>
      <c r="I309" s="57">
        <f t="shared" ref="I309:I318" si="42">(F309-E309)/E309</f>
        <v>8.8669950738916342E-2</v>
      </c>
      <c r="J309" s="57">
        <f t="shared" ref="J309:J318" si="43">(G309-F309)/F309</f>
        <v>0.12669683257918563</v>
      </c>
      <c r="K309" s="57">
        <f t="shared" ref="K309:K318" si="44">(H309-G309)/G309</f>
        <v>0.1224899598393573</v>
      </c>
    </row>
    <row r="310" spans="4:11" x14ac:dyDescent="0.2">
      <c r="D310" s="8" t="s">
        <v>353</v>
      </c>
      <c r="E310" s="61">
        <v>5.44</v>
      </c>
      <c r="F310" s="61">
        <v>5.3</v>
      </c>
      <c r="G310" s="61">
        <v>5.75</v>
      </c>
      <c r="H310" s="61">
        <v>6.09</v>
      </c>
      <c r="I310" s="57">
        <f t="shared" si="42"/>
        <v>-2.5735294117647162E-2</v>
      </c>
      <c r="J310" s="57">
        <f t="shared" si="43"/>
        <v>8.4905660377358527E-2</v>
      </c>
      <c r="K310" s="57">
        <f t="shared" si="44"/>
        <v>5.9130434782608668E-2</v>
      </c>
    </row>
    <row r="311" spans="4:11" x14ac:dyDescent="0.2">
      <c r="D311" s="8" t="s">
        <v>373</v>
      </c>
      <c r="E311" s="61">
        <v>5.69</v>
      </c>
      <c r="F311" s="61">
        <v>6.4</v>
      </c>
      <c r="G311" s="61">
        <v>6.78</v>
      </c>
      <c r="H311" s="61">
        <v>7.27</v>
      </c>
      <c r="I311" s="57">
        <f t="shared" si="42"/>
        <v>0.12478031634446396</v>
      </c>
      <c r="J311" s="57">
        <f t="shared" si="43"/>
        <v>5.9374999999999983E-2</v>
      </c>
      <c r="K311" s="57">
        <f t="shared" si="44"/>
        <v>7.2271386430678361E-2</v>
      </c>
    </row>
    <row r="312" spans="4:11" x14ac:dyDescent="0.2">
      <c r="D312" s="8" t="s">
        <v>845</v>
      </c>
      <c r="E312" s="61">
        <v>4.8099999999999996</v>
      </c>
      <c r="F312" s="61">
        <v>4.95</v>
      </c>
      <c r="G312" s="61">
        <v>5.37</v>
      </c>
      <c r="H312" s="61">
        <v>5.87</v>
      </c>
      <c r="I312" s="57">
        <f t="shared" si="42"/>
        <v>2.9106029106029226E-2</v>
      </c>
      <c r="J312" s="57">
        <f t="shared" si="43"/>
        <v>8.4848484848484826E-2</v>
      </c>
      <c r="K312" s="57">
        <f t="shared" si="44"/>
        <v>9.3109869646182494E-2</v>
      </c>
    </row>
    <row r="313" spans="4:11" x14ac:dyDescent="0.2">
      <c r="D313" s="8" t="s">
        <v>846</v>
      </c>
      <c r="E313" s="61">
        <v>4.57</v>
      </c>
      <c r="F313" s="61">
        <v>5.16</v>
      </c>
      <c r="G313" s="61">
        <v>5.92</v>
      </c>
      <c r="H313" s="61">
        <v>6.8</v>
      </c>
      <c r="I313" s="57">
        <f t="shared" si="42"/>
        <v>0.12910284463894964</v>
      </c>
      <c r="J313" s="57">
        <f t="shared" si="43"/>
        <v>0.14728682170542631</v>
      </c>
      <c r="K313" s="57">
        <f t="shared" si="44"/>
        <v>0.14864864864864863</v>
      </c>
    </row>
    <row r="314" spans="4:11" x14ac:dyDescent="0.2">
      <c r="D314" s="8" t="s">
        <v>847</v>
      </c>
      <c r="E314" s="61">
        <v>5.14</v>
      </c>
      <c r="F314" s="61">
        <v>8.2799999999999994</v>
      </c>
      <c r="G314" s="61">
        <v>6.39</v>
      </c>
      <c r="H314" s="61">
        <v>7.03</v>
      </c>
      <c r="I314" s="57">
        <f t="shared" si="42"/>
        <v>0.61089494163424118</v>
      </c>
      <c r="J314" s="57">
        <f t="shared" si="43"/>
        <v>-0.22826086956521738</v>
      </c>
      <c r="K314" s="57">
        <f t="shared" si="44"/>
        <v>0.10015649452269181</v>
      </c>
    </row>
    <row r="315" spans="4:11" x14ac:dyDescent="0.2">
      <c r="D315" s="8" t="s">
        <v>848</v>
      </c>
      <c r="E315" s="61">
        <v>3.52</v>
      </c>
      <c r="F315" s="61">
        <v>3.81</v>
      </c>
      <c r="G315" s="61">
        <v>4.01</v>
      </c>
      <c r="H315" s="61">
        <v>4.3</v>
      </c>
      <c r="I315" s="57">
        <f t="shared" si="42"/>
        <v>8.2386363636363646E-2</v>
      </c>
      <c r="J315" s="57">
        <f t="shared" si="43"/>
        <v>5.2493438320209904E-2</v>
      </c>
      <c r="K315" s="57">
        <f t="shared" si="44"/>
        <v>7.2319201995012475E-2</v>
      </c>
    </row>
    <row r="316" spans="4:11" x14ac:dyDescent="0.2">
      <c r="D316" s="8" t="s">
        <v>849</v>
      </c>
      <c r="E316" s="61">
        <v>8.06</v>
      </c>
      <c r="F316" s="61">
        <v>6.35</v>
      </c>
      <c r="G316" s="61">
        <v>9.6199999999999992</v>
      </c>
      <c r="H316" s="61">
        <v>11.7</v>
      </c>
      <c r="I316" s="57">
        <f t="shared" si="42"/>
        <v>-0.21215880893300257</v>
      </c>
      <c r="J316" s="57">
        <f t="shared" si="43"/>
        <v>0.51496062992125979</v>
      </c>
      <c r="K316" s="57">
        <f t="shared" si="44"/>
        <v>0.21621621621621623</v>
      </c>
    </row>
    <row r="317" spans="4:11" x14ac:dyDescent="0.2">
      <c r="D317" s="8" t="s">
        <v>850</v>
      </c>
      <c r="E317" s="61">
        <v>0.51</v>
      </c>
      <c r="F317" s="61">
        <v>1.68</v>
      </c>
      <c r="G317" s="61">
        <v>2.12</v>
      </c>
      <c r="H317" s="61">
        <v>3.07</v>
      </c>
      <c r="I317" s="57">
        <f t="shared" si="42"/>
        <v>2.2941176470588234</v>
      </c>
      <c r="J317" s="57">
        <f t="shared" si="43"/>
        <v>0.26190476190476203</v>
      </c>
      <c r="K317" s="57">
        <f t="shared" si="44"/>
        <v>0.44811320754716966</v>
      </c>
    </row>
    <row r="318" spans="4:11" x14ac:dyDescent="0.2">
      <c r="D318" s="8" t="s">
        <v>851</v>
      </c>
      <c r="E318" s="61">
        <v>2.9</v>
      </c>
      <c r="F318" s="61">
        <v>3.99</v>
      </c>
      <c r="G318" s="61">
        <v>3.35</v>
      </c>
      <c r="H318" s="61">
        <v>3.92</v>
      </c>
      <c r="I318" s="57">
        <f t="shared" si="42"/>
        <v>0.37586206896551738</v>
      </c>
      <c r="J318" s="57">
        <f t="shared" si="43"/>
        <v>-0.16040100250626568</v>
      </c>
      <c r="K318" s="57">
        <f t="shared" si="44"/>
        <v>0.17014925373134324</v>
      </c>
    </row>
    <row r="319" spans="4:11" x14ac:dyDescent="0.2">
      <c r="D319" s="8" t="s">
        <v>852</v>
      </c>
      <c r="E319" s="61" t="s">
        <v>1021</v>
      </c>
      <c r="F319" s="61" t="s">
        <v>1021</v>
      </c>
      <c r="G319" s="61" t="s">
        <v>1021</v>
      </c>
      <c r="H319" s="61" t="s">
        <v>1022</v>
      </c>
      <c r="I319" s="57"/>
      <c r="J319" s="57"/>
      <c r="K319" s="57"/>
    </row>
    <row r="320" spans="4:11" x14ac:dyDescent="0.2">
      <c r="D320" s="8" t="s">
        <v>853</v>
      </c>
      <c r="E320" s="61">
        <v>7.42</v>
      </c>
      <c r="F320" s="61">
        <v>4.43</v>
      </c>
      <c r="G320" s="61">
        <v>4.25</v>
      </c>
      <c r="H320" s="61">
        <v>4.55</v>
      </c>
      <c r="I320" s="57">
        <f t="shared" ref="I320:K322" si="45">(F320-E320)/E320</f>
        <v>-0.40296495956873318</v>
      </c>
      <c r="J320" s="57">
        <f t="shared" si="45"/>
        <v>-4.0632054176072172E-2</v>
      </c>
      <c r="K320" s="57">
        <f t="shared" si="45"/>
        <v>7.0588235294117604E-2</v>
      </c>
    </row>
    <row r="321" spans="4:11" x14ac:dyDescent="0.2">
      <c r="D321" s="8" t="s">
        <v>854</v>
      </c>
      <c r="E321" s="61">
        <v>7.65</v>
      </c>
      <c r="F321" s="61">
        <v>8.7100000000000009</v>
      </c>
      <c r="G321" s="61">
        <v>9.8800000000000008</v>
      </c>
      <c r="H321" s="61">
        <v>11</v>
      </c>
      <c r="I321" s="57">
        <f t="shared" si="45"/>
        <v>0.13856209150326804</v>
      </c>
      <c r="J321" s="57">
        <f t="shared" si="45"/>
        <v>0.1343283582089552</v>
      </c>
      <c r="K321" s="57">
        <f t="shared" si="45"/>
        <v>0.11336032388663959</v>
      </c>
    </row>
    <row r="322" spans="4:11" x14ac:dyDescent="0.2">
      <c r="D322" s="8" t="s">
        <v>855</v>
      </c>
      <c r="E322" s="61">
        <v>1.76</v>
      </c>
      <c r="F322" s="61">
        <v>2.68</v>
      </c>
      <c r="G322" s="61">
        <v>3.12</v>
      </c>
      <c r="H322" s="61">
        <v>3.65</v>
      </c>
      <c r="I322" s="57">
        <f t="shared" si="45"/>
        <v>0.52272727272727282</v>
      </c>
      <c r="J322" s="57">
        <f t="shared" si="45"/>
        <v>0.16417910447761191</v>
      </c>
      <c r="K322" s="57">
        <f t="shared" si="45"/>
        <v>0.1698717948717948</v>
      </c>
    </row>
    <row r="323" spans="4:11" x14ac:dyDescent="0.2">
      <c r="D323" s="8" t="s">
        <v>856</v>
      </c>
      <c r="E323" s="61" t="s">
        <v>1021</v>
      </c>
      <c r="F323" s="61" t="s">
        <v>1021</v>
      </c>
      <c r="G323" s="61" t="s">
        <v>1021</v>
      </c>
      <c r="H323" s="61" t="s">
        <v>1022</v>
      </c>
      <c r="I323" s="57"/>
      <c r="J323" s="57"/>
      <c r="K323" s="57"/>
    </row>
    <row r="324" spans="4:11" x14ac:dyDescent="0.2">
      <c r="D324" s="8" t="s">
        <v>857</v>
      </c>
      <c r="E324" s="61">
        <v>1.93</v>
      </c>
      <c r="F324" s="61">
        <v>2.2400000000000002</v>
      </c>
      <c r="G324" s="61">
        <v>2.41</v>
      </c>
      <c r="H324" s="61">
        <v>2.77</v>
      </c>
      <c r="I324" s="57">
        <f t="shared" ref="I324:K329" si="46">(F324-E324)/E324</f>
        <v>0.16062176165803124</v>
      </c>
      <c r="J324" s="57">
        <f t="shared" si="46"/>
        <v>7.5892857142857109E-2</v>
      </c>
      <c r="K324" s="57">
        <f t="shared" si="46"/>
        <v>0.14937759336099579</v>
      </c>
    </row>
    <row r="325" spans="4:11" x14ac:dyDescent="0.2">
      <c r="D325" s="8" t="s">
        <v>858</v>
      </c>
      <c r="E325" s="61">
        <v>0.81</v>
      </c>
      <c r="F325" s="61">
        <v>0.79</v>
      </c>
      <c r="G325" s="61">
        <v>1.54</v>
      </c>
      <c r="H325" s="61">
        <v>1.72</v>
      </c>
      <c r="I325" s="57">
        <f t="shared" si="46"/>
        <v>-2.4691358024691377E-2</v>
      </c>
      <c r="J325" s="57">
        <f t="shared" si="46"/>
        <v>0.94936708860759489</v>
      </c>
      <c r="K325" s="57">
        <f t="shared" si="46"/>
        <v>0.11688311688311684</v>
      </c>
    </row>
    <row r="326" spans="4:11" x14ac:dyDescent="0.2">
      <c r="D326" s="8" t="s">
        <v>859</v>
      </c>
      <c r="E326" s="61">
        <v>13.3</v>
      </c>
      <c r="F326" s="61">
        <v>-2.33</v>
      </c>
      <c r="G326" s="61">
        <v>4.8899999999999997</v>
      </c>
      <c r="H326" s="61">
        <v>6.49</v>
      </c>
      <c r="I326" s="57">
        <f t="shared" si="46"/>
        <v>-1.175187969924812</v>
      </c>
      <c r="J326" s="57">
        <f t="shared" si="46"/>
        <v>-3.0987124463519313</v>
      </c>
      <c r="K326" s="57">
        <f t="shared" si="46"/>
        <v>0.32719836400818009</v>
      </c>
    </row>
    <row r="327" spans="4:11" x14ac:dyDescent="0.2">
      <c r="D327" s="8" t="s">
        <v>860</v>
      </c>
      <c r="E327" s="61">
        <v>1.54</v>
      </c>
      <c r="F327" s="61">
        <v>1.52</v>
      </c>
      <c r="G327" s="61">
        <v>1.63</v>
      </c>
      <c r="H327" s="61">
        <v>1.74</v>
      </c>
      <c r="I327" s="57">
        <f t="shared" si="46"/>
        <v>-1.2987012987012998E-2</v>
      </c>
      <c r="J327" s="57">
        <f t="shared" si="46"/>
        <v>7.2368421052631499E-2</v>
      </c>
      <c r="K327" s="57">
        <f t="shared" si="46"/>
        <v>6.7484662576687185E-2</v>
      </c>
    </row>
    <row r="328" spans="4:11" x14ac:dyDescent="0.2">
      <c r="D328" s="8" t="s">
        <v>861</v>
      </c>
      <c r="E328" s="61">
        <v>0.74</v>
      </c>
      <c r="F328" s="61">
        <v>1.44</v>
      </c>
      <c r="G328" s="61">
        <v>1.78</v>
      </c>
      <c r="H328" s="61">
        <v>1.91</v>
      </c>
      <c r="I328" s="57">
        <f t="shared" si="46"/>
        <v>0.94594594594594594</v>
      </c>
      <c r="J328" s="57">
        <f t="shared" si="46"/>
        <v>0.23611111111111119</v>
      </c>
      <c r="K328" s="57">
        <f t="shared" si="46"/>
        <v>7.3033707865168482E-2</v>
      </c>
    </row>
    <row r="329" spans="4:11" x14ac:dyDescent="0.2">
      <c r="D329" s="8" t="s">
        <v>862</v>
      </c>
      <c r="E329" s="61">
        <v>8.91</v>
      </c>
      <c r="F329" s="61">
        <v>8.83</v>
      </c>
      <c r="G329" s="61">
        <v>10.8</v>
      </c>
      <c r="H329" s="61">
        <v>11.3</v>
      </c>
      <c r="I329" s="57">
        <f t="shared" si="46"/>
        <v>-8.9786756453423197E-3</v>
      </c>
      <c r="J329" s="57">
        <f t="shared" si="46"/>
        <v>0.22310305775764447</v>
      </c>
      <c r="K329" s="57">
        <f t="shared" si="46"/>
        <v>4.6296296296296294E-2</v>
      </c>
    </row>
    <row r="330" spans="4:11" x14ac:dyDescent="0.2">
      <c r="D330" s="8" t="s">
        <v>863</v>
      </c>
      <c r="E330" s="61" t="s">
        <v>1021</v>
      </c>
      <c r="F330" s="61" t="s">
        <v>1021</v>
      </c>
      <c r="G330" s="61" t="s">
        <v>1021</v>
      </c>
      <c r="H330" s="61" t="s">
        <v>1022</v>
      </c>
      <c r="I330" s="57"/>
      <c r="J330" s="57"/>
      <c r="K330" s="57"/>
    </row>
    <row r="331" spans="4:11" x14ac:dyDescent="0.2">
      <c r="D331" s="8" t="s">
        <v>864</v>
      </c>
      <c r="E331" s="61">
        <v>5.36</v>
      </c>
      <c r="F331" s="61">
        <v>5.54</v>
      </c>
      <c r="G331" s="61">
        <v>5.84</v>
      </c>
      <c r="H331" s="61">
        <v>6.3</v>
      </c>
      <c r="I331" s="57">
        <f t="shared" ref="I331:I340" si="47">(F331-E331)/E331</f>
        <v>3.358208955223875E-2</v>
      </c>
      <c r="J331" s="57">
        <f t="shared" ref="J331:J340" si="48">(G331-F331)/F331</f>
        <v>5.4151624548736427E-2</v>
      </c>
      <c r="K331" s="57">
        <f t="shared" ref="K331:K340" si="49">(H331-G331)/G331</f>
        <v>7.8767123287671229E-2</v>
      </c>
    </row>
    <row r="332" spans="4:11" x14ac:dyDescent="0.2">
      <c r="D332" s="8" t="s">
        <v>865</v>
      </c>
      <c r="E332" s="61">
        <v>5.29</v>
      </c>
      <c r="F332" s="61">
        <v>5.58</v>
      </c>
      <c r="G332" s="61">
        <v>5.97</v>
      </c>
      <c r="H332" s="61">
        <v>6.35</v>
      </c>
      <c r="I332" s="57">
        <f t="shared" si="47"/>
        <v>5.4820415879017016E-2</v>
      </c>
      <c r="J332" s="57">
        <f t="shared" si="48"/>
        <v>6.9892473118279508E-2</v>
      </c>
      <c r="K332" s="57">
        <f t="shared" si="49"/>
        <v>6.3651591289782233E-2</v>
      </c>
    </row>
    <row r="333" spans="4:11" x14ac:dyDescent="0.2">
      <c r="D333" s="8" t="s">
        <v>866</v>
      </c>
      <c r="E333" s="61">
        <v>4.79</v>
      </c>
      <c r="F333" s="61">
        <v>5.27</v>
      </c>
      <c r="G333" s="61">
        <v>5.68</v>
      </c>
      <c r="H333" s="61">
        <v>6.48</v>
      </c>
      <c r="I333" s="57">
        <f t="shared" si="47"/>
        <v>0.10020876826722329</v>
      </c>
      <c r="J333" s="57">
        <f t="shared" si="48"/>
        <v>7.7798861480075934E-2</v>
      </c>
      <c r="K333" s="57">
        <f t="shared" si="49"/>
        <v>0.14084507042253536</v>
      </c>
    </row>
    <row r="334" spans="4:11" x14ac:dyDescent="0.2">
      <c r="D334" s="8" t="s">
        <v>1029</v>
      </c>
      <c r="E334" s="61">
        <v>0.74</v>
      </c>
      <c r="F334" s="61">
        <v>0.39</v>
      </c>
      <c r="G334" s="61">
        <v>0.44</v>
      </c>
      <c r="H334" s="61">
        <v>0.42</v>
      </c>
      <c r="I334" s="57">
        <f t="shared" si="47"/>
        <v>-0.47297297297297297</v>
      </c>
      <c r="J334" s="57">
        <f t="shared" si="48"/>
        <v>0.12820512820512817</v>
      </c>
      <c r="K334" s="57">
        <f t="shared" si="49"/>
        <v>-4.5454545454545497E-2</v>
      </c>
    </row>
    <row r="335" spans="4:11" x14ac:dyDescent="0.2">
      <c r="D335" s="8" t="s">
        <v>867</v>
      </c>
      <c r="E335" s="61">
        <v>9.2899999999999991</v>
      </c>
      <c r="F335" s="61">
        <v>11.3</v>
      </c>
      <c r="G335" s="61">
        <v>14.5</v>
      </c>
      <c r="H335" s="61">
        <v>17.2</v>
      </c>
      <c r="I335" s="57">
        <f t="shared" si="47"/>
        <v>0.21636167922497329</v>
      </c>
      <c r="J335" s="57">
        <f t="shared" si="48"/>
        <v>0.28318584070796454</v>
      </c>
      <c r="K335" s="57">
        <f t="shared" si="49"/>
        <v>0.18620689655172409</v>
      </c>
    </row>
    <row r="336" spans="4:11" x14ac:dyDescent="0.2">
      <c r="D336" s="8" t="s">
        <v>868</v>
      </c>
      <c r="E336" s="61">
        <v>3.03</v>
      </c>
      <c r="F336" s="61">
        <v>2.89</v>
      </c>
      <c r="G336" s="61">
        <v>3.59</v>
      </c>
      <c r="H336" s="61">
        <v>4.07</v>
      </c>
      <c r="I336" s="57">
        <f t="shared" si="47"/>
        <v>-4.6204620462046105E-2</v>
      </c>
      <c r="J336" s="57">
        <f t="shared" si="48"/>
        <v>0.24221453287197223</v>
      </c>
      <c r="K336" s="57">
        <f t="shared" si="49"/>
        <v>0.13370473537604469</v>
      </c>
    </row>
    <row r="337" spans="4:11" x14ac:dyDescent="0.2">
      <c r="D337" s="8" t="s">
        <v>869</v>
      </c>
      <c r="E337" s="61">
        <v>1.2</v>
      </c>
      <c r="F337" s="61">
        <v>1.31</v>
      </c>
      <c r="G337" s="61">
        <v>1.34</v>
      </c>
      <c r="H337" s="61">
        <v>1.43</v>
      </c>
      <c r="I337" s="57">
        <f t="shared" si="47"/>
        <v>9.1666666666666757E-2</v>
      </c>
      <c r="J337" s="57">
        <f t="shared" si="48"/>
        <v>2.2900763358778647E-2</v>
      </c>
      <c r="K337" s="57">
        <f t="shared" si="49"/>
        <v>6.7164179104477501E-2</v>
      </c>
    </row>
    <row r="338" spans="4:11" x14ac:dyDescent="0.2">
      <c r="D338" s="8" t="s">
        <v>870</v>
      </c>
      <c r="E338" s="61">
        <v>7.53</v>
      </c>
      <c r="F338" s="61">
        <v>5.54</v>
      </c>
      <c r="G338" s="61">
        <v>7.2</v>
      </c>
      <c r="H338" s="61">
        <v>7.73</v>
      </c>
      <c r="I338" s="57">
        <f t="shared" si="47"/>
        <v>-0.26427622841965476</v>
      </c>
      <c r="J338" s="57">
        <f t="shared" si="48"/>
        <v>0.29963898916967513</v>
      </c>
      <c r="K338" s="57">
        <f t="shared" si="49"/>
        <v>7.3611111111111141E-2</v>
      </c>
    </row>
    <row r="339" spans="4:11" x14ac:dyDescent="0.2">
      <c r="D339" s="8" t="s">
        <v>871</v>
      </c>
      <c r="E339" s="61">
        <v>-0.4</v>
      </c>
      <c r="F339" s="61">
        <v>0.1</v>
      </c>
      <c r="G339" s="61">
        <v>1.69</v>
      </c>
      <c r="H339" s="61">
        <v>2.12</v>
      </c>
      <c r="I339" s="57">
        <f t="shared" si="47"/>
        <v>-1.25</v>
      </c>
      <c r="J339" s="57">
        <f t="shared" si="48"/>
        <v>15.899999999999999</v>
      </c>
      <c r="K339" s="57">
        <f t="shared" si="49"/>
        <v>0.25443786982248529</v>
      </c>
    </row>
    <row r="340" spans="4:11" x14ac:dyDescent="0.2">
      <c r="D340" s="8" t="s">
        <v>872</v>
      </c>
      <c r="E340" s="61">
        <v>1.55</v>
      </c>
      <c r="F340" s="61">
        <v>0.12</v>
      </c>
      <c r="G340" s="61">
        <v>0.6</v>
      </c>
      <c r="H340" s="61">
        <v>1.36</v>
      </c>
      <c r="I340" s="57">
        <f t="shared" si="47"/>
        <v>-0.92258064516129035</v>
      </c>
      <c r="J340" s="57">
        <f t="shared" si="48"/>
        <v>4</v>
      </c>
      <c r="K340" s="57">
        <f t="shared" si="49"/>
        <v>1.2666666666666668</v>
      </c>
    </row>
    <row r="341" spans="4:11" x14ac:dyDescent="0.2">
      <c r="D341" s="8" t="s">
        <v>873</v>
      </c>
      <c r="E341" s="61" t="s">
        <v>1021</v>
      </c>
      <c r="F341" s="61" t="s">
        <v>1021</v>
      </c>
      <c r="G341" s="61" t="s">
        <v>1021</v>
      </c>
      <c r="H341" s="61" t="s">
        <v>1022</v>
      </c>
      <c r="I341" s="57"/>
      <c r="J341" s="57"/>
      <c r="K341" s="57"/>
    </row>
    <row r="342" spans="4:11" x14ac:dyDescent="0.2">
      <c r="D342" s="8" t="s">
        <v>874</v>
      </c>
      <c r="E342" s="61" t="s">
        <v>1021</v>
      </c>
      <c r="F342" s="61" t="s">
        <v>1021</v>
      </c>
      <c r="G342" s="61" t="s">
        <v>1021</v>
      </c>
      <c r="H342" s="61" t="s">
        <v>1022</v>
      </c>
      <c r="I342" s="57"/>
      <c r="J342" s="57"/>
      <c r="K342" s="57"/>
    </row>
    <row r="343" spans="4:11" x14ac:dyDescent="0.2">
      <c r="D343" s="8" t="s">
        <v>875</v>
      </c>
      <c r="E343" s="61">
        <v>4.92</v>
      </c>
      <c r="F343" s="61">
        <v>5.16</v>
      </c>
      <c r="G343" s="61">
        <v>6.45</v>
      </c>
      <c r="H343" s="61">
        <v>8.15</v>
      </c>
      <c r="I343" s="57">
        <f t="shared" ref="I343:K344" si="50">(F343-E343)/E343</f>
        <v>4.8780487804878092E-2</v>
      </c>
      <c r="J343" s="57">
        <f t="shared" si="50"/>
        <v>0.25</v>
      </c>
      <c r="K343" s="57">
        <f t="shared" si="50"/>
        <v>0.26356589147286824</v>
      </c>
    </row>
    <row r="344" spans="4:11" x14ac:dyDescent="0.2">
      <c r="D344" s="8" t="s">
        <v>876</v>
      </c>
      <c r="E344" s="61">
        <v>5.01</v>
      </c>
      <c r="F344" s="61">
        <v>4.8899999999999997</v>
      </c>
      <c r="G344" s="61">
        <v>5.22</v>
      </c>
      <c r="H344" s="61">
        <v>6.39</v>
      </c>
      <c r="I344" s="57">
        <f t="shared" si="50"/>
        <v>-2.3952095808383256E-2</v>
      </c>
      <c r="J344" s="57">
        <f t="shared" si="50"/>
        <v>6.7484662576687129E-2</v>
      </c>
      <c r="K344" s="57">
        <f t="shared" si="50"/>
        <v>0.22413793103448276</v>
      </c>
    </row>
    <row r="345" spans="4:11" x14ac:dyDescent="0.2">
      <c r="D345" s="8" t="s">
        <v>877</v>
      </c>
      <c r="E345" s="61"/>
      <c r="F345" s="61"/>
      <c r="G345" s="61" t="s">
        <v>1022</v>
      </c>
      <c r="H345" s="61" t="s">
        <v>1021</v>
      </c>
      <c r="I345" s="57"/>
      <c r="J345" s="57"/>
      <c r="K345" s="57"/>
    </row>
    <row r="346" spans="4:11" x14ac:dyDescent="0.2">
      <c r="D346" s="8" t="s">
        <v>878</v>
      </c>
      <c r="E346" s="61">
        <v>5.43</v>
      </c>
      <c r="F346" s="61">
        <v>4.34</v>
      </c>
      <c r="G346" s="61">
        <v>4.6399999999999997</v>
      </c>
      <c r="H346" s="61">
        <v>4.97</v>
      </c>
      <c r="I346" s="57">
        <f t="shared" ref="I346:K347" si="51">(F346-E346)/E346</f>
        <v>-0.20073664825046039</v>
      </c>
      <c r="J346" s="57">
        <f t="shared" si="51"/>
        <v>6.9124423963133605E-2</v>
      </c>
      <c r="K346" s="57">
        <f t="shared" si="51"/>
        <v>7.1120689655172431E-2</v>
      </c>
    </row>
    <row r="347" spans="4:11" x14ac:dyDescent="0.2">
      <c r="D347" s="8" t="s">
        <v>879</v>
      </c>
      <c r="E347" s="61">
        <v>4.53</v>
      </c>
      <c r="F347" s="61">
        <v>3.35</v>
      </c>
      <c r="G347" s="61">
        <v>3.62</v>
      </c>
      <c r="H347" s="61">
        <v>3.82</v>
      </c>
      <c r="I347" s="57">
        <f t="shared" si="51"/>
        <v>-0.26048565121412803</v>
      </c>
      <c r="J347" s="57">
        <f t="shared" si="51"/>
        <v>8.0597014925373134E-2</v>
      </c>
      <c r="K347" s="57">
        <f t="shared" si="51"/>
        <v>5.5248618784530308E-2</v>
      </c>
    </row>
    <row r="348" spans="4:11" x14ac:dyDescent="0.2">
      <c r="D348" s="8" t="s">
        <v>880</v>
      </c>
      <c r="E348" s="61" t="s">
        <v>1021</v>
      </c>
      <c r="F348" s="61" t="s">
        <v>1021</v>
      </c>
      <c r="G348" s="61" t="s">
        <v>1021</v>
      </c>
      <c r="H348" s="61" t="s">
        <v>1022</v>
      </c>
      <c r="I348" s="57"/>
      <c r="J348" s="57"/>
      <c r="K348" s="57"/>
    </row>
    <row r="349" spans="4:11" x14ac:dyDescent="0.2">
      <c r="D349" s="8" t="s">
        <v>882</v>
      </c>
      <c r="E349" s="61">
        <v>-4.51</v>
      </c>
      <c r="F349" s="61">
        <v>1.2</v>
      </c>
      <c r="G349" s="61">
        <v>1.88</v>
      </c>
      <c r="H349" s="61">
        <v>2.35</v>
      </c>
      <c r="I349" s="57">
        <f t="shared" ref="I349:I362" si="52">(F349-E349)/E349</f>
        <v>-1.2660753880266076</v>
      </c>
      <c r="J349" s="57">
        <f t="shared" ref="J349:J362" si="53">(G349-F349)/F349</f>
        <v>0.56666666666666665</v>
      </c>
      <c r="K349" s="57">
        <f t="shared" ref="K349:K362" si="54">(H349-G349)/G349</f>
        <v>0.25000000000000011</v>
      </c>
    </row>
    <row r="350" spans="4:11" x14ac:dyDescent="0.2">
      <c r="D350" s="8" t="s">
        <v>883</v>
      </c>
      <c r="E350" s="61">
        <v>5.29</v>
      </c>
      <c r="F350" s="61">
        <v>5.81</v>
      </c>
      <c r="G350" s="61">
        <v>6.14</v>
      </c>
      <c r="H350" s="61">
        <v>6.62</v>
      </c>
      <c r="I350" s="57">
        <f t="shared" si="52"/>
        <v>9.8298676748582156E-2</v>
      </c>
      <c r="J350" s="57">
        <f t="shared" si="53"/>
        <v>5.6798623063683322E-2</v>
      </c>
      <c r="K350" s="57">
        <f t="shared" si="54"/>
        <v>7.8175895765472389E-2</v>
      </c>
    </row>
    <row r="351" spans="4:11" x14ac:dyDescent="0.2">
      <c r="D351" s="8" t="s">
        <v>884</v>
      </c>
      <c r="E351" s="61">
        <v>6.13</v>
      </c>
      <c r="F351" s="61">
        <v>5.86</v>
      </c>
      <c r="G351" s="61">
        <v>7.74</v>
      </c>
      <c r="H351" s="61">
        <v>8.89</v>
      </c>
      <c r="I351" s="57">
        <f t="shared" si="52"/>
        <v>-4.4045676998368609E-2</v>
      </c>
      <c r="J351" s="57">
        <f t="shared" si="53"/>
        <v>0.32081911262798629</v>
      </c>
      <c r="K351" s="57">
        <f t="shared" si="54"/>
        <v>0.1485788113695091</v>
      </c>
    </row>
    <row r="352" spans="4:11" x14ac:dyDescent="0.2">
      <c r="D352" s="8" t="s">
        <v>885</v>
      </c>
      <c r="E352" s="61">
        <v>1.74</v>
      </c>
      <c r="F352" s="61">
        <v>4.28</v>
      </c>
      <c r="G352" s="61">
        <v>5.25</v>
      </c>
      <c r="H352" s="61">
        <v>5.75</v>
      </c>
      <c r="I352" s="57">
        <f t="shared" si="52"/>
        <v>1.4597701149425288</v>
      </c>
      <c r="J352" s="57">
        <f t="shared" si="53"/>
        <v>0.22663551401869153</v>
      </c>
      <c r="K352" s="57">
        <f t="shared" si="54"/>
        <v>9.5238095238095233E-2</v>
      </c>
    </row>
    <row r="353" spans="4:11" x14ac:dyDescent="0.2">
      <c r="D353" s="8" t="s">
        <v>886</v>
      </c>
      <c r="E353" s="61">
        <v>8.31</v>
      </c>
      <c r="F353" s="61">
        <v>10</v>
      </c>
      <c r="G353" s="61">
        <v>11</v>
      </c>
      <c r="H353" s="61">
        <v>12.1</v>
      </c>
      <c r="I353" s="57">
        <f t="shared" si="52"/>
        <v>0.20336943441636576</v>
      </c>
      <c r="J353" s="57">
        <f t="shared" si="53"/>
        <v>0.1</v>
      </c>
      <c r="K353" s="57">
        <f t="shared" si="54"/>
        <v>9.9999999999999964E-2</v>
      </c>
    </row>
    <row r="354" spans="4:11" x14ac:dyDescent="0.2">
      <c r="D354" s="8" t="s">
        <v>887</v>
      </c>
      <c r="E354" s="61">
        <v>13.7</v>
      </c>
      <c r="F354" s="61">
        <v>17.7</v>
      </c>
      <c r="G354" s="61">
        <v>19.100000000000001</v>
      </c>
      <c r="H354" s="61">
        <v>20.399999999999999</v>
      </c>
      <c r="I354" s="57">
        <f t="shared" si="52"/>
        <v>0.29197080291970806</v>
      </c>
      <c r="J354" s="57">
        <f t="shared" si="53"/>
        <v>7.9096045197740231E-2</v>
      </c>
      <c r="K354" s="57">
        <f t="shared" si="54"/>
        <v>6.806282722513074E-2</v>
      </c>
    </row>
    <row r="355" spans="4:11" x14ac:dyDescent="0.2">
      <c r="D355" s="8" t="s">
        <v>888</v>
      </c>
      <c r="E355" s="61">
        <v>3.8</v>
      </c>
      <c r="F355" s="61">
        <v>4.33</v>
      </c>
      <c r="G355" s="61">
        <v>4.58</v>
      </c>
      <c r="H355" s="61">
        <v>5.23</v>
      </c>
      <c r="I355" s="57">
        <f t="shared" si="52"/>
        <v>0.13947368421052639</v>
      </c>
      <c r="J355" s="57">
        <f t="shared" si="53"/>
        <v>5.7736720554272515E-2</v>
      </c>
      <c r="K355" s="57">
        <f t="shared" si="54"/>
        <v>0.14192139737991274</v>
      </c>
    </row>
    <row r="356" spans="4:11" x14ac:dyDescent="0.2">
      <c r="D356" s="8" t="s">
        <v>889</v>
      </c>
      <c r="E356" s="61">
        <v>7.06</v>
      </c>
      <c r="F356" s="61">
        <v>4.29</v>
      </c>
      <c r="G356" s="61">
        <v>4.5199999999999996</v>
      </c>
      <c r="H356" s="61">
        <v>4.32</v>
      </c>
      <c r="I356" s="57">
        <f t="shared" si="52"/>
        <v>-0.3923512747875354</v>
      </c>
      <c r="J356" s="57">
        <f t="shared" si="53"/>
        <v>5.3613053613053505E-2</v>
      </c>
      <c r="K356" s="57">
        <f t="shared" si="54"/>
        <v>-4.4247787610619316E-2</v>
      </c>
    </row>
    <row r="357" spans="4:11" x14ac:dyDescent="0.2">
      <c r="D357" s="8" t="s">
        <v>890</v>
      </c>
      <c r="E357" s="61">
        <v>4.0599999999999996</v>
      </c>
      <c r="F357" s="61">
        <v>9.26</v>
      </c>
      <c r="G357" s="61">
        <v>9.4700000000000006</v>
      </c>
      <c r="H357" s="61">
        <v>10</v>
      </c>
      <c r="I357" s="57">
        <f t="shared" si="52"/>
        <v>1.2807881773399017</v>
      </c>
      <c r="J357" s="57">
        <f t="shared" si="53"/>
        <v>2.2678185745140481E-2</v>
      </c>
      <c r="K357" s="57">
        <f t="shared" si="54"/>
        <v>5.596620908130933E-2</v>
      </c>
    </row>
    <row r="358" spans="4:11" x14ac:dyDescent="0.2">
      <c r="D358" s="8" t="s">
        <v>1030</v>
      </c>
      <c r="E358" s="61">
        <v>1.07</v>
      </c>
      <c r="F358" s="61">
        <v>0.61</v>
      </c>
      <c r="G358" s="61">
        <v>0.63</v>
      </c>
      <c r="H358" s="61">
        <v>0.52</v>
      </c>
      <c r="I358" s="57">
        <f t="shared" si="52"/>
        <v>-0.42990654205607481</v>
      </c>
      <c r="J358" s="57">
        <f t="shared" si="53"/>
        <v>3.2786885245901669E-2</v>
      </c>
      <c r="K358" s="57">
        <f t="shared" si="54"/>
        <v>-0.17460317460317459</v>
      </c>
    </row>
    <row r="359" spans="4:11" x14ac:dyDescent="0.2">
      <c r="D359" s="8" t="s">
        <v>891</v>
      </c>
      <c r="E359" s="61">
        <v>3.48</v>
      </c>
      <c r="F359" s="61">
        <v>3.53</v>
      </c>
      <c r="G359" s="61">
        <v>3.78</v>
      </c>
      <c r="H359" s="61">
        <v>4.1100000000000003</v>
      </c>
      <c r="I359" s="57">
        <f t="shared" si="52"/>
        <v>1.4367816091953972E-2</v>
      </c>
      <c r="J359" s="57">
        <f t="shared" si="53"/>
        <v>7.0821529745042494E-2</v>
      </c>
      <c r="K359" s="57">
        <f t="shared" si="54"/>
        <v>8.7301587301587436E-2</v>
      </c>
    </row>
    <row r="360" spans="4:11" x14ac:dyDescent="0.2">
      <c r="D360" s="8" t="s">
        <v>893</v>
      </c>
      <c r="E360" s="61">
        <v>1.47</v>
      </c>
      <c r="F360" s="61">
        <v>1.31</v>
      </c>
      <c r="G360" s="61">
        <v>0.77</v>
      </c>
      <c r="H360" s="61">
        <v>0.66</v>
      </c>
      <c r="I360" s="57">
        <f t="shared" si="52"/>
        <v>-0.10884353741496594</v>
      </c>
      <c r="J360" s="57">
        <f t="shared" si="53"/>
        <v>-0.41221374045801529</v>
      </c>
      <c r="K360" s="57">
        <f t="shared" si="54"/>
        <v>-0.14285714285714285</v>
      </c>
    </row>
    <row r="361" spans="4:11" x14ac:dyDescent="0.2">
      <c r="D361" s="8" t="s">
        <v>894</v>
      </c>
      <c r="E361" s="61">
        <v>4.3099999999999996</v>
      </c>
      <c r="F361" s="61">
        <v>4.74</v>
      </c>
      <c r="G361" s="61">
        <v>5.27</v>
      </c>
      <c r="H361" s="61">
        <v>5.83</v>
      </c>
      <c r="I361" s="57">
        <f t="shared" si="52"/>
        <v>9.976798143851523E-2</v>
      </c>
      <c r="J361" s="57">
        <f t="shared" si="53"/>
        <v>0.11181434599156104</v>
      </c>
      <c r="K361" s="57">
        <f t="shared" si="54"/>
        <v>0.10626185958254279</v>
      </c>
    </row>
    <row r="362" spans="4:11" x14ac:dyDescent="0.2">
      <c r="D362" s="8" t="s">
        <v>895</v>
      </c>
      <c r="E362" s="61">
        <v>3.94</v>
      </c>
      <c r="F362" s="61">
        <v>3.4</v>
      </c>
      <c r="G362" s="61">
        <v>4.03</v>
      </c>
      <c r="H362" s="61">
        <v>5</v>
      </c>
      <c r="I362" s="57">
        <f t="shared" si="52"/>
        <v>-0.1370558375634518</v>
      </c>
      <c r="J362" s="57">
        <f t="shared" si="53"/>
        <v>0.18529411764705891</v>
      </c>
      <c r="K362" s="57">
        <f t="shared" si="54"/>
        <v>0.24069478908188577</v>
      </c>
    </row>
    <row r="363" spans="4:11" x14ac:dyDescent="0.2">
      <c r="D363" s="8" t="s">
        <v>896</v>
      </c>
      <c r="E363" s="61" t="s">
        <v>1021</v>
      </c>
      <c r="F363" s="61" t="s">
        <v>1021</v>
      </c>
      <c r="G363" s="61" t="s">
        <v>1021</v>
      </c>
      <c r="H363" s="61" t="s">
        <v>1022</v>
      </c>
      <c r="I363" s="57"/>
      <c r="J363" s="57"/>
      <c r="K363" s="57"/>
    </row>
    <row r="364" spans="4:11" x14ac:dyDescent="0.2">
      <c r="D364" s="8" t="s">
        <v>897</v>
      </c>
      <c r="E364" s="61">
        <v>1.86</v>
      </c>
      <c r="F364" s="61">
        <v>1.77</v>
      </c>
      <c r="G364" s="61">
        <v>1.79</v>
      </c>
      <c r="H364" s="61">
        <v>1.88</v>
      </c>
      <c r="I364" s="57">
        <f t="shared" ref="I364:I373" si="55">(F364-E364)/E364</f>
        <v>-4.8387096774193589E-2</v>
      </c>
      <c r="J364" s="57">
        <f t="shared" ref="J364:J373" si="56">(G364-F364)/F364</f>
        <v>1.1299435028248598E-2</v>
      </c>
      <c r="K364" s="57">
        <f t="shared" ref="K364:K373" si="57">(H364-G364)/G364</f>
        <v>5.0279329608938467E-2</v>
      </c>
    </row>
    <row r="365" spans="4:11" x14ac:dyDescent="0.2">
      <c r="D365" s="8" t="s">
        <v>898</v>
      </c>
      <c r="E365" s="61">
        <v>2.37</v>
      </c>
      <c r="F365" s="61">
        <v>2.59</v>
      </c>
      <c r="G365" s="61">
        <v>2.58</v>
      </c>
      <c r="H365" s="61">
        <v>2.91</v>
      </c>
      <c r="I365" s="57">
        <f t="shared" si="55"/>
        <v>9.2827004219409176E-2</v>
      </c>
      <c r="J365" s="57">
        <f t="shared" si="56"/>
        <v>-3.8610038610037791E-3</v>
      </c>
      <c r="K365" s="57">
        <f t="shared" si="57"/>
        <v>0.12790697674418608</v>
      </c>
    </row>
    <row r="366" spans="4:11" x14ac:dyDescent="0.2">
      <c r="D366" s="8" t="s">
        <v>899</v>
      </c>
      <c r="E366" s="61">
        <v>2.73</v>
      </c>
      <c r="F366" s="61">
        <v>4.75</v>
      </c>
      <c r="G366" s="61">
        <v>4.9800000000000004</v>
      </c>
      <c r="H366" s="61">
        <v>5.46</v>
      </c>
      <c r="I366" s="57">
        <f t="shared" si="55"/>
        <v>0.73992673992673996</v>
      </c>
      <c r="J366" s="57">
        <f t="shared" si="56"/>
        <v>4.8421052631579038E-2</v>
      </c>
      <c r="K366" s="57">
        <f t="shared" si="57"/>
        <v>9.6385542168674593E-2</v>
      </c>
    </row>
    <row r="367" spans="4:11" x14ac:dyDescent="0.2">
      <c r="D367" s="8" t="s">
        <v>900</v>
      </c>
      <c r="E367" s="61">
        <v>4.7300000000000004</v>
      </c>
      <c r="F367" s="61">
        <v>4.74</v>
      </c>
      <c r="G367" s="61">
        <v>4.8899999999999997</v>
      </c>
      <c r="H367" s="61">
        <v>5.3</v>
      </c>
      <c r="I367" s="57">
        <f t="shared" si="55"/>
        <v>2.1141649048625338E-3</v>
      </c>
      <c r="J367" s="57">
        <f t="shared" si="56"/>
        <v>3.1645569620253049E-2</v>
      </c>
      <c r="K367" s="57">
        <f t="shared" si="57"/>
        <v>8.3844580777096153E-2</v>
      </c>
    </row>
    <row r="368" spans="4:11" x14ac:dyDescent="0.2">
      <c r="D368" s="8" t="s">
        <v>901</v>
      </c>
      <c r="E368" s="61">
        <v>4.51</v>
      </c>
      <c r="F368" s="61">
        <v>3.38</v>
      </c>
      <c r="G368" s="61">
        <v>3.9</v>
      </c>
      <c r="H368" s="61">
        <v>4.4400000000000004</v>
      </c>
      <c r="I368" s="57">
        <f t="shared" si="55"/>
        <v>-0.25055432372505543</v>
      </c>
      <c r="J368" s="57">
        <f t="shared" si="56"/>
        <v>0.15384615384615385</v>
      </c>
      <c r="K368" s="57">
        <f t="shared" si="57"/>
        <v>0.13846153846153858</v>
      </c>
    </row>
    <row r="369" spans="4:11" x14ac:dyDescent="0.2">
      <c r="D369" s="8" t="s">
        <v>903</v>
      </c>
      <c r="E369" s="61">
        <v>3.69</v>
      </c>
      <c r="F369" s="61">
        <v>5.39</v>
      </c>
      <c r="G369" s="61">
        <v>6.78</v>
      </c>
      <c r="H369" s="61">
        <v>7.78</v>
      </c>
      <c r="I369" s="57">
        <f t="shared" si="55"/>
        <v>0.46070460704607041</v>
      </c>
      <c r="J369" s="57">
        <f t="shared" si="56"/>
        <v>0.25788497217068657</v>
      </c>
      <c r="K369" s="57">
        <f t="shared" si="57"/>
        <v>0.14749262536873156</v>
      </c>
    </row>
    <row r="370" spans="4:11" x14ac:dyDescent="0.2">
      <c r="D370" s="8" t="s">
        <v>904</v>
      </c>
      <c r="E370" s="61">
        <v>3.79</v>
      </c>
      <c r="F370" s="61">
        <v>4.72</v>
      </c>
      <c r="G370" s="61">
        <v>5.57</v>
      </c>
      <c r="H370" s="61">
        <v>6.71</v>
      </c>
      <c r="I370" s="57">
        <f t="shared" si="55"/>
        <v>0.24538258575197883</v>
      </c>
      <c r="J370" s="57">
        <f t="shared" si="56"/>
        <v>0.180084745762712</v>
      </c>
      <c r="K370" s="57">
        <f t="shared" si="57"/>
        <v>0.20466786355475755</v>
      </c>
    </row>
    <row r="371" spans="4:11" x14ac:dyDescent="0.2">
      <c r="D371" s="8" t="s">
        <v>905</v>
      </c>
      <c r="E371" s="61">
        <v>-1.63</v>
      </c>
      <c r="F371" s="61">
        <v>-4.79</v>
      </c>
      <c r="G371" s="61">
        <v>1.31</v>
      </c>
      <c r="H371" s="61">
        <v>1.33</v>
      </c>
      <c r="I371" s="57">
        <f t="shared" si="55"/>
        <v>1.9386503067484664</v>
      </c>
      <c r="J371" s="57">
        <f t="shared" si="56"/>
        <v>-1.2734864300626303</v>
      </c>
      <c r="K371" s="57">
        <f t="shared" si="57"/>
        <v>1.5267175572519097E-2</v>
      </c>
    </row>
    <row r="372" spans="4:11" x14ac:dyDescent="0.2">
      <c r="D372" s="8" t="s">
        <v>906</v>
      </c>
      <c r="E372" s="61">
        <v>-0.18</v>
      </c>
      <c r="F372" s="61">
        <v>1.3</v>
      </c>
      <c r="G372" s="61">
        <v>1.38</v>
      </c>
      <c r="H372" s="61">
        <v>1.48</v>
      </c>
      <c r="I372" s="57">
        <f t="shared" si="55"/>
        <v>-8.2222222222222232</v>
      </c>
      <c r="J372" s="57">
        <f t="shared" si="56"/>
        <v>6.1538461538461417E-2</v>
      </c>
      <c r="K372" s="57">
        <f t="shared" si="57"/>
        <v>7.2463768115942101E-2</v>
      </c>
    </row>
    <row r="373" spans="4:11" x14ac:dyDescent="0.2">
      <c r="D373" s="8" t="s">
        <v>907</v>
      </c>
      <c r="E373" s="61">
        <v>4.25</v>
      </c>
      <c r="F373" s="61">
        <v>4.4000000000000004</v>
      </c>
      <c r="G373" s="61">
        <v>5.07</v>
      </c>
      <c r="H373" s="61">
        <v>5.82</v>
      </c>
      <c r="I373" s="57">
        <f t="shared" si="55"/>
        <v>3.5294117647058906E-2</v>
      </c>
      <c r="J373" s="57">
        <f t="shared" si="56"/>
        <v>0.15227272727272725</v>
      </c>
      <c r="K373" s="57">
        <f t="shared" si="57"/>
        <v>0.14792899408284022</v>
      </c>
    </row>
    <row r="374" spans="4:11" x14ac:dyDescent="0.2">
      <c r="D374" s="8" t="s">
        <v>908</v>
      </c>
      <c r="E374" s="61" t="s">
        <v>1021</v>
      </c>
      <c r="F374" s="61" t="s">
        <v>1021</v>
      </c>
      <c r="G374" s="61" t="s">
        <v>1021</v>
      </c>
      <c r="H374" s="61" t="s">
        <v>1022</v>
      </c>
      <c r="I374" s="57"/>
      <c r="J374" s="57"/>
      <c r="K374" s="57"/>
    </row>
    <row r="375" spans="4:11" x14ac:dyDescent="0.2">
      <c r="D375" s="8" t="s">
        <v>909</v>
      </c>
      <c r="E375" s="61">
        <v>1.43</v>
      </c>
      <c r="F375" s="61">
        <v>2</v>
      </c>
      <c r="G375" s="61" t="s">
        <v>1022</v>
      </c>
      <c r="H375" s="61" t="s">
        <v>1021</v>
      </c>
      <c r="I375" s="57">
        <f t="shared" ref="I375:I384" si="58">(F375-E375)/E375</f>
        <v>0.39860139860139865</v>
      </c>
      <c r="J375" s="57" t="e">
        <f t="shared" ref="J375:J384" si="59">(G375-F375)/F375</f>
        <v>#VALUE!</v>
      </c>
      <c r="K375" s="57" t="e">
        <f t="shared" ref="K375:K384" si="60">(H375-G375)/G375</f>
        <v>#VALUE!</v>
      </c>
    </row>
    <row r="376" spans="4:11" x14ac:dyDescent="0.2">
      <c r="D376" s="8" t="s">
        <v>910</v>
      </c>
      <c r="E376" s="61">
        <v>7.4</v>
      </c>
      <c r="F376" s="61">
        <v>7.54</v>
      </c>
      <c r="G376" s="61">
        <v>10</v>
      </c>
      <c r="H376" s="61">
        <v>11</v>
      </c>
      <c r="I376" s="57">
        <f t="shared" si="58"/>
        <v>1.8918918918918875E-2</v>
      </c>
      <c r="J376" s="57">
        <f t="shared" si="59"/>
        <v>0.32625994694960214</v>
      </c>
      <c r="K376" s="57">
        <f t="shared" si="60"/>
        <v>0.1</v>
      </c>
    </row>
    <row r="377" spans="4:11" x14ac:dyDescent="0.2">
      <c r="D377" s="8" t="s">
        <v>911</v>
      </c>
      <c r="E377" s="61">
        <v>3.52</v>
      </c>
      <c r="F377" s="61">
        <v>3.63</v>
      </c>
      <c r="G377" s="61">
        <v>4.24</v>
      </c>
      <c r="H377" s="61">
        <v>5.0599999999999996</v>
      </c>
      <c r="I377" s="57">
        <f t="shared" si="58"/>
        <v>3.1249999999999965E-2</v>
      </c>
      <c r="J377" s="57">
        <f t="shared" si="59"/>
        <v>0.16804407713498631</v>
      </c>
      <c r="K377" s="57">
        <f t="shared" si="60"/>
        <v>0.19339622641509419</v>
      </c>
    </row>
    <row r="378" spans="4:11" x14ac:dyDescent="0.2">
      <c r="D378" s="8" t="s">
        <v>912</v>
      </c>
      <c r="E378" s="61">
        <v>4.54</v>
      </c>
      <c r="F378" s="61">
        <v>4.7699999999999996</v>
      </c>
      <c r="G378" s="61">
        <v>5.05</v>
      </c>
      <c r="H378" s="61">
        <v>5.34</v>
      </c>
      <c r="I378" s="57">
        <f t="shared" si="58"/>
        <v>5.0660792951541751E-2</v>
      </c>
      <c r="J378" s="57">
        <f t="shared" si="59"/>
        <v>5.8700209643605929E-2</v>
      </c>
      <c r="K378" s="57">
        <f t="shared" si="60"/>
        <v>5.7425742574257435E-2</v>
      </c>
    </row>
    <row r="379" spans="4:11" x14ac:dyDescent="0.2">
      <c r="D379" s="8" t="s">
        <v>914</v>
      </c>
      <c r="E379" s="61">
        <v>1.24</v>
      </c>
      <c r="F379" s="61">
        <v>2.4300000000000002</v>
      </c>
      <c r="G379" s="61">
        <v>3.04</v>
      </c>
      <c r="H379" s="61">
        <v>3.55</v>
      </c>
      <c r="I379" s="57">
        <f t="shared" si="58"/>
        <v>0.95967741935483886</v>
      </c>
      <c r="J379" s="57">
        <f t="shared" si="59"/>
        <v>0.25102880658436205</v>
      </c>
      <c r="K379" s="57">
        <f t="shared" si="60"/>
        <v>0.16776315789473678</v>
      </c>
    </row>
    <row r="380" spans="4:11" x14ac:dyDescent="0.2">
      <c r="D380" s="8" t="s">
        <v>915</v>
      </c>
      <c r="E380" s="61">
        <v>-0.14000000000000001</v>
      </c>
      <c r="F380" s="61">
        <v>-0.77</v>
      </c>
      <c r="G380" s="61">
        <v>0.96</v>
      </c>
      <c r="H380" s="61">
        <v>1.38</v>
      </c>
      <c r="I380" s="57">
        <f t="shared" si="58"/>
        <v>4.5</v>
      </c>
      <c r="J380" s="57">
        <f t="shared" si="59"/>
        <v>-2.2467532467532467</v>
      </c>
      <c r="K380" s="57">
        <f t="shared" si="60"/>
        <v>0.43749999999999994</v>
      </c>
    </row>
    <row r="381" spans="4:11" x14ac:dyDescent="0.2">
      <c r="D381" s="8" t="s">
        <v>916</v>
      </c>
      <c r="E381" s="61">
        <v>2.0099999999999998</v>
      </c>
      <c r="F381" s="61">
        <v>14.1</v>
      </c>
      <c r="G381" s="61">
        <v>1.18</v>
      </c>
      <c r="H381" s="61">
        <v>1.86</v>
      </c>
      <c r="I381" s="57">
        <f t="shared" si="58"/>
        <v>6.0149253731343286</v>
      </c>
      <c r="J381" s="57">
        <f t="shared" si="59"/>
        <v>-0.91631205673758864</v>
      </c>
      <c r="K381" s="57">
        <f t="shared" si="60"/>
        <v>0.5762711864406781</v>
      </c>
    </row>
    <row r="382" spans="4:11" x14ac:dyDescent="0.2">
      <c r="D382" s="8" t="s">
        <v>917</v>
      </c>
      <c r="E382" s="61">
        <v>5.46</v>
      </c>
      <c r="F382" s="61">
        <v>4.28</v>
      </c>
      <c r="G382" s="61">
        <v>6.79</v>
      </c>
      <c r="H382" s="61">
        <v>7.91</v>
      </c>
      <c r="I382" s="57">
        <f t="shared" si="58"/>
        <v>-0.21611721611721607</v>
      </c>
      <c r="J382" s="57">
        <f t="shared" si="59"/>
        <v>0.58644859813084105</v>
      </c>
      <c r="K382" s="57">
        <f t="shared" si="60"/>
        <v>0.16494845360824745</v>
      </c>
    </row>
    <row r="383" spans="4:11" x14ac:dyDescent="0.2">
      <c r="D383" s="8" t="s">
        <v>918</v>
      </c>
      <c r="E383" s="61">
        <v>4.83</v>
      </c>
      <c r="F383" s="61">
        <v>3.73</v>
      </c>
      <c r="G383" s="61">
        <v>4.03</v>
      </c>
      <c r="H383" s="61">
        <v>4.4400000000000004</v>
      </c>
      <c r="I383" s="57">
        <f t="shared" si="58"/>
        <v>-0.2277432712215321</v>
      </c>
      <c r="J383" s="57">
        <f t="shared" si="59"/>
        <v>8.0428954423592561E-2</v>
      </c>
      <c r="K383" s="57">
        <f t="shared" si="60"/>
        <v>0.10173697270471467</v>
      </c>
    </row>
    <row r="384" spans="4:11" x14ac:dyDescent="0.2">
      <c r="D384" s="8" t="s">
        <v>919</v>
      </c>
      <c r="E384" s="61">
        <v>3.03</v>
      </c>
      <c r="F384" s="61">
        <v>4.59</v>
      </c>
      <c r="G384" s="61">
        <v>5.93</v>
      </c>
      <c r="H384" s="61">
        <v>6.61</v>
      </c>
      <c r="I384" s="57">
        <f t="shared" si="58"/>
        <v>0.51485148514851486</v>
      </c>
      <c r="J384" s="57">
        <f t="shared" si="59"/>
        <v>0.29193899782135074</v>
      </c>
      <c r="K384" s="57">
        <f t="shared" si="60"/>
        <v>0.11467116357504227</v>
      </c>
    </row>
    <row r="385" spans="4:11" x14ac:dyDescent="0.2">
      <c r="D385" s="8" t="s">
        <v>920</v>
      </c>
      <c r="E385" s="61" t="s">
        <v>1021</v>
      </c>
      <c r="F385" s="61" t="s">
        <v>1021</v>
      </c>
      <c r="G385" s="61" t="s">
        <v>1022</v>
      </c>
      <c r="H385" s="61"/>
      <c r="I385" s="57"/>
      <c r="J385" s="57"/>
      <c r="K385" s="57"/>
    </row>
    <row r="386" spans="4:11" x14ac:dyDescent="0.2">
      <c r="D386" s="8" t="s">
        <v>921</v>
      </c>
      <c r="E386" s="61">
        <v>2.5299999999999998</v>
      </c>
      <c r="F386" s="61">
        <v>27.8</v>
      </c>
      <c r="G386" s="61">
        <v>23.7</v>
      </c>
      <c r="H386" s="61">
        <v>25.4</v>
      </c>
      <c r="I386" s="57">
        <f t="shared" ref="I386:I394" si="61">(F386-E386)/E386</f>
        <v>9.9881422924901191</v>
      </c>
      <c r="J386" s="57">
        <f t="shared" ref="J386:J394" si="62">(G386-F386)/F386</f>
        <v>-0.14748201438848926</v>
      </c>
      <c r="K386" s="57">
        <f t="shared" ref="K386:K394" si="63">(H386-G386)/G386</f>
        <v>7.1729957805907144E-2</v>
      </c>
    </row>
    <row r="387" spans="4:11" x14ac:dyDescent="0.2">
      <c r="D387" s="8" t="s">
        <v>922</v>
      </c>
      <c r="E387" s="61">
        <v>3.88</v>
      </c>
      <c r="F387" s="61">
        <v>4.0999999999999996</v>
      </c>
      <c r="G387" s="61">
        <v>4.33</v>
      </c>
      <c r="H387" s="61">
        <v>4.38</v>
      </c>
      <c r="I387" s="57">
        <f t="shared" si="61"/>
        <v>5.6701030927834989E-2</v>
      </c>
      <c r="J387" s="57">
        <f t="shared" si="62"/>
        <v>5.6097560975609868E-2</v>
      </c>
      <c r="K387" s="57">
        <f t="shared" si="63"/>
        <v>1.1547344110854462E-2</v>
      </c>
    </row>
    <row r="388" spans="4:11" x14ac:dyDescent="0.2">
      <c r="D388" s="8" t="s">
        <v>923</v>
      </c>
      <c r="E388" s="61">
        <v>1.81</v>
      </c>
      <c r="F388" s="61">
        <v>1.26</v>
      </c>
      <c r="G388" s="61">
        <v>1.47</v>
      </c>
      <c r="H388" s="61">
        <v>1.33</v>
      </c>
      <c r="I388" s="57">
        <f t="shared" si="61"/>
        <v>-0.30386740331491713</v>
      </c>
      <c r="J388" s="57">
        <f t="shared" si="62"/>
        <v>0.16666666666666663</v>
      </c>
      <c r="K388" s="57">
        <f t="shared" si="63"/>
        <v>-9.5238095238095177E-2</v>
      </c>
    </row>
    <row r="389" spans="4:11" x14ac:dyDescent="0.2">
      <c r="D389" s="8" t="s">
        <v>924</v>
      </c>
      <c r="E389" s="61">
        <v>1.28</v>
      </c>
      <c r="F389" s="61">
        <v>4.55</v>
      </c>
      <c r="G389" s="61">
        <v>4.8600000000000003</v>
      </c>
      <c r="H389" s="61">
        <v>6.08</v>
      </c>
      <c r="I389" s="57">
        <f t="shared" si="61"/>
        <v>2.5546874999999996</v>
      </c>
      <c r="J389" s="57">
        <f t="shared" si="62"/>
        <v>6.8131868131868251E-2</v>
      </c>
      <c r="K389" s="57">
        <f t="shared" si="63"/>
        <v>0.25102880658436205</v>
      </c>
    </row>
    <row r="390" spans="4:11" x14ac:dyDescent="0.2">
      <c r="D390" s="8" t="s">
        <v>925</v>
      </c>
      <c r="E390" s="61">
        <v>-4.2</v>
      </c>
      <c r="F390" s="61">
        <v>1.27</v>
      </c>
      <c r="G390" s="61">
        <v>1.62</v>
      </c>
      <c r="H390" s="61">
        <v>1.88</v>
      </c>
      <c r="I390" s="57">
        <f t="shared" si="61"/>
        <v>-1.3023809523809524</v>
      </c>
      <c r="J390" s="57">
        <f t="shared" si="62"/>
        <v>0.27559055118110243</v>
      </c>
      <c r="K390" s="57">
        <f t="shared" si="63"/>
        <v>0.16049382716049368</v>
      </c>
    </row>
    <row r="391" spans="4:11" x14ac:dyDescent="0.2">
      <c r="D391" s="8" t="s">
        <v>926</v>
      </c>
      <c r="E391" s="61">
        <v>1.3</v>
      </c>
      <c r="F391" s="61">
        <v>1.1499999999999999</v>
      </c>
      <c r="G391" s="61">
        <v>2.29</v>
      </c>
      <c r="H391" s="61">
        <v>2.67</v>
      </c>
      <c r="I391" s="57">
        <f t="shared" si="61"/>
        <v>-0.11538461538461549</v>
      </c>
      <c r="J391" s="57">
        <f t="shared" si="62"/>
        <v>0.99130434782608712</v>
      </c>
      <c r="K391" s="57">
        <f t="shared" si="63"/>
        <v>0.1659388646288209</v>
      </c>
    </row>
    <row r="392" spans="4:11" x14ac:dyDescent="0.2">
      <c r="D392" s="8" t="s">
        <v>927</v>
      </c>
      <c r="E392" s="61">
        <v>18.100000000000001</v>
      </c>
      <c r="F392" s="61">
        <v>21.2</v>
      </c>
      <c r="G392" s="61">
        <v>19.600000000000001</v>
      </c>
      <c r="H392" s="61">
        <v>20.7</v>
      </c>
      <c r="I392" s="57">
        <f t="shared" si="61"/>
        <v>0.17127071823204407</v>
      </c>
      <c r="J392" s="57">
        <f t="shared" si="62"/>
        <v>-7.5471698113207447E-2</v>
      </c>
      <c r="K392" s="57">
        <f t="shared" si="63"/>
        <v>5.6122448979591726E-2</v>
      </c>
    </row>
    <row r="393" spans="4:11" x14ac:dyDescent="0.2">
      <c r="D393" s="8" t="s">
        <v>928</v>
      </c>
      <c r="E393" s="61">
        <v>5.73</v>
      </c>
      <c r="F393" s="61">
        <v>7.01</v>
      </c>
      <c r="G393" s="61">
        <v>8.93</v>
      </c>
      <c r="H393" s="61">
        <v>10.6</v>
      </c>
      <c r="I393" s="57">
        <f t="shared" si="61"/>
        <v>0.22338568935427561</v>
      </c>
      <c r="J393" s="57">
        <f t="shared" si="62"/>
        <v>0.27389443651925821</v>
      </c>
      <c r="K393" s="57">
        <f t="shared" si="63"/>
        <v>0.18701007838745801</v>
      </c>
    </row>
    <row r="394" spans="4:11" x14ac:dyDescent="0.2">
      <c r="D394" s="8" t="s">
        <v>929</v>
      </c>
      <c r="E394" s="61">
        <v>1.62</v>
      </c>
      <c r="F394" s="61">
        <v>3.57</v>
      </c>
      <c r="G394" s="61">
        <v>4.6900000000000004</v>
      </c>
      <c r="H394" s="61">
        <v>5.55</v>
      </c>
      <c r="I394" s="57">
        <f t="shared" si="61"/>
        <v>1.2037037037037035</v>
      </c>
      <c r="J394" s="57">
        <f t="shared" si="62"/>
        <v>0.31372549019607859</v>
      </c>
      <c r="K394" s="57">
        <f t="shared" si="63"/>
        <v>0.18336886993603399</v>
      </c>
    </row>
    <row r="395" spans="4:11" x14ac:dyDescent="0.2">
      <c r="D395" s="8" t="s">
        <v>930</v>
      </c>
      <c r="E395" s="61" t="s">
        <v>1021</v>
      </c>
      <c r="F395" s="61" t="s">
        <v>1021</v>
      </c>
      <c r="G395" s="61" t="s">
        <v>1021</v>
      </c>
      <c r="H395" s="61" t="s">
        <v>1022</v>
      </c>
      <c r="I395" s="57"/>
      <c r="J395" s="57"/>
      <c r="K395" s="57"/>
    </row>
    <row r="396" spans="4:11" x14ac:dyDescent="0.2">
      <c r="D396" s="8" t="s">
        <v>931</v>
      </c>
      <c r="E396" s="61">
        <v>1.3</v>
      </c>
      <c r="F396" s="61">
        <v>0.75</v>
      </c>
      <c r="G396" s="61">
        <v>0.55000000000000004</v>
      </c>
      <c r="H396" s="61">
        <v>0.75</v>
      </c>
      <c r="I396" s="57">
        <f t="shared" ref="I396:I406" si="64">(F396-E396)/E396</f>
        <v>-0.42307692307692307</v>
      </c>
      <c r="J396" s="57">
        <f t="shared" ref="J396:J406" si="65">(G396-F396)/F396</f>
        <v>-0.26666666666666661</v>
      </c>
      <c r="K396" s="57">
        <f t="shared" ref="K396:K406" si="66">(H396-G396)/G396</f>
        <v>0.36363636363636354</v>
      </c>
    </row>
    <row r="397" spans="4:11" x14ac:dyDescent="0.2">
      <c r="D397" s="8" t="s">
        <v>932</v>
      </c>
      <c r="E397" s="61">
        <v>3.18</v>
      </c>
      <c r="F397" s="61">
        <v>3.49</v>
      </c>
      <c r="G397" s="61">
        <v>3.41</v>
      </c>
      <c r="H397" s="61">
        <v>3.59</v>
      </c>
      <c r="I397" s="57">
        <f t="shared" si="64"/>
        <v>9.7484276729559755E-2</v>
      </c>
      <c r="J397" s="57">
        <f t="shared" si="65"/>
        <v>-2.2922636103151883E-2</v>
      </c>
      <c r="K397" s="57">
        <f t="shared" si="66"/>
        <v>5.2785923753665601E-2</v>
      </c>
    </row>
    <row r="398" spans="4:11" x14ac:dyDescent="0.2">
      <c r="D398" s="8" t="s">
        <v>933</v>
      </c>
      <c r="E398" s="61">
        <v>3.66</v>
      </c>
      <c r="F398" s="61">
        <v>3.92</v>
      </c>
      <c r="G398" s="61">
        <v>4.0199999999999996</v>
      </c>
      <c r="H398" s="61">
        <v>4.25</v>
      </c>
      <c r="I398" s="57">
        <f t="shared" si="64"/>
        <v>7.1038251366120159E-2</v>
      </c>
      <c r="J398" s="57">
        <f t="shared" si="65"/>
        <v>2.5510204081632563E-2</v>
      </c>
      <c r="K398" s="57">
        <f t="shared" si="66"/>
        <v>5.7213930348258821E-2</v>
      </c>
    </row>
    <row r="399" spans="4:11" x14ac:dyDescent="0.2">
      <c r="D399" s="8" t="s">
        <v>934</v>
      </c>
      <c r="E399" s="61">
        <v>5.28</v>
      </c>
      <c r="F399" s="61">
        <v>3.25</v>
      </c>
      <c r="G399" s="61">
        <v>6.9</v>
      </c>
      <c r="H399" s="61">
        <v>7.84</v>
      </c>
      <c r="I399" s="57">
        <f t="shared" si="64"/>
        <v>-0.38446969696969702</v>
      </c>
      <c r="J399" s="57">
        <f t="shared" si="65"/>
        <v>1.1230769230769231</v>
      </c>
      <c r="K399" s="57">
        <f t="shared" si="66"/>
        <v>0.13623188405797093</v>
      </c>
    </row>
    <row r="400" spans="4:11" x14ac:dyDescent="0.2">
      <c r="D400" s="8" t="s">
        <v>935</v>
      </c>
      <c r="E400" s="61">
        <v>0.68</v>
      </c>
      <c r="F400" s="61">
        <v>1.29</v>
      </c>
      <c r="G400" s="61">
        <v>1.93</v>
      </c>
      <c r="H400" s="61">
        <v>2.72</v>
      </c>
      <c r="I400" s="57">
        <f t="shared" si="64"/>
        <v>0.89705882352941169</v>
      </c>
      <c r="J400" s="57">
        <f t="shared" si="65"/>
        <v>0.49612403100775188</v>
      </c>
      <c r="K400" s="57">
        <f t="shared" si="66"/>
        <v>0.40932642487046644</v>
      </c>
    </row>
    <row r="401" spans="4:11" x14ac:dyDescent="0.2">
      <c r="D401" s="8" t="s">
        <v>1031</v>
      </c>
      <c r="E401" s="61">
        <v>5.15</v>
      </c>
      <c r="F401" s="61">
        <v>4.4400000000000004</v>
      </c>
      <c r="G401" s="61">
        <v>4.4800000000000004</v>
      </c>
      <c r="H401" s="61">
        <v>4.6100000000000003</v>
      </c>
      <c r="I401" s="57">
        <f t="shared" si="64"/>
        <v>-0.13786407766990288</v>
      </c>
      <c r="J401" s="57">
        <f t="shared" si="65"/>
        <v>9.0090090090090159E-3</v>
      </c>
      <c r="K401" s="57">
        <f t="shared" si="66"/>
        <v>2.9017857142857116E-2</v>
      </c>
    </row>
    <row r="402" spans="4:11" x14ac:dyDescent="0.2">
      <c r="D402" s="8" t="s">
        <v>936</v>
      </c>
      <c r="E402" s="61">
        <v>0.87</v>
      </c>
      <c r="F402" s="61">
        <v>3.45</v>
      </c>
      <c r="G402" s="61">
        <v>4.51</v>
      </c>
      <c r="H402" s="61">
        <v>3.52</v>
      </c>
      <c r="I402" s="57">
        <f t="shared" si="64"/>
        <v>2.9655172413793105</v>
      </c>
      <c r="J402" s="57">
        <f t="shared" si="65"/>
        <v>0.30724637681159406</v>
      </c>
      <c r="K402" s="57">
        <f t="shared" si="66"/>
        <v>-0.21951219512195119</v>
      </c>
    </row>
    <row r="403" spans="4:11" x14ac:dyDescent="0.2">
      <c r="D403" s="8" t="s">
        <v>937</v>
      </c>
      <c r="E403" s="61">
        <v>7.8</v>
      </c>
      <c r="F403" s="61">
        <v>7.77</v>
      </c>
      <c r="G403" s="61">
        <v>7.17</v>
      </c>
      <c r="H403" s="61">
        <v>7.45</v>
      </c>
      <c r="I403" s="57">
        <f t="shared" si="64"/>
        <v>-3.846153846153878E-3</v>
      </c>
      <c r="J403" s="57">
        <f t="shared" si="65"/>
        <v>-7.7220077220077177E-2</v>
      </c>
      <c r="K403" s="57">
        <f t="shared" si="66"/>
        <v>3.9051603905160423E-2</v>
      </c>
    </row>
    <row r="404" spans="4:11" x14ac:dyDescent="0.2">
      <c r="D404" s="8" t="s">
        <v>938</v>
      </c>
      <c r="E404" s="61">
        <v>7.2</v>
      </c>
      <c r="F404" s="61">
        <v>7.85</v>
      </c>
      <c r="G404" s="61">
        <v>7.56</v>
      </c>
      <c r="H404" s="61">
        <v>7.79</v>
      </c>
      <c r="I404" s="57">
        <f t="shared" si="64"/>
        <v>9.0277777777777707E-2</v>
      </c>
      <c r="J404" s="57">
        <f t="shared" si="65"/>
        <v>-3.6942675159235674E-2</v>
      </c>
      <c r="K404" s="57">
        <f t="shared" si="66"/>
        <v>3.0423280423280481E-2</v>
      </c>
    </row>
    <row r="405" spans="4:11" x14ac:dyDescent="0.2">
      <c r="D405" s="8" t="s">
        <v>939</v>
      </c>
      <c r="E405" s="61">
        <v>1.87</v>
      </c>
      <c r="F405" s="61">
        <v>2.5099999999999998</v>
      </c>
      <c r="G405" s="61">
        <v>1.89</v>
      </c>
      <c r="H405" s="61">
        <v>2.11</v>
      </c>
      <c r="I405" s="57">
        <f t="shared" si="64"/>
        <v>0.34224598930481265</v>
      </c>
      <c r="J405" s="57">
        <f t="shared" si="65"/>
        <v>-0.24701195219123503</v>
      </c>
      <c r="K405" s="57">
        <f t="shared" si="66"/>
        <v>0.1164021164021164</v>
      </c>
    </row>
    <row r="406" spans="4:11" x14ac:dyDescent="0.2">
      <c r="D406" s="8" t="s">
        <v>940</v>
      </c>
      <c r="E406" s="61">
        <v>6.1</v>
      </c>
      <c r="F406" s="61">
        <v>0.91</v>
      </c>
      <c r="G406" s="61">
        <v>1.84</v>
      </c>
      <c r="H406" s="61">
        <v>2.35</v>
      </c>
      <c r="I406" s="57">
        <f t="shared" si="64"/>
        <v>-0.85081967213114751</v>
      </c>
      <c r="J406" s="57">
        <f t="shared" si="65"/>
        <v>1.0219780219780219</v>
      </c>
      <c r="K406" s="57">
        <f t="shared" si="66"/>
        <v>0.27717391304347827</v>
      </c>
    </row>
    <row r="407" spans="4:11" x14ac:dyDescent="0.2">
      <c r="D407" s="8" t="s">
        <v>941</v>
      </c>
      <c r="E407" s="61" t="s">
        <v>1021</v>
      </c>
      <c r="F407" s="61" t="s">
        <v>1021</v>
      </c>
      <c r="G407" s="61" t="s">
        <v>1021</v>
      </c>
      <c r="H407" s="61" t="s">
        <v>1022</v>
      </c>
      <c r="I407" s="57"/>
      <c r="J407" s="57"/>
      <c r="K407" s="57"/>
    </row>
    <row r="408" spans="4:11" x14ac:dyDescent="0.2">
      <c r="D408" s="8" t="s">
        <v>942</v>
      </c>
      <c r="E408" s="61">
        <v>3.49</v>
      </c>
      <c r="F408" s="61">
        <v>3.32</v>
      </c>
      <c r="G408" s="61">
        <v>3.75</v>
      </c>
      <c r="H408" s="61">
        <v>4.13</v>
      </c>
      <c r="I408" s="57">
        <f t="shared" ref="I408:K411" si="67">(F408-E408)/E408</f>
        <v>-4.8710601719197812E-2</v>
      </c>
      <c r="J408" s="57">
        <f t="shared" si="67"/>
        <v>0.12951807228915668</v>
      </c>
      <c r="K408" s="57">
        <f t="shared" si="67"/>
        <v>0.1013333333333333</v>
      </c>
    </row>
    <row r="409" spans="4:11" x14ac:dyDescent="0.2">
      <c r="D409" s="8" t="s">
        <v>943</v>
      </c>
      <c r="E409" s="61">
        <v>2.13</v>
      </c>
      <c r="F409" s="61">
        <v>2.85</v>
      </c>
      <c r="G409" s="61">
        <v>3.65</v>
      </c>
      <c r="H409" s="61">
        <v>4.03</v>
      </c>
      <c r="I409" s="57">
        <f t="shared" si="67"/>
        <v>0.33802816901408461</v>
      </c>
      <c r="J409" s="57">
        <f t="shared" si="67"/>
        <v>0.28070175438596484</v>
      </c>
      <c r="K409" s="57">
        <f t="shared" si="67"/>
        <v>0.10410958904109599</v>
      </c>
    </row>
    <row r="410" spans="4:11" x14ac:dyDescent="0.2">
      <c r="D410" s="8" t="s">
        <v>944</v>
      </c>
      <c r="E410" s="61">
        <v>1.27</v>
      </c>
      <c r="F410" s="61">
        <v>1.03</v>
      </c>
      <c r="G410" s="61">
        <v>1.24</v>
      </c>
      <c r="H410" s="61">
        <v>1.41</v>
      </c>
      <c r="I410" s="57">
        <f t="shared" si="67"/>
        <v>-0.1889763779527559</v>
      </c>
      <c r="J410" s="57">
        <f t="shared" si="67"/>
        <v>0.20388349514563103</v>
      </c>
      <c r="K410" s="57">
        <f t="shared" si="67"/>
        <v>0.13709677419354832</v>
      </c>
    </row>
    <row r="411" spans="4:11" x14ac:dyDescent="0.2">
      <c r="D411" s="8" t="s">
        <v>945</v>
      </c>
      <c r="E411" s="61">
        <v>4.54</v>
      </c>
      <c r="F411" s="61">
        <v>4.62</v>
      </c>
      <c r="G411" s="61">
        <v>5.22</v>
      </c>
      <c r="H411" s="61">
        <v>5.53</v>
      </c>
      <c r="I411" s="57">
        <f t="shared" si="67"/>
        <v>1.7621145374449355E-2</v>
      </c>
      <c r="J411" s="57">
        <f t="shared" si="67"/>
        <v>0.1298701298701298</v>
      </c>
      <c r="K411" s="57">
        <f t="shared" si="67"/>
        <v>5.9386973180076727E-2</v>
      </c>
    </row>
    <row r="412" spans="4:11" x14ac:dyDescent="0.2">
      <c r="D412" s="8" t="s">
        <v>946</v>
      </c>
      <c r="E412" s="61" t="s">
        <v>1021</v>
      </c>
      <c r="F412" s="61" t="s">
        <v>1021</v>
      </c>
      <c r="G412" s="61" t="s">
        <v>1021</v>
      </c>
      <c r="H412" s="61" t="s">
        <v>1022</v>
      </c>
      <c r="I412" s="57"/>
      <c r="J412" s="57"/>
      <c r="K412" s="57"/>
    </row>
    <row r="413" spans="4:11" x14ac:dyDescent="0.2">
      <c r="D413" s="8" t="s">
        <v>947</v>
      </c>
      <c r="E413" s="61">
        <v>4.2699999999999996</v>
      </c>
      <c r="F413" s="61">
        <v>3.83</v>
      </c>
      <c r="G413" s="61">
        <v>4.18</v>
      </c>
      <c r="H413" s="61">
        <v>4.2699999999999996</v>
      </c>
      <c r="I413" s="57">
        <f t="shared" ref="I413:I434" si="68">(F413-E413)/E413</f>
        <v>-0.10304449648711933</v>
      </c>
      <c r="J413" s="57">
        <f t="shared" ref="J413:J434" si="69">(G413-F413)/F413</f>
        <v>9.1383812010443766E-2</v>
      </c>
      <c r="K413" s="57">
        <f t="shared" ref="K413:K434" si="70">(H413-G413)/G413</f>
        <v>2.1531100478468866E-2</v>
      </c>
    </row>
    <row r="414" spans="4:11" x14ac:dyDescent="0.2">
      <c r="D414" s="8" t="s">
        <v>948</v>
      </c>
      <c r="E414" s="61">
        <v>4.43</v>
      </c>
      <c r="F414" s="61">
        <v>5.43</v>
      </c>
      <c r="G414" s="61">
        <v>6.1</v>
      </c>
      <c r="H414" s="61">
        <v>6.54</v>
      </c>
      <c r="I414" s="57">
        <f t="shared" si="68"/>
        <v>0.22573363431151244</v>
      </c>
      <c r="J414" s="57">
        <f t="shared" si="69"/>
        <v>0.12338858195211785</v>
      </c>
      <c r="K414" s="57">
        <f t="shared" si="70"/>
        <v>7.2131147540983681E-2</v>
      </c>
    </row>
    <row r="415" spans="4:11" x14ac:dyDescent="0.2">
      <c r="D415" s="8" t="s">
        <v>949</v>
      </c>
      <c r="E415" s="61">
        <v>7.56</v>
      </c>
      <c r="F415" s="61">
        <v>7.42</v>
      </c>
      <c r="G415" s="61">
        <v>8.34</v>
      </c>
      <c r="H415" s="61">
        <v>9.0399999999999991</v>
      </c>
      <c r="I415" s="57">
        <f t="shared" si="68"/>
        <v>-1.8518518518518476E-2</v>
      </c>
      <c r="J415" s="57">
        <f t="shared" si="69"/>
        <v>0.12398921832884097</v>
      </c>
      <c r="K415" s="57">
        <f t="shared" si="70"/>
        <v>8.3932853717026301E-2</v>
      </c>
    </row>
    <row r="416" spans="4:11" x14ac:dyDescent="0.2">
      <c r="D416" s="8" t="s">
        <v>1032</v>
      </c>
      <c r="E416" s="61">
        <v>5.61</v>
      </c>
      <c r="F416" s="61">
        <v>5.15</v>
      </c>
      <c r="G416" s="61">
        <v>5.2</v>
      </c>
      <c r="H416" s="61">
        <v>6.41</v>
      </c>
      <c r="I416" s="57">
        <f t="shared" si="68"/>
        <v>-8.1996434937611398E-2</v>
      </c>
      <c r="J416" s="57">
        <f t="shared" si="69"/>
        <v>9.7087378640776344E-3</v>
      </c>
      <c r="K416" s="57">
        <f t="shared" si="70"/>
        <v>0.23269230769230767</v>
      </c>
    </row>
    <row r="417" spans="4:11" x14ac:dyDescent="0.2">
      <c r="D417" s="8" t="s">
        <v>950</v>
      </c>
      <c r="E417" s="61">
        <v>19.100000000000001</v>
      </c>
      <c r="F417" s="61">
        <v>14</v>
      </c>
      <c r="G417" s="61">
        <v>16.8</v>
      </c>
      <c r="H417" s="61">
        <v>17.3</v>
      </c>
      <c r="I417" s="57">
        <f t="shared" si="68"/>
        <v>-0.26701570680628278</v>
      </c>
      <c r="J417" s="57">
        <f t="shared" si="69"/>
        <v>0.20000000000000004</v>
      </c>
      <c r="K417" s="57">
        <f t="shared" si="70"/>
        <v>2.976190476190476E-2</v>
      </c>
    </row>
    <row r="418" spans="4:11" x14ac:dyDescent="0.2">
      <c r="D418" s="8" t="s">
        <v>951</v>
      </c>
      <c r="E418" s="61">
        <v>-2.72</v>
      </c>
      <c r="F418" s="61">
        <v>16.3</v>
      </c>
      <c r="G418" s="61">
        <v>16</v>
      </c>
      <c r="H418" s="61">
        <v>17.7</v>
      </c>
      <c r="I418" s="57">
        <f t="shared" si="68"/>
        <v>-6.992647058823529</v>
      </c>
      <c r="J418" s="57">
        <f t="shared" si="69"/>
        <v>-1.8404907975460166E-2</v>
      </c>
      <c r="K418" s="57">
        <f t="shared" si="70"/>
        <v>0.10624999999999996</v>
      </c>
    </row>
    <row r="419" spans="4:11" x14ac:dyDescent="0.2">
      <c r="D419" s="8" t="s">
        <v>952</v>
      </c>
      <c r="E419" s="61">
        <v>3.55</v>
      </c>
      <c r="F419" s="61">
        <v>3.42</v>
      </c>
      <c r="G419" s="61">
        <v>3.67</v>
      </c>
      <c r="H419" s="61">
        <v>3.81</v>
      </c>
      <c r="I419" s="57">
        <f t="shared" si="68"/>
        <v>-3.6619718309859127E-2</v>
      </c>
      <c r="J419" s="57">
        <f t="shared" si="69"/>
        <v>7.3099415204678359E-2</v>
      </c>
      <c r="K419" s="57">
        <f t="shared" si="70"/>
        <v>3.8147138964577693E-2</v>
      </c>
    </row>
    <row r="420" spans="4:11" x14ac:dyDescent="0.2">
      <c r="D420" s="8" t="s">
        <v>953</v>
      </c>
      <c r="E420" s="61">
        <v>1.05</v>
      </c>
      <c r="F420" s="61">
        <v>1.69</v>
      </c>
      <c r="G420" s="61">
        <v>3.36</v>
      </c>
      <c r="H420" s="61">
        <v>3.76</v>
      </c>
      <c r="I420" s="57">
        <f t="shared" si="68"/>
        <v>0.60952380952380936</v>
      </c>
      <c r="J420" s="57">
        <f t="shared" si="69"/>
        <v>0.98816568047337272</v>
      </c>
      <c r="K420" s="57">
        <f t="shared" si="70"/>
        <v>0.11904761904761903</v>
      </c>
    </row>
    <row r="421" spans="4:11" x14ac:dyDescent="0.2">
      <c r="D421" s="8" t="s">
        <v>954</v>
      </c>
      <c r="E421" s="61">
        <v>7.34</v>
      </c>
      <c r="F421" s="61">
        <v>3.31</v>
      </c>
      <c r="G421" s="61">
        <v>3.72</v>
      </c>
      <c r="H421" s="61">
        <v>5.57</v>
      </c>
      <c r="I421" s="57">
        <f t="shared" si="68"/>
        <v>-0.54904632152588551</v>
      </c>
      <c r="J421" s="57">
        <f t="shared" si="69"/>
        <v>0.12386706948640487</v>
      </c>
      <c r="K421" s="57">
        <f t="shared" si="70"/>
        <v>0.49731182795698925</v>
      </c>
    </row>
    <row r="422" spans="4:11" x14ac:dyDescent="0.2">
      <c r="D422" s="8" t="s">
        <v>955</v>
      </c>
      <c r="E422" s="61">
        <v>13.1</v>
      </c>
      <c r="F422" s="61">
        <v>15.1</v>
      </c>
      <c r="G422" s="61">
        <v>18.2</v>
      </c>
      <c r="H422" s="61">
        <v>21.4</v>
      </c>
      <c r="I422" s="57">
        <f t="shared" si="68"/>
        <v>0.15267175572519084</v>
      </c>
      <c r="J422" s="57">
        <f t="shared" si="69"/>
        <v>0.20529801324503311</v>
      </c>
      <c r="K422" s="57">
        <f t="shared" si="70"/>
        <v>0.17582417582417578</v>
      </c>
    </row>
    <row r="423" spans="4:11" x14ac:dyDescent="0.2">
      <c r="D423" s="8" t="s">
        <v>956</v>
      </c>
      <c r="E423" s="61">
        <v>0.7</v>
      </c>
      <c r="F423" s="61">
        <v>2.38</v>
      </c>
      <c r="G423" s="61">
        <v>2.4500000000000002</v>
      </c>
      <c r="H423" s="61">
        <v>2.57</v>
      </c>
      <c r="I423" s="57">
        <f t="shared" si="68"/>
        <v>2.4</v>
      </c>
      <c r="J423" s="57">
        <f t="shared" si="69"/>
        <v>2.9411764705882474E-2</v>
      </c>
      <c r="K423" s="57">
        <f t="shared" si="70"/>
        <v>4.8979591836734553E-2</v>
      </c>
    </row>
    <row r="424" spans="4:11" x14ac:dyDescent="0.2">
      <c r="D424" s="8" t="s">
        <v>957</v>
      </c>
      <c r="E424" s="61">
        <v>11.9</v>
      </c>
      <c r="F424" s="61">
        <v>12.3</v>
      </c>
      <c r="G424" s="61">
        <v>12.8</v>
      </c>
      <c r="H424" s="61">
        <v>13.3</v>
      </c>
      <c r="I424" s="57">
        <f t="shared" si="68"/>
        <v>3.3613445378151287E-2</v>
      </c>
      <c r="J424" s="57">
        <f t="shared" si="69"/>
        <v>4.065040650406504E-2</v>
      </c>
      <c r="K424" s="57">
        <f t="shared" si="70"/>
        <v>3.90625E-2</v>
      </c>
    </row>
    <row r="425" spans="4:11" x14ac:dyDescent="0.2">
      <c r="D425" s="8" t="s">
        <v>958</v>
      </c>
      <c r="E425" s="61">
        <v>1.52</v>
      </c>
      <c r="F425" s="61">
        <v>1.77</v>
      </c>
      <c r="G425" s="61">
        <v>2.29</v>
      </c>
      <c r="H425" s="61">
        <v>2.56</v>
      </c>
      <c r="I425" s="57">
        <f t="shared" si="68"/>
        <v>0.16447368421052633</v>
      </c>
      <c r="J425" s="57">
        <f t="shared" si="69"/>
        <v>0.29378531073446329</v>
      </c>
      <c r="K425" s="57">
        <f t="shared" si="70"/>
        <v>0.11790393013100438</v>
      </c>
    </row>
    <row r="426" spans="4:11" x14ac:dyDescent="0.2">
      <c r="D426" s="8" t="s">
        <v>959</v>
      </c>
      <c r="E426" s="61">
        <v>1.6</v>
      </c>
      <c r="F426" s="61">
        <v>0.98</v>
      </c>
      <c r="G426" s="61">
        <v>1.37</v>
      </c>
      <c r="H426" s="61">
        <v>1.52</v>
      </c>
      <c r="I426" s="57">
        <f t="shared" si="68"/>
        <v>-0.38750000000000007</v>
      </c>
      <c r="J426" s="57">
        <f t="shared" si="69"/>
        <v>0.3979591836734695</v>
      </c>
      <c r="K426" s="57">
        <f t="shared" si="70"/>
        <v>0.10948905109489043</v>
      </c>
    </row>
    <row r="427" spans="4:11" x14ac:dyDescent="0.2">
      <c r="D427" s="8" t="s">
        <v>960</v>
      </c>
      <c r="E427" s="61">
        <v>0.11</v>
      </c>
      <c r="F427" s="61">
        <v>-0.82</v>
      </c>
      <c r="G427" s="61">
        <v>1.26</v>
      </c>
      <c r="H427" s="61">
        <v>0.33</v>
      </c>
      <c r="I427" s="57">
        <f t="shared" si="68"/>
        <v>-8.4545454545454533</v>
      </c>
      <c r="J427" s="57">
        <f t="shared" si="69"/>
        <v>-2.5365853658536586</v>
      </c>
      <c r="K427" s="57">
        <f t="shared" si="70"/>
        <v>-0.73809523809523803</v>
      </c>
    </row>
    <row r="428" spans="4:11" x14ac:dyDescent="0.2">
      <c r="D428" s="8" t="s">
        <v>961</v>
      </c>
      <c r="E428" s="61">
        <v>1.39</v>
      </c>
      <c r="F428" s="61">
        <v>2.41</v>
      </c>
      <c r="G428" s="61">
        <v>2.67</v>
      </c>
      <c r="H428" s="61">
        <v>2.83</v>
      </c>
      <c r="I428" s="57">
        <f t="shared" si="68"/>
        <v>0.73381294964028798</v>
      </c>
      <c r="J428" s="57">
        <f t="shared" si="69"/>
        <v>0.1078838174273858</v>
      </c>
      <c r="K428" s="57">
        <f t="shared" si="70"/>
        <v>5.9925093632958858E-2</v>
      </c>
    </row>
    <row r="429" spans="4:11" x14ac:dyDescent="0.2">
      <c r="D429" s="8" t="s">
        <v>962</v>
      </c>
      <c r="E429" s="61">
        <v>1.59</v>
      </c>
      <c r="F429" s="61">
        <v>1.71</v>
      </c>
      <c r="G429" s="61">
        <v>1.86</v>
      </c>
      <c r="H429" s="61">
        <v>2.16</v>
      </c>
      <c r="I429" s="57">
        <f t="shared" si="68"/>
        <v>7.5471698113207475E-2</v>
      </c>
      <c r="J429" s="57">
        <f t="shared" si="69"/>
        <v>8.7719298245614113E-2</v>
      </c>
      <c r="K429" s="57">
        <f t="shared" si="70"/>
        <v>0.16129032258064518</v>
      </c>
    </row>
    <row r="430" spans="4:11" x14ac:dyDescent="0.2">
      <c r="D430" s="8" t="s">
        <v>963</v>
      </c>
      <c r="E430" s="61">
        <v>1.02</v>
      </c>
      <c r="F430" s="61">
        <v>0.8</v>
      </c>
      <c r="G430" s="61">
        <v>0.75</v>
      </c>
      <c r="H430" s="61">
        <v>0.84</v>
      </c>
      <c r="I430" s="57">
        <f t="shared" si="68"/>
        <v>-0.2156862745098039</v>
      </c>
      <c r="J430" s="57">
        <f t="shared" si="69"/>
        <v>-6.2500000000000056E-2</v>
      </c>
      <c r="K430" s="57">
        <f t="shared" si="70"/>
        <v>0.11999999999999995</v>
      </c>
    </row>
    <row r="431" spans="4:11" x14ac:dyDescent="0.2">
      <c r="D431" s="8" t="s">
        <v>964</v>
      </c>
      <c r="E431" s="61">
        <v>4.34</v>
      </c>
      <c r="F431" s="61">
        <v>2.69</v>
      </c>
      <c r="G431" s="61">
        <v>0.38</v>
      </c>
      <c r="H431" s="61">
        <v>0.44</v>
      </c>
      <c r="I431" s="57">
        <f t="shared" si="68"/>
        <v>-0.38018433179723504</v>
      </c>
      <c r="J431" s="57">
        <f t="shared" si="69"/>
        <v>-0.85873605947955389</v>
      </c>
      <c r="K431" s="57">
        <f t="shared" si="70"/>
        <v>0.15789473684210525</v>
      </c>
    </row>
    <row r="432" spans="4:11" x14ac:dyDescent="0.2">
      <c r="D432" s="8" t="s">
        <v>965</v>
      </c>
      <c r="E432" s="61">
        <v>7.32</v>
      </c>
      <c r="F432" s="61">
        <v>7.39</v>
      </c>
      <c r="G432" s="61">
        <v>7.95</v>
      </c>
      <c r="H432" s="61">
        <v>7.98</v>
      </c>
      <c r="I432" s="57">
        <f t="shared" si="68"/>
        <v>9.5628415300545618E-3</v>
      </c>
      <c r="J432" s="57">
        <f t="shared" si="69"/>
        <v>7.5778078484438502E-2</v>
      </c>
      <c r="K432" s="57">
        <f t="shared" si="70"/>
        <v>3.7735849056604086E-3</v>
      </c>
    </row>
    <row r="433" spans="4:11" x14ac:dyDescent="0.2">
      <c r="D433" s="8" t="s">
        <v>966</v>
      </c>
      <c r="E433" s="61">
        <v>3.98</v>
      </c>
      <c r="F433" s="61">
        <v>8.43</v>
      </c>
      <c r="G433" s="61">
        <v>9.3800000000000008</v>
      </c>
      <c r="H433" s="61">
        <v>10.7</v>
      </c>
      <c r="I433" s="57">
        <f t="shared" si="68"/>
        <v>1.1180904522613064</v>
      </c>
      <c r="J433" s="57">
        <f t="shared" si="69"/>
        <v>0.11269276393831568</v>
      </c>
      <c r="K433" s="57">
        <f t="shared" si="70"/>
        <v>0.14072494669509578</v>
      </c>
    </row>
    <row r="434" spans="4:11" x14ac:dyDescent="0.2">
      <c r="D434" s="8" t="s">
        <v>967</v>
      </c>
      <c r="E434" s="61">
        <v>4.08</v>
      </c>
      <c r="F434" s="61">
        <v>4.2</v>
      </c>
      <c r="G434" s="61">
        <v>4.3499999999999996</v>
      </c>
      <c r="H434" s="61">
        <v>4.7300000000000004</v>
      </c>
      <c r="I434" s="57">
        <f t="shared" si="68"/>
        <v>2.9411764705882377E-2</v>
      </c>
      <c r="J434" s="57">
        <f t="shared" si="69"/>
        <v>3.5714285714285587E-2</v>
      </c>
      <c r="K434" s="57">
        <f t="shared" si="70"/>
        <v>8.7356321839080653E-2</v>
      </c>
    </row>
    <row r="435" spans="4:11" x14ac:dyDescent="0.2">
      <c r="D435" s="8" t="s">
        <v>968</v>
      </c>
      <c r="E435" s="61" t="s">
        <v>1021</v>
      </c>
      <c r="F435" s="61" t="s">
        <v>1021</v>
      </c>
      <c r="G435" s="61" t="s">
        <v>1021</v>
      </c>
      <c r="H435" s="61" t="s">
        <v>1022</v>
      </c>
      <c r="I435" s="57"/>
      <c r="J435" s="57"/>
      <c r="K435" s="57"/>
    </row>
    <row r="436" spans="4:11" x14ac:dyDescent="0.2">
      <c r="D436" s="8" t="s">
        <v>969</v>
      </c>
      <c r="E436" s="61">
        <v>3</v>
      </c>
      <c r="F436" s="61">
        <v>2.4500000000000002</v>
      </c>
      <c r="G436" s="61">
        <v>2</v>
      </c>
      <c r="H436" s="61">
        <v>1.98</v>
      </c>
      <c r="I436" s="57">
        <f t="shared" ref="I436:I447" si="71">(F436-E436)/E436</f>
        <v>-0.18333333333333326</v>
      </c>
      <c r="J436" s="57">
        <f t="shared" ref="J436:J447" si="72">(G436-F436)/F436</f>
        <v>-0.18367346938775517</v>
      </c>
      <c r="K436" s="57">
        <f t="shared" ref="K436:K447" si="73">(H436-G436)/G436</f>
        <v>-1.0000000000000009E-2</v>
      </c>
    </row>
    <row r="437" spans="4:11" x14ac:dyDescent="0.2">
      <c r="D437" s="8" t="s">
        <v>970</v>
      </c>
      <c r="E437" s="61">
        <v>-0.08</v>
      </c>
      <c r="F437" s="61">
        <v>-14.2</v>
      </c>
      <c r="G437" s="61">
        <v>0.8</v>
      </c>
      <c r="H437" s="61">
        <v>1.2</v>
      </c>
      <c r="I437" s="57">
        <f t="shared" si="71"/>
        <v>176.5</v>
      </c>
      <c r="J437" s="57">
        <f t="shared" si="72"/>
        <v>-1.0563380281690142</v>
      </c>
      <c r="K437" s="57">
        <f t="shared" si="73"/>
        <v>0.49999999999999989</v>
      </c>
    </row>
    <row r="438" spans="4:11" x14ac:dyDescent="0.2">
      <c r="D438" s="8" t="s">
        <v>971</v>
      </c>
      <c r="E438" s="61">
        <v>3.52</v>
      </c>
      <c r="F438" s="61">
        <v>5.71</v>
      </c>
      <c r="G438" s="61">
        <v>6.95</v>
      </c>
      <c r="H438" s="61">
        <v>7.57</v>
      </c>
      <c r="I438" s="57">
        <f t="shared" si="71"/>
        <v>0.62215909090909094</v>
      </c>
      <c r="J438" s="57">
        <f t="shared" si="72"/>
        <v>0.21716287215411562</v>
      </c>
      <c r="K438" s="57">
        <f t="shared" si="73"/>
        <v>8.9208633093525197E-2</v>
      </c>
    </row>
    <row r="439" spans="4:11" x14ac:dyDescent="0.2">
      <c r="D439" s="8" t="s">
        <v>972</v>
      </c>
      <c r="E439" s="61">
        <v>1.25</v>
      </c>
      <c r="F439" s="61">
        <v>1.7</v>
      </c>
      <c r="G439" s="61">
        <v>1.45</v>
      </c>
      <c r="H439" s="61">
        <v>1.63</v>
      </c>
      <c r="I439" s="57">
        <f t="shared" si="71"/>
        <v>0.36</v>
      </c>
      <c r="J439" s="57">
        <f t="shared" si="72"/>
        <v>-0.14705882352941177</v>
      </c>
      <c r="K439" s="57">
        <f t="shared" si="73"/>
        <v>0.12413793103448272</v>
      </c>
    </row>
    <row r="440" spans="4:11" x14ac:dyDescent="0.2">
      <c r="D440" s="8" t="s">
        <v>973</v>
      </c>
      <c r="E440" s="61">
        <v>-2</v>
      </c>
      <c r="F440" s="61">
        <v>0.9</v>
      </c>
      <c r="G440" s="61">
        <v>1.17</v>
      </c>
      <c r="H440" s="61">
        <v>1.44</v>
      </c>
      <c r="I440" s="57">
        <f t="shared" si="71"/>
        <v>-1.45</v>
      </c>
      <c r="J440" s="57">
        <f t="shared" si="72"/>
        <v>0.29999999999999988</v>
      </c>
      <c r="K440" s="57">
        <f t="shared" si="73"/>
        <v>0.23076923076923081</v>
      </c>
    </row>
    <row r="441" spans="4:11" x14ac:dyDescent="0.2">
      <c r="D441" s="8" t="s">
        <v>974</v>
      </c>
      <c r="E441" s="61">
        <v>11.5</v>
      </c>
      <c r="F441" s="61">
        <v>9.33</v>
      </c>
      <c r="G441" s="61">
        <v>10.9</v>
      </c>
      <c r="H441" s="61">
        <v>12.5</v>
      </c>
      <c r="I441" s="57">
        <f t="shared" si="71"/>
        <v>-0.18869565217391304</v>
      </c>
      <c r="J441" s="57">
        <f t="shared" si="72"/>
        <v>0.16827438370846734</v>
      </c>
      <c r="K441" s="57">
        <f t="shared" si="73"/>
        <v>0.14678899082568803</v>
      </c>
    </row>
    <row r="442" spans="4:11" x14ac:dyDescent="0.2">
      <c r="D442" s="8" t="s">
        <v>975</v>
      </c>
      <c r="E442" s="61">
        <v>2.66</v>
      </c>
      <c r="F442" s="61">
        <v>3.53</v>
      </c>
      <c r="G442" s="61">
        <v>4.01</v>
      </c>
      <c r="H442" s="61">
        <v>4.2699999999999996</v>
      </c>
      <c r="I442" s="57">
        <f t="shared" si="71"/>
        <v>0.32706766917293217</v>
      </c>
      <c r="J442" s="57">
        <f t="shared" si="72"/>
        <v>0.1359773371104816</v>
      </c>
      <c r="K442" s="57">
        <f t="shared" si="73"/>
        <v>6.4837905236907675E-2</v>
      </c>
    </row>
    <row r="443" spans="4:11" x14ac:dyDescent="0.2">
      <c r="D443" s="8" t="s">
        <v>976</v>
      </c>
      <c r="E443" s="61">
        <v>6.19</v>
      </c>
      <c r="F443" s="61">
        <v>4.79</v>
      </c>
      <c r="G443" s="61">
        <v>5.39</v>
      </c>
      <c r="H443" s="61">
        <v>5.08</v>
      </c>
      <c r="I443" s="57">
        <f t="shared" si="71"/>
        <v>-0.22617124394184171</v>
      </c>
      <c r="J443" s="57">
        <f t="shared" si="72"/>
        <v>0.12526096033402914</v>
      </c>
      <c r="K443" s="57">
        <f t="shared" si="73"/>
        <v>-5.7513914656771734E-2</v>
      </c>
    </row>
    <row r="444" spans="4:11" x14ac:dyDescent="0.2">
      <c r="D444" s="8" t="s">
        <v>977</v>
      </c>
      <c r="E444" s="61">
        <v>0.92</v>
      </c>
      <c r="F444" s="61">
        <v>4.92</v>
      </c>
      <c r="G444" s="61">
        <v>5.24</v>
      </c>
      <c r="H444" s="61">
        <v>5.46</v>
      </c>
      <c r="I444" s="57">
        <f t="shared" si="71"/>
        <v>4.3478260869565215</v>
      </c>
      <c r="J444" s="57">
        <f t="shared" si="72"/>
        <v>6.5040650406504127E-2</v>
      </c>
      <c r="K444" s="57">
        <f t="shared" si="73"/>
        <v>4.1984732824427433E-2</v>
      </c>
    </row>
    <row r="445" spans="4:11" x14ac:dyDescent="0.2">
      <c r="D445" s="8" t="s">
        <v>978</v>
      </c>
      <c r="E445" s="61">
        <v>2.67</v>
      </c>
      <c r="F445" s="61">
        <v>2.65</v>
      </c>
      <c r="G445" s="61">
        <v>1.4</v>
      </c>
      <c r="H445" s="61">
        <v>2.79</v>
      </c>
      <c r="I445" s="57">
        <f t="shared" si="71"/>
        <v>-7.4906367041198572E-3</v>
      </c>
      <c r="J445" s="57">
        <f t="shared" si="72"/>
        <v>-0.47169811320754718</v>
      </c>
      <c r="K445" s="57">
        <f t="shared" si="73"/>
        <v>0.99285714285714299</v>
      </c>
    </row>
    <row r="446" spans="4:11" x14ac:dyDescent="0.2">
      <c r="D446" s="8" t="s">
        <v>979</v>
      </c>
      <c r="E446" s="61">
        <v>6.34</v>
      </c>
      <c r="F446" s="61">
        <v>6.41</v>
      </c>
      <c r="G446" s="61">
        <v>6.54</v>
      </c>
      <c r="H446" s="61">
        <v>7.48</v>
      </c>
      <c r="I446" s="57">
        <f t="shared" si="71"/>
        <v>1.1041009463722443E-2</v>
      </c>
      <c r="J446" s="57">
        <f t="shared" si="72"/>
        <v>2.0280811232449281E-2</v>
      </c>
      <c r="K446" s="57">
        <f t="shared" si="73"/>
        <v>0.14373088685015298</v>
      </c>
    </row>
    <row r="447" spans="4:11" x14ac:dyDescent="0.2">
      <c r="D447" s="8" t="s">
        <v>980</v>
      </c>
      <c r="E447" s="61">
        <v>3.57</v>
      </c>
      <c r="F447" s="61">
        <v>3.94</v>
      </c>
      <c r="G447" s="61">
        <v>4.1500000000000004</v>
      </c>
      <c r="H447" s="61">
        <v>4.5199999999999996</v>
      </c>
      <c r="I447" s="57">
        <f t="shared" si="71"/>
        <v>0.10364145658263309</v>
      </c>
      <c r="J447" s="57">
        <f t="shared" si="72"/>
        <v>5.3299492385786906E-2</v>
      </c>
      <c r="K447" s="57">
        <f t="shared" si="73"/>
        <v>8.9156626506023906E-2</v>
      </c>
    </row>
    <row r="448" spans="4:11" x14ac:dyDescent="0.2">
      <c r="D448" s="8" t="s">
        <v>981</v>
      </c>
      <c r="E448" s="61" t="s">
        <v>1021</v>
      </c>
      <c r="F448" s="61" t="s">
        <v>1021</v>
      </c>
      <c r="G448" s="61" t="s">
        <v>1021</v>
      </c>
      <c r="H448" s="61" t="s">
        <v>1022</v>
      </c>
      <c r="I448" s="57"/>
      <c r="J448" s="57"/>
      <c r="K448" s="57"/>
    </row>
    <row r="449" spans="4:11" x14ac:dyDescent="0.2">
      <c r="D449" s="8" t="s">
        <v>982</v>
      </c>
      <c r="E449" s="61">
        <v>4.4400000000000004</v>
      </c>
      <c r="F449" s="61">
        <v>3.43</v>
      </c>
      <c r="G449" s="61">
        <v>4.08</v>
      </c>
      <c r="H449" s="61">
        <v>4.62</v>
      </c>
      <c r="I449" s="57">
        <f t="shared" ref="I449:I461" si="74">(F449-E449)/E449</f>
        <v>-0.22747747747747751</v>
      </c>
      <c r="J449" s="57">
        <f t="shared" ref="J449:J461" si="75">(G449-F449)/F449</f>
        <v>0.18950437317784252</v>
      </c>
      <c r="K449" s="57">
        <f t="shared" ref="K449:K461" si="76">(H449-G449)/G449</f>
        <v>0.13235294117647059</v>
      </c>
    </row>
    <row r="450" spans="4:11" x14ac:dyDescent="0.2">
      <c r="D450" s="8" t="s">
        <v>983</v>
      </c>
      <c r="E450" s="61">
        <v>1.2</v>
      </c>
      <c r="F450" s="61">
        <v>2.21</v>
      </c>
      <c r="G450" s="61">
        <v>2.92</v>
      </c>
      <c r="H450" s="61">
        <v>4.03</v>
      </c>
      <c r="I450" s="57">
        <f t="shared" si="74"/>
        <v>0.84166666666666667</v>
      </c>
      <c r="J450" s="57">
        <f t="shared" si="75"/>
        <v>0.32126696832579182</v>
      </c>
      <c r="K450" s="57">
        <f t="shared" si="76"/>
        <v>0.38013698630136999</v>
      </c>
    </row>
    <row r="451" spans="4:11" x14ac:dyDescent="0.2">
      <c r="D451" s="8" t="s">
        <v>984</v>
      </c>
      <c r="E451" s="61">
        <v>2.0099999999999998</v>
      </c>
      <c r="F451" s="61">
        <v>1.84</v>
      </c>
      <c r="G451" s="61">
        <v>2.37</v>
      </c>
      <c r="H451" s="61">
        <v>2.83</v>
      </c>
      <c r="I451" s="57">
        <f t="shared" si="74"/>
        <v>-8.4577114427860561E-2</v>
      </c>
      <c r="J451" s="57">
        <f t="shared" si="75"/>
        <v>0.28804347826086957</v>
      </c>
      <c r="K451" s="57">
        <f t="shared" si="76"/>
        <v>0.1940928270042194</v>
      </c>
    </row>
    <row r="452" spans="4:11" x14ac:dyDescent="0.2">
      <c r="D452" s="8" t="s">
        <v>985</v>
      </c>
      <c r="E452" s="61">
        <v>2.14</v>
      </c>
      <c r="F452" s="61">
        <v>1.88</v>
      </c>
      <c r="G452" s="61">
        <v>2.65</v>
      </c>
      <c r="H452" s="61">
        <v>2.67</v>
      </c>
      <c r="I452" s="57">
        <f t="shared" si="74"/>
        <v>-0.12149532710280384</v>
      </c>
      <c r="J452" s="57">
        <f t="shared" si="75"/>
        <v>0.40957446808510639</v>
      </c>
      <c r="K452" s="57">
        <f t="shared" si="76"/>
        <v>7.5471698113207617E-3</v>
      </c>
    </row>
    <row r="453" spans="4:11" x14ac:dyDescent="0.2">
      <c r="D453" s="8" t="s">
        <v>986</v>
      </c>
      <c r="E453" s="61">
        <v>1.22</v>
      </c>
      <c r="F453" s="61">
        <v>0.68</v>
      </c>
      <c r="G453" s="61">
        <v>1.93</v>
      </c>
      <c r="H453" s="61">
        <v>2.61</v>
      </c>
      <c r="I453" s="57">
        <f t="shared" si="74"/>
        <v>-0.44262295081967207</v>
      </c>
      <c r="J453" s="57">
        <f t="shared" si="75"/>
        <v>1.838235294117647</v>
      </c>
      <c r="K453" s="57">
        <f t="shared" si="76"/>
        <v>0.35233160621761656</v>
      </c>
    </row>
    <row r="454" spans="4:11" x14ac:dyDescent="0.2">
      <c r="D454" s="8" t="s">
        <v>987</v>
      </c>
      <c r="E454" s="61">
        <v>-14.6</v>
      </c>
      <c r="F454" s="61">
        <v>0.66</v>
      </c>
      <c r="G454" s="61">
        <v>1.17</v>
      </c>
      <c r="H454" s="61">
        <v>1.31</v>
      </c>
      <c r="I454" s="57">
        <f t="shared" si="74"/>
        <v>-1.0452054794520549</v>
      </c>
      <c r="J454" s="57">
        <f t="shared" si="75"/>
        <v>0.77272727272727249</v>
      </c>
      <c r="K454" s="57">
        <f t="shared" si="76"/>
        <v>0.11965811965811977</v>
      </c>
    </row>
    <row r="455" spans="4:11" x14ac:dyDescent="0.2">
      <c r="D455" s="8" t="s">
        <v>988</v>
      </c>
      <c r="E455" s="61">
        <v>17.5</v>
      </c>
      <c r="F455" s="61">
        <v>16</v>
      </c>
      <c r="G455" s="61">
        <v>20</v>
      </c>
      <c r="H455" s="61">
        <v>22.2</v>
      </c>
      <c r="I455" s="57">
        <f t="shared" si="74"/>
        <v>-8.5714285714285715E-2</v>
      </c>
      <c r="J455" s="57">
        <f t="shared" si="75"/>
        <v>0.25</v>
      </c>
      <c r="K455" s="57">
        <f t="shared" si="76"/>
        <v>0.10999999999999996</v>
      </c>
    </row>
    <row r="456" spans="4:11" x14ac:dyDescent="0.2">
      <c r="D456" s="8" t="s">
        <v>989</v>
      </c>
      <c r="E456" s="61">
        <v>2.21</v>
      </c>
      <c r="F456" s="61">
        <v>2.58</v>
      </c>
      <c r="G456" s="61">
        <v>2.78</v>
      </c>
      <c r="H456" s="61">
        <v>2.97</v>
      </c>
      <c r="I456" s="57">
        <f t="shared" si="74"/>
        <v>0.16742081447963805</v>
      </c>
      <c r="J456" s="57">
        <f t="shared" si="75"/>
        <v>7.7519379844961128E-2</v>
      </c>
      <c r="K456" s="57">
        <f t="shared" si="76"/>
        <v>6.8345323741007338E-2</v>
      </c>
    </row>
    <row r="457" spans="4:11" x14ac:dyDescent="0.2">
      <c r="D457" s="8" t="s">
        <v>990</v>
      </c>
      <c r="E457" s="61">
        <v>0.95</v>
      </c>
      <c r="F457" s="61">
        <v>1.29</v>
      </c>
      <c r="G457" s="61">
        <v>2.6</v>
      </c>
      <c r="H457" s="61">
        <v>4.6100000000000003</v>
      </c>
      <c r="I457" s="57">
        <f t="shared" si="74"/>
        <v>0.35789473684210538</v>
      </c>
      <c r="J457" s="57">
        <f t="shared" si="75"/>
        <v>1.0155038759689923</v>
      </c>
      <c r="K457" s="57">
        <f t="shared" si="76"/>
        <v>0.77307692307692311</v>
      </c>
    </row>
    <row r="458" spans="4:11" x14ac:dyDescent="0.2">
      <c r="D458" s="8" t="s">
        <v>991</v>
      </c>
      <c r="E458" s="61">
        <v>2.38</v>
      </c>
      <c r="F458" s="61">
        <v>5.37</v>
      </c>
      <c r="G458" s="61">
        <v>5.63</v>
      </c>
      <c r="H458" s="61">
        <v>6.04</v>
      </c>
      <c r="I458" s="57">
        <f t="shared" si="74"/>
        <v>1.2563025210084036</v>
      </c>
      <c r="J458" s="57">
        <f t="shared" si="75"/>
        <v>4.841713221601486E-2</v>
      </c>
      <c r="K458" s="57">
        <f t="shared" si="76"/>
        <v>7.2824156305506246E-2</v>
      </c>
    </row>
    <row r="459" spans="4:11" x14ac:dyDescent="0.2">
      <c r="D459" s="8" t="s">
        <v>992</v>
      </c>
      <c r="E459" s="61">
        <v>1.29</v>
      </c>
      <c r="F459" s="61">
        <v>1.17</v>
      </c>
      <c r="G459" s="61">
        <v>1.37</v>
      </c>
      <c r="H459" s="61">
        <v>1.4</v>
      </c>
      <c r="I459" s="57">
        <f t="shared" si="74"/>
        <v>-9.302325581395357E-2</v>
      </c>
      <c r="J459" s="57">
        <f t="shared" si="75"/>
        <v>0.17094017094017111</v>
      </c>
      <c r="K459" s="57">
        <f t="shared" si="76"/>
        <v>2.1897810218977957E-2</v>
      </c>
    </row>
    <row r="460" spans="4:11" x14ac:dyDescent="0.2">
      <c r="D460" s="8" t="s">
        <v>993</v>
      </c>
      <c r="E460" s="61">
        <v>1.96</v>
      </c>
      <c r="F460" s="61">
        <v>2.16</v>
      </c>
      <c r="G460" s="61">
        <v>2.4900000000000002</v>
      </c>
      <c r="H460" s="61">
        <v>2.6</v>
      </c>
      <c r="I460" s="57">
        <f t="shared" si="74"/>
        <v>0.10204081632653071</v>
      </c>
      <c r="J460" s="57">
        <f t="shared" si="75"/>
        <v>0.15277777777777779</v>
      </c>
      <c r="K460" s="57">
        <f t="shared" si="76"/>
        <v>4.4176706827309183E-2</v>
      </c>
    </row>
    <row r="461" spans="4:11" x14ac:dyDescent="0.2">
      <c r="D461" s="8" t="s">
        <v>994</v>
      </c>
      <c r="E461" s="61">
        <v>2.04</v>
      </c>
      <c r="F461" s="61">
        <v>1.93</v>
      </c>
      <c r="G461" s="61">
        <v>2.04</v>
      </c>
      <c r="H461" s="61">
        <v>2.0099999999999998</v>
      </c>
      <c r="I461" s="57">
        <f t="shared" si="74"/>
        <v>-5.3921568627451025E-2</v>
      </c>
      <c r="J461" s="57">
        <f t="shared" si="75"/>
        <v>5.6994818652849791E-2</v>
      </c>
      <c r="K461" s="57">
        <f t="shared" si="76"/>
        <v>-1.4705882352941298E-2</v>
      </c>
    </row>
    <row r="462" spans="4:11" x14ac:dyDescent="0.2">
      <c r="D462" s="8" t="s">
        <v>995</v>
      </c>
      <c r="E462" s="61" t="s">
        <v>1021</v>
      </c>
      <c r="F462" s="61" t="s">
        <v>1021</v>
      </c>
      <c r="G462" s="61" t="s">
        <v>1021</v>
      </c>
      <c r="H462" s="61" t="s">
        <v>1022</v>
      </c>
      <c r="I462" s="57"/>
      <c r="J462" s="57"/>
      <c r="K462" s="57"/>
    </row>
    <row r="463" spans="4:11" x14ac:dyDescent="0.2">
      <c r="D463" s="8" t="s">
        <v>996</v>
      </c>
      <c r="E463" s="61">
        <v>0.91</v>
      </c>
      <c r="F463" s="61">
        <v>1.94</v>
      </c>
      <c r="G463" s="61">
        <v>2.4500000000000002</v>
      </c>
      <c r="H463" s="61">
        <v>2.86</v>
      </c>
      <c r="I463" s="57">
        <f t="shared" ref="I463:K468" si="77">(F463-E463)/E463</f>
        <v>1.1318681318681316</v>
      </c>
      <c r="J463" s="57">
        <f t="shared" si="77"/>
        <v>0.26288659793814445</v>
      </c>
      <c r="K463" s="57">
        <f t="shared" si="77"/>
        <v>0.16734693877551007</v>
      </c>
    </row>
    <row r="464" spans="4:11" x14ac:dyDescent="0.2">
      <c r="D464" s="8" t="s">
        <v>997</v>
      </c>
      <c r="E464" s="61">
        <v>0.26</v>
      </c>
      <c r="F464" s="61">
        <v>0.42</v>
      </c>
      <c r="G464" s="61">
        <v>0.54</v>
      </c>
      <c r="H464" s="61">
        <v>0.48</v>
      </c>
      <c r="I464" s="57">
        <f t="shared" si="77"/>
        <v>0.61538461538461531</v>
      </c>
      <c r="J464" s="57">
        <f t="shared" si="77"/>
        <v>0.28571428571428586</v>
      </c>
      <c r="K464" s="57">
        <f t="shared" si="77"/>
        <v>-0.1111111111111112</v>
      </c>
    </row>
    <row r="465" spans="4:11" x14ac:dyDescent="0.2">
      <c r="D465" s="8" t="s">
        <v>999</v>
      </c>
      <c r="E465" s="61">
        <v>3.19</v>
      </c>
      <c r="F465" s="61">
        <v>2.76</v>
      </c>
      <c r="G465" s="61">
        <v>3.57</v>
      </c>
      <c r="H465" s="61">
        <v>3.46</v>
      </c>
      <c r="I465" s="57">
        <f t="shared" si="77"/>
        <v>-0.13479623824451417</v>
      </c>
      <c r="J465" s="57">
        <f t="shared" si="77"/>
        <v>0.29347826086956524</v>
      </c>
      <c r="K465" s="57">
        <f t="shared" si="77"/>
        <v>-3.0812324929971956E-2</v>
      </c>
    </row>
    <row r="466" spans="4:11" x14ac:dyDescent="0.2">
      <c r="D466" s="8" t="s">
        <v>1000</v>
      </c>
      <c r="E466" s="61">
        <v>1.9</v>
      </c>
      <c r="F466" s="61">
        <v>2.62</v>
      </c>
      <c r="G466" s="61">
        <v>3.24</v>
      </c>
      <c r="H466" s="61">
        <v>3.86</v>
      </c>
      <c r="I466" s="57">
        <f t="shared" si="77"/>
        <v>0.37894736842105275</v>
      </c>
      <c r="J466" s="57">
        <f t="shared" si="77"/>
        <v>0.23664122137404583</v>
      </c>
      <c r="K466" s="57">
        <f t="shared" si="77"/>
        <v>0.1913580246913579</v>
      </c>
    </row>
    <row r="467" spans="4:11" x14ac:dyDescent="0.2">
      <c r="D467" s="8" t="s">
        <v>1001</v>
      </c>
      <c r="E467" s="61">
        <v>2.2599999999999998</v>
      </c>
      <c r="F467" s="61">
        <v>2.4</v>
      </c>
      <c r="G467" s="61">
        <v>2.61</v>
      </c>
      <c r="H467" s="61">
        <v>2.83</v>
      </c>
      <c r="I467" s="57">
        <f t="shared" si="77"/>
        <v>6.1946902654867318E-2</v>
      </c>
      <c r="J467" s="57">
        <f t="shared" si="77"/>
        <v>8.7499999999999994E-2</v>
      </c>
      <c r="K467" s="57">
        <f t="shared" si="77"/>
        <v>8.4291187739463674E-2</v>
      </c>
    </row>
    <row r="468" spans="4:11" x14ac:dyDescent="0.2">
      <c r="D468" s="8" t="s">
        <v>1002</v>
      </c>
      <c r="E468" s="61">
        <v>0.66</v>
      </c>
      <c r="F468" s="61">
        <v>0.79</v>
      </c>
      <c r="G468" s="61" t="s">
        <v>47</v>
      </c>
      <c r="H468" s="61" t="s">
        <v>1022</v>
      </c>
      <c r="I468" s="57">
        <f t="shared" si="77"/>
        <v>0.19696969696969696</v>
      </c>
      <c r="J468" s="57" t="e">
        <f t="shared" si="77"/>
        <v>#VALUE!</v>
      </c>
      <c r="K468" s="57" t="e">
        <f t="shared" si="77"/>
        <v>#VALUE!</v>
      </c>
    </row>
    <row r="469" spans="4:11" x14ac:dyDescent="0.2">
      <c r="D469" s="8" t="s">
        <v>1003</v>
      </c>
      <c r="E469" s="61" t="s">
        <v>1021</v>
      </c>
      <c r="F469" s="61" t="s">
        <v>1021</v>
      </c>
      <c r="G469" s="61" t="s">
        <v>1021</v>
      </c>
      <c r="H469" s="61" t="s">
        <v>1022</v>
      </c>
      <c r="I469" s="57"/>
      <c r="J469" s="57"/>
      <c r="K469" s="57"/>
    </row>
    <row r="470" spans="4:11" x14ac:dyDescent="0.2">
      <c r="D470" s="8" t="s">
        <v>521</v>
      </c>
      <c r="E470" s="61">
        <v>0.45</v>
      </c>
      <c r="F470" s="61">
        <v>3.18</v>
      </c>
      <c r="G470" s="61">
        <v>2.91</v>
      </c>
      <c r="H470" s="61">
        <v>1.5</v>
      </c>
      <c r="I470" s="57">
        <f t="shared" ref="I470:K474" si="78">(F470-E470)/E470</f>
        <v>6.0666666666666664</v>
      </c>
      <c r="J470" s="57">
        <f t="shared" si="78"/>
        <v>-8.4905660377358486E-2</v>
      </c>
      <c r="K470" s="57">
        <f t="shared" si="78"/>
        <v>-0.4845360824742268</v>
      </c>
    </row>
    <row r="471" spans="4:11" x14ac:dyDescent="0.2">
      <c r="D471" s="8" t="s">
        <v>1004</v>
      </c>
      <c r="E471" s="61">
        <v>5.27</v>
      </c>
      <c r="F471" s="61">
        <v>7.4</v>
      </c>
      <c r="G471" s="61">
        <v>8.26</v>
      </c>
      <c r="H471" s="61">
        <v>9.01</v>
      </c>
      <c r="I471" s="57">
        <f t="shared" si="78"/>
        <v>0.40417457305502863</v>
      </c>
      <c r="J471" s="57">
        <f t="shared" si="78"/>
        <v>0.11621621621621614</v>
      </c>
      <c r="K471" s="57">
        <f t="shared" si="78"/>
        <v>9.0799031476997583E-2</v>
      </c>
    </row>
    <row r="472" spans="4:11" x14ac:dyDescent="0.2">
      <c r="D472" s="8" t="s">
        <v>1005</v>
      </c>
      <c r="E472" s="61">
        <v>0.86</v>
      </c>
      <c r="F472" s="61">
        <v>3.01</v>
      </c>
      <c r="G472" s="61">
        <v>2.8</v>
      </c>
      <c r="H472" s="61">
        <v>3.18</v>
      </c>
      <c r="I472" s="57">
        <f t="shared" si="78"/>
        <v>2.5</v>
      </c>
      <c r="J472" s="57">
        <f t="shared" si="78"/>
        <v>-6.9767441860465115E-2</v>
      </c>
      <c r="K472" s="57">
        <f t="shared" si="78"/>
        <v>0.13571428571428584</v>
      </c>
    </row>
    <row r="473" spans="4:11" x14ac:dyDescent="0.2">
      <c r="D473" s="8" t="s">
        <v>1006</v>
      </c>
      <c r="E473" s="61">
        <v>7.38</v>
      </c>
      <c r="F473" s="61">
        <v>4.79</v>
      </c>
      <c r="G473" s="61">
        <v>5.95</v>
      </c>
      <c r="H473" s="61">
        <v>6.33</v>
      </c>
      <c r="I473" s="57">
        <f t="shared" si="78"/>
        <v>-0.35094850948509482</v>
      </c>
      <c r="J473" s="57">
        <f t="shared" si="78"/>
        <v>0.24217118997912321</v>
      </c>
      <c r="K473" s="57">
        <f t="shared" si="78"/>
        <v>6.3865546218487376E-2</v>
      </c>
    </row>
    <row r="474" spans="4:11" x14ac:dyDescent="0.2">
      <c r="D474" s="8" t="s">
        <v>1007</v>
      </c>
      <c r="E474" s="61">
        <v>4.37</v>
      </c>
      <c r="F474" s="61">
        <v>-0.43</v>
      </c>
      <c r="G474" s="61">
        <v>1.25</v>
      </c>
      <c r="H474" s="61">
        <v>1.21</v>
      </c>
      <c r="I474" s="57">
        <f t="shared" si="78"/>
        <v>-1.0983981693363845</v>
      </c>
      <c r="J474" s="57">
        <f t="shared" si="78"/>
        <v>-3.9069767441860463</v>
      </c>
      <c r="K474" s="57">
        <f t="shared" si="78"/>
        <v>-3.2000000000000028E-2</v>
      </c>
    </row>
    <row r="475" spans="4:11" x14ac:dyDescent="0.2">
      <c r="D475" s="8" t="s">
        <v>1008</v>
      </c>
      <c r="E475" s="61" t="s">
        <v>1021</v>
      </c>
      <c r="F475" s="61" t="s">
        <v>1021</v>
      </c>
      <c r="G475" s="61" t="s">
        <v>1021</v>
      </c>
      <c r="H475" s="61" t="s">
        <v>1022</v>
      </c>
      <c r="I475" s="57"/>
      <c r="J475" s="57"/>
      <c r="K475" s="57"/>
    </row>
    <row r="476" spans="4:11" x14ac:dyDescent="0.2">
      <c r="D476" s="8" t="s">
        <v>1009</v>
      </c>
      <c r="E476" s="61">
        <v>8.32</v>
      </c>
      <c r="F476" s="61">
        <v>4.0199999999999996</v>
      </c>
      <c r="G476" s="61">
        <v>6.09</v>
      </c>
      <c r="H476" s="61">
        <v>7.26</v>
      </c>
      <c r="I476" s="57">
        <f>(F476-E476)/E476</f>
        <v>-0.51682692307692313</v>
      </c>
      <c r="J476" s="57">
        <f>(G476-F476)/F476</f>
        <v>0.51492537313432851</v>
      </c>
      <c r="K476" s="57">
        <f>(H476-G476)/G476</f>
        <v>0.19211822660098521</v>
      </c>
    </row>
    <row r="477" spans="4:11" x14ac:dyDescent="0.2">
      <c r="D477" s="8" t="s">
        <v>1010</v>
      </c>
      <c r="E477" s="61" t="s">
        <v>1021</v>
      </c>
      <c r="F477" s="61" t="s">
        <v>1021</v>
      </c>
      <c r="G477" s="61" t="s">
        <v>1021</v>
      </c>
      <c r="H477" s="61" t="s">
        <v>1022</v>
      </c>
      <c r="I477" s="57"/>
      <c r="J477" s="57"/>
      <c r="K477" s="57"/>
    </row>
    <row r="478" spans="4:11" x14ac:dyDescent="0.2">
      <c r="D478" s="8" t="s">
        <v>1011</v>
      </c>
      <c r="E478" s="61">
        <v>0.81</v>
      </c>
      <c r="F478" s="61">
        <v>1.1100000000000001</v>
      </c>
      <c r="G478" s="61">
        <v>1.39</v>
      </c>
      <c r="H478" s="61">
        <v>1.62</v>
      </c>
      <c r="I478" s="57">
        <f>(F478-E478)/E478</f>
        <v>0.37037037037037041</v>
      </c>
      <c r="J478" s="57">
        <f>(G478-F478)/F478</f>
        <v>0.25225225225225206</v>
      </c>
      <c r="K478" s="57">
        <f>(H478-G478)/G478</f>
        <v>0.16546762589928074</v>
      </c>
    </row>
    <row r="479" spans="4:11" x14ac:dyDescent="0.2">
      <c r="D479" s="8" t="s">
        <v>1012</v>
      </c>
      <c r="E479" s="61" t="s">
        <v>1021</v>
      </c>
      <c r="F479" s="61" t="s">
        <v>1021</v>
      </c>
      <c r="G479" s="61" t="s">
        <v>1021</v>
      </c>
      <c r="H479" s="61" t="s">
        <v>1022</v>
      </c>
      <c r="I479" s="57"/>
      <c r="J479" s="57"/>
      <c r="K479" s="57"/>
    </row>
    <row r="480" spans="4:11" x14ac:dyDescent="0.2">
      <c r="D480" s="8" t="s">
        <v>1013</v>
      </c>
      <c r="E480" s="61">
        <v>-0.1</v>
      </c>
      <c r="F480" s="61">
        <v>0.34</v>
      </c>
      <c r="G480" s="61">
        <v>0.47</v>
      </c>
      <c r="H480" s="61">
        <v>0.64</v>
      </c>
      <c r="I480" s="57">
        <f t="shared" ref="I480:K481" si="79">(F480-E480)/E480</f>
        <v>-4.4000000000000004</v>
      </c>
      <c r="J480" s="57">
        <f t="shared" si="79"/>
        <v>0.3823529411764704</v>
      </c>
      <c r="K480" s="57">
        <f t="shared" si="79"/>
        <v>0.36170212765957455</v>
      </c>
    </row>
    <row r="481" spans="4:11" x14ac:dyDescent="0.2">
      <c r="D481" s="8" t="s">
        <v>1014</v>
      </c>
      <c r="E481" s="61">
        <v>-0.1</v>
      </c>
      <c r="F481" s="61">
        <v>0.34</v>
      </c>
      <c r="G481" s="61">
        <v>0.47</v>
      </c>
      <c r="H481" s="61">
        <v>0.64</v>
      </c>
      <c r="I481" s="57">
        <f t="shared" si="79"/>
        <v>-4.4000000000000004</v>
      </c>
      <c r="J481" s="57">
        <f t="shared" si="79"/>
        <v>0.3823529411764704</v>
      </c>
      <c r="K481" s="57">
        <f t="shared" si="79"/>
        <v>0.36170212765957455</v>
      </c>
    </row>
    <row r="482" spans="4:11" x14ac:dyDescent="0.2">
      <c r="D482" s="8" t="s">
        <v>1015</v>
      </c>
      <c r="E482" s="61" t="s">
        <v>1021</v>
      </c>
      <c r="F482" s="61" t="s">
        <v>1021</v>
      </c>
      <c r="G482" s="61" t="s">
        <v>1021</v>
      </c>
      <c r="H482" s="61" t="s">
        <v>1022</v>
      </c>
      <c r="I482" s="57"/>
      <c r="J482" s="57"/>
      <c r="K482" s="57"/>
    </row>
    <row r="483" spans="4:11" x14ac:dyDescent="0.2">
      <c r="D483" s="8" t="s">
        <v>1016</v>
      </c>
      <c r="E483" s="61">
        <v>0.42</v>
      </c>
      <c r="F483" s="61">
        <v>0.36</v>
      </c>
      <c r="G483" s="61">
        <v>0.33</v>
      </c>
      <c r="H483" s="61">
        <v>0.52</v>
      </c>
      <c r="I483" s="57">
        <f t="shared" ref="I483:K487" si="80">(F483-E483)/E483</f>
        <v>-0.14285714285714285</v>
      </c>
      <c r="J483" s="57">
        <f t="shared" si="80"/>
        <v>-8.3333333333333259E-2</v>
      </c>
      <c r="K483" s="57">
        <f t="shared" si="80"/>
        <v>0.57575757575757569</v>
      </c>
    </row>
    <row r="484" spans="4:11" x14ac:dyDescent="0.2">
      <c r="D484" s="8" t="s">
        <v>1017</v>
      </c>
      <c r="E484" s="61">
        <v>3.78</v>
      </c>
      <c r="F484" s="61">
        <v>-2.88</v>
      </c>
      <c r="G484" s="61">
        <v>-2.86</v>
      </c>
      <c r="H484" s="61">
        <v>-2.31</v>
      </c>
      <c r="I484" s="57">
        <f t="shared" si="80"/>
        <v>-1.7619047619047621</v>
      </c>
      <c r="J484" s="57">
        <f t="shared" si="80"/>
        <v>-6.944444444444451E-3</v>
      </c>
      <c r="K484" s="57">
        <f t="shared" si="80"/>
        <v>-0.19230769230769226</v>
      </c>
    </row>
    <row r="485" spans="4:11" x14ac:dyDescent="0.2">
      <c r="D485" s="8" t="s">
        <v>1018</v>
      </c>
      <c r="E485" s="61">
        <v>-5.04</v>
      </c>
      <c r="F485" s="61">
        <v>0.25</v>
      </c>
      <c r="G485" s="61">
        <v>0.42</v>
      </c>
      <c r="H485" s="61">
        <v>0.43</v>
      </c>
      <c r="I485" s="57">
        <f t="shared" si="80"/>
        <v>-1.0496031746031746</v>
      </c>
      <c r="J485" s="57">
        <f t="shared" si="80"/>
        <v>0.67999999999999994</v>
      </c>
      <c r="K485" s="57">
        <f t="shared" si="80"/>
        <v>2.3809523809523832E-2</v>
      </c>
    </row>
    <row r="486" spans="4:11" x14ac:dyDescent="0.2">
      <c r="D486" s="8" t="s">
        <v>1019</v>
      </c>
      <c r="E486" s="61">
        <v>0.26</v>
      </c>
      <c r="F486" s="61">
        <v>0.42</v>
      </c>
      <c r="G486" s="61">
        <v>0.54</v>
      </c>
      <c r="H486" s="61">
        <v>0.48</v>
      </c>
      <c r="I486" s="57">
        <f t="shared" si="80"/>
        <v>0.61538461538461531</v>
      </c>
      <c r="J486" s="57">
        <f t="shared" si="80"/>
        <v>0.28571428571428586</v>
      </c>
      <c r="K486" s="57">
        <f t="shared" si="80"/>
        <v>-0.1111111111111112</v>
      </c>
    </row>
    <row r="487" spans="4:11" x14ac:dyDescent="0.2">
      <c r="D487" s="8" t="s">
        <v>998</v>
      </c>
      <c r="E487" s="61">
        <v>1.52</v>
      </c>
      <c r="F487" s="61">
        <v>1.64</v>
      </c>
      <c r="G487" s="61">
        <v>1.78</v>
      </c>
      <c r="H487" s="61">
        <v>1.86</v>
      </c>
      <c r="I487" s="57">
        <f t="shared" si="80"/>
        <v>7.8947368421052558E-2</v>
      </c>
      <c r="J487" s="57">
        <f t="shared" si="80"/>
        <v>8.5365853658536661E-2</v>
      </c>
      <c r="K487" s="57">
        <f t="shared" si="80"/>
        <v>4.4943820224719142E-2</v>
      </c>
    </row>
    <row r="488" spans="4:11" x14ac:dyDescent="0.2">
      <c r="E488" s="62"/>
      <c r="F488" s="62"/>
      <c r="G488" s="62"/>
      <c r="H488" s="62"/>
    </row>
    <row r="489" spans="4:11" x14ac:dyDescent="0.2">
      <c r="E489" s="62"/>
      <c r="F489" s="62"/>
      <c r="G489" s="62"/>
      <c r="H489" s="62"/>
    </row>
    <row r="490" spans="4:11" x14ac:dyDescent="0.2">
      <c r="E490" s="62"/>
      <c r="F490" s="62"/>
      <c r="G490" s="62"/>
      <c r="H490" s="62"/>
    </row>
    <row r="491" spans="4:11" x14ac:dyDescent="0.2">
      <c r="E491" s="62"/>
      <c r="F491" s="62"/>
      <c r="G491" s="62"/>
      <c r="H491" s="62"/>
    </row>
    <row r="492" spans="4:11" x14ac:dyDescent="0.2">
      <c r="E492" s="62"/>
      <c r="F492" s="62"/>
      <c r="G492" s="62"/>
      <c r="H492" s="62"/>
    </row>
    <row r="493" spans="4:11" x14ac:dyDescent="0.2">
      <c r="E493" s="62"/>
      <c r="F493" s="62"/>
      <c r="G493" s="62"/>
      <c r="H493" s="62"/>
    </row>
  </sheetData>
  <autoFilter ref="D4:K487" xr:uid="{00000000-0009-0000-0000-000006000000}"/>
  <mergeCells count="2">
    <mergeCell ref="E3:H3"/>
    <mergeCell ref="I3:K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D2:I488"/>
  <sheetViews>
    <sheetView zoomScale="170" zoomScaleNormal="170" workbookViewId="0">
      <selection activeCell="J13" sqref="J13"/>
    </sheetView>
  </sheetViews>
  <sheetFormatPr baseColWidth="10" defaultColWidth="9.1640625" defaultRowHeight="15" x14ac:dyDescent="0.2"/>
  <cols>
    <col min="1" max="3" width="9.1640625" style="50" customWidth="1"/>
    <col min="4" max="4" width="13.1640625" style="34" customWidth="1"/>
    <col min="5" max="5" width="11.33203125" style="3" customWidth="1"/>
    <col min="6" max="7" width="10.83203125" style="3" bestFit="1" customWidth="1"/>
    <col min="8" max="9" width="17.6640625" style="34" customWidth="1"/>
    <col min="10" max="12" width="9.1640625" style="50" customWidth="1"/>
    <col min="13" max="16384" width="9.1640625" style="50"/>
  </cols>
  <sheetData>
    <row r="2" spans="4:9" ht="16" customHeight="1" thickBot="1" x14ac:dyDescent="0.25"/>
    <row r="3" spans="4:9" ht="24.75" customHeight="1" x14ac:dyDescent="0.2">
      <c r="D3" s="20" t="s">
        <v>541</v>
      </c>
      <c r="E3" s="79" t="s">
        <v>1033</v>
      </c>
      <c r="F3" s="80"/>
      <c r="G3" s="81"/>
      <c r="H3" s="82" t="s">
        <v>543</v>
      </c>
      <c r="I3" s="81"/>
    </row>
    <row r="4" spans="4:9" ht="24.75" customHeight="1" x14ac:dyDescent="0.2">
      <c r="D4" s="31"/>
      <c r="E4" s="26">
        <v>2018</v>
      </c>
      <c r="F4" s="27">
        <v>2019</v>
      </c>
      <c r="G4" s="32">
        <v>2020</v>
      </c>
      <c r="H4" s="28" t="s">
        <v>1034</v>
      </c>
      <c r="I4" s="33" t="s">
        <v>1035</v>
      </c>
    </row>
    <row r="5" spans="4:9" x14ac:dyDescent="0.2">
      <c r="D5" s="8" t="s">
        <v>551</v>
      </c>
      <c r="E5" s="29">
        <v>125843</v>
      </c>
      <c r="F5" s="29">
        <v>140036</v>
      </c>
      <c r="G5" s="29">
        <v>155370</v>
      </c>
      <c r="H5" s="57">
        <f t="shared" ref="H5:H68" si="0">(F5-E5)/E5</f>
        <v>0.11278338882575908</v>
      </c>
      <c r="I5" s="57">
        <f t="shared" ref="I5:I68" si="1">(G5-F5)/F5</f>
        <v>0.10950041417921107</v>
      </c>
    </row>
    <row r="6" spans="4:9" x14ac:dyDescent="0.2">
      <c r="D6" s="8" t="s">
        <v>552</v>
      </c>
      <c r="E6" s="29">
        <v>265595</v>
      </c>
      <c r="F6" s="29">
        <v>258806</v>
      </c>
      <c r="G6" s="29">
        <v>269811</v>
      </c>
      <c r="H6" s="57">
        <f t="shared" si="0"/>
        <v>-2.5561475178373087E-2</v>
      </c>
      <c r="I6" s="57">
        <f t="shared" si="1"/>
        <v>4.2522198094325482E-2</v>
      </c>
    </row>
    <row r="7" spans="4:9" x14ac:dyDescent="0.2">
      <c r="D7" s="8" t="s">
        <v>553</v>
      </c>
      <c r="E7" s="29">
        <v>232887</v>
      </c>
      <c r="F7" s="29">
        <v>278898</v>
      </c>
      <c r="G7" s="29">
        <v>331241</v>
      </c>
      <c r="H7" s="57">
        <f t="shared" si="0"/>
        <v>0.19756791920545158</v>
      </c>
      <c r="I7" s="57">
        <f t="shared" si="1"/>
        <v>0.18767793243407985</v>
      </c>
    </row>
    <row r="8" spans="4:9" x14ac:dyDescent="0.2">
      <c r="D8" s="8" t="s">
        <v>554</v>
      </c>
      <c r="E8" s="29">
        <v>55838</v>
      </c>
      <c r="F8" s="29">
        <v>70251</v>
      </c>
      <c r="G8" s="29">
        <v>85456</v>
      </c>
      <c r="H8" s="57">
        <f t="shared" si="0"/>
        <v>0.25812170923027328</v>
      </c>
      <c r="I8" s="57">
        <f t="shared" si="1"/>
        <v>0.21643820016796914</v>
      </c>
    </row>
    <row r="9" spans="4:9" x14ac:dyDescent="0.2">
      <c r="D9" s="8" t="s">
        <v>555</v>
      </c>
      <c r="E9" s="29">
        <v>136819</v>
      </c>
      <c r="F9" s="29">
        <v>162402</v>
      </c>
      <c r="G9" s="29">
        <v>190649</v>
      </c>
      <c r="H9" s="57">
        <f t="shared" si="0"/>
        <v>0.18698426388147846</v>
      </c>
      <c r="I9" s="57">
        <f t="shared" si="1"/>
        <v>0.17393258703710546</v>
      </c>
    </row>
    <row r="10" spans="4:9" x14ac:dyDescent="0.2">
      <c r="D10" s="8" t="s">
        <v>556</v>
      </c>
      <c r="E10" s="29">
        <v>109029</v>
      </c>
      <c r="F10" s="29">
        <v>113364</v>
      </c>
      <c r="G10" s="29">
        <v>115004</v>
      </c>
      <c r="H10" s="57">
        <f t="shared" si="0"/>
        <v>3.9760063836227058E-2</v>
      </c>
      <c r="I10" s="57">
        <f t="shared" si="1"/>
        <v>1.4466673723580677E-2</v>
      </c>
    </row>
    <row r="11" spans="4:9" x14ac:dyDescent="0.2">
      <c r="D11" s="8" t="s">
        <v>557</v>
      </c>
      <c r="E11" s="29">
        <v>81581</v>
      </c>
      <c r="F11" s="29">
        <v>81612</v>
      </c>
      <c r="G11" s="29">
        <v>85127</v>
      </c>
      <c r="H11" s="57">
        <f t="shared" si="0"/>
        <v>3.7999043895024575E-4</v>
      </c>
      <c r="I11" s="57">
        <f t="shared" si="1"/>
        <v>4.3069646620595009E-2</v>
      </c>
    </row>
    <row r="12" spans="4:9" x14ac:dyDescent="0.2">
      <c r="D12" s="8" t="s">
        <v>558</v>
      </c>
      <c r="E12" s="29">
        <v>20609</v>
      </c>
      <c r="F12" s="29">
        <v>22913</v>
      </c>
      <c r="G12" s="29">
        <v>25509</v>
      </c>
      <c r="H12" s="57">
        <f t="shared" si="0"/>
        <v>0.11179581736134699</v>
      </c>
      <c r="I12" s="57">
        <f t="shared" si="1"/>
        <v>0.11329812770043207</v>
      </c>
    </row>
    <row r="13" spans="4:9" x14ac:dyDescent="0.2">
      <c r="D13" s="8" t="s">
        <v>559</v>
      </c>
      <c r="E13" s="29">
        <v>67684</v>
      </c>
      <c r="F13" s="29">
        <v>70319</v>
      </c>
      <c r="G13" s="29">
        <v>72654</v>
      </c>
      <c r="H13" s="57">
        <f t="shared" si="0"/>
        <v>3.8930914248566872E-2</v>
      </c>
      <c r="I13" s="57">
        <f t="shared" si="1"/>
        <v>3.3205819195381049E-2</v>
      </c>
    </row>
    <row r="14" spans="4:9" x14ac:dyDescent="0.2">
      <c r="D14" s="8" t="s">
        <v>560</v>
      </c>
      <c r="E14" s="29">
        <v>290212</v>
      </c>
      <c r="F14" s="29">
        <v>270185</v>
      </c>
      <c r="G14" s="29">
        <v>283430</v>
      </c>
      <c r="H14" s="57">
        <f t="shared" si="0"/>
        <v>-6.9008173335354847E-2</v>
      </c>
      <c r="I14" s="57">
        <f t="shared" si="1"/>
        <v>4.9021966430408792E-2</v>
      </c>
    </row>
    <row r="15" spans="4:9" x14ac:dyDescent="0.2">
      <c r="D15" s="8" t="s">
        <v>561</v>
      </c>
      <c r="E15" s="29">
        <v>170756</v>
      </c>
      <c r="F15" s="29">
        <v>182481</v>
      </c>
      <c r="G15" s="29">
        <v>182793</v>
      </c>
      <c r="H15" s="57">
        <f t="shared" si="0"/>
        <v>6.8665229918714418E-2</v>
      </c>
      <c r="I15" s="57">
        <f t="shared" si="1"/>
        <v>1.7097670442402222E-3</v>
      </c>
    </row>
    <row r="16" spans="4:9" x14ac:dyDescent="0.2">
      <c r="D16" s="8" t="s">
        <v>562</v>
      </c>
      <c r="E16" s="29">
        <v>14950</v>
      </c>
      <c r="F16" s="29">
        <v>16818</v>
      </c>
      <c r="G16" s="29">
        <v>19035</v>
      </c>
      <c r="H16" s="57">
        <f t="shared" si="0"/>
        <v>0.12494983277591973</v>
      </c>
      <c r="I16" s="57">
        <f t="shared" si="1"/>
        <v>0.13182304673564038</v>
      </c>
    </row>
    <row r="17" spans="4:9" x14ac:dyDescent="0.2">
      <c r="D17" s="8" t="s">
        <v>563</v>
      </c>
      <c r="E17" s="29">
        <v>108203</v>
      </c>
      <c r="F17" s="29">
        <v>110763</v>
      </c>
      <c r="G17" s="29">
        <v>115654</v>
      </c>
      <c r="H17" s="57">
        <f t="shared" si="0"/>
        <v>2.3659233108139329E-2</v>
      </c>
      <c r="I17" s="57">
        <f t="shared" si="1"/>
        <v>4.415734496176521E-2</v>
      </c>
    </row>
    <row r="18" spans="4:9" x14ac:dyDescent="0.2">
      <c r="D18" s="8" t="s">
        <v>564</v>
      </c>
      <c r="E18" s="29">
        <v>91857</v>
      </c>
      <c r="F18" s="29">
        <v>91722</v>
      </c>
      <c r="G18" s="29">
        <v>91858</v>
      </c>
      <c r="H18" s="57">
        <f t="shared" si="0"/>
        <v>-1.4696756915640616E-3</v>
      </c>
      <c r="I18" s="57">
        <f t="shared" si="1"/>
        <v>1.4827413270534877E-3</v>
      </c>
    </row>
    <row r="19" spans="4:9" x14ac:dyDescent="0.2">
      <c r="D19" s="8" t="s">
        <v>565</v>
      </c>
      <c r="E19" s="29">
        <v>130863</v>
      </c>
      <c r="F19" s="29">
        <v>131288</v>
      </c>
      <c r="G19" s="29">
        <v>132999</v>
      </c>
      <c r="H19" s="57">
        <f t="shared" si="0"/>
        <v>3.2476712286895458E-3</v>
      </c>
      <c r="I19" s="57">
        <f t="shared" si="1"/>
        <v>1.3032417281091951E-2</v>
      </c>
    </row>
    <row r="20" spans="4:9" x14ac:dyDescent="0.2">
      <c r="D20" s="8" t="s">
        <v>566</v>
      </c>
      <c r="E20" s="29">
        <v>59434</v>
      </c>
      <c r="F20" s="29">
        <v>69463</v>
      </c>
      <c r="G20" s="29">
        <v>82782</v>
      </c>
      <c r="H20" s="57">
        <f t="shared" si="0"/>
        <v>0.16874179762425548</v>
      </c>
      <c r="I20" s="57">
        <f t="shared" si="1"/>
        <v>0.19174236643968731</v>
      </c>
    </row>
    <row r="21" spans="4:9" x14ac:dyDescent="0.2">
      <c r="D21" s="8" t="s">
        <v>567</v>
      </c>
      <c r="E21" s="29">
        <v>166339</v>
      </c>
      <c r="F21" s="29">
        <v>153649</v>
      </c>
      <c r="G21" s="29">
        <v>159392</v>
      </c>
      <c r="H21" s="57">
        <f t="shared" si="0"/>
        <v>-7.6289986112697564E-2</v>
      </c>
      <c r="I21" s="57">
        <f t="shared" si="1"/>
        <v>3.7377399136994061E-2</v>
      </c>
    </row>
    <row r="22" spans="4:9" x14ac:dyDescent="0.2">
      <c r="D22" s="8" t="s">
        <v>568</v>
      </c>
      <c r="E22" s="29">
        <v>226247</v>
      </c>
      <c r="F22" s="29">
        <v>242420</v>
      </c>
      <c r="G22" s="29">
        <v>261270</v>
      </c>
      <c r="H22" s="57">
        <f t="shared" si="0"/>
        <v>7.1483820779944043E-2</v>
      </c>
      <c r="I22" s="57">
        <f t="shared" si="1"/>
        <v>7.7757610758188267E-2</v>
      </c>
    </row>
    <row r="23" spans="4:9" x14ac:dyDescent="0.2">
      <c r="D23" s="8" t="s">
        <v>569</v>
      </c>
      <c r="E23" s="29">
        <v>42294</v>
      </c>
      <c r="F23" s="29">
        <v>45878</v>
      </c>
      <c r="G23" s="29">
        <v>48649</v>
      </c>
      <c r="H23" s="57">
        <f t="shared" si="0"/>
        <v>8.4740152267461108E-2</v>
      </c>
      <c r="I23" s="57">
        <f t="shared" si="1"/>
        <v>6.0399319935481061E-2</v>
      </c>
    </row>
    <row r="24" spans="4:9" x14ac:dyDescent="0.2">
      <c r="D24" s="8" t="s">
        <v>570</v>
      </c>
      <c r="E24" s="29">
        <v>31847</v>
      </c>
      <c r="F24" s="29">
        <v>36996</v>
      </c>
      <c r="G24" s="29">
        <v>38809</v>
      </c>
      <c r="H24" s="57">
        <f t="shared" si="0"/>
        <v>0.16167927905297202</v>
      </c>
      <c r="I24" s="57">
        <f t="shared" si="1"/>
        <v>4.9005297870040002E-2</v>
      </c>
    </row>
    <row r="25" spans="4:9" x14ac:dyDescent="0.2">
      <c r="D25" s="8" t="s">
        <v>571</v>
      </c>
      <c r="E25" s="29">
        <v>70848</v>
      </c>
      <c r="F25" s="29">
        <v>69419</v>
      </c>
      <c r="G25" s="29">
        <v>70983</v>
      </c>
      <c r="H25" s="57">
        <f t="shared" si="0"/>
        <v>-2.016994128274616E-2</v>
      </c>
      <c r="I25" s="57">
        <f t="shared" si="1"/>
        <v>2.2529854938849594E-2</v>
      </c>
    </row>
    <row r="26" spans="4:9" x14ac:dyDescent="0.2">
      <c r="D26" s="8" t="s">
        <v>572</v>
      </c>
      <c r="E26" s="29">
        <v>51904</v>
      </c>
      <c r="F26" s="29">
        <v>52983</v>
      </c>
      <c r="G26" s="29">
        <v>54739</v>
      </c>
      <c r="H26" s="57">
        <f t="shared" si="0"/>
        <v>2.0788378545006165E-2</v>
      </c>
      <c r="I26" s="57">
        <f t="shared" si="1"/>
        <v>3.3142706151029579E-2</v>
      </c>
    </row>
    <row r="27" spans="4:9" x14ac:dyDescent="0.2">
      <c r="D27" s="8" t="s">
        <v>573</v>
      </c>
      <c r="E27" s="29">
        <v>94507</v>
      </c>
      <c r="F27" s="29">
        <v>109667</v>
      </c>
      <c r="G27" s="29">
        <v>115480</v>
      </c>
      <c r="H27" s="57">
        <f t="shared" si="0"/>
        <v>0.16041139809749541</v>
      </c>
      <c r="I27" s="57">
        <f t="shared" si="1"/>
        <v>5.3005917915143114E-2</v>
      </c>
    </row>
    <row r="28" spans="4:9" x14ac:dyDescent="0.2">
      <c r="D28" s="8" t="s">
        <v>574</v>
      </c>
      <c r="E28" s="29">
        <v>53647</v>
      </c>
      <c r="F28" s="29">
        <v>51492</v>
      </c>
      <c r="G28" s="29">
        <v>48128</v>
      </c>
      <c r="H28" s="57">
        <f t="shared" si="0"/>
        <v>-4.0170000186403716E-2</v>
      </c>
      <c r="I28" s="57">
        <f t="shared" si="1"/>
        <v>-6.5330536782412796E-2</v>
      </c>
    </row>
    <row r="29" spans="4:9" x14ac:dyDescent="0.2">
      <c r="D29" s="8" t="s">
        <v>575</v>
      </c>
      <c r="E29" s="29">
        <v>101127</v>
      </c>
      <c r="F29" s="29">
        <v>85805</v>
      </c>
      <c r="G29" s="29">
        <v>121912</v>
      </c>
      <c r="H29" s="57">
        <f t="shared" si="0"/>
        <v>-0.15151245463624946</v>
      </c>
      <c r="I29" s="57">
        <f t="shared" si="1"/>
        <v>0.42080298350911949</v>
      </c>
    </row>
    <row r="30" spans="4:9" x14ac:dyDescent="0.2">
      <c r="D30" s="8" t="s">
        <v>576</v>
      </c>
      <c r="E30" s="29">
        <v>64661</v>
      </c>
      <c r="F30" s="29">
        <v>66521</v>
      </c>
      <c r="G30" s="29">
        <v>69192</v>
      </c>
      <c r="H30" s="57">
        <f t="shared" si="0"/>
        <v>2.8765407277957348E-2</v>
      </c>
      <c r="I30" s="57">
        <f t="shared" si="1"/>
        <v>4.0152733723185161E-2</v>
      </c>
    </row>
    <row r="31" spans="4:9" x14ac:dyDescent="0.2">
      <c r="D31" s="8" t="s">
        <v>577</v>
      </c>
      <c r="E31" s="29">
        <v>86408</v>
      </c>
      <c r="F31" s="29">
        <v>84011</v>
      </c>
      <c r="G31" s="29">
        <v>81192</v>
      </c>
      <c r="H31" s="57">
        <f t="shared" si="0"/>
        <v>-2.7740486991945191E-2</v>
      </c>
      <c r="I31" s="57">
        <f t="shared" si="1"/>
        <v>-3.3555129685398338E-2</v>
      </c>
    </row>
    <row r="32" spans="4:9" x14ac:dyDescent="0.2">
      <c r="D32" s="8" t="s">
        <v>578</v>
      </c>
      <c r="E32" s="29">
        <v>21025</v>
      </c>
      <c r="F32" s="29">
        <v>21107</v>
      </c>
      <c r="G32" s="29">
        <v>21711</v>
      </c>
      <c r="H32" s="57">
        <f t="shared" si="0"/>
        <v>3.9001189060642091E-3</v>
      </c>
      <c r="I32" s="57">
        <f t="shared" si="1"/>
        <v>2.8616098924527409E-2</v>
      </c>
    </row>
    <row r="33" spans="4:9" x14ac:dyDescent="0.2">
      <c r="D33" s="8" t="s">
        <v>579</v>
      </c>
      <c r="E33" s="29">
        <v>510329</v>
      </c>
      <c r="F33" s="29">
        <v>522453</v>
      </c>
      <c r="G33" s="29">
        <v>539459</v>
      </c>
      <c r="H33" s="57">
        <f t="shared" si="0"/>
        <v>2.3757223281451769E-2</v>
      </c>
      <c r="I33" s="57">
        <f t="shared" si="1"/>
        <v>3.2550296390297308E-2</v>
      </c>
    </row>
    <row r="34" spans="4:9" x14ac:dyDescent="0.2">
      <c r="D34" s="8" t="s">
        <v>580</v>
      </c>
      <c r="E34" s="29">
        <v>30578</v>
      </c>
      <c r="F34" s="29">
        <v>31968</v>
      </c>
      <c r="G34" s="29">
        <v>34242</v>
      </c>
      <c r="H34" s="57">
        <f t="shared" si="0"/>
        <v>4.5457518477336645E-2</v>
      </c>
      <c r="I34" s="57">
        <f t="shared" si="1"/>
        <v>7.1133633633633633E-2</v>
      </c>
    </row>
    <row r="35" spans="4:9" x14ac:dyDescent="0.2">
      <c r="D35" s="8" t="s">
        <v>581</v>
      </c>
      <c r="E35" s="29">
        <v>72854</v>
      </c>
      <c r="F35" s="29">
        <v>73856</v>
      </c>
      <c r="G35" s="29">
        <v>75406</v>
      </c>
      <c r="H35" s="57">
        <f t="shared" si="0"/>
        <v>1.3753534466192659E-2</v>
      </c>
      <c r="I35" s="57">
        <f t="shared" si="1"/>
        <v>2.0986785095320624E-2</v>
      </c>
    </row>
    <row r="36" spans="4:9" x14ac:dyDescent="0.2">
      <c r="D36" s="8" t="s">
        <v>582</v>
      </c>
      <c r="E36" s="29">
        <v>30557</v>
      </c>
      <c r="F36" s="29">
        <v>31496</v>
      </c>
      <c r="G36" s="29">
        <v>33018</v>
      </c>
      <c r="H36" s="57">
        <f t="shared" si="0"/>
        <v>3.0729456425696241E-2</v>
      </c>
      <c r="I36" s="57">
        <f t="shared" si="1"/>
        <v>4.8323596647193295E-2</v>
      </c>
    </row>
    <row r="37" spans="4:9" x14ac:dyDescent="0.2">
      <c r="D37" s="8" t="s">
        <v>583</v>
      </c>
      <c r="E37" s="29">
        <v>9030</v>
      </c>
      <c r="F37" s="29">
        <v>11154</v>
      </c>
      <c r="G37" s="29">
        <v>13136</v>
      </c>
      <c r="H37" s="57">
        <f t="shared" si="0"/>
        <v>0.23521594684385383</v>
      </c>
      <c r="I37" s="57">
        <f t="shared" si="1"/>
        <v>0.17769410077102385</v>
      </c>
    </row>
    <row r="38" spans="4:9" x14ac:dyDescent="0.2">
      <c r="D38" s="8" t="s">
        <v>584</v>
      </c>
      <c r="E38" s="29">
        <v>13282</v>
      </c>
      <c r="F38" s="29">
        <v>16865</v>
      </c>
      <c r="G38" s="29">
        <v>20931</v>
      </c>
      <c r="H38" s="57">
        <f t="shared" si="0"/>
        <v>0.26976358982081011</v>
      </c>
      <c r="I38" s="57">
        <f t="shared" si="1"/>
        <v>0.24109101689890305</v>
      </c>
    </row>
    <row r="39" spans="4:9" x14ac:dyDescent="0.2">
      <c r="D39" s="8" t="s">
        <v>585</v>
      </c>
      <c r="E39" s="29">
        <v>15794</v>
      </c>
      <c r="F39" s="29">
        <v>20203</v>
      </c>
      <c r="G39" s="29">
        <v>24793</v>
      </c>
      <c r="H39" s="57">
        <f t="shared" si="0"/>
        <v>0.27915664176269467</v>
      </c>
      <c r="I39" s="57">
        <f t="shared" si="1"/>
        <v>0.22719398109191705</v>
      </c>
    </row>
    <row r="40" spans="4:9" x14ac:dyDescent="0.2">
      <c r="D40" s="8" t="s">
        <v>586</v>
      </c>
      <c r="E40" s="29">
        <v>29625</v>
      </c>
      <c r="F40" s="29">
        <v>29956</v>
      </c>
      <c r="G40" s="29">
        <v>31445</v>
      </c>
      <c r="H40" s="57">
        <f t="shared" si="0"/>
        <v>1.1172995780590717E-2</v>
      </c>
      <c r="I40" s="57">
        <f t="shared" si="1"/>
        <v>4.9706235812525035E-2</v>
      </c>
    </row>
    <row r="41" spans="4:9" x14ac:dyDescent="0.2">
      <c r="D41" s="8" t="s">
        <v>587</v>
      </c>
      <c r="E41" s="29">
        <v>39526</v>
      </c>
      <c r="F41" s="29">
        <v>40089</v>
      </c>
      <c r="G41" s="29">
        <v>41050</v>
      </c>
      <c r="H41" s="57">
        <f t="shared" si="0"/>
        <v>1.4243788898446592E-2</v>
      </c>
      <c r="I41" s="57">
        <f t="shared" si="1"/>
        <v>2.3971663049714386E-2</v>
      </c>
    </row>
    <row r="42" spans="4:9" x14ac:dyDescent="0.2">
      <c r="D42" s="8" t="s">
        <v>588</v>
      </c>
      <c r="E42" s="29">
        <v>15451</v>
      </c>
      <c r="F42" s="29">
        <v>17730</v>
      </c>
      <c r="G42" s="29">
        <v>20951</v>
      </c>
      <c r="H42" s="57">
        <f t="shared" si="0"/>
        <v>0.14749854378357388</v>
      </c>
      <c r="I42" s="57">
        <f t="shared" si="1"/>
        <v>0.18166948674562888</v>
      </c>
    </row>
    <row r="43" spans="4:9" x14ac:dyDescent="0.2">
      <c r="D43" s="8" t="s">
        <v>367</v>
      </c>
      <c r="E43" s="29">
        <v>39573</v>
      </c>
      <c r="F43" s="29">
        <v>43203</v>
      </c>
      <c r="G43" s="29">
        <v>46101</v>
      </c>
      <c r="H43" s="57">
        <f t="shared" si="0"/>
        <v>9.1729209309377613E-2</v>
      </c>
      <c r="I43" s="57">
        <f t="shared" si="1"/>
        <v>6.7078675092007503E-2</v>
      </c>
    </row>
    <row r="44" spans="4:9" x14ac:dyDescent="0.2">
      <c r="D44" s="8" t="s">
        <v>589</v>
      </c>
      <c r="E44" s="29">
        <v>23747</v>
      </c>
      <c r="F44" s="29">
        <v>22827</v>
      </c>
      <c r="G44" s="29">
        <v>25063</v>
      </c>
      <c r="H44" s="57">
        <f t="shared" si="0"/>
        <v>-3.8741735798206091E-2</v>
      </c>
      <c r="I44" s="57">
        <f t="shared" si="1"/>
        <v>9.7954177071012394E-2</v>
      </c>
    </row>
    <row r="45" spans="4:9" x14ac:dyDescent="0.2">
      <c r="D45" s="8" t="s">
        <v>371</v>
      </c>
      <c r="E45" s="29">
        <v>141576</v>
      </c>
      <c r="F45" s="29">
        <v>152860</v>
      </c>
      <c r="G45" s="29">
        <v>164014</v>
      </c>
      <c r="H45" s="57">
        <f t="shared" si="0"/>
        <v>7.970277448155054E-2</v>
      </c>
      <c r="I45" s="57">
        <f t="shared" si="1"/>
        <v>7.2968729556456891E-2</v>
      </c>
    </row>
    <row r="46" spans="4:9" x14ac:dyDescent="0.2">
      <c r="D46" s="8" t="s">
        <v>590</v>
      </c>
      <c r="E46" s="29">
        <v>79591</v>
      </c>
      <c r="F46" s="29">
        <v>77894</v>
      </c>
      <c r="G46" s="29">
        <v>80959</v>
      </c>
      <c r="H46" s="57">
        <f t="shared" si="0"/>
        <v>-2.13215062004498E-2</v>
      </c>
      <c r="I46" s="57">
        <f t="shared" si="1"/>
        <v>3.9348345187049064E-2</v>
      </c>
    </row>
    <row r="47" spans="4:9" x14ac:dyDescent="0.2">
      <c r="D47" s="8" t="s">
        <v>591</v>
      </c>
      <c r="E47" s="29">
        <v>24720</v>
      </c>
      <c r="F47" s="29">
        <v>26437</v>
      </c>
      <c r="G47" s="29">
        <v>28437</v>
      </c>
      <c r="H47" s="57">
        <f t="shared" si="0"/>
        <v>6.9457928802588997E-2</v>
      </c>
      <c r="I47" s="57">
        <f t="shared" si="1"/>
        <v>7.5651548965465068E-2</v>
      </c>
    </row>
    <row r="48" spans="4:9" x14ac:dyDescent="0.2">
      <c r="D48" s="8" t="s">
        <v>592</v>
      </c>
      <c r="E48" s="29">
        <v>41802</v>
      </c>
      <c r="F48" s="29">
        <v>37032</v>
      </c>
      <c r="G48" s="29">
        <v>38640</v>
      </c>
      <c r="H48" s="57">
        <f t="shared" si="0"/>
        <v>-0.11410937275728435</v>
      </c>
      <c r="I48" s="57">
        <f t="shared" si="1"/>
        <v>4.3421905379131563E-2</v>
      </c>
    </row>
    <row r="49" spans="4:9" x14ac:dyDescent="0.2">
      <c r="D49" s="8" t="s">
        <v>593</v>
      </c>
      <c r="E49" s="29">
        <v>22832</v>
      </c>
      <c r="F49" s="29">
        <v>22499</v>
      </c>
      <c r="G49" s="29">
        <v>23360</v>
      </c>
      <c r="H49" s="57">
        <f t="shared" si="0"/>
        <v>-1.458479327259986E-2</v>
      </c>
      <c r="I49" s="57">
        <f t="shared" si="1"/>
        <v>3.8268367482999242E-2</v>
      </c>
    </row>
    <row r="50" spans="4:9" x14ac:dyDescent="0.2">
      <c r="D50" s="8" t="s">
        <v>594</v>
      </c>
      <c r="E50" s="29">
        <v>15784</v>
      </c>
      <c r="F50" s="29">
        <v>14693</v>
      </c>
      <c r="G50" s="29">
        <v>15463</v>
      </c>
      <c r="H50" s="57">
        <f t="shared" si="0"/>
        <v>-6.9120628484541313E-2</v>
      </c>
      <c r="I50" s="57">
        <f t="shared" si="1"/>
        <v>5.2405907575035729E-2</v>
      </c>
    </row>
    <row r="51" spans="4:9" x14ac:dyDescent="0.2">
      <c r="D51" s="8" t="s">
        <v>595</v>
      </c>
      <c r="E51" s="29">
        <v>24358</v>
      </c>
      <c r="F51" s="29">
        <v>25444</v>
      </c>
      <c r="G51" s="29">
        <v>26939</v>
      </c>
      <c r="H51" s="57">
        <f t="shared" si="0"/>
        <v>4.458494129238854E-2</v>
      </c>
      <c r="I51" s="57">
        <f t="shared" si="1"/>
        <v>5.8756484829429335E-2</v>
      </c>
    </row>
    <row r="52" spans="4:9" x14ac:dyDescent="0.2">
      <c r="D52" s="8" t="s">
        <v>596</v>
      </c>
      <c r="E52" s="29">
        <v>20862</v>
      </c>
      <c r="F52" s="29">
        <v>22621</v>
      </c>
      <c r="G52" s="29">
        <v>23744</v>
      </c>
      <c r="H52" s="57">
        <f t="shared" si="0"/>
        <v>8.4315981209855242E-2</v>
      </c>
      <c r="I52" s="57">
        <f t="shared" si="1"/>
        <v>4.9644135979841741E-2</v>
      </c>
    </row>
    <row r="53" spans="4:9" x14ac:dyDescent="0.2">
      <c r="D53" s="8" t="s">
        <v>597</v>
      </c>
      <c r="E53" s="29">
        <v>16727</v>
      </c>
      <c r="F53" s="29">
        <v>19083</v>
      </c>
      <c r="G53" s="29">
        <v>20084</v>
      </c>
      <c r="H53" s="57">
        <f t="shared" si="0"/>
        <v>0.14085012255634602</v>
      </c>
      <c r="I53" s="57">
        <f t="shared" si="1"/>
        <v>5.2455064717287642E-2</v>
      </c>
    </row>
    <row r="54" spans="4:9" x14ac:dyDescent="0.2">
      <c r="D54" s="8" t="s">
        <v>598</v>
      </c>
      <c r="E54" s="29">
        <v>39117</v>
      </c>
      <c r="F54" s="29">
        <v>42037</v>
      </c>
      <c r="G54" s="29">
        <v>45426</v>
      </c>
      <c r="H54" s="57">
        <f t="shared" si="0"/>
        <v>7.4647851317841352E-2</v>
      </c>
      <c r="I54" s="57">
        <f t="shared" si="1"/>
        <v>8.0619454290268094E-2</v>
      </c>
    </row>
    <row r="55" spans="4:9" x14ac:dyDescent="0.2">
      <c r="D55" s="8" t="s">
        <v>599</v>
      </c>
      <c r="E55" s="29">
        <v>7440</v>
      </c>
      <c r="F55" s="29">
        <v>7440</v>
      </c>
      <c r="G55" s="29">
        <v>7973</v>
      </c>
      <c r="H55" s="57">
        <f t="shared" si="0"/>
        <v>0</v>
      </c>
      <c r="I55" s="57">
        <f t="shared" si="1"/>
        <v>7.1639784946236559E-2</v>
      </c>
    </row>
    <row r="56" spans="4:9" x14ac:dyDescent="0.2">
      <c r="D56" s="8" t="s">
        <v>600</v>
      </c>
      <c r="E56" s="29">
        <v>66501</v>
      </c>
      <c r="F56" s="29">
        <v>77009</v>
      </c>
      <c r="G56" s="29">
        <v>80590</v>
      </c>
      <c r="H56" s="57">
        <f t="shared" si="0"/>
        <v>0.15801266146373738</v>
      </c>
      <c r="I56" s="57">
        <f t="shared" si="1"/>
        <v>4.6501058317858952E-2</v>
      </c>
    </row>
    <row r="57" spans="4:9" x14ac:dyDescent="0.2">
      <c r="D57" s="8" t="s">
        <v>601</v>
      </c>
      <c r="E57" s="29">
        <v>11716</v>
      </c>
      <c r="F57" s="29">
        <v>10794</v>
      </c>
      <c r="G57" s="29">
        <v>12986</v>
      </c>
      <c r="H57" s="57">
        <f t="shared" si="0"/>
        <v>-7.8695800614544217E-2</v>
      </c>
      <c r="I57" s="57">
        <f t="shared" si="1"/>
        <v>0.20307578284231981</v>
      </c>
    </row>
    <row r="58" spans="4:9" x14ac:dyDescent="0.2">
      <c r="D58" s="8" t="s">
        <v>602</v>
      </c>
      <c r="E58" s="29">
        <v>32733</v>
      </c>
      <c r="F58" s="29">
        <v>33117</v>
      </c>
      <c r="G58" s="29">
        <v>34999</v>
      </c>
      <c r="H58" s="57">
        <f t="shared" si="0"/>
        <v>1.1731280359270461E-2</v>
      </c>
      <c r="I58" s="57">
        <f t="shared" si="1"/>
        <v>5.6828819035540656E-2</v>
      </c>
    </row>
    <row r="59" spans="4:9" x14ac:dyDescent="0.2">
      <c r="D59" s="8" t="s">
        <v>603</v>
      </c>
      <c r="E59" s="29">
        <v>24556</v>
      </c>
      <c r="F59" s="29">
        <v>22230</v>
      </c>
      <c r="G59" s="29">
        <v>23692</v>
      </c>
      <c r="H59" s="57">
        <f t="shared" si="0"/>
        <v>-9.4722267470272029E-2</v>
      </c>
      <c r="I59" s="57">
        <f t="shared" si="1"/>
        <v>6.5766981556455245E-2</v>
      </c>
    </row>
    <row r="60" spans="4:9" x14ac:dyDescent="0.2">
      <c r="D60" s="8" t="s">
        <v>604</v>
      </c>
      <c r="E60" s="29">
        <v>53762</v>
      </c>
      <c r="F60" s="29">
        <v>59132</v>
      </c>
      <c r="G60" s="29">
        <v>62683</v>
      </c>
      <c r="H60" s="57">
        <f t="shared" si="0"/>
        <v>9.9884676909341163E-2</v>
      </c>
      <c r="I60" s="57">
        <f t="shared" si="1"/>
        <v>6.0052086856524384E-2</v>
      </c>
    </row>
    <row r="61" spans="4:9" x14ac:dyDescent="0.2">
      <c r="D61" s="8" t="s">
        <v>605</v>
      </c>
      <c r="E61" s="29">
        <v>32765</v>
      </c>
      <c r="F61" s="29">
        <v>32502</v>
      </c>
      <c r="G61" s="29">
        <v>33652</v>
      </c>
      <c r="H61" s="57">
        <f t="shared" si="0"/>
        <v>-8.0268579276667178E-3</v>
      </c>
      <c r="I61" s="57">
        <f t="shared" si="1"/>
        <v>3.5382438003815152E-2</v>
      </c>
    </row>
    <row r="62" spans="4:9" x14ac:dyDescent="0.2">
      <c r="D62" s="8" t="s">
        <v>606</v>
      </c>
      <c r="E62" s="29">
        <v>22732</v>
      </c>
      <c r="F62" s="29">
        <v>19299</v>
      </c>
      <c r="G62" s="29">
        <v>22172</v>
      </c>
      <c r="H62" s="57">
        <f t="shared" si="0"/>
        <v>-0.1510205877177547</v>
      </c>
      <c r="I62" s="57">
        <f t="shared" si="1"/>
        <v>0.14886781698533602</v>
      </c>
    </row>
    <row r="63" spans="4:9" x14ac:dyDescent="0.2">
      <c r="D63" s="8" t="s">
        <v>607</v>
      </c>
      <c r="E63" s="29">
        <v>19627</v>
      </c>
      <c r="F63" s="29">
        <v>19795</v>
      </c>
      <c r="G63" s="29">
        <v>20041</v>
      </c>
      <c r="H63" s="57">
        <f t="shared" si="0"/>
        <v>8.5596372344219698E-3</v>
      </c>
      <c r="I63" s="57">
        <f t="shared" si="1"/>
        <v>1.2427380651679717E-2</v>
      </c>
    </row>
    <row r="64" spans="4:9" x14ac:dyDescent="0.2">
      <c r="D64" s="8" t="s">
        <v>608</v>
      </c>
      <c r="E64" s="29">
        <v>19893</v>
      </c>
      <c r="F64" s="29">
        <v>20765</v>
      </c>
      <c r="G64" s="29">
        <v>24343</v>
      </c>
      <c r="H64" s="57">
        <f t="shared" si="0"/>
        <v>4.3834514653395669E-2</v>
      </c>
      <c r="I64" s="57">
        <f t="shared" si="1"/>
        <v>0.17230917409101854</v>
      </c>
    </row>
    <row r="65" spans="4:9" x14ac:dyDescent="0.2">
      <c r="D65" s="8" t="s">
        <v>609</v>
      </c>
      <c r="E65" s="29">
        <v>71309</v>
      </c>
      <c r="F65" s="29">
        <v>72542</v>
      </c>
      <c r="G65" s="29">
        <v>74908</v>
      </c>
      <c r="H65" s="57">
        <f t="shared" si="0"/>
        <v>1.7290945042000308E-2</v>
      </c>
      <c r="I65" s="57">
        <f t="shared" si="1"/>
        <v>3.2615588210967439E-2</v>
      </c>
    </row>
    <row r="66" spans="4:9" x14ac:dyDescent="0.2">
      <c r="D66" s="8" t="s">
        <v>610</v>
      </c>
      <c r="E66" s="29">
        <v>8427</v>
      </c>
      <c r="F66" s="29">
        <v>10448</v>
      </c>
      <c r="G66" s="29">
        <v>13527</v>
      </c>
      <c r="H66" s="57">
        <f t="shared" si="0"/>
        <v>0.2398243740358372</v>
      </c>
      <c r="I66" s="57">
        <f t="shared" si="1"/>
        <v>0.29469754977029095</v>
      </c>
    </row>
    <row r="67" spans="4:9" x14ac:dyDescent="0.2">
      <c r="D67" s="8" t="s">
        <v>611</v>
      </c>
      <c r="E67" s="29">
        <v>14527</v>
      </c>
      <c r="F67" s="29">
        <v>15186</v>
      </c>
      <c r="G67" s="29">
        <v>16534</v>
      </c>
      <c r="H67" s="57">
        <f t="shared" si="0"/>
        <v>4.5363805328009911E-2</v>
      </c>
      <c r="I67" s="57">
        <f t="shared" si="1"/>
        <v>8.8765968655340449E-2</v>
      </c>
    </row>
    <row r="68" spans="4:9" x14ac:dyDescent="0.2">
      <c r="D68" s="8" t="s">
        <v>612</v>
      </c>
      <c r="E68" s="29">
        <v>40338</v>
      </c>
      <c r="F68" s="29">
        <v>43586</v>
      </c>
      <c r="G68" s="29">
        <v>47009</v>
      </c>
      <c r="H68" s="57">
        <f t="shared" si="0"/>
        <v>8.0519609301403144E-2</v>
      </c>
      <c r="I68" s="57">
        <f t="shared" si="1"/>
        <v>7.8534391777176152E-2</v>
      </c>
    </row>
    <row r="69" spans="4:9" x14ac:dyDescent="0.2">
      <c r="D69" s="8" t="s">
        <v>613</v>
      </c>
      <c r="E69" s="29">
        <v>22127</v>
      </c>
      <c r="F69" s="29">
        <v>22314</v>
      </c>
      <c r="G69" s="29">
        <v>22545</v>
      </c>
      <c r="H69" s="57">
        <f t="shared" ref="H69:H132" si="2">(F69-E69)/E69</f>
        <v>8.4512134496316713E-3</v>
      </c>
      <c r="I69" s="57">
        <f t="shared" ref="I69:I132" si="3">(G69-F69)/F69</f>
        <v>1.0352245227211615E-2</v>
      </c>
    </row>
    <row r="70" spans="4:9" x14ac:dyDescent="0.2">
      <c r="D70" s="8" t="s">
        <v>614</v>
      </c>
      <c r="E70" s="29">
        <v>194579</v>
      </c>
      <c r="F70" s="29">
        <v>252537</v>
      </c>
      <c r="G70" s="29">
        <v>256121</v>
      </c>
      <c r="H70" s="57">
        <f t="shared" si="2"/>
        <v>0.29786359267958001</v>
      </c>
      <c r="I70" s="57">
        <f t="shared" si="3"/>
        <v>1.4191979789100211E-2</v>
      </c>
    </row>
    <row r="71" spans="4:9" x14ac:dyDescent="0.2">
      <c r="D71" s="8" t="s">
        <v>615</v>
      </c>
      <c r="E71" s="29">
        <v>71861</v>
      </c>
      <c r="F71" s="29">
        <v>74410</v>
      </c>
      <c r="G71" s="29">
        <v>78047</v>
      </c>
      <c r="H71" s="57">
        <f t="shared" si="2"/>
        <v>3.547125701006109E-2</v>
      </c>
      <c r="I71" s="57">
        <f t="shared" si="3"/>
        <v>4.8877839000134392E-2</v>
      </c>
    </row>
    <row r="72" spans="4:9" x14ac:dyDescent="0.2">
      <c r="D72" s="8" t="s">
        <v>616</v>
      </c>
      <c r="E72" s="29">
        <v>25938</v>
      </c>
      <c r="F72" s="30">
        <v>25857</v>
      </c>
      <c r="G72" s="30">
        <v>26661</v>
      </c>
      <c r="H72" s="57">
        <f t="shared" si="2"/>
        <v>-3.1228313671061761E-3</v>
      </c>
      <c r="I72" s="57">
        <f t="shared" si="3"/>
        <v>3.1094094442510732E-2</v>
      </c>
    </row>
    <row r="73" spans="4:9" x14ac:dyDescent="0.2">
      <c r="D73" s="8" t="s">
        <v>617</v>
      </c>
      <c r="E73" s="29">
        <v>22521</v>
      </c>
      <c r="F73" s="29">
        <v>22979</v>
      </c>
      <c r="G73" s="29">
        <v>23386</v>
      </c>
      <c r="H73" s="57">
        <f t="shared" si="2"/>
        <v>2.0336574752453266E-2</v>
      </c>
      <c r="I73" s="57">
        <f t="shared" si="3"/>
        <v>1.7711823839157492E-2</v>
      </c>
    </row>
    <row r="74" spans="4:9" x14ac:dyDescent="0.2">
      <c r="D74" s="8" t="s">
        <v>618</v>
      </c>
      <c r="E74" s="29">
        <v>22561</v>
      </c>
      <c r="F74" s="29">
        <v>24213</v>
      </c>
      <c r="G74" s="29">
        <v>42013</v>
      </c>
      <c r="H74" s="57">
        <f t="shared" si="2"/>
        <v>7.3223704623022023E-2</v>
      </c>
      <c r="I74" s="57">
        <f t="shared" si="3"/>
        <v>0.73514227894106476</v>
      </c>
    </row>
    <row r="75" spans="4:9" x14ac:dyDescent="0.2">
      <c r="D75" s="8" t="s">
        <v>619</v>
      </c>
      <c r="E75" s="29">
        <v>4309</v>
      </c>
      <c r="F75" s="29">
        <v>4943</v>
      </c>
      <c r="G75" s="29">
        <v>5262</v>
      </c>
      <c r="H75" s="57">
        <f t="shared" si="2"/>
        <v>0.14713390577860291</v>
      </c>
      <c r="I75" s="57">
        <f t="shared" si="3"/>
        <v>6.4535707060489583E-2</v>
      </c>
    </row>
    <row r="76" spans="4:9" x14ac:dyDescent="0.2">
      <c r="D76" s="8" t="s">
        <v>620</v>
      </c>
      <c r="E76" s="29">
        <v>6784</v>
      </c>
      <c r="F76" s="29">
        <v>7508</v>
      </c>
      <c r="G76" s="29">
        <v>8303</v>
      </c>
      <c r="H76" s="57">
        <f t="shared" si="2"/>
        <v>0.10672169811320754</v>
      </c>
      <c r="I76" s="57">
        <f t="shared" si="3"/>
        <v>0.10588705380927012</v>
      </c>
    </row>
    <row r="77" spans="4:9" x14ac:dyDescent="0.2">
      <c r="D77" s="8" t="s">
        <v>621</v>
      </c>
      <c r="E77" s="29">
        <v>14175</v>
      </c>
      <c r="F77" s="29">
        <v>15069</v>
      </c>
      <c r="G77" s="29">
        <v>16023</v>
      </c>
      <c r="H77" s="57">
        <f t="shared" si="2"/>
        <v>6.3068783068783066E-2</v>
      </c>
      <c r="I77" s="57">
        <f t="shared" si="3"/>
        <v>6.3308779613776622E-2</v>
      </c>
    </row>
    <row r="78" spans="4:9" x14ac:dyDescent="0.2">
      <c r="D78" s="8" t="s">
        <v>622</v>
      </c>
      <c r="E78" s="29">
        <v>28309</v>
      </c>
      <c r="F78" s="29">
        <v>29389</v>
      </c>
      <c r="G78" s="29">
        <v>30667</v>
      </c>
      <c r="H78" s="57">
        <f t="shared" si="2"/>
        <v>3.8150411529902152E-2</v>
      </c>
      <c r="I78" s="57">
        <f t="shared" si="3"/>
        <v>4.3485657899213992E-2</v>
      </c>
    </row>
    <row r="79" spans="4:9" x14ac:dyDescent="0.2">
      <c r="D79" s="8" t="s">
        <v>623</v>
      </c>
      <c r="E79" s="29">
        <v>121615</v>
      </c>
      <c r="F79" s="29">
        <v>116383</v>
      </c>
      <c r="G79" s="29">
        <v>109811</v>
      </c>
      <c r="H79" s="57">
        <f t="shared" si="2"/>
        <v>-4.302100892159684E-2</v>
      </c>
      <c r="I79" s="57">
        <f t="shared" si="3"/>
        <v>-5.6468728250689534E-2</v>
      </c>
    </row>
    <row r="80" spans="4:9" x14ac:dyDescent="0.2">
      <c r="D80" s="8" t="s">
        <v>624</v>
      </c>
      <c r="E80" s="29">
        <v>15983</v>
      </c>
      <c r="F80" s="29">
        <v>17283</v>
      </c>
      <c r="G80" s="29">
        <v>18168</v>
      </c>
      <c r="H80" s="57">
        <f t="shared" si="2"/>
        <v>8.1336419946192826E-2</v>
      </c>
      <c r="I80" s="57">
        <f t="shared" si="3"/>
        <v>5.1206387779899325E-2</v>
      </c>
    </row>
    <row r="81" spans="4:9" x14ac:dyDescent="0.2">
      <c r="D81" s="8" t="s">
        <v>625</v>
      </c>
      <c r="E81" s="29">
        <v>91341</v>
      </c>
      <c r="F81" s="29">
        <v>102093</v>
      </c>
      <c r="G81" s="29">
        <v>113323</v>
      </c>
      <c r="H81" s="57">
        <f t="shared" si="2"/>
        <v>0.11771274674023713</v>
      </c>
      <c r="I81" s="57">
        <f t="shared" si="3"/>
        <v>0.10999774715210642</v>
      </c>
    </row>
    <row r="82" spans="4:9" x14ac:dyDescent="0.2">
      <c r="D82" s="8" t="s">
        <v>626</v>
      </c>
      <c r="E82" s="29">
        <v>36616</v>
      </c>
      <c r="F82" s="29">
        <v>35366</v>
      </c>
      <c r="G82" s="29">
        <v>36223</v>
      </c>
      <c r="H82" s="57">
        <f t="shared" si="2"/>
        <v>-3.413808171291239E-2</v>
      </c>
      <c r="I82" s="57">
        <f t="shared" si="3"/>
        <v>2.4232313521461289E-2</v>
      </c>
    </row>
    <row r="83" spans="4:9" x14ac:dyDescent="0.2">
      <c r="D83" s="8" t="s">
        <v>627</v>
      </c>
      <c r="E83" s="29">
        <v>43634</v>
      </c>
      <c r="F83" s="29">
        <v>45706</v>
      </c>
      <c r="G83" s="29">
        <v>48051</v>
      </c>
      <c r="H83" s="57">
        <f t="shared" si="2"/>
        <v>4.7485905486547186E-2</v>
      </c>
      <c r="I83" s="57">
        <f t="shared" si="3"/>
        <v>5.1306174244081737E-2</v>
      </c>
    </row>
    <row r="84" spans="4:9" x14ac:dyDescent="0.2">
      <c r="D84" s="8" t="s">
        <v>628</v>
      </c>
      <c r="E84" s="29">
        <v>13601</v>
      </c>
      <c r="F84" s="29">
        <v>14874</v>
      </c>
      <c r="G84" s="29">
        <v>15894</v>
      </c>
      <c r="H84" s="57">
        <f t="shared" si="2"/>
        <v>9.3596059113300489E-2</v>
      </c>
      <c r="I84" s="57">
        <f t="shared" si="3"/>
        <v>6.8576038725292457E-2</v>
      </c>
    </row>
    <row r="85" spans="4:9" x14ac:dyDescent="0.2">
      <c r="D85" s="8" t="s">
        <v>629</v>
      </c>
      <c r="E85" s="29">
        <v>15281</v>
      </c>
      <c r="F85" s="29">
        <v>17291</v>
      </c>
      <c r="G85" s="29">
        <v>19077</v>
      </c>
      <c r="H85" s="57">
        <f t="shared" si="2"/>
        <v>0.13153589424775866</v>
      </c>
      <c r="I85" s="57">
        <f t="shared" si="3"/>
        <v>0.10329072928112891</v>
      </c>
    </row>
    <row r="86" spans="4:9" x14ac:dyDescent="0.2">
      <c r="D86" s="8" t="s">
        <v>630</v>
      </c>
      <c r="E86" s="29">
        <v>24521</v>
      </c>
      <c r="F86" s="29">
        <v>25388</v>
      </c>
      <c r="G86" s="29">
        <v>25914</v>
      </c>
      <c r="H86" s="57">
        <f t="shared" si="2"/>
        <v>3.5357448717425882E-2</v>
      </c>
      <c r="I86" s="57">
        <f t="shared" si="3"/>
        <v>2.0718449661257288E-2</v>
      </c>
    </row>
    <row r="87" spans="4:9" x14ac:dyDescent="0.2">
      <c r="D87" s="8" t="s">
        <v>631</v>
      </c>
      <c r="E87" s="29">
        <v>54722</v>
      </c>
      <c r="F87" s="29">
        <v>55828</v>
      </c>
      <c r="G87" s="29">
        <v>55624</v>
      </c>
      <c r="H87" s="57">
        <f t="shared" si="2"/>
        <v>2.0211249588830818E-2</v>
      </c>
      <c r="I87" s="57">
        <f t="shared" si="3"/>
        <v>-3.6540803897685747E-3</v>
      </c>
    </row>
    <row r="88" spans="4:9" x14ac:dyDescent="0.2">
      <c r="D88" s="8" t="s">
        <v>632</v>
      </c>
      <c r="E88" s="29">
        <v>38973</v>
      </c>
      <c r="F88" s="29">
        <v>41143</v>
      </c>
      <c r="G88" s="29">
        <v>43570</v>
      </c>
      <c r="H88" s="57">
        <f t="shared" si="2"/>
        <v>5.5679573037744082E-2</v>
      </c>
      <c r="I88" s="57">
        <f t="shared" si="3"/>
        <v>5.8989378509102401E-2</v>
      </c>
    </row>
    <row r="89" spans="4:9" x14ac:dyDescent="0.2">
      <c r="D89" s="8" t="s">
        <v>633</v>
      </c>
      <c r="E89" s="29">
        <v>6258</v>
      </c>
      <c r="F89" s="29">
        <v>6582</v>
      </c>
      <c r="G89" s="29">
        <v>7001</v>
      </c>
      <c r="H89" s="57">
        <f t="shared" si="2"/>
        <v>5.1773729626078617E-2</v>
      </c>
      <c r="I89" s="57">
        <f t="shared" si="3"/>
        <v>6.3658462473412336E-2</v>
      </c>
    </row>
    <row r="90" spans="4:9" x14ac:dyDescent="0.2">
      <c r="D90" s="8" t="s">
        <v>634</v>
      </c>
      <c r="E90" s="29">
        <v>15544</v>
      </c>
      <c r="F90" s="29">
        <v>15698</v>
      </c>
      <c r="G90" s="29">
        <v>16256</v>
      </c>
      <c r="H90" s="57">
        <f t="shared" si="2"/>
        <v>9.9073597529593417E-3</v>
      </c>
      <c r="I90" s="57">
        <f t="shared" si="3"/>
        <v>3.5545929417760226E-2</v>
      </c>
    </row>
    <row r="91" spans="4:9" x14ac:dyDescent="0.2">
      <c r="D91" s="8" t="s">
        <v>635</v>
      </c>
      <c r="E91" s="29">
        <v>30095</v>
      </c>
      <c r="F91" s="29">
        <v>34047</v>
      </c>
      <c r="G91" s="29">
        <v>36252</v>
      </c>
      <c r="H91" s="57">
        <f t="shared" si="2"/>
        <v>0.13131749460043196</v>
      </c>
      <c r="I91" s="57">
        <f t="shared" si="3"/>
        <v>6.4763415278879202E-2</v>
      </c>
    </row>
    <row r="92" spans="4:9" x14ac:dyDescent="0.2">
      <c r="D92" s="8" t="s">
        <v>636</v>
      </c>
      <c r="E92" s="29">
        <v>13366</v>
      </c>
      <c r="F92" s="29">
        <v>17691</v>
      </c>
      <c r="G92" s="29">
        <v>18677</v>
      </c>
      <c r="H92" s="57">
        <f t="shared" si="2"/>
        <v>0.32358222355229688</v>
      </c>
      <c r="I92" s="57">
        <f t="shared" si="3"/>
        <v>5.5734554293143404E-2</v>
      </c>
    </row>
    <row r="93" spans="4:9" x14ac:dyDescent="0.2">
      <c r="D93" s="8" t="s">
        <v>637</v>
      </c>
      <c r="E93" s="29">
        <v>5423</v>
      </c>
      <c r="F93" s="29">
        <v>5879</v>
      </c>
      <c r="G93" s="29">
        <v>6113</v>
      </c>
      <c r="H93" s="57">
        <f t="shared" si="2"/>
        <v>8.4086299096441081E-2</v>
      </c>
      <c r="I93" s="57">
        <f t="shared" si="3"/>
        <v>3.9802687531893179E-2</v>
      </c>
    </row>
    <row r="94" spans="4:9" x14ac:dyDescent="0.2">
      <c r="D94" s="8" t="s">
        <v>638</v>
      </c>
      <c r="E94" s="29">
        <v>23495</v>
      </c>
      <c r="F94" s="29">
        <v>21997</v>
      </c>
      <c r="G94" s="29">
        <v>22790</v>
      </c>
      <c r="H94" s="57">
        <f t="shared" si="2"/>
        <v>-6.3758246435411794E-2</v>
      </c>
      <c r="I94" s="57">
        <f t="shared" si="3"/>
        <v>3.6050370505068874E-2</v>
      </c>
    </row>
    <row r="95" spans="4:9" x14ac:dyDescent="0.2">
      <c r="D95" s="8" t="s">
        <v>639</v>
      </c>
      <c r="E95" s="29">
        <v>5823</v>
      </c>
      <c r="F95" s="29">
        <v>10391</v>
      </c>
      <c r="G95" s="29">
        <v>16226</v>
      </c>
      <c r="H95" s="57">
        <f t="shared" si="2"/>
        <v>0.78447535634552634</v>
      </c>
      <c r="I95" s="57">
        <f t="shared" si="3"/>
        <v>0.56154364353767683</v>
      </c>
    </row>
    <row r="96" spans="4:9" x14ac:dyDescent="0.2">
      <c r="D96" s="8" t="s">
        <v>640</v>
      </c>
      <c r="E96" s="29">
        <v>5825</v>
      </c>
      <c r="F96" s="29">
        <v>6236</v>
      </c>
      <c r="G96" s="29">
        <v>6673</v>
      </c>
      <c r="H96" s="57">
        <f t="shared" si="2"/>
        <v>7.0557939914163093E-2</v>
      </c>
      <c r="I96" s="57">
        <f t="shared" si="3"/>
        <v>7.007697241821681E-2</v>
      </c>
    </row>
    <row r="97" spans="4:9" x14ac:dyDescent="0.2">
      <c r="D97" s="8" t="s">
        <v>641</v>
      </c>
      <c r="E97" s="29">
        <v>48111</v>
      </c>
      <c r="F97" s="29">
        <v>137002</v>
      </c>
      <c r="G97" s="29">
        <v>146341</v>
      </c>
      <c r="H97" s="57">
        <f t="shared" si="2"/>
        <v>1.8476232046725281</v>
      </c>
      <c r="I97" s="57">
        <f t="shared" si="3"/>
        <v>6.8166888074626647E-2</v>
      </c>
    </row>
    <row r="98" spans="4:9" x14ac:dyDescent="0.2">
      <c r="D98" s="8" t="s">
        <v>642</v>
      </c>
      <c r="E98" s="29">
        <v>9823</v>
      </c>
      <c r="F98" s="29">
        <v>10686</v>
      </c>
      <c r="G98" s="29">
        <v>11828</v>
      </c>
      <c r="H98" s="57">
        <f t="shared" si="2"/>
        <v>8.7855034103634322E-2</v>
      </c>
      <c r="I98" s="57">
        <f t="shared" si="3"/>
        <v>0.10686880029945724</v>
      </c>
    </row>
    <row r="99" spans="4:9" x14ac:dyDescent="0.2">
      <c r="D99" s="8" t="s">
        <v>643</v>
      </c>
      <c r="E99" s="29">
        <v>38727</v>
      </c>
      <c r="F99" s="29">
        <v>35552</v>
      </c>
      <c r="G99" s="29">
        <v>36469</v>
      </c>
      <c r="H99" s="57">
        <f t="shared" si="2"/>
        <v>-8.198414542825419E-2</v>
      </c>
      <c r="I99" s="57">
        <f t="shared" si="3"/>
        <v>2.5793204320432042E-2</v>
      </c>
    </row>
    <row r="100" spans="4:9" x14ac:dyDescent="0.2">
      <c r="D100" s="8" t="s">
        <v>644</v>
      </c>
      <c r="E100" s="29">
        <v>3724</v>
      </c>
      <c r="F100" s="30">
        <v>4341</v>
      </c>
      <c r="G100" s="30">
        <v>4953</v>
      </c>
      <c r="H100" s="57">
        <f t="shared" si="2"/>
        <v>0.16568206229860366</v>
      </c>
      <c r="I100" s="57">
        <f t="shared" si="3"/>
        <v>0.1409813407049067</v>
      </c>
    </row>
    <row r="101" spans="4:9" x14ac:dyDescent="0.2">
      <c r="D101" s="8" t="s">
        <v>645</v>
      </c>
      <c r="E101" s="29">
        <v>17132</v>
      </c>
      <c r="F101" s="29">
        <v>17571</v>
      </c>
      <c r="G101" s="29">
        <v>17826</v>
      </c>
      <c r="H101" s="57">
        <f t="shared" si="2"/>
        <v>2.5624562222741069E-2</v>
      </c>
      <c r="I101" s="57">
        <f t="shared" si="3"/>
        <v>1.4512549086563086E-2</v>
      </c>
    </row>
    <row r="102" spans="4:9" x14ac:dyDescent="0.2">
      <c r="D102" s="8" t="s">
        <v>646</v>
      </c>
      <c r="E102" s="29">
        <v>75356</v>
      </c>
      <c r="F102" s="29">
        <v>78339</v>
      </c>
      <c r="G102" s="29">
        <v>80833</v>
      </c>
      <c r="H102" s="57">
        <f t="shared" si="2"/>
        <v>3.9585434471044109E-2</v>
      </c>
      <c r="I102" s="57">
        <f t="shared" si="3"/>
        <v>3.1835994842926256E-2</v>
      </c>
    </row>
    <row r="103" spans="4:9" x14ac:dyDescent="0.2">
      <c r="D103" s="8" t="s">
        <v>1023</v>
      </c>
      <c r="E103" s="29">
        <v>2389</v>
      </c>
      <c r="F103" s="29">
        <v>2844</v>
      </c>
      <c r="G103" s="29">
        <v>3086</v>
      </c>
      <c r="H103" s="57">
        <f t="shared" si="2"/>
        <v>0.19045625784847217</v>
      </c>
      <c r="I103" s="57">
        <f t="shared" si="3"/>
        <v>8.5091420534458506E-2</v>
      </c>
    </row>
    <row r="104" spans="4:9" x14ac:dyDescent="0.2">
      <c r="D104" s="8" t="s">
        <v>647</v>
      </c>
      <c r="E104" s="29">
        <v>79591</v>
      </c>
      <c r="F104" s="29">
        <v>77894</v>
      </c>
      <c r="G104" s="29">
        <v>80959</v>
      </c>
      <c r="H104" s="57">
        <f t="shared" si="2"/>
        <v>-2.13215062004498E-2</v>
      </c>
      <c r="I104" s="57">
        <f t="shared" si="3"/>
        <v>3.9348345187049064E-2</v>
      </c>
    </row>
    <row r="105" spans="4:9" x14ac:dyDescent="0.2">
      <c r="D105" s="8" t="s">
        <v>1024</v>
      </c>
      <c r="E105" s="29">
        <v>14668</v>
      </c>
      <c r="F105" s="29">
        <v>15227</v>
      </c>
      <c r="G105" s="29">
        <v>15880</v>
      </c>
      <c r="H105" s="57">
        <f t="shared" si="2"/>
        <v>3.8110171802563403E-2</v>
      </c>
      <c r="I105" s="57">
        <f t="shared" si="3"/>
        <v>4.2884350167465689E-2</v>
      </c>
    </row>
    <row r="106" spans="4:9" x14ac:dyDescent="0.2">
      <c r="D106" s="8" t="s">
        <v>648</v>
      </c>
      <c r="E106" s="29">
        <v>40107</v>
      </c>
      <c r="F106" s="29">
        <v>39856</v>
      </c>
      <c r="G106" s="29">
        <v>40536</v>
      </c>
      <c r="H106" s="57">
        <f t="shared" si="2"/>
        <v>-6.2582591567556783E-3</v>
      </c>
      <c r="I106" s="57">
        <f t="shared" si="3"/>
        <v>1.7061421116017664E-2</v>
      </c>
    </row>
    <row r="107" spans="4:9" x14ac:dyDescent="0.2">
      <c r="D107" s="8" t="s">
        <v>649</v>
      </c>
      <c r="E107" s="29">
        <v>27058</v>
      </c>
      <c r="F107" s="29">
        <v>29069</v>
      </c>
      <c r="G107" s="29">
        <v>30925</v>
      </c>
      <c r="H107" s="57">
        <f t="shared" si="2"/>
        <v>7.4321827186044798E-2</v>
      </c>
      <c r="I107" s="57">
        <f t="shared" si="3"/>
        <v>6.3848085589459563E-2</v>
      </c>
    </row>
    <row r="108" spans="4:9" x14ac:dyDescent="0.2">
      <c r="D108" s="8" t="s">
        <v>650</v>
      </c>
      <c r="E108" s="29">
        <v>36193</v>
      </c>
      <c r="F108" s="29">
        <v>39162</v>
      </c>
      <c r="G108" s="29">
        <v>41035</v>
      </c>
      <c r="H108" s="57">
        <f t="shared" si="2"/>
        <v>8.2032437211615503E-2</v>
      </c>
      <c r="I108" s="57">
        <f t="shared" si="3"/>
        <v>4.7826975128951538E-2</v>
      </c>
    </row>
    <row r="109" spans="4:9" x14ac:dyDescent="0.2">
      <c r="D109" s="8" t="s">
        <v>651</v>
      </c>
      <c r="E109" s="29">
        <v>12250</v>
      </c>
      <c r="F109" s="29">
        <v>12103</v>
      </c>
      <c r="G109" s="29">
        <v>12386</v>
      </c>
      <c r="H109" s="57">
        <f t="shared" si="2"/>
        <v>-1.2E-2</v>
      </c>
      <c r="I109" s="57">
        <f t="shared" si="3"/>
        <v>2.3382632405188796E-2</v>
      </c>
    </row>
    <row r="110" spans="4:9" x14ac:dyDescent="0.2">
      <c r="D110" s="8" t="s">
        <v>652</v>
      </c>
      <c r="E110" s="29">
        <v>15762</v>
      </c>
      <c r="F110" s="29">
        <v>15547</v>
      </c>
      <c r="G110" s="29">
        <v>15680</v>
      </c>
      <c r="H110" s="57">
        <f t="shared" si="2"/>
        <v>-1.3640400964344627E-2</v>
      </c>
      <c r="I110" s="57">
        <f t="shared" si="3"/>
        <v>8.5547050877982887E-3</v>
      </c>
    </row>
    <row r="111" spans="4:9" x14ac:dyDescent="0.2">
      <c r="D111" s="8" t="s">
        <v>653</v>
      </c>
      <c r="E111" s="29">
        <v>14950</v>
      </c>
      <c r="F111" s="29">
        <v>16843</v>
      </c>
      <c r="G111" s="29">
        <v>18219</v>
      </c>
      <c r="H111" s="57">
        <f t="shared" si="2"/>
        <v>0.12662207357859531</v>
      </c>
      <c r="I111" s="57">
        <f t="shared" si="3"/>
        <v>8.1695659918066849E-2</v>
      </c>
    </row>
    <row r="112" spans="4:9" x14ac:dyDescent="0.2">
      <c r="D112" s="8" t="s">
        <v>654</v>
      </c>
      <c r="E112" s="29">
        <v>8930</v>
      </c>
      <c r="F112" s="29">
        <v>9067</v>
      </c>
      <c r="G112" s="29">
        <v>9833</v>
      </c>
      <c r="H112" s="57">
        <f t="shared" si="2"/>
        <v>1.5341545352743562E-2</v>
      </c>
      <c r="I112" s="57">
        <f t="shared" si="3"/>
        <v>8.4482188154847246E-2</v>
      </c>
    </row>
    <row r="113" spans="4:9" x14ac:dyDescent="0.2">
      <c r="D113" s="8" t="s">
        <v>655</v>
      </c>
      <c r="E113" s="29">
        <v>14198</v>
      </c>
      <c r="F113" s="29">
        <v>14382</v>
      </c>
      <c r="G113" s="29">
        <v>15551</v>
      </c>
      <c r="H113" s="57">
        <f t="shared" si="2"/>
        <v>1.2959571770671925E-2</v>
      </c>
      <c r="I113" s="57">
        <f t="shared" si="3"/>
        <v>8.1282158253372275E-2</v>
      </c>
    </row>
    <row r="114" spans="4:9" x14ac:dyDescent="0.2">
      <c r="D114" s="8" t="s">
        <v>656</v>
      </c>
      <c r="E114" s="29">
        <v>18486</v>
      </c>
      <c r="F114" s="29">
        <v>18506</v>
      </c>
      <c r="G114" s="29">
        <v>18849</v>
      </c>
      <c r="H114" s="57">
        <f t="shared" si="2"/>
        <v>1.0818998160770314E-3</v>
      </c>
      <c r="I114" s="57">
        <f t="shared" si="3"/>
        <v>1.8534529341835082E-2</v>
      </c>
    </row>
    <row r="115" spans="4:9" x14ac:dyDescent="0.2">
      <c r="D115" s="8" t="s">
        <v>657</v>
      </c>
      <c r="E115" s="29">
        <v>30391</v>
      </c>
      <c r="F115" s="29">
        <v>23113</v>
      </c>
      <c r="G115" s="29">
        <v>20392</v>
      </c>
      <c r="H115" s="57">
        <f t="shared" si="2"/>
        <v>-0.23947879306373598</v>
      </c>
      <c r="I115" s="57">
        <f t="shared" si="3"/>
        <v>-0.11772595509020897</v>
      </c>
    </row>
    <row r="116" spans="4:9" x14ac:dyDescent="0.2">
      <c r="D116" s="8" t="s">
        <v>658</v>
      </c>
      <c r="E116" s="29">
        <v>147049</v>
      </c>
      <c r="F116" s="29">
        <v>145612</v>
      </c>
      <c r="G116" s="29">
        <v>145142</v>
      </c>
      <c r="H116" s="57">
        <f t="shared" si="2"/>
        <v>-9.772252786486137E-3</v>
      </c>
      <c r="I116" s="57">
        <f t="shared" si="3"/>
        <v>-3.2277559541796005E-3</v>
      </c>
    </row>
    <row r="117" spans="4:9" x14ac:dyDescent="0.2">
      <c r="D117" s="8" t="s">
        <v>39</v>
      </c>
      <c r="E117" s="29">
        <v>33351</v>
      </c>
      <c r="F117" s="29">
        <v>34672</v>
      </c>
      <c r="G117" s="29">
        <v>35406</v>
      </c>
      <c r="H117" s="57">
        <f t="shared" si="2"/>
        <v>3.9609007226170133E-2</v>
      </c>
      <c r="I117" s="57">
        <f t="shared" si="3"/>
        <v>2.1169820027688049E-2</v>
      </c>
    </row>
    <row r="118" spans="4:9" x14ac:dyDescent="0.2">
      <c r="D118" s="8" t="s">
        <v>659</v>
      </c>
      <c r="E118" s="29">
        <v>5072</v>
      </c>
      <c r="F118" s="29">
        <v>5585</v>
      </c>
      <c r="G118" s="29">
        <v>6101</v>
      </c>
      <c r="H118" s="57">
        <f t="shared" si="2"/>
        <v>0.10114353312302839</v>
      </c>
      <c r="I118" s="57">
        <f t="shared" si="3"/>
        <v>9.2390331244404655E-2</v>
      </c>
    </row>
    <row r="119" spans="4:9" x14ac:dyDescent="0.2">
      <c r="D119" s="8" t="s">
        <v>660</v>
      </c>
      <c r="E119" s="29">
        <v>3048</v>
      </c>
      <c r="F119" s="29">
        <v>3700</v>
      </c>
      <c r="G119" s="29">
        <v>4515</v>
      </c>
      <c r="H119" s="57">
        <f t="shared" si="2"/>
        <v>0.21391076115485563</v>
      </c>
      <c r="I119" s="57">
        <f t="shared" si="3"/>
        <v>0.22027027027027027</v>
      </c>
    </row>
    <row r="120" spans="4:9" x14ac:dyDescent="0.2">
      <c r="D120" s="8" t="s">
        <v>661</v>
      </c>
      <c r="E120" s="29">
        <v>47389</v>
      </c>
      <c r="F120" s="29">
        <v>49052</v>
      </c>
      <c r="G120" s="29">
        <v>48837</v>
      </c>
      <c r="H120" s="57">
        <f t="shared" si="2"/>
        <v>3.5092532022199245E-2</v>
      </c>
      <c r="I120" s="57">
        <f t="shared" si="3"/>
        <v>-4.38310364511131E-3</v>
      </c>
    </row>
    <row r="121" spans="4:9" x14ac:dyDescent="0.2">
      <c r="D121" s="8" t="s">
        <v>662</v>
      </c>
      <c r="E121" s="29">
        <v>10770</v>
      </c>
      <c r="F121" s="29">
        <v>11167</v>
      </c>
      <c r="G121" s="29">
        <v>11893</v>
      </c>
      <c r="H121" s="57">
        <f t="shared" si="2"/>
        <v>3.6861652739090062E-2</v>
      </c>
      <c r="I121" s="57">
        <f t="shared" si="3"/>
        <v>6.5012984687024267E-2</v>
      </c>
    </row>
    <row r="122" spans="4:9" x14ac:dyDescent="0.2">
      <c r="D122" s="8" t="s">
        <v>663</v>
      </c>
      <c r="E122" s="29">
        <v>14914</v>
      </c>
      <c r="F122" s="29">
        <v>15653</v>
      </c>
      <c r="G122" s="29">
        <v>16820</v>
      </c>
      <c r="H122" s="57">
        <f t="shared" si="2"/>
        <v>4.9550757677350142E-2</v>
      </c>
      <c r="I122" s="57">
        <f t="shared" si="3"/>
        <v>7.4554398517856002E-2</v>
      </c>
    </row>
    <row r="123" spans="4:9" x14ac:dyDescent="0.2">
      <c r="D123" s="8" t="s">
        <v>664</v>
      </c>
      <c r="E123" s="29">
        <v>11458</v>
      </c>
      <c r="F123" s="29">
        <v>11587</v>
      </c>
      <c r="G123" s="29">
        <v>11995</v>
      </c>
      <c r="H123" s="57">
        <f t="shared" si="2"/>
        <v>1.1258509338453482E-2</v>
      </c>
      <c r="I123" s="57">
        <f t="shared" si="3"/>
        <v>3.5211875377578319E-2</v>
      </c>
    </row>
    <row r="124" spans="4:9" x14ac:dyDescent="0.2">
      <c r="D124" s="8" t="s">
        <v>665</v>
      </c>
      <c r="E124" s="29">
        <v>5658</v>
      </c>
      <c r="F124" s="29">
        <v>5740</v>
      </c>
      <c r="G124" s="29">
        <v>5796</v>
      </c>
      <c r="H124" s="57">
        <f t="shared" si="2"/>
        <v>1.4492753623188406E-2</v>
      </c>
      <c r="I124" s="57">
        <f t="shared" si="3"/>
        <v>9.7560975609756097E-3</v>
      </c>
    </row>
    <row r="125" spans="4:9" x14ac:dyDescent="0.2">
      <c r="D125" s="8" t="s">
        <v>666</v>
      </c>
      <c r="E125" s="29">
        <v>3813</v>
      </c>
      <c r="F125" s="29">
        <v>4238</v>
      </c>
      <c r="G125" s="29">
        <v>4702</v>
      </c>
      <c r="H125" s="57">
        <f t="shared" si="2"/>
        <v>0.11146079202727512</v>
      </c>
      <c r="I125" s="57">
        <f t="shared" si="3"/>
        <v>0.10948560641812176</v>
      </c>
    </row>
    <row r="126" spans="4:9" x14ac:dyDescent="0.2">
      <c r="D126" s="8" t="s">
        <v>667</v>
      </c>
      <c r="E126" s="29">
        <v>32815</v>
      </c>
      <c r="F126" s="29">
        <v>33320</v>
      </c>
      <c r="G126" s="29">
        <v>35528</v>
      </c>
      <c r="H126" s="57">
        <f t="shared" si="2"/>
        <v>1.5389303672101173E-2</v>
      </c>
      <c r="I126" s="57">
        <f t="shared" si="3"/>
        <v>6.6266506602641051E-2</v>
      </c>
    </row>
    <row r="127" spans="4:9" x14ac:dyDescent="0.2">
      <c r="D127" s="8" t="s">
        <v>668</v>
      </c>
      <c r="E127" s="30">
        <v>16197</v>
      </c>
      <c r="F127" s="30">
        <v>16437</v>
      </c>
      <c r="G127" s="30">
        <v>17039</v>
      </c>
      <c r="H127" s="57">
        <f t="shared" si="2"/>
        <v>1.4817558807186515E-2</v>
      </c>
      <c r="I127" s="57">
        <f t="shared" si="3"/>
        <v>3.6624688203443452E-2</v>
      </c>
    </row>
    <row r="128" spans="4:9" x14ac:dyDescent="0.2">
      <c r="D128" s="8" t="s">
        <v>669</v>
      </c>
      <c r="E128" s="29">
        <v>13453</v>
      </c>
      <c r="F128" s="29">
        <v>14128</v>
      </c>
      <c r="G128" s="29">
        <v>13898</v>
      </c>
      <c r="H128" s="57">
        <f t="shared" si="2"/>
        <v>5.017468222701256E-2</v>
      </c>
      <c r="I128" s="57">
        <f t="shared" si="3"/>
        <v>-1.6279728199320498E-2</v>
      </c>
    </row>
    <row r="129" spans="4:9" x14ac:dyDescent="0.2">
      <c r="D129" s="8" t="s">
        <v>670</v>
      </c>
      <c r="E129" s="29">
        <v>14768</v>
      </c>
      <c r="F129" s="29">
        <v>14265</v>
      </c>
      <c r="G129" s="29">
        <v>14488</v>
      </c>
      <c r="H129" s="57">
        <f t="shared" si="2"/>
        <v>-3.4060130010834237E-2</v>
      </c>
      <c r="I129" s="57">
        <f t="shared" si="3"/>
        <v>1.563266736768314E-2</v>
      </c>
    </row>
    <row r="130" spans="4:9" x14ac:dyDescent="0.2">
      <c r="D130" s="8" t="s">
        <v>671</v>
      </c>
      <c r="E130" s="29">
        <v>32610</v>
      </c>
      <c r="F130" s="29">
        <v>36932</v>
      </c>
      <c r="G130" s="29">
        <v>40701</v>
      </c>
      <c r="H130" s="57">
        <f t="shared" si="2"/>
        <v>0.13253603189205765</v>
      </c>
      <c r="I130" s="57">
        <f t="shared" si="3"/>
        <v>0.10205242066500596</v>
      </c>
    </row>
    <row r="131" spans="4:9" x14ac:dyDescent="0.2">
      <c r="D131" s="8" t="s">
        <v>672</v>
      </c>
      <c r="E131" s="29">
        <v>35985</v>
      </c>
      <c r="F131" s="29">
        <v>32353</v>
      </c>
      <c r="G131" s="29">
        <v>31497</v>
      </c>
      <c r="H131" s="57">
        <f t="shared" si="2"/>
        <v>-0.10093094344865916</v>
      </c>
      <c r="I131" s="57">
        <f t="shared" si="3"/>
        <v>-2.645813371248416E-2</v>
      </c>
    </row>
    <row r="132" spans="4:9" x14ac:dyDescent="0.2">
      <c r="D132" s="8" t="s">
        <v>673</v>
      </c>
      <c r="E132" s="29">
        <v>10132</v>
      </c>
      <c r="F132" s="29">
        <v>10719</v>
      </c>
      <c r="G132" s="29">
        <v>10840</v>
      </c>
      <c r="H132" s="57">
        <f t="shared" si="2"/>
        <v>5.7935254638768259E-2</v>
      </c>
      <c r="I132" s="57">
        <f t="shared" si="3"/>
        <v>1.1288366452094412E-2</v>
      </c>
    </row>
    <row r="133" spans="4:9" x14ac:dyDescent="0.2">
      <c r="D133" s="8" t="s">
        <v>674</v>
      </c>
      <c r="E133" s="29">
        <v>14866</v>
      </c>
      <c r="F133" s="29">
        <v>15997</v>
      </c>
      <c r="G133" s="29">
        <v>17106</v>
      </c>
      <c r="H133" s="57">
        <f t="shared" ref="H133:H196" si="4">(F133-E133)/E133</f>
        <v>7.6079644827122289E-2</v>
      </c>
      <c r="I133" s="57">
        <f t="shared" ref="I133:I196" si="5">(G133-F133)/F133</f>
        <v>6.9325498530974555E-2</v>
      </c>
    </row>
    <row r="134" spans="4:9" x14ac:dyDescent="0.2">
      <c r="D134" s="8" t="s">
        <v>675</v>
      </c>
      <c r="E134" s="29">
        <v>68161</v>
      </c>
      <c r="F134" s="29">
        <v>64707</v>
      </c>
      <c r="G134" s="29">
        <v>66732</v>
      </c>
      <c r="H134" s="57">
        <f t="shared" si="4"/>
        <v>-5.067413917049339E-2</v>
      </c>
      <c r="I134" s="57">
        <f t="shared" si="5"/>
        <v>3.1294913996940052E-2</v>
      </c>
    </row>
    <row r="135" spans="4:9" x14ac:dyDescent="0.2">
      <c r="D135" s="8" t="s">
        <v>676</v>
      </c>
      <c r="E135" s="29">
        <v>17253</v>
      </c>
      <c r="F135" s="29">
        <v>14504</v>
      </c>
      <c r="G135" s="29">
        <v>15617</v>
      </c>
      <c r="H135" s="57">
        <f t="shared" si="4"/>
        <v>-0.15933460847388861</v>
      </c>
      <c r="I135" s="57">
        <f t="shared" si="5"/>
        <v>7.6737451737451737E-2</v>
      </c>
    </row>
    <row r="136" spans="4:9" x14ac:dyDescent="0.2">
      <c r="D136" s="8" t="s">
        <v>677</v>
      </c>
      <c r="E136" s="29">
        <v>17534</v>
      </c>
      <c r="F136" s="29">
        <v>18026</v>
      </c>
      <c r="G136" s="29">
        <v>18865</v>
      </c>
      <c r="H136" s="57">
        <f t="shared" si="4"/>
        <v>2.8059769590509865E-2</v>
      </c>
      <c r="I136" s="57">
        <f t="shared" si="5"/>
        <v>4.6543881060690115E-2</v>
      </c>
    </row>
    <row r="137" spans="4:9" x14ac:dyDescent="0.2">
      <c r="D137" s="8" t="s">
        <v>678</v>
      </c>
      <c r="E137" s="29">
        <v>17275</v>
      </c>
      <c r="F137" s="29">
        <v>17654</v>
      </c>
      <c r="G137" s="29">
        <v>19412</v>
      </c>
      <c r="H137" s="57">
        <f t="shared" si="4"/>
        <v>2.1939218523878437E-2</v>
      </c>
      <c r="I137" s="57">
        <f t="shared" si="5"/>
        <v>9.9580831539594419E-2</v>
      </c>
    </row>
    <row r="138" spans="4:9" x14ac:dyDescent="0.2">
      <c r="D138" s="8" t="s">
        <v>679</v>
      </c>
      <c r="E138" s="29">
        <v>3333</v>
      </c>
      <c r="F138" s="29">
        <v>3524</v>
      </c>
      <c r="G138" s="29">
        <v>4012</v>
      </c>
      <c r="H138" s="57">
        <f t="shared" si="4"/>
        <v>5.7305730573057309E-2</v>
      </c>
      <c r="I138" s="57">
        <f t="shared" si="5"/>
        <v>0.13847900113507378</v>
      </c>
    </row>
    <row r="139" spans="4:9" x14ac:dyDescent="0.2">
      <c r="D139" s="8" t="s">
        <v>680</v>
      </c>
      <c r="E139" s="29">
        <v>11127</v>
      </c>
      <c r="F139" s="29">
        <v>11300</v>
      </c>
      <c r="G139" s="29">
        <v>11834</v>
      </c>
      <c r="H139" s="57">
        <f t="shared" si="4"/>
        <v>1.5547766693628113E-2</v>
      </c>
      <c r="I139" s="57">
        <f t="shared" si="5"/>
        <v>4.7256637168141595E-2</v>
      </c>
    </row>
    <row r="140" spans="4:9" x14ac:dyDescent="0.2">
      <c r="D140" s="8" t="s">
        <v>681</v>
      </c>
      <c r="E140" s="29">
        <v>114217</v>
      </c>
      <c r="F140" s="29">
        <v>106884</v>
      </c>
      <c r="G140" s="29">
        <v>116888</v>
      </c>
      <c r="H140" s="57">
        <f t="shared" si="4"/>
        <v>-6.4202351663937937E-2</v>
      </c>
      <c r="I140" s="57">
        <f t="shared" si="5"/>
        <v>9.3596796527076087E-2</v>
      </c>
    </row>
    <row r="141" spans="4:9" x14ac:dyDescent="0.2">
      <c r="D141" s="8" t="s">
        <v>682</v>
      </c>
      <c r="E141" s="29">
        <v>28076</v>
      </c>
      <c r="F141" s="29">
        <v>28836</v>
      </c>
      <c r="G141" s="29">
        <v>30113</v>
      </c>
      <c r="H141" s="57">
        <f t="shared" si="4"/>
        <v>2.7069383103006127E-2</v>
      </c>
      <c r="I141" s="57">
        <f t="shared" si="5"/>
        <v>4.4284921625745599E-2</v>
      </c>
    </row>
    <row r="142" spans="4:9" x14ac:dyDescent="0.2">
      <c r="D142" s="8" t="s">
        <v>683</v>
      </c>
      <c r="E142" s="29">
        <v>2754</v>
      </c>
      <c r="F142" s="29">
        <v>2857</v>
      </c>
      <c r="G142" s="29">
        <v>2942</v>
      </c>
      <c r="H142" s="57">
        <f t="shared" si="4"/>
        <v>3.7400145243282501E-2</v>
      </c>
      <c r="I142" s="57">
        <f t="shared" si="5"/>
        <v>2.9751487574378718E-2</v>
      </c>
    </row>
    <row r="143" spans="4:9" x14ac:dyDescent="0.2">
      <c r="D143" s="8" t="s">
        <v>684</v>
      </c>
      <c r="E143" s="29">
        <v>56912</v>
      </c>
      <c r="F143" s="29">
        <v>64490</v>
      </c>
      <c r="G143" s="29">
        <v>70583</v>
      </c>
      <c r="H143" s="57">
        <f t="shared" si="4"/>
        <v>0.13315293786899071</v>
      </c>
      <c r="I143" s="57">
        <f t="shared" si="5"/>
        <v>9.4479764304543343E-2</v>
      </c>
    </row>
    <row r="144" spans="4:9" x14ac:dyDescent="0.2">
      <c r="D144" s="8" t="s">
        <v>685</v>
      </c>
      <c r="E144" s="29">
        <v>6201</v>
      </c>
      <c r="F144" s="29">
        <v>6000</v>
      </c>
      <c r="G144" s="29">
        <v>6100</v>
      </c>
      <c r="H144" s="57">
        <f t="shared" si="4"/>
        <v>-3.2414126753749398E-2</v>
      </c>
      <c r="I144" s="57">
        <f t="shared" si="5"/>
        <v>1.6666666666666666E-2</v>
      </c>
    </row>
    <row r="145" spans="4:9" x14ac:dyDescent="0.2">
      <c r="D145" s="8" t="s">
        <v>686</v>
      </c>
      <c r="E145" s="29">
        <v>131537</v>
      </c>
      <c r="F145" s="29">
        <v>136781</v>
      </c>
      <c r="G145" s="29">
        <v>140345</v>
      </c>
      <c r="H145" s="57">
        <f t="shared" si="4"/>
        <v>3.9867109634551492E-2</v>
      </c>
      <c r="I145" s="57">
        <f t="shared" si="5"/>
        <v>2.6056250502628289E-2</v>
      </c>
    </row>
    <row r="146" spans="4:9" x14ac:dyDescent="0.2">
      <c r="D146" s="8" t="s">
        <v>687</v>
      </c>
      <c r="E146" s="29">
        <v>14144</v>
      </c>
      <c r="F146" s="29">
        <v>13997</v>
      </c>
      <c r="G146" s="29">
        <v>14550</v>
      </c>
      <c r="H146" s="57">
        <f t="shared" si="4"/>
        <v>-1.0393099547511312E-2</v>
      </c>
      <c r="I146" s="57">
        <f t="shared" si="5"/>
        <v>3.9508466099878542E-2</v>
      </c>
    </row>
    <row r="147" spans="4:9" x14ac:dyDescent="0.2">
      <c r="D147" s="8" t="s">
        <v>688</v>
      </c>
      <c r="E147" s="29">
        <v>11687</v>
      </c>
      <c r="F147" s="29">
        <v>11805</v>
      </c>
      <c r="G147" s="29">
        <v>12358</v>
      </c>
      <c r="H147" s="57">
        <f t="shared" si="4"/>
        <v>1.009668862839052E-2</v>
      </c>
      <c r="I147" s="57">
        <f t="shared" si="5"/>
        <v>4.6844557390936042E-2</v>
      </c>
    </row>
    <row r="148" spans="4:9" x14ac:dyDescent="0.2">
      <c r="D148" s="8" t="s">
        <v>689</v>
      </c>
      <c r="E148" s="30">
        <v>14984</v>
      </c>
      <c r="F148" s="30">
        <v>15907</v>
      </c>
      <c r="G148" s="30">
        <v>16924</v>
      </c>
      <c r="H148" s="57">
        <f t="shared" si="4"/>
        <v>6.1599038974906567E-2</v>
      </c>
      <c r="I148" s="57">
        <f t="shared" si="5"/>
        <v>6.3934117055384418E-2</v>
      </c>
    </row>
    <row r="149" spans="4:9" x14ac:dyDescent="0.2">
      <c r="D149" s="8" t="s">
        <v>690</v>
      </c>
      <c r="E149" s="29">
        <v>27059</v>
      </c>
      <c r="F149" s="29">
        <v>28190</v>
      </c>
      <c r="G149" s="29">
        <v>29576</v>
      </c>
      <c r="H149" s="57">
        <f t="shared" si="4"/>
        <v>4.1797553494216343E-2</v>
      </c>
      <c r="I149" s="57">
        <f t="shared" si="5"/>
        <v>4.9166371053565097E-2</v>
      </c>
    </row>
    <row r="150" spans="4:9" x14ac:dyDescent="0.2">
      <c r="D150" s="8" t="s">
        <v>691</v>
      </c>
      <c r="E150" s="29">
        <v>18934</v>
      </c>
      <c r="F150" s="29">
        <v>20662</v>
      </c>
      <c r="G150" s="29">
        <v>28396</v>
      </c>
      <c r="H150" s="57">
        <f t="shared" si="4"/>
        <v>9.1264392098869759E-2</v>
      </c>
      <c r="I150" s="57">
        <f t="shared" si="5"/>
        <v>0.37431032813861193</v>
      </c>
    </row>
    <row r="151" spans="4:9" x14ac:dyDescent="0.2">
      <c r="D151" s="8" t="s">
        <v>380</v>
      </c>
      <c r="E151" s="29">
        <v>69693</v>
      </c>
      <c r="F151" s="29">
        <v>70200</v>
      </c>
      <c r="G151" s="29">
        <v>73411</v>
      </c>
      <c r="H151" s="57">
        <f t="shared" si="4"/>
        <v>7.2747621712367094E-3</v>
      </c>
      <c r="I151" s="57">
        <f t="shared" si="5"/>
        <v>4.5740740740740742E-2</v>
      </c>
    </row>
    <row r="152" spans="4:9" x14ac:dyDescent="0.2">
      <c r="D152" s="8" t="s">
        <v>692</v>
      </c>
      <c r="E152" s="29">
        <v>7262</v>
      </c>
      <c r="F152" s="29">
        <v>6345</v>
      </c>
      <c r="G152" s="29">
        <v>7015</v>
      </c>
      <c r="H152" s="57">
        <f t="shared" si="4"/>
        <v>-0.12627375378683559</v>
      </c>
      <c r="I152" s="57">
        <f t="shared" si="5"/>
        <v>0.10559495665878645</v>
      </c>
    </row>
    <row r="153" spans="4:9" x14ac:dyDescent="0.2">
      <c r="D153" s="8" t="s">
        <v>1025</v>
      </c>
      <c r="E153" s="29">
        <v>5199</v>
      </c>
      <c r="F153" s="29">
        <v>5471</v>
      </c>
      <c r="G153" s="29">
        <v>5863</v>
      </c>
      <c r="H153" s="57">
        <f t="shared" si="4"/>
        <v>5.2317753414118102E-2</v>
      </c>
      <c r="I153" s="57">
        <f t="shared" si="5"/>
        <v>7.165052092853226E-2</v>
      </c>
    </row>
    <row r="154" spans="4:9" x14ac:dyDescent="0.2">
      <c r="D154" s="8" t="s">
        <v>693</v>
      </c>
      <c r="E154" s="29">
        <v>16392</v>
      </c>
      <c r="F154" s="29">
        <v>15669</v>
      </c>
      <c r="G154" s="29">
        <v>15713</v>
      </c>
      <c r="H154" s="57">
        <f t="shared" si="4"/>
        <v>-4.4106881405563687E-2</v>
      </c>
      <c r="I154" s="57">
        <f t="shared" si="5"/>
        <v>2.8080924117684599E-3</v>
      </c>
    </row>
    <row r="155" spans="4:9" x14ac:dyDescent="0.2">
      <c r="D155" s="8" t="s">
        <v>694</v>
      </c>
      <c r="E155" s="29">
        <v>21758</v>
      </c>
      <c r="F155" s="29">
        <v>21994</v>
      </c>
      <c r="G155" s="29">
        <v>21987</v>
      </c>
      <c r="H155" s="57">
        <f t="shared" si="4"/>
        <v>1.084658516407758E-2</v>
      </c>
      <c r="I155" s="57">
        <f t="shared" si="5"/>
        <v>-3.1826861871419476E-4</v>
      </c>
    </row>
    <row r="156" spans="4:9" x14ac:dyDescent="0.2">
      <c r="D156" s="8" t="s">
        <v>695</v>
      </c>
      <c r="E156" s="29">
        <v>4700</v>
      </c>
      <c r="F156" s="29">
        <v>5189</v>
      </c>
      <c r="G156" s="29">
        <v>5384</v>
      </c>
      <c r="H156" s="57">
        <f t="shared" si="4"/>
        <v>0.10404255319148936</v>
      </c>
      <c r="I156" s="57">
        <f t="shared" si="5"/>
        <v>3.7579495085758335E-2</v>
      </c>
    </row>
    <row r="157" spans="4:9" x14ac:dyDescent="0.2">
      <c r="D157" s="8" t="s">
        <v>696</v>
      </c>
      <c r="E157" s="29">
        <v>25625</v>
      </c>
      <c r="F157" s="29">
        <v>27653</v>
      </c>
      <c r="G157" s="29">
        <v>29737</v>
      </c>
      <c r="H157" s="57">
        <f t="shared" si="4"/>
        <v>7.9141463414634142E-2</v>
      </c>
      <c r="I157" s="57">
        <f t="shared" si="5"/>
        <v>7.5362528477922824E-2</v>
      </c>
    </row>
    <row r="158" spans="4:9" x14ac:dyDescent="0.2">
      <c r="D158" s="8" t="s">
        <v>697</v>
      </c>
      <c r="E158" s="29">
        <v>5688</v>
      </c>
      <c r="F158" s="29">
        <v>5569</v>
      </c>
      <c r="G158" s="29">
        <v>5783</v>
      </c>
      <c r="H158" s="57">
        <f t="shared" si="4"/>
        <v>-2.0921237693389591E-2</v>
      </c>
      <c r="I158" s="57">
        <f t="shared" si="5"/>
        <v>3.8427006643921707E-2</v>
      </c>
    </row>
    <row r="159" spans="4:9" x14ac:dyDescent="0.2">
      <c r="D159" s="8" t="s">
        <v>1026</v>
      </c>
      <c r="E159" s="29">
        <v>17408</v>
      </c>
      <c r="F159" s="29">
        <v>18472</v>
      </c>
      <c r="G159" s="29">
        <v>19113</v>
      </c>
      <c r="H159" s="57">
        <f t="shared" si="4"/>
        <v>6.1121323529411763E-2</v>
      </c>
      <c r="I159" s="57">
        <f t="shared" si="5"/>
        <v>3.4701169337375486E-2</v>
      </c>
    </row>
    <row r="160" spans="4:9" x14ac:dyDescent="0.2">
      <c r="D160" s="8" t="s">
        <v>698</v>
      </c>
      <c r="E160" s="29">
        <v>11654</v>
      </c>
      <c r="F160" s="29">
        <v>12391</v>
      </c>
      <c r="G160" s="29">
        <v>21646</v>
      </c>
      <c r="H160" s="57">
        <f t="shared" si="4"/>
        <v>6.3240089239746014E-2</v>
      </c>
      <c r="I160" s="57">
        <f t="shared" si="5"/>
        <v>0.74691308207570006</v>
      </c>
    </row>
    <row r="161" spans="4:9" x14ac:dyDescent="0.2">
      <c r="D161" s="8" t="s">
        <v>699</v>
      </c>
      <c r="E161" s="29">
        <v>4443</v>
      </c>
      <c r="F161" s="29">
        <v>4684</v>
      </c>
      <c r="G161" s="29">
        <v>4946</v>
      </c>
      <c r="H161" s="57">
        <f t="shared" si="4"/>
        <v>5.4242628854377674E-2</v>
      </c>
      <c r="I161" s="57">
        <f t="shared" si="5"/>
        <v>5.5935098206660976E-2</v>
      </c>
    </row>
    <row r="162" spans="4:9" x14ac:dyDescent="0.2">
      <c r="D162" s="8" t="s">
        <v>700</v>
      </c>
      <c r="E162" s="29">
        <v>20758</v>
      </c>
      <c r="F162" s="29">
        <v>21022</v>
      </c>
      <c r="G162" s="29">
        <v>22050</v>
      </c>
      <c r="H162" s="57">
        <f t="shared" si="4"/>
        <v>1.2717988245495712E-2</v>
      </c>
      <c r="I162" s="57">
        <f t="shared" si="5"/>
        <v>4.8901151174959565E-2</v>
      </c>
    </row>
    <row r="163" spans="4:9" x14ac:dyDescent="0.2">
      <c r="D163" s="8" t="s">
        <v>701</v>
      </c>
      <c r="E163" s="29">
        <v>148294</v>
      </c>
      <c r="F163" s="29">
        <v>145835</v>
      </c>
      <c r="G163" s="29">
        <v>144319</v>
      </c>
      <c r="H163" s="57">
        <f t="shared" si="4"/>
        <v>-1.6581925094744224E-2</v>
      </c>
      <c r="I163" s="57">
        <f t="shared" si="5"/>
        <v>-1.0395309767888368E-2</v>
      </c>
    </row>
    <row r="164" spans="4:9" x14ac:dyDescent="0.2">
      <c r="D164" s="8" t="s">
        <v>702</v>
      </c>
      <c r="E164" s="29">
        <v>60114</v>
      </c>
      <c r="F164" s="29">
        <v>61911</v>
      </c>
      <c r="G164" s="29">
        <v>64222</v>
      </c>
      <c r="H164" s="57">
        <f t="shared" si="4"/>
        <v>2.989320291446252E-2</v>
      </c>
      <c r="I164" s="57">
        <f t="shared" si="5"/>
        <v>3.732777697016685E-2</v>
      </c>
    </row>
    <row r="165" spans="4:9" x14ac:dyDescent="0.2">
      <c r="D165" s="8" t="s">
        <v>703</v>
      </c>
      <c r="E165" s="29">
        <v>16125</v>
      </c>
      <c r="F165" s="29">
        <v>16696</v>
      </c>
      <c r="G165" s="29">
        <v>17591</v>
      </c>
      <c r="H165" s="57">
        <f t="shared" si="4"/>
        <v>3.5410852713178294E-2</v>
      </c>
      <c r="I165" s="57">
        <f t="shared" si="5"/>
        <v>5.3605654048873984E-2</v>
      </c>
    </row>
    <row r="166" spans="4:9" x14ac:dyDescent="0.2">
      <c r="D166" s="8" t="s">
        <v>704</v>
      </c>
      <c r="E166" s="29">
        <v>34048</v>
      </c>
      <c r="F166" s="29">
        <v>36115</v>
      </c>
      <c r="G166" s="29">
        <v>37866</v>
      </c>
      <c r="H166" s="57">
        <f t="shared" si="4"/>
        <v>6.070841165413534E-2</v>
      </c>
      <c r="I166" s="57">
        <f t="shared" si="5"/>
        <v>4.8484009414370761E-2</v>
      </c>
    </row>
    <row r="167" spans="4:9" x14ac:dyDescent="0.2">
      <c r="D167" s="8" t="s">
        <v>705</v>
      </c>
      <c r="E167" s="29">
        <v>44438</v>
      </c>
      <c r="F167" s="29">
        <v>46934</v>
      </c>
      <c r="G167" s="29">
        <v>48947</v>
      </c>
      <c r="H167" s="57">
        <f t="shared" si="4"/>
        <v>5.6168144380935238E-2</v>
      </c>
      <c r="I167" s="57">
        <f t="shared" si="5"/>
        <v>4.2890015766821492E-2</v>
      </c>
    </row>
    <row r="168" spans="4:9" x14ac:dyDescent="0.2">
      <c r="D168" s="8" t="s">
        <v>706</v>
      </c>
      <c r="E168" s="29">
        <v>8116</v>
      </c>
      <c r="F168" s="29">
        <v>7933</v>
      </c>
      <c r="G168" s="29">
        <v>7995</v>
      </c>
      <c r="H168" s="57">
        <f t="shared" si="4"/>
        <v>-2.2548053228191228E-2</v>
      </c>
      <c r="I168" s="57">
        <f t="shared" si="5"/>
        <v>7.8154544308584387E-3</v>
      </c>
    </row>
    <row r="169" spans="4:9" x14ac:dyDescent="0.2">
      <c r="D169" s="8" t="s">
        <v>707</v>
      </c>
      <c r="E169" s="29">
        <v>31400</v>
      </c>
      <c r="F169" s="29">
        <v>24110</v>
      </c>
      <c r="G169" s="29">
        <v>25039</v>
      </c>
      <c r="H169" s="57">
        <f t="shared" si="4"/>
        <v>-0.23216560509554141</v>
      </c>
      <c r="I169" s="57">
        <f t="shared" si="5"/>
        <v>3.8531729572791371E-2</v>
      </c>
    </row>
    <row r="170" spans="4:9" x14ac:dyDescent="0.2">
      <c r="D170" s="8" t="s">
        <v>708</v>
      </c>
      <c r="E170" s="29">
        <v>21609</v>
      </c>
      <c r="F170" s="29">
        <v>22084</v>
      </c>
      <c r="G170" s="29">
        <v>22562</v>
      </c>
      <c r="H170" s="57">
        <f t="shared" si="4"/>
        <v>2.1981581748345597E-2</v>
      </c>
      <c r="I170" s="57">
        <f t="shared" si="5"/>
        <v>2.1644629596087664E-2</v>
      </c>
    </row>
    <row r="171" spans="4:9" x14ac:dyDescent="0.2">
      <c r="D171" s="8" t="s">
        <v>709</v>
      </c>
      <c r="E171" s="29">
        <v>11537</v>
      </c>
      <c r="F171" s="29">
        <v>12062</v>
      </c>
      <c r="G171" s="29">
        <v>12532</v>
      </c>
      <c r="H171" s="57">
        <f t="shared" si="4"/>
        <v>4.5505764063448036E-2</v>
      </c>
      <c r="I171" s="57">
        <f t="shared" si="5"/>
        <v>3.8965345713811973E-2</v>
      </c>
    </row>
    <row r="172" spans="4:9" x14ac:dyDescent="0.2">
      <c r="D172" s="8" t="s">
        <v>710</v>
      </c>
      <c r="E172" s="29">
        <v>58130</v>
      </c>
      <c r="F172" s="29">
        <v>56772</v>
      </c>
      <c r="G172" s="29">
        <v>58254</v>
      </c>
      <c r="H172" s="57">
        <f t="shared" si="4"/>
        <v>-2.3361431274729054E-2</v>
      </c>
      <c r="I172" s="57">
        <f t="shared" si="5"/>
        <v>2.6104417670682729E-2</v>
      </c>
    </row>
    <row r="173" spans="4:9" x14ac:dyDescent="0.2">
      <c r="D173" s="8" t="s">
        <v>343</v>
      </c>
      <c r="E173" s="29">
        <v>16865</v>
      </c>
      <c r="F173" s="29">
        <v>17212</v>
      </c>
      <c r="G173" s="29">
        <v>17182</v>
      </c>
      <c r="H173" s="57">
        <f t="shared" si="4"/>
        <v>2.0575155647791284E-2</v>
      </c>
      <c r="I173" s="57">
        <f t="shared" si="5"/>
        <v>-1.7429700209156402E-3</v>
      </c>
    </row>
    <row r="174" spans="4:9" x14ac:dyDescent="0.2">
      <c r="D174" s="8" t="s">
        <v>711</v>
      </c>
      <c r="E174" s="29">
        <v>7253</v>
      </c>
      <c r="F174" s="29">
        <v>10006</v>
      </c>
      <c r="G174" s="29">
        <v>11877</v>
      </c>
      <c r="H174" s="57">
        <f t="shared" si="4"/>
        <v>0.37956707569281678</v>
      </c>
      <c r="I174" s="57">
        <f t="shared" si="5"/>
        <v>0.18698780731561063</v>
      </c>
    </row>
    <row r="175" spans="4:9" x14ac:dyDescent="0.2">
      <c r="D175" s="8" t="s">
        <v>712</v>
      </c>
      <c r="E175" s="29">
        <v>46677</v>
      </c>
      <c r="F175" s="29">
        <v>50938</v>
      </c>
      <c r="G175" s="29">
        <v>53570</v>
      </c>
      <c r="H175" s="57">
        <f t="shared" si="4"/>
        <v>9.1286929322792809E-2</v>
      </c>
      <c r="I175" s="57">
        <f t="shared" si="5"/>
        <v>5.1670658447524442E-2</v>
      </c>
    </row>
    <row r="176" spans="4:9" x14ac:dyDescent="0.2">
      <c r="D176" s="8" t="s">
        <v>713</v>
      </c>
      <c r="E176" s="29">
        <v>10746</v>
      </c>
      <c r="F176" s="29">
        <v>10827</v>
      </c>
      <c r="G176" s="29">
        <v>11347</v>
      </c>
      <c r="H176" s="57">
        <f t="shared" si="4"/>
        <v>7.537688442211055E-3</v>
      </c>
      <c r="I176" s="57">
        <f t="shared" si="5"/>
        <v>4.8028077953264983E-2</v>
      </c>
    </row>
    <row r="177" spans="4:9" x14ac:dyDescent="0.2">
      <c r="D177" s="8" t="s">
        <v>714</v>
      </c>
      <c r="E177" s="29">
        <v>2570</v>
      </c>
      <c r="F177" s="29">
        <v>3256</v>
      </c>
      <c r="G177" s="29">
        <v>3958</v>
      </c>
      <c r="H177" s="57">
        <f t="shared" si="4"/>
        <v>0.2669260700389105</v>
      </c>
      <c r="I177" s="57">
        <f t="shared" si="5"/>
        <v>0.2156019656019656</v>
      </c>
    </row>
    <row r="178" spans="4:9" x14ac:dyDescent="0.2">
      <c r="D178" s="8" t="s">
        <v>715</v>
      </c>
      <c r="E178" s="29">
        <v>117033</v>
      </c>
      <c r="F178" s="29">
        <v>104865</v>
      </c>
      <c r="G178" s="29">
        <v>120106</v>
      </c>
      <c r="H178" s="57">
        <f t="shared" si="4"/>
        <v>-0.10397067493783804</v>
      </c>
      <c r="I178" s="57">
        <f t="shared" si="5"/>
        <v>0.14533924569684833</v>
      </c>
    </row>
    <row r="179" spans="4:9" x14ac:dyDescent="0.2">
      <c r="D179" s="8" t="s">
        <v>716</v>
      </c>
      <c r="E179" s="29">
        <v>2578</v>
      </c>
      <c r="F179" s="29">
        <v>2692</v>
      </c>
      <c r="G179" s="29">
        <v>2780</v>
      </c>
      <c r="H179" s="57">
        <f t="shared" si="4"/>
        <v>4.4220325833979827E-2</v>
      </c>
      <c r="I179" s="57">
        <f t="shared" si="5"/>
        <v>3.2689450222882617E-2</v>
      </c>
    </row>
    <row r="180" spans="4:9" x14ac:dyDescent="0.2">
      <c r="D180" s="8" t="s">
        <v>717</v>
      </c>
      <c r="E180" s="29">
        <v>97102</v>
      </c>
      <c r="F180" s="29">
        <v>127918</v>
      </c>
      <c r="G180" s="29">
        <v>138637</v>
      </c>
      <c r="H180" s="57">
        <f t="shared" si="4"/>
        <v>0.31735700603489114</v>
      </c>
      <c r="I180" s="57">
        <f t="shared" si="5"/>
        <v>8.3795869228724645E-2</v>
      </c>
    </row>
    <row r="181" spans="4:9" x14ac:dyDescent="0.2">
      <c r="D181" s="8" t="s">
        <v>718</v>
      </c>
      <c r="E181" s="29">
        <v>14690</v>
      </c>
      <c r="F181" s="29">
        <v>13417</v>
      </c>
      <c r="G181" s="29">
        <v>13675</v>
      </c>
      <c r="H181" s="57">
        <f t="shared" si="4"/>
        <v>-8.6657590197413203E-2</v>
      </c>
      <c r="I181" s="57">
        <f t="shared" si="5"/>
        <v>1.9229335917120071E-2</v>
      </c>
    </row>
    <row r="182" spans="4:9" x14ac:dyDescent="0.2">
      <c r="D182" s="8" t="s">
        <v>719</v>
      </c>
      <c r="E182" s="29">
        <v>9654</v>
      </c>
      <c r="F182" s="29">
        <v>9157</v>
      </c>
      <c r="G182" s="29">
        <v>10598</v>
      </c>
      <c r="H182" s="57">
        <f t="shared" si="4"/>
        <v>-5.1481251294800086E-2</v>
      </c>
      <c r="I182" s="57">
        <f t="shared" si="5"/>
        <v>0.15736594954679481</v>
      </c>
    </row>
    <row r="183" spans="4:9" x14ac:dyDescent="0.2">
      <c r="D183" s="8" t="s">
        <v>720</v>
      </c>
      <c r="E183" s="29">
        <v>3042</v>
      </c>
      <c r="F183" s="29">
        <v>3560</v>
      </c>
      <c r="G183" s="29">
        <v>4125</v>
      </c>
      <c r="H183" s="57">
        <f t="shared" si="4"/>
        <v>0.1702827087442472</v>
      </c>
      <c r="I183" s="57">
        <f t="shared" si="5"/>
        <v>0.15870786516853932</v>
      </c>
    </row>
    <row r="184" spans="4:9" x14ac:dyDescent="0.2">
      <c r="D184" s="8" t="s">
        <v>721</v>
      </c>
      <c r="E184" s="29">
        <v>9536</v>
      </c>
      <c r="F184" s="29">
        <v>10113</v>
      </c>
      <c r="G184" s="29">
        <v>10683</v>
      </c>
      <c r="H184" s="57">
        <f t="shared" si="4"/>
        <v>6.0507550335570467E-2</v>
      </c>
      <c r="I184" s="57">
        <f t="shared" si="5"/>
        <v>5.6363097003856423E-2</v>
      </c>
    </row>
    <row r="185" spans="4:9" x14ac:dyDescent="0.2">
      <c r="D185" s="8" t="s">
        <v>722</v>
      </c>
      <c r="E185" s="29">
        <v>1866</v>
      </c>
      <c r="F185" s="29">
        <v>2000</v>
      </c>
      <c r="G185" s="29">
        <v>2121</v>
      </c>
      <c r="H185" s="57">
        <f t="shared" si="4"/>
        <v>7.1811361200428719E-2</v>
      </c>
      <c r="I185" s="57">
        <f t="shared" si="5"/>
        <v>6.0499999999999998E-2</v>
      </c>
    </row>
    <row r="186" spans="4:9" x14ac:dyDescent="0.2">
      <c r="D186" s="8" t="s">
        <v>723</v>
      </c>
      <c r="E186" s="29">
        <v>9696</v>
      </c>
      <c r="F186" s="29">
        <v>10394</v>
      </c>
      <c r="G186" s="29">
        <v>10614</v>
      </c>
      <c r="H186" s="57">
        <f t="shared" si="4"/>
        <v>7.1988448844884492E-2</v>
      </c>
      <c r="I186" s="57">
        <f t="shared" si="5"/>
        <v>2.1166057340773523E-2</v>
      </c>
    </row>
    <row r="187" spans="4:9" x14ac:dyDescent="0.2">
      <c r="D187" s="8" t="s">
        <v>724</v>
      </c>
      <c r="E187" s="29">
        <v>7680</v>
      </c>
      <c r="F187" s="29">
        <v>7855</v>
      </c>
      <c r="G187" s="29">
        <v>8080</v>
      </c>
      <c r="H187" s="57">
        <f t="shared" si="4"/>
        <v>2.2786458333333332E-2</v>
      </c>
      <c r="I187" s="57">
        <f t="shared" si="5"/>
        <v>2.8644175684277531E-2</v>
      </c>
    </row>
    <row r="188" spans="4:9" x14ac:dyDescent="0.2">
      <c r="D188" s="8" t="s">
        <v>725</v>
      </c>
      <c r="E188" s="30">
        <v>7343</v>
      </c>
      <c r="F188" s="30">
        <v>7888</v>
      </c>
      <c r="G188" s="30">
        <v>8311</v>
      </c>
      <c r="H188" s="57">
        <f t="shared" si="4"/>
        <v>7.4220345907667171E-2</v>
      </c>
      <c r="I188" s="57">
        <f t="shared" si="5"/>
        <v>5.3625760649087223E-2</v>
      </c>
    </row>
    <row r="189" spans="4:9" x14ac:dyDescent="0.2">
      <c r="D189" s="8" t="s">
        <v>726</v>
      </c>
      <c r="E189" s="29">
        <v>2281</v>
      </c>
      <c r="F189" s="29">
        <v>2309</v>
      </c>
      <c r="G189" s="29">
        <v>2418</v>
      </c>
      <c r="H189" s="57">
        <f t="shared" si="4"/>
        <v>1.2275317843051293E-2</v>
      </c>
      <c r="I189" s="57">
        <f t="shared" si="5"/>
        <v>4.7206582936336075E-2</v>
      </c>
    </row>
    <row r="190" spans="4:9" x14ac:dyDescent="0.2">
      <c r="D190" s="8" t="s">
        <v>727</v>
      </c>
      <c r="E190" s="29">
        <v>12337</v>
      </c>
      <c r="F190" s="29">
        <v>12773</v>
      </c>
      <c r="G190" s="29">
        <v>13151</v>
      </c>
      <c r="H190" s="57">
        <f t="shared" si="4"/>
        <v>3.5340844613763474E-2</v>
      </c>
      <c r="I190" s="57">
        <f t="shared" si="5"/>
        <v>2.9593674156423708E-2</v>
      </c>
    </row>
    <row r="191" spans="4:9" x14ac:dyDescent="0.2">
      <c r="D191" s="8" t="s">
        <v>728</v>
      </c>
      <c r="E191" s="29">
        <v>15668</v>
      </c>
      <c r="F191" s="29">
        <v>16608</v>
      </c>
      <c r="G191" s="29">
        <v>17428</v>
      </c>
      <c r="H191" s="57">
        <f t="shared" si="4"/>
        <v>5.9994894051570082E-2</v>
      </c>
      <c r="I191" s="57">
        <f t="shared" si="5"/>
        <v>4.9373795761078997E-2</v>
      </c>
    </row>
    <row r="192" spans="4:9" x14ac:dyDescent="0.2">
      <c r="D192" s="8" t="s">
        <v>729</v>
      </c>
      <c r="E192" s="29">
        <v>12593</v>
      </c>
      <c r="F192" s="29">
        <v>11206</v>
      </c>
      <c r="G192" s="29">
        <v>13364</v>
      </c>
      <c r="H192" s="57">
        <f t="shared" si="4"/>
        <v>-0.11014055427618519</v>
      </c>
      <c r="I192" s="57">
        <f t="shared" si="5"/>
        <v>0.1925754060324826</v>
      </c>
    </row>
    <row r="193" spans="4:9" x14ac:dyDescent="0.2">
      <c r="D193" s="8" t="s">
        <v>730</v>
      </c>
      <c r="E193" s="29">
        <v>8686</v>
      </c>
      <c r="F193" s="29">
        <v>8301</v>
      </c>
      <c r="G193" s="29">
        <v>8994</v>
      </c>
      <c r="H193" s="57">
        <f t="shared" si="4"/>
        <v>-4.4324199861846651E-2</v>
      </c>
      <c r="I193" s="57">
        <f t="shared" si="5"/>
        <v>8.3483917600289129E-2</v>
      </c>
    </row>
    <row r="194" spans="4:9" x14ac:dyDescent="0.2">
      <c r="D194" s="8" t="s">
        <v>731</v>
      </c>
      <c r="E194" s="29">
        <v>4944</v>
      </c>
      <c r="F194" s="29">
        <v>5205</v>
      </c>
      <c r="G194" s="29">
        <v>5512</v>
      </c>
      <c r="H194" s="57">
        <f t="shared" si="4"/>
        <v>5.2791262135922327E-2</v>
      </c>
      <c r="I194" s="57">
        <f t="shared" si="5"/>
        <v>5.898174831892411E-2</v>
      </c>
    </row>
    <row r="195" spans="4:9" x14ac:dyDescent="0.2">
      <c r="D195" s="8" t="s">
        <v>732</v>
      </c>
      <c r="E195" s="29">
        <v>214319</v>
      </c>
      <c r="F195" s="29">
        <v>222990</v>
      </c>
      <c r="G195" s="29">
        <v>230909</v>
      </c>
      <c r="H195" s="57">
        <f t="shared" si="4"/>
        <v>4.0458382131308937E-2</v>
      </c>
      <c r="I195" s="57">
        <f t="shared" si="5"/>
        <v>3.5512803264720394E-2</v>
      </c>
    </row>
    <row r="196" spans="4:9" x14ac:dyDescent="0.2">
      <c r="D196" s="8" t="s">
        <v>733</v>
      </c>
      <c r="E196" s="29">
        <v>7933</v>
      </c>
      <c r="F196" s="29">
        <v>7953</v>
      </c>
      <c r="G196" s="29">
        <v>8158</v>
      </c>
      <c r="H196" s="57">
        <f t="shared" si="4"/>
        <v>2.5211143325349805E-3</v>
      </c>
      <c r="I196" s="57">
        <f t="shared" si="5"/>
        <v>2.5776436564818307E-2</v>
      </c>
    </row>
    <row r="197" spans="4:9" x14ac:dyDescent="0.2">
      <c r="D197" s="8" t="s">
        <v>734</v>
      </c>
      <c r="E197" s="29">
        <v>58472</v>
      </c>
      <c r="F197" s="29">
        <v>58613</v>
      </c>
      <c r="G197" s="29">
        <v>58388</v>
      </c>
      <c r="H197" s="57">
        <f t="shared" ref="H197:H260" si="6">(F197-E197)/E197</f>
        <v>2.4114105896839511E-3</v>
      </c>
      <c r="I197" s="57">
        <f t="shared" ref="I197:I260" si="7">(G197-F197)/F197</f>
        <v>-3.8387388463310187E-3</v>
      </c>
    </row>
    <row r="198" spans="4:9" x14ac:dyDescent="0.2">
      <c r="D198" s="8" t="s">
        <v>735</v>
      </c>
      <c r="E198" s="30">
        <v>3746</v>
      </c>
      <c r="F198" s="30">
        <v>3766</v>
      </c>
      <c r="G198" s="30">
        <v>3898</v>
      </c>
      <c r="H198" s="57">
        <f t="shared" si="6"/>
        <v>5.3390282968499734E-3</v>
      </c>
      <c r="I198" s="57">
        <f t="shared" si="7"/>
        <v>3.505045140732873E-2</v>
      </c>
    </row>
    <row r="199" spans="4:9" x14ac:dyDescent="0.2">
      <c r="D199" s="8" t="s">
        <v>736</v>
      </c>
      <c r="E199" s="29">
        <v>40052</v>
      </c>
      <c r="F199" s="29">
        <v>42638</v>
      </c>
      <c r="G199" s="29">
        <v>44961</v>
      </c>
      <c r="H199" s="57">
        <f t="shared" si="6"/>
        <v>6.4566064116648364E-2</v>
      </c>
      <c r="I199" s="57">
        <f t="shared" si="7"/>
        <v>5.4481917538346074E-2</v>
      </c>
    </row>
    <row r="200" spans="4:9" x14ac:dyDescent="0.2">
      <c r="D200" s="8" t="s">
        <v>737</v>
      </c>
      <c r="E200" s="29">
        <v>8906</v>
      </c>
      <c r="F200" s="29">
        <v>9496</v>
      </c>
      <c r="G200" s="29">
        <v>10045</v>
      </c>
      <c r="H200" s="57">
        <f t="shared" si="6"/>
        <v>6.6247473613294403E-2</v>
      </c>
      <c r="I200" s="57">
        <f t="shared" si="7"/>
        <v>5.7813816343723672E-2</v>
      </c>
    </row>
    <row r="201" spans="4:9" x14ac:dyDescent="0.2">
      <c r="D201" s="8" t="s">
        <v>738</v>
      </c>
      <c r="E201" s="29">
        <v>6475</v>
      </c>
      <c r="F201" s="29">
        <v>6746</v>
      </c>
      <c r="G201" s="29">
        <v>8389</v>
      </c>
      <c r="H201" s="57">
        <f t="shared" si="6"/>
        <v>4.1853281853281854E-2</v>
      </c>
      <c r="I201" s="57">
        <f t="shared" si="7"/>
        <v>0.24355173436110289</v>
      </c>
    </row>
    <row r="202" spans="4:9" x14ac:dyDescent="0.2">
      <c r="D202" s="8" t="s">
        <v>739</v>
      </c>
      <c r="E202" s="29">
        <v>11635</v>
      </c>
      <c r="F202" s="29">
        <v>11847</v>
      </c>
      <c r="G202" s="29">
        <v>12481</v>
      </c>
      <c r="H202" s="57">
        <f t="shared" si="6"/>
        <v>1.8220885259991406E-2</v>
      </c>
      <c r="I202" s="57">
        <f t="shared" si="7"/>
        <v>5.3515657972482485E-2</v>
      </c>
    </row>
    <row r="203" spans="4:9" x14ac:dyDescent="0.2">
      <c r="D203" s="8" t="s">
        <v>740</v>
      </c>
      <c r="E203" s="29">
        <v>11221</v>
      </c>
      <c r="F203" s="29">
        <v>11812</v>
      </c>
      <c r="G203" s="29">
        <v>12098</v>
      </c>
      <c r="H203" s="57">
        <f t="shared" si="6"/>
        <v>5.266910257552803E-2</v>
      </c>
      <c r="I203" s="57">
        <f t="shared" si="7"/>
        <v>2.421266508635286E-2</v>
      </c>
    </row>
    <row r="204" spans="4:9" x14ac:dyDescent="0.2">
      <c r="D204" s="8" t="s">
        <v>741</v>
      </c>
      <c r="E204" s="29">
        <v>9301</v>
      </c>
      <c r="F204" s="29">
        <v>9500</v>
      </c>
      <c r="G204" s="29">
        <v>9549</v>
      </c>
      <c r="H204" s="57">
        <f t="shared" si="6"/>
        <v>2.1395548865713362E-2</v>
      </c>
      <c r="I204" s="57">
        <f t="shared" si="7"/>
        <v>5.1578947368421052E-3</v>
      </c>
    </row>
    <row r="205" spans="4:9" x14ac:dyDescent="0.2">
      <c r="D205" s="8" t="s">
        <v>742</v>
      </c>
      <c r="E205" s="29">
        <v>4131</v>
      </c>
      <c r="F205" s="29">
        <v>4839</v>
      </c>
      <c r="G205" s="29">
        <v>5513</v>
      </c>
      <c r="H205" s="57">
        <f t="shared" si="6"/>
        <v>0.17138707334785766</v>
      </c>
      <c r="I205" s="57">
        <f t="shared" si="7"/>
        <v>0.13928497623475924</v>
      </c>
    </row>
    <row r="206" spans="4:9" x14ac:dyDescent="0.2">
      <c r="D206" s="8" t="s">
        <v>743</v>
      </c>
      <c r="E206" s="29">
        <v>3059</v>
      </c>
      <c r="F206" s="29">
        <v>3428</v>
      </c>
      <c r="G206" s="29">
        <v>3844</v>
      </c>
      <c r="H206" s="57">
        <f t="shared" si="6"/>
        <v>0.12062765609676365</v>
      </c>
      <c r="I206" s="57">
        <f t="shared" si="7"/>
        <v>0.12135355892648775</v>
      </c>
    </row>
    <row r="207" spans="4:9" x14ac:dyDescent="0.2">
      <c r="D207" s="8" t="s">
        <v>744</v>
      </c>
      <c r="E207" s="29">
        <v>8202</v>
      </c>
      <c r="F207" s="29">
        <v>7964</v>
      </c>
      <c r="G207" s="29">
        <v>8355</v>
      </c>
      <c r="H207" s="57">
        <f t="shared" si="6"/>
        <v>-2.9017312850524262E-2</v>
      </c>
      <c r="I207" s="57">
        <f t="shared" si="7"/>
        <v>4.9095931692616779E-2</v>
      </c>
    </row>
    <row r="208" spans="4:9" x14ac:dyDescent="0.2">
      <c r="D208" s="8" t="s">
        <v>745</v>
      </c>
      <c r="E208" s="29">
        <v>12657</v>
      </c>
      <c r="F208" s="29">
        <v>13227</v>
      </c>
      <c r="G208" s="29">
        <v>13713</v>
      </c>
      <c r="H208" s="57">
        <f t="shared" si="6"/>
        <v>4.503436833372837E-2</v>
      </c>
      <c r="I208" s="57">
        <f t="shared" si="7"/>
        <v>3.6743025629394417E-2</v>
      </c>
    </row>
    <row r="209" spans="4:9" x14ac:dyDescent="0.2">
      <c r="D209" s="8" t="s">
        <v>746</v>
      </c>
      <c r="E209" s="29">
        <v>13849</v>
      </c>
      <c r="F209" s="29">
        <v>11863</v>
      </c>
      <c r="G209" s="29">
        <v>12664</v>
      </c>
      <c r="H209" s="57">
        <f t="shared" si="6"/>
        <v>-0.14340385587407034</v>
      </c>
      <c r="I209" s="57">
        <f t="shared" si="7"/>
        <v>6.7520863188063732E-2</v>
      </c>
    </row>
    <row r="210" spans="4:9" x14ac:dyDescent="0.2">
      <c r="D210" s="8" t="s">
        <v>747</v>
      </c>
      <c r="E210" s="29">
        <v>3811</v>
      </c>
      <c r="F210" s="29">
        <v>5541</v>
      </c>
      <c r="G210" s="29">
        <v>6648</v>
      </c>
      <c r="H210" s="57">
        <f t="shared" si="6"/>
        <v>0.45394909472579376</v>
      </c>
      <c r="I210" s="57">
        <f t="shared" si="7"/>
        <v>0.19978343259339471</v>
      </c>
    </row>
    <row r="211" spans="4:9" x14ac:dyDescent="0.2">
      <c r="D211" s="8" t="s">
        <v>748</v>
      </c>
      <c r="E211" s="29">
        <v>8448</v>
      </c>
      <c r="F211" s="29">
        <v>8668</v>
      </c>
      <c r="G211" s="29">
        <v>8976</v>
      </c>
      <c r="H211" s="57">
        <f t="shared" si="6"/>
        <v>2.6041666666666668E-2</v>
      </c>
      <c r="I211" s="57">
        <f t="shared" si="7"/>
        <v>3.553299492385787E-2</v>
      </c>
    </row>
    <row r="212" spans="4:9" x14ac:dyDescent="0.2">
      <c r="D212" s="8" t="s">
        <v>531</v>
      </c>
      <c r="E212" s="29">
        <v>3773</v>
      </c>
      <c r="F212" s="29">
        <v>4150</v>
      </c>
      <c r="G212" s="29">
        <v>4403</v>
      </c>
      <c r="H212" s="57">
        <f t="shared" si="6"/>
        <v>9.9920487675589711E-2</v>
      </c>
      <c r="I212" s="57">
        <f t="shared" si="7"/>
        <v>6.0963855421686745E-2</v>
      </c>
    </row>
    <row r="213" spans="4:9" x14ac:dyDescent="0.2">
      <c r="D213" s="8" t="s">
        <v>749</v>
      </c>
      <c r="E213" s="29">
        <v>2395</v>
      </c>
      <c r="F213" s="29">
        <v>2586</v>
      </c>
      <c r="G213" s="29">
        <v>2770</v>
      </c>
      <c r="H213" s="57">
        <f t="shared" si="6"/>
        <v>7.9749478079331942E-2</v>
      </c>
      <c r="I213" s="57">
        <f t="shared" si="7"/>
        <v>7.1152358855375103E-2</v>
      </c>
    </row>
    <row r="214" spans="4:9" x14ac:dyDescent="0.2">
      <c r="D214" s="8" t="s">
        <v>750</v>
      </c>
      <c r="E214" s="29">
        <v>2433</v>
      </c>
      <c r="F214" s="30">
        <v>2657</v>
      </c>
      <c r="G214" s="30">
        <v>2931</v>
      </c>
      <c r="H214" s="57">
        <f t="shared" si="6"/>
        <v>9.2067406494040285E-2</v>
      </c>
      <c r="I214" s="57">
        <f t="shared" si="7"/>
        <v>0.10312382386149793</v>
      </c>
    </row>
    <row r="215" spans="4:9" x14ac:dyDescent="0.2">
      <c r="D215" s="8" t="s">
        <v>751</v>
      </c>
      <c r="E215" s="29">
        <v>15374</v>
      </c>
      <c r="F215" s="29">
        <v>15377</v>
      </c>
      <c r="G215" s="29">
        <v>15938</v>
      </c>
      <c r="H215" s="57">
        <f t="shared" si="6"/>
        <v>1.9513464290360347E-4</v>
      </c>
      <c r="I215" s="57">
        <f t="shared" si="7"/>
        <v>3.6483059114261557E-2</v>
      </c>
    </row>
    <row r="216" spans="4:9" x14ac:dyDescent="0.2">
      <c r="D216" s="8" t="s">
        <v>752</v>
      </c>
      <c r="E216" s="29">
        <v>5373</v>
      </c>
      <c r="F216" s="29">
        <v>5593</v>
      </c>
      <c r="G216" s="29">
        <v>5876</v>
      </c>
      <c r="H216" s="57">
        <f t="shared" si="6"/>
        <v>4.094546808114647E-2</v>
      </c>
      <c r="I216" s="57">
        <f t="shared" si="7"/>
        <v>5.0598962989451102E-2</v>
      </c>
    </row>
    <row r="217" spans="4:9" x14ac:dyDescent="0.2">
      <c r="D217" s="8" t="s">
        <v>753</v>
      </c>
      <c r="E217" s="29">
        <v>3046</v>
      </c>
      <c r="F217" s="29">
        <v>3258</v>
      </c>
      <c r="G217" s="29">
        <v>3453</v>
      </c>
      <c r="H217" s="57">
        <f t="shared" si="6"/>
        <v>6.9599474720945506E-2</v>
      </c>
      <c r="I217" s="57">
        <f t="shared" si="7"/>
        <v>5.9852670349907919E-2</v>
      </c>
    </row>
    <row r="218" spans="4:9" x14ac:dyDescent="0.2">
      <c r="D218" s="8" t="s">
        <v>754</v>
      </c>
      <c r="E218" s="29">
        <v>10709</v>
      </c>
      <c r="F218" s="29">
        <v>11431</v>
      </c>
      <c r="G218" s="29">
        <v>12011</v>
      </c>
      <c r="H218" s="57">
        <f t="shared" si="6"/>
        <v>6.7419927164067611E-2</v>
      </c>
      <c r="I218" s="57">
        <f t="shared" si="7"/>
        <v>5.0739217916192812E-2</v>
      </c>
    </row>
    <row r="219" spans="4:9" x14ac:dyDescent="0.2">
      <c r="D219" s="8" t="s">
        <v>755</v>
      </c>
      <c r="E219" s="29">
        <v>21965</v>
      </c>
      <c r="F219" s="29">
        <v>22503</v>
      </c>
      <c r="G219" s="29">
        <v>24205</v>
      </c>
      <c r="H219" s="57">
        <f t="shared" si="6"/>
        <v>2.4493512406100613E-2</v>
      </c>
      <c r="I219" s="57">
        <f t="shared" si="7"/>
        <v>7.5634359863129358E-2</v>
      </c>
    </row>
    <row r="220" spans="4:9" x14ac:dyDescent="0.2">
      <c r="D220" s="8" t="s">
        <v>756</v>
      </c>
      <c r="E220" s="29">
        <v>3969</v>
      </c>
      <c r="F220" s="29">
        <v>5532</v>
      </c>
      <c r="G220" s="29">
        <v>9273</v>
      </c>
      <c r="H220" s="57">
        <f t="shared" si="6"/>
        <v>0.39380196523053668</v>
      </c>
      <c r="I220" s="57">
        <f t="shared" si="7"/>
        <v>0.67624728850325377</v>
      </c>
    </row>
    <row r="221" spans="4:9" x14ac:dyDescent="0.2">
      <c r="D221" s="8" t="s">
        <v>757</v>
      </c>
      <c r="E221" s="29">
        <v>8513</v>
      </c>
      <c r="F221" s="29">
        <v>9008</v>
      </c>
      <c r="G221" s="29">
        <v>9586</v>
      </c>
      <c r="H221" s="57">
        <f t="shared" si="6"/>
        <v>5.8146364383883473E-2</v>
      </c>
      <c r="I221" s="57">
        <f t="shared" si="7"/>
        <v>6.4165186500888094E-2</v>
      </c>
    </row>
    <row r="222" spans="4:9" x14ac:dyDescent="0.2">
      <c r="D222" s="8" t="s">
        <v>758</v>
      </c>
      <c r="E222" s="29">
        <v>10412</v>
      </c>
      <c r="F222" s="29">
        <v>11079</v>
      </c>
      <c r="G222" s="29">
        <v>11908</v>
      </c>
      <c r="H222" s="57">
        <f t="shared" si="6"/>
        <v>6.4060699193238577E-2</v>
      </c>
      <c r="I222" s="57">
        <f t="shared" si="7"/>
        <v>7.482624785630472E-2</v>
      </c>
    </row>
    <row r="223" spans="4:9" x14ac:dyDescent="0.2">
      <c r="D223" s="8" t="s">
        <v>759</v>
      </c>
      <c r="E223" s="29">
        <v>43310</v>
      </c>
      <c r="F223" s="29">
        <v>45319</v>
      </c>
      <c r="G223" s="29">
        <v>47493</v>
      </c>
      <c r="H223" s="57">
        <f t="shared" si="6"/>
        <v>4.6386515816208729E-2</v>
      </c>
      <c r="I223" s="57">
        <f t="shared" si="7"/>
        <v>4.7971049670116284E-2</v>
      </c>
    </row>
    <row r="224" spans="4:9" x14ac:dyDescent="0.2">
      <c r="D224" s="8" t="s">
        <v>760</v>
      </c>
      <c r="E224" s="29">
        <v>14212</v>
      </c>
      <c r="F224" s="29">
        <v>13913</v>
      </c>
      <c r="G224" s="29">
        <v>14467</v>
      </c>
      <c r="H224" s="57">
        <f t="shared" si="6"/>
        <v>-2.103855896425556E-2</v>
      </c>
      <c r="I224" s="57">
        <f t="shared" si="7"/>
        <v>3.9818874433982604E-2</v>
      </c>
    </row>
    <row r="225" spans="4:9" x14ac:dyDescent="0.2">
      <c r="D225" s="8" t="s">
        <v>761</v>
      </c>
      <c r="E225" s="29">
        <v>2213</v>
      </c>
      <c r="F225" s="29">
        <v>2395</v>
      </c>
      <c r="G225" s="29">
        <v>2634</v>
      </c>
      <c r="H225" s="57">
        <f t="shared" si="6"/>
        <v>8.2241301400813371E-2</v>
      </c>
      <c r="I225" s="57">
        <f t="shared" si="7"/>
        <v>9.9791231732776611E-2</v>
      </c>
    </row>
    <row r="226" spans="4:9" x14ac:dyDescent="0.2">
      <c r="D226" s="8" t="s">
        <v>762</v>
      </c>
      <c r="E226" s="29">
        <v>1275</v>
      </c>
      <c r="F226" s="29">
        <v>1441</v>
      </c>
      <c r="G226" s="29">
        <v>1625</v>
      </c>
      <c r="H226" s="57">
        <f t="shared" si="6"/>
        <v>0.13019607843137254</v>
      </c>
      <c r="I226" s="57">
        <f t="shared" si="7"/>
        <v>0.12768910478834142</v>
      </c>
    </row>
    <row r="227" spans="4:9" x14ac:dyDescent="0.2">
      <c r="D227" s="8" t="s">
        <v>764</v>
      </c>
      <c r="E227" s="29">
        <v>11261</v>
      </c>
      <c r="F227" s="29">
        <v>11493</v>
      </c>
      <c r="G227" s="29">
        <v>11676</v>
      </c>
      <c r="H227" s="57">
        <f t="shared" si="6"/>
        <v>2.0602077968208864E-2</v>
      </c>
      <c r="I227" s="57">
        <f t="shared" si="7"/>
        <v>1.592273557817802E-2</v>
      </c>
    </row>
    <row r="228" spans="4:9" x14ac:dyDescent="0.2">
      <c r="D228" s="8" t="s">
        <v>765</v>
      </c>
      <c r="E228" s="29">
        <v>22823</v>
      </c>
      <c r="F228" s="29">
        <v>23701</v>
      </c>
      <c r="G228" s="29">
        <v>24800</v>
      </c>
      <c r="H228" s="57">
        <f t="shared" si="6"/>
        <v>3.8469964509486046E-2</v>
      </c>
      <c r="I228" s="57">
        <f t="shared" si="7"/>
        <v>4.6369351504155942E-2</v>
      </c>
    </row>
    <row r="229" spans="4:9" x14ac:dyDescent="0.2">
      <c r="D229" s="8" t="s">
        <v>1027</v>
      </c>
      <c r="E229" s="29">
        <v>6711</v>
      </c>
      <c r="F229" s="29">
        <v>7653</v>
      </c>
      <c r="G229" s="29">
        <v>8184</v>
      </c>
      <c r="H229" s="57">
        <f t="shared" si="6"/>
        <v>0.14036656236030398</v>
      </c>
      <c r="I229" s="57">
        <f t="shared" si="7"/>
        <v>6.9384555076440618E-2</v>
      </c>
    </row>
    <row r="230" spans="4:9" x14ac:dyDescent="0.2">
      <c r="D230" s="8" t="s">
        <v>766</v>
      </c>
      <c r="E230" s="29">
        <v>4569</v>
      </c>
      <c r="F230" s="29">
        <v>5537</v>
      </c>
      <c r="G230" s="29">
        <v>5957</v>
      </c>
      <c r="H230" s="57">
        <f t="shared" si="6"/>
        <v>0.21186255198073978</v>
      </c>
      <c r="I230" s="57">
        <f t="shared" si="7"/>
        <v>7.5853350189633378E-2</v>
      </c>
    </row>
    <row r="231" spans="4:9" x14ac:dyDescent="0.2">
      <c r="D231" s="8" t="s">
        <v>767</v>
      </c>
      <c r="E231" s="29">
        <v>3440</v>
      </c>
      <c r="F231" s="29">
        <v>3622</v>
      </c>
      <c r="G231" s="29">
        <v>3808</v>
      </c>
      <c r="H231" s="57">
        <f t="shared" si="6"/>
        <v>5.2906976744186048E-2</v>
      </c>
      <c r="I231" s="57">
        <f t="shared" si="7"/>
        <v>5.135284373274434E-2</v>
      </c>
    </row>
    <row r="232" spans="4:9" x14ac:dyDescent="0.2">
      <c r="D232" s="8" t="s">
        <v>768</v>
      </c>
      <c r="E232" s="29">
        <v>5366</v>
      </c>
      <c r="F232" s="29">
        <v>5721</v>
      </c>
      <c r="G232" s="29">
        <v>6083</v>
      </c>
      <c r="H232" s="57">
        <f t="shared" si="6"/>
        <v>6.615728661945583E-2</v>
      </c>
      <c r="I232" s="57">
        <f t="shared" si="7"/>
        <v>6.3275651109945819E-2</v>
      </c>
    </row>
    <row r="233" spans="4:9" x14ac:dyDescent="0.2">
      <c r="D233" s="8" t="s">
        <v>769</v>
      </c>
      <c r="E233" s="29">
        <v>4914</v>
      </c>
      <c r="F233" s="29">
        <v>5124</v>
      </c>
      <c r="G233" s="29">
        <v>5539</v>
      </c>
      <c r="H233" s="57">
        <f t="shared" si="6"/>
        <v>4.2735042735042736E-2</v>
      </c>
      <c r="I233" s="57">
        <f t="shared" si="7"/>
        <v>8.099141295862608E-2</v>
      </c>
    </row>
    <row r="234" spans="4:9" x14ac:dyDescent="0.2">
      <c r="D234" s="8" t="s">
        <v>770</v>
      </c>
      <c r="E234" s="29">
        <v>3807</v>
      </c>
      <c r="F234" s="29">
        <v>4172</v>
      </c>
      <c r="G234" s="29">
        <v>4564</v>
      </c>
      <c r="H234" s="57">
        <f t="shared" si="6"/>
        <v>9.587601786183346E-2</v>
      </c>
      <c r="I234" s="57">
        <f t="shared" si="7"/>
        <v>9.3959731543624164E-2</v>
      </c>
    </row>
    <row r="235" spans="4:9" x14ac:dyDescent="0.2">
      <c r="D235" s="8" t="s">
        <v>771</v>
      </c>
      <c r="E235" s="29">
        <v>7791</v>
      </c>
      <c r="F235" s="29">
        <v>7946</v>
      </c>
      <c r="G235" s="29">
        <v>8110</v>
      </c>
      <c r="H235" s="57">
        <f t="shared" si="6"/>
        <v>1.9894750352971377E-2</v>
      </c>
      <c r="I235" s="57">
        <f t="shared" si="7"/>
        <v>2.0639315378806946E-2</v>
      </c>
    </row>
    <row r="236" spans="4:9" x14ac:dyDescent="0.2">
      <c r="D236" s="8" t="s">
        <v>504</v>
      </c>
      <c r="E236" s="29">
        <v>6892</v>
      </c>
      <c r="F236" s="29">
        <v>7300</v>
      </c>
      <c r="G236" s="29">
        <v>7733</v>
      </c>
      <c r="H236" s="57">
        <f t="shared" si="6"/>
        <v>5.9199071387115498E-2</v>
      </c>
      <c r="I236" s="57">
        <f t="shared" si="7"/>
        <v>5.9315068493150686E-2</v>
      </c>
    </row>
    <row r="237" spans="4:9" x14ac:dyDescent="0.2">
      <c r="D237" s="8" t="s">
        <v>772</v>
      </c>
      <c r="E237" s="29">
        <v>22139</v>
      </c>
      <c r="F237" s="29">
        <v>24050</v>
      </c>
      <c r="G237" s="29">
        <v>20870</v>
      </c>
      <c r="H237" s="57">
        <f t="shared" si="6"/>
        <v>8.631826189078097E-2</v>
      </c>
      <c r="I237" s="57">
        <f t="shared" si="7"/>
        <v>-0.13222453222453223</v>
      </c>
    </row>
    <row r="238" spans="4:9" x14ac:dyDescent="0.2">
      <c r="D238" s="8" t="s">
        <v>773</v>
      </c>
      <c r="E238" s="29">
        <v>11398</v>
      </c>
      <c r="F238" s="29">
        <v>11457</v>
      </c>
      <c r="G238" s="29">
        <v>11926</v>
      </c>
      <c r="H238" s="57">
        <f t="shared" si="6"/>
        <v>5.1763467274960522E-3</v>
      </c>
      <c r="I238" s="57">
        <f t="shared" si="7"/>
        <v>4.0935672514619881E-2</v>
      </c>
    </row>
    <row r="239" spans="4:9" x14ac:dyDescent="0.2">
      <c r="D239" s="8" t="s">
        <v>774</v>
      </c>
      <c r="E239" s="29">
        <v>7785</v>
      </c>
      <c r="F239" s="29">
        <v>8017</v>
      </c>
      <c r="G239" s="29">
        <v>8319</v>
      </c>
      <c r="H239" s="57">
        <f t="shared" si="6"/>
        <v>2.9800899165061016E-2</v>
      </c>
      <c r="I239" s="57">
        <f t="shared" si="7"/>
        <v>3.766995135337408E-2</v>
      </c>
    </row>
    <row r="240" spans="4:9" x14ac:dyDescent="0.2">
      <c r="D240" s="8" t="s">
        <v>775</v>
      </c>
      <c r="E240" s="29">
        <v>1215</v>
      </c>
      <c r="F240" s="29">
        <v>1233</v>
      </c>
      <c r="G240" s="29">
        <v>1296</v>
      </c>
      <c r="H240" s="57">
        <f t="shared" si="6"/>
        <v>1.4814814814814815E-2</v>
      </c>
      <c r="I240" s="57">
        <f t="shared" si="7"/>
        <v>5.1094890510948905E-2</v>
      </c>
    </row>
    <row r="241" spans="4:9" x14ac:dyDescent="0.2">
      <c r="D241" s="8" t="s">
        <v>776</v>
      </c>
      <c r="E241" s="29">
        <v>18955</v>
      </c>
      <c r="F241" s="29">
        <v>20462</v>
      </c>
      <c r="G241" s="29">
        <v>21364</v>
      </c>
      <c r="H241" s="57">
        <f t="shared" si="6"/>
        <v>7.9504088630968084E-2</v>
      </c>
      <c r="I241" s="57">
        <f t="shared" si="7"/>
        <v>4.4081712442576484E-2</v>
      </c>
    </row>
    <row r="242" spans="4:9" x14ac:dyDescent="0.2">
      <c r="D242" s="8" t="s">
        <v>777</v>
      </c>
      <c r="E242" s="29">
        <v>64341</v>
      </c>
      <c r="F242" s="29">
        <v>65223</v>
      </c>
      <c r="G242" s="29">
        <v>66703</v>
      </c>
      <c r="H242" s="57">
        <f t="shared" si="6"/>
        <v>1.370821093859281E-2</v>
      </c>
      <c r="I242" s="57">
        <f t="shared" si="7"/>
        <v>2.2691381874492128E-2</v>
      </c>
    </row>
    <row r="243" spans="4:9" x14ac:dyDescent="0.2">
      <c r="D243" s="8" t="s">
        <v>779</v>
      </c>
      <c r="E243" s="29">
        <v>11009</v>
      </c>
      <c r="F243" s="29">
        <v>11552</v>
      </c>
      <c r="G243" s="29">
        <v>11918</v>
      </c>
      <c r="H243" s="57">
        <f t="shared" si="6"/>
        <v>4.9323280951948406E-2</v>
      </c>
      <c r="I243" s="57">
        <f t="shared" si="7"/>
        <v>3.1682825484764546E-2</v>
      </c>
    </row>
    <row r="244" spans="4:9" x14ac:dyDescent="0.2">
      <c r="D244" s="8" t="s">
        <v>780</v>
      </c>
      <c r="E244" s="29">
        <v>1391</v>
      </c>
      <c r="F244" s="29">
        <v>1444</v>
      </c>
      <c r="G244" s="29">
        <v>1512</v>
      </c>
      <c r="H244" s="57">
        <f t="shared" si="6"/>
        <v>3.8102084831056794E-2</v>
      </c>
      <c r="I244" s="57">
        <f t="shared" si="7"/>
        <v>4.7091412742382273E-2</v>
      </c>
    </row>
    <row r="245" spans="4:9" x14ac:dyDescent="0.2">
      <c r="D245" s="8" t="s">
        <v>781</v>
      </c>
      <c r="E245" s="29">
        <v>14435</v>
      </c>
      <c r="F245" s="29">
        <v>14668</v>
      </c>
      <c r="G245" s="29">
        <v>15503</v>
      </c>
      <c r="H245" s="57">
        <f t="shared" si="6"/>
        <v>1.6141323172843784E-2</v>
      </c>
      <c r="I245" s="57">
        <f t="shared" si="7"/>
        <v>5.6926643032451596E-2</v>
      </c>
    </row>
    <row r="246" spans="4:9" x14ac:dyDescent="0.2">
      <c r="D246" s="8" t="s">
        <v>782</v>
      </c>
      <c r="E246" s="29">
        <v>23771</v>
      </c>
      <c r="F246" s="29">
        <v>23963</v>
      </c>
      <c r="G246" s="29">
        <v>22587</v>
      </c>
      <c r="H246" s="57">
        <f t="shared" si="6"/>
        <v>8.0770686971519921E-3</v>
      </c>
      <c r="I246" s="57">
        <f t="shared" si="7"/>
        <v>-5.7421858698827356E-2</v>
      </c>
    </row>
    <row r="247" spans="4:9" x14ac:dyDescent="0.2">
      <c r="D247" s="8" t="s">
        <v>783</v>
      </c>
      <c r="E247" s="29">
        <v>14320</v>
      </c>
      <c r="F247" s="29">
        <v>14175</v>
      </c>
      <c r="G247" s="29">
        <v>14565</v>
      </c>
      <c r="H247" s="57">
        <f t="shared" si="6"/>
        <v>-1.0125698324022346E-2</v>
      </c>
      <c r="I247" s="57">
        <f t="shared" si="7"/>
        <v>2.7513227513227514E-2</v>
      </c>
    </row>
    <row r="248" spans="4:9" x14ac:dyDescent="0.2">
      <c r="D248" s="8" t="s">
        <v>784</v>
      </c>
      <c r="E248" s="29">
        <v>9415</v>
      </c>
      <c r="F248" s="29">
        <v>9242</v>
      </c>
      <c r="G248" s="29">
        <v>10291</v>
      </c>
      <c r="H248" s="57">
        <f t="shared" si="6"/>
        <v>-1.8374933616569306E-2</v>
      </c>
      <c r="I248" s="57">
        <f t="shared" si="7"/>
        <v>0.11350357065570223</v>
      </c>
    </row>
    <row r="249" spans="4:9" x14ac:dyDescent="0.2">
      <c r="D249" s="8" t="s">
        <v>785</v>
      </c>
      <c r="E249" s="29">
        <v>6453</v>
      </c>
      <c r="F249" s="29">
        <v>7345</v>
      </c>
      <c r="G249" s="29">
        <v>7808</v>
      </c>
      <c r="H249" s="57">
        <f t="shared" si="6"/>
        <v>0.13823028048969471</v>
      </c>
      <c r="I249" s="57">
        <f t="shared" si="7"/>
        <v>6.3036078965282502E-2</v>
      </c>
    </row>
    <row r="250" spans="4:9" x14ac:dyDescent="0.2">
      <c r="D250" s="8" t="s">
        <v>1028</v>
      </c>
      <c r="E250" s="29">
        <v>3121</v>
      </c>
      <c r="F250" s="29">
        <v>3359</v>
      </c>
      <c r="G250" s="29">
        <v>3617</v>
      </c>
      <c r="H250" s="57">
        <f t="shared" si="6"/>
        <v>7.6257609740467802E-2</v>
      </c>
      <c r="I250" s="57">
        <f t="shared" si="7"/>
        <v>7.6808573980351291E-2</v>
      </c>
    </row>
    <row r="251" spans="4:9" x14ac:dyDescent="0.2">
      <c r="D251" s="8" t="s">
        <v>786</v>
      </c>
      <c r="E251" s="29">
        <v>13284</v>
      </c>
      <c r="F251" s="29">
        <v>13542</v>
      </c>
      <c r="G251" s="29">
        <v>13386</v>
      </c>
      <c r="H251" s="57">
        <f t="shared" si="6"/>
        <v>1.9421860885275519E-2</v>
      </c>
      <c r="I251" s="57">
        <f t="shared" si="7"/>
        <v>-1.1519716437749225E-2</v>
      </c>
    </row>
    <row r="252" spans="4:9" x14ac:dyDescent="0.2">
      <c r="D252" s="8" t="s">
        <v>787</v>
      </c>
      <c r="E252" s="29">
        <v>5476</v>
      </c>
      <c r="F252" s="29">
        <v>5417</v>
      </c>
      <c r="G252" s="29">
        <v>5848</v>
      </c>
      <c r="H252" s="57">
        <f t="shared" si="6"/>
        <v>-1.0774287801314829E-2</v>
      </c>
      <c r="I252" s="57">
        <f t="shared" si="7"/>
        <v>7.9564334502492159E-2</v>
      </c>
    </row>
    <row r="253" spans="4:9" x14ac:dyDescent="0.2">
      <c r="D253" s="8" t="s">
        <v>788</v>
      </c>
      <c r="E253" s="29">
        <v>6214</v>
      </c>
      <c r="F253" s="29">
        <v>6303</v>
      </c>
      <c r="G253" s="29">
        <v>6466</v>
      </c>
      <c r="H253" s="57">
        <f t="shared" si="6"/>
        <v>1.4322497586095913E-2</v>
      </c>
      <c r="I253" s="57">
        <f t="shared" si="7"/>
        <v>2.586070125337141E-2</v>
      </c>
    </row>
    <row r="254" spans="4:9" x14ac:dyDescent="0.2">
      <c r="D254" s="8" t="s">
        <v>789</v>
      </c>
      <c r="E254" s="29">
        <v>13982</v>
      </c>
      <c r="F254" s="29">
        <v>14606</v>
      </c>
      <c r="G254" s="29">
        <v>15193</v>
      </c>
      <c r="H254" s="57">
        <f t="shared" si="6"/>
        <v>4.4628808468030322E-2</v>
      </c>
      <c r="I254" s="57">
        <f t="shared" si="7"/>
        <v>4.0188963439682319E-2</v>
      </c>
    </row>
    <row r="255" spans="4:9" x14ac:dyDescent="0.2">
      <c r="D255" s="8" t="s">
        <v>790</v>
      </c>
      <c r="E255" s="29">
        <v>5409</v>
      </c>
      <c r="F255" s="29">
        <v>5419</v>
      </c>
      <c r="G255" s="29">
        <v>5584</v>
      </c>
      <c r="H255" s="57">
        <f t="shared" si="6"/>
        <v>1.8487705675725643E-3</v>
      </c>
      <c r="I255" s="57">
        <f t="shared" si="7"/>
        <v>3.0448422218121423E-2</v>
      </c>
    </row>
    <row r="256" spans="4:9" x14ac:dyDescent="0.2">
      <c r="D256" s="8" t="s">
        <v>791</v>
      </c>
      <c r="E256" s="29">
        <v>5928</v>
      </c>
      <c r="F256" s="29">
        <v>6138</v>
      </c>
      <c r="G256" s="29">
        <v>6103</v>
      </c>
      <c r="H256" s="57">
        <f t="shared" si="6"/>
        <v>3.54251012145749E-2</v>
      </c>
      <c r="I256" s="57">
        <f t="shared" si="7"/>
        <v>-5.7021831215379607E-3</v>
      </c>
    </row>
    <row r="257" spans="4:9" x14ac:dyDescent="0.2">
      <c r="D257" s="8" t="s">
        <v>792</v>
      </c>
      <c r="E257" s="29">
        <v>1434</v>
      </c>
      <c r="F257" s="29">
        <v>1542</v>
      </c>
      <c r="G257" s="29">
        <v>1675</v>
      </c>
      <c r="H257" s="57">
        <f t="shared" si="6"/>
        <v>7.5313807531380755E-2</v>
      </c>
      <c r="I257" s="57">
        <f t="shared" si="7"/>
        <v>8.6251621271076523E-2</v>
      </c>
    </row>
    <row r="258" spans="4:9" x14ac:dyDescent="0.2">
      <c r="D258" s="8" t="s">
        <v>793</v>
      </c>
      <c r="E258" s="29">
        <v>4865</v>
      </c>
      <c r="F258" s="29">
        <v>5484</v>
      </c>
      <c r="G258" s="29">
        <v>6145</v>
      </c>
      <c r="H258" s="57">
        <f t="shared" si="6"/>
        <v>0.12723535457348406</v>
      </c>
      <c r="I258" s="57">
        <f t="shared" si="7"/>
        <v>0.12053245805981036</v>
      </c>
    </row>
    <row r="259" spans="4:9" x14ac:dyDescent="0.2">
      <c r="D259" s="8" t="s">
        <v>794</v>
      </c>
      <c r="E259" s="29">
        <v>2717</v>
      </c>
      <c r="F259" s="29">
        <v>2978</v>
      </c>
      <c r="G259" s="29">
        <v>3115</v>
      </c>
      <c r="H259" s="57">
        <f t="shared" si="6"/>
        <v>9.606183290393816E-2</v>
      </c>
      <c r="I259" s="57">
        <f t="shared" si="7"/>
        <v>4.6004029550033583E-2</v>
      </c>
    </row>
    <row r="260" spans="4:9" x14ac:dyDescent="0.2">
      <c r="D260" s="8" t="s">
        <v>795</v>
      </c>
      <c r="E260" s="29">
        <v>4146</v>
      </c>
      <c r="F260" s="29">
        <v>4393</v>
      </c>
      <c r="G260" s="29">
        <v>4642</v>
      </c>
      <c r="H260" s="57">
        <f t="shared" si="6"/>
        <v>5.9575494452484321E-2</v>
      </c>
      <c r="I260" s="57">
        <f t="shared" si="7"/>
        <v>5.6681083541998634E-2</v>
      </c>
    </row>
    <row r="261" spans="4:9" x14ac:dyDescent="0.2">
      <c r="D261" s="8" t="s">
        <v>796</v>
      </c>
      <c r="E261" s="29">
        <v>39004</v>
      </c>
      <c r="F261" s="29">
        <v>36091</v>
      </c>
      <c r="G261" s="29">
        <v>38009</v>
      </c>
      <c r="H261" s="57">
        <f t="shared" ref="H261:H324" si="8">(F261-E261)/E261</f>
        <v>-7.4684647728438108E-2</v>
      </c>
      <c r="I261" s="57">
        <f t="shared" ref="I261:I324" si="9">(G261-F261)/F261</f>
        <v>5.3143442963619739E-2</v>
      </c>
    </row>
    <row r="262" spans="4:9" x14ac:dyDescent="0.2">
      <c r="D262" s="8" t="s">
        <v>797</v>
      </c>
      <c r="E262" s="29">
        <v>4846</v>
      </c>
      <c r="F262" s="29">
        <v>5201</v>
      </c>
      <c r="G262" s="29">
        <v>5400</v>
      </c>
      <c r="H262" s="57">
        <f t="shared" si="8"/>
        <v>7.3256293850598425E-2</v>
      </c>
      <c r="I262" s="57">
        <f t="shared" si="9"/>
        <v>3.8261872716785231E-2</v>
      </c>
    </row>
    <row r="263" spans="4:9" x14ac:dyDescent="0.2">
      <c r="D263" s="8" t="s">
        <v>798</v>
      </c>
      <c r="E263" s="29">
        <v>2607</v>
      </c>
      <c r="F263" s="29">
        <v>2879</v>
      </c>
      <c r="G263" s="29">
        <v>3120</v>
      </c>
      <c r="H263" s="57">
        <f t="shared" si="8"/>
        <v>0.10433448408131953</v>
      </c>
      <c r="I263" s="57">
        <f t="shared" si="9"/>
        <v>8.3709621396318171E-2</v>
      </c>
    </row>
    <row r="264" spans="4:9" x14ac:dyDescent="0.2">
      <c r="D264" s="8" t="s">
        <v>799</v>
      </c>
      <c r="E264" s="29">
        <v>121162</v>
      </c>
      <c r="F264" s="29">
        <v>122657</v>
      </c>
      <c r="G264" s="29">
        <v>125556</v>
      </c>
      <c r="H264" s="57">
        <f t="shared" si="8"/>
        <v>1.2338852115349698E-2</v>
      </c>
      <c r="I264" s="57">
        <f t="shared" si="9"/>
        <v>2.3635014715833586E-2</v>
      </c>
    </row>
    <row r="265" spans="4:9" x14ac:dyDescent="0.2">
      <c r="D265" s="8" t="s">
        <v>800</v>
      </c>
      <c r="E265" s="30">
        <v>2138</v>
      </c>
      <c r="F265" s="30">
        <v>2328</v>
      </c>
      <c r="G265" s="30">
        <v>2488</v>
      </c>
      <c r="H265" s="57">
        <f t="shared" si="8"/>
        <v>8.8868101028999058E-2</v>
      </c>
      <c r="I265" s="57">
        <f t="shared" si="9"/>
        <v>6.8728522336769765E-2</v>
      </c>
    </row>
    <row r="266" spans="4:9" x14ac:dyDescent="0.2">
      <c r="D266" s="8" t="s">
        <v>801</v>
      </c>
      <c r="E266" s="29">
        <v>10041</v>
      </c>
      <c r="F266" s="29">
        <v>10428</v>
      </c>
      <c r="G266" s="29">
        <v>10896</v>
      </c>
      <c r="H266" s="57">
        <f t="shared" si="8"/>
        <v>3.8541977890648345E-2</v>
      </c>
      <c r="I266" s="57">
        <f t="shared" si="9"/>
        <v>4.4879171461449943E-2</v>
      </c>
    </row>
    <row r="267" spans="4:9" x14ac:dyDescent="0.2">
      <c r="D267" s="8" t="s">
        <v>802</v>
      </c>
      <c r="E267" s="29">
        <v>11982</v>
      </c>
      <c r="F267" s="29">
        <v>11564</v>
      </c>
      <c r="G267" s="29">
        <v>11626</v>
      </c>
      <c r="H267" s="57">
        <f t="shared" si="8"/>
        <v>-3.4885661826072445E-2</v>
      </c>
      <c r="I267" s="57">
        <f t="shared" si="9"/>
        <v>5.3614666205465235E-3</v>
      </c>
    </row>
    <row r="268" spans="4:9" x14ac:dyDescent="0.2">
      <c r="D268" s="8" t="s">
        <v>803</v>
      </c>
      <c r="E268" s="29">
        <v>7476</v>
      </c>
      <c r="F268" s="29">
        <v>6696</v>
      </c>
      <c r="G268" s="29">
        <v>7075</v>
      </c>
      <c r="H268" s="57">
        <f t="shared" si="8"/>
        <v>-0.1043338683788122</v>
      </c>
      <c r="I268" s="57">
        <f t="shared" si="9"/>
        <v>5.6600955794504179E-2</v>
      </c>
    </row>
    <row r="269" spans="4:9" x14ac:dyDescent="0.2">
      <c r="D269" s="8" t="s">
        <v>804</v>
      </c>
      <c r="E269" s="29">
        <v>4383</v>
      </c>
      <c r="F269" s="29">
        <v>4871</v>
      </c>
      <c r="G269" s="29">
        <v>5220</v>
      </c>
      <c r="H269" s="57">
        <f t="shared" si="8"/>
        <v>0.11133926534337212</v>
      </c>
      <c r="I269" s="57">
        <f t="shared" si="9"/>
        <v>7.1648532128926301E-2</v>
      </c>
    </row>
    <row r="270" spans="4:9" x14ac:dyDescent="0.2">
      <c r="D270" s="8" t="s">
        <v>805</v>
      </c>
      <c r="E270" s="29">
        <v>6001</v>
      </c>
      <c r="F270" s="29">
        <v>6049</v>
      </c>
      <c r="G270" s="29">
        <v>6171</v>
      </c>
      <c r="H270" s="57">
        <f t="shared" si="8"/>
        <v>7.9986668888518582E-3</v>
      </c>
      <c r="I270" s="57">
        <f t="shared" si="9"/>
        <v>2.0168622912878163E-2</v>
      </c>
    </row>
    <row r="271" spans="4:9" x14ac:dyDescent="0.2">
      <c r="D271" s="8" t="s">
        <v>806</v>
      </c>
      <c r="E271" s="29">
        <v>60116</v>
      </c>
      <c r="F271" s="29">
        <v>73794</v>
      </c>
      <c r="G271" s="29">
        <v>80198</v>
      </c>
      <c r="H271" s="57">
        <f t="shared" si="8"/>
        <v>0.22752678155565906</v>
      </c>
      <c r="I271" s="57">
        <f t="shared" si="9"/>
        <v>8.678212320784888E-2</v>
      </c>
    </row>
    <row r="272" spans="4:9" x14ac:dyDescent="0.2">
      <c r="D272" s="8" t="s">
        <v>807</v>
      </c>
      <c r="E272" s="29">
        <v>6291</v>
      </c>
      <c r="F272" s="29">
        <v>6355</v>
      </c>
      <c r="G272" s="29">
        <v>6610</v>
      </c>
      <c r="H272" s="57">
        <f t="shared" si="8"/>
        <v>1.0173263392147512E-2</v>
      </c>
      <c r="I272" s="57">
        <f t="shared" si="9"/>
        <v>4.0125885129819037E-2</v>
      </c>
    </row>
    <row r="273" spans="4:9" x14ac:dyDescent="0.2">
      <c r="D273" s="8" t="s">
        <v>808</v>
      </c>
      <c r="E273" s="29">
        <v>41303</v>
      </c>
      <c r="F273" s="29">
        <v>43264</v>
      </c>
      <c r="G273" s="29">
        <v>45768</v>
      </c>
      <c r="H273" s="57">
        <f t="shared" si="8"/>
        <v>4.7478391400140423E-2</v>
      </c>
      <c r="I273" s="57">
        <f t="shared" si="9"/>
        <v>5.787721893491124E-2</v>
      </c>
    </row>
    <row r="274" spans="4:9" x14ac:dyDescent="0.2">
      <c r="D274" s="8" t="s">
        <v>809</v>
      </c>
      <c r="E274" s="29">
        <v>6946</v>
      </c>
      <c r="F274" s="29">
        <v>7736</v>
      </c>
      <c r="G274" s="29">
        <v>7830</v>
      </c>
      <c r="H274" s="57">
        <f t="shared" si="8"/>
        <v>0.11373452346674345</v>
      </c>
      <c r="I274" s="57">
        <f t="shared" si="9"/>
        <v>1.2150982419855223E-2</v>
      </c>
    </row>
    <row r="275" spans="4:9" x14ac:dyDescent="0.2">
      <c r="D275" s="8" t="s">
        <v>810</v>
      </c>
      <c r="E275" s="29">
        <v>6717</v>
      </c>
      <c r="F275" s="29">
        <v>7470</v>
      </c>
      <c r="G275" s="29">
        <v>8169</v>
      </c>
      <c r="H275" s="57">
        <f t="shared" si="8"/>
        <v>0.11210361768646718</v>
      </c>
      <c r="I275" s="57">
        <f t="shared" si="9"/>
        <v>9.3574297188755026E-2</v>
      </c>
    </row>
    <row r="276" spans="4:9" x14ac:dyDescent="0.2">
      <c r="D276" s="8" t="s">
        <v>811</v>
      </c>
      <c r="E276" s="29">
        <v>1303</v>
      </c>
      <c r="F276" s="29">
        <v>1489</v>
      </c>
      <c r="G276" s="29">
        <v>1642</v>
      </c>
      <c r="H276" s="57">
        <f t="shared" si="8"/>
        <v>0.1427475057559478</v>
      </c>
      <c r="I276" s="57">
        <f t="shared" si="9"/>
        <v>0.10275352585627938</v>
      </c>
    </row>
    <row r="277" spans="4:9" x14ac:dyDescent="0.2">
      <c r="D277" s="8" t="s">
        <v>812</v>
      </c>
      <c r="E277" s="29">
        <v>11223</v>
      </c>
      <c r="F277" s="29">
        <v>12149</v>
      </c>
      <c r="G277" s="29">
        <v>13305</v>
      </c>
      <c r="H277" s="57">
        <f t="shared" si="8"/>
        <v>8.2509133030384027E-2</v>
      </c>
      <c r="I277" s="57">
        <f t="shared" si="9"/>
        <v>9.515186435097539E-2</v>
      </c>
    </row>
    <row r="278" spans="4:9" x14ac:dyDescent="0.2">
      <c r="D278" s="8" t="s">
        <v>813</v>
      </c>
      <c r="E278" s="29">
        <v>9494</v>
      </c>
      <c r="F278" s="29">
        <v>10981</v>
      </c>
      <c r="G278" s="29">
        <v>11790</v>
      </c>
      <c r="H278" s="57">
        <f t="shared" si="8"/>
        <v>0.15662523699178429</v>
      </c>
      <c r="I278" s="57">
        <f t="shared" si="9"/>
        <v>7.3672707403697302E-2</v>
      </c>
    </row>
    <row r="279" spans="4:9" x14ac:dyDescent="0.2">
      <c r="D279" s="8" t="s">
        <v>814</v>
      </c>
      <c r="E279" s="29">
        <v>6666</v>
      </c>
      <c r="F279" s="29">
        <v>6621</v>
      </c>
      <c r="G279" s="29">
        <v>6701</v>
      </c>
      <c r="H279" s="57">
        <f t="shared" si="8"/>
        <v>-6.7506750675067504E-3</v>
      </c>
      <c r="I279" s="57">
        <f t="shared" si="9"/>
        <v>1.2082766953632381E-2</v>
      </c>
    </row>
    <row r="280" spans="4:9" x14ac:dyDescent="0.2">
      <c r="D280" s="8" t="s">
        <v>815</v>
      </c>
      <c r="E280" s="29">
        <v>6873</v>
      </c>
      <c r="F280" s="29">
        <v>6993</v>
      </c>
      <c r="G280" s="29">
        <v>7149</v>
      </c>
      <c r="H280" s="57">
        <f t="shared" si="8"/>
        <v>1.7459624618070713E-2</v>
      </c>
      <c r="I280" s="57">
        <f t="shared" si="9"/>
        <v>2.2308022308022309E-2</v>
      </c>
    </row>
    <row r="281" spans="4:9" x14ac:dyDescent="0.2">
      <c r="D281" s="8" t="s">
        <v>816</v>
      </c>
      <c r="E281" s="29">
        <v>3914</v>
      </c>
      <c r="F281" s="29">
        <v>4288</v>
      </c>
      <c r="G281" s="29">
        <v>4564</v>
      </c>
      <c r="H281" s="57">
        <f t="shared" si="8"/>
        <v>9.5554420030659171E-2</v>
      </c>
      <c r="I281" s="57">
        <f t="shared" si="9"/>
        <v>6.436567164179105E-2</v>
      </c>
    </row>
    <row r="282" spans="4:9" x14ac:dyDescent="0.2">
      <c r="D282" s="8" t="s">
        <v>817</v>
      </c>
      <c r="E282" s="29">
        <v>18881</v>
      </c>
      <c r="F282" s="29">
        <v>20266</v>
      </c>
      <c r="G282" s="29">
        <v>21613</v>
      </c>
      <c r="H282" s="57">
        <f t="shared" si="8"/>
        <v>7.3354165563264656E-2</v>
      </c>
      <c r="I282" s="57">
        <f t="shared" si="9"/>
        <v>6.6466002171124056E-2</v>
      </c>
    </row>
    <row r="283" spans="4:9" x14ac:dyDescent="0.2">
      <c r="D283" s="8" t="s">
        <v>818</v>
      </c>
      <c r="E283" s="29">
        <v>30852</v>
      </c>
      <c r="F283" s="29">
        <v>29331</v>
      </c>
      <c r="G283" s="29">
        <v>29374</v>
      </c>
      <c r="H283" s="57">
        <f t="shared" si="8"/>
        <v>-4.9299883313885649E-2</v>
      </c>
      <c r="I283" s="57">
        <f t="shared" si="9"/>
        <v>1.466025706590297E-3</v>
      </c>
    </row>
    <row r="284" spans="4:9" x14ac:dyDescent="0.2">
      <c r="D284" s="8" t="s">
        <v>819</v>
      </c>
      <c r="E284" s="29">
        <v>3412</v>
      </c>
      <c r="F284" s="29">
        <v>3478</v>
      </c>
      <c r="G284" s="29">
        <v>3681</v>
      </c>
      <c r="H284" s="57">
        <f t="shared" si="8"/>
        <v>1.9343493552168817E-2</v>
      </c>
      <c r="I284" s="57">
        <f t="shared" si="9"/>
        <v>5.8366877515813688E-2</v>
      </c>
    </row>
    <row r="285" spans="4:9" x14ac:dyDescent="0.2">
      <c r="D285" s="8" t="s">
        <v>820</v>
      </c>
      <c r="E285" s="29">
        <v>4965</v>
      </c>
      <c r="F285" s="29">
        <v>5355</v>
      </c>
      <c r="G285" s="29">
        <v>5698</v>
      </c>
      <c r="H285" s="57">
        <f t="shared" si="8"/>
        <v>7.8549848942598186E-2</v>
      </c>
      <c r="I285" s="57">
        <f t="shared" si="9"/>
        <v>6.4052287581699341E-2</v>
      </c>
    </row>
    <row r="286" spans="4:9" x14ac:dyDescent="0.2">
      <c r="D286" s="8" t="s">
        <v>821</v>
      </c>
      <c r="E286" s="29">
        <v>12694</v>
      </c>
      <c r="F286" s="29">
        <v>11982</v>
      </c>
      <c r="G286" s="29">
        <v>12226</v>
      </c>
      <c r="H286" s="57">
        <f t="shared" si="8"/>
        <v>-5.6089491098156606E-2</v>
      </c>
      <c r="I286" s="57">
        <f t="shared" si="9"/>
        <v>2.0363879152061424E-2</v>
      </c>
    </row>
    <row r="287" spans="4:9" x14ac:dyDescent="0.2">
      <c r="D287" s="8" t="s">
        <v>822</v>
      </c>
      <c r="E287" s="29">
        <v>15290</v>
      </c>
      <c r="F287" s="29">
        <v>14935</v>
      </c>
      <c r="G287" s="29">
        <v>15258</v>
      </c>
      <c r="H287" s="57">
        <f t="shared" si="8"/>
        <v>-2.3217789404839765E-2</v>
      </c>
      <c r="I287" s="57">
        <f t="shared" si="9"/>
        <v>2.1627050552393706E-2</v>
      </c>
    </row>
    <row r="288" spans="4:9" x14ac:dyDescent="0.2">
      <c r="D288" s="8" t="s">
        <v>823</v>
      </c>
      <c r="E288" s="29">
        <v>16068</v>
      </c>
      <c r="F288" s="29">
        <v>17383</v>
      </c>
      <c r="G288" s="29">
        <v>18560</v>
      </c>
      <c r="H288" s="57">
        <f t="shared" si="8"/>
        <v>8.1839681354244465E-2</v>
      </c>
      <c r="I288" s="57">
        <f t="shared" si="9"/>
        <v>6.7709831444514756E-2</v>
      </c>
    </row>
    <row r="289" spans="4:9" x14ac:dyDescent="0.2">
      <c r="D289" s="8" t="s">
        <v>824</v>
      </c>
      <c r="E289" s="29">
        <v>210838</v>
      </c>
      <c r="F289" s="29">
        <v>224496</v>
      </c>
      <c r="G289" s="29">
        <v>231212</v>
      </c>
      <c r="H289" s="57">
        <f t="shared" si="8"/>
        <v>6.4779593811362279E-2</v>
      </c>
      <c r="I289" s="57">
        <f t="shared" si="9"/>
        <v>2.9915900506022379E-2</v>
      </c>
    </row>
    <row r="290" spans="4:9" x14ac:dyDescent="0.2">
      <c r="D290" s="8" t="s">
        <v>825</v>
      </c>
      <c r="E290" s="29">
        <v>1327</v>
      </c>
      <c r="F290" s="29">
        <v>1521</v>
      </c>
      <c r="G290" s="29">
        <v>1722</v>
      </c>
      <c r="H290" s="57">
        <f t="shared" si="8"/>
        <v>0.14619442351168049</v>
      </c>
      <c r="I290" s="57">
        <f t="shared" si="9"/>
        <v>0.13214990138067062</v>
      </c>
    </row>
    <row r="291" spans="4:9" x14ac:dyDescent="0.2">
      <c r="D291" s="8" t="s">
        <v>826</v>
      </c>
      <c r="E291" s="29">
        <v>5407</v>
      </c>
      <c r="F291" s="29">
        <v>7181</v>
      </c>
      <c r="G291" s="29">
        <v>6444</v>
      </c>
      <c r="H291" s="57">
        <f t="shared" si="8"/>
        <v>0.32809321250231183</v>
      </c>
      <c r="I291" s="57">
        <f t="shared" si="9"/>
        <v>-0.10263194541150257</v>
      </c>
    </row>
    <row r="292" spans="4:9" x14ac:dyDescent="0.2">
      <c r="D292" s="8" t="s">
        <v>827</v>
      </c>
      <c r="E292" s="29">
        <v>11333</v>
      </c>
      <c r="F292" s="29">
        <v>11481</v>
      </c>
      <c r="G292" s="29">
        <v>11884</v>
      </c>
      <c r="H292" s="57">
        <f t="shared" si="8"/>
        <v>1.3059207623753641E-2</v>
      </c>
      <c r="I292" s="57">
        <f t="shared" si="9"/>
        <v>3.5101471997212787E-2</v>
      </c>
    </row>
    <row r="293" spans="4:9" x14ac:dyDescent="0.2">
      <c r="D293" s="8" t="s">
        <v>828</v>
      </c>
      <c r="E293" s="29">
        <v>1836</v>
      </c>
      <c r="F293" s="29">
        <v>1939</v>
      </c>
      <c r="G293" s="29">
        <v>2044</v>
      </c>
      <c r="H293" s="57">
        <f t="shared" si="8"/>
        <v>5.6100217864923745E-2</v>
      </c>
      <c r="I293" s="57">
        <f t="shared" si="9"/>
        <v>5.4151624548736461E-2</v>
      </c>
    </row>
    <row r="294" spans="4:9" x14ac:dyDescent="0.2">
      <c r="D294" s="8" t="s">
        <v>333</v>
      </c>
      <c r="E294" s="29">
        <v>6792</v>
      </c>
      <c r="F294" s="29">
        <v>7115</v>
      </c>
      <c r="G294" s="29">
        <v>7832</v>
      </c>
      <c r="H294" s="57">
        <f t="shared" si="8"/>
        <v>4.7555948174322731E-2</v>
      </c>
      <c r="I294" s="57">
        <f t="shared" si="9"/>
        <v>0.10077301475755446</v>
      </c>
    </row>
    <row r="295" spans="4:9" x14ac:dyDescent="0.2">
      <c r="D295" s="8" t="s">
        <v>829</v>
      </c>
      <c r="E295" s="29">
        <v>6455</v>
      </c>
      <c r="F295" s="29">
        <v>6454</v>
      </c>
      <c r="G295" s="29">
        <v>6624</v>
      </c>
      <c r="H295" s="57">
        <f t="shared" si="8"/>
        <v>-1.5491866769945777E-4</v>
      </c>
      <c r="I295" s="57">
        <f t="shared" si="9"/>
        <v>2.6340254105980787E-2</v>
      </c>
    </row>
    <row r="296" spans="4:9" x14ac:dyDescent="0.2">
      <c r="D296" s="8" t="s">
        <v>830</v>
      </c>
      <c r="E296" s="29">
        <v>16569</v>
      </c>
      <c r="F296" s="29">
        <v>16312</v>
      </c>
      <c r="G296" s="29">
        <v>18087</v>
      </c>
      <c r="H296" s="57">
        <f t="shared" si="8"/>
        <v>-1.5510893837890036E-2</v>
      </c>
      <c r="I296" s="57">
        <f t="shared" si="9"/>
        <v>0.1088155958803335</v>
      </c>
    </row>
    <row r="297" spans="4:9" x14ac:dyDescent="0.2">
      <c r="D297" s="8" t="s">
        <v>831</v>
      </c>
      <c r="E297" s="29">
        <v>2936</v>
      </c>
      <c r="F297" s="29">
        <v>3017</v>
      </c>
      <c r="G297" s="29">
        <v>3176</v>
      </c>
      <c r="H297" s="57">
        <f t="shared" si="8"/>
        <v>2.7588555858310628E-2</v>
      </c>
      <c r="I297" s="57">
        <f t="shared" si="9"/>
        <v>5.2701358965860125E-2</v>
      </c>
    </row>
    <row r="298" spans="4:9" x14ac:dyDescent="0.2">
      <c r="D298" s="8" t="s">
        <v>832</v>
      </c>
      <c r="E298" s="29">
        <v>2533</v>
      </c>
      <c r="F298" s="29">
        <v>2647</v>
      </c>
      <c r="G298" s="29">
        <v>2822</v>
      </c>
      <c r="H298" s="57">
        <f t="shared" si="8"/>
        <v>4.5005921831819978E-2</v>
      </c>
      <c r="I298" s="57">
        <f t="shared" si="9"/>
        <v>6.6112580279561767E-2</v>
      </c>
    </row>
    <row r="299" spans="4:9" x14ac:dyDescent="0.2">
      <c r="D299" s="8" t="s">
        <v>833</v>
      </c>
      <c r="E299" s="29">
        <v>13547</v>
      </c>
      <c r="F299" s="29">
        <v>13491</v>
      </c>
      <c r="G299" s="29">
        <v>13291</v>
      </c>
      <c r="H299" s="57">
        <f t="shared" si="8"/>
        <v>-4.1337565512659631E-3</v>
      </c>
      <c r="I299" s="57">
        <f t="shared" si="9"/>
        <v>-1.4824697946779335E-2</v>
      </c>
    </row>
    <row r="300" spans="4:9" x14ac:dyDescent="0.2">
      <c r="D300" s="8" t="s">
        <v>834</v>
      </c>
      <c r="E300" s="29">
        <v>4276</v>
      </c>
      <c r="F300" s="29">
        <v>5367</v>
      </c>
      <c r="G300" s="29">
        <v>5484</v>
      </c>
      <c r="H300" s="57">
        <f t="shared" si="8"/>
        <v>0.25514499532273155</v>
      </c>
      <c r="I300" s="57">
        <f t="shared" si="9"/>
        <v>2.1799888205701508E-2</v>
      </c>
    </row>
    <row r="301" spans="4:9" x14ac:dyDescent="0.2">
      <c r="D301" s="8" t="s">
        <v>835</v>
      </c>
      <c r="E301" s="29">
        <v>4244</v>
      </c>
      <c r="F301" s="29">
        <v>4592</v>
      </c>
      <c r="G301" s="29">
        <v>4895</v>
      </c>
      <c r="H301" s="57">
        <f t="shared" si="8"/>
        <v>8.1998114985862389E-2</v>
      </c>
      <c r="I301" s="57">
        <f t="shared" si="9"/>
        <v>6.5984320557491288E-2</v>
      </c>
    </row>
    <row r="302" spans="4:9" x14ac:dyDescent="0.2">
      <c r="D302" s="8" t="s">
        <v>836</v>
      </c>
      <c r="E302" s="29">
        <v>26259</v>
      </c>
      <c r="F302" s="29">
        <v>25232</v>
      </c>
      <c r="G302" s="29">
        <v>25320</v>
      </c>
      <c r="H302" s="57">
        <f t="shared" si="8"/>
        <v>-3.911040024372596E-2</v>
      </c>
      <c r="I302" s="57">
        <f t="shared" si="9"/>
        <v>3.4876347495244133E-3</v>
      </c>
    </row>
    <row r="303" spans="4:9" x14ac:dyDescent="0.2">
      <c r="D303" s="8" t="s">
        <v>837</v>
      </c>
      <c r="E303" s="29">
        <v>42879</v>
      </c>
      <c r="F303" s="29">
        <v>43431</v>
      </c>
      <c r="G303" s="29">
        <v>44020</v>
      </c>
      <c r="H303" s="57">
        <f t="shared" si="8"/>
        <v>1.2873434548380327E-2</v>
      </c>
      <c r="I303" s="57">
        <f t="shared" si="9"/>
        <v>1.3561741613133477E-2</v>
      </c>
    </row>
    <row r="304" spans="4:9" x14ac:dyDescent="0.2">
      <c r="D304" s="8" t="s">
        <v>838</v>
      </c>
      <c r="E304" s="29">
        <v>1039</v>
      </c>
      <c r="F304" s="29">
        <v>1119</v>
      </c>
      <c r="G304" s="29">
        <v>1167</v>
      </c>
      <c r="H304" s="57">
        <f t="shared" si="8"/>
        <v>7.6997112608277185E-2</v>
      </c>
      <c r="I304" s="57">
        <f t="shared" si="9"/>
        <v>4.2895442359249331E-2</v>
      </c>
    </row>
    <row r="305" spans="4:9" x14ac:dyDescent="0.2">
      <c r="D305" s="8" t="s">
        <v>839</v>
      </c>
      <c r="E305" s="29">
        <v>23995</v>
      </c>
      <c r="F305" s="29">
        <v>23380</v>
      </c>
      <c r="G305" s="29">
        <v>24328</v>
      </c>
      <c r="H305" s="57">
        <f t="shared" si="8"/>
        <v>-2.5630339654094603E-2</v>
      </c>
      <c r="I305" s="57">
        <f t="shared" si="9"/>
        <v>4.0547476475620188E-2</v>
      </c>
    </row>
    <row r="306" spans="4:9" x14ac:dyDescent="0.2">
      <c r="D306" s="8" t="s">
        <v>840</v>
      </c>
      <c r="E306" s="29">
        <v>21340</v>
      </c>
      <c r="F306" s="29">
        <v>23374</v>
      </c>
      <c r="G306" s="29">
        <v>25130</v>
      </c>
      <c r="H306" s="57">
        <f t="shared" si="8"/>
        <v>9.5313964386129338E-2</v>
      </c>
      <c r="I306" s="57">
        <f t="shared" si="9"/>
        <v>7.5126208607854877E-2</v>
      </c>
    </row>
    <row r="307" spans="4:9" x14ac:dyDescent="0.2">
      <c r="D307" s="8" t="s">
        <v>841</v>
      </c>
      <c r="E307" s="29">
        <v>6466</v>
      </c>
      <c r="F307" s="29">
        <v>6455</v>
      </c>
      <c r="G307" s="29">
        <v>7516</v>
      </c>
      <c r="H307" s="57">
        <f t="shared" si="8"/>
        <v>-1.7012063099288586E-3</v>
      </c>
      <c r="I307" s="57">
        <f t="shared" si="9"/>
        <v>0.16436870642912471</v>
      </c>
    </row>
    <row r="308" spans="4:9" x14ac:dyDescent="0.2">
      <c r="D308" s="8" t="s">
        <v>842</v>
      </c>
      <c r="E308" s="29">
        <v>23306</v>
      </c>
      <c r="F308" s="29">
        <v>22694</v>
      </c>
      <c r="G308" s="29">
        <v>22374</v>
      </c>
      <c r="H308" s="57">
        <f t="shared" si="8"/>
        <v>-2.6259332360765469E-2</v>
      </c>
      <c r="I308" s="57">
        <f t="shared" si="9"/>
        <v>-1.4100643341852471E-2</v>
      </c>
    </row>
    <row r="309" spans="4:9" x14ac:dyDescent="0.2">
      <c r="D309" s="8" t="s">
        <v>843</v>
      </c>
      <c r="E309" s="29">
        <v>2042</v>
      </c>
      <c r="F309" s="29">
        <v>2310</v>
      </c>
      <c r="G309" s="29">
        <v>2534</v>
      </c>
      <c r="H309" s="57">
        <f t="shared" si="8"/>
        <v>0.13124387855044076</v>
      </c>
      <c r="I309" s="57">
        <f t="shared" si="9"/>
        <v>9.696969696969697E-2</v>
      </c>
    </row>
    <row r="310" spans="4:9" x14ac:dyDescent="0.2">
      <c r="D310" s="8" t="s">
        <v>844</v>
      </c>
      <c r="E310" s="29">
        <v>4362</v>
      </c>
      <c r="F310" s="29">
        <v>4558</v>
      </c>
      <c r="G310" s="29">
        <v>4778</v>
      </c>
      <c r="H310" s="57">
        <f t="shared" si="8"/>
        <v>4.4933516735442457E-2</v>
      </c>
      <c r="I310" s="57">
        <f t="shared" si="9"/>
        <v>4.8266783677051339E-2</v>
      </c>
    </row>
    <row r="311" spans="4:9" x14ac:dyDescent="0.2">
      <c r="D311" s="8" t="s">
        <v>353</v>
      </c>
      <c r="E311" s="29">
        <v>20572</v>
      </c>
      <c r="F311" s="29">
        <v>21568</v>
      </c>
      <c r="G311" s="29">
        <v>21967</v>
      </c>
      <c r="H311" s="57">
        <f t="shared" si="8"/>
        <v>4.8415321796616763E-2</v>
      </c>
      <c r="I311" s="57">
        <f t="shared" si="9"/>
        <v>1.8499629080118693E-2</v>
      </c>
    </row>
    <row r="312" spans="4:9" x14ac:dyDescent="0.2">
      <c r="D312" s="8" t="s">
        <v>373</v>
      </c>
      <c r="E312" s="29">
        <v>8510</v>
      </c>
      <c r="F312" s="29">
        <v>9014</v>
      </c>
      <c r="G312" s="29">
        <v>9303</v>
      </c>
      <c r="H312" s="57">
        <f t="shared" si="8"/>
        <v>5.9224441833137485E-2</v>
      </c>
      <c r="I312" s="57">
        <f t="shared" si="9"/>
        <v>3.2061238074106942E-2</v>
      </c>
    </row>
    <row r="313" spans="4:9" x14ac:dyDescent="0.2">
      <c r="D313" s="8" t="s">
        <v>845</v>
      </c>
      <c r="E313" s="29">
        <v>3149</v>
      </c>
      <c r="F313" s="29">
        <v>3420</v>
      </c>
      <c r="G313" s="29">
        <v>3796</v>
      </c>
      <c r="H313" s="57">
        <f t="shared" si="8"/>
        <v>8.6059066370276271E-2</v>
      </c>
      <c r="I313" s="57">
        <f t="shared" si="9"/>
        <v>0.10994152046783626</v>
      </c>
    </row>
    <row r="314" spans="4:9" x14ac:dyDescent="0.2">
      <c r="D314" s="8" t="s">
        <v>846</v>
      </c>
      <c r="E314" s="29">
        <v>436</v>
      </c>
      <c r="F314" s="29">
        <v>497</v>
      </c>
      <c r="G314" s="29">
        <v>554</v>
      </c>
      <c r="H314" s="57">
        <f t="shared" si="8"/>
        <v>0.13990825688073394</v>
      </c>
      <c r="I314" s="57">
        <f t="shared" si="9"/>
        <v>0.11468812877263582</v>
      </c>
    </row>
    <row r="315" spans="4:9" x14ac:dyDescent="0.2">
      <c r="D315" s="8" t="s">
        <v>847</v>
      </c>
      <c r="E315" s="29">
        <v>14514</v>
      </c>
      <c r="F315" s="29">
        <v>15644</v>
      </c>
      <c r="G315" s="29">
        <v>16343</v>
      </c>
      <c r="H315" s="57">
        <f t="shared" si="8"/>
        <v>7.7855863304395756E-2</v>
      </c>
      <c r="I315" s="57">
        <f t="shared" si="9"/>
        <v>4.4681667092815139E-2</v>
      </c>
    </row>
    <row r="316" spans="4:9" x14ac:dyDescent="0.2">
      <c r="D316" s="8" t="s">
        <v>848</v>
      </c>
      <c r="E316" s="29">
        <v>6128</v>
      </c>
      <c r="F316" s="29">
        <v>6477</v>
      </c>
      <c r="G316" s="29">
        <v>6636</v>
      </c>
      <c r="H316" s="57">
        <f t="shared" si="8"/>
        <v>5.6951697127937337E-2</v>
      </c>
      <c r="I316" s="57">
        <f t="shared" si="9"/>
        <v>2.4548402037980546E-2</v>
      </c>
    </row>
    <row r="317" spans="4:9" x14ac:dyDescent="0.2">
      <c r="D317" s="8" t="s">
        <v>849</v>
      </c>
      <c r="E317" s="29">
        <v>2176</v>
      </c>
      <c r="F317" s="29">
        <v>4111</v>
      </c>
      <c r="G317" s="29">
        <v>5143</v>
      </c>
      <c r="H317" s="57">
        <f t="shared" si="8"/>
        <v>0.8892463235294118</v>
      </c>
      <c r="I317" s="57">
        <f t="shared" si="9"/>
        <v>0.25103381172464123</v>
      </c>
    </row>
    <row r="318" spans="4:9" x14ac:dyDescent="0.2">
      <c r="D318" s="8" t="s">
        <v>850</v>
      </c>
      <c r="E318" s="29">
        <v>1882</v>
      </c>
      <c r="F318" s="29">
        <v>2124</v>
      </c>
      <c r="G318" s="29">
        <v>2430</v>
      </c>
      <c r="H318" s="57">
        <f t="shared" si="8"/>
        <v>0.12858660998937302</v>
      </c>
      <c r="I318" s="57">
        <f t="shared" si="9"/>
        <v>0.1440677966101695</v>
      </c>
    </row>
    <row r="319" spans="4:9" x14ac:dyDescent="0.2">
      <c r="D319" s="8" t="s">
        <v>851</v>
      </c>
      <c r="E319" s="30">
        <v>2929</v>
      </c>
      <c r="F319" s="30">
        <v>2778</v>
      </c>
      <c r="G319" s="30">
        <v>2793</v>
      </c>
      <c r="H319" s="57">
        <f t="shared" si="8"/>
        <v>-5.1553431205189487E-2</v>
      </c>
      <c r="I319" s="57">
        <f t="shared" si="9"/>
        <v>5.3995680345572351E-3</v>
      </c>
    </row>
    <row r="320" spans="4:9" x14ac:dyDescent="0.2">
      <c r="D320" s="8" t="s">
        <v>852</v>
      </c>
      <c r="E320" s="29">
        <v>4762</v>
      </c>
      <c r="F320" s="29">
        <v>4846</v>
      </c>
      <c r="G320" s="29">
        <v>4919</v>
      </c>
      <c r="H320" s="57">
        <f t="shared" si="8"/>
        <v>1.763964720705586E-2</v>
      </c>
      <c r="I320" s="57">
        <f t="shared" si="9"/>
        <v>1.5063970284770946E-2</v>
      </c>
    </row>
    <row r="321" spans="4:9" x14ac:dyDescent="0.2">
      <c r="D321" s="8" t="s">
        <v>853</v>
      </c>
      <c r="E321" s="29">
        <v>25067</v>
      </c>
      <c r="F321" s="29">
        <v>23128</v>
      </c>
      <c r="G321" s="29">
        <v>22872</v>
      </c>
      <c r="H321" s="57">
        <f t="shared" si="8"/>
        <v>-7.7352694777994974E-2</v>
      </c>
      <c r="I321" s="57">
        <f t="shared" si="9"/>
        <v>-1.1068834313386372E-2</v>
      </c>
    </row>
    <row r="322" spans="4:9" x14ac:dyDescent="0.2">
      <c r="D322" s="8" t="s">
        <v>854</v>
      </c>
      <c r="E322" s="29">
        <v>2420</v>
      </c>
      <c r="F322" s="29">
        <v>2440</v>
      </c>
      <c r="G322" s="29">
        <v>2552</v>
      </c>
      <c r="H322" s="57">
        <f t="shared" si="8"/>
        <v>8.2644628099173556E-3</v>
      </c>
      <c r="I322" s="57">
        <f t="shared" si="9"/>
        <v>4.5901639344262293E-2</v>
      </c>
    </row>
    <row r="323" spans="4:9" x14ac:dyDescent="0.2">
      <c r="D323" s="8" t="s">
        <v>855</v>
      </c>
      <c r="E323" s="29">
        <v>2714</v>
      </c>
      <c r="F323" s="29">
        <v>2860</v>
      </c>
      <c r="G323" s="29">
        <v>3059</v>
      </c>
      <c r="H323" s="57">
        <f t="shared" si="8"/>
        <v>5.3795136330140013E-2</v>
      </c>
      <c r="I323" s="57">
        <f t="shared" si="9"/>
        <v>6.9580419580419578E-2</v>
      </c>
    </row>
    <row r="324" spans="4:9" x14ac:dyDescent="0.2">
      <c r="D324" s="8" t="s">
        <v>856</v>
      </c>
      <c r="E324" s="29">
        <v>2314</v>
      </c>
      <c r="F324" s="29">
        <v>2215</v>
      </c>
      <c r="G324" s="29">
        <v>2393</v>
      </c>
      <c r="H324" s="57">
        <f t="shared" si="8"/>
        <v>-4.2783059636992221E-2</v>
      </c>
      <c r="I324" s="57">
        <f t="shared" si="9"/>
        <v>8.0361173814898421E-2</v>
      </c>
    </row>
    <row r="325" spans="4:9" x14ac:dyDescent="0.2">
      <c r="D325" s="8" t="s">
        <v>857</v>
      </c>
      <c r="E325" s="29">
        <v>1571</v>
      </c>
      <c r="F325" s="29">
        <v>1633</v>
      </c>
      <c r="G325" s="29">
        <v>1691</v>
      </c>
      <c r="H325" s="57">
        <f t="shared" ref="H325:H388" si="10">(F325-E325)/E325</f>
        <v>3.9465308720560151E-2</v>
      </c>
      <c r="I325" s="57">
        <f t="shared" ref="I325:I388" si="11">(G325-F325)/F325</f>
        <v>3.5517452541334968E-2</v>
      </c>
    </row>
    <row r="326" spans="4:9" x14ac:dyDescent="0.2">
      <c r="D326" s="8" t="s">
        <v>858</v>
      </c>
      <c r="E326" s="29">
        <v>11763</v>
      </c>
      <c r="F326" s="29">
        <v>12993</v>
      </c>
      <c r="G326" s="29">
        <v>13442</v>
      </c>
      <c r="H326" s="57">
        <f t="shared" si="10"/>
        <v>0.10456516194848253</v>
      </c>
      <c r="I326" s="57">
        <f t="shared" si="11"/>
        <v>3.45570691911029E-2</v>
      </c>
    </row>
    <row r="327" spans="4:9" x14ac:dyDescent="0.2">
      <c r="D327" s="8" t="s">
        <v>859</v>
      </c>
      <c r="E327" s="29">
        <v>4151</v>
      </c>
      <c r="F327" s="29">
        <v>4483</v>
      </c>
      <c r="G327" s="29">
        <v>5212</v>
      </c>
      <c r="H327" s="57">
        <f t="shared" si="10"/>
        <v>7.9980727535533605E-2</v>
      </c>
      <c r="I327" s="57">
        <f t="shared" si="11"/>
        <v>0.16261432076734331</v>
      </c>
    </row>
    <row r="328" spans="4:9" x14ac:dyDescent="0.2">
      <c r="D328" s="8" t="s">
        <v>860</v>
      </c>
      <c r="E328" s="29">
        <v>5805</v>
      </c>
      <c r="F328" s="29">
        <v>5903</v>
      </c>
      <c r="G328" s="29">
        <v>6002</v>
      </c>
      <c r="H328" s="57">
        <f t="shared" si="10"/>
        <v>1.6881998277347116E-2</v>
      </c>
      <c r="I328" s="57">
        <f t="shared" si="11"/>
        <v>1.6771133322039642E-2</v>
      </c>
    </row>
    <row r="329" spans="4:9" x14ac:dyDescent="0.2">
      <c r="D329" s="8" t="s">
        <v>861</v>
      </c>
      <c r="E329" s="29">
        <v>10589</v>
      </c>
      <c r="F329" s="29">
        <v>13100</v>
      </c>
      <c r="G329" s="29">
        <v>13672</v>
      </c>
      <c r="H329" s="57">
        <f t="shared" si="10"/>
        <v>0.23713287373689679</v>
      </c>
      <c r="I329" s="57">
        <f t="shared" si="11"/>
        <v>4.366412213740458E-2</v>
      </c>
    </row>
    <row r="330" spans="4:9" x14ac:dyDescent="0.2">
      <c r="D330" s="8" t="s">
        <v>862</v>
      </c>
      <c r="E330" s="29">
        <v>7155</v>
      </c>
      <c r="F330" s="29">
        <v>6637</v>
      </c>
      <c r="G330" s="29">
        <v>6934</v>
      </c>
      <c r="H330" s="57">
        <f t="shared" si="10"/>
        <v>-7.2396925227113912E-2</v>
      </c>
      <c r="I330" s="57">
        <f t="shared" si="11"/>
        <v>4.4749133644718997E-2</v>
      </c>
    </row>
    <row r="331" spans="4:9" x14ac:dyDescent="0.2">
      <c r="D331" s="8" t="s">
        <v>863</v>
      </c>
      <c r="E331" s="29">
        <v>9538</v>
      </c>
      <c r="F331" s="29">
        <v>10806</v>
      </c>
      <c r="G331" s="29">
        <v>10751</v>
      </c>
      <c r="H331" s="57">
        <f t="shared" si="10"/>
        <v>0.13294191654434892</v>
      </c>
      <c r="I331" s="57">
        <f t="shared" si="11"/>
        <v>-5.0897649454007031E-3</v>
      </c>
    </row>
    <row r="332" spans="4:9" x14ac:dyDescent="0.2">
      <c r="D332" s="8" t="s">
        <v>864</v>
      </c>
      <c r="E332" s="29">
        <v>14425</v>
      </c>
      <c r="F332" s="29">
        <v>15780</v>
      </c>
      <c r="G332" s="29">
        <v>16580</v>
      </c>
      <c r="H332" s="57">
        <f t="shared" si="10"/>
        <v>9.393414211438475E-2</v>
      </c>
      <c r="I332" s="57">
        <f t="shared" si="11"/>
        <v>5.0697084917617236E-2</v>
      </c>
    </row>
    <row r="333" spans="4:9" x14ac:dyDescent="0.2">
      <c r="D333" s="8" t="s">
        <v>865</v>
      </c>
      <c r="E333" s="29">
        <v>7531</v>
      </c>
      <c r="F333" s="29">
        <v>7703</v>
      </c>
      <c r="G333" s="29">
        <v>7901</v>
      </c>
      <c r="H333" s="57">
        <f t="shared" si="10"/>
        <v>2.2838932412694198E-2</v>
      </c>
      <c r="I333" s="57">
        <f t="shared" si="11"/>
        <v>2.5704271063222123E-2</v>
      </c>
    </row>
    <row r="334" spans="4:9" x14ac:dyDescent="0.2">
      <c r="D334" s="8" t="s">
        <v>866</v>
      </c>
      <c r="E334" s="29">
        <v>18173</v>
      </c>
      <c r="F334" s="29">
        <v>19640</v>
      </c>
      <c r="G334" s="29">
        <v>20792</v>
      </c>
      <c r="H334" s="57">
        <f t="shared" si="10"/>
        <v>8.0724151213338466E-2</v>
      </c>
      <c r="I334" s="57">
        <f t="shared" si="11"/>
        <v>5.8655804480651733E-2</v>
      </c>
    </row>
    <row r="335" spans="4:9" x14ac:dyDescent="0.2">
      <c r="D335" s="8" t="s">
        <v>1029</v>
      </c>
      <c r="E335" s="29">
        <v>1035</v>
      </c>
      <c r="F335" s="29">
        <v>1123</v>
      </c>
      <c r="G335" s="29">
        <v>1207</v>
      </c>
      <c r="H335" s="57">
        <f t="shared" si="10"/>
        <v>8.5024154589371986E-2</v>
      </c>
      <c r="I335" s="57">
        <f t="shared" si="11"/>
        <v>7.4799643811219951E-2</v>
      </c>
    </row>
    <row r="336" spans="4:9" x14ac:dyDescent="0.2">
      <c r="D336" s="8" t="s">
        <v>867</v>
      </c>
      <c r="E336" s="29">
        <v>20414</v>
      </c>
      <c r="F336" s="29">
        <v>27236</v>
      </c>
      <c r="G336" s="29">
        <v>30656</v>
      </c>
      <c r="H336" s="57">
        <f t="shared" si="10"/>
        <v>0.33418242382678554</v>
      </c>
      <c r="I336" s="57">
        <f t="shared" si="11"/>
        <v>0.12556909972095756</v>
      </c>
    </row>
    <row r="337" spans="4:9" x14ac:dyDescent="0.2">
      <c r="D337" s="8" t="s">
        <v>868</v>
      </c>
      <c r="E337" s="29">
        <v>5207</v>
      </c>
      <c r="F337" s="29">
        <v>5359</v>
      </c>
      <c r="G337" s="29">
        <v>5636</v>
      </c>
      <c r="H337" s="57">
        <f t="shared" si="10"/>
        <v>2.9191473017092375E-2</v>
      </c>
      <c r="I337" s="57">
        <f t="shared" si="11"/>
        <v>5.1688747900727749E-2</v>
      </c>
    </row>
    <row r="338" spans="4:9" x14ac:dyDescent="0.2">
      <c r="D338" s="8" t="s">
        <v>869</v>
      </c>
      <c r="E338" s="29">
        <v>4510</v>
      </c>
      <c r="F338" s="29">
        <v>4669</v>
      </c>
      <c r="G338" s="29">
        <v>4728</v>
      </c>
      <c r="H338" s="57">
        <f t="shared" si="10"/>
        <v>3.5254988913525499E-2</v>
      </c>
      <c r="I338" s="57">
        <f t="shared" si="11"/>
        <v>1.2636538873420432E-2</v>
      </c>
    </row>
    <row r="339" spans="4:9" x14ac:dyDescent="0.2">
      <c r="D339" s="8" t="s">
        <v>870</v>
      </c>
      <c r="E339" s="29">
        <v>167940</v>
      </c>
      <c r="F339" s="29">
        <v>179259</v>
      </c>
      <c r="G339" s="29">
        <v>187895</v>
      </c>
      <c r="H339" s="57">
        <f t="shared" si="10"/>
        <v>6.7399071096820293E-2</v>
      </c>
      <c r="I339" s="57">
        <f t="shared" si="11"/>
        <v>4.8176102734032882E-2</v>
      </c>
    </row>
    <row r="340" spans="4:9" x14ac:dyDescent="0.2">
      <c r="D340" s="8" t="s">
        <v>871</v>
      </c>
      <c r="E340" s="29">
        <v>3218</v>
      </c>
      <c r="F340" s="29">
        <v>3349</v>
      </c>
      <c r="G340" s="29">
        <v>3480</v>
      </c>
      <c r="H340" s="57">
        <f t="shared" si="10"/>
        <v>4.0708514605344935E-2</v>
      </c>
      <c r="I340" s="57">
        <f t="shared" si="11"/>
        <v>3.9116154075843533E-2</v>
      </c>
    </row>
    <row r="341" spans="4:9" x14ac:dyDescent="0.2">
      <c r="D341" s="8" t="s">
        <v>872</v>
      </c>
      <c r="E341" s="29">
        <v>18628</v>
      </c>
      <c r="F341" s="29">
        <v>14730</v>
      </c>
      <c r="G341" s="29">
        <v>15355</v>
      </c>
      <c r="H341" s="57">
        <f t="shared" si="10"/>
        <v>-0.20925488511917542</v>
      </c>
      <c r="I341" s="57">
        <f t="shared" si="11"/>
        <v>4.2430414120841822E-2</v>
      </c>
    </row>
    <row r="342" spans="4:9" x14ac:dyDescent="0.2">
      <c r="D342" s="8" t="s">
        <v>873</v>
      </c>
      <c r="E342" s="29">
        <v>6992</v>
      </c>
      <c r="F342" s="29">
        <v>7192</v>
      </c>
      <c r="G342" s="29">
        <v>7416</v>
      </c>
      <c r="H342" s="57">
        <f t="shared" si="10"/>
        <v>2.8604118993135013E-2</v>
      </c>
      <c r="I342" s="57">
        <f t="shared" si="11"/>
        <v>3.114571746384872E-2</v>
      </c>
    </row>
    <row r="343" spans="4:9" x14ac:dyDescent="0.2">
      <c r="D343" s="8" t="s">
        <v>874</v>
      </c>
      <c r="E343" s="29">
        <v>18735</v>
      </c>
      <c r="F343" s="29">
        <v>19550</v>
      </c>
      <c r="G343" s="29">
        <v>20347</v>
      </c>
      <c r="H343" s="57">
        <f t="shared" si="10"/>
        <v>4.3501467840939417E-2</v>
      </c>
      <c r="I343" s="57">
        <f t="shared" si="11"/>
        <v>4.0767263427109977E-2</v>
      </c>
    </row>
    <row r="344" spans="4:9" x14ac:dyDescent="0.2">
      <c r="D344" s="8" t="s">
        <v>875</v>
      </c>
      <c r="E344" s="29">
        <v>1966</v>
      </c>
      <c r="F344" s="29">
        <v>2382</v>
      </c>
      <c r="G344" s="29">
        <v>2870</v>
      </c>
      <c r="H344" s="57">
        <f t="shared" si="10"/>
        <v>0.2115971515768057</v>
      </c>
      <c r="I344" s="57">
        <f t="shared" si="11"/>
        <v>0.20486985726280438</v>
      </c>
    </row>
    <row r="345" spans="4:9" x14ac:dyDescent="0.2">
      <c r="D345" s="8" t="s">
        <v>876</v>
      </c>
      <c r="E345" s="29">
        <v>3868</v>
      </c>
      <c r="F345" s="29">
        <v>3375</v>
      </c>
      <c r="G345" s="29">
        <v>3404</v>
      </c>
      <c r="H345" s="57">
        <f t="shared" si="10"/>
        <v>-0.12745604963805585</v>
      </c>
      <c r="I345" s="57">
        <f t="shared" si="11"/>
        <v>8.5925925925925926E-3</v>
      </c>
    </row>
    <row r="346" spans="4:9" ht="16" customHeight="1" x14ac:dyDescent="0.2">
      <c r="D346" s="8" t="s">
        <v>877</v>
      </c>
      <c r="E346" s="30">
        <v>13613</v>
      </c>
      <c r="F346" s="30" t="s">
        <v>47</v>
      </c>
      <c r="G346" s="30">
        <v>14769</v>
      </c>
      <c r="H346" s="57" t="e">
        <f t="shared" si="10"/>
        <v>#VALUE!</v>
      </c>
      <c r="I346" s="57" t="e">
        <f t="shared" si="11"/>
        <v>#VALUE!</v>
      </c>
    </row>
    <row r="347" spans="4:9" x14ac:dyDescent="0.2">
      <c r="D347" s="8" t="s">
        <v>878</v>
      </c>
      <c r="E347" s="29">
        <v>3116</v>
      </c>
      <c r="F347" s="29">
        <v>3111</v>
      </c>
      <c r="G347" s="29">
        <v>3512</v>
      </c>
      <c r="H347" s="57">
        <f t="shared" si="10"/>
        <v>-1.6046213093709885E-3</v>
      </c>
      <c r="I347" s="57">
        <f t="shared" si="11"/>
        <v>0.1288974606235937</v>
      </c>
    </row>
    <row r="348" spans="4:9" x14ac:dyDescent="0.2">
      <c r="D348" s="8" t="s">
        <v>879</v>
      </c>
      <c r="E348" s="29">
        <v>145534</v>
      </c>
      <c r="F348" s="29">
        <v>152211</v>
      </c>
      <c r="G348" s="29">
        <v>158452</v>
      </c>
      <c r="H348" s="57">
        <f t="shared" si="10"/>
        <v>4.5879313425041569E-2</v>
      </c>
      <c r="I348" s="57">
        <f t="shared" si="11"/>
        <v>4.100229286976631E-2</v>
      </c>
    </row>
    <row r="349" spans="4:9" x14ac:dyDescent="0.2">
      <c r="D349" s="8" t="s">
        <v>880</v>
      </c>
      <c r="E349" s="29">
        <v>7838</v>
      </c>
      <c r="F349" s="29">
        <v>7708</v>
      </c>
      <c r="G349" s="29">
        <v>7800</v>
      </c>
      <c r="H349" s="57">
        <f t="shared" si="10"/>
        <v>-1.658586374075019E-2</v>
      </c>
      <c r="I349" s="57">
        <f t="shared" si="11"/>
        <v>1.1935651271406332E-2</v>
      </c>
    </row>
    <row r="350" spans="4:9" x14ac:dyDescent="0.2">
      <c r="D350" s="8" t="s">
        <v>882</v>
      </c>
      <c r="E350" s="29">
        <v>3986</v>
      </c>
      <c r="F350" s="29">
        <v>3992</v>
      </c>
      <c r="G350" s="29">
        <v>4130</v>
      </c>
      <c r="H350" s="57">
        <f t="shared" si="10"/>
        <v>1.5052684395383843E-3</v>
      </c>
      <c r="I350" s="57">
        <f t="shared" si="11"/>
        <v>3.4569138276553106E-2</v>
      </c>
    </row>
    <row r="351" spans="4:9" x14ac:dyDescent="0.2">
      <c r="D351" s="8" t="s">
        <v>883</v>
      </c>
      <c r="E351" s="29">
        <v>2484</v>
      </c>
      <c r="F351" s="29">
        <v>2551</v>
      </c>
      <c r="G351" s="29">
        <v>2665</v>
      </c>
      <c r="H351" s="57">
        <f t="shared" si="10"/>
        <v>2.6972624798711754E-2</v>
      </c>
      <c r="I351" s="57">
        <f t="shared" si="11"/>
        <v>4.4688357506860052E-2</v>
      </c>
    </row>
    <row r="352" spans="4:9" x14ac:dyDescent="0.2">
      <c r="D352" s="8" t="s">
        <v>884</v>
      </c>
      <c r="E352" s="29">
        <v>2714</v>
      </c>
      <c r="F352" s="29">
        <v>2858</v>
      </c>
      <c r="G352" s="29">
        <v>3034</v>
      </c>
      <c r="H352" s="57">
        <f t="shared" si="10"/>
        <v>5.305821665438467E-2</v>
      </c>
      <c r="I352" s="57">
        <f t="shared" si="11"/>
        <v>6.1581525542337298E-2</v>
      </c>
    </row>
    <row r="353" spans="4:9" x14ac:dyDescent="0.2">
      <c r="D353" s="8" t="s">
        <v>885</v>
      </c>
      <c r="E353" s="29">
        <v>4580</v>
      </c>
      <c r="F353" s="29">
        <v>4997</v>
      </c>
      <c r="G353" s="29">
        <v>5217</v>
      </c>
      <c r="H353" s="57">
        <f t="shared" si="10"/>
        <v>9.1048034934497812E-2</v>
      </c>
      <c r="I353" s="57">
        <f t="shared" si="11"/>
        <v>4.4026415849509705E-2</v>
      </c>
    </row>
    <row r="354" spans="4:9" x14ac:dyDescent="0.2">
      <c r="D354" s="8" t="s">
        <v>886</v>
      </c>
      <c r="E354" s="29">
        <v>10772</v>
      </c>
      <c r="F354" s="29">
        <v>11307</v>
      </c>
      <c r="G354" s="29">
        <v>11810</v>
      </c>
      <c r="H354" s="57">
        <f t="shared" si="10"/>
        <v>4.9665800222799851E-2</v>
      </c>
      <c r="I354" s="57">
        <f t="shared" si="11"/>
        <v>4.4485716812593966E-2</v>
      </c>
    </row>
    <row r="355" spans="4:9" x14ac:dyDescent="0.2">
      <c r="D355" s="8" t="s">
        <v>887</v>
      </c>
      <c r="E355" s="29">
        <v>11221</v>
      </c>
      <c r="F355" s="29">
        <v>11524</v>
      </c>
      <c r="G355" s="29">
        <v>12013</v>
      </c>
      <c r="H355" s="57">
        <f t="shared" si="10"/>
        <v>2.700294091435701E-2</v>
      </c>
      <c r="I355" s="57">
        <f t="shared" si="11"/>
        <v>4.2433182922596319E-2</v>
      </c>
    </row>
    <row r="356" spans="4:9" x14ac:dyDescent="0.2">
      <c r="D356" s="8" t="s">
        <v>888</v>
      </c>
      <c r="E356" s="29">
        <v>10194</v>
      </c>
      <c r="F356" s="29">
        <v>10814</v>
      </c>
      <c r="G356" s="29">
        <v>11375</v>
      </c>
      <c r="H356" s="57">
        <f t="shared" si="10"/>
        <v>6.0820090249166174E-2</v>
      </c>
      <c r="I356" s="57">
        <f t="shared" si="11"/>
        <v>5.1877196227113002E-2</v>
      </c>
    </row>
    <row r="357" spans="4:9" x14ac:dyDescent="0.2">
      <c r="D357" s="8" t="s">
        <v>889</v>
      </c>
      <c r="E357" s="29">
        <v>10391</v>
      </c>
      <c r="F357" s="29">
        <v>10311</v>
      </c>
      <c r="G357" s="29">
        <v>10408</v>
      </c>
      <c r="H357" s="57">
        <f t="shared" si="10"/>
        <v>-7.6989702627273601E-3</v>
      </c>
      <c r="I357" s="57">
        <f t="shared" si="11"/>
        <v>9.407428959363787E-3</v>
      </c>
    </row>
    <row r="358" spans="4:9" x14ac:dyDescent="0.2">
      <c r="D358" s="8" t="s">
        <v>890</v>
      </c>
      <c r="E358" s="29">
        <v>2151</v>
      </c>
      <c r="F358" s="29">
        <v>2545</v>
      </c>
      <c r="G358" s="29">
        <v>2951</v>
      </c>
      <c r="H358" s="57">
        <f t="shared" si="10"/>
        <v>0.18317061831706183</v>
      </c>
      <c r="I358" s="57">
        <f t="shared" si="11"/>
        <v>0.15952848722986249</v>
      </c>
    </row>
    <row r="359" spans="4:9" x14ac:dyDescent="0.2">
      <c r="D359" s="8" t="s">
        <v>1030</v>
      </c>
      <c r="E359" s="29">
        <v>785</v>
      </c>
      <c r="F359" s="29">
        <v>856</v>
      </c>
      <c r="G359" s="29">
        <v>900</v>
      </c>
      <c r="H359" s="57">
        <f t="shared" si="10"/>
        <v>9.0445859872611459E-2</v>
      </c>
      <c r="I359" s="57">
        <f t="shared" si="11"/>
        <v>5.1401869158878503E-2</v>
      </c>
    </row>
    <row r="360" spans="4:9" x14ac:dyDescent="0.2">
      <c r="D360" s="8" t="s">
        <v>891</v>
      </c>
      <c r="E360" s="29">
        <v>8138</v>
      </c>
      <c r="F360" s="29">
        <v>8497</v>
      </c>
      <c r="G360" s="29">
        <v>8940</v>
      </c>
      <c r="H360" s="57">
        <f t="shared" si="10"/>
        <v>4.4114032931924306E-2</v>
      </c>
      <c r="I360" s="57">
        <f t="shared" si="11"/>
        <v>5.2136048016947156E-2</v>
      </c>
    </row>
    <row r="361" spans="4:9" x14ac:dyDescent="0.2">
      <c r="D361" s="8" t="s">
        <v>893</v>
      </c>
      <c r="E361" s="29">
        <v>5524</v>
      </c>
      <c r="F361" s="29">
        <v>5475</v>
      </c>
      <c r="G361" s="29">
        <v>5422</v>
      </c>
      <c r="H361" s="57">
        <f t="shared" si="10"/>
        <v>-8.8703837798696592E-3</v>
      </c>
      <c r="I361" s="57">
        <f t="shared" si="11"/>
        <v>-9.6803652968036526E-3</v>
      </c>
    </row>
    <row r="362" spans="4:9" x14ac:dyDescent="0.2">
      <c r="D362" s="8" t="s">
        <v>894</v>
      </c>
      <c r="E362" s="29">
        <v>7911</v>
      </c>
      <c r="F362" s="29">
        <v>8448</v>
      </c>
      <c r="G362" s="29">
        <v>9022</v>
      </c>
      <c r="H362" s="57">
        <f t="shared" si="10"/>
        <v>6.788016685627607E-2</v>
      </c>
      <c r="I362" s="57">
        <f t="shared" si="11"/>
        <v>6.794507575757576E-2</v>
      </c>
    </row>
    <row r="363" spans="4:9" x14ac:dyDescent="0.2">
      <c r="D363" s="8" t="s">
        <v>895</v>
      </c>
      <c r="E363" s="29">
        <v>2974</v>
      </c>
      <c r="F363" s="29">
        <v>2993</v>
      </c>
      <c r="G363" s="29">
        <v>3133</v>
      </c>
      <c r="H363" s="57">
        <f t="shared" si="10"/>
        <v>6.3887020847343641E-3</v>
      </c>
      <c r="I363" s="57">
        <f t="shared" si="11"/>
        <v>4.6775810223855664E-2</v>
      </c>
    </row>
    <row r="364" spans="4:9" x14ac:dyDescent="0.2">
      <c r="D364" s="8" t="s">
        <v>896</v>
      </c>
      <c r="E364" s="29">
        <v>3975</v>
      </c>
      <c r="F364" s="29">
        <v>4238</v>
      </c>
      <c r="G364" s="29">
        <v>4691</v>
      </c>
      <c r="H364" s="57">
        <f t="shared" si="10"/>
        <v>6.6163522012578621E-2</v>
      </c>
      <c r="I364" s="57">
        <f t="shared" si="11"/>
        <v>0.10689004247286456</v>
      </c>
    </row>
    <row r="365" spans="4:9" x14ac:dyDescent="0.2">
      <c r="D365" s="8" t="s">
        <v>897</v>
      </c>
      <c r="E365" s="29">
        <v>9546</v>
      </c>
      <c r="F365" s="29">
        <v>9524</v>
      </c>
      <c r="G365" s="29">
        <v>9688</v>
      </c>
      <c r="H365" s="57">
        <f t="shared" si="10"/>
        <v>-2.3046302116069557E-3</v>
      </c>
      <c r="I365" s="57">
        <f t="shared" si="11"/>
        <v>1.7219655606887863E-2</v>
      </c>
    </row>
    <row r="366" spans="4:9" x14ac:dyDescent="0.2">
      <c r="D366" s="8" t="s">
        <v>898</v>
      </c>
      <c r="E366" s="29">
        <v>8359</v>
      </c>
      <c r="F366" s="29">
        <v>8421</v>
      </c>
      <c r="G366" s="29">
        <v>6955</v>
      </c>
      <c r="H366" s="57">
        <f t="shared" si="10"/>
        <v>7.4171551621007295E-3</v>
      </c>
      <c r="I366" s="57">
        <f t="shared" si="11"/>
        <v>-0.17408858805367533</v>
      </c>
    </row>
    <row r="367" spans="4:9" x14ac:dyDescent="0.2">
      <c r="D367" s="8" t="s">
        <v>899</v>
      </c>
      <c r="E367" s="29">
        <v>2526</v>
      </c>
      <c r="F367" s="29">
        <v>2535</v>
      </c>
      <c r="G367" s="29">
        <v>2648</v>
      </c>
      <c r="H367" s="57">
        <f t="shared" si="10"/>
        <v>3.5629453681710215E-3</v>
      </c>
      <c r="I367" s="57">
        <f t="shared" si="11"/>
        <v>4.4575936883629194E-2</v>
      </c>
    </row>
    <row r="368" spans="4:9" x14ac:dyDescent="0.2">
      <c r="D368" s="8" t="s">
        <v>900</v>
      </c>
      <c r="E368" s="29">
        <v>16631</v>
      </c>
      <c r="F368" s="29">
        <v>15598</v>
      </c>
      <c r="G368" s="29">
        <v>16313</v>
      </c>
      <c r="H368" s="57">
        <f t="shared" si="10"/>
        <v>-6.2112921652335999E-2</v>
      </c>
      <c r="I368" s="57">
        <f t="shared" si="11"/>
        <v>4.5839210155148094E-2</v>
      </c>
    </row>
    <row r="369" spans="4:9" x14ac:dyDescent="0.2">
      <c r="D369" s="8" t="s">
        <v>901</v>
      </c>
      <c r="E369" s="29">
        <v>6146</v>
      </c>
      <c r="F369" s="29">
        <v>5659</v>
      </c>
      <c r="G369" s="29">
        <v>5891</v>
      </c>
      <c r="H369" s="57">
        <f t="shared" si="10"/>
        <v>-7.9238529124633902E-2</v>
      </c>
      <c r="I369" s="57">
        <f t="shared" si="11"/>
        <v>4.0996642516345647E-2</v>
      </c>
    </row>
    <row r="370" spans="4:9" x14ac:dyDescent="0.2">
      <c r="D370" s="8" t="s">
        <v>903</v>
      </c>
      <c r="E370" s="29">
        <v>4728</v>
      </c>
      <c r="F370" s="29">
        <v>4555</v>
      </c>
      <c r="G370" s="29">
        <v>4814</v>
      </c>
      <c r="H370" s="57">
        <f t="shared" si="10"/>
        <v>-3.6590524534686975E-2</v>
      </c>
      <c r="I370" s="57">
        <f t="shared" si="11"/>
        <v>5.6860592755214052E-2</v>
      </c>
    </row>
    <row r="371" spans="4:9" x14ac:dyDescent="0.2">
      <c r="D371" s="8" t="s">
        <v>904</v>
      </c>
      <c r="E371" s="29">
        <v>3978</v>
      </c>
      <c r="F371" s="29">
        <v>5169</v>
      </c>
      <c r="G371" s="29">
        <v>5371</v>
      </c>
      <c r="H371" s="57">
        <f t="shared" si="10"/>
        <v>0.29939668174962292</v>
      </c>
      <c r="I371" s="57">
        <f t="shared" si="11"/>
        <v>3.9079125556200425E-2</v>
      </c>
    </row>
    <row r="372" spans="4:9" x14ac:dyDescent="0.2">
      <c r="D372" s="8" t="s">
        <v>905</v>
      </c>
      <c r="E372" s="29">
        <v>23443</v>
      </c>
      <c r="F372" s="29">
        <v>22296</v>
      </c>
      <c r="G372" s="29">
        <v>21630</v>
      </c>
      <c r="H372" s="57">
        <f t="shared" si="10"/>
        <v>-4.8927185087232865E-2</v>
      </c>
      <c r="I372" s="57">
        <f t="shared" si="11"/>
        <v>-2.9870828848223896E-2</v>
      </c>
    </row>
    <row r="373" spans="4:9" x14ac:dyDescent="0.2">
      <c r="D373" s="8" t="s">
        <v>906</v>
      </c>
      <c r="E373" s="29">
        <v>5115</v>
      </c>
      <c r="F373" s="29">
        <v>5247</v>
      </c>
      <c r="G373" s="29">
        <v>5518</v>
      </c>
      <c r="H373" s="57">
        <f t="shared" si="10"/>
        <v>2.5806451612903226E-2</v>
      </c>
      <c r="I373" s="57">
        <f t="shared" si="11"/>
        <v>5.1648561082523345E-2</v>
      </c>
    </row>
    <row r="374" spans="4:9" x14ac:dyDescent="0.2">
      <c r="D374" s="8" t="s">
        <v>907</v>
      </c>
      <c r="E374" s="29">
        <v>6055</v>
      </c>
      <c r="F374" s="29">
        <v>6405</v>
      </c>
      <c r="G374" s="29">
        <v>7094</v>
      </c>
      <c r="H374" s="57">
        <f t="shared" si="10"/>
        <v>5.7803468208092484E-2</v>
      </c>
      <c r="I374" s="57">
        <f t="shared" si="11"/>
        <v>0.10757220921155347</v>
      </c>
    </row>
    <row r="375" spans="4:9" x14ac:dyDescent="0.2">
      <c r="D375" s="8" t="s">
        <v>908</v>
      </c>
      <c r="E375" s="29">
        <v>4364</v>
      </c>
      <c r="F375" s="29">
        <v>8299</v>
      </c>
      <c r="G375" s="29">
        <v>9094</v>
      </c>
      <c r="H375" s="57">
        <f t="shared" si="10"/>
        <v>0.90169569202566457</v>
      </c>
      <c r="I375" s="57">
        <f t="shared" si="11"/>
        <v>9.5794674057115309E-2</v>
      </c>
    </row>
    <row r="376" spans="4:9" x14ac:dyDescent="0.2">
      <c r="D376" s="8" t="s">
        <v>909</v>
      </c>
      <c r="E376" s="29" t="s">
        <v>1036</v>
      </c>
      <c r="F376" s="29" t="s">
        <v>1036</v>
      </c>
      <c r="G376" s="29" t="s">
        <v>1036</v>
      </c>
      <c r="H376" s="57" t="e">
        <f t="shared" si="10"/>
        <v>#VALUE!</v>
      </c>
      <c r="I376" s="57" t="e">
        <f t="shared" si="11"/>
        <v>#VALUE!</v>
      </c>
    </row>
    <row r="377" spans="4:9" x14ac:dyDescent="0.2">
      <c r="D377" s="8" t="s">
        <v>910</v>
      </c>
      <c r="E377" s="29">
        <v>16475</v>
      </c>
      <c r="F377" s="29">
        <v>17832</v>
      </c>
      <c r="G377" s="29">
        <v>18586</v>
      </c>
      <c r="H377" s="57">
        <f t="shared" si="10"/>
        <v>8.2367223065250378E-2</v>
      </c>
      <c r="I377" s="57">
        <f t="shared" si="11"/>
        <v>4.2283535217586363E-2</v>
      </c>
    </row>
    <row r="378" spans="4:9" x14ac:dyDescent="0.2">
      <c r="D378" s="8" t="s">
        <v>911</v>
      </c>
      <c r="E378" s="29">
        <v>1553</v>
      </c>
      <c r="F378" s="29">
        <v>1654</v>
      </c>
      <c r="G378" s="29">
        <v>1775</v>
      </c>
      <c r="H378" s="57">
        <f t="shared" si="10"/>
        <v>6.5035415325177079E-2</v>
      </c>
      <c r="I378" s="57">
        <f t="shared" si="11"/>
        <v>7.3155985489721881E-2</v>
      </c>
    </row>
    <row r="379" spans="4:9" x14ac:dyDescent="0.2">
      <c r="D379" s="8" t="s">
        <v>912</v>
      </c>
      <c r="E379" s="29">
        <v>3691</v>
      </c>
      <c r="F379" s="29">
        <v>3762</v>
      </c>
      <c r="G379" s="29">
        <v>3815</v>
      </c>
      <c r="H379" s="57">
        <f t="shared" si="10"/>
        <v>1.9235979409374153E-2</v>
      </c>
      <c r="I379" s="57">
        <f t="shared" si="11"/>
        <v>1.4088250930356193E-2</v>
      </c>
    </row>
    <row r="380" spans="4:9" x14ac:dyDescent="0.2">
      <c r="D380" s="8" t="s">
        <v>914</v>
      </c>
      <c r="E380" s="29">
        <v>4429</v>
      </c>
      <c r="F380" s="29">
        <v>4766</v>
      </c>
      <c r="G380" s="29">
        <v>4958</v>
      </c>
      <c r="H380" s="57">
        <f t="shared" si="10"/>
        <v>7.6089410702190108E-2</v>
      </c>
      <c r="I380" s="57">
        <f t="shared" si="11"/>
        <v>4.0285354595048256E-2</v>
      </c>
    </row>
    <row r="381" spans="4:9" x14ac:dyDescent="0.2">
      <c r="D381" s="8" t="s">
        <v>915</v>
      </c>
      <c r="E381" s="29">
        <v>4986</v>
      </c>
      <c r="F381" s="29">
        <v>4464</v>
      </c>
      <c r="G381" s="29">
        <v>5493</v>
      </c>
      <c r="H381" s="57">
        <f t="shared" si="10"/>
        <v>-0.10469314079422383</v>
      </c>
      <c r="I381" s="57">
        <f t="shared" si="11"/>
        <v>0.23051075268817203</v>
      </c>
    </row>
    <row r="382" spans="4:9" x14ac:dyDescent="0.2">
      <c r="D382" s="8" t="s">
        <v>916</v>
      </c>
      <c r="E382" s="29">
        <v>2164</v>
      </c>
      <c r="F382" s="29">
        <v>2027</v>
      </c>
      <c r="G382" s="29">
        <v>1957</v>
      </c>
      <c r="H382" s="57">
        <f t="shared" si="10"/>
        <v>-6.3308687615526799E-2</v>
      </c>
      <c r="I382" s="57">
        <f t="shared" si="11"/>
        <v>-3.4533793783917119E-2</v>
      </c>
    </row>
    <row r="383" spans="4:9" x14ac:dyDescent="0.2">
      <c r="D383" s="8" t="s">
        <v>917</v>
      </c>
      <c r="E383" s="29">
        <v>6718</v>
      </c>
      <c r="F383" s="29">
        <v>6844</v>
      </c>
      <c r="G383" s="29">
        <v>7474</v>
      </c>
      <c r="H383" s="57">
        <f t="shared" si="10"/>
        <v>1.8755582018457874E-2</v>
      </c>
      <c r="I383" s="57">
        <f t="shared" si="11"/>
        <v>9.2051431911163065E-2</v>
      </c>
    </row>
    <row r="384" spans="4:9" x14ac:dyDescent="0.2">
      <c r="D384" s="8" t="s">
        <v>918</v>
      </c>
      <c r="E384" s="29">
        <v>13972</v>
      </c>
      <c r="F384" s="29">
        <v>13698</v>
      </c>
      <c r="G384" s="29">
        <v>14279</v>
      </c>
      <c r="H384" s="57">
        <f t="shared" si="10"/>
        <v>-1.9610649871170914E-2</v>
      </c>
      <c r="I384" s="57">
        <f t="shared" si="11"/>
        <v>4.2414951087750036E-2</v>
      </c>
    </row>
    <row r="385" spans="4:9" x14ac:dyDescent="0.2">
      <c r="D385" s="8" t="s">
        <v>919</v>
      </c>
      <c r="E385" s="30">
        <v>44541</v>
      </c>
      <c r="F385" s="30">
        <v>46042</v>
      </c>
      <c r="G385" s="30">
        <v>48370</v>
      </c>
      <c r="H385" s="57">
        <f t="shared" si="10"/>
        <v>3.3699288296176556E-2</v>
      </c>
      <c r="I385" s="57">
        <f t="shared" si="11"/>
        <v>5.0562529864037184E-2</v>
      </c>
    </row>
    <row r="386" spans="4:9" x14ac:dyDescent="0.2">
      <c r="D386" s="8" t="s">
        <v>920</v>
      </c>
      <c r="E386" s="29">
        <v>3757</v>
      </c>
      <c r="F386" s="29">
        <v>4001</v>
      </c>
      <c r="G386" s="29">
        <v>4104</v>
      </c>
      <c r="H386" s="57">
        <f t="shared" si="10"/>
        <v>6.4945435187649725E-2</v>
      </c>
      <c r="I386" s="57">
        <f t="shared" si="11"/>
        <v>2.5743564108972758E-2</v>
      </c>
    </row>
    <row r="387" spans="4:9" x14ac:dyDescent="0.2">
      <c r="D387" s="8" t="s">
        <v>921</v>
      </c>
      <c r="E387" s="29">
        <v>7414</v>
      </c>
      <c r="F387" s="29">
        <v>7842</v>
      </c>
      <c r="G387" s="29">
        <v>8376</v>
      </c>
      <c r="H387" s="57">
        <f t="shared" si="10"/>
        <v>5.7728621526841113E-2</v>
      </c>
      <c r="I387" s="57">
        <f t="shared" si="11"/>
        <v>6.8094873756694721E-2</v>
      </c>
    </row>
    <row r="388" spans="4:9" x14ac:dyDescent="0.2">
      <c r="D388" s="8" t="s">
        <v>922</v>
      </c>
      <c r="E388" s="29">
        <v>2873</v>
      </c>
      <c r="F388" s="29">
        <v>2929</v>
      </c>
      <c r="G388" s="29">
        <v>2895</v>
      </c>
      <c r="H388" s="57">
        <f t="shared" si="10"/>
        <v>1.9491820396797772E-2</v>
      </c>
      <c r="I388" s="57">
        <f t="shared" si="11"/>
        <v>-1.1608057357459884E-2</v>
      </c>
    </row>
    <row r="389" spans="4:9" x14ac:dyDescent="0.2">
      <c r="D389" s="8" t="s">
        <v>923</v>
      </c>
      <c r="E389" s="29">
        <v>10736</v>
      </c>
      <c r="F389" s="29">
        <v>10778</v>
      </c>
      <c r="G389" s="29">
        <v>11341</v>
      </c>
      <c r="H389" s="57">
        <f t="shared" ref="H389:H452" si="12">(F389-E389)/E389</f>
        <v>3.912071535022355E-3</v>
      </c>
      <c r="I389" s="57">
        <f t="shared" ref="I389:I452" si="13">(G389-F389)/F389</f>
        <v>5.2236036370384119E-2</v>
      </c>
    </row>
    <row r="390" spans="4:9" x14ac:dyDescent="0.2">
      <c r="D390" s="8" t="s">
        <v>924</v>
      </c>
      <c r="E390" s="29">
        <v>14985</v>
      </c>
      <c r="F390" s="29">
        <v>12621</v>
      </c>
      <c r="G390" s="29">
        <v>13426</v>
      </c>
      <c r="H390" s="57">
        <f t="shared" si="12"/>
        <v>-0.15775775775775774</v>
      </c>
      <c r="I390" s="57">
        <f t="shared" si="13"/>
        <v>6.3782584581253465E-2</v>
      </c>
    </row>
    <row r="391" spans="4:9" x14ac:dyDescent="0.2">
      <c r="D391" s="8" t="s">
        <v>925</v>
      </c>
      <c r="E391" s="29">
        <v>12553</v>
      </c>
      <c r="F391" s="29">
        <v>13510</v>
      </c>
      <c r="G391" s="29">
        <v>15119</v>
      </c>
      <c r="H391" s="57">
        <f t="shared" si="12"/>
        <v>7.6236756153907431E-2</v>
      </c>
      <c r="I391" s="57">
        <f t="shared" si="13"/>
        <v>0.11909696521095485</v>
      </c>
    </row>
    <row r="392" spans="4:9" x14ac:dyDescent="0.2">
      <c r="D392" s="8" t="s">
        <v>926</v>
      </c>
      <c r="E392" s="29">
        <v>14014</v>
      </c>
      <c r="F392" s="29">
        <v>14427</v>
      </c>
      <c r="G392" s="29">
        <v>14915</v>
      </c>
      <c r="H392" s="57">
        <f t="shared" si="12"/>
        <v>2.9470529470529472E-2</v>
      </c>
      <c r="I392" s="57">
        <f t="shared" si="13"/>
        <v>3.3825466139876623E-2</v>
      </c>
    </row>
    <row r="393" spans="4:9" x14ac:dyDescent="0.2">
      <c r="D393" s="8" t="s">
        <v>927</v>
      </c>
      <c r="E393" s="29">
        <v>2648</v>
      </c>
      <c r="F393" s="29">
        <v>3272</v>
      </c>
      <c r="G393" s="29">
        <v>3321</v>
      </c>
      <c r="H393" s="57">
        <f t="shared" si="12"/>
        <v>0.23564954682779457</v>
      </c>
      <c r="I393" s="57">
        <f t="shared" si="13"/>
        <v>1.4975550122249388E-2</v>
      </c>
    </row>
    <row r="394" spans="4:9" x14ac:dyDescent="0.2">
      <c r="D394" s="8" t="s">
        <v>928</v>
      </c>
      <c r="E394" s="29">
        <v>9581</v>
      </c>
      <c r="F394" s="29">
        <v>9720</v>
      </c>
      <c r="G394" s="29">
        <v>9959</v>
      </c>
      <c r="H394" s="57">
        <f t="shared" si="12"/>
        <v>1.4507880179521971E-2</v>
      </c>
      <c r="I394" s="57">
        <f t="shared" si="13"/>
        <v>2.4588477366255145E-2</v>
      </c>
    </row>
    <row r="395" spans="4:9" x14ac:dyDescent="0.2">
      <c r="D395" s="8" t="s">
        <v>929</v>
      </c>
      <c r="E395" s="29">
        <v>2919</v>
      </c>
      <c r="F395" s="29">
        <v>3197</v>
      </c>
      <c r="G395" s="29">
        <v>3486</v>
      </c>
      <c r="H395" s="57">
        <f t="shared" si="12"/>
        <v>9.5238095238095233E-2</v>
      </c>
      <c r="I395" s="57">
        <f t="shared" si="13"/>
        <v>9.0397247419455734E-2</v>
      </c>
    </row>
    <row r="396" spans="4:9" x14ac:dyDescent="0.2">
      <c r="D396" s="8" t="s">
        <v>930</v>
      </c>
      <c r="E396" s="29">
        <v>7274</v>
      </c>
      <c r="F396" s="29">
        <v>7725</v>
      </c>
      <c r="G396" s="29">
        <v>8228</v>
      </c>
      <c r="H396" s="57">
        <f t="shared" si="12"/>
        <v>6.2001649711300524E-2</v>
      </c>
      <c r="I396" s="57">
        <f t="shared" si="13"/>
        <v>6.5113268608414238E-2</v>
      </c>
    </row>
    <row r="397" spans="4:9" x14ac:dyDescent="0.2">
      <c r="D397" s="8" t="s">
        <v>931</v>
      </c>
      <c r="E397" s="29">
        <v>6582</v>
      </c>
      <c r="F397" s="29">
        <v>5344</v>
      </c>
      <c r="G397" s="29">
        <v>5876</v>
      </c>
      <c r="H397" s="57">
        <f t="shared" si="12"/>
        <v>-0.18808872683075054</v>
      </c>
      <c r="I397" s="57">
        <f t="shared" si="13"/>
        <v>9.9550898203592808E-2</v>
      </c>
    </row>
    <row r="398" spans="4:9" x14ac:dyDescent="0.2">
      <c r="D398" s="8" t="s">
        <v>932</v>
      </c>
      <c r="E398" s="29">
        <v>912</v>
      </c>
      <c r="F398" s="29">
        <v>935</v>
      </c>
      <c r="G398" s="29">
        <v>979</v>
      </c>
      <c r="H398" s="57">
        <f t="shared" si="12"/>
        <v>2.5219298245614034E-2</v>
      </c>
      <c r="I398" s="57">
        <f t="shared" si="13"/>
        <v>4.7058823529411764E-2</v>
      </c>
    </row>
    <row r="399" spans="4:9" x14ac:dyDescent="0.2">
      <c r="D399" s="8" t="s">
        <v>933</v>
      </c>
      <c r="E399" s="29">
        <v>3347</v>
      </c>
      <c r="F399" s="29">
        <v>3604</v>
      </c>
      <c r="G399" s="29">
        <v>3778</v>
      </c>
      <c r="H399" s="57">
        <f t="shared" si="12"/>
        <v>7.6785180758888558E-2</v>
      </c>
      <c r="I399" s="57">
        <f t="shared" si="13"/>
        <v>4.8279689234184242E-2</v>
      </c>
    </row>
    <row r="400" spans="4:9" x14ac:dyDescent="0.2">
      <c r="D400" s="8" t="s">
        <v>934</v>
      </c>
      <c r="E400" s="29">
        <v>7159</v>
      </c>
      <c r="F400" s="29">
        <v>7097</v>
      </c>
      <c r="G400" s="29">
        <v>7329</v>
      </c>
      <c r="H400" s="57">
        <f t="shared" si="12"/>
        <v>-8.6604274339991613E-3</v>
      </c>
      <c r="I400" s="57">
        <f t="shared" si="13"/>
        <v>3.2689868958714952E-2</v>
      </c>
    </row>
    <row r="401" spans="4:9" x14ac:dyDescent="0.2">
      <c r="D401" s="8" t="s">
        <v>935</v>
      </c>
      <c r="E401" s="29">
        <v>11434</v>
      </c>
      <c r="F401" s="29">
        <v>11631</v>
      </c>
      <c r="G401" s="29">
        <v>11995</v>
      </c>
      <c r="H401" s="57">
        <f t="shared" si="12"/>
        <v>1.7229316074864439E-2</v>
      </c>
      <c r="I401" s="57">
        <f t="shared" si="13"/>
        <v>3.1295675350356808E-2</v>
      </c>
    </row>
    <row r="402" spans="4:9" x14ac:dyDescent="0.2">
      <c r="D402" s="8" t="s">
        <v>1031</v>
      </c>
      <c r="E402" s="29">
        <v>10770</v>
      </c>
      <c r="F402" s="29">
        <v>10606</v>
      </c>
      <c r="G402" s="29">
        <v>10599</v>
      </c>
      <c r="H402" s="57">
        <f t="shared" si="12"/>
        <v>-1.5227483751160632E-2</v>
      </c>
      <c r="I402" s="57">
        <f t="shared" si="13"/>
        <v>-6.6000377145012258E-4</v>
      </c>
    </row>
    <row r="403" spans="4:9" x14ac:dyDescent="0.2">
      <c r="D403" s="8" t="s">
        <v>936</v>
      </c>
      <c r="E403" s="29">
        <v>9478</v>
      </c>
      <c r="F403" s="29">
        <v>10131</v>
      </c>
      <c r="G403" s="29">
        <v>10588</v>
      </c>
      <c r="H403" s="57">
        <f t="shared" si="12"/>
        <v>6.8896391643806704E-2</v>
      </c>
      <c r="I403" s="57">
        <f t="shared" si="13"/>
        <v>4.5109071167703088E-2</v>
      </c>
    </row>
    <row r="404" spans="4:9" x14ac:dyDescent="0.2">
      <c r="D404" s="8" t="s">
        <v>937</v>
      </c>
      <c r="E404" s="29">
        <v>7015</v>
      </c>
      <c r="F404" s="29">
        <v>7028</v>
      </c>
      <c r="G404" s="29">
        <v>7042</v>
      </c>
      <c r="H404" s="57">
        <f t="shared" si="12"/>
        <v>1.8531717747683535E-3</v>
      </c>
      <c r="I404" s="57">
        <f t="shared" si="13"/>
        <v>1.9920318725099601E-3</v>
      </c>
    </row>
    <row r="405" spans="4:9" x14ac:dyDescent="0.2">
      <c r="D405" s="8" t="s">
        <v>938</v>
      </c>
      <c r="E405" s="29">
        <v>3328</v>
      </c>
      <c r="F405" s="29">
        <v>3369</v>
      </c>
      <c r="G405" s="29">
        <v>3271</v>
      </c>
      <c r="H405" s="57">
        <f t="shared" si="12"/>
        <v>1.2319711538461538E-2</v>
      </c>
      <c r="I405" s="57">
        <f t="shared" si="13"/>
        <v>-2.9088750371029978E-2</v>
      </c>
    </row>
    <row r="406" spans="4:9" x14ac:dyDescent="0.2">
      <c r="D406" s="8" t="s">
        <v>939</v>
      </c>
      <c r="E406" s="29">
        <v>5590</v>
      </c>
      <c r="F406" s="29">
        <v>5311</v>
      </c>
      <c r="G406" s="29">
        <v>5287</v>
      </c>
      <c r="H406" s="57">
        <f t="shared" si="12"/>
        <v>-4.9910554561717349E-2</v>
      </c>
      <c r="I406" s="57">
        <f t="shared" si="13"/>
        <v>-4.518922990020712E-3</v>
      </c>
    </row>
    <row r="407" spans="4:9" x14ac:dyDescent="0.2">
      <c r="D407" s="8" t="s">
        <v>940</v>
      </c>
      <c r="E407" s="29">
        <v>12346</v>
      </c>
      <c r="F407" s="29">
        <v>7205</v>
      </c>
      <c r="G407" s="29">
        <v>6705</v>
      </c>
      <c r="H407" s="57">
        <f t="shared" si="12"/>
        <v>-0.41641017333549329</v>
      </c>
      <c r="I407" s="57">
        <f t="shared" si="13"/>
        <v>-6.9396252602359473E-2</v>
      </c>
    </row>
    <row r="408" spans="4:9" x14ac:dyDescent="0.2">
      <c r="D408" s="8" t="s">
        <v>941</v>
      </c>
      <c r="E408" s="29">
        <v>20753</v>
      </c>
      <c r="F408" s="29">
        <v>20315</v>
      </c>
      <c r="G408" s="29">
        <v>20499</v>
      </c>
      <c r="H408" s="57">
        <f t="shared" si="12"/>
        <v>-2.1105382354358406E-2</v>
      </c>
      <c r="I408" s="57">
        <f t="shared" si="13"/>
        <v>9.0573467880876203E-3</v>
      </c>
    </row>
    <row r="409" spans="4:9" x14ac:dyDescent="0.2">
      <c r="D409" s="8" t="s">
        <v>942</v>
      </c>
      <c r="E409" s="29">
        <v>13202</v>
      </c>
      <c r="F409" s="29">
        <v>9981</v>
      </c>
      <c r="G409" s="29">
        <v>10363</v>
      </c>
      <c r="H409" s="57">
        <f t="shared" si="12"/>
        <v>-0.24397818512346614</v>
      </c>
      <c r="I409" s="57">
        <f t="shared" si="13"/>
        <v>3.8272718164512574E-2</v>
      </c>
    </row>
    <row r="410" spans="4:9" x14ac:dyDescent="0.2">
      <c r="D410" s="8" t="s">
        <v>943</v>
      </c>
      <c r="E410" s="29">
        <v>2779</v>
      </c>
      <c r="F410" s="29">
        <v>2911</v>
      </c>
      <c r="G410" s="29">
        <v>3126</v>
      </c>
      <c r="H410" s="57">
        <f t="shared" si="12"/>
        <v>4.749910039582584E-2</v>
      </c>
      <c r="I410" s="57">
        <f t="shared" si="13"/>
        <v>7.3857780831329434E-2</v>
      </c>
    </row>
    <row r="411" spans="4:9" x14ac:dyDescent="0.2">
      <c r="D411" s="8" t="s">
        <v>944</v>
      </c>
      <c r="E411" s="29">
        <v>4226</v>
      </c>
      <c r="F411" s="29">
        <v>4279</v>
      </c>
      <c r="G411" s="29">
        <v>4425</v>
      </c>
      <c r="H411" s="57">
        <f t="shared" si="12"/>
        <v>1.2541410317084714E-2</v>
      </c>
      <c r="I411" s="57">
        <f t="shared" si="13"/>
        <v>3.4120121523720494E-2</v>
      </c>
    </row>
    <row r="412" spans="4:9" x14ac:dyDescent="0.2">
      <c r="D412" s="8" t="s">
        <v>945</v>
      </c>
      <c r="E412" s="29">
        <v>2732</v>
      </c>
      <c r="F412" s="29">
        <v>2866</v>
      </c>
      <c r="G412" s="29">
        <v>2988</v>
      </c>
      <c r="H412" s="57">
        <f t="shared" si="12"/>
        <v>4.9048316251830162E-2</v>
      </c>
      <c r="I412" s="57">
        <f t="shared" si="13"/>
        <v>4.2568039078855549E-2</v>
      </c>
    </row>
    <row r="413" spans="4:9" x14ac:dyDescent="0.2">
      <c r="D413" s="8" t="s">
        <v>946</v>
      </c>
      <c r="E413" s="29">
        <v>4442</v>
      </c>
      <c r="F413" s="29">
        <v>4479</v>
      </c>
      <c r="G413" s="29">
        <v>4662</v>
      </c>
      <c r="H413" s="57">
        <f t="shared" si="12"/>
        <v>8.3295812696983339E-3</v>
      </c>
      <c r="I413" s="57">
        <f t="shared" si="13"/>
        <v>4.0857334226389819E-2</v>
      </c>
    </row>
    <row r="414" spans="4:9" x14ac:dyDescent="0.2">
      <c r="D414" s="8" t="s">
        <v>947</v>
      </c>
      <c r="E414" s="29">
        <v>12943</v>
      </c>
      <c r="F414" s="29">
        <v>12837</v>
      </c>
      <c r="G414" s="29">
        <v>13267</v>
      </c>
      <c r="H414" s="57">
        <f t="shared" si="12"/>
        <v>-8.1897550799660043E-3</v>
      </c>
      <c r="I414" s="57">
        <f t="shared" si="13"/>
        <v>3.3496922957077201E-2</v>
      </c>
    </row>
    <row r="415" spans="4:9" x14ac:dyDescent="0.2">
      <c r="D415" s="8" t="s">
        <v>948</v>
      </c>
      <c r="E415" s="29">
        <v>8615</v>
      </c>
      <c r="F415" s="29">
        <v>9155</v>
      </c>
      <c r="G415" s="29">
        <v>9766</v>
      </c>
      <c r="H415" s="57">
        <f t="shared" si="12"/>
        <v>6.2681369704004647E-2</v>
      </c>
      <c r="I415" s="57">
        <f t="shared" si="13"/>
        <v>6.6739486619333696E-2</v>
      </c>
    </row>
    <row r="416" spans="4:9" x14ac:dyDescent="0.2">
      <c r="D416" s="8" t="s">
        <v>949</v>
      </c>
      <c r="E416" s="29">
        <v>10151</v>
      </c>
      <c r="F416" s="29">
        <v>9539</v>
      </c>
      <c r="G416" s="29">
        <v>9904</v>
      </c>
      <c r="H416" s="57">
        <f t="shared" si="12"/>
        <v>-6.0289626637769676E-2</v>
      </c>
      <c r="I416" s="57">
        <f t="shared" si="13"/>
        <v>3.8263968969493654E-2</v>
      </c>
    </row>
    <row r="417" spans="4:9" x14ac:dyDescent="0.2">
      <c r="D417" s="8" t="s">
        <v>1032</v>
      </c>
      <c r="E417" s="29">
        <v>769</v>
      </c>
      <c r="F417" s="29">
        <v>896</v>
      </c>
      <c r="G417" s="29">
        <v>1049</v>
      </c>
      <c r="H417" s="57">
        <f t="shared" si="12"/>
        <v>0.16514954486345904</v>
      </c>
      <c r="I417" s="57">
        <f t="shared" si="13"/>
        <v>0.17075892857142858</v>
      </c>
    </row>
    <row r="418" spans="4:9" x14ac:dyDescent="0.2">
      <c r="D418" s="8" t="s">
        <v>950</v>
      </c>
      <c r="E418" s="29">
        <v>8176</v>
      </c>
      <c r="F418" s="29">
        <v>8765</v>
      </c>
      <c r="G418" s="29">
        <v>9030</v>
      </c>
      <c r="H418" s="57">
        <f t="shared" si="12"/>
        <v>7.2040117416829752E-2</v>
      </c>
      <c r="I418" s="57">
        <f t="shared" si="13"/>
        <v>3.0233884768967486E-2</v>
      </c>
    </row>
    <row r="419" spans="4:9" x14ac:dyDescent="0.2">
      <c r="D419" s="8" t="s">
        <v>951</v>
      </c>
      <c r="E419" s="29">
        <v>21037</v>
      </c>
      <c r="F419" s="29">
        <v>20491</v>
      </c>
      <c r="G419" s="29">
        <v>20458</v>
      </c>
      <c r="H419" s="57">
        <f t="shared" si="12"/>
        <v>-2.5954271046251844E-2</v>
      </c>
      <c r="I419" s="57">
        <f t="shared" si="13"/>
        <v>-1.610463130154702E-3</v>
      </c>
    </row>
    <row r="420" spans="4:9" x14ac:dyDescent="0.2">
      <c r="D420" s="8" t="s">
        <v>952</v>
      </c>
      <c r="E420" s="29">
        <v>10188</v>
      </c>
      <c r="F420" s="29">
        <v>9952</v>
      </c>
      <c r="G420" s="29">
        <v>10548</v>
      </c>
      <c r="H420" s="57">
        <f t="shared" si="12"/>
        <v>-2.3164507263447192E-2</v>
      </c>
      <c r="I420" s="57">
        <f t="shared" si="13"/>
        <v>5.9887459807073953E-2</v>
      </c>
    </row>
    <row r="421" spans="4:9" x14ac:dyDescent="0.2">
      <c r="D421" s="8" t="s">
        <v>953</v>
      </c>
      <c r="E421" s="29">
        <v>3090</v>
      </c>
      <c r="F421" s="29">
        <v>2975</v>
      </c>
      <c r="G421" s="29">
        <v>3188</v>
      </c>
      <c r="H421" s="57">
        <f t="shared" si="12"/>
        <v>-3.7216828478964403E-2</v>
      </c>
      <c r="I421" s="57">
        <f t="shared" si="13"/>
        <v>7.1596638655462189E-2</v>
      </c>
    </row>
    <row r="422" spans="4:9" x14ac:dyDescent="0.2">
      <c r="D422" s="8" t="s">
        <v>954</v>
      </c>
      <c r="E422" s="29">
        <v>16285</v>
      </c>
      <c r="F422" s="29">
        <v>18471</v>
      </c>
      <c r="G422" s="29">
        <v>18484</v>
      </c>
      <c r="H422" s="57">
        <f t="shared" si="12"/>
        <v>0.1342339576297206</v>
      </c>
      <c r="I422" s="57">
        <f t="shared" si="13"/>
        <v>7.0380596610903582E-4</v>
      </c>
    </row>
    <row r="423" spans="4:9" x14ac:dyDescent="0.2">
      <c r="D423" s="8" t="s">
        <v>955</v>
      </c>
      <c r="E423" s="29">
        <v>8047</v>
      </c>
      <c r="F423" s="29">
        <v>9315</v>
      </c>
      <c r="G423" s="29">
        <v>9639</v>
      </c>
      <c r="H423" s="57">
        <f t="shared" si="12"/>
        <v>0.15757425127376662</v>
      </c>
      <c r="I423" s="57">
        <f t="shared" si="13"/>
        <v>3.4782608695652174E-2</v>
      </c>
    </row>
    <row r="424" spans="4:9" x14ac:dyDescent="0.2">
      <c r="D424" s="8" t="s">
        <v>956</v>
      </c>
      <c r="E424" s="29">
        <v>8107</v>
      </c>
      <c r="F424" s="29">
        <v>8190</v>
      </c>
      <c r="G424" s="29">
        <v>8113</v>
      </c>
      <c r="H424" s="57">
        <f t="shared" si="12"/>
        <v>1.0238065869002097E-2</v>
      </c>
      <c r="I424" s="57">
        <f t="shared" si="13"/>
        <v>-9.4017094017094013E-3</v>
      </c>
    </row>
    <row r="425" spans="4:9" x14ac:dyDescent="0.2">
      <c r="D425" s="8" t="s">
        <v>957</v>
      </c>
      <c r="E425" s="29">
        <v>3741</v>
      </c>
      <c r="F425" s="29">
        <v>3768</v>
      </c>
      <c r="G425" s="29">
        <v>3864</v>
      </c>
      <c r="H425" s="57">
        <f t="shared" si="12"/>
        <v>7.2173215717722533E-3</v>
      </c>
      <c r="I425" s="57">
        <f t="shared" si="13"/>
        <v>2.5477707006369428E-2</v>
      </c>
    </row>
    <row r="426" spans="4:9" x14ac:dyDescent="0.2">
      <c r="D426" s="8" t="s">
        <v>958</v>
      </c>
      <c r="E426" s="29">
        <v>11877</v>
      </c>
      <c r="F426" s="29">
        <v>12546</v>
      </c>
      <c r="G426" s="29">
        <v>12891</v>
      </c>
      <c r="H426" s="57">
        <f t="shared" si="12"/>
        <v>5.6327355392775953E-2</v>
      </c>
      <c r="I426" s="57">
        <f t="shared" si="13"/>
        <v>2.7498804399808705E-2</v>
      </c>
    </row>
    <row r="427" spans="4:9" x14ac:dyDescent="0.2">
      <c r="D427" s="8" t="s">
        <v>959</v>
      </c>
      <c r="E427" s="29">
        <v>4648</v>
      </c>
      <c r="F427" s="29">
        <v>4470</v>
      </c>
      <c r="G427" s="29">
        <v>4621</v>
      </c>
      <c r="H427" s="57">
        <f t="shared" si="12"/>
        <v>-3.8296041308089501E-2</v>
      </c>
      <c r="I427" s="57">
        <f t="shared" si="13"/>
        <v>3.3780760626398211E-2</v>
      </c>
    </row>
    <row r="428" spans="4:9" x14ac:dyDescent="0.2">
      <c r="D428" s="8" t="s">
        <v>960</v>
      </c>
      <c r="E428" s="29">
        <v>7424</v>
      </c>
      <c r="F428" s="29">
        <v>6451</v>
      </c>
      <c r="G428" s="29">
        <v>6989</v>
      </c>
      <c r="H428" s="57">
        <f t="shared" si="12"/>
        <v>-0.13106142241379309</v>
      </c>
      <c r="I428" s="57">
        <f t="shared" si="13"/>
        <v>8.3397922802666252E-2</v>
      </c>
    </row>
    <row r="429" spans="4:9" x14ac:dyDescent="0.2">
      <c r="D429" s="8" t="s">
        <v>961</v>
      </c>
      <c r="E429" s="29">
        <v>6319</v>
      </c>
      <c r="F429" s="29">
        <v>5802</v>
      </c>
      <c r="G429" s="29">
        <v>5801</v>
      </c>
      <c r="H429" s="57">
        <f t="shared" si="12"/>
        <v>-8.1816743155562588E-2</v>
      </c>
      <c r="I429" s="57">
        <f t="shared" si="13"/>
        <v>-1.7235436056532231E-4</v>
      </c>
    </row>
    <row r="430" spans="4:9" x14ac:dyDescent="0.2">
      <c r="D430" s="8" t="s">
        <v>962</v>
      </c>
      <c r="E430" s="29">
        <v>8032</v>
      </c>
      <c r="F430" s="29">
        <v>8701</v>
      </c>
      <c r="G430" s="29">
        <v>8960</v>
      </c>
      <c r="H430" s="57">
        <f t="shared" si="12"/>
        <v>8.3291832669322705E-2</v>
      </c>
      <c r="I430" s="57">
        <f t="shared" si="13"/>
        <v>2.9766693483507644E-2</v>
      </c>
    </row>
    <row r="431" spans="4:9" x14ac:dyDescent="0.2">
      <c r="D431" s="8" t="s">
        <v>963</v>
      </c>
      <c r="E431" s="29">
        <v>1150</v>
      </c>
      <c r="F431" s="29">
        <v>1140</v>
      </c>
      <c r="G431" s="29">
        <v>1159</v>
      </c>
      <c r="H431" s="57">
        <f t="shared" si="12"/>
        <v>-8.6956521739130436E-3</v>
      </c>
      <c r="I431" s="57">
        <f t="shared" si="13"/>
        <v>1.6666666666666666E-2</v>
      </c>
    </row>
    <row r="432" spans="4:9" x14ac:dyDescent="0.2">
      <c r="D432" s="8" t="s">
        <v>964</v>
      </c>
      <c r="E432" s="29">
        <v>965</v>
      </c>
      <c r="F432" s="29">
        <v>894</v>
      </c>
      <c r="G432" s="29">
        <v>916</v>
      </c>
      <c r="H432" s="57">
        <f t="shared" si="12"/>
        <v>-7.3575129533678757E-2</v>
      </c>
      <c r="I432" s="57">
        <f t="shared" si="13"/>
        <v>2.4608501118568233E-2</v>
      </c>
    </row>
    <row r="433" spans="4:9" x14ac:dyDescent="0.2">
      <c r="D433" s="8" t="s">
        <v>965</v>
      </c>
      <c r="E433" s="29">
        <v>2161</v>
      </c>
      <c r="F433" s="29">
        <v>2235</v>
      </c>
      <c r="G433" s="29">
        <v>2327</v>
      </c>
      <c r="H433" s="57">
        <f t="shared" si="12"/>
        <v>3.4243405830633969E-2</v>
      </c>
      <c r="I433" s="57">
        <f t="shared" si="13"/>
        <v>4.116331096196868E-2</v>
      </c>
    </row>
    <row r="434" spans="4:9" x14ac:dyDescent="0.2">
      <c r="D434" s="8" t="s">
        <v>966</v>
      </c>
      <c r="E434" s="29">
        <v>8058</v>
      </c>
      <c r="F434" s="29">
        <v>10157</v>
      </c>
      <c r="G434" s="29">
        <v>10375</v>
      </c>
      <c r="H434" s="57">
        <f t="shared" si="12"/>
        <v>0.26048647307024075</v>
      </c>
      <c r="I434" s="57">
        <f t="shared" si="13"/>
        <v>2.1463030422368811E-2</v>
      </c>
    </row>
    <row r="435" spans="4:9" x14ac:dyDescent="0.2">
      <c r="D435" s="8" t="s">
        <v>967</v>
      </c>
      <c r="E435" s="29">
        <v>2804</v>
      </c>
      <c r="F435" s="29">
        <v>2844</v>
      </c>
      <c r="G435" s="29">
        <v>2830</v>
      </c>
      <c r="H435" s="57">
        <f t="shared" si="12"/>
        <v>1.4265335235378032E-2</v>
      </c>
      <c r="I435" s="57">
        <f t="shared" si="13"/>
        <v>-4.9226441631504926E-3</v>
      </c>
    </row>
    <row r="436" spans="4:9" x14ac:dyDescent="0.2">
      <c r="D436" s="8" t="s">
        <v>968</v>
      </c>
      <c r="E436" s="29">
        <v>19167</v>
      </c>
      <c r="F436" s="29">
        <v>19078</v>
      </c>
      <c r="G436" s="29">
        <v>19185</v>
      </c>
      <c r="H436" s="57">
        <f t="shared" si="12"/>
        <v>-4.6433975061303282E-3</v>
      </c>
      <c r="I436" s="57">
        <f t="shared" si="13"/>
        <v>5.6085543558024951E-3</v>
      </c>
    </row>
    <row r="437" spans="4:9" x14ac:dyDescent="0.2">
      <c r="D437" s="8" t="s">
        <v>969</v>
      </c>
      <c r="E437" s="29">
        <v>13621</v>
      </c>
      <c r="F437" s="29">
        <v>12635</v>
      </c>
      <c r="G437" s="29">
        <v>12196</v>
      </c>
      <c r="H437" s="57">
        <f t="shared" si="12"/>
        <v>-7.2388224065780785E-2</v>
      </c>
      <c r="I437" s="57">
        <f t="shared" si="13"/>
        <v>-3.4744756628413136E-2</v>
      </c>
    </row>
    <row r="438" spans="4:9" x14ac:dyDescent="0.2">
      <c r="D438" s="8" t="s">
        <v>970</v>
      </c>
      <c r="E438" s="29">
        <v>8453</v>
      </c>
      <c r="F438" s="29">
        <v>8457</v>
      </c>
      <c r="G438" s="29">
        <v>9133</v>
      </c>
      <c r="H438" s="57">
        <f t="shared" si="12"/>
        <v>4.732047793682716E-4</v>
      </c>
      <c r="I438" s="57">
        <f t="shared" si="13"/>
        <v>7.9933782665247727E-2</v>
      </c>
    </row>
    <row r="439" spans="4:9" x14ac:dyDescent="0.2">
      <c r="D439" s="8" t="s">
        <v>971</v>
      </c>
      <c r="E439" s="29">
        <v>8264</v>
      </c>
      <c r="F439" s="29">
        <v>8727</v>
      </c>
      <c r="G439" s="29">
        <v>9234</v>
      </c>
      <c r="H439" s="57">
        <f t="shared" si="12"/>
        <v>5.6026137463697966E-2</v>
      </c>
      <c r="I439" s="57">
        <f t="shared" si="13"/>
        <v>5.8095565486421454E-2</v>
      </c>
    </row>
    <row r="440" spans="4:9" x14ac:dyDescent="0.2">
      <c r="D440" s="8" t="s">
        <v>972</v>
      </c>
      <c r="E440" s="29">
        <v>2188</v>
      </c>
      <c r="F440" s="29">
        <v>2176</v>
      </c>
      <c r="G440" s="29">
        <v>2079</v>
      </c>
      <c r="H440" s="57">
        <f t="shared" si="12"/>
        <v>-5.4844606946983544E-3</v>
      </c>
      <c r="I440" s="57">
        <f t="shared" si="13"/>
        <v>-4.4577205882352942E-2</v>
      </c>
    </row>
    <row r="441" spans="4:9" x14ac:dyDescent="0.2">
      <c r="D441" s="8" t="s">
        <v>973</v>
      </c>
      <c r="E441" s="29">
        <v>6515</v>
      </c>
      <c r="F441" s="29">
        <v>6481</v>
      </c>
      <c r="G441" s="29">
        <v>6604</v>
      </c>
      <c r="H441" s="57">
        <f t="shared" si="12"/>
        <v>-5.2187260168841138E-3</v>
      </c>
      <c r="I441" s="57">
        <f t="shared" si="13"/>
        <v>1.8978552692485728E-2</v>
      </c>
    </row>
    <row r="442" spans="4:9" x14ac:dyDescent="0.2">
      <c r="D442" s="8" t="s">
        <v>974</v>
      </c>
      <c r="E442" s="29">
        <v>9984</v>
      </c>
      <c r="F442" s="29">
        <v>10002</v>
      </c>
      <c r="G442" s="29">
        <v>10238</v>
      </c>
      <c r="H442" s="57">
        <f t="shared" si="12"/>
        <v>1.8028846153846155E-3</v>
      </c>
      <c r="I442" s="57">
        <f t="shared" si="13"/>
        <v>2.3595280943811237E-2</v>
      </c>
    </row>
    <row r="443" spans="4:9" x14ac:dyDescent="0.2">
      <c r="D443" s="8" t="s">
        <v>975</v>
      </c>
      <c r="E443" s="29">
        <v>5485</v>
      </c>
      <c r="F443" s="29">
        <v>5813</v>
      </c>
      <c r="G443" s="29">
        <v>6042</v>
      </c>
      <c r="H443" s="57">
        <f t="shared" si="12"/>
        <v>5.9799453053783043E-2</v>
      </c>
      <c r="I443" s="57">
        <f t="shared" si="13"/>
        <v>3.9394460691553418E-2</v>
      </c>
    </row>
    <row r="444" spans="4:9" x14ac:dyDescent="0.2">
      <c r="D444" s="8" t="s">
        <v>976</v>
      </c>
      <c r="E444" s="29">
        <v>17715</v>
      </c>
      <c r="F444" s="29">
        <v>17444</v>
      </c>
      <c r="G444" s="29">
        <v>16929</v>
      </c>
      <c r="H444" s="57">
        <f t="shared" si="12"/>
        <v>-1.5297770251199548E-2</v>
      </c>
      <c r="I444" s="57">
        <f t="shared" si="13"/>
        <v>-2.9523045173125428E-2</v>
      </c>
    </row>
    <row r="445" spans="4:9" x14ac:dyDescent="0.2">
      <c r="D445" s="8" t="s">
        <v>977</v>
      </c>
      <c r="E445" s="29">
        <v>11405</v>
      </c>
      <c r="F445" s="29">
        <v>11350</v>
      </c>
      <c r="G445" s="29">
        <v>11578</v>
      </c>
      <c r="H445" s="57">
        <f t="shared" si="12"/>
        <v>-4.8224462954844366E-3</v>
      </c>
      <c r="I445" s="57">
        <f t="shared" si="13"/>
        <v>2.0088105726872248E-2</v>
      </c>
    </row>
    <row r="446" spans="4:9" x14ac:dyDescent="0.2">
      <c r="D446" s="8" t="s">
        <v>978</v>
      </c>
      <c r="E446" s="29">
        <v>979</v>
      </c>
      <c r="F446" s="29">
        <v>969</v>
      </c>
      <c r="G446" s="29">
        <v>944</v>
      </c>
      <c r="H446" s="57">
        <f t="shared" si="12"/>
        <v>-1.0214504596527068E-2</v>
      </c>
      <c r="I446" s="57">
        <f t="shared" si="13"/>
        <v>-2.5799793601651185E-2</v>
      </c>
    </row>
    <row r="447" spans="4:9" x14ac:dyDescent="0.2">
      <c r="D447" s="8" t="s">
        <v>979</v>
      </c>
      <c r="E447" s="29">
        <v>3375</v>
      </c>
      <c r="F447" s="29">
        <v>3648</v>
      </c>
      <c r="G447" s="29">
        <v>3899</v>
      </c>
      <c r="H447" s="57">
        <f t="shared" si="12"/>
        <v>8.0888888888888885E-2</v>
      </c>
      <c r="I447" s="57">
        <f t="shared" si="13"/>
        <v>6.8804824561403508E-2</v>
      </c>
    </row>
    <row r="448" spans="4:9" x14ac:dyDescent="0.2">
      <c r="D448" s="8" t="s">
        <v>980</v>
      </c>
      <c r="E448" s="29">
        <v>5800</v>
      </c>
      <c r="F448" s="29">
        <v>6080</v>
      </c>
      <c r="G448" s="29">
        <v>6359</v>
      </c>
      <c r="H448" s="57">
        <f t="shared" si="12"/>
        <v>4.8275862068965517E-2</v>
      </c>
      <c r="I448" s="57">
        <f t="shared" si="13"/>
        <v>4.5888157894736839E-2</v>
      </c>
    </row>
    <row r="449" spans="4:9" x14ac:dyDescent="0.2">
      <c r="D449" s="8" t="s">
        <v>981</v>
      </c>
      <c r="E449" s="30">
        <v>3188</v>
      </c>
      <c r="F449" s="30">
        <v>3091</v>
      </c>
      <c r="G449" s="30">
        <v>3214</v>
      </c>
      <c r="H449" s="57">
        <f t="shared" si="12"/>
        <v>-3.042659974905897E-2</v>
      </c>
      <c r="I449" s="57">
        <f t="shared" si="13"/>
        <v>3.9792947266256873E-2</v>
      </c>
    </row>
    <row r="450" spans="4:9" x14ac:dyDescent="0.2">
      <c r="D450" s="8" t="s">
        <v>982</v>
      </c>
      <c r="E450" s="29">
        <v>10530</v>
      </c>
      <c r="F450" s="29">
        <v>10043</v>
      </c>
      <c r="G450" s="29">
        <v>10483</v>
      </c>
      <c r="H450" s="57">
        <f t="shared" si="12"/>
        <v>-4.6248812915479581E-2</v>
      </c>
      <c r="I450" s="57">
        <f t="shared" si="13"/>
        <v>4.3811610076670317E-2</v>
      </c>
    </row>
    <row r="451" spans="4:9" x14ac:dyDescent="0.2">
      <c r="D451" s="8" t="s">
        <v>983</v>
      </c>
      <c r="E451" s="29">
        <v>4733</v>
      </c>
      <c r="F451" s="29">
        <v>4841</v>
      </c>
      <c r="G451" s="29">
        <v>5077</v>
      </c>
      <c r="H451" s="57">
        <f t="shared" si="12"/>
        <v>2.2818508345658146E-2</v>
      </c>
      <c r="I451" s="57">
        <f t="shared" si="13"/>
        <v>4.8750258211113409E-2</v>
      </c>
    </row>
    <row r="452" spans="4:9" x14ac:dyDescent="0.2">
      <c r="D452" s="8" t="s">
        <v>984</v>
      </c>
      <c r="E452" s="29">
        <v>1776</v>
      </c>
      <c r="F452" s="29">
        <v>1932</v>
      </c>
      <c r="G452" s="29">
        <v>2050</v>
      </c>
      <c r="H452" s="57">
        <f t="shared" si="12"/>
        <v>8.7837837837837843E-2</v>
      </c>
      <c r="I452" s="57">
        <f t="shared" si="13"/>
        <v>6.1076604554865424E-2</v>
      </c>
    </row>
    <row r="453" spans="4:9" x14ac:dyDescent="0.2">
      <c r="D453" s="8" t="s">
        <v>985</v>
      </c>
      <c r="E453" s="29">
        <v>3818</v>
      </c>
      <c r="F453" s="29">
        <v>4365</v>
      </c>
      <c r="G453" s="29">
        <v>4913</v>
      </c>
      <c r="H453" s="57">
        <f t="shared" ref="H453:H488" si="14">(F453-E453)/E453</f>
        <v>0.143268727082242</v>
      </c>
      <c r="I453" s="57">
        <f t="shared" ref="I453:I488" si="15">(G453-F453)/F453</f>
        <v>0.12554410080183276</v>
      </c>
    </row>
    <row r="454" spans="4:9" x14ac:dyDescent="0.2">
      <c r="D454" s="8" t="s">
        <v>986</v>
      </c>
      <c r="E454" s="29">
        <v>9587</v>
      </c>
      <c r="F454" s="29">
        <v>9401</v>
      </c>
      <c r="G454" s="29">
        <v>9881</v>
      </c>
      <c r="H454" s="57">
        <f t="shared" si="14"/>
        <v>-1.9401272556587044E-2</v>
      </c>
      <c r="I454" s="57">
        <f t="shared" si="15"/>
        <v>5.105839804276141E-2</v>
      </c>
    </row>
    <row r="455" spans="4:9" x14ac:dyDescent="0.2">
      <c r="D455" s="8" t="s">
        <v>987</v>
      </c>
      <c r="E455" s="29">
        <v>8631</v>
      </c>
      <c r="F455" s="29">
        <v>9067</v>
      </c>
      <c r="G455" s="29">
        <v>9143</v>
      </c>
      <c r="H455" s="57">
        <f t="shared" si="14"/>
        <v>5.0515583362298694E-2</v>
      </c>
      <c r="I455" s="57">
        <f t="shared" si="15"/>
        <v>8.3820447777655238E-3</v>
      </c>
    </row>
    <row r="456" spans="4:9" x14ac:dyDescent="0.2">
      <c r="D456" s="8" t="s">
        <v>988</v>
      </c>
      <c r="E456" s="29">
        <v>7791</v>
      </c>
      <c r="F456" s="29">
        <v>5781</v>
      </c>
      <c r="G456" s="29">
        <v>6164</v>
      </c>
      <c r="H456" s="57">
        <f t="shared" si="14"/>
        <v>-0.25798998844820947</v>
      </c>
      <c r="I456" s="57">
        <f t="shared" si="15"/>
        <v>6.6251513578965582E-2</v>
      </c>
    </row>
    <row r="457" spans="4:9" x14ac:dyDescent="0.2">
      <c r="D457" s="8" t="s">
        <v>989</v>
      </c>
      <c r="E457" s="29">
        <v>6027</v>
      </c>
      <c r="F457" s="29">
        <v>6149</v>
      </c>
      <c r="G457" s="29">
        <v>6364</v>
      </c>
      <c r="H457" s="57">
        <f t="shared" si="14"/>
        <v>2.0242243238758919E-2</v>
      </c>
      <c r="I457" s="57">
        <f t="shared" si="15"/>
        <v>3.4965034965034968E-2</v>
      </c>
    </row>
    <row r="458" spans="4:9" x14ac:dyDescent="0.2">
      <c r="D458" s="8" t="s">
        <v>990</v>
      </c>
      <c r="E458" s="29">
        <v>4732</v>
      </c>
      <c r="F458" s="29">
        <v>4791</v>
      </c>
      <c r="G458" s="29">
        <v>5023</v>
      </c>
      <c r="H458" s="57">
        <f t="shared" si="14"/>
        <v>1.2468300929839391E-2</v>
      </c>
      <c r="I458" s="57">
        <f t="shared" si="15"/>
        <v>4.8424128574410349E-2</v>
      </c>
    </row>
    <row r="459" spans="4:9" x14ac:dyDescent="0.2">
      <c r="D459" s="8" t="s">
        <v>991</v>
      </c>
      <c r="E459" s="29">
        <v>11638</v>
      </c>
      <c r="F459" s="29">
        <v>12063</v>
      </c>
      <c r="G459" s="29">
        <v>12366</v>
      </c>
      <c r="H459" s="57">
        <f t="shared" si="14"/>
        <v>3.651830211376525E-2</v>
      </c>
      <c r="I459" s="57">
        <f t="shared" si="15"/>
        <v>2.5118129818453121E-2</v>
      </c>
    </row>
    <row r="460" spans="4:9" x14ac:dyDescent="0.2">
      <c r="D460" s="8" t="s">
        <v>992</v>
      </c>
      <c r="E460" s="29">
        <v>1629</v>
      </c>
      <c r="F460" s="29">
        <v>1816</v>
      </c>
      <c r="G460" s="29">
        <v>2057</v>
      </c>
      <c r="H460" s="57">
        <f t="shared" si="14"/>
        <v>0.11479435236341314</v>
      </c>
      <c r="I460" s="57">
        <f t="shared" si="15"/>
        <v>0.13270925110132159</v>
      </c>
    </row>
    <row r="461" spans="4:9" x14ac:dyDescent="0.2">
      <c r="D461" s="8" t="s">
        <v>993</v>
      </c>
      <c r="E461" s="29">
        <v>2965</v>
      </c>
      <c r="F461" s="29">
        <v>2981</v>
      </c>
      <c r="G461" s="29">
        <v>3097</v>
      </c>
      <c r="H461" s="57">
        <f t="shared" si="14"/>
        <v>5.3962900505902193E-3</v>
      </c>
      <c r="I461" s="57">
        <f t="shared" si="15"/>
        <v>3.8913116403891314E-2</v>
      </c>
    </row>
    <row r="462" spans="4:9" x14ac:dyDescent="0.2">
      <c r="D462" s="8" t="s">
        <v>994</v>
      </c>
      <c r="E462" s="29">
        <v>3095</v>
      </c>
      <c r="F462" s="29">
        <v>3159</v>
      </c>
      <c r="G462" s="29">
        <v>3198</v>
      </c>
      <c r="H462" s="57">
        <f t="shared" si="14"/>
        <v>2.0678513731825526E-2</v>
      </c>
      <c r="I462" s="57">
        <f t="shared" si="15"/>
        <v>1.2345679012345678E-2</v>
      </c>
    </row>
    <row r="463" spans="4:9" x14ac:dyDescent="0.2">
      <c r="D463" s="8" t="s">
        <v>995</v>
      </c>
      <c r="E463" s="29">
        <v>9657</v>
      </c>
      <c r="F463" s="29">
        <v>9786</v>
      </c>
      <c r="G463" s="29">
        <v>10064</v>
      </c>
      <c r="H463" s="57">
        <f t="shared" si="14"/>
        <v>1.3358185771978875E-2</v>
      </c>
      <c r="I463" s="57">
        <f t="shared" si="15"/>
        <v>2.8407929695483343E-2</v>
      </c>
    </row>
    <row r="464" spans="4:9" x14ac:dyDescent="0.2">
      <c r="D464" s="8" t="s">
        <v>996</v>
      </c>
      <c r="E464" s="29">
        <v>3833</v>
      </c>
      <c r="F464" s="29">
        <v>3985</v>
      </c>
      <c r="G464" s="29">
        <v>4178</v>
      </c>
      <c r="H464" s="57">
        <f t="shared" si="14"/>
        <v>3.9655622228019827E-2</v>
      </c>
      <c r="I464" s="57">
        <f t="shared" si="15"/>
        <v>4.8431618569636133E-2</v>
      </c>
    </row>
    <row r="465" spans="4:9" x14ac:dyDescent="0.2">
      <c r="D465" s="8" t="s">
        <v>997</v>
      </c>
      <c r="E465" s="29">
        <v>10074</v>
      </c>
      <c r="F465" s="29">
        <v>9973</v>
      </c>
      <c r="G465" s="29">
        <v>10094</v>
      </c>
      <c r="H465" s="57">
        <f t="shared" si="14"/>
        <v>-1.0025809013301568E-2</v>
      </c>
      <c r="I465" s="57">
        <f t="shared" si="15"/>
        <v>1.2132758447809085E-2</v>
      </c>
    </row>
    <row r="466" spans="4:9" x14ac:dyDescent="0.2">
      <c r="D466" s="8" t="s">
        <v>999</v>
      </c>
      <c r="E466" s="29">
        <v>4969</v>
      </c>
      <c r="F466" s="29">
        <v>4658</v>
      </c>
      <c r="G466" s="29">
        <v>4684</v>
      </c>
      <c r="H466" s="57">
        <f t="shared" si="14"/>
        <v>-6.2588045884483801E-2</v>
      </c>
      <c r="I466" s="57">
        <f t="shared" si="15"/>
        <v>5.5817947617003002E-3</v>
      </c>
    </row>
    <row r="467" spans="4:9" x14ac:dyDescent="0.2">
      <c r="D467" s="8" t="s">
        <v>1000</v>
      </c>
      <c r="E467" s="29">
        <v>11171</v>
      </c>
      <c r="F467" s="29">
        <v>11772</v>
      </c>
      <c r="G467" s="29">
        <v>12723</v>
      </c>
      <c r="H467" s="57">
        <f t="shared" si="14"/>
        <v>5.3800017903500134E-2</v>
      </c>
      <c r="I467" s="57">
        <f t="shared" si="15"/>
        <v>8.0784913353720691E-2</v>
      </c>
    </row>
    <row r="468" spans="4:9" x14ac:dyDescent="0.2">
      <c r="D468" s="8" t="s">
        <v>1001</v>
      </c>
      <c r="E468" s="29">
        <v>4270</v>
      </c>
      <c r="F468" s="29">
        <v>4753</v>
      </c>
      <c r="G468" s="29">
        <v>4927</v>
      </c>
      <c r="H468" s="57">
        <f t="shared" si="14"/>
        <v>0.11311475409836065</v>
      </c>
      <c r="I468" s="57">
        <f t="shared" si="15"/>
        <v>3.6608457816116137E-2</v>
      </c>
    </row>
    <row r="469" spans="4:9" x14ac:dyDescent="0.2">
      <c r="D469" s="8" t="s">
        <v>1002</v>
      </c>
      <c r="E469" s="29">
        <v>1822</v>
      </c>
      <c r="F469" s="29">
        <v>2000</v>
      </c>
      <c r="G469" s="29">
        <v>2136</v>
      </c>
      <c r="H469" s="57">
        <f t="shared" si="14"/>
        <v>9.7694840834248078E-2</v>
      </c>
      <c r="I469" s="57">
        <f t="shared" si="15"/>
        <v>6.8000000000000005E-2</v>
      </c>
    </row>
    <row r="470" spans="4:9" x14ac:dyDescent="0.2">
      <c r="D470" s="8" t="s">
        <v>1003</v>
      </c>
      <c r="E470" s="29">
        <v>24971</v>
      </c>
      <c r="F470" s="29">
        <v>24873</v>
      </c>
      <c r="G470" s="29">
        <v>24837</v>
      </c>
      <c r="H470" s="57">
        <f t="shared" si="14"/>
        <v>-3.924552480877818E-3</v>
      </c>
      <c r="I470" s="57">
        <f t="shared" si="15"/>
        <v>-1.447352550958871E-3</v>
      </c>
    </row>
    <row r="471" spans="4:9" x14ac:dyDescent="0.2">
      <c r="D471" s="8" t="s">
        <v>521</v>
      </c>
      <c r="E471" s="29">
        <v>11436</v>
      </c>
      <c r="F471" s="29" t="s">
        <v>47</v>
      </c>
      <c r="G471" s="29">
        <v>3947</v>
      </c>
      <c r="H471" s="57" t="e">
        <f t="shared" si="14"/>
        <v>#VALUE!</v>
      </c>
      <c r="I471" s="57" t="e">
        <f t="shared" si="15"/>
        <v>#VALUE!</v>
      </c>
    </row>
    <row r="472" spans="4:9" x14ac:dyDescent="0.2">
      <c r="D472" s="8" t="s">
        <v>1004</v>
      </c>
      <c r="E472" s="29">
        <v>6313</v>
      </c>
      <c r="F472" s="29">
        <v>6415</v>
      </c>
      <c r="G472" s="29">
        <v>6606</v>
      </c>
      <c r="H472" s="57">
        <f t="shared" si="14"/>
        <v>1.6157136068430222E-2</v>
      </c>
      <c r="I472" s="57">
        <f t="shared" si="15"/>
        <v>2.9773967264224474E-2</v>
      </c>
    </row>
    <row r="473" spans="4:9" x14ac:dyDescent="0.2">
      <c r="D473" s="8" t="s">
        <v>1005</v>
      </c>
      <c r="E473" s="29">
        <v>10553</v>
      </c>
      <c r="F473" s="29">
        <v>11177</v>
      </c>
      <c r="G473" s="29">
        <v>11753</v>
      </c>
      <c r="H473" s="57">
        <f t="shared" si="14"/>
        <v>5.9130105183360183E-2</v>
      </c>
      <c r="I473" s="57">
        <f t="shared" si="15"/>
        <v>5.1534401002057799E-2</v>
      </c>
    </row>
    <row r="474" spans="4:9" x14ac:dyDescent="0.2">
      <c r="D474" s="8" t="s">
        <v>1006</v>
      </c>
      <c r="E474" s="29">
        <v>1460</v>
      </c>
      <c r="F474" s="29">
        <v>1355</v>
      </c>
      <c r="G474" s="29">
        <v>1484</v>
      </c>
      <c r="H474" s="57">
        <f t="shared" si="14"/>
        <v>-7.1917808219178078E-2</v>
      </c>
      <c r="I474" s="57">
        <f t="shared" si="15"/>
        <v>9.5202952029520296E-2</v>
      </c>
    </row>
    <row r="475" spans="4:9" x14ac:dyDescent="0.2">
      <c r="D475" s="8" t="s">
        <v>1007</v>
      </c>
      <c r="E475" s="29">
        <v>2487</v>
      </c>
      <c r="F475" s="29">
        <v>2792</v>
      </c>
      <c r="G475" s="29">
        <v>2633</v>
      </c>
      <c r="H475" s="57">
        <f t="shared" si="14"/>
        <v>0.12263771612384398</v>
      </c>
      <c r="I475" s="57">
        <f t="shared" si="15"/>
        <v>-5.6948424068767906E-2</v>
      </c>
    </row>
    <row r="476" spans="4:9" x14ac:dyDescent="0.2">
      <c r="D476" s="8" t="s">
        <v>1008</v>
      </c>
      <c r="E476" s="29">
        <v>13237</v>
      </c>
      <c r="F476" s="29">
        <v>13078</v>
      </c>
      <c r="G476" s="29">
        <v>13390</v>
      </c>
      <c r="H476" s="57">
        <f t="shared" si="14"/>
        <v>-1.2011785147692076E-2</v>
      </c>
      <c r="I476" s="57">
        <f t="shared" si="15"/>
        <v>2.3856858846918488E-2</v>
      </c>
    </row>
    <row r="477" spans="4:9" x14ac:dyDescent="0.2">
      <c r="D477" s="8" t="s">
        <v>1009</v>
      </c>
      <c r="E477" s="29">
        <v>2339</v>
      </c>
      <c r="F477" s="29">
        <v>2327</v>
      </c>
      <c r="G477" s="29">
        <v>2628</v>
      </c>
      <c r="H477" s="57">
        <f t="shared" si="14"/>
        <v>-5.1303976058144508E-3</v>
      </c>
      <c r="I477" s="57">
        <f t="shared" si="15"/>
        <v>0.12935109583154275</v>
      </c>
    </row>
    <row r="478" spans="4:9" x14ac:dyDescent="0.2">
      <c r="D478" s="8" t="s">
        <v>1010</v>
      </c>
      <c r="E478" s="29">
        <v>2378</v>
      </c>
      <c r="F478" s="29">
        <v>2245</v>
      </c>
      <c r="G478" s="29">
        <v>2191</v>
      </c>
      <c r="H478" s="57">
        <f t="shared" si="14"/>
        <v>-5.5929352396972248E-2</v>
      </c>
      <c r="I478" s="57">
        <f t="shared" si="15"/>
        <v>-2.4053452115812918E-2</v>
      </c>
    </row>
    <row r="479" spans="4:9" x14ac:dyDescent="0.2">
      <c r="D479" s="8" t="s">
        <v>1011</v>
      </c>
      <c r="E479" s="29">
        <v>1615</v>
      </c>
      <c r="F479" s="29">
        <v>1620</v>
      </c>
      <c r="G479" s="29">
        <v>1757</v>
      </c>
      <c r="H479" s="57">
        <f t="shared" si="14"/>
        <v>3.0959752321981426E-3</v>
      </c>
      <c r="I479" s="57">
        <f t="shared" si="15"/>
        <v>8.4567901234567908E-2</v>
      </c>
    </row>
    <row r="480" spans="4:9" x14ac:dyDescent="0.2">
      <c r="D480" s="8" t="s">
        <v>1012</v>
      </c>
      <c r="E480" s="29">
        <v>16580</v>
      </c>
      <c r="F480" s="29">
        <v>16399</v>
      </c>
      <c r="G480" s="29">
        <v>16541</v>
      </c>
      <c r="H480" s="57">
        <f t="shared" si="14"/>
        <v>-1.09167671893848E-2</v>
      </c>
      <c r="I480" s="57">
        <f t="shared" si="15"/>
        <v>8.6590645771083604E-3</v>
      </c>
    </row>
    <row r="481" spans="4:9" x14ac:dyDescent="0.2">
      <c r="D481" s="8" t="s">
        <v>1013</v>
      </c>
      <c r="E481" s="29">
        <v>5193</v>
      </c>
      <c r="F481" s="29">
        <v>5359</v>
      </c>
      <c r="G481" s="29">
        <v>5651</v>
      </c>
      <c r="H481" s="57">
        <f t="shared" si="14"/>
        <v>3.1966108222607356E-2</v>
      </c>
      <c r="I481" s="57">
        <f t="shared" si="15"/>
        <v>5.448777757044225E-2</v>
      </c>
    </row>
    <row r="482" spans="4:9" x14ac:dyDescent="0.2">
      <c r="D482" s="8" t="s">
        <v>1014</v>
      </c>
      <c r="E482" s="29">
        <v>5193</v>
      </c>
      <c r="F482" s="29">
        <v>5359</v>
      </c>
      <c r="G482" s="29">
        <v>5651</v>
      </c>
      <c r="H482" s="57">
        <f t="shared" si="14"/>
        <v>3.1966108222607356E-2</v>
      </c>
      <c r="I482" s="57">
        <f t="shared" si="15"/>
        <v>5.448777757044225E-2</v>
      </c>
    </row>
    <row r="483" spans="4:9" x14ac:dyDescent="0.2">
      <c r="D483" s="8" t="s">
        <v>1015</v>
      </c>
      <c r="E483" s="29">
        <v>15860</v>
      </c>
      <c r="F483" s="29">
        <v>15466</v>
      </c>
      <c r="G483" s="29">
        <v>15773</v>
      </c>
      <c r="H483" s="57">
        <f t="shared" si="14"/>
        <v>-2.4842370744010089E-2</v>
      </c>
      <c r="I483" s="57">
        <f t="shared" si="15"/>
        <v>1.9849993534204059E-2</v>
      </c>
    </row>
    <row r="484" spans="4:9" x14ac:dyDescent="0.2">
      <c r="D484" s="8" t="s">
        <v>1016</v>
      </c>
      <c r="E484" s="29">
        <v>857</v>
      </c>
      <c r="F484" s="29">
        <v>869</v>
      </c>
      <c r="G484" s="29">
        <v>882</v>
      </c>
      <c r="H484" s="57">
        <f t="shared" si="14"/>
        <v>1.4002333722287048E-2</v>
      </c>
      <c r="I484" s="57">
        <f t="shared" si="15"/>
        <v>1.4959723820483314E-2</v>
      </c>
    </row>
    <row r="485" spans="4:9" x14ac:dyDescent="0.2">
      <c r="D485" s="8" t="s">
        <v>1017</v>
      </c>
      <c r="E485" s="29">
        <v>1193</v>
      </c>
      <c r="F485" s="29">
        <v>106</v>
      </c>
      <c r="G485" s="29">
        <v>190</v>
      </c>
      <c r="H485" s="57">
        <f t="shared" si="14"/>
        <v>-0.91114836546521372</v>
      </c>
      <c r="I485" s="57">
        <f t="shared" si="15"/>
        <v>0.79245283018867929</v>
      </c>
    </row>
    <row r="486" spans="4:9" x14ac:dyDescent="0.2">
      <c r="D486" s="8" t="s">
        <v>1018</v>
      </c>
      <c r="E486" s="29">
        <v>8649</v>
      </c>
      <c r="F486" s="29">
        <v>8173</v>
      </c>
      <c r="G486" s="29">
        <v>8137</v>
      </c>
      <c r="H486" s="57">
        <f t="shared" si="14"/>
        <v>-5.5035264192392186E-2</v>
      </c>
      <c r="I486" s="57">
        <f t="shared" si="15"/>
        <v>-4.4047473387984828E-3</v>
      </c>
    </row>
    <row r="487" spans="4:9" x14ac:dyDescent="0.2">
      <c r="D487" s="8" t="s">
        <v>1019</v>
      </c>
      <c r="E487" s="29">
        <v>10074</v>
      </c>
      <c r="F487" s="29">
        <v>9973</v>
      </c>
      <c r="G487" s="29">
        <v>10094</v>
      </c>
      <c r="H487" s="57">
        <f t="shared" si="14"/>
        <v>-1.0025809013301568E-2</v>
      </c>
      <c r="I487" s="57">
        <f t="shared" si="15"/>
        <v>1.2132758447809085E-2</v>
      </c>
    </row>
    <row r="488" spans="4:9" x14ac:dyDescent="0.2">
      <c r="D488" s="8" t="s">
        <v>998</v>
      </c>
      <c r="E488" s="29">
        <v>6804</v>
      </c>
      <c r="F488" s="29">
        <v>6960</v>
      </c>
      <c r="G488" s="29">
        <v>6854</v>
      </c>
      <c r="H488" s="57">
        <f t="shared" si="14"/>
        <v>2.292768959435626E-2</v>
      </c>
      <c r="I488" s="57">
        <f t="shared" si="15"/>
        <v>-1.5229885057471264E-2</v>
      </c>
    </row>
  </sheetData>
  <mergeCells count="2">
    <mergeCell ref="E3:G3"/>
    <mergeCell ref="H3:I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B1:C464"/>
  <sheetViews>
    <sheetView zoomScale="200" zoomScaleNormal="200" workbookViewId="0">
      <selection activeCell="F17" sqref="F17"/>
    </sheetView>
  </sheetViews>
  <sheetFormatPr baseColWidth="10" defaultColWidth="9.1640625" defaultRowHeight="15" x14ac:dyDescent="0.2"/>
  <cols>
    <col min="1" max="1" width="9.1640625" style="50" customWidth="1"/>
    <col min="2" max="3" width="31.6640625" style="34" customWidth="1"/>
    <col min="4" max="6" width="9.1640625" style="50" customWidth="1"/>
    <col min="7" max="16384" width="9.1640625" style="50"/>
  </cols>
  <sheetData>
    <row r="1" spans="2:3" ht="16" customHeight="1" thickBot="1" x14ac:dyDescent="0.25"/>
    <row r="2" spans="2:3" ht="16" customHeight="1" thickBot="1" x14ac:dyDescent="0.25">
      <c r="B2" s="24" t="s">
        <v>326</v>
      </c>
      <c r="C2" s="25" t="s">
        <v>1037</v>
      </c>
    </row>
    <row r="3" spans="2:3" x14ac:dyDescent="0.2">
      <c r="B3" s="8" t="s">
        <v>737</v>
      </c>
      <c r="C3" s="63">
        <v>7.22</v>
      </c>
    </row>
    <row r="4" spans="2:3" x14ac:dyDescent="0.2">
      <c r="B4" s="8" t="s">
        <v>898</v>
      </c>
      <c r="C4" s="63">
        <v>6.8</v>
      </c>
    </row>
    <row r="5" spans="2:3" x14ac:dyDescent="0.2">
      <c r="B5" s="8" t="s">
        <v>939</v>
      </c>
      <c r="C5" s="63">
        <v>4.8899999999999997</v>
      </c>
    </row>
    <row r="6" spans="2:3" x14ac:dyDescent="0.2">
      <c r="B6" s="8" t="s">
        <v>721</v>
      </c>
      <c r="C6" s="63">
        <v>4.43</v>
      </c>
    </row>
    <row r="7" spans="2:3" x14ac:dyDescent="0.2">
      <c r="B7" s="8" t="s">
        <v>919</v>
      </c>
      <c r="C7" s="63">
        <v>4.1500000000000004</v>
      </c>
    </row>
    <row r="8" spans="2:3" x14ac:dyDescent="0.2">
      <c r="B8" s="8" t="s">
        <v>920</v>
      </c>
      <c r="C8" s="63">
        <v>4.0199999999999996</v>
      </c>
    </row>
    <row r="9" spans="2:3" x14ac:dyDescent="0.2">
      <c r="B9" s="8" t="s">
        <v>602</v>
      </c>
      <c r="C9" s="63">
        <v>4</v>
      </c>
    </row>
    <row r="10" spans="2:3" x14ac:dyDescent="0.2">
      <c r="B10" s="8" t="s">
        <v>633</v>
      </c>
      <c r="C10" s="63">
        <v>3.03</v>
      </c>
    </row>
    <row r="11" spans="2:3" x14ac:dyDescent="0.2">
      <c r="B11" s="8" t="s">
        <v>699</v>
      </c>
      <c r="C11" s="63">
        <v>2.75</v>
      </c>
    </row>
    <row r="12" spans="2:3" x14ac:dyDescent="0.2">
      <c r="B12" s="8" t="s">
        <v>604</v>
      </c>
      <c r="C12" s="63">
        <v>2.37</v>
      </c>
    </row>
    <row r="13" spans="2:3" x14ac:dyDescent="0.2">
      <c r="B13" s="8" t="s">
        <v>761</v>
      </c>
      <c r="C13" s="63">
        <v>2.09</v>
      </c>
    </row>
    <row r="14" spans="2:3" x14ac:dyDescent="0.2">
      <c r="B14" s="8" t="s">
        <v>606</v>
      </c>
      <c r="C14" s="63">
        <v>1.69</v>
      </c>
    </row>
    <row r="15" spans="2:3" x14ac:dyDescent="0.2">
      <c r="B15" s="8" t="s">
        <v>788</v>
      </c>
      <c r="C15" s="63">
        <v>1.5</v>
      </c>
    </row>
    <row r="16" spans="2:3" x14ac:dyDescent="0.2">
      <c r="B16" s="8" t="s">
        <v>895</v>
      </c>
      <c r="C16" s="63">
        <v>1.44</v>
      </c>
    </row>
    <row r="17" spans="2:3" x14ac:dyDescent="0.2">
      <c r="B17" s="8" t="s">
        <v>609</v>
      </c>
      <c r="C17" s="63">
        <v>1.43</v>
      </c>
    </row>
    <row r="18" spans="2:3" x14ac:dyDescent="0.2">
      <c r="B18" s="8" t="s">
        <v>562</v>
      </c>
      <c r="C18" s="63">
        <v>1.41</v>
      </c>
    </row>
    <row r="19" spans="2:3" x14ac:dyDescent="0.2">
      <c r="B19" s="8" t="s">
        <v>615</v>
      </c>
      <c r="C19" s="63">
        <v>1.4</v>
      </c>
    </row>
    <row r="20" spans="2:3" x14ac:dyDescent="0.2">
      <c r="B20" s="8" t="s">
        <v>700</v>
      </c>
      <c r="C20" s="63">
        <v>1.18</v>
      </c>
    </row>
    <row r="21" spans="2:3" x14ac:dyDescent="0.2">
      <c r="B21" s="8" t="s">
        <v>994</v>
      </c>
      <c r="C21" s="63">
        <v>1.1100000000000001</v>
      </c>
    </row>
    <row r="22" spans="2:3" x14ac:dyDescent="0.2">
      <c r="B22" s="8" t="s">
        <v>831</v>
      </c>
      <c r="C22" s="63">
        <v>1.07</v>
      </c>
    </row>
    <row r="23" spans="2:3" x14ac:dyDescent="0.2">
      <c r="B23" s="8" t="s">
        <v>936</v>
      </c>
      <c r="C23" s="63">
        <v>1.04</v>
      </c>
    </row>
    <row r="24" spans="2:3" x14ac:dyDescent="0.2">
      <c r="B24" s="8" t="s">
        <v>901</v>
      </c>
      <c r="C24" s="63">
        <v>0.96099999999999997</v>
      </c>
    </row>
    <row r="25" spans="2:3" x14ac:dyDescent="0.2">
      <c r="B25" s="8" t="s">
        <v>854</v>
      </c>
      <c r="C25" s="63">
        <v>0.875</v>
      </c>
    </row>
    <row r="26" spans="2:3" x14ac:dyDescent="0.2">
      <c r="B26" s="8" t="s">
        <v>603</v>
      </c>
      <c r="C26" s="63">
        <v>0.84099999999999997</v>
      </c>
    </row>
    <row r="27" spans="2:3" x14ac:dyDescent="0.2">
      <c r="B27" s="8" t="s">
        <v>670</v>
      </c>
      <c r="C27" s="63">
        <v>0.80800000000000005</v>
      </c>
    </row>
    <row r="28" spans="2:3" x14ac:dyDescent="0.2">
      <c r="B28" s="8" t="s">
        <v>665</v>
      </c>
      <c r="C28" s="63">
        <v>0.79400000000000004</v>
      </c>
    </row>
    <row r="29" spans="2:3" x14ac:dyDescent="0.2">
      <c r="B29" s="8" t="s">
        <v>771</v>
      </c>
      <c r="C29" s="63">
        <v>0.77500000000000002</v>
      </c>
    </row>
    <row r="30" spans="2:3" x14ac:dyDescent="0.2">
      <c r="B30" s="8" t="s">
        <v>640</v>
      </c>
      <c r="C30" s="64">
        <v>0.73799999999999999</v>
      </c>
    </row>
    <row r="31" spans="2:3" x14ac:dyDescent="0.2">
      <c r="B31" s="8" t="s">
        <v>702</v>
      </c>
      <c r="C31" s="63">
        <v>0.72899999999999998</v>
      </c>
    </row>
    <row r="32" spans="2:3" x14ac:dyDescent="0.2">
      <c r="B32" s="8" t="s">
        <v>587</v>
      </c>
      <c r="C32" s="63">
        <v>0.71</v>
      </c>
    </row>
    <row r="33" spans="2:3" x14ac:dyDescent="0.2">
      <c r="B33" s="8" t="s">
        <v>814</v>
      </c>
      <c r="C33" s="63">
        <v>0.70199999999999996</v>
      </c>
    </row>
    <row r="34" spans="2:3" x14ac:dyDescent="0.2">
      <c r="B34" s="8" t="s">
        <v>590</v>
      </c>
      <c r="C34" s="63">
        <v>0.65900000000000003</v>
      </c>
    </row>
    <row r="35" spans="2:3" x14ac:dyDescent="0.2">
      <c r="B35" s="8" t="s">
        <v>647</v>
      </c>
      <c r="C35" s="63">
        <v>0.65900000000000003</v>
      </c>
    </row>
    <row r="36" spans="2:3" x14ac:dyDescent="0.2">
      <c r="B36" s="8" t="s">
        <v>945</v>
      </c>
      <c r="C36" s="63">
        <v>0.64200000000000002</v>
      </c>
    </row>
    <row r="37" spans="2:3" x14ac:dyDescent="0.2">
      <c r="B37" s="8" t="s">
        <v>629</v>
      </c>
      <c r="C37" s="64">
        <v>0.625</v>
      </c>
    </row>
    <row r="38" spans="2:3" x14ac:dyDescent="0.2">
      <c r="B38" s="8" t="s">
        <v>589</v>
      </c>
      <c r="C38" s="63">
        <v>0.624</v>
      </c>
    </row>
    <row r="39" spans="2:3" x14ac:dyDescent="0.2">
      <c r="B39" s="8" t="s">
        <v>889</v>
      </c>
      <c r="C39" s="63">
        <v>0.61199999999999999</v>
      </c>
    </row>
    <row r="40" spans="2:3" x14ac:dyDescent="0.2">
      <c r="B40" s="8" t="s">
        <v>632</v>
      </c>
      <c r="C40" s="63">
        <v>0.60699999999999998</v>
      </c>
    </row>
    <row r="41" spans="2:3" x14ac:dyDescent="0.2">
      <c r="B41" s="8" t="s">
        <v>611</v>
      </c>
      <c r="C41" s="63">
        <v>0.60399999999999998</v>
      </c>
    </row>
    <row r="42" spans="2:3" x14ac:dyDescent="0.2">
      <c r="B42" s="8" t="s">
        <v>847</v>
      </c>
      <c r="C42" s="63">
        <v>0.59899999999999998</v>
      </c>
    </row>
    <row r="43" spans="2:3" x14ac:dyDescent="0.2">
      <c r="B43" s="8" t="s">
        <v>594</v>
      </c>
      <c r="C43" s="63">
        <v>0.59299999999999997</v>
      </c>
    </row>
    <row r="44" spans="2:3" x14ac:dyDescent="0.2">
      <c r="B44" s="8" t="s">
        <v>552</v>
      </c>
      <c r="C44" s="63">
        <v>0.57299999999999995</v>
      </c>
    </row>
    <row r="45" spans="2:3" x14ac:dyDescent="0.2">
      <c r="B45" s="8" t="s">
        <v>613</v>
      </c>
      <c r="C45" s="64">
        <v>0.56899999999999995</v>
      </c>
    </row>
    <row r="46" spans="2:3" x14ac:dyDescent="0.2">
      <c r="B46" s="8" t="s">
        <v>1015</v>
      </c>
      <c r="C46" s="63">
        <v>0.56299999999999994</v>
      </c>
    </row>
    <row r="47" spans="2:3" x14ac:dyDescent="0.2">
      <c r="B47" s="8" t="s">
        <v>766</v>
      </c>
      <c r="C47" s="63">
        <v>0.56100000000000005</v>
      </c>
    </row>
    <row r="48" spans="2:3" x14ac:dyDescent="0.2">
      <c r="B48" s="8" t="s">
        <v>662</v>
      </c>
      <c r="C48" s="63">
        <v>0.54500000000000004</v>
      </c>
    </row>
    <row r="49" spans="2:3" x14ac:dyDescent="0.2">
      <c r="B49" s="8" t="s">
        <v>576</v>
      </c>
      <c r="C49" s="63">
        <v>0.53500000000000003</v>
      </c>
    </row>
    <row r="50" spans="2:3" x14ac:dyDescent="0.2">
      <c r="B50" s="8" t="s">
        <v>998</v>
      </c>
      <c r="C50" s="8">
        <v>0.52500000000000002</v>
      </c>
    </row>
    <row r="51" spans="2:3" x14ac:dyDescent="0.2">
      <c r="B51" s="8" t="s">
        <v>934</v>
      </c>
      <c r="C51" s="63">
        <v>0.52400000000000002</v>
      </c>
    </row>
    <row r="52" spans="2:3" x14ac:dyDescent="0.2">
      <c r="B52" s="8" t="s">
        <v>607</v>
      </c>
      <c r="C52" s="63">
        <v>0.52100000000000002</v>
      </c>
    </row>
    <row r="53" spans="2:3" x14ac:dyDescent="0.2">
      <c r="B53" s="8" t="s">
        <v>844</v>
      </c>
      <c r="C53" s="63">
        <v>0.52100000000000002</v>
      </c>
    </row>
    <row r="54" spans="2:3" x14ac:dyDescent="0.2">
      <c r="B54" s="8" t="s">
        <v>605</v>
      </c>
      <c r="C54" s="63">
        <v>0.51200000000000001</v>
      </c>
    </row>
    <row r="55" spans="2:3" x14ac:dyDescent="0.2">
      <c r="B55" s="8" t="s">
        <v>570</v>
      </c>
      <c r="C55" s="63">
        <v>0.503</v>
      </c>
    </row>
    <row r="56" spans="2:3" x14ac:dyDescent="0.2">
      <c r="B56" s="8" t="s">
        <v>689</v>
      </c>
      <c r="C56" s="63">
        <v>0.502</v>
      </c>
    </row>
    <row r="57" spans="2:3" x14ac:dyDescent="0.2">
      <c r="B57" s="8" t="s">
        <v>713</v>
      </c>
      <c r="C57" s="63">
        <v>0.499</v>
      </c>
    </row>
    <row r="58" spans="2:3" x14ac:dyDescent="0.2">
      <c r="B58" s="8" t="s">
        <v>916</v>
      </c>
      <c r="C58" s="63">
        <v>0.495</v>
      </c>
    </row>
    <row r="59" spans="2:3" x14ac:dyDescent="0.2">
      <c r="B59" s="8" t="s">
        <v>677</v>
      </c>
      <c r="C59" s="63">
        <v>0.49099999999999999</v>
      </c>
    </row>
    <row r="60" spans="2:3" x14ac:dyDescent="0.2">
      <c r="B60" s="8" t="s">
        <v>870</v>
      </c>
      <c r="C60" s="63">
        <v>0.48499999999999999</v>
      </c>
    </row>
    <row r="61" spans="2:3" x14ac:dyDescent="0.2">
      <c r="B61" s="8" t="s">
        <v>887</v>
      </c>
      <c r="C61" s="63">
        <v>0.47299999999999998</v>
      </c>
    </row>
    <row r="62" spans="2:3" x14ac:dyDescent="0.2">
      <c r="B62" s="8" t="s">
        <v>822</v>
      </c>
      <c r="C62" s="63">
        <v>0.46899999999999997</v>
      </c>
    </row>
    <row r="63" spans="2:3" x14ac:dyDescent="0.2">
      <c r="B63" s="8" t="s">
        <v>631</v>
      </c>
      <c r="C63" s="63">
        <v>0.46500000000000002</v>
      </c>
    </row>
    <row r="64" spans="2:3" x14ac:dyDescent="0.2">
      <c r="B64" s="8" t="s">
        <v>956</v>
      </c>
      <c r="C64" s="63">
        <v>0.46300000000000002</v>
      </c>
    </row>
    <row r="65" spans="2:3" x14ac:dyDescent="0.2">
      <c r="B65" s="8" t="s">
        <v>598</v>
      </c>
      <c r="C65" s="63">
        <v>0.45900000000000002</v>
      </c>
    </row>
    <row r="66" spans="2:3" x14ac:dyDescent="0.2">
      <c r="B66" s="8" t="s">
        <v>983</v>
      </c>
      <c r="C66" s="63">
        <v>0.45800000000000002</v>
      </c>
    </row>
    <row r="67" spans="2:3" x14ac:dyDescent="0.2">
      <c r="B67" s="8" t="s">
        <v>569</v>
      </c>
      <c r="C67" s="63">
        <v>0.45700000000000002</v>
      </c>
    </row>
    <row r="68" spans="2:3" x14ac:dyDescent="0.2">
      <c r="B68" s="8" t="s">
        <v>674</v>
      </c>
      <c r="C68" s="63">
        <v>0.45200000000000001</v>
      </c>
    </row>
    <row r="69" spans="2:3" x14ac:dyDescent="0.2">
      <c r="B69" s="8" t="s">
        <v>719</v>
      </c>
      <c r="C69" s="64">
        <v>0.44</v>
      </c>
    </row>
    <row r="70" spans="2:3" x14ac:dyDescent="0.2">
      <c r="B70" s="8" t="s">
        <v>837</v>
      </c>
      <c r="C70" s="63">
        <v>0.44</v>
      </c>
    </row>
    <row r="71" spans="2:3" x14ac:dyDescent="0.2">
      <c r="B71" s="8" t="s">
        <v>621</v>
      </c>
      <c r="C71" s="63">
        <v>0.438</v>
      </c>
    </row>
    <row r="72" spans="2:3" x14ac:dyDescent="0.2">
      <c r="B72" s="8" t="s">
        <v>620</v>
      </c>
      <c r="C72" s="64">
        <v>0.433</v>
      </c>
    </row>
    <row r="73" spans="2:3" x14ac:dyDescent="0.2">
      <c r="B73" s="8" t="s">
        <v>669</v>
      </c>
      <c r="C73" s="63">
        <v>0.42799999999999999</v>
      </c>
    </row>
    <row r="74" spans="2:3" x14ac:dyDescent="0.2">
      <c r="B74" s="8" t="s">
        <v>833</v>
      </c>
      <c r="C74" s="63">
        <v>0.42</v>
      </c>
    </row>
    <row r="75" spans="2:3" x14ac:dyDescent="0.2">
      <c r="B75" s="8" t="s">
        <v>572</v>
      </c>
      <c r="C75" s="63">
        <v>0.41699999999999998</v>
      </c>
    </row>
    <row r="76" spans="2:3" x14ac:dyDescent="0.2">
      <c r="B76" s="8" t="s">
        <v>551</v>
      </c>
      <c r="C76" s="63">
        <v>0.41099999999999998</v>
      </c>
    </row>
    <row r="77" spans="2:3" x14ac:dyDescent="0.2">
      <c r="B77" s="8" t="s">
        <v>531</v>
      </c>
      <c r="C77" s="63">
        <v>0.41099999999999998</v>
      </c>
    </row>
    <row r="78" spans="2:3" x14ac:dyDescent="0.2">
      <c r="B78" s="8" t="s">
        <v>367</v>
      </c>
      <c r="C78" s="63">
        <v>0.41</v>
      </c>
    </row>
    <row r="79" spans="2:3" x14ac:dyDescent="0.2">
      <c r="B79" s="8" t="s">
        <v>980</v>
      </c>
      <c r="C79" s="63">
        <v>0.41</v>
      </c>
    </row>
    <row r="80" spans="2:3" x14ac:dyDescent="0.2">
      <c r="B80" s="8" t="s">
        <v>955</v>
      </c>
      <c r="C80" s="63">
        <v>0.40300000000000002</v>
      </c>
    </row>
    <row r="81" spans="2:3" x14ac:dyDescent="0.2">
      <c r="B81" s="8" t="s">
        <v>810</v>
      </c>
      <c r="C81" s="63">
        <v>0.40100000000000002</v>
      </c>
    </row>
    <row r="82" spans="2:3" x14ac:dyDescent="0.2">
      <c r="B82" s="8" t="s">
        <v>618</v>
      </c>
      <c r="C82" s="63">
        <v>0.39700000000000002</v>
      </c>
    </row>
    <row r="83" spans="2:3" x14ac:dyDescent="0.2">
      <c r="B83" s="8" t="s">
        <v>862</v>
      </c>
      <c r="C83" s="63">
        <v>0.39100000000000001</v>
      </c>
    </row>
    <row r="84" spans="2:3" x14ac:dyDescent="0.2">
      <c r="B84" s="8" t="s">
        <v>900</v>
      </c>
      <c r="C84" s="63">
        <v>0.39100000000000001</v>
      </c>
    </row>
    <row r="85" spans="2:3" x14ac:dyDescent="0.2">
      <c r="B85" s="8" t="s">
        <v>583</v>
      </c>
      <c r="C85" s="63">
        <v>0.38700000000000001</v>
      </c>
    </row>
    <row r="86" spans="2:3" x14ac:dyDescent="0.2">
      <c r="B86" s="8" t="s">
        <v>988</v>
      </c>
      <c r="C86" s="63">
        <v>0.38200000000000001</v>
      </c>
    </row>
    <row r="87" spans="2:3" x14ac:dyDescent="0.2">
      <c r="B87" s="8" t="s">
        <v>676</v>
      </c>
      <c r="C87" s="63">
        <v>0.38</v>
      </c>
    </row>
    <row r="88" spans="2:3" x14ac:dyDescent="0.2">
      <c r="B88" s="8" t="s">
        <v>796</v>
      </c>
      <c r="C88" s="63">
        <v>0.379</v>
      </c>
    </row>
    <row r="89" spans="2:3" x14ac:dyDescent="0.2">
      <c r="B89" s="8" t="s">
        <v>821</v>
      </c>
      <c r="C89" s="63">
        <v>0.378</v>
      </c>
    </row>
    <row r="90" spans="2:3" x14ac:dyDescent="0.2">
      <c r="B90" s="8" t="s">
        <v>635</v>
      </c>
      <c r="C90" s="63">
        <v>0.375</v>
      </c>
    </row>
    <row r="91" spans="2:3" x14ac:dyDescent="0.2">
      <c r="B91" s="8" t="s">
        <v>965</v>
      </c>
      <c r="C91" s="63">
        <v>0.374</v>
      </c>
    </row>
    <row r="92" spans="2:3" x14ac:dyDescent="0.2">
      <c r="B92" s="8" t="s">
        <v>896</v>
      </c>
      <c r="C92" s="63">
        <v>0.37</v>
      </c>
    </row>
    <row r="93" spans="2:3" x14ac:dyDescent="0.2">
      <c r="B93" s="8" t="s">
        <v>596</v>
      </c>
      <c r="C93" s="63">
        <v>0.36699999999999999</v>
      </c>
    </row>
    <row r="94" spans="2:3" x14ac:dyDescent="0.2">
      <c r="B94" s="8" t="s">
        <v>894</v>
      </c>
      <c r="C94" s="64">
        <v>0.36699999999999999</v>
      </c>
    </row>
    <row r="95" spans="2:3" x14ac:dyDescent="0.2">
      <c r="B95" s="8" t="s">
        <v>950</v>
      </c>
      <c r="C95" s="63">
        <v>0.36399999999999999</v>
      </c>
    </row>
    <row r="96" spans="2:3" x14ac:dyDescent="0.2">
      <c r="B96" s="8" t="s">
        <v>558</v>
      </c>
      <c r="C96" s="63">
        <v>0.36</v>
      </c>
    </row>
    <row r="97" spans="2:3" x14ac:dyDescent="0.2">
      <c r="B97" s="8" t="s">
        <v>781</v>
      </c>
      <c r="C97" s="63">
        <v>0.35699999999999998</v>
      </c>
    </row>
    <row r="98" spans="2:3" x14ac:dyDescent="0.2">
      <c r="B98" s="8" t="s">
        <v>856</v>
      </c>
      <c r="C98" s="63">
        <v>0.35499999999999998</v>
      </c>
    </row>
    <row r="99" spans="2:3" x14ac:dyDescent="0.2">
      <c r="B99" s="8" t="s">
        <v>800</v>
      </c>
      <c r="C99" s="63">
        <v>0.35099999999999998</v>
      </c>
    </row>
    <row r="100" spans="2:3" x14ac:dyDescent="0.2">
      <c r="B100" s="8" t="s">
        <v>557</v>
      </c>
      <c r="C100" s="63">
        <v>0.34599999999999997</v>
      </c>
    </row>
    <row r="101" spans="2:3" x14ac:dyDescent="0.2">
      <c r="B101" s="8" t="s">
        <v>565</v>
      </c>
      <c r="C101" s="63">
        <v>0.34499999999999997</v>
      </c>
    </row>
    <row r="102" spans="2:3" x14ac:dyDescent="0.2">
      <c r="B102" s="8" t="s">
        <v>738</v>
      </c>
      <c r="C102" s="63">
        <v>0.34200000000000003</v>
      </c>
    </row>
    <row r="103" spans="2:3" x14ac:dyDescent="0.2">
      <c r="B103" s="8" t="s">
        <v>885</v>
      </c>
      <c r="C103" s="63">
        <v>0.33400000000000002</v>
      </c>
    </row>
    <row r="104" spans="2:3" x14ac:dyDescent="0.2">
      <c r="B104" s="8" t="s">
        <v>593</v>
      </c>
      <c r="C104" s="63">
        <v>0.32700000000000001</v>
      </c>
    </row>
    <row r="105" spans="2:3" x14ac:dyDescent="0.2">
      <c r="B105" s="8" t="s">
        <v>705</v>
      </c>
      <c r="C105" s="63">
        <v>0.32500000000000001</v>
      </c>
    </row>
    <row r="106" spans="2:3" x14ac:dyDescent="0.2">
      <c r="B106" s="8" t="s">
        <v>592</v>
      </c>
      <c r="C106" s="63">
        <v>0.32400000000000001</v>
      </c>
    </row>
    <row r="107" spans="2:3" x14ac:dyDescent="0.2">
      <c r="B107" s="8" t="s">
        <v>820</v>
      </c>
      <c r="C107" s="63">
        <v>0.32200000000000001</v>
      </c>
    </row>
    <row r="108" spans="2:3" x14ac:dyDescent="0.2">
      <c r="B108" s="8" t="s">
        <v>749</v>
      </c>
      <c r="C108" s="63">
        <v>0.32100000000000001</v>
      </c>
    </row>
    <row r="109" spans="2:3" x14ac:dyDescent="0.2">
      <c r="B109" s="8" t="s">
        <v>782</v>
      </c>
      <c r="C109" s="63">
        <v>0.32</v>
      </c>
    </row>
    <row r="110" spans="2:3" x14ac:dyDescent="0.2">
      <c r="B110" s="8" t="s">
        <v>972</v>
      </c>
      <c r="C110" s="63">
        <v>0.32</v>
      </c>
    </row>
    <row r="111" spans="2:3" x14ac:dyDescent="0.2">
      <c r="B111" s="8" t="s">
        <v>743</v>
      </c>
      <c r="C111" s="64">
        <v>0.316</v>
      </c>
    </row>
    <row r="112" spans="2:3" x14ac:dyDescent="0.2">
      <c r="B112" s="8" t="s">
        <v>772</v>
      </c>
      <c r="C112" s="63">
        <v>0.315</v>
      </c>
    </row>
    <row r="113" spans="2:3" x14ac:dyDescent="0.2">
      <c r="B113" s="8" t="s">
        <v>373</v>
      </c>
      <c r="C113" s="63">
        <v>0.314</v>
      </c>
    </row>
    <row r="114" spans="2:3" x14ac:dyDescent="0.2">
      <c r="B114" s="8" t="s">
        <v>951</v>
      </c>
      <c r="C114" s="63">
        <v>0.308</v>
      </c>
    </row>
    <row r="115" spans="2:3" x14ac:dyDescent="0.2">
      <c r="B115" s="8" t="s">
        <v>612</v>
      </c>
      <c r="C115" s="63">
        <v>0.307</v>
      </c>
    </row>
    <row r="116" spans="2:3" x14ac:dyDescent="0.2">
      <c r="B116" s="8" t="s">
        <v>843</v>
      </c>
      <c r="C116" s="63">
        <v>0.307</v>
      </c>
    </row>
    <row r="117" spans="2:3" x14ac:dyDescent="0.2">
      <c r="B117" s="8" t="s">
        <v>846</v>
      </c>
      <c r="C117" s="63">
        <v>0.30599999999999999</v>
      </c>
    </row>
    <row r="118" spans="2:3" x14ac:dyDescent="0.2">
      <c r="B118" s="8" t="s">
        <v>891</v>
      </c>
      <c r="C118" s="63">
        <v>0.30599999999999999</v>
      </c>
    </row>
    <row r="119" spans="2:3" x14ac:dyDescent="0.2">
      <c r="B119" s="8" t="s">
        <v>751</v>
      </c>
      <c r="C119" s="63">
        <v>0.30299999999999999</v>
      </c>
    </row>
    <row r="120" spans="2:3" x14ac:dyDescent="0.2">
      <c r="B120" s="8" t="s">
        <v>666</v>
      </c>
      <c r="C120" s="63">
        <v>0.30099999999999999</v>
      </c>
    </row>
    <row r="121" spans="2:3" x14ac:dyDescent="0.2">
      <c r="B121" s="8" t="s">
        <v>875</v>
      </c>
      <c r="C121" s="63">
        <v>0.3</v>
      </c>
    </row>
    <row r="122" spans="2:3" x14ac:dyDescent="0.2">
      <c r="B122" s="8" t="s">
        <v>890</v>
      </c>
      <c r="C122" s="63">
        <v>0.3</v>
      </c>
    </row>
    <row r="123" spans="2:3" x14ac:dyDescent="0.2">
      <c r="B123" s="8" t="s">
        <v>732</v>
      </c>
      <c r="C123" s="63">
        <v>0.29099999999999998</v>
      </c>
    </row>
    <row r="124" spans="2:3" x14ac:dyDescent="0.2">
      <c r="B124" s="8" t="s">
        <v>752</v>
      </c>
      <c r="C124" s="63">
        <v>0.29099999999999998</v>
      </c>
    </row>
    <row r="125" spans="2:3" x14ac:dyDescent="0.2">
      <c r="B125" s="8" t="s">
        <v>601</v>
      </c>
      <c r="C125" s="63">
        <v>0.28999999999999998</v>
      </c>
    </row>
    <row r="126" spans="2:3" x14ac:dyDescent="0.2">
      <c r="B126" s="8" t="s">
        <v>746</v>
      </c>
      <c r="C126" s="63">
        <v>0.28999999999999998</v>
      </c>
    </row>
    <row r="127" spans="2:3" x14ac:dyDescent="0.2">
      <c r="B127" s="8" t="s">
        <v>731</v>
      </c>
      <c r="C127" s="63">
        <v>0.28899999999999998</v>
      </c>
    </row>
    <row r="128" spans="2:3" x14ac:dyDescent="0.2">
      <c r="B128" s="8" t="s">
        <v>962</v>
      </c>
      <c r="C128" s="63">
        <v>0.28499999999999998</v>
      </c>
    </row>
    <row r="129" spans="2:3" x14ac:dyDescent="0.2">
      <c r="B129" s="8" t="s">
        <v>39</v>
      </c>
      <c r="C129" s="63">
        <v>0.28299999999999997</v>
      </c>
    </row>
    <row r="130" spans="2:3" x14ac:dyDescent="0.2">
      <c r="B130" s="8" t="s">
        <v>770</v>
      </c>
      <c r="C130" s="64">
        <v>0.28299999999999997</v>
      </c>
    </row>
    <row r="131" spans="2:3" x14ac:dyDescent="0.2">
      <c r="B131" s="8" t="s">
        <v>504</v>
      </c>
      <c r="C131" s="63">
        <v>0.28299999999999997</v>
      </c>
    </row>
    <row r="132" spans="2:3" x14ac:dyDescent="0.2">
      <c r="B132" s="8" t="s">
        <v>816</v>
      </c>
      <c r="C132" s="63">
        <v>0.28199999999999997</v>
      </c>
    </row>
    <row r="133" spans="2:3" x14ac:dyDescent="0.2">
      <c r="B133" s="8" t="s">
        <v>599</v>
      </c>
      <c r="C133" s="63">
        <v>0.27700000000000002</v>
      </c>
    </row>
    <row r="134" spans="2:3" x14ac:dyDescent="0.2">
      <c r="B134" s="8" t="s">
        <v>650</v>
      </c>
      <c r="C134" s="63">
        <v>0.27600000000000002</v>
      </c>
    </row>
    <row r="135" spans="2:3" x14ac:dyDescent="0.2">
      <c r="B135" s="8" t="s">
        <v>917</v>
      </c>
      <c r="C135" s="63">
        <v>0.27300000000000002</v>
      </c>
    </row>
    <row r="136" spans="2:3" x14ac:dyDescent="0.2">
      <c r="B136" s="8" t="s">
        <v>646</v>
      </c>
      <c r="C136" s="63">
        <v>0.27</v>
      </c>
    </row>
    <row r="137" spans="2:3" x14ac:dyDescent="0.2">
      <c r="B137" s="8" t="s">
        <v>649</v>
      </c>
      <c r="C137" s="63">
        <v>0.27</v>
      </c>
    </row>
    <row r="138" spans="2:3" x14ac:dyDescent="0.2">
      <c r="B138" s="8" t="s">
        <v>651</v>
      </c>
      <c r="C138" s="63">
        <v>0.27</v>
      </c>
    </row>
    <row r="139" spans="2:3" x14ac:dyDescent="0.2">
      <c r="B139" s="8" t="s">
        <v>808</v>
      </c>
      <c r="C139" s="63">
        <v>0.27</v>
      </c>
    </row>
    <row r="140" spans="2:3" x14ac:dyDescent="0.2">
      <c r="B140" s="8" t="s">
        <v>873</v>
      </c>
      <c r="C140" s="63">
        <v>0.26900000000000002</v>
      </c>
    </row>
    <row r="141" spans="2:3" x14ac:dyDescent="0.2">
      <c r="B141" s="8" t="s">
        <v>663</v>
      </c>
      <c r="C141" s="63">
        <v>0.26700000000000002</v>
      </c>
    </row>
    <row r="142" spans="2:3" x14ac:dyDescent="0.2">
      <c r="B142" s="8" t="s">
        <v>553</v>
      </c>
      <c r="C142" s="63">
        <v>0.26600000000000001</v>
      </c>
    </row>
    <row r="143" spans="2:3" x14ac:dyDescent="0.2">
      <c r="B143" s="8" t="s">
        <v>574</v>
      </c>
      <c r="C143" s="63">
        <v>0.26600000000000001</v>
      </c>
    </row>
    <row r="144" spans="2:3" x14ac:dyDescent="0.2">
      <c r="B144" s="8" t="s">
        <v>653</v>
      </c>
      <c r="C144" s="63">
        <v>0.26500000000000001</v>
      </c>
    </row>
    <row r="145" spans="2:3" x14ac:dyDescent="0.2">
      <c r="B145" s="8" t="s">
        <v>744</v>
      </c>
      <c r="C145" s="63">
        <v>0.26400000000000001</v>
      </c>
    </row>
    <row r="146" spans="2:3" x14ac:dyDescent="0.2">
      <c r="B146" s="8" t="s">
        <v>948</v>
      </c>
      <c r="C146" s="64">
        <v>0.26400000000000001</v>
      </c>
    </row>
    <row r="147" spans="2:3" x14ac:dyDescent="0.2">
      <c r="B147" s="8" t="s">
        <v>1005</v>
      </c>
      <c r="C147" s="63">
        <v>0.26400000000000001</v>
      </c>
    </row>
    <row r="148" spans="2:3" x14ac:dyDescent="0.2">
      <c r="B148" s="8" t="s">
        <v>371</v>
      </c>
      <c r="C148" s="63">
        <v>0.26300000000000001</v>
      </c>
    </row>
    <row r="149" spans="2:3" x14ac:dyDescent="0.2">
      <c r="B149" s="8" t="s">
        <v>343</v>
      </c>
      <c r="C149" s="63">
        <v>0.26300000000000001</v>
      </c>
    </row>
    <row r="150" spans="2:3" x14ac:dyDescent="0.2">
      <c r="B150" s="8" t="s">
        <v>999</v>
      </c>
      <c r="C150" s="63">
        <v>0.26300000000000001</v>
      </c>
    </row>
    <row r="151" spans="2:3" x14ac:dyDescent="0.2">
      <c r="B151" s="8" t="s">
        <v>750</v>
      </c>
      <c r="C151" s="63">
        <v>0.26100000000000001</v>
      </c>
    </row>
    <row r="152" spans="2:3" x14ac:dyDescent="0.2">
      <c r="B152" s="8" t="s">
        <v>591</v>
      </c>
      <c r="C152" s="63">
        <v>0.26</v>
      </c>
    </row>
    <row r="153" spans="2:3" x14ac:dyDescent="0.2">
      <c r="B153" s="8" t="s">
        <v>559</v>
      </c>
      <c r="C153" s="63">
        <v>0.25900000000000001</v>
      </c>
    </row>
    <row r="154" spans="2:3" x14ac:dyDescent="0.2">
      <c r="B154" s="8" t="s">
        <v>871</v>
      </c>
      <c r="C154" s="63">
        <v>0.25700000000000001</v>
      </c>
    </row>
    <row r="155" spans="2:3" x14ac:dyDescent="0.2">
      <c r="B155" s="8" t="s">
        <v>671</v>
      </c>
      <c r="C155" s="63">
        <v>0.25600000000000001</v>
      </c>
    </row>
    <row r="156" spans="2:3" x14ac:dyDescent="0.2">
      <c r="B156" s="8" t="s">
        <v>754</v>
      </c>
      <c r="C156" s="63">
        <v>0.25600000000000001</v>
      </c>
    </row>
    <row r="157" spans="2:3" x14ac:dyDescent="0.2">
      <c r="B157" s="8" t="s">
        <v>683</v>
      </c>
      <c r="C157" s="63">
        <v>0.255</v>
      </c>
    </row>
    <row r="158" spans="2:3" x14ac:dyDescent="0.2">
      <c r="B158" s="8" t="s">
        <v>795</v>
      </c>
      <c r="C158" s="64">
        <v>0.255</v>
      </c>
    </row>
    <row r="159" spans="2:3" x14ac:dyDescent="0.2">
      <c r="B159" s="8" t="s">
        <v>1026</v>
      </c>
      <c r="C159" s="63">
        <v>0.254</v>
      </c>
    </row>
    <row r="160" spans="2:3" x14ac:dyDescent="0.2">
      <c r="B160" s="8" t="s">
        <v>585</v>
      </c>
      <c r="C160" s="63">
        <v>0.252</v>
      </c>
    </row>
    <row r="161" spans="2:3" x14ac:dyDescent="0.2">
      <c r="B161" s="8" t="s">
        <v>937</v>
      </c>
      <c r="C161" s="63">
        <v>0.251</v>
      </c>
    </row>
    <row r="162" spans="2:3" x14ac:dyDescent="0.2">
      <c r="B162" s="8" t="s">
        <v>696</v>
      </c>
      <c r="C162" s="63">
        <v>0.25</v>
      </c>
    </row>
    <row r="163" spans="2:3" x14ac:dyDescent="0.2">
      <c r="B163" s="8" t="s">
        <v>787</v>
      </c>
      <c r="C163" s="63">
        <v>0.25</v>
      </c>
    </row>
    <row r="164" spans="2:3" x14ac:dyDescent="0.2">
      <c r="B164" s="8" t="s">
        <v>568</v>
      </c>
      <c r="C164" s="63">
        <v>0.248</v>
      </c>
    </row>
    <row r="165" spans="2:3" x14ac:dyDescent="0.2">
      <c r="B165" s="8" t="s">
        <v>571</v>
      </c>
      <c r="C165" s="63">
        <v>0.248</v>
      </c>
    </row>
    <row r="166" spans="2:3" x14ac:dyDescent="0.2">
      <c r="B166" s="8" t="s">
        <v>876</v>
      </c>
      <c r="C166" s="63">
        <v>0.247</v>
      </c>
    </row>
    <row r="167" spans="2:3" x14ac:dyDescent="0.2">
      <c r="B167" s="8" t="s">
        <v>903</v>
      </c>
      <c r="C167" s="63">
        <v>0.247</v>
      </c>
    </row>
    <row r="168" spans="2:3" x14ac:dyDescent="0.2">
      <c r="B168" s="8" t="s">
        <v>739</v>
      </c>
      <c r="C168" s="63">
        <v>0.246</v>
      </c>
    </row>
    <row r="169" spans="2:3" x14ac:dyDescent="0.2">
      <c r="B169" s="8" t="s">
        <v>642</v>
      </c>
      <c r="C169" s="63">
        <v>0.24399999999999999</v>
      </c>
    </row>
    <row r="170" spans="2:3" x14ac:dyDescent="0.2">
      <c r="B170" s="8" t="s">
        <v>798</v>
      </c>
      <c r="C170" s="63">
        <v>0.24399999999999999</v>
      </c>
    </row>
    <row r="171" spans="2:3" x14ac:dyDescent="0.2">
      <c r="B171" s="8" t="s">
        <v>793</v>
      </c>
      <c r="C171" s="63">
        <v>0.24199999999999999</v>
      </c>
    </row>
    <row r="172" spans="2:3" x14ac:dyDescent="0.2">
      <c r="B172" s="8" t="s">
        <v>842</v>
      </c>
      <c r="C172" s="63">
        <v>0.24099999999999999</v>
      </c>
    </row>
    <row r="173" spans="2:3" x14ac:dyDescent="0.2">
      <c r="B173" s="8" t="s">
        <v>720</v>
      </c>
      <c r="C173" s="64">
        <v>0.23799999999999999</v>
      </c>
    </row>
    <row r="174" spans="2:3" x14ac:dyDescent="0.2">
      <c r="B174" s="8" t="s">
        <v>783</v>
      </c>
      <c r="C174" s="63">
        <v>0.23699999999999999</v>
      </c>
    </row>
    <row r="175" spans="2:3" x14ac:dyDescent="0.2">
      <c r="B175" s="8" t="s">
        <v>981</v>
      </c>
      <c r="C175" s="63">
        <v>0.23699999999999999</v>
      </c>
    </row>
    <row r="176" spans="2:3" x14ac:dyDescent="0.2">
      <c r="B176" s="8" t="s">
        <v>628</v>
      </c>
      <c r="C176" s="63">
        <v>0.23499999999999999</v>
      </c>
    </row>
    <row r="177" spans="2:3" x14ac:dyDescent="0.2">
      <c r="B177" s="8" t="s">
        <v>852</v>
      </c>
      <c r="C177" s="63">
        <v>0.23499999999999999</v>
      </c>
    </row>
    <row r="178" spans="2:3" x14ac:dyDescent="0.2">
      <c r="B178" s="8" t="s">
        <v>923</v>
      </c>
      <c r="C178" s="63">
        <v>0.23499999999999999</v>
      </c>
    </row>
    <row r="179" spans="2:3" x14ac:dyDescent="0.2">
      <c r="B179" s="8" t="s">
        <v>658</v>
      </c>
      <c r="C179" s="63">
        <v>0.23200000000000001</v>
      </c>
    </row>
    <row r="180" spans="2:3" x14ac:dyDescent="0.2">
      <c r="B180" s="8" t="s">
        <v>1027</v>
      </c>
      <c r="C180" s="63">
        <v>0.23100000000000001</v>
      </c>
    </row>
    <row r="181" spans="2:3" x14ac:dyDescent="0.2">
      <c r="B181" s="8" t="s">
        <v>786</v>
      </c>
      <c r="C181" s="63">
        <v>0.23100000000000001</v>
      </c>
    </row>
    <row r="182" spans="2:3" x14ac:dyDescent="0.2">
      <c r="B182" s="8" t="s">
        <v>866</v>
      </c>
      <c r="C182" s="63">
        <v>0.23</v>
      </c>
    </row>
    <row r="183" spans="2:3" x14ac:dyDescent="0.2">
      <c r="B183" s="8" t="s">
        <v>840</v>
      </c>
      <c r="C183" s="63">
        <v>0.22900000000000001</v>
      </c>
    </row>
    <row r="184" spans="2:3" x14ac:dyDescent="0.2">
      <c r="B184" s="8" t="s">
        <v>554</v>
      </c>
      <c r="C184" s="63">
        <v>0.22800000000000001</v>
      </c>
    </row>
    <row r="185" spans="2:3" x14ac:dyDescent="0.2">
      <c r="B185" s="8" t="s">
        <v>964</v>
      </c>
      <c r="C185" s="63">
        <v>0.22700000000000001</v>
      </c>
    </row>
    <row r="186" spans="2:3" x14ac:dyDescent="0.2">
      <c r="B186" s="8" t="s">
        <v>850</v>
      </c>
      <c r="C186" s="63">
        <v>0.22500000000000001</v>
      </c>
    </row>
    <row r="187" spans="2:3" x14ac:dyDescent="0.2">
      <c r="B187" s="8" t="s">
        <v>874</v>
      </c>
      <c r="C187" s="64">
        <v>0.22500000000000001</v>
      </c>
    </row>
    <row r="188" spans="2:3" x14ac:dyDescent="0.2">
      <c r="B188" s="8" t="s">
        <v>1012</v>
      </c>
      <c r="C188" s="63">
        <v>0.223</v>
      </c>
    </row>
    <row r="189" spans="2:3" x14ac:dyDescent="0.2">
      <c r="B189" s="8" t="s">
        <v>812</v>
      </c>
      <c r="C189" s="63">
        <v>0.22</v>
      </c>
    </row>
    <row r="190" spans="2:3" x14ac:dyDescent="0.2">
      <c r="B190" s="8" t="s">
        <v>879</v>
      </c>
      <c r="C190" s="63">
        <v>0.219</v>
      </c>
    </row>
    <row r="191" spans="2:3" x14ac:dyDescent="0.2">
      <c r="B191" s="8" t="s">
        <v>660</v>
      </c>
      <c r="C191" s="64">
        <v>0.216</v>
      </c>
    </row>
    <row r="192" spans="2:3" x14ac:dyDescent="0.2">
      <c r="B192" s="8" t="s">
        <v>977</v>
      </c>
      <c r="C192" s="63">
        <v>0.216</v>
      </c>
    </row>
    <row r="193" spans="2:3" x14ac:dyDescent="0.2">
      <c r="B193" s="8" t="s">
        <v>975</v>
      </c>
      <c r="C193" s="63">
        <v>0.215</v>
      </c>
    </row>
    <row r="194" spans="2:3" x14ac:dyDescent="0.2">
      <c r="B194" s="8" t="s">
        <v>742</v>
      </c>
      <c r="C194" s="64">
        <v>0.214</v>
      </c>
    </row>
    <row r="195" spans="2:3" x14ac:dyDescent="0.2">
      <c r="B195" s="8" t="s">
        <v>755</v>
      </c>
      <c r="C195" s="63">
        <v>0.214</v>
      </c>
    </row>
    <row r="196" spans="2:3" x14ac:dyDescent="0.2">
      <c r="B196" s="8" t="s">
        <v>769</v>
      </c>
      <c r="C196" s="63">
        <v>0.214</v>
      </c>
    </row>
    <row r="197" spans="2:3" x14ac:dyDescent="0.2">
      <c r="B197" s="8" t="s">
        <v>883</v>
      </c>
      <c r="C197" s="63">
        <v>0.214</v>
      </c>
    </row>
    <row r="198" spans="2:3" x14ac:dyDescent="0.2">
      <c r="B198" s="8" t="s">
        <v>799</v>
      </c>
      <c r="C198" s="63">
        <v>0.21299999999999999</v>
      </c>
    </row>
    <row r="199" spans="2:3" x14ac:dyDescent="0.2">
      <c r="B199" s="8" t="s">
        <v>684</v>
      </c>
      <c r="C199" s="63">
        <v>0.21099999999999999</v>
      </c>
    </row>
    <row r="200" spans="2:3" x14ac:dyDescent="0.2">
      <c r="B200" s="8" t="s">
        <v>888</v>
      </c>
      <c r="C200" s="63">
        <v>0.21</v>
      </c>
    </row>
    <row r="201" spans="2:3" x14ac:dyDescent="0.2">
      <c r="B201" s="8" t="s">
        <v>929</v>
      </c>
      <c r="C201" s="63">
        <v>0.21</v>
      </c>
    </row>
    <row r="202" spans="2:3" x14ac:dyDescent="0.2">
      <c r="B202" s="8" t="s">
        <v>957</v>
      </c>
      <c r="C202" s="63">
        <v>0.21</v>
      </c>
    </row>
    <row r="203" spans="2:3" x14ac:dyDescent="0.2">
      <c r="B203" s="8" t="s">
        <v>993</v>
      </c>
      <c r="C203" s="63">
        <v>0.21</v>
      </c>
    </row>
    <row r="204" spans="2:3" x14ac:dyDescent="0.2">
      <c r="B204" s="8" t="s">
        <v>851</v>
      </c>
      <c r="C204" s="63">
        <v>0.20899999999999999</v>
      </c>
    </row>
    <row r="205" spans="2:3" x14ac:dyDescent="0.2">
      <c r="B205" s="8" t="s">
        <v>790</v>
      </c>
      <c r="C205" s="63">
        <v>0.20799999999999999</v>
      </c>
    </row>
    <row r="206" spans="2:3" x14ac:dyDescent="0.2">
      <c r="B206" s="8" t="s">
        <v>588</v>
      </c>
      <c r="C206" s="64">
        <v>0.20699999999999999</v>
      </c>
    </row>
    <row r="207" spans="2:3" x14ac:dyDescent="0.2">
      <c r="B207" s="8" t="s">
        <v>679</v>
      </c>
      <c r="C207" s="63">
        <v>0.20699999999999999</v>
      </c>
    </row>
    <row r="208" spans="2:3" x14ac:dyDescent="0.2">
      <c r="B208" s="8" t="s">
        <v>728</v>
      </c>
      <c r="C208" s="63">
        <v>0.20599999999999999</v>
      </c>
    </row>
    <row r="209" spans="2:3" x14ac:dyDescent="0.2">
      <c r="B209" s="8" t="s">
        <v>855</v>
      </c>
      <c r="C209" s="63">
        <v>0.20599999999999999</v>
      </c>
    </row>
    <row r="210" spans="2:3" x14ac:dyDescent="0.2">
      <c r="B210" s="8" t="s">
        <v>989</v>
      </c>
      <c r="C210" s="63">
        <v>0.20599999999999999</v>
      </c>
    </row>
    <row r="211" spans="2:3" x14ac:dyDescent="0.2">
      <c r="B211" s="8" t="s">
        <v>973</v>
      </c>
      <c r="C211" s="63">
        <v>0.20499999999999999</v>
      </c>
    </row>
    <row r="212" spans="2:3" x14ac:dyDescent="0.2">
      <c r="B212" s="8" t="s">
        <v>1032</v>
      </c>
      <c r="C212" s="63">
        <v>0.20300000000000001</v>
      </c>
    </row>
    <row r="213" spans="2:3" x14ac:dyDescent="0.2">
      <c r="B213" s="8" t="s">
        <v>1024</v>
      </c>
      <c r="C213" s="63">
        <v>0.20200000000000001</v>
      </c>
    </row>
    <row r="214" spans="2:3" x14ac:dyDescent="0.2">
      <c r="B214" s="8" t="s">
        <v>680</v>
      </c>
      <c r="C214" s="63">
        <v>0.2</v>
      </c>
    </row>
    <row r="215" spans="2:3" x14ac:dyDescent="0.2">
      <c r="B215" s="8" t="s">
        <v>765</v>
      </c>
      <c r="C215" s="63">
        <v>0.2</v>
      </c>
    </row>
    <row r="216" spans="2:3" x14ac:dyDescent="0.2">
      <c r="B216" s="8" t="s">
        <v>947</v>
      </c>
      <c r="C216" s="63">
        <v>0.2</v>
      </c>
    </row>
    <row r="217" spans="2:3" x14ac:dyDescent="0.2">
      <c r="B217" s="8" t="s">
        <v>657</v>
      </c>
      <c r="C217" s="63">
        <v>0.19900000000000001</v>
      </c>
    </row>
    <row r="218" spans="2:3" x14ac:dyDescent="0.2">
      <c r="B218" s="8" t="s">
        <v>927</v>
      </c>
      <c r="C218" s="63">
        <v>0.19900000000000001</v>
      </c>
    </row>
    <row r="219" spans="2:3" x14ac:dyDescent="0.2">
      <c r="B219" s="8" t="s">
        <v>729</v>
      </c>
      <c r="C219" s="63">
        <v>0.19500000000000001</v>
      </c>
    </row>
    <row r="220" spans="2:3" x14ac:dyDescent="0.2">
      <c r="B220" s="8" t="s">
        <v>911</v>
      </c>
      <c r="C220" s="63">
        <v>0.19500000000000001</v>
      </c>
    </row>
    <row r="221" spans="2:3" x14ac:dyDescent="0.2">
      <c r="B221" s="8" t="s">
        <v>797</v>
      </c>
      <c r="C221" s="63">
        <v>0.193</v>
      </c>
    </row>
    <row r="222" spans="2:3" x14ac:dyDescent="0.2">
      <c r="B222" s="8" t="s">
        <v>703</v>
      </c>
      <c r="C222" s="64">
        <v>0.192</v>
      </c>
    </row>
    <row r="223" spans="2:3" x14ac:dyDescent="0.2">
      <c r="B223" s="8" t="s">
        <v>644</v>
      </c>
      <c r="C223" s="63">
        <v>0.191</v>
      </c>
    </row>
    <row r="224" spans="2:3" x14ac:dyDescent="0.2">
      <c r="B224" s="8" t="s">
        <v>1004</v>
      </c>
      <c r="C224" s="63">
        <v>0.188</v>
      </c>
    </row>
    <row r="225" spans="2:3" x14ac:dyDescent="0.2">
      <c r="B225" s="8" t="s">
        <v>686</v>
      </c>
      <c r="C225" s="63">
        <v>0.187</v>
      </c>
    </row>
    <row r="226" spans="2:3" x14ac:dyDescent="0.2">
      <c r="B226" s="8" t="s">
        <v>764</v>
      </c>
      <c r="C226" s="63">
        <v>0.187</v>
      </c>
    </row>
    <row r="227" spans="2:3" x14ac:dyDescent="0.2">
      <c r="B227" s="8" t="s">
        <v>868</v>
      </c>
      <c r="C227" s="63">
        <v>0.187</v>
      </c>
    </row>
    <row r="228" spans="2:3" x14ac:dyDescent="0.2">
      <c r="B228" s="8" t="s">
        <v>952</v>
      </c>
      <c r="C228" s="63">
        <v>0.187</v>
      </c>
    </row>
    <row r="229" spans="2:3" x14ac:dyDescent="0.2">
      <c r="B229" s="8" t="s">
        <v>573</v>
      </c>
      <c r="C229" s="63">
        <v>0.185</v>
      </c>
    </row>
    <row r="230" spans="2:3" x14ac:dyDescent="0.2">
      <c r="B230" s="8" t="s">
        <v>673</v>
      </c>
      <c r="C230" s="63">
        <v>0.185</v>
      </c>
    </row>
    <row r="231" spans="2:3" x14ac:dyDescent="0.2">
      <c r="B231" s="8" t="s">
        <v>555</v>
      </c>
      <c r="C231" s="63">
        <v>0.184</v>
      </c>
    </row>
    <row r="232" spans="2:3" x14ac:dyDescent="0.2">
      <c r="B232" s="8" t="s">
        <v>946</v>
      </c>
      <c r="C232" s="63">
        <v>0.183</v>
      </c>
    </row>
    <row r="233" spans="2:3" x14ac:dyDescent="0.2">
      <c r="B233" s="8" t="s">
        <v>664</v>
      </c>
      <c r="C233" s="63">
        <v>0.18099999999999999</v>
      </c>
    </row>
    <row r="234" spans="2:3" x14ac:dyDescent="0.2">
      <c r="B234" s="8" t="s">
        <v>971</v>
      </c>
      <c r="C234" s="63">
        <v>0.17899999999999999</v>
      </c>
    </row>
    <row r="235" spans="2:3" x14ac:dyDescent="0.2">
      <c r="B235" s="8" t="s">
        <v>579</v>
      </c>
      <c r="C235" s="63">
        <v>0.17799999999999999</v>
      </c>
    </row>
    <row r="236" spans="2:3" x14ac:dyDescent="0.2">
      <c r="B236" s="8" t="s">
        <v>926</v>
      </c>
      <c r="C236" s="63">
        <v>0.17699999999999999</v>
      </c>
    </row>
    <row r="237" spans="2:3" x14ac:dyDescent="0.2">
      <c r="B237" s="8" t="s">
        <v>935</v>
      </c>
      <c r="C237" s="63">
        <v>0.17699999999999999</v>
      </c>
    </row>
    <row r="238" spans="2:3" x14ac:dyDescent="0.2">
      <c r="B238" s="8" t="s">
        <v>979</v>
      </c>
      <c r="C238" s="63">
        <v>0.17599999999999999</v>
      </c>
    </row>
    <row r="239" spans="2:3" x14ac:dyDescent="0.2">
      <c r="B239" s="8" t="s">
        <v>380</v>
      </c>
      <c r="C239" s="63">
        <v>0.17499999999999999</v>
      </c>
    </row>
    <row r="240" spans="2:3" x14ac:dyDescent="0.2">
      <c r="B240" s="8" t="s">
        <v>897</v>
      </c>
      <c r="C240" s="63">
        <v>0.17499999999999999</v>
      </c>
    </row>
    <row r="241" spans="2:3" x14ac:dyDescent="0.2">
      <c r="B241" s="8" t="s">
        <v>718</v>
      </c>
      <c r="C241" s="63">
        <v>0.17399999999999999</v>
      </c>
    </row>
    <row r="242" spans="2:3" x14ac:dyDescent="0.2">
      <c r="B242" s="8" t="s">
        <v>949</v>
      </c>
      <c r="C242" s="63">
        <v>0.17399999999999999</v>
      </c>
    </row>
    <row r="243" spans="2:3" x14ac:dyDescent="0.2">
      <c r="B243" s="8" t="s">
        <v>933</v>
      </c>
      <c r="C243" s="63">
        <v>0.17299999999999999</v>
      </c>
    </row>
    <row r="244" spans="2:3" x14ac:dyDescent="0.2">
      <c r="B244" s="8" t="s">
        <v>944</v>
      </c>
      <c r="C244" s="63">
        <v>0.17299999999999999</v>
      </c>
    </row>
    <row r="245" spans="2:3" x14ac:dyDescent="0.2">
      <c r="B245" s="8" t="s">
        <v>768</v>
      </c>
      <c r="C245" s="63">
        <v>0.17199999999999999</v>
      </c>
    </row>
    <row r="246" spans="2:3" x14ac:dyDescent="0.2">
      <c r="B246" s="8" t="s">
        <v>838</v>
      </c>
      <c r="C246" s="63">
        <v>0.17199999999999999</v>
      </c>
    </row>
    <row r="247" spans="2:3" x14ac:dyDescent="0.2">
      <c r="B247" s="8" t="s">
        <v>982</v>
      </c>
      <c r="C247" s="63">
        <v>0.17199999999999999</v>
      </c>
    </row>
    <row r="248" spans="2:3" x14ac:dyDescent="0.2">
      <c r="B248" s="8" t="s">
        <v>813</v>
      </c>
      <c r="C248" s="63">
        <v>0.17</v>
      </c>
    </row>
    <row r="249" spans="2:3" x14ac:dyDescent="0.2">
      <c r="B249" s="8" t="s">
        <v>867</v>
      </c>
      <c r="C249" s="63">
        <v>0.17</v>
      </c>
    </row>
    <row r="250" spans="2:3" x14ac:dyDescent="0.2">
      <c r="B250" s="8" t="s">
        <v>907</v>
      </c>
      <c r="C250" s="63">
        <v>0.17</v>
      </c>
    </row>
    <row r="251" spans="2:3" x14ac:dyDescent="0.2">
      <c r="B251" s="8" t="s">
        <v>600</v>
      </c>
      <c r="C251" s="63">
        <v>0.16900000000000001</v>
      </c>
    </row>
    <row r="252" spans="2:3" x14ac:dyDescent="0.2">
      <c r="B252" s="8" t="s">
        <v>758</v>
      </c>
      <c r="C252" s="63">
        <v>0.16800000000000001</v>
      </c>
    </row>
    <row r="253" spans="2:3" x14ac:dyDescent="0.2">
      <c r="B253" s="8" t="s">
        <v>595</v>
      </c>
      <c r="C253" s="63">
        <v>0.16700000000000001</v>
      </c>
    </row>
    <row r="254" spans="2:3" x14ac:dyDescent="0.2">
      <c r="B254" s="8" t="s">
        <v>811</v>
      </c>
      <c r="C254" s="63">
        <v>0.16600000000000001</v>
      </c>
    </row>
    <row r="255" spans="2:3" x14ac:dyDescent="0.2">
      <c r="B255" s="8" t="s">
        <v>823</v>
      </c>
      <c r="C255" s="63">
        <v>0.16500000000000001</v>
      </c>
    </row>
    <row r="256" spans="2:3" x14ac:dyDescent="0.2">
      <c r="B256" s="8" t="s">
        <v>928</v>
      </c>
      <c r="C256" s="63">
        <v>0.16400000000000001</v>
      </c>
    </row>
    <row r="257" spans="2:3" x14ac:dyDescent="0.2">
      <c r="B257" s="8" t="s">
        <v>930</v>
      </c>
      <c r="C257" s="63">
        <v>0.16400000000000001</v>
      </c>
    </row>
    <row r="258" spans="2:3" x14ac:dyDescent="0.2">
      <c r="B258" s="8" t="s">
        <v>938</v>
      </c>
      <c r="C258" s="63">
        <v>0.16400000000000001</v>
      </c>
    </row>
    <row r="259" spans="2:3" x14ac:dyDescent="0.2">
      <c r="B259" s="8" t="s">
        <v>922</v>
      </c>
      <c r="C259" s="63">
        <v>0.16300000000000001</v>
      </c>
    </row>
    <row r="260" spans="2:3" x14ac:dyDescent="0.2">
      <c r="B260" s="8" t="s">
        <v>625</v>
      </c>
      <c r="C260" s="63">
        <v>0.161</v>
      </c>
    </row>
    <row r="261" spans="2:3" x14ac:dyDescent="0.2">
      <c r="B261" s="8" t="s">
        <v>886</v>
      </c>
      <c r="C261" s="63">
        <v>0.161</v>
      </c>
    </row>
    <row r="262" spans="2:3" x14ac:dyDescent="0.2">
      <c r="B262" s="8" t="s">
        <v>914</v>
      </c>
      <c r="C262" s="63">
        <v>0.161</v>
      </c>
    </row>
    <row r="263" spans="2:3" x14ac:dyDescent="0.2">
      <c r="B263" s="8" t="s">
        <v>918</v>
      </c>
      <c r="C263" s="63">
        <v>0.16</v>
      </c>
    </row>
    <row r="264" spans="2:3" x14ac:dyDescent="0.2">
      <c r="B264" s="8" t="s">
        <v>580</v>
      </c>
      <c r="C264" s="63">
        <v>0.158</v>
      </c>
    </row>
    <row r="265" spans="2:3" x14ac:dyDescent="0.2">
      <c r="B265" s="8" t="s">
        <v>785</v>
      </c>
      <c r="C265" s="63">
        <v>0.158</v>
      </c>
    </row>
    <row r="266" spans="2:3" x14ac:dyDescent="0.2">
      <c r="B266" s="8" t="s">
        <v>1028</v>
      </c>
      <c r="C266" s="63">
        <v>0.158</v>
      </c>
    </row>
    <row r="267" spans="2:3" x14ac:dyDescent="0.2">
      <c r="B267" s="8" t="s">
        <v>943</v>
      </c>
      <c r="C267" s="63">
        <v>0.158</v>
      </c>
    </row>
    <row r="268" spans="2:3" x14ac:dyDescent="0.2">
      <c r="B268" s="8" t="s">
        <v>584</v>
      </c>
      <c r="C268" s="63">
        <v>0.157</v>
      </c>
    </row>
    <row r="269" spans="2:3" x14ac:dyDescent="0.2">
      <c r="B269" s="8" t="s">
        <v>789</v>
      </c>
      <c r="C269" s="63">
        <v>0.157</v>
      </c>
    </row>
    <row r="270" spans="2:3" x14ac:dyDescent="0.2">
      <c r="B270" s="8" t="s">
        <v>996</v>
      </c>
      <c r="C270" s="63">
        <v>0.157</v>
      </c>
    </row>
    <row r="271" spans="2:3" x14ac:dyDescent="0.2">
      <c r="B271" s="8" t="s">
        <v>827</v>
      </c>
      <c r="C271" s="63">
        <v>0.156</v>
      </c>
    </row>
    <row r="272" spans="2:3" x14ac:dyDescent="0.2">
      <c r="B272" s="8" t="s">
        <v>333</v>
      </c>
      <c r="C272" s="63">
        <v>0.156</v>
      </c>
    </row>
    <row r="273" spans="2:3" x14ac:dyDescent="0.2">
      <c r="B273" s="8" t="s">
        <v>865</v>
      </c>
      <c r="C273" s="63">
        <v>0.156</v>
      </c>
    </row>
    <row r="274" spans="2:3" x14ac:dyDescent="0.2">
      <c r="B274" s="8" t="s">
        <v>654</v>
      </c>
      <c r="C274" s="63">
        <v>0.155</v>
      </c>
    </row>
    <row r="275" spans="2:3" x14ac:dyDescent="0.2">
      <c r="B275" s="8" t="s">
        <v>942</v>
      </c>
      <c r="C275" s="63">
        <v>0.155</v>
      </c>
    </row>
    <row r="276" spans="2:3" x14ac:dyDescent="0.2">
      <c r="B276" s="8" t="s">
        <v>701</v>
      </c>
      <c r="C276" s="63">
        <v>0.153</v>
      </c>
    </row>
    <row r="277" spans="2:3" x14ac:dyDescent="0.2">
      <c r="B277" s="8" t="s">
        <v>1010</v>
      </c>
      <c r="C277" s="63">
        <v>0.152</v>
      </c>
    </row>
    <row r="278" spans="2:3" x14ac:dyDescent="0.2">
      <c r="B278" s="8" t="s">
        <v>736</v>
      </c>
      <c r="C278" s="63">
        <v>0.151</v>
      </c>
    </row>
    <row r="279" spans="2:3" x14ac:dyDescent="0.2">
      <c r="B279" s="8" t="s">
        <v>624</v>
      </c>
      <c r="C279" s="63">
        <v>0.15</v>
      </c>
    </row>
    <row r="280" spans="2:3" x14ac:dyDescent="0.2">
      <c r="B280" s="8" t="s">
        <v>704</v>
      </c>
      <c r="C280" s="64">
        <v>0.15</v>
      </c>
    </row>
    <row r="281" spans="2:3" x14ac:dyDescent="0.2">
      <c r="B281" s="8" t="s">
        <v>708</v>
      </c>
      <c r="C281" s="63">
        <v>0.15</v>
      </c>
    </row>
    <row r="282" spans="2:3" x14ac:dyDescent="0.2">
      <c r="B282" s="8" t="s">
        <v>805</v>
      </c>
      <c r="C282" s="64">
        <v>0.14799999999999999</v>
      </c>
    </row>
    <row r="283" spans="2:3" x14ac:dyDescent="0.2">
      <c r="B283" s="8" t="s">
        <v>617</v>
      </c>
      <c r="C283" s="63">
        <v>0.14699999999999999</v>
      </c>
    </row>
    <row r="284" spans="2:3" x14ac:dyDescent="0.2">
      <c r="B284" s="8" t="s">
        <v>958</v>
      </c>
      <c r="C284" s="63">
        <v>0.14699999999999999</v>
      </c>
    </row>
    <row r="285" spans="2:3" x14ac:dyDescent="0.2">
      <c r="B285" s="8" t="s">
        <v>968</v>
      </c>
      <c r="C285" s="63">
        <v>0.14699999999999999</v>
      </c>
    </row>
    <row r="286" spans="2:3" x14ac:dyDescent="0.2">
      <c r="B286" s="8" t="s">
        <v>685</v>
      </c>
      <c r="C286" s="64">
        <v>0.14499999999999999</v>
      </c>
    </row>
    <row r="287" spans="2:3" x14ac:dyDescent="0.2">
      <c r="B287" s="8" t="s">
        <v>774</v>
      </c>
      <c r="C287" s="63">
        <v>0.14499999999999999</v>
      </c>
    </row>
    <row r="288" spans="2:3" x14ac:dyDescent="0.2">
      <c r="B288" s="8" t="s">
        <v>806</v>
      </c>
      <c r="C288" s="63">
        <v>0.14499999999999999</v>
      </c>
    </row>
    <row r="289" spans="2:3" x14ac:dyDescent="0.2">
      <c r="B289" s="8" t="s">
        <v>863</v>
      </c>
      <c r="C289" s="63">
        <v>0.14499999999999999</v>
      </c>
    </row>
    <row r="290" spans="2:3" x14ac:dyDescent="0.2">
      <c r="B290" s="8" t="s">
        <v>582</v>
      </c>
      <c r="C290" s="63">
        <v>0.14399999999999999</v>
      </c>
    </row>
    <row r="291" spans="2:3" x14ac:dyDescent="0.2">
      <c r="B291" s="8" t="s">
        <v>899</v>
      </c>
      <c r="C291" s="63">
        <v>0.14399999999999999</v>
      </c>
    </row>
    <row r="292" spans="2:3" x14ac:dyDescent="0.2">
      <c r="B292" s="8" t="s">
        <v>953</v>
      </c>
      <c r="C292" s="63">
        <v>0.14399999999999999</v>
      </c>
    </row>
    <row r="293" spans="2:3" x14ac:dyDescent="0.2">
      <c r="B293" s="8" t="s">
        <v>556</v>
      </c>
      <c r="C293" s="63">
        <v>0.14299999999999999</v>
      </c>
    </row>
    <row r="294" spans="2:3" x14ac:dyDescent="0.2">
      <c r="B294" s="8" t="s">
        <v>815</v>
      </c>
      <c r="C294" s="63">
        <v>0.14199999999999999</v>
      </c>
    </row>
    <row r="295" spans="2:3" x14ac:dyDescent="0.2">
      <c r="B295" s="8" t="s">
        <v>893</v>
      </c>
      <c r="C295" s="64">
        <v>0.14199999999999999</v>
      </c>
    </row>
    <row r="296" spans="2:3" x14ac:dyDescent="0.2">
      <c r="B296" s="8" t="s">
        <v>636</v>
      </c>
      <c r="C296" s="63">
        <v>0.14000000000000001</v>
      </c>
    </row>
    <row r="297" spans="2:3" x14ac:dyDescent="0.2">
      <c r="B297" s="8" t="s">
        <v>616</v>
      </c>
      <c r="C297" s="63">
        <v>0.13900000000000001</v>
      </c>
    </row>
    <row r="298" spans="2:3" x14ac:dyDescent="0.2">
      <c r="B298" s="8" t="s">
        <v>681</v>
      </c>
      <c r="C298" s="63">
        <v>0.13900000000000001</v>
      </c>
    </row>
    <row r="299" spans="2:3" x14ac:dyDescent="0.2">
      <c r="B299" s="8" t="s">
        <v>566</v>
      </c>
      <c r="C299" s="63">
        <v>0.13800000000000001</v>
      </c>
    </row>
    <row r="300" spans="2:3" x14ac:dyDescent="0.2">
      <c r="B300" s="8" t="s">
        <v>694</v>
      </c>
      <c r="C300" s="63">
        <v>0.13800000000000001</v>
      </c>
    </row>
    <row r="301" spans="2:3" x14ac:dyDescent="0.2">
      <c r="B301" s="8" t="s">
        <v>832</v>
      </c>
      <c r="C301" s="63">
        <v>0.13800000000000001</v>
      </c>
    </row>
    <row r="302" spans="2:3" x14ac:dyDescent="0.2">
      <c r="B302" s="8" t="s">
        <v>623</v>
      </c>
      <c r="C302" s="64">
        <v>0.13700000000000001</v>
      </c>
    </row>
    <row r="303" spans="2:3" x14ac:dyDescent="0.2">
      <c r="B303" s="8" t="s">
        <v>678</v>
      </c>
      <c r="C303" s="63">
        <v>0.13600000000000001</v>
      </c>
    </row>
    <row r="304" spans="2:3" x14ac:dyDescent="0.2">
      <c r="B304" s="8" t="s">
        <v>853</v>
      </c>
      <c r="C304" s="63">
        <v>0.13600000000000001</v>
      </c>
    </row>
    <row r="305" spans="2:3" x14ac:dyDescent="0.2">
      <c r="B305" s="8" t="s">
        <v>941</v>
      </c>
      <c r="C305" s="63">
        <v>0.13600000000000001</v>
      </c>
    </row>
    <row r="306" spans="2:3" x14ac:dyDescent="0.2">
      <c r="B306" s="8" t="s">
        <v>976</v>
      </c>
      <c r="C306" s="63">
        <v>0.13600000000000001</v>
      </c>
    </row>
    <row r="307" spans="2:3" x14ac:dyDescent="0.2">
      <c r="B307" s="8" t="s">
        <v>643</v>
      </c>
      <c r="C307" s="63">
        <v>0.13400000000000001</v>
      </c>
    </row>
    <row r="308" spans="2:3" x14ac:dyDescent="0.2">
      <c r="B308" s="8" t="s">
        <v>791</v>
      </c>
      <c r="C308" s="64">
        <v>0.13400000000000001</v>
      </c>
    </row>
    <row r="309" spans="2:3" x14ac:dyDescent="0.2">
      <c r="B309" s="8" t="s">
        <v>987</v>
      </c>
      <c r="C309" s="63">
        <v>0.13400000000000001</v>
      </c>
    </row>
    <row r="310" spans="2:3" x14ac:dyDescent="0.2">
      <c r="B310" s="8" t="s">
        <v>884</v>
      </c>
      <c r="C310" s="63">
        <v>0.13300000000000001</v>
      </c>
    </row>
    <row r="311" spans="2:3" x14ac:dyDescent="0.2">
      <c r="B311" s="8" t="s">
        <v>1003</v>
      </c>
      <c r="C311" s="63">
        <v>0.13300000000000001</v>
      </c>
    </row>
    <row r="312" spans="2:3" x14ac:dyDescent="0.2">
      <c r="B312" s="8" t="s">
        <v>1011</v>
      </c>
      <c r="C312" s="63">
        <v>0.13300000000000001</v>
      </c>
    </row>
    <row r="313" spans="2:3" x14ac:dyDescent="0.2">
      <c r="B313" s="8" t="s">
        <v>561</v>
      </c>
      <c r="C313" s="63">
        <v>0.13200000000000001</v>
      </c>
    </row>
    <row r="314" spans="2:3" x14ac:dyDescent="0.2">
      <c r="B314" s="8" t="s">
        <v>614</v>
      </c>
      <c r="C314" s="63">
        <v>0.13200000000000001</v>
      </c>
    </row>
    <row r="315" spans="2:3" x14ac:dyDescent="0.2">
      <c r="B315" s="8" t="s">
        <v>1025</v>
      </c>
      <c r="C315" s="63">
        <v>0.13200000000000001</v>
      </c>
    </row>
    <row r="316" spans="2:3" x14ac:dyDescent="0.2">
      <c r="B316" s="8" t="s">
        <v>655</v>
      </c>
      <c r="C316" s="63">
        <v>0.13100000000000001</v>
      </c>
    </row>
    <row r="317" spans="2:3" x14ac:dyDescent="0.2">
      <c r="B317" s="8" t="s">
        <v>692</v>
      </c>
      <c r="C317" s="63">
        <v>0.13</v>
      </c>
    </row>
    <row r="318" spans="2:3" x14ac:dyDescent="0.2">
      <c r="B318" s="8" t="s">
        <v>757</v>
      </c>
      <c r="C318" s="63">
        <v>0.13</v>
      </c>
    </row>
    <row r="319" spans="2:3" x14ac:dyDescent="0.2">
      <c r="B319" s="8" t="s">
        <v>801</v>
      </c>
      <c r="C319" s="64">
        <v>0.13</v>
      </c>
    </row>
    <row r="320" spans="2:3" x14ac:dyDescent="0.2">
      <c r="B320" s="8" t="s">
        <v>969</v>
      </c>
      <c r="C320" s="63">
        <v>0.13</v>
      </c>
    </row>
    <row r="321" spans="2:3" x14ac:dyDescent="0.2">
      <c r="B321" s="8" t="s">
        <v>776</v>
      </c>
      <c r="C321" s="63">
        <v>0.129</v>
      </c>
    </row>
    <row r="322" spans="2:3" x14ac:dyDescent="0.2">
      <c r="B322" s="8" t="s">
        <v>869</v>
      </c>
      <c r="C322" s="64">
        <v>0.129</v>
      </c>
    </row>
    <row r="323" spans="2:3" x14ac:dyDescent="0.2">
      <c r="B323" s="8" t="s">
        <v>1009</v>
      </c>
      <c r="C323" s="63">
        <v>0.129</v>
      </c>
    </row>
    <row r="324" spans="2:3" x14ac:dyDescent="0.2">
      <c r="B324" s="8" t="s">
        <v>818</v>
      </c>
      <c r="C324" s="63">
        <v>0.128</v>
      </c>
    </row>
    <row r="325" spans="2:3" x14ac:dyDescent="0.2">
      <c r="B325" s="8" t="s">
        <v>706</v>
      </c>
      <c r="C325" s="63">
        <v>0.127</v>
      </c>
    </row>
    <row r="326" spans="2:3" x14ac:dyDescent="0.2">
      <c r="B326" s="8" t="s">
        <v>745</v>
      </c>
      <c r="C326" s="64">
        <v>0.127</v>
      </c>
    </row>
    <row r="327" spans="2:3" x14ac:dyDescent="0.2">
      <c r="B327" s="8" t="s">
        <v>759</v>
      </c>
      <c r="C327" s="63">
        <v>0.127</v>
      </c>
    </row>
    <row r="328" spans="2:3" x14ac:dyDescent="0.2">
      <c r="B328" s="8" t="s">
        <v>639</v>
      </c>
      <c r="C328" s="63">
        <v>0.126</v>
      </c>
    </row>
    <row r="329" spans="2:3" x14ac:dyDescent="0.2">
      <c r="B329" s="8" t="s">
        <v>824</v>
      </c>
      <c r="C329" s="63">
        <v>0.126</v>
      </c>
    </row>
    <row r="330" spans="2:3" x14ac:dyDescent="0.2">
      <c r="B330" s="8" t="s">
        <v>864</v>
      </c>
      <c r="C330" s="63">
        <v>0.125</v>
      </c>
    </row>
    <row r="331" spans="2:3" x14ac:dyDescent="0.2">
      <c r="B331" s="8" t="s">
        <v>910</v>
      </c>
      <c r="C331" s="63">
        <v>0.125</v>
      </c>
    </row>
    <row r="332" spans="2:3" x14ac:dyDescent="0.2">
      <c r="B332" s="8" t="s">
        <v>641</v>
      </c>
      <c r="C332" s="63">
        <v>0.124</v>
      </c>
    </row>
    <row r="333" spans="2:3" x14ac:dyDescent="0.2">
      <c r="B333" s="8" t="s">
        <v>991</v>
      </c>
      <c r="C333" s="63">
        <v>0.124</v>
      </c>
    </row>
    <row r="334" spans="2:3" x14ac:dyDescent="0.2">
      <c r="B334" s="8" t="s">
        <v>829</v>
      </c>
      <c r="C334" s="63">
        <v>0.123</v>
      </c>
    </row>
    <row r="335" spans="2:3" x14ac:dyDescent="0.2">
      <c r="B335" s="8" t="s">
        <v>809</v>
      </c>
      <c r="C335" s="63">
        <v>0.122</v>
      </c>
    </row>
    <row r="336" spans="2:3" x14ac:dyDescent="0.2">
      <c r="B336" s="8" t="s">
        <v>921</v>
      </c>
      <c r="C336" s="63">
        <v>0.122</v>
      </c>
    </row>
    <row r="337" spans="2:3" x14ac:dyDescent="0.2">
      <c r="B337" s="8" t="s">
        <v>733</v>
      </c>
      <c r="C337" s="63">
        <v>0.121</v>
      </c>
    </row>
    <row r="338" spans="2:3" x14ac:dyDescent="0.2">
      <c r="B338" s="8" t="s">
        <v>817</v>
      </c>
      <c r="C338" s="63">
        <v>0.121</v>
      </c>
    </row>
    <row r="339" spans="2:3" x14ac:dyDescent="0.2">
      <c r="B339" s="8" t="s">
        <v>908</v>
      </c>
      <c r="C339" s="64">
        <v>0.121</v>
      </c>
    </row>
    <row r="340" spans="2:3" x14ac:dyDescent="0.2">
      <c r="B340" s="8" t="s">
        <v>932</v>
      </c>
      <c r="C340" s="63">
        <v>0.11899999999999999</v>
      </c>
    </row>
    <row r="341" spans="2:3" x14ac:dyDescent="0.2">
      <c r="B341" s="8" t="s">
        <v>961</v>
      </c>
      <c r="C341" s="63">
        <v>0.11899999999999999</v>
      </c>
    </row>
    <row r="342" spans="2:3" x14ac:dyDescent="0.2">
      <c r="B342" s="8" t="s">
        <v>577</v>
      </c>
      <c r="C342" s="63">
        <v>0.11700000000000001</v>
      </c>
    </row>
    <row r="343" spans="2:3" x14ac:dyDescent="0.2">
      <c r="B343" s="8" t="s">
        <v>608</v>
      </c>
      <c r="C343" s="63">
        <v>0.11700000000000001</v>
      </c>
    </row>
    <row r="344" spans="2:3" x14ac:dyDescent="0.2">
      <c r="B344" s="8" t="s">
        <v>804</v>
      </c>
      <c r="C344" s="63">
        <v>0.11700000000000001</v>
      </c>
    </row>
    <row r="345" spans="2:3" x14ac:dyDescent="0.2">
      <c r="B345" s="8" t="s">
        <v>675</v>
      </c>
      <c r="C345" s="63">
        <v>0.11600000000000001</v>
      </c>
    </row>
    <row r="346" spans="2:3" x14ac:dyDescent="0.2">
      <c r="B346" s="8" t="s">
        <v>773</v>
      </c>
      <c r="C346" s="63">
        <v>0.11600000000000001</v>
      </c>
    </row>
    <row r="347" spans="2:3" x14ac:dyDescent="0.2">
      <c r="B347" s="8" t="s">
        <v>959</v>
      </c>
      <c r="C347" s="64">
        <v>0.11600000000000001</v>
      </c>
    </row>
    <row r="348" spans="2:3" x14ac:dyDescent="0.2">
      <c r="B348" s="8" t="s">
        <v>690</v>
      </c>
      <c r="C348" s="63">
        <v>0.115</v>
      </c>
    </row>
    <row r="349" spans="2:3" x14ac:dyDescent="0.2">
      <c r="B349" s="8" t="s">
        <v>353</v>
      </c>
      <c r="C349" s="64">
        <v>0.115</v>
      </c>
    </row>
    <row r="350" spans="2:3" x14ac:dyDescent="0.2">
      <c r="B350" s="8" t="s">
        <v>610</v>
      </c>
      <c r="C350" s="63">
        <v>0.114</v>
      </c>
    </row>
    <row r="351" spans="2:3" x14ac:dyDescent="0.2">
      <c r="B351" s="8" t="s">
        <v>779</v>
      </c>
      <c r="C351" s="63">
        <v>0.114</v>
      </c>
    </row>
    <row r="352" spans="2:3" x14ac:dyDescent="0.2">
      <c r="B352" s="8" t="s">
        <v>835</v>
      </c>
      <c r="C352" s="63">
        <v>0.114</v>
      </c>
    </row>
    <row r="353" spans="2:3" x14ac:dyDescent="0.2">
      <c r="B353" s="8" t="s">
        <v>645</v>
      </c>
      <c r="C353" s="63">
        <v>0.112</v>
      </c>
    </row>
    <row r="354" spans="2:3" x14ac:dyDescent="0.2">
      <c r="B354" s="8" t="s">
        <v>724</v>
      </c>
      <c r="C354" s="63">
        <v>0.112</v>
      </c>
    </row>
    <row r="355" spans="2:3" x14ac:dyDescent="0.2">
      <c r="B355" s="8" t="s">
        <v>861</v>
      </c>
      <c r="C355" s="63">
        <v>0.112</v>
      </c>
    </row>
    <row r="356" spans="2:3" x14ac:dyDescent="0.2">
      <c r="B356" s="8" t="s">
        <v>995</v>
      </c>
      <c r="C356" s="63">
        <v>0.112</v>
      </c>
    </row>
    <row r="357" spans="2:3" x14ac:dyDescent="0.2">
      <c r="B357" s="8" t="s">
        <v>638</v>
      </c>
      <c r="C357" s="63">
        <v>0.111</v>
      </c>
    </row>
    <row r="358" spans="2:3" x14ac:dyDescent="0.2">
      <c r="B358" s="8" t="s">
        <v>648</v>
      </c>
      <c r="C358" s="63">
        <v>0.111</v>
      </c>
    </row>
    <row r="359" spans="2:3" x14ac:dyDescent="0.2">
      <c r="B359" s="8" t="s">
        <v>698</v>
      </c>
      <c r="C359" s="63">
        <v>0.111</v>
      </c>
    </row>
    <row r="360" spans="2:3" x14ac:dyDescent="0.2">
      <c r="B360" s="8" t="s">
        <v>723</v>
      </c>
      <c r="C360" s="64">
        <v>0.111</v>
      </c>
    </row>
    <row r="361" spans="2:3" x14ac:dyDescent="0.2">
      <c r="B361" s="8" t="s">
        <v>839</v>
      </c>
      <c r="C361" s="63">
        <v>0.111</v>
      </c>
    </row>
    <row r="362" spans="2:3" x14ac:dyDescent="0.2">
      <c r="B362" s="8" t="s">
        <v>967</v>
      </c>
      <c r="C362" s="64">
        <v>0.111</v>
      </c>
    </row>
    <row r="363" spans="2:3" x14ac:dyDescent="0.2">
      <c r="B363" s="8" t="s">
        <v>710</v>
      </c>
      <c r="C363" s="64">
        <v>0.11</v>
      </c>
    </row>
    <row r="364" spans="2:3" x14ac:dyDescent="0.2">
      <c r="B364" s="8" t="s">
        <v>1006</v>
      </c>
      <c r="C364" s="63">
        <v>0.109</v>
      </c>
    </row>
    <row r="365" spans="2:3" x14ac:dyDescent="0.2">
      <c r="B365" s="8" t="s">
        <v>564</v>
      </c>
      <c r="C365" s="63">
        <v>0.108</v>
      </c>
    </row>
    <row r="366" spans="2:3" x14ac:dyDescent="0.2">
      <c r="B366" s="8" t="s">
        <v>597</v>
      </c>
      <c r="C366" s="63">
        <v>0.108</v>
      </c>
    </row>
    <row r="367" spans="2:3" x14ac:dyDescent="0.2">
      <c r="B367" s="8" t="s">
        <v>709</v>
      </c>
      <c r="C367" s="63">
        <v>0.108</v>
      </c>
    </row>
    <row r="368" spans="2:3" x14ac:dyDescent="0.2">
      <c r="B368" s="8" t="s">
        <v>767</v>
      </c>
      <c r="C368" s="63">
        <v>0.108</v>
      </c>
    </row>
    <row r="369" spans="2:3" x14ac:dyDescent="0.2">
      <c r="B369" s="8" t="s">
        <v>626</v>
      </c>
      <c r="C369" s="63">
        <v>0.107</v>
      </c>
    </row>
    <row r="370" spans="2:3" x14ac:dyDescent="0.2">
      <c r="B370" s="8" t="s">
        <v>880</v>
      </c>
      <c r="C370" s="63">
        <v>0.107</v>
      </c>
    </row>
    <row r="371" spans="2:3" x14ac:dyDescent="0.2">
      <c r="B371" s="8" t="s">
        <v>682</v>
      </c>
      <c r="C371" s="63">
        <v>0.105</v>
      </c>
    </row>
    <row r="372" spans="2:3" x14ac:dyDescent="0.2">
      <c r="B372" s="8" t="s">
        <v>760</v>
      </c>
      <c r="C372" s="63">
        <v>0.105</v>
      </c>
    </row>
    <row r="373" spans="2:3" x14ac:dyDescent="0.2">
      <c r="B373" s="8" t="s">
        <v>882</v>
      </c>
      <c r="C373" s="63">
        <v>0.105</v>
      </c>
    </row>
    <row r="374" spans="2:3" x14ac:dyDescent="0.2">
      <c r="B374" s="8" t="s">
        <v>985</v>
      </c>
      <c r="C374" s="63">
        <v>0.105</v>
      </c>
    </row>
    <row r="375" spans="2:3" x14ac:dyDescent="0.2">
      <c r="B375" s="8" t="s">
        <v>668</v>
      </c>
      <c r="C375" s="63">
        <v>0.104</v>
      </c>
    </row>
    <row r="376" spans="2:3" x14ac:dyDescent="0.2">
      <c r="B376" s="8" t="s">
        <v>860</v>
      </c>
      <c r="C376" s="63">
        <v>0.104</v>
      </c>
    </row>
    <row r="377" spans="2:3" x14ac:dyDescent="0.2">
      <c r="B377" s="8" t="s">
        <v>741</v>
      </c>
      <c r="C377" s="63">
        <v>0.10299999999999999</v>
      </c>
    </row>
    <row r="378" spans="2:3" x14ac:dyDescent="0.2">
      <c r="B378" s="8" t="s">
        <v>802</v>
      </c>
      <c r="C378" s="63">
        <v>0.10299999999999999</v>
      </c>
    </row>
    <row r="379" spans="2:3" x14ac:dyDescent="0.2">
      <c r="B379" s="8" t="s">
        <v>784</v>
      </c>
      <c r="C379" s="63">
        <v>0.10199999999999999</v>
      </c>
    </row>
    <row r="380" spans="2:3" x14ac:dyDescent="0.2">
      <c r="B380" s="8" t="s">
        <v>1018</v>
      </c>
      <c r="C380" s="8">
        <v>0.10199999999999999</v>
      </c>
    </row>
    <row r="381" spans="2:3" x14ac:dyDescent="0.2">
      <c r="B381" s="8" t="s">
        <v>807</v>
      </c>
      <c r="C381" s="63">
        <v>0.10100000000000001</v>
      </c>
    </row>
    <row r="382" spans="2:3" x14ac:dyDescent="0.2">
      <c r="B382" s="8" t="s">
        <v>845</v>
      </c>
      <c r="C382" s="63">
        <v>0.10100000000000001</v>
      </c>
    </row>
    <row r="383" spans="2:3" x14ac:dyDescent="0.2">
      <c r="B383" s="8" t="s">
        <v>912</v>
      </c>
      <c r="C383" s="63">
        <v>0.1</v>
      </c>
    </row>
    <row r="384" spans="2:3" x14ac:dyDescent="0.2">
      <c r="B384" s="8" t="s">
        <v>966</v>
      </c>
      <c r="C384" s="63">
        <v>9.9900000000000003E-2</v>
      </c>
    </row>
    <row r="385" spans="2:3" x14ac:dyDescent="0.2">
      <c r="B385" s="8" t="s">
        <v>924</v>
      </c>
      <c r="C385" s="63">
        <v>9.9699999999999997E-2</v>
      </c>
    </row>
    <row r="386" spans="2:3" x14ac:dyDescent="0.2">
      <c r="B386" s="8" t="s">
        <v>693</v>
      </c>
      <c r="C386" s="63">
        <v>9.8100000000000007E-2</v>
      </c>
    </row>
    <row r="387" spans="2:3" x14ac:dyDescent="0.2">
      <c r="B387" s="8" t="s">
        <v>688</v>
      </c>
      <c r="C387" s="63">
        <v>9.7900000000000001E-2</v>
      </c>
    </row>
    <row r="388" spans="2:3" x14ac:dyDescent="0.2">
      <c r="B388" s="8" t="s">
        <v>878</v>
      </c>
      <c r="C388" s="63">
        <v>9.7699999999999995E-2</v>
      </c>
    </row>
    <row r="389" spans="2:3" x14ac:dyDescent="0.2">
      <c r="B389" s="8" t="s">
        <v>1000</v>
      </c>
      <c r="C389" s="63">
        <v>9.7699999999999995E-2</v>
      </c>
    </row>
    <row r="390" spans="2:3" x14ac:dyDescent="0.2">
      <c r="B390" s="8" t="s">
        <v>990</v>
      </c>
      <c r="C390" s="63">
        <v>9.5699999999999993E-2</v>
      </c>
    </row>
    <row r="391" spans="2:3" x14ac:dyDescent="0.2">
      <c r="B391" s="8" t="s">
        <v>622</v>
      </c>
      <c r="C391" s="63">
        <v>9.5399999999999999E-2</v>
      </c>
    </row>
    <row r="392" spans="2:3" x14ac:dyDescent="0.2">
      <c r="B392" s="8" t="s">
        <v>581</v>
      </c>
      <c r="C392" s="63">
        <v>9.5100000000000004E-2</v>
      </c>
    </row>
    <row r="393" spans="2:3" x14ac:dyDescent="0.2">
      <c r="B393" s="8" t="s">
        <v>904</v>
      </c>
      <c r="C393" s="63">
        <v>9.4700000000000006E-2</v>
      </c>
    </row>
    <row r="394" spans="2:3" x14ac:dyDescent="0.2">
      <c r="B394" s="8" t="s">
        <v>672</v>
      </c>
      <c r="C394" s="63">
        <v>9.3600000000000003E-2</v>
      </c>
    </row>
    <row r="395" spans="2:3" x14ac:dyDescent="0.2">
      <c r="B395" s="8" t="s">
        <v>715</v>
      </c>
      <c r="C395" s="64">
        <v>9.3299999999999994E-2</v>
      </c>
    </row>
    <row r="396" spans="2:3" x14ac:dyDescent="0.2">
      <c r="B396" s="8" t="s">
        <v>906</v>
      </c>
      <c r="C396" s="63">
        <v>9.1300000000000006E-2</v>
      </c>
    </row>
    <row r="397" spans="2:3" x14ac:dyDescent="0.2">
      <c r="B397" s="8" t="s">
        <v>619</v>
      </c>
      <c r="C397" s="63">
        <v>9.1200000000000003E-2</v>
      </c>
    </row>
    <row r="398" spans="2:3" x14ac:dyDescent="0.2">
      <c r="B398" s="8" t="s">
        <v>652</v>
      </c>
      <c r="C398" s="63">
        <v>8.9599999999999999E-2</v>
      </c>
    </row>
    <row r="399" spans="2:3" x14ac:dyDescent="0.2">
      <c r="B399" s="8" t="s">
        <v>974</v>
      </c>
      <c r="C399" s="63">
        <v>8.9300000000000004E-2</v>
      </c>
    </row>
    <row r="400" spans="2:3" x14ac:dyDescent="0.2">
      <c r="B400" s="8" t="s">
        <v>794</v>
      </c>
      <c r="C400" s="63">
        <v>8.8999999999999996E-2</v>
      </c>
    </row>
    <row r="401" spans="2:3" x14ac:dyDescent="0.2">
      <c r="B401" s="8" t="s">
        <v>830</v>
      </c>
      <c r="C401" s="63">
        <v>8.8900000000000007E-2</v>
      </c>
    </row>
    <row r="402" spans="2:3" x14ac:dyDescent="0.2">
      <c r="B402" s="8" t="s">
        <v>748</v>
      </c>
      <c r="C402" s="64">
        <v>8.8599999999999998E-2</v>
      </c>
    </row>
    <row r="403" spans="2:3" x14ac:dyDescent="0.2">
      <c r="B403" s="8" t="s">
        <v>691</v>
      </c>
      <c r="C403" s="63">
        <v>8.7599999999999997E-2</v>
      </c>
    </row>
    <row r="404" spans="2:3" x14ac:dyDescent="0.2">
      <c r="B404" s="8" t="s">
        <v>819</v>
      </c>
      <c r="C404" s="63">
        <v>8.72E-2</v>
      </c>
    </row>
    <row r="405" spans="2:3" x14ac:dyDescent="0.2">
      <c r="B405" s="8" t="s">
        <v>954</v>
      </c>
      <c r="C405" s="63">
        <v>8.5300000000000001E-2</v>
      </c>
    </row>
    <row r="406" spans="2:3" x14ac:dyDescent="0.2">
      <c r="B406" s="8" t="s">
        <v>848</v>
      </c>
      <c r="C406" s="63">
        <v>8.4000000000000005E-2</v>
      </c>
    </row>
    <row r="407" spans="2:3" x14ac:dyDescent="0.2">
      <c r="B407" s="8" t="s">
        <v>707</v>
      </c>
      <c r="C407" s="63">
        <v>8.3599999999999994E-2</v>
      </c>
    </row>
    <row r="408" spans="2:3" x14ac:dyDescent="0.2">
      <c r="B408" s="8" t="s">
        <v>567</v>
      </c>
      <c r="C408" s="63">
        <v>8.2000000000000003E-2</v>
      </c>
    </row>
    <row r="409" spans="2:3" x14ac:dyDescent="0.2">
      <c r="B409" s="8" t="s">
        <v>727</v>
      </c>
      <c r="C409" s="63">
        <v>8.1699999999999995E-2</v>
      </c>
    </row>
    <row r="410" spans="2:3" x14ac:dyDescent="0.2">
      <c r="B410" s="8" t="s">
        <v>630</v>
      </c>
      <c r="C410" s="63">
        <v>8.0500000000000002E-2</v>
      </c>
    </row>
    <row r="411" spans="2:3" x14ac:dyDescent="0.2">
      <c r="B411" s="8" t="s">
        <v>777</v>
      </c>
      <c r="C411" s="64">
        <v>8.0299999999999996E-2</v>
      </c>
    </row>
    <row r="412" spans="2:3" x14ac:dyDescent="0.2">
      <c r="B412" s="8" t="s">
        <v>661</v>
      </c>
      <c r="C412" s="63">
        <v>7.9699999999999993E-2</v>
      </c>
    </row>
    <row r="413" spans="2:3" x14ac:dyDescent="0.2">
      <c r="B413" s="8" t="s">
        <v>717</v>
      </c>
      <c r="C413" s="64">
        <v>7.7799999999999994E-2</v>
      </c>
    </row>
    <row r="414" spans="2:3" x14ac:dyDescent="0.2">
      <c r="B414" s="8" t="s">
        <v>730</v>
      </c>
      <c r="C414" s="64">
        <v>7.5700000000000003E-2</v>
      </c>
    </row>
    <row r="415" spans="2:3" x14ac:dyDescent="0.2">
      <c r="B415" s="8" t="s">
        <v>834</v>
      </c>
      <c r="C415" s="63">
        <v>7.5700000000000003E-2</v>
      </c>
    </row>
    <row r="416" spans="2:3" x14ac:dyDescent="0.2">
      <c r="B416" s="8" t="s">
        <v>905</v>
      </c>
      <c r="C416" s="64">
        <v>7.3899999999999993E-2</v>
      </c>
    </row>
    <row r="417" spans="2:3" x14ac:dyDescent="0.2">
      <c r="B417" s="8" t="s">
        <v>826</v>
      </c>
      <c r="C417" s="63">
        <v>7.3300000000000004E-2</v>
      </c>
    </row>
    <row r="418" spans="2:3" x14ac:dyDescent="0.2">
      <c r="B418" s="8" t="s">
        <v>1013</v>
      </c>
      <c r="C418" s="63">
        <v>7.2900000000000006E-2</v>
      </c>
    </row>
    <row r="419" spans="2:3" x14ac:dyDescent="0.2">
      <c r="B419" s="8" t="s">
        <v>1014</v>
      </c>
      <c r="C419" s="63">
        <v>7.2900000000000006E-2</v>
      </c>
    </row>
    <row r="420" spans="2:3" x14ac:dyDescent="0.2">
      <c r="B420" s="8" t="s">
        <v>659</v>
      </c>
      <c r="C420" s="63">
        <v>7.2499999999999995E-2</v>
      </c>
    </row>
    <row r="421" spans="2:3" x14ac:dyDescent="0.2">
      <c r="B421" s="8" t="s">
        <v>637</v>
      </c>
      <c r="C421" s="63">
        <v>7.22E-2</v>
      </c>
    </row>
    <row r="422" spans="2:3" x14ac:dyDescent="0.2">
      <c r="B422" s="8" t="s">
        <v>687</v>
      </c>
      <c r="C422" s="63">
        <v>7.22E-2</v>
      </c>
    </row>
    <row r="423" spans="2:3" x14ac:dyDescent="0.2">
      <c r="B423" s="8" t="s">
        <v>560</v>
      </c>
      <c r="C423" s="64">
        <v>7.1199999999999999E-2</v>
      </c>
    </row>
    <row r="424" spans="2:3" x14ac:dyDescent="0.2">
      <c r="B424" s="8" t="s">
        <v>711</v>
      </c>
      <c r="C424" s="63">
        <v>7.0900000000000005E-2</v>
      </c>
    </row>
    <row r="425" spans="2:3" x14ac:dyDescent="0.2">
      <c r="B425" s="8" t="s">
        <v>992</v>
      </c>
      <c r="C425" s="63">
        <v>7.0699999999999999E-2</v>
      </c>
    </row>
    <row r="426" spans="2:3" x14ac:dyDescent="0.2">
      <c r="B426" s="8" t="s">
        <v>849</v>
      </c>
      <c r="C426" s="63">
        <v>6.9500000000000006E-2</v>
      </c>
    </row>
    <row r="427" spans="2:3" x14ac:dyDescent="0.2">
      <c r="B427" s="8" t="s">
        <v>1031</v>
      </c>
      <c r="C427" s="63">
        <v>6.88E-2</v>
      </c>
    </row>
    <row r="428" spans="2:3" x14ac:dyDescent="0.2">
      <c r="B428" s="8" t="s">
        <v>858</v>
      </c>
      <c r="C428" s="63">
        <v>6.7199999999999996E-2</v>
      </c>
    </row>
    <row r="429" spans="2:3" x14ac:dyDescent="0.2">
      <c r="B429" s="8" t="s">
        <v>940</v>
      </c>
      <c r="C429" s="63">
        <v>6.5500000000000003E-2</v>
      </c>
    </row>
    <row r="430" spans="2:3" x14ac:dyDescent="0.2">
      <c r="B430" s="8" t="s">
        <v>695</v>
      </c>
      <c r="C430" s="63">
        <v>6.5100000000000005E-2</v>
      </c>
    </row>
    <row r="431" spans="2:3" x14ac:dyDescent="0.2">
      <c r="B431" s="8" t="s">
        <v>716</v>
      </c>
      <c r="C431" s="63">
        <v>6.5100000000000005E-2</v>
      </c>
    </row>
    <row r="432" spans="2:3" x14ac:dyDescent="0.2">
      <c r="B432" s="8" t="s">
        <v>726</v>
      </c>
      <c r="C432" s="64">
        <v>6.3299999999999995E-2</v>
      </c>
    </row>
    <row r="433" spans="2:3" x14ac:dyDescent="0.2">
      <c r="B433" s="8" t="s">
        <v>780</v>
      </c>
      <c r="C433" s="63">
        <v>6.3E-2</v>
      </c>
    </row>
    <row r="434" spans="2:3" x14ac:dyDescent="0.2">
      <c r="B434" s="8" t="s">
        <v>963</v>
      </c>
      <c r="C434" s="63">
        <v>6.2399999999999997E-2</v>
      </c>
    </row>
    <row r="435" spans="2:3" x14ac:dyDescent="0.2">
      <c r="B435" s="8" t="s">
        <v>1023</v>
      </c>
      <c r="C435" s="63">
        <v>6.0900000000000003E-2</v>
      </c>
    </row>
    <row r="436" spans="2:3" x14ac:dyDescent="0.2">
      <c r="B436" s="8" t="s">
        <v>925</v>
      </c>
      <c r="C436" s="63">
        <v>5.8000000000000003E-2</v>
      </c>
    </row>
    <row r="437" spans="2:3" x14ac:dyDescent="0.2">
      <c r="B437" s="8" t="s">
        <v>667</v>
      </c>
      <c r="C437" s="63">
        <v>5.79E-2</v>
      </c>
    </row>
    <row r="438" spans="2:3" x14ac:dyDescent="0.2">
      <c r="B438" s="8" t="s">
        <v>735</v>
      </c>
      <c r="C438" s="63">
        <v>5.7500000000000002E-2</v>
      </c>
    </row>
    <row r="439" spans="2:3" x14ac:dyDescent="0.2">
      <c r="B439" s="8" t="s">
        <v>836</v>
      </c>
      <c r="C439" s="63">
        <v>5.74E-2</v>
      </c>
    </row>
    <row r="440" spans="2:3" x14ac:dyDescent="0.2">
      <c r="B440" s="8" t="s">
        <v>978</v>
      </c>
      <c r="C440" s="63">
        <v>4.7899999999999998E-2</v>
      </c>
    </row>
    <row r="441" spans="2:3" x14ac:dyDescent="0.2">
      <c r="B441" s="8" t="s">
        <v>931</v>
      </c>
      <c r="C441" s="63">
        <v>4.7300000000000002E-2</v>
      </c>
    </row>
    <row r="442" spans="2:3" x14ac:dyDescent="0.2">
      <c r="B442" s="8" t="s">
        <v>762</v>
      </c>
      <c r="C442" s="64">
        <v>4.7E-2</v>
      </c>
    </row>
    <row r="443" spans="2:3" x14ac:dyDescent="0.2">
      <c r="B443" s="8" t="s">
        <v>1030</v>
      </c>
      <c r="C443" s="63">
        <v>4.6699999999999998E-2</v>
      </c>
    </row>
    <row r="444" spans="2:3" x14ac:dyDescent="0.2">
      <c r="B444" s="8" t="s">
        <v>756</v>
      </c>
      <c r="C444" s="63">
        <v>4.2500000000000003E-2</v>
      </c>
    </row>
    <row r="445" spans="2:3" x14ac:dyDescent="0.2">
      <c r="B445" s="8" t="s">
        <v>1007</v>
      </c>
      <c r="C445" s="63">
        <v>4.1500000000000002E-2</v>
      </c>
    </row>
    <row r="446" spans="2:3" x14ac:dyDescent="0.2">
      <c r="B446" s="8" t="s">
        <v>627</v>
      </c>
      <c r="C446" s="63">
        <v>3.8899999999999997E-2</v>
      </c>
    </row>
    <row r="447" spans="2:3" x14ac:dyDescent="0.2">
      <c r="B447" s="8" t="s">
        <v>803</v>
      </c>
      <c r="C447" s="63">
        <v>3.6499999999999998E-2</v>
      </c>
    </row>
    <row r="448" spans="2:3" x14ac:dyDescent="0.2">
      <c r="B448" s="8" t="s">
        <v>859</v>
      </c>
      <c r="C448" s="63">
        <v>3.3799999999999997E-2</v>
      </c>
    </row>
    <row r="449" spans="2:3" x14ac:dyDescent="0.2">
      <c r="B449" s="8" t="s">
        <v>1029</v>
      </c>
      <c r="C449" s="64">
        <v>3.32E-2</v>
      </c>
    </row>
    <row r="450" spans="2:3" x14ac:dyDescent="0.2">
      <c r="B450" s="8" t="s">
        <v>909</v>
      </c>
      <c r="C450" s="63">
        <v>3.1699999999999999E-2</v>
      </c>
    </row>
    <row r="451" spans="2:3" x14ac:dyDescent="0.2">
      <c r="B451" s="8" t="s">
        <v>825</v>
      </c>
      <c r="C451" s="63">
        <v>3.1300000000000001E-2</v>
      </c>
    </row>
    <row r="452" spans="2:3" x14ac:dyDescent="0.2">
      <c r="B452" s="8" t="s">
        <v>828</v>
      </c>
      <c r="C452" s="63">
        <v>3.1300000000000001E-2</v>
      </c>
    </row>
    <row r="453" spans="2:3" x14ac:dyDescent="0.2">
      <c r="B453" s="8" t="s">
        <v>986</v>
      </c>
      <c r="C453" s="63">
        <v>3.1099999999999999E-2</v>
      </c>
    </row>
    <row r="454" spans="2:3" x14ac:dyDescent="0.2">
      <c r="B454" s="8" t="s">
        <v>997</v>
      </c>
      <c r="C454" s="63">
        <v>2.7300000000000001E-2</v>
      </c>
    </row>
    <row r="455" spans="2:3" x14ac:dyDescent="0.2">
      <c r="B455" s="8" t="s">
        <v>1019</v>
      </c>
      <c r="C455" s="8">
        <v>2.7300000000000001E-2</v>
      </c>
    </row>
    <row r="456" spans="2:3" x14ac:dyDescent="0.2">
      <c r="B456" s="8" t="s">
        <v>1016</v>
      </c>
      <c r="C456" s="63">
        <v>2.53E-2</v>
      </c>
    </row>
    <row r="457" spans="2:3" x14ac:dyDescent="0.2">
      <c r="B457" s="8" t="s">
        <v>753</v>
      </c>
      <c r="C457" s="63">
        <v>2.3400000000000001E-2</v>
      </c>
    </row>
    <row r="458" spans="2:3" x14ac:dyDescent="0.2">
      <c r="B458" s="8" t="s">
        <v>872</v>
      </c>
      <c r="C458" s="63">
        <v>2.1600000000000001E-2</v>
      </c>
    </row>
    <row r="459" spans="2:3" x14ac:dyDescent="0.2">
      <c r="B459" s="8" t="s">
        <v>960</v>
      </c>
      <c r="C459" s="63">
        <v>2.0799999999999999E-2</v>
      </c>
    </row>
    <row r="460" spans="2:3" x14ac:dyDescent="0.2">
      <c r="B460" s="8" t="s">
        <v>714</v>
      </c>
      <c r="C460" s="63">
        <v>4.0000000000000001E-3</v>
      </c>
    </row>
    <row r="461" spans="2:3" x14ac:dyDescent="0.2">
      <c r="B461" s="34" t="s">
        <v>970</v>
      </c>
      <c r="C461" s="65">
        <v>1.2999999999999999E-3</v>
      </c>
    </row>
    <row r="462" spans="2:3" x14ac:dyDescent="0.2">
      <c r="B462" s="34" t="s">
        <v>915</v>
      </c>
      <c r="C462" s="65">
        <v>-1.18E-2</v>
      </c>
    </row>
    <row r="463" spans="2:3" x14ac:dyDescent="0.2">
      <c r="B463" s="34" t="s">
        <v>841</v>
      </c>
      <c r="C463" s="65">
        <v>-1.43E-2</v>
      </c>
    </row>
    <row r="464" spans="2:3" x14ac:dyDescent="0.2">
      <c r="B464" s="34" t="s">
        <v>1017</v>
      </c>
      <c r="C464" s="34">
        <v>-0.35399999999999998</v>
      </c>
    </row>
  </sheetData>
  <autoFilter ref="B2:C2" xr:uid="{00000000-0009-0000-0000-000008000000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U1686"/>
  <sheetViews>
    <sheetView workbookViewId="0">
      <selection activeCell="O15" sqref="O15"/>
    </sheetView>
  </sheetViews>
  <sheetFormatPr baseColWidth="10" defaultColWidth="11.1640625" defaultRowHeight="15" x14ac:dyDescent="0.2"/>
  <cols>
    <col min="1" max="1" width="11.1640625" style="50" customWidth="1"/>
    <col min="2" max="4" width="11.1640625" style="4" customWidth="1"/>
    <col min="5" max="7" width="11.1640625" style="50" customWidth="1"/>
    <col min="8" max="16384" width="11.1640625" style="50"/>
  </cols>
  <sheetData>
    <row r="1" spans="1:19" x14ac:dyDescent="0.2">
      <c r="F1" s="50">
        <f>SUBTOTAL(1,B14:B1686)</f>
        <v>0.38134825777512082</v>
      </c>
      <c r="H1" s="50">
        <v>0.38134825777512082</v>
      </c>
      <c r="R1" s="66">
        <f>SUBTOTAL(1,R17:R1685)</f>
        <v>1.5330131852092259E-3</v>
      </c>
    </row>
    <row r="2" spans="1:19" x14ac:dyDescent="0.2">
      <c r="F2" s="50">
        <f>SUBTOTAL(1,C14:C1686)</f>
        <v>0.31524891327751203</v>
      </c>
      <c r="H2" s="50">
        <v>1672</v>
      </c>
      <c r="R2" s="66">
        <f>SUBTOTAL(1,S17:S1682)</f>
        <v>6.1650901130720793E-3</v>
      </c>
    </row>
    <row r="3" spans="1:19" x14ac:dyDescent="0.2">
      <c r="E3" s="50">
        <f>SUM(F1:F3)</f>
        <v>0.99999927452153181</v>
      </c>
      <c r="F3" s="50">
        <f>SUBTOTAL(1,D14:D1686)</f>
        <v>0.30340210346889901</v>
      </c>
      <c r="R3" s="50">
        <f>SUBTOTAL(2,S17:S1682)</f>
        <v>1666</v>
      </c>
    </row>
    <row r="4" spans="1:19" x14ac:dyDescent="0.2">
      <c r="F4" s="50">
        <f>SUBTOTAL(2,B14:B1686)</f>
        <v>1672</v>
      </c>
      <c r="R4" s="50">
        <f>SUBTOTAL(2,T17:T1682)</f>
        <v>953</v>
      </c>
      <c r="S4" s="50">
        <f>R4/R3</f>
        <v>0.57202881152460983</v>
      </c>
    </row>
    <row r="5" spans="1:19" x14ac:dyDescent="0.2">
      <c r="F5" s="66">
        <f>SUBTOTAL(1,N13:N1685)</f>
        <v>1.56586624361811E-3</v>
      </c>
      <c r="R5" s="50">
        <f>SUBTOTAL(2,U17:U1682)</f>
        <v>1034</v>
      </c>
      <c r="S5" s="50">
        <f>R5/R3</f>
        <v>0.62064825930372147</v>
      </c>
    </row>
    <row r="6" spans="1:19" x14ac:dyDescent="0.2">
      <c r="F6" s="66">
        <f>SUBTOTAL(1,O13:O1682)</f>
        <v>6.23536173693502E-3</v>
      </c>
    </row>
    <row r="7" spans="1:19" x14ac:dyDescent="0.2">
      <c r="F7" s="66">
        <f>SUBTOTAL(5,O13:O1682)</f>
        <v>-0.2437788290453422</v>
      </c>
    </row>
    <row r="8" spans="1:19" x14ac:dyDescent="0.2">
      <c r="F8" s="66"/>
    </row>
    <row r="9" spans="1:19" x14ac:dyDescent="0.2">
      <c r="F9" s="66"/>
    </row>
    <row r="10" spans="1:19" ht="16" customHeight="1" thickBot="1" x14ac:dyDescent="0.25"/>
    <row r="11" spans="1:19" ht="49" customHeight="1" thickBot="1" x14ac:dyDescent="0.25">
      <c r="A11" s="39" t="s">
        <v>160</v>
      </c>
      <c r="B11" s="40" t="s">
        <v>1038</v>
      </c>
      <c r="C11" s="40" t="s">
        <v>1039</v>
      </c>
      <c r="D11" s="40" t="s">
        <v>1040</v>
      </c>
      <c r="E11" s="41" t="s">
        <v>1041</v>
      </c>
      <c r="F11" s="41" t="s">
        <v>1042</v>
      </c>
      <c r="G11" s="41" t="s">
        <v>1043</v>
      </c>
      <c r="H11" s="41" t="s">
        <v>1044</v>
      </c>
      <c r="I11" s="41" t="s">
        <v>1045</v>
      </c>
      <c r="J11" s="41" t="s">
        <v>1046</v>
      </c>
      <c r="K11" s="41" t="s">
        <v>1047</v>
      </c>
      <c r="L11" s="41" t="s">
        <v>1048</v>
      </c>
      <c r="M11" s="41" t="s">
        <v>1049</v>
      </c>
      <c r="N11" s="42" t="s">
        <v>1050</v>
      </c>
      <c r="O11" s="42" t="s">
        <v>1051</v>
      </c>
      <c r="P11" s="43" t="s">
        <v>1052</v>
      </c>
      <c r="Q11" s="43" t="s">
        <v>1053</v>
      </c>
      <c r="R11" s="43"/>
      <c r="S11" s="44"/>
    </row>
    <row r="12" spans="1:19" x14ac:dyDescent="0.2">
      <c r="A12" s="38">
        <v>31954</v>
      </c>
      <c r="H12" s="50">
        <v>0.386013987936</v>
      </c>
      <c r="I12" s="50">
        <v>0.48917782314500002</v>
      </c>
      <c r="J12" s="50">
        <v>0.282850152726</v>
      </c>
    </row>
    <row r="13" spans="1:19" x14ac:dyDescent="0.2">
      <c r="A13" s="38">
        <v>31975</v>
      </c>
      <c r="H13" s="50">
        <v>0.386013987936</v>
      </c>
      <c r="I13" s="50">
        <v>0.48917782314500002</v>
      </c>
      <c r="J13" s="50">
        <v>0.282850152726</v>
      </c>
      <c r="K13" s="50">
        <v>314.58999999999997</v>
      </c>
      <c r="L13" s="50">
        <v>307.63</v>
      </c>
      <c r="M13" s="50">
        <v>314.58999999999997</v>
      </c>
      <c r="N13" s="66">
        <f t="shared" ref="N13:N76" si="0">(M14-M13)/M13</f>
        <v>-1.6910899901459022E-2</v>
      </c>
      <c r="O13" s="66">
        <f t="shared" ref="O13:O76" si="1">(M17-M13)/M13</f>
        <v>6.1667567309831958E-2</v>
      </c>
    </row>
    <row r="14" spans="1:19" x14ac:dyDescent="0.2">
      <c r="A14" s="38">
        <v>31982</v>
      </c>
      <c r="B14" s="4">
        <v>0.36</v>
      </c>
      <c r="C14" s="4">
        <v>0.5</v>
      </c>
      <c r="D14" s="4">
        <v>0.14000000000000001</v>
      </c>
      <c r="E14" s="50">
        <v>1</v>
      </c>
      <c r="G14" s="50">
        <v>0.22</v>
      </c>
      <c r="H14" s="50">
        <v>0.386013987936</v>
      </c>
      <c r="I14" s="50">
        <v>0.48917782314500002</v>
      </c>
      <c r="J14" s="50">
        <v>0.282850152726</v>
      </c>
      <c r="K14" s="50">
        <v>311.39</v>
      </c>
      <c r="L14" s="50">
        <v>307.81</v>
      </c>
      <c r="M14" s="50">
        <v>309.27</v>
      </c>
      <c r="N14" s="66">
        <f t="shared" si="0"/>
        <v>3.0361819769133908E-2</v>
      </c>
      <c r="O14" s="66">
        <f t="shared" si="1"/>
        <v>8.6105991528437925E-2</v>
      </c>
      <c r="P14" s="4">
        <f t="shared" ref="P14:P77" si="2">B14-D14</f>
        <v>0.21999999999999997</v>
      </c>
    </row>
    <row r="15" spans="1:19" x14ac:dyDescent="0.2">
      <c r="A15" s="38">
        <v>31989</v>
      </c>
      <c r="B15" s="4">
        <v>0.26</v>
      </c>
      <c r="C15" s="4">
        <v>0.48</v>
      </c>
      <c r="D15" s="4">
        <v>0.26</v>
      </c>
      <c r="E15" s="50">
        <v>1</v>
      </c>
      <c r="G15" s="50">
        <v>0</v>
      </c>
      <c r="H15" s="50">
        <v>0.386013987936</v>
      </c>
      <c r="I15" s="50">
        <v>0.48917782314500002</v>
      </c>
      <c r="J15" s="50">
        <v>0.282850152726</v>
      </c>
      <c r="K15" s="50">
        <v>318.66000000000003</v>
      </c>
      <c r="L15" s="50">
        <v>310.64999999999998</v>
      </c>
      <c r="M15" s="50">
        <v>318.66000000000003</v>
      </c>
      <c r="N15" s="66">
        <f t="shared" si="0"/>
        <v>1.3619531789367898E-2</v>
      </c>
      <c r="O15" s="66">
        <f t="shared" si="1"/>
        <v>1.374505742797965E-2</v>
      </c>
      <c r="P15" s="4">
        <f t="shared" si="2"/>
        <v>0</v>
      </c>
    </row>
    <row r="16" spans="1:19" x14ac:dyDescent="0.2">
      <c r="A16" s="38">
        <v>31996</v>
      </c>
      <c r="B16" s="4">
        <v>0.56000000000000005</v>
      </c>
      <c r="C16" s="4">
        <v>0.15</v>
      </c>
      <c r="D16" s="4">
        <v>0.28999999999999998</v>
      </c>
      <c r="E16" s="50">
        <v>1</v>
      </c>
      <c r="G16" s="50">
        <v>0.27</v>
      </c>
      <c r="H16" s="50">
        <v>0.386013987936</v>
      </c>
      <c r="I16" s="50">
        <v>0.48917782314500002</v>
      </c>
      <c r="J16" s="50">
        <v>0.282850152726</v>
      </c>
      <c r="K16" s="50">
        <v>323</v>
      </c>
      <c r="L16" s="50">
        <v>316.23</v>
      </c>
      <c r="M16" s="50">
        <v>323</v>
      </c>
      <c r="N16" s="66">
        <f t="shared" si="0"/>
        <v>3.4024767801857612E-2</v>
      </c>
      <c r="O16" s="66">
        <f t="shared" si="1"/>
        <v>-1.9504643962848331E-2</v>
      </c>
      <c r="P16" s="4">
        <f t="shared" si="2"/>
        <v>0.27000000000000007</v>
      </c>
    </row>
    <row r="17" spans="1:21" x14ac:dyDescent="0.2">
      <c r="A17" s="38">
        <v>32003</v>
      </c>
      <c r="B17" s="4">
        <v>0.45</v>
      </c>
      <c r="C17" s="4">
        <v>0.35</v>
      </c>
      <c r="D17" s="4">
        <v>0.2</v>
      </c>
      <c r="E17" s="50">
        <v>1</v>
      </c>
      <c r="G17" s="50">
        <v>0.25</v>
      </c>
      <c r="H17" s="50">
        <v>0.386013987936</v>
      </c>
      <c r="I17" s="50">
        <v>0.48917782314500002</v>
      </c>
      <c r="J17" s="50">
        <v>0.282850152726</v>
      </c>
      <c r="K17" s="50">
        <v>334.65</v>
      </c>
      <c r="L17" s="50">
        <v>323</v>
      </c>
      <c r="M17" s="50">
        <v>333.99</v>
      </c>
      <c r="N17" s="66">
        <f t="shared" si="0"/>
        <v>5.7187340938350496E-3</v>
      </c>
      <c r="O17" s="66">
        <f t="shared" si="1"/>
        <v>-3.5959160453905778E-2</v>
      </c>
      <c r="P17" s="4">
        <f t="shared" si="2"/>
        <v>0.25</v>
      </c>
      <c r="Q17" s="4">
        <f t="shared" ref="Q17:Q80" si="3">AVERAGE(P14:P17)</f>
        <v>0.185</v>
      </c>
      <c r="R17" s="66">
        <f t="shared" ref="R17:R80" si="4">(M18-M17)/M17</f>
        <v>5.7187340938350496E-3</v>
      </c>
      <c r="S17" s="66">
        <f t="shared" ref="S17:S80" si="5">(M21-M17)/M17</f>
        <v>-3.5959160453905778E-2</v>
      </c>
      <c r="T17" s="50">
        <f t="shared" ref="T17:T80" si="6">IF(R17&gt;0,1,"")</f>
        <v>1</v>
      </c>
      <c r="U17" s="50" t="str">
        <f t="shared" ref="U17:U80" si="7">IF(S17&gt;0,1,"")</f>
        <v/>
      </c>
    </row>
    <row r="18" spans="1:21" x14ac:dyDescent="0.2">
      <c r="A18" s="38">
        <v>32010</v>
      </c>
      <c r="B18" s="4">
        <v>0.66</v>
      </c>
      <c r="C18" s="4">
        <v>0.28000000000000003</v>
      </c>
      <c r="D18" s="4">
        <v>0.06</v>
      </c>
      <c r="E18" s="50">
        <v>1</v>
      </c>
      <c r="G18" s="50">
        <v>0.6</v>
      </c>
      <c r="H18" s="50">
        <v>0.386013987936</v>
      </c>
      <c r="I18" s="50">
        <v>0.48917782314500002</v>
      </c>
      <c r="J18" s="50">
        <v>0.282850152726</v>
      </c>
      <c r="K18" s="50">
        <v>335.9</v>
      </c>
      <c r="L18" s="50">
        <v>329.25</v>
      </c>
      <c r="M18" s="50">
        <v>335.9</v>
      </c>
      <c r="N18" s="66">
        <f t="shared" si="0"/>
        <v>-3.8285203929740871E-2</v>
      </c>
      <c r="O18" s="66">
        <f t="shared" si="1"/>
        <v>-6.2637689788627465E-2</v>
      </c>
      <c r="P18" s="4">
        <f t="shared" si="2"/>
        <v>0.60000000000000009</v>
      </c>
      <c r="Q18" s="4">
        <f t="shared" si="3"/>
        <v>0.28000000000000003</v>
      </c>
      <c r="R18" s="66">
        <f t="shared" si="4"/>
        <v>-3.8285203929740871E-2</v>
      </c>
      <c r="S18" s="66">
        <f t="shared" si="5"/>
        <v>-6.2637689788627465E-2</v>
      </c>
      <c r="T18" s="50" t="str">
        <f t="shared" si="6"/>
        <v/>
      </c>
      <c r="U18" s="50" t="str">
        <f t="shared" si="7"/>
        <v/>
      </c>
    </row>
    <row r="19" spans="1:21" x14ac:dyDescent="0.2">
      <c r="A19" s="38">
        <v>32017</v>
      </c>
      <c r="B19" s="4">
        <v>0.52</v>
      </c>
      <c r="C19" s="4">
        <v>0.18</v>
      </c>
      <c r="D19" s="4">
        <v>0.3</v>
      </c>
      <c r="E19" s="50">
        <v>1</v>
      </c>
      <c r="G19" s="50">
        <v>0.22</v>
      </c>
      <c r="H19" s="50">
        <v>0.386013987936</v>
      </c>
      <c r="I19" s="50">
        <v>0.48917782314500002</v>
      </c>
      <c r="J19" s="50">
        <v>0.282850152726</v>
      </c>
      <c r="K19" s="50">
        <v>331.38</v>
      </c>
      <c r="L19" s="50">
        <v>323.04000000000002</v>
      </c>
      <c r="M19" s="50">
        <v>323.04000000000002</v>
      </c>
      <c r="N19" s="66">
        <f t="shared" si="0"/>
        <v>-1.9626052501238334E-2</v>
      </c>
      <c r="O19" s="66">
        <f t="shared" si="1"/>
        <v>-8.9153046062406989E-3</v>
      </c>
      <c r="P19" s="4">
        <f t="shared" si="2"/>
        <v>0.22000000000000003</v>
      </c>
      <c r="Q19" s="4">
        <f t="shared" si="3"/>
        <v>0.33500000000000002</v>
      </c>
      <c r="R19" s="66">
        <f t="shared" si="4"/>
        <v>-1.9626052501238334E-2</v>
      </c>
      <c r="S19" s="66">
        <f t="shared" si="5"/>
        <v>-8.9153046062406989E-3</v>
      </c>
      <c r="T19" s="50" t="str">
        <f t="shared" si="6"/>
        <v/>
      </c>
      <c r="U19" s="50" t="str">
        <f t="shared" si="7"/>
        <v/>
      </c>
    </row>
    <row r="20" spans="1:21" x14ac:dyDescent="0.2">
      <c r="A20" s="38">
        <v>32024</v>
      </c>
      <c r="B20" s="4">
        <v>0.42</v>
      </c>
      <c r="C20" s="4">
        <v>0.17</v>
      </c>
      <c r="D20" s="4">
        <v>0.41</v>
      </c>
      <c r="E20" s="50">
        <v>1</v>
      </c>
      <c r="G20" s="50">
        <v>0.01</v>
      </c>
      <c r="H20" s="50">
        <v>0.386013987936</v>
      </c>
      <c r="I20" s="50">
        <v>0.48917782314500002</v>
      </c>
      <c r="J20" s="50">
        <v>0.282850152726</v>
      </c>
      <c r="K20" s="50">
        <v>329.79</v>
      </c>
      <c r="L20" s="50">
        <v>316.7</v>
      </c>
      <c r="M20" s="50">
        <v>316.7</v>
      </c>
      <c r="N20" s="66">
        <f t="shared" si="0"/>
        <v>1.6671929270603188E-2</v>
      </c>
      <c r="O20" s="66">
        <f t="shared" si="1"/>
        <v>3.5901484054310089E-2</v>
      </c>
      <c r="P20" s="4">
        <f t="shared" si="2"/>
        <v>1.0000000000000009E-2</v>
      </c>
      <c r="Q20" s="4">
        <f t="shared" si="3"/>
        <v>0.27</v>
      </c>
      <c r="R20" s="66">
        <f t="shared" si="4"/>
        <v>1.6671929270603188E-2</v>
      </c>
      <c r="S20" s="66">
        <f t="shared" si="5"/>
        <v>3.5901484054310089E-2</v>
      </c>
      <c r="T20" s="50">
        <f t="shared" si="6"/>
        <v>1</v>
      </c>
      <c r="U20" s="50">
        <f t="shared" si="7"/>
        <v>1</v>
      </c>
    </row>
    <row r="21" spans="1:21" x14ac:dyDescent="0.2">
      <c r="A21" s="38">
        <v>32031</v>
      </c>
      <c r="B21" s="4">
        <v>0.5</v>
      </c>
      <c r="C21" s="4">
        <v>0.23</v>
      </c>
      <c r="D21" s="4">
        <v>0.27</v>
      </c>
      <c r="E21" s="50">
        <v>1</v>
      </c>
      <c r="F21" s="50">
        <v>0.46625</v>
      </c>
      <c r="G21" s="50">
        <v>0.23</v>
      </c>
      <c r="H21" s="50">
        <v>0.38490743662900001</v>
      </c>
      <c r="I21" s="50">
        <v>0.48829287047999997</v>
      </c>
      <c r="J21" s="50">
        <v>0.28152200277799999</v>
      </c>
      <c r="K21" s="50">
        <v>321.98</v>
      </c>
      <c r="L21" s="50">
        <v>313.56</v>
      </c>
      <c r="M21" s="50">
        <v>321.98</v>
      </c>
      <c r="N21" s="66">
        <f t="shared" si="0"/>
        <v>-2.2113174731349786E-2</v>
      </c>
      <c r="O21" s="66">
        <f t="shared" si="1"/>
        <v>-3.3884092179638566E-2</v>
      </c>
      <c r="P21" s="4">
        <f t="shared" si="2"/>
        <v>0.22999999999999998</v>
      </c>
      <c r="Q21" s="4">
        <f t="shared" si="3"/>
        <v>0.26500000000000001</v>
      </c>
      <c r="R21" s="66">
        <f t="shared" si="4"/>
        <v>-2.2113174731349786E-2</v>
      </c>
      <c r="S21" s="66">
        <f t="shared" si="5"/>
        <v>-3.3884092179638566E-2</v>
      </c>
      <c r="T21" s="50" t="str">
        <f t="shared" si="6"/>
        <v/>
      </c>
      <c r="U21" s="50" t="str">
        <f t="shared" si="7"/>
        <v/>
      </c>
    </row>
    <row r="22" spans="1:21" x14ac:dyDescent="0.2">
      <c r="A22" s="38">
        <v>32038</v>
      </c>
      <c r="B22" s="4">
        <v>0.6</v>
      </c>
      <c r="C22" s="4">
        <v>0.28999999999999998</v>
      </c>
      <c r="D22" s="4">
        <v>0.11</v>
      </c>
      <c r="E22" s="50">
        <v>1</v>
      </c>
      <c r="F22" s="50">
        <v>0.49625000000000002</v>
      </c>
      <c r="G22" s="50">
        <v>0.49</v>
      </c>
      <c r="H22" s="50">
        <v>0.38490743662900001</v>
      </c>
      <c r="I22" s="50">
        <v>0.48829287047999997</v>
      </c>
      <c r="J22" s="50">
        <v>0.28152200277799999</v>
      </c>
      <c r="K22" s="50">
        <v>323.08</v>
      </c>
      <c r="L22" s="50">
        <v>314.86</v>
      </c>
      <c r="M22" s="50">
        <v>314.86</v>
      </c>
      <c r="N22" s="66">
        <f t="shared" si="0"/>
        <v>1.6832878104554441E-2</v>
      </c>
      <c r="O22" s="66">
        <f t="shared" si="1"/>
        <v>-0.10214063393254152</v>
      </c>
      <c r="P22" s="4">
        <f t="shared" si="2"/>
        <v>0.49</v>
      </c>
      <c r="Q22" s="4">
        <f t="shared" si="3"/>
        <v>0.23749999999999999</v>
      </c>
      <c r="R22" s="66">
        <f t="shared" si="4"/>
        <v>1.6832878104554441E-2</v>
      </c>
      <c r="S22" s="66">
        <f t="shared" si="5"/>
        <v>-0.10214063393254152</v>
      </c>
      <c r="T22" s="50">
        <f t="shared" si="6"/>
        <v>1</v>
      </c>
      <c r="U22" s="50" t="str">
        <f t="shared" si="7"/>
        <v/>
      </c>
    </row>
    <row r="23" spans="1:21" x14ac:dyDescent="0.2">
      <c r="A23" s="38">
        <v>32045</v>
      </c>
      <c r="B23" s="4">
        <v>0.53</v>
      </c>
      <c r="C23" s="4">
        <v>0.17</v>
      </c>
      <c r="D23" s="4">
        <v>0.3</v>
      </c>
      <c r="E23" s="50">
        <v>1</v>
      </c>
      <c r="F23" s="50">
        <v>0.53</v>
      </c>
      <c r="G23" s="50">
        <v>0.23</v>
      </c>
      <c r="H23" s="50">
        <v>0.38490743662900001</v>
      </c>
      <c r="I23" s="50">
        <v>0.48829287047999997</v>
      </c>
      <c r="J23" s="50">
        <v>0.28152200277799999</v>
      </c>
      <c r="K23" s="50">
        <v>321.19</v>
      </c>
      <c r="L23" s="50">
        <v>310.54000000000002</v>
      </c>
      <c r="M23" s="50">
        <v>320.16000000000003</v>
      </c>
      <c r="N23" s="66">
        <f t="shared" si="0"/>
        <v>2.4706396801599098E-2</v>
      </c>
      <c r="O23" s="66">
        <f t="shared" si="1"/>
        <v>-0.22470014992503753</v>
      </c>
      <c r="P23" s="4">
        <f t="shared" si="2"/>
        <v>0.23000000000000004</v>
      </c>
      <c r="Q23" s="4">
        <f t="shared" si="3"/>
        <v>0.24</v>
      </c>
      <c r="R23" s="66">
        <f t="shared" si="4"/>
        <v>2.4706396801599098E-2</v>
      </c>
      <c r="S23" s="66">
        <f t="shared" si="5"/>
        <v>-0.22470014992503753</v>
      </c>
      <c r="T23" s="50">
        <f t="shared" si="6"/>
        <v>1</v>
      </c>
      <c r="U23" s="50" t="str">
        <f t="shared" si="7"/>
        <v/>
      </c>
    </row>
    <row r="24" spans="1:21" x14ac:dyDescent="0.2">
      <c r="A24" s="38">
        <v>32052</v>
      </c>
      <c r="B24" s="4">
        <v>0.44</v>
      </c>
      <c r="C24" s="4">
        <v>0.26</v>
      </c>
      <c r="D24" s="4">
        <v>0.3</v>
      </c>
      <c r="E24" s="50">
        <v>1</v>
      </c>
      <c r="F24" s="50">
        <v>0.51500000000000001</v>
      </c>
      <c r="G24" s="50">
        <v>0.14000000000000001</v>
      </c>
      <c r="H24" s="50">
        <v>0.38490743662900001</v>
      </c>
      <c r="I24" s="50">
        <v>0.48829287047999997</v>
      </c>
      <c r="J24" s="50">
        <v>0.28152200277799999</v>
      </c>
      <c r="K24" s="50">
        <v>328.07</v>
      </c>
      <c r="L24" s="50">
        <v>321.69</v>
      </c>
      <c r="M24" s="50">
        <v>328.07</v>
      </c>
      <c r="N24" s="66">
        <f t="shared" si="0"/>
        <v>-5.1818209528454291E-2</v>
      </c>
      <c r="O24" s="66">
        <f t="shared" si="1"/>
        <v>-0.23251135428414668</v>
      </c>
      <c r="P24" s="4">
        <f t="shared" si="2"/>
        <v>0.14000000000000001</v>
      </c>
      <c r="Q24" s="4">
        <f t="shared" si="3"/>
        <v>0.27249999999999996</v>
      </c>
      <c r="R24" s="66">
        <f t="shared" si="4"/>
        <v>-5.1818209528454291E-2</v>
      </c>
      <c r="S24" s="66">
        <f t="shared" si="5"/>
        <v>-0.23251135428414668</v>
      </c>
      <c r="T24" s="50" t="str">
        <f t="shared" si="6"/>
        <v/>
      </c>
      <c r="U24" s="50" t="str">
        <f t="shared" si="7"/>
        <v/>
      </c>
    </row>
    <row r="25" spans="1:21" x14ac:dyDescent="0.2">
      <c r="A25" s="38">
        <v>32059</v>
      </c>
      <c r="B25" s="4">
        <v>0.46</v>
      </c>
      <c r="C25" s="4">
        <v>0.39</v>
      </c>
      <c r="D25" s="4">
        <v>0.15</v>
      </c>
      <c r="E25" s="50">
        <v>1</v>
      </c>
      <c r="F25" s="50">
        <v>0.51624999999999999</v>
      </c>
      <c r="G25" s="50">
        <v>0.31</v>
      </c>
      <c r="H25" s="50">
        <v>0.38490743662900001</v>
      </c>
      <c r="I25" s="50">
        <v>0.48829287047999997</v>
      </c>
      <c r="J25" s="50">
        <v>0.28152200277799999</v>
      </c>
      <c r="K25" s="50">
        <v>328.08</v>
      </c>
      <c r="L25" s="50">
        <v>311.07</v>
      </c>
      <c r="M25" s="50">
        <v>311.07</v>
      </c>
      <c r="N25" s="66">
        <f t="shared" si="0"/>
        <v>-9.1201337319574388E-2</v>
      </c>
      <c r="O25" s="66">
        <f t="shared" si="1"/>
        <v>-0.19500433985919569</v>
      </c>
      <c r="P25" s="4">
        <f t="shared" si="2"/>
        <v>0.31000000000000005</v>
      </c>
      <c r="Q25" s="4">
        <f t="shared" si="3"/>
        <v>0.29249999999999998</v>
      </c>
      <c r="R25" s="66">
        <f t="shared" si="4"/>
        <v>-9.1201337319574388E-2</v>
      </c>
      <c r="S25" s="66">
        <f t="shared" si="5"/>
        <v>-0.19500433985919569</v>
      </c>
      <c r="T25" s="50" t="str">
        <f t="shared" si="6"/>
        <v/>
      </c>
      <c r="U25" s="50" t="str">
        <f t="shared" si="7"/>
        <v/>
      </c>
    </row>
    <row r="26" spans="1:21" x14ac:dyDescent="0.2">
      <c r="A26" s="38">
        <v>32066</v>
      </c>
      <c r="B26" s="4">
        <v>0.37</v>
      </c>
      <c r="C26" s="4">
        <v>0.3</v>
      </c>
      <c r="D26" s="4">
        <v>0.33</v>
      </c>
      <c r="E26" s="50">
        <v>1</v>
      </c>
      <c r="F26" s="50">
        <v>0.48</v>
      </c>
      <c r="G26" s="50">
        <v>0.04</v>
      </c>
      <c r="H26" s="50">
        <v>0.38490743662900001</v>
      </c>
      <c r="I26" s="50">
        <v>0.48829287047999997</v>
      </c>
      <c r="J26" s="50">
        <v>0.28152200277799999</v>
      </c>
      <c r="K26" s="50">
        <v>314.52</v>
      </c>
      <c r="L26" s="50">
        <v>282.7</v>
      </c>
      <c r="M26" s="50">
        <v>282.7</v>
      </c>
      <c r="N26" s="66">
        <f t="shared" si="0"/>
        <v>-0.12196674920410326</v>
      </c>
      <c r="O26" s="66">
        <f t="shared" si="1"/>
        <v>-0.13109303148213655</v>
      </c>
      <c r="P26" s="4">
        <f t="shared" si="2"/>
        <v>3.999999999999998E-2</v>
      </c>
      <c r="Q26" s="4">
        <f t="shared" si="3"/>
        <v>0.18000000000000005</v>
      </c>
      <c r="R26" s="66">
        <f t="shared" si="4"/>
        <v>-0.12196674920410326</v>
      </c>
      <c r="S26" s="66">
        <f t="shared" si="5"/>
        <v>-0.13109303148213655</v>
      </c>
      <c r="T26" s="50" t="str">
        <f t="shared" si="6"/>
        <v/>
      </c>
      <c r="U26" s="50" t="str">
        <f t="shared" si="7"/>
        <v/>
      </c>
    </row>
    <row r="27" spans="1:21" x14ac:dyDescent="0.2">
      <c r="A27" s="38">
        <v>32073</v>
      </c>
      <c r="B27" s="4">
        <v>0.39</v>
      </c>
      <c r="C27" s="4">
        <v>0.3</v>
      </c>
      <c r="D27" s="4">
        <v>0.31</v>
      </c>
      <c r="E27" s="50">
        <v>1</v>
      </c>
      <c r="F27" s="50">
        <v>0.46375</v>
      </c>
      <c r="G27" s="50">
        <v>0.08</v>
      </c>
      <c r="H27" s="50">
        <v>0.38490743662900001</v>
      </c>
      <c r="I27" s="50">
        <v>0.48829287047999997</v>
      </c>
      <c r="J27" s="50">
        <v>0.28152200277799999</v>
      </c>
      <c r="K27" s="50">
        <v>258.39</v>
      </c>
      <c r="L27" s="50">
        <v>224.84</v>
      </c>
      <c r="M27" s="50">
        <v>248.22</v>
      </c>
      <c r="N27" s="66">
        <f t="shared" si="0"/>
        <v>1.4382402707275777E-2</v>
      </c>
      <c r="O27" s="66">
        <f t="shared" si="1"/>
        <v>-2.5058415921360079E-2</v>
      </c>
      <c r="P27" s="4">
        <f t="shared" si="2"/>
        <v>8.0000000000000016E-2</v>
      </c>
      <c r="Q27" s="4">
        <f t="shared" si="3"/>
        <v>0.14250000000000002</v>
      </c>
      <c r="R27" s="66">
        <f t="shared" si="4"/>
        <v>1.4382402707275777E-2</v>
      </c>
      <c r="S27" s="66">
        <f t="shared" si="5"/>
        <v>-2.5058415921360079E-2</v>
      </c>
      <c r="T27" s="50">
        <f t="shared" si="6"/>
        <v>1</v>
      </c>
      <c r="U27" s="50" t="str">
        <f t="shared" si="7"/>
        <v/>
      </c>
    </row>
    <row r="28" spans="1:21" x14ac:dyDescent="0.2">
      <c r="A28" s="38">
        <v>32080</v>
      </c>
      <c r="B28" s="4">
        <v>0.44</v>
      </c>
      <c r="C28" s="4">
        <v>0.23</v>
      </c>
      <c r="D28" s="4">
        <v>0.33</v>
      </c>
      <c r="E28" s="50">
        <v>1</v>
      </c>
      <c r="F28" s="50">
        <v>0.46625</v>
      </c>
      <c r="G28" s="50">
        <v>0.11</v>
      </c>
      <c r="H28" s="50">
        <v>0.38490743662900001</v>
      </c>
      <c r="I28" s="50">
        <v>0.48829287047999997</v>
      </c>
      <c r="J28" s="50">
        <v>0.28152200277799999</v>
      </c>
      <c r="K28" s="50">
        <v>251.79</v>
      </c>
      <c r="L28" s="50">
        <v>227.67</v>
      </c>
      <c r="M28" s="50">
        <v>251.79</v>
      </c>
      <c r="N28" s="66">
        <f t="shared" si="0"/>
        <v>-5.4807577743357381E-3</v>
      </c>
      <c r="O28" s="66">
        <f t="shared" si="1"/>
        <v>-4.5474403272568367E-2</v>
      </c>
      <c r="P28" s="4">
        <f t="shared" si="2"/>
        <v>0.10999999999999999</v>
      </c>
      <c r="Q28" s="4">
        <f t="shared" si="3"/>
        <v>0.13500000000000001</v>
      </c>
      <c r="R28" s="66">
        <f t="shared" si="4"/>
        <v>-5.4807577743357381E-3</v>
      </c>
      <c r="S28" s="66">
        <f t="shared" si="5"/>
        <v>-4.5474403272568367E-2</v>
      </c>
      <c r="T28" s="50" t="str">
        <f t="shared" si="6"/>
        <v/>
      </c>
      <c r="U28" s="50" t="str">
        <f t="shared" si="7"/>
        <v/>
      </c>
    </row>
    <row r="29" spans="1:21" x14ac:dyDescent="0.2">
      <c r="A29" s="38">
        <v>32087</v>
      </c>
      <c r="B29" s="4">
        <v>0.47</v>
      </c>
      <c r="C29" s="4">
        <v>0.31</v>
      </c>
      <c r="D29" s="4">
        <v>0.22</v>
      </c>
      <c r="E29" s="50">
        <v>1</v>
      </c>
      <c r="F29" s="50">
        <v>0.46250000000000002</v>
      </c>
      <c r="G29" s="50">
        <v>0.25</v>
      </c>
      <c r="H29" s="50">
        <v>0.38490743662900001</v>
      </c>
      <c r="I29" s="50">
        <v>0.48829287047999997</v>
      </c>
      <c r="J29" s="50">
        <v>0.28152200277799999</v>
      </c>
      <c r="K29" s="50">
        <v>255.75</v>
      </c>
      <c r="L29" s="50">
        <v>248.31</v>
      </c>
      <c r="M29" s="50">
        <v>250.41</v>
      </c>
      <c r="N29" s="66">
        <f t="shared" si="0"/>
        <v>-1.9048760033545026E-2</v>
      </c>
      <c r="O29" s="66">
        <f t="shared" si="1"/>
        <v>-0.10578651012339767</v>
      </c>
      <c r="P29" s="4">
        <f t="shared" si="2"/>
        <v>0.24999999999999997</v>
      </c>
      <c r="Q29" s="4">
        <f t="shared" si="3"/>
        <v>0.12</v>
      </c>
      <c r="R29" s="66">
        <f t="shared" si="4"/>
        <v>-1.9048760033545026E-2</v>
      </c>
      <c r="S29" s="66">
        <f t="shared" si="5"/>
        <v>-0.10578651012339767</v>
      </c>
      <c r="T29" s="50" t="str">
        <f t="shared" si="6"/>
        <v/>
      </c>
      <c r="U29" s="50" t="str">
        <f t="shared" si="7"/>
        <v/>
      </c>
    </row>
    <row r="30" spans="1:21" x14ac:dyDescent="0.2">
      <c r="A30" s="38">
        <v>32094</v>
      </c>
      <c r="B30" s="4">
        <v>0.31</v>
      </c>
      <c r="C30" s="4">
        <v>0.41</v>
      </c>
      <c r="D30" s="4">
        <v>0.28000000000000003</v>
      </c>
      <c r="E30" s="50">
        <v>1</v>
      </c>
      <c r="F30" s="50">
        <v>0.42625000000000002</v>
      </c>
      <c r="G30" s="50">
        <v>0.03</v>
      </c>
      <c r="H30" s="50">
        <v>0.38490743662900001</v>
      </c>
      <c r="I30" s="50">
        <v>0.48829287047999997</v>
      </c>
      <c r="J30" s="50">
        <v>0.28152200277799999</v>
      </c>
      <c r="K30" s="50">
        <v>248.52</v>
      </c>
      <c r="L30" s="50">
        <v>239</v>
      </c>
      <c r="M30" s="50">
        <v>245.64</v>
      </c>
      <c r="N30" s="66">
        <f t="shared" si="0"/>
        <v>-1.4818433479889214E-2</v>
      </c>
      <c r="O30" s="66">
        <f t="shared" si="1"/>
        <v>-4.2012701514411312E-2</v>
      </c>
      <c r="P30" s="4">
        <f t="shared" si="2"/>
        <v>2.9999999999999971E-2</v>
      </c>
      <c r="Q30" s="4">
        <f t="shared" si="3"/>
        <v>0.11749999999999998</v>
      </c>
      <c r="R30" s="66">
        <f t="shared" si="4"/>
        <v>-1.4818433479889214E-2</v>
      </c>
      <c r="S30" s="66">
        <f t="shared" si="5"/>
        <v>-4.2012701514411312E-2</v>
      </c>
      <c r="T30" s="50" t="str">
        <f t="shared" si="6"/>
        <v/>
      </c>
      <c r="U30" s="50" t="str">
        <f t="shared" si="7"/>
        <v/>
      </c>
    </row>
    <row r="31" spans="1:21" x14ac:dyDescent="0.2">
      <c r="A31" s="38">
        <v>32101</v>
      </c>
      <c r="B31" s="4">
        <v>0.39</v>
      </c>
      <c r="C31" s="4">
        <v>0.42</v>
      </c>
      <c r="D31" s="4">
        <v>0.19</v>
      </c>
      <c r="E31" s="50">
        <v>1</v>
      </c>
      <c r="F31" s="50">
        <v>0.40875</v>
      </c>
      <c r="G31" s="50">
        <v>0.2</v>
      </c>
      <c r="H31" s="50">
        <v>0.38490743662900001</v>
      </c>
      <c r="I31" s="50">
        <v>0.48829287047999997</v>
      </c>
      <c r="J31" s="50">
        <v>0.28152200277799999</v>
      </c>
      <c r="K31" s="50">
        <v>246.76</v>
      </c>
      <c r="L31" s="50">
        <v>240.05</v>
      </c>
      <c r="M31" s="50">
        <v>242</v>
      </c>
      <c r="N31" s="66">
        <f t="shared" si="0"/>
        <v>-6.8595041322313905E-3</v>
      </c>
      <c r="O31" s="66">
        <f t="shared" si="1"/>
        <v>2.9586776859504119E-2</v>
      </c>
      <c r="P31" s="4">
        <f t="shared" si="2"/>
        <v>0.2</v>
      </c>
      <c r="Q31" s="4">
        <f t="shared" si="3"/>
        <v>0.14749999999999999</v>
      </c>
      <c r="R31" s="66">
        <f t="shared" si="4"/>
        <v>-6.8595041322313905E-3</v>
      </c>
      <c r="S31" s="66">
        <f t="shared" si="5"/>
        <v>2.9586776859504119E-2</v>
      </c>
      <c r="T31" s="50" t="str">
        <f t="shared" si="6"/>
        <v/>
      </c>
      <c r="U31" s="50">
        <f t="shared" si="7"/>
        <v>1</v>
      </c>
    </row>
    <row r="32" spans="1:21" x14ac:dyDescent="0.2">
      <c r="A32" s="38">
        <v>32108</v>
      </c>
      <c r="B32" s="4">
        <v>0.27</v>
      </c>
      <c r="C32" s="4">
        <v>0.46</v>
      </c>
      <c r="D32" s="4">
        <v>0.27</v>
      </c>
      <c r="E32" s="50">
        <v>1</v>
      </c>
      <c r="F32" s="50">
        <v>0.38750000000000001</v>
      </c>
      <c r="G32" s="50">
        <v>0</v>
      </c>
      <c r="H32" s="50">
        <v>0.38490743662900001</v>
      </c>
      <c r="I32" s="50">
        <v>0.48829287047999997</v>
      </c>
      <c r="J32" s="50">
        <v>0.28152200277799999</v>
      </c>
      <c r="K32" s="50">
        <v>246.39</v>
      </c>
      <c r="L32" s="50">
        <v>240.34</v>
      </c>
      <c r="M32" s="50">
        <v>240.34</v>
      </c>
      <c r="N32" s="66">
        <f t="shared" si="0"/>
        <v>-6.8319880169759567E-2</v>
      </c>
      <c r="O32" s="66">
        <f t="shared" si="1"/>
        <v>4.8597819755346619E-2</v>
      </c>
      <c r="P32" s="4">
        <f t="shared" si="2"/>
        <v>0</v>
      </c>
      <c r="Q32" s="4">
        <f t="shared" si="3"/>
        <v>0.11999999999999998</v>
      </c>
      <c r="R32" s="66">
        <f t="shared" si="4"/>
        <v>-6.8319880169759567E-2</v>
      </c>
      <c r="S32" s="66">
        <f t="shared" si="5"/>
        <v>4.8597819755346619E-2</v>
      </c>
      <c r="T32" s="50" t="str">
        <f t="shared" si="6"/>
        <v/>
      </c>
      <c r="U32" s="50">
        <f t="shared" si="7"/>
        <v>1</v>
      </c>
    </row>
    <row r="33" spans="1:21" x14ac:dyDescent="0.2">
      <c r="A33" s="38">
        <v>32115</v>
      </c>
      <c r="B33" s="4">
        <v>0.25</v>
      </c>
      <c r="C33" s="4">
        <v>0.33</v>
      </c>
      <c r="D33" s="4">
        <v>0.42</v>
      </c>
      <c r="E33" s="50">
        <v>1</v>
      </c>
      <c r="F33" s="50">
        <v>0.36125000000000002</v>
      </c>
      <c r="G33" s="50">
        <v>-0.17</v>
      </c>
      <c r="H33" s="50">
        <v>0.38490743662900001</v>
      </c>
      <c r="I33" s="50">
        <v>0.48829287047999997</v>
      </c>
      <c r="J33" s="50">
        <v>0.28152200277799999</v>
      </c>
      <c r="K33" s="50">
        <v>233.45</v>
      </c>
      <c r="L33" s="50">
        <v>223.92</v>
      </c>
      <c r="M33" s="50">
        <v>223.92</v>
      </c>
      <c r="N33" s="66">
        <f t="shared" si="0"/>
        <v>5.0911039657020395E-2</v>
      </c>
      <c r="O33" s="66">
        <f t="shared" si="1"/>
        <v>0.10342979635584149</v>
      </c>
      <c r="P33" s="4">
        <f t="shared" si="2"/>
        <v>-0.16999999999999998</v>
      </c>
      <c r="Q33" s="4">
        <f t="shared" si="3"/>
        <v>1.4999999999999999E-2</v>
      </c>
      <c r="R33" s="66">
        <f t="shared" si="4"/>
        <v>5.0911039657020395E-2</v>
      </c>
      <c r="S33" s="66">
        <f t="shared" si="5"/>
        <v>0.10342979635584149</v>
      </c>
      <c r="T33" s="50">
        <f t="shared" si="6"/>
        <v>1</v>
      </c>
      <c r="U33" s="50">
        <f t="shared" si="7"/>
        <v>1</v>
      </c>
    </row>
    <row r="34" spans="1:21" x14ac:dyDescent="0.2">
      <c r="A34" s="38">
        <v>32122</v>
      </c>
      <c r="B34" s="4">
        <v>0.23</v>
      </c>
      <c r="C34" s="4">
        <v>0.45</v>
      </c>
      <c r="D34" s="4">
        <v>0.32</v>
      </c>
      <c r="E34" s="50">
        <v>1</v>
      </c>
      <c r="F34" s="50">
        <v>0.34375</v>
      </c>
      <c r="G34" s="50">
        <v>-0.09</v>
      </c>
      <c r="H34" s="50">
        <v>0.38490743662900001</v>
      </c>
      <c r="I34" s="50">
        <v>0.48829287047999997</v>
      </c>
      <c r="J34" s="50">
        <v>0.28152200277799999</v>
      </c>
      <c r="K34" s="50">
        <v>238.89</v>
      </c>
      <c r="L34" s="50">
        <v>228.76</v>
      </c>
      <c r="M34" s="50">
        <v>235.32</v>
      </c>
      <c r="N34" s="66">
        <f t="shared" si="0"/>
        <v>5.8813530511643737E-2</v>
      </c>
      <c r="O34" s="66">
        <f t="shared" si="1"/>
        <v>3.4336223015468355E-2</v>
      </c>
      <c r="P34" s="4">
        <f t="shared" si="2"/>
        <v>-0.09</v>
      </c>
      <c r="Q34" s="4">
        <f t="shared" si="3"/>
        <v>-1.4999999999999993E-2</v>
      </c>
      <c r="R34" s="66">
        <f t="shared" si="4"/>
        <v>5.8813530511643737E-2</v>
      </c>
      <c r="S34" s="66">
        <f t="shared" si="5"/>
        <v>3.4336223015468355E-2</v>
      </c>
      <c r="T34" s="50">
        <f t="shared" si="6"/>
        <v>1</v>
      </c>
      <c r="U34" s="50">
        <f t="shared" si="7"/>
        <v>1</v>
      </c>
    </row>
    <row r="35" spans="1:21" x14ac:dyDescent="0.2">
      <c r="A35" s="38">
        <v>32129</v>
      </c>
      <c r="B35" s="4">
        <v>0.33</v>
      </c>
      <c r="C35" s="4">
        <v>0.4</v>
      </c>
      <c r="D35" s="4">
        <v>0.27</v>
      </c>
      <c r="E35" s="50">
        <v>1</v>
      </c>
      <c r="F35" s="50">
        <v>0.33624999999999999</v>
      </c>
      <c r="G35" s="50">
        <v>0.06</v>
      </c>
      <c r="H35" s="50">
        <v>0.38490743662900001</v>
      </c>
      <c r="I35" s="50">
        <v>0.48829287047999997</v>
      </c>
      <c r="J35" s="50">
        <v>0.28152200277799999</v>
      </c>
      <c r="K35" s="50">
        <v>249.16</v>
      </c>
      <c r="L35" s="50">
        <v>242.19</v>
      </c>
      <c r="M35" s="50">
        <v>249.16</v>
      </c>
      <c r="N35" s="66">
        <f t="shared" si="0"/>
        <v>1.1478567988441218E-2</v>
      </c>
      <c r="O35" s="66">
        <f t="shared" si="1"/>
        <v>1.1598972547760534E-2</v>
      </c>
      <c r="P35" s="4">
        <f t="shared" si="2"/>
        <v>0.06</v>
      </c>
      <c r="Q35" s="4">
        <f t="shared" si="3"/>
        <v>-0.05</v>
      </c>
      <c r="R35" s="66">
        <f t="shared" si="4"/>
        <v>1.1478567988441218E-2</v>
      </c>
      <c r="S35" s="66">
        <f t="shared" si="5"/>
        <v>1.1598972547760534E-2</v>
      </c>
      <c r="T35" s="50">
        <f t="shared" si="6"/>
        <v>1</v>
      </c>
      <c r="U35" s="50">
        <f t="shared" si="7"/>
        <v>1</v>
      </c>
    </row>
    <row r="36" spans="1:21" x14ac:dyDescent="0.2">
      <c r="A36" s="38">
        <v>32135</v>
      </c>
      <c r="B36" s="4">
        <v>0.28000000000000003</v>
      </c>
      <c r="C36" s="4">
        <v>0.52</v>
      </c>
      <c r="D36" s="4">
        <v>0.2</v>
      </c>
      <c r="E36" s="50">
        <v>1</v>
      </c>
      <c r="F36" s="50">
        <v>0.31624999999999998</v>
      </c>
      <c r="G36" s="50">
        <v>0.08</v>
      </c>
      <c r="H36" s="50">
        <v>0.38490743662900001</v>
      </c>
      <c r="I36" s="50">
        <v>0.48829287047999997</v>
      </c>
      <c r="J36" s="50">
        <v>0.28152200277799999</v>
      </c>
      <c r="K36" s="50">
        <v>253.16</v>
      </c>
      <c r="L36" s="50">
        <v>249.54</v>
      </c>
      <c r="M36" s="50">
        <v>252.02</v>
      </c>
      <c r="N36" s="66">
        <f t="shared" si="0"/>
        <v>-1.9601618919133392E-2</v>
      </c>
      <c r="O36" s="66">
        <f t="shared" si="1"/>
        <v>-2.1903023569558012E-2</v>
      </c>
      <c r="P36" s="4">
        <f t="shared" si="2"/>
        <v>8.0000000000000016E-2</v>
      </c>
      <c r="Q36" s="4">
        <f t="shared" si="3"/>
        <v>-0.03</v>
      </c>
      <c r="R36" s="66">
        <f t="shared" si="4"/>
        <v>-1.9601618919133392E-2</v>
      </c>
      <c r="S36" s="66">
        <f t="shared" si="5"/>
        <v>-2.1903023569558012E-2</v>
      </c>
      <c r="T36" s="50" t="str">
        <f t="shared" si="6"/>
        <v/>
      </c>
      <c r="U36" s="50" t="str">
        <f t="shared" si="7"/>
        <v/>
      </c>
    </row>
    <row r="37" spans="1:21" x14ac:dyDescent="0.2">
      <c r="A37" s="38">
        <v>32142</v>
      </c>
      <c r="B37" s="4">
        <v>0.25</v>
      </c>
      <c r="C37" s="4">
        <v>0.49</v>
      </c>
      <c r="D37" s="4">
        <v>0.26</v>
      </c>
      <c r="E37" s="50">
        <v>1</v>
      </c>
      <c r="F37" s="50">
        <v>0.28875000000000001</v>
      </c>
      <c r="G37" s="50">
        <v>-0.01</v>
      </c>
      <c r="H37" s="50">
        <v>0.38490743662900001</v>
      </c>
      <c r="I37" s="50">
        <v>0.48829287047999997</v>
      </c>
      <c r="J37" s="50">
        <v>0.28152200277799999</v>
      </c>
      <c r="K37" s="50">
        <v>247.86</v>
      </c>
      <c r="L37" s="50">
        <v>244.59</v>
      </c>
      <c r="M37" s="50">
        <v>247.08</v>
      </c>
      <c r="N37" s="66">
        <f t="shared" si="0"/>
        <v>-1.4893961469969267E-2</v>
      </c>
      <c r="O37" s="66">
        <f t="shared" si="1"/>
        <v>4.0432248664400115E-2</v>
      </c>
      <c r="P37" s="4">
        <f t="shared" si="2"/>
        <v>-1.0000000000000009E-2</v>
      </c>
      <c r="Q37" s="4">
        <f t="shared" si="3"/>
        <v>1.0000000000000002E-2</v>
      </c>
      <c r="R37" s="66">
        <f t="shared" si="4"/>
        <v>-1.4893961469969267E-2</v>
      </c>
      <c r="S37" s="66">
        <f t="shared" si="5"/>
        <v>4.0432248664400115E-2</v>
      </c>
      <c r="T37" s="50" t="str">
        <f t="shared" si="6"/>
        <v/>
      </c>
      <c r="U37" s="50">
        <f t="shared" si="7"/>
        <v>1</v>
      </c>
    </row>
    <row r="38" spans="1:21" x14ac:dyDescent="0.2">
      <c r="A38" s="38">
        <v>32150</v>
      </c>
      <c r="B38" s="4">
        <v>0.34</v>
      </c>
      <c r="C38" s="4">
        <v>0.46</v>
      </c>
      <c r="D38" s="4">
        <v>0.2</v>
      </c>
      <c r="E38" s="50">
        <v>1</v>
      </c>
      <c r="F38" s="50">
        <v>0.29249999999999998</v>
      </c>
      <c r="G38" s="50">
        <v>0.14000000000000001</v>
      </c>
      <c r="H38" s="50">
        <v>0.38490743662900001</v>
      </c>
      <c r="I38" s="50">
        <v>0.48829287047999997</v>
      </c>
      <c r="J38" s="50">
        <v>0.28152200277799999</v>
      </c>
      <c r="K38" s="50">
        <v>261.07</v>
      </c>
      <c r="L38" s="50">
        <v>243.4</v>
      </c>
      <c r="M38" s="50">
        <v>243.4</v>
      </c>
      <c r="N38" s="66">
        <f t="shared" si="0"/>
        <v>3.5538208709942502E-2</v>
      </c>
      <c r="O38" s="66">
        <f t="shared" si="1"/>
        <v>3.1059983566146272E-2</v>
      </c>
      <c r="P38" s="4">
        <f t="shared" si="2"/>
        <v>0.14000000000000001</v>
      </c>
      <c r="Q38" s="4">
        <f t="shared" si="3"/>
        <v>6.7500000000000004E-2</v>
      </c>
      <c r="R38" s="66">
        <f t="shared" si="4"/>
        <v>3.5538208709942502E-2</v>
      </c>
      <c r="S38" s="66">
        <f t="shared" si="5"/>
        <v>3.1059983566146272E-2</v>
      </c>
      <c r="T38" s="50">
        <f t="shared" si="6"/>
        <v>1</v>
      </c>
      <c r="U38" s="50">
        <f t="shared" si="7"/>
        <v>1</v>
      </c>
    </row>
    <row r="39" spans="1:21" x14ac:dyDescent="0.2">
      <c r="A39" s="38">
        <v>32157</v>
      </c>
      <c r="B39" s="4">
        <v>0.34</v>
      </c>
      <c r="C39" s="4">
        <v>0.4</v>
      </c>
      <c r="D39" s="4">
        <v>0.26</v>
      </c>
      <c r="E39" s="50">
        <v>1</v>
      </c>
      <c r="F39" s="50">
        <v>0.28625</v>
      </c>
      <c r="G39" s="50">
        <v>0.08</v>
      </c>
      <c r="H39" s="50">
        <v>0.38490743662900001</v>
      </c>
      <c r="I39" s="50">
        <v>0.48829287047999997</v>
      </c>
      <c r="J39" s="50">
        <v>0.28152200277799999</v>
      </c>
      <c r="K39" s="50">
        <v>252.05</v>
      </c>
      <c r="L39" s="50">
        <v>245.42</v>
      </c>
      <c r="M39" s="50">
        <v>252.05</v>
      </c>
      <c r="N39" s="66">
        <f t="shared" si="0"/>
        <v>-2.2019440587185128E-2</v>
      </c>
      <c r="O39" s="66">
        <f t="shared" si="1"/>
        <v>2.2138464590358991E-2</v>
      </c>
      <c r="P39" s="4">
        <f t="shared" si="2"/>
        <v>8.0000000000000016E-2</v>
      </c>
      <c r="Q39" s="4">
        <f t="shared" si="3"/>
        <v>7.2500000000000009E-2</v>
      </c>
      <c r="R39" s="66">
        <f t="shared" si="4"/>
        <v>-2.2019440587185128E-2</v>
      </c>
      <c r="S39" s="66">
        <f t="shared" si="5"/>
        <v>2.2138464590358991E-2</v>
      </c>
      <c r="T39" s="50" t="str">
        <f t="shared" si="6"/>
        <v/>
      </c>
      <c r="U39" s="50">
        <f t="shared" si="7"/>
        <v>1</v>
      </c>
    </row>
    <row r="40" spans="1:21" x14ac:dyDescent="0.2">
      <c r="A40" s="38">
        <v>32164</v>
      </c>
      <c r="B40" s="4">
        <v>0.21</v>
      </c>
      <c r="C40" s="4">
        <v>0.48</v>
      </c>
      <c r="D40" s="4">
        <v>0.31</v>
      </c>
      <c r="E40" s="50">
        <v>1</v>
      </c>
      <c r="F40" s="50">
        <v>0.27875</v>
      </c>
      <c r="G40" s="50">
        <v>-0.1</v>
      </c>
      <c r="H40" s="50">
        <v>0.38490743662900001</v>
      </c>
      <c r="I40" s="50">
        <v>0.48829287047999997</v>
      </c>
      <c r="J40" s="50">
        <v>0.28152200277799999</v>
      </c>
      <c r="K40" s="50">
        <v>251.88</v>
      </c>
      <c r="L40" s="50">
        <v>242.63</v>
      </c>
      <c r="M40" s="50">
        <v>246.5</v>
      </c>
      <c r="N40" s="66">
        <f t="shared" si="0"/>
        <v>4.2880324543610522E-2</v>
      </c>
      <c r="O40" s="66">
        <f t="shared" si="1"/>
        <v>6.1298174442190725E-2</v>
      </c>
      <c r="P40" s="4">
        <f t="shared" si="2"/>
        <v>-0.1</v>
      </c>
      <c r="Q40" s="4">
        <f t="shared" si="3"/>
        <v>2.7500000000000004E-2</v>
      </c>
      <c r="R40" s="66">
        <f t="shared" si="4"/>
        <v>4.2880324543610522E-2</v>
      </c>
      <c r="S40" s="66">
        <f t="shared" si="5"/>
        <v>6.1298174442190725E-2</v>
      </c>
      <c r="T40" s="50">
        <f t="shared" si="6"/>
        <v>1</v>
      </c>
      <c r="U40" s="50">
        <f t="shared" si="7"/>
        <v>1</v>
      </c>
    </row>
    <row r="41" spans="1:21" x14ac:dyDescent="0.2">
      <c r="A41" s="38">
        <v>32171</v>
      </c>
      <c r="B41" s="4">
        <v>0.26</v>
      </c>
      <c r="C41" s="4">
        <v>0.45</v>
      </c>
      <c r="D41" s="4">
        <v>0.28999999999999998</v>
      </c>
      <c r="E41" s="50">
        <v>1</v>
      </c>
      <c r="F41" s="50">
        <v>0.28000000000000003</v>
      </c>
      <c r="G41" s="50">
        <v>-0.03</v>
      </c>
      <c r="H41" s="50">
        <v>0.38490743662900001</v>
      </c>
      <c r="I41" s="50">
        <v>0.48829287047999997</v>
      </c>
      <c r="J41" s="50">
        <v>0.28152200277799999</v>
      </c>
      <c r="K41" s="50">
        <v>257.07</v>
      </c>
      <c r="L41" s="50">
        <v>249.38</v>
      </c>
      <c r="M41" s="50">
        <v>257.07</v>
      </c>
      <c r="N41" s="66">
        <f t="shared" si="0"/>
        <v>-2.3767845333955675E-2</v>
      </c>
      <c r="O41" s="66">
        <f t="shared" si="1"/>
        <v>2.0967051775780864E-2</v>
      </c>
      <c r="P41" s="4">
        <f t="shared" si="2"/>
        <v>-2.9999999999999971E-2</v>
      </c>
      <c r="Q41" s="4">
        <f t="shared" si="3"/>
        <v>2.2500000000000013E-2</v>
      </c>
      <c r="R41" s="66">
        <f t="shared" si="4"/>
        <v>-2.3767845333955675E-2</v>
      </c>
      <c r="S41" s="66">
        <f t="shared" si="5"/>
        <v>2.0967051775780864E-2</v>
      </c>
      <c r="T41" s="50" t="str">
        <f t="shared" si="6"/>
        <v/>
      </c>
      <c r="U41" s="50">
        <f t="shared" si="7"/>
        <v>1</v>
      </c>
    </row>
    <row r="42" spans="1:21" x14ac:dyDescent="0.2">
      <c r="A42" s="38">
        <v>32178</v>
      </c>
      <c r="B42" s="4">
        <v>0.32</v>
      </c>
      <c r="C42" s="4">
        <v>0.53</v>
      </c>
      <c r="D42" s="4">
        <v>0.15</v>
      </c>
      <c r="E42" s="50">
        <v>1</v>
      </c>
      <c r="F42" s="50">
        <v>0.29125000000000001</v>
      </c>
      <c r="G42" s="50">
        <v>0.17</v>
      </c>
      <c r="H42" s="50">
        <v>0.38490743662900001</v>
      </c>
      <c r="I42" s="50">
        <v>0.48829287047999997</v>
      </c>
      <c r="J42" s="50">
        <v>0.28152200277799999</v>
      </c>
      <c r="K42" s="50">
        <v>255.57</v>
      </c>
      <c r="L42" s="50">
        <v>250.96</v>
      </c>
      <c r="M42" s="50">
        <v>250.96</v>
      </c>
      <c r="N42" s="66">
        <f t="shared" si="0"/>
        <v>2.6577940707682449E-2</v>
      </c>
      <c r="O42" s="66">
        <f t="shared" si="1"/>
        <v>6.5109977685686979E-2</v>
      </c>
      <c r="P42" s="4">
        <f t="shared" si="2"/>
        <v>0.17</v>
      </c>
      <c r="Q42" s="4">
        <f t="shared" si="3"/>
        <v>3.0000000000000013E-2</v>
      </c>
      <c r="R42" s="66">
        <f t="shared" si="4"/>
        <v>2.6577940707682449E-2</v>
      </c>
      <c r="S42" s="66">
        <f t="shared" si="5"/>
        <v>6.5109977685686979E-2</v>
      </c>
      <c r="T42" s="50">
        <f t="shared" si="6"/>
        <v>1</v>
      </c>
      <c r="U42" s="50">
        <f t="shared" si="7"/>
        <v>1</v>
      </c>
    </row>
    <row r="43" spans="1:21" x14ac:dyDescent="0.2">
      <c r="A43" s="38">
        <v>32185</v>
      </c>
      <c r="B43" s="4">
        <v>0.32</v>
      </c>
      <c r="C43" s="4">
        <v>0.46</v>
      </c>
      <c r="D43" s="4">
        <v>0.22</v>
      </c>
      <c r="E43" s="50">
        <v>1</v>
      </c>
      <c r="F43" s="50">
        <v>0.28999999999999998</v>
      </c>
      <c r="G43" s="50">
        <v>0.1</v>
      </c>
      <c r="H43" s="50">
        <v>0.38490743662900001</v>
      </c>
      <c r="I43" s="50">
        <v>0.48829287047999997</v>
      </c>
      <c r="J43" s="50">
        <v>0.28152200277799999</v>
      </c>
      <c r="K43" s="50">
        <v>257.63</v>
      </c>
      <c r="L43" s="50">
        <v>249.1</v>
      </c>
      <c r="M43" s="50">
        <v>257.63</v>
      </c>
      <c r="N43" s="66">
        <f t="shared" si="0"/>
        <v>1.5448511431122223E-2</v>
      </c>
      <c r="O43" s="66">
        <f t="shared" si="1"/>
        <v>2.8374024764196724E-2</v>
      </c>
      <c r="P43" s="4">
        <f t="shared" si="2"/>
        <v>0.1</v>
      </c>
      <c r="Q43" s="4">
        <f t="shared" si="3"/>
        <v>3.500000000000001E-2</v>
      </c>
      <c r="R43" s="66">
        <f t="shared" si="4"/>
        <v>1.5448511431122223E-2</v>
      </c>
      <c r="S43" s="66">
        <f t="shared" si="5"/>
        <v>2.8374024764196724E-2</v>
      </c>
      <c r="T43" s="50">
        <f t="shared" si="6"/>
        <v>1</v>
      </c>
      <c r="U43" s="50">
        <f t="shared" si="7"/>
        <v>1</v>
      </c>
    </row>
    <row r="44" spans="1:21" x14ac:dyDescent="0.2">
      <c r="A44" s="38">
        <v>32192</v>
      </c>
      <c r="B44" s="4">
        <v>0.27</v>
      </c>
      <c r="C44" s="4">
        <v>0.49</v>
      </c>
      <c r="D44" s="4">
        <v>0.24</v>
      </c>
      <c r="E44" s="50">
        <v>1</v>
      </c>
      <c r="F44" s="50">
        <v>0.28875000000000001</v>
      </c>
      <c r="G44" s="50">
        <v>0.03</v>
      </c>
      <c r="H44" s="50">
        <v>0.38490743662900001</v>
      </c>
      <c r="I44" s="50">
        <v>0.48829287047999997</v>
      </c>
      <c r="J44" s="50">
        <v>0.28152200277799999</v>
      </c>
      <c r="K44" s="50">
        <v>261.61</v>
      </c>
      <c r="L44" s="50">
        <v>257.91000000000003</v>
      </c>
      <c r="M44" s="50">
        <v>261.61</v>
      </c>
      <c r="N44" s="66">
        <f t="shared" si="0"/>
        <v>3.249111272504743E-3</v>
      </c>
      <c r="O44" s="66">
        <f t="shared" si="1"/>
        <v>3.6351821413554489E-2</v>
      </c>
      <c r="P44" s="4">
        <f t="shared" si="2"/>
        <v>3.0000000000000027E-2</v>
      </c>
      <c r="Q44" s="4">
        <f t="shared" si="3"/>
        <v>6.7500000000000018E-2</v>
      </c>
      <c r="R44" s="66">
        <f t="shared" si="4"/>
        <v>3.249111272504743E-3</v>
      </c>
      <c r="S44" s="66">
        <f t="shared" si="5"/>
        <v>3.6351821413554489E-2</v>
      </c>
      <c r="T44" s="50">
        <f t="shared" si="6"/>
        <v>1</v>
      </c>
      <c r="U44" s="50">
        <f t="shared" si="7"/>
        <v>1</v>
      </c>
    </row>
    <row r="45" spans="1:21" x14ac:dyDescent="0.2">
      <c r="A45" s="38">
        <v>32199</v>
      </c>
      <c r="B45" s="4">
        <v>0.3</v>
      </c>
      <c r="C45" s="4">
        <v>0.51</v>
      </c>
      <c r="D45" s="4">
        <v>0.19</v>
      </c>
      <c r="E45" s="50">
        <v>1</v>
      </c>
      <c r="F45" s="50">
        <v>0.29499999999999998</v>
      </c>
      <c r="G45" s="50">
        <v>0.11</v>
      </c>
      <c r="H45" s="50">
        <v>0.38490743662900001</v>
      </c>
      <c r="I45" s="50">
        <v>0.48829287047999997</v>
      </c>
      <c r="J45" s="50">
        <v>0.28152200277799999</v>
      </c>
      <c r="K45" s="50">
        <v>265.64</v>
      </c>
      <c r="L45" s="50">
        <v>261.58</v>
      </c>
      <c r="M45" s="50">
        <v>262.45999999999998</v>
      </c>
      <c r="N45" s="66">
        <f t="shared" si="0"/>
        <v>1.8440905280804817E-2</v>
      </c>
      <c r="O45" s="66">
        <f t="shared" si="1"/>
        <v>-1.504991236759883E-2</v>
      </c>
      <c r="P45" s="4">
        <f t="shared" si="2"/>
        <v>0.10999999999999999</v>
      </c>
      <c r="Q45" s="4">
        <f t="shared" si="3"/>
        <v>0.10250000000000001</v>
      </c>
      <c r="R45" s="66">
        <f t="shared" si="4"/>
        <v>1.8440905280804817E-2</v>
      </c>
      <c r="S45" s="66">
        <f t="shared" si="5"/>
        <v>-1.504991236759883E-2</v>
      </c>
      <c r="T45" s="50">
        <f t="shared" si="6"/>
        <v>1</v>
      </c>
      <c r="U45" s="50" t="str">
        <f t="shared" si="7"/>
        <v/>
      </c>
    </row>
    <row r="46" spans="1:21" x14ac:dyDescent="0.2">
      <c r="A46" s="38">
        <v>32206</v>
      </c>
      <c r="B46" s="4">
        <v>0.38</v>
      </c>
      <c r="C46" s="4">
        <v>0.4</v>
      </c>
      <c r="D46" s="4">
        <v>0.22</v>
      </c>
      <c r="E46" s="50">
        <v>1</v>
      </c>
      <c r="F46" s="50">
        <v>0.3</v>
      </c>
      <c r="G46" s="50">
        <v>0.16</v>
      </c>
      <c r="H46" s="50">
        <v>0.38490743662900001</v>
      </c>
      <c r="I46" s="50">
        <v>0.48829287047999997</v>
      </c>
      <c r="J46" s="50">
        <v>0.28152200277799999</v>
      </c>
      <c r="K46" s="50">
        <v>267.98</v>
      </c>
      <c r="L46" s="50">
        <v>267.22000000000003</v>
      </c>
      <c r="M46" s="50">
        <v>267.3</v>
      </c>
      <c r="N46" s="66">
        <f t="shared" si="0"/>
        <v>-8.8290310512533238E-3</v>
      </c>
      <c r="O46" s="66">
        <f t="shared" si="1"/>
        <v>-3.1462775907220443E-2</v>
      </c>
      <c r="P46" s="4">
        <f t="shared" si="2"/>
        <v>0.16</v>
      </c>
      <c r="Q46" s="4">
        <f t="shared" si="3"/>
        <v>0.1</v>
      </c>
      <c r="R46" s="66">
        <f t="shared" si="4"/>
        <v>-8.8290310512533238E-3</v>
      </c>
      <c r="S46" s="66">
        <f t="shared" si="5"/>
        <v>-3.1462775907220443E-2</v>
      </c>
      <c r="T46" s="50" t="str">
        <f t="shared" si="6"/>
        <v/>
      </c>
      <c r="U46" s="50" t="str">
        <f t="shared" si="7"/>
        <v/>
      </c>
    </row>
    <row r="47" spans="1:21" x14ac:dyDescent="0.2">
      <c r="A47" s="38">
        <v>32213</v>
      </c>
      <c r="B47" s="4">
        <v>0.43</v>
      </c>
      <c r="C47" s="4">
        <v>0.4</v>
      </c>
      <c r="D47" s="4">
        <v>0.17</v>
      </c>
      <c r="E47" s="50">
        <v>1</v>
      </c>
      <c r="F47" s="50">
        <v>0.31125000000000003</v>
      </c>
      <c r="G47" s="50">
        <v>0.26</v>
      </c>
      <c r="H47" s="50">
        <v>0.38490743662900001</v>
      </c>
      <c r="I47" s="50">
        <v>0.48829287047999997</v>
      </c>
      <c r="J47" s="50">
        <v>0.28152200277799999</v>
      </c>
      <c r="K47" s="50">
        <v>269.43</v>
      </c>
      <c r="L47" s="50">
        <v>263.83999999999997</v>
      </c>
      <c r="M47" s="50">
        <v>264.94</v>
      </c>
      <c r="N47" s="66">
        <f t="shared" si="0"/>
        <v>2.3326036083641605E-2</v>
      </c>
      <c r="O47" s="66">
        <f t="shared" si="1"/>
        <v>1.694723333584966E-2</v>
      </c>
      <c r="P47" s="4">
        <f t="shared" si="2"/>
        <v>0.26</v>
      </c>
      <c r="Q47" s="4">
        <f t="shared" si="3"/>
        <v>0.14000000000000001</v>
      </c>
      <c r="R47" s="66">
        <f t="shared" si="4"/>
        <v>2.3326036083641605E-2</v>
      </c>
      <c r="S47" s="66">
        <f t="shared" si="5"/>
        <v>1.694723333584966E-2</v>
      </c>
      <c r="T47" s="50">
        <f t="shared" si="6"/>
        <v>1</v>
      </c>
      <c r="U47" s="50">
        <f t="shared" si="7"/>
        <v>1</v>
      </c>
    </row>
    <row r="48" spans="1:21" x14ac:dyDescent="0.2">
      <c r="A48" s="38">
        <v>32220</v>
      </c>
      <c r="B48" s="4">
        <v>0.41</v>
      </c>
      <c r="C48" s="4">
        <v>0.49</v>
      </c>
      <c r="D48" s="4">
        <v>0.1</v>
      </c>
      <c r="E48" s="50">
        <v>1</v>
      </c>
      <c r="F48" s="50">
        <v>0.33624999999999999</v>
      </c>
      <c r="G48" s="50">
        <v>0.31</v>
      </c>
      <c r="H48" s="50">
        <v>0.38490743662900001</v>
      </c>
      <c r="I48" s="50">
        <v>0.48829287047999997</v>
      </c>
      <c r="J48" s="50">
        <v>0.28152200277799999</v>
      </c>
      <c r="K48" s="50">
        <v>271.22000000000003</v>
      </c>
      <c r="L48" s="50">
        <v>266.13</v>
      </c>
      <c r="M48" s="50">
        <v>271.12</v>
      </c>
      <c r="N48" s="66">
        <f t="shared" si="0"/>
        <v>-4.6510770138684029E-2</v>
      </c>
      <c r="O48" s="66">
        <f t="shared" si="1"/>
        <v>-4.1863381528474561E-2</v>
      </c>
      <c r="P48" s="4">
        <f t="shared" si="2"/>
        <v>0.30999999999999994</v>
      </c>
      <c r="Q48" s="4">
        <f t="shared" si="3"/>
        <v>0.21</v>
      </c>
      <c r="R48" s="66">
        <f t="shared" si="4"/>
        <v>-4.6510770138684029E-2</v>
      </c>
      <c r="S48" s="66">
        <f t="shared" si="5"/>
        <v>-4.1863381528474561E-2</v>
      </c>
      <c r="T48" s="50" t="str">
        <f t="shared" si="6"/>
        <v/>
      </c>
      <c r="U48" s="50" t="str">
        <f t="shared" si="7"/>
        <v/>
      </c>
    </row>
    <row r="49" spans="1:21" x14ac:dyDescent="0.2">
      <c r="A49" s="38">
        <v>32227</v>
      </c>
      <c r="B49" s="4">
        <v>0.45</v>
      </c>
      <c r="C49" s="4">
        <v>0.38</v>
      </c>
      <c r="D49" s="4">
        <v>0.17</v>
      </c>
      <c r="E49" s="50">
        <v>1</v>
      </c>
      <c r="F49" s="50">
        <v>0.36</v>
      </c>
      <c r="G49" s="50">
        <v>0.28000000000000003</v>
      </c>
      <c r="H49" s="50">
        <v>0.38490743662900001</v>
      </c>
      <c r="I49" s="50">
        <v>0.48829287047999997</v>
      </c>
      <c r="J49" s="50">
        <v>0.28152200277799999</v>
      </c>
      <c r="K49" s="50">
        <v>268.91000000000003</v>
      </c>
      <c r="L49" s="50">
        <v>258.51</v>
      </c>
      <c r="M49" s="50">
        <v>258.51</v>
      </c>
      <c r="N49" s="66">
        <f t="shared" si="0"/>
        <v>1.4699624772735889E-3</v>
      </c>
      <c r="O49" s="66">
        <f t="shared" si="1"/>
        <v>6.3053653630420316E-3</v>
      </c>
      <c r="P49" s="4">
        <f t="shared" si="2"/>
        <v>0.28000000000000003</v>
      </c>
      <c r="Q49" s="4">
        <f t="shared" si="3"/>
        <v>0.2525</v>
      </c>
      <c r="R49" s="66">
        <f t="shared" si="4"/>
        <v>1.4699624772735889E-3</v>
      </c>
      <c r="S49" s="66">
        <f t="shared" si="5"/>
        <v>6.3053653630420316E-3</v>
      </c>
      <c r="T49" s="50">
        <f t="shared" si="6"/>
        <v>1</v>
      </c>
      <c r="U49" s="50">
        <f t="shared" si="7"/>
        <v>1</v>
      </c>
    </row>
    <row r="50" spans="1:21" x14ac:dyDescent="0.2">
      <c r="A50" s="38">
        <v>32234</v>
      </c>
      <c r="B50" s="4">
        <v>0.35</v>
      </c>
      <c r="C50" s="4">
        <v>0.45</v>
      </c>
      <c r="D50" s="4">
        <v>0.2</v>
      </c>
      <c r="E50" s="50">
        <v>1</v>
      </c>
      <c r="F50" s="50">
        <v>0.36375000000000002</v>
      </c>
      <c r="G50" s="50">
        <v>0.15</v>
      </c>
      <c r="H50" s="50">
        <v>0.38490743662900001</v>
      </c>
      <c r="I50" s="50">
        <v>0.48829287047999997</v>
      </c>
      <c r="J50" s="50">
        <v>0.28152200277799999</v>
      </c>
      <c r="K50" s="50">
        <v>260.07</v>
      </c>
      <c r="L50" s="50">
        <v>258.06</v>
      </c>
      <c r="M50" s="50">
        <v>258.89</v>
      </c>
      <c r="N50" s="66">
        <f t="shared" si="0"/>
        <v>4.0712271621151923E-2</v>
      </c>
      <c r="O50" s="66">
        <f t="shared" si="1"/>
        <v>9.4248522538529795E-3</v>
      </c>
      <c r="P50" s="4">
        <f t="shared" si="2"/>
        <v>0.14999999999999997</v>
      </c>
      <c r="Q50" s="4">
        <f t="shared" si="3"/>
        <v>0.25</v>
      </c>
      <c r="R50" s="66">
        <f t="shared" si="4"/>
        <v>4.0712271621151923E-2</v>
      </c>
      <c r="S50" s="66">
        <f t="shared" si="5"/>
        <v>9.4248522538529795E-3</v>
      </c>
      <c r="T50" s="50">
        <f t="shared" si="6"/>
        <v>1</v>
      </c>
      <c r="U50" s="50">
        <f t="shared" si="7"/>
        <v>1</v>
      </c>
    </row>
    <row r="51" spans="1:21" x14ac:dyDescent="0.2">
      <c r="A51" s="38">
        <v>32241</v>
      </c>
      <c r="B51" s="4">
        <v>0.33</v>
      </c>
      <c r="C51" s="4">
        <v>0.48</v>
      </c>
      <c r="D51" s="4">
        <v>0.19</v>
      </c>
      <c r="E51" s="50">
        <v>1</v>
      </c>
      <c r="F51" s="50">
        <v>0.36499999999999999</v>
      </c>
      <c r="G51" s="50">
        <v>0.14000000000000001</v>
      </c>
      <c r="H51" s="50">
        <v>0.38490743662900001</v>
      </c>
      <c r="I51" s="50">
        <v>0.48829287047999997</v>
      </c>
      <c r="J51" s="50">
        <v>0.28152200277799999</v>
      </c>
      <c r="K51" s="50">
        <v>269.43</v>
      </c>
      <c r="L51" s="50">
        <v>256.08999999999997</v>
      </c>
      <c r="M51" s="50">
        <v>269.43</v>
      </c>
      <c r="N51" s="66">
        <f t="shared" si="0"/>
        <v>-3.5853468433359403E-2</v>
      </c>
      <c r="O51" s="66">
        <f t="shared" si="1"/>
        <v>-4.4352893144787103E-2</v>
      </c>
      <c r="P51" s="4">
        <f t="shared" si="2"/>
        <v>0.14000000000000001</v>
      </c>
      <c r="Q51" s="4">
        <f t="shared" si="3"/>
        <v>0.22</v>
      </c>
      <c r="R51" s="66">
        <f t="shared" si="4"/>
        <v>-3.5853468433359403E-2</v>
      </c>
      <c r="S51" s="66">
        <f t="shared" si="5"/>
        <v>-4.4352893144787103E-2</v>
      </c>
      <c r="T51" s="50" t="str">
        <f t="shared" si="6"/>
        <v/>
      </c>
      <c r="U51" s="50" t="str">
        <f t="shared" si="7"/>
        <v/>
      </c>
    </row>
    <row r="52" spans="1:21" x14ac:dyDescent="0.2">
      <c r="A52" s="38">
        <v>32248</v>
      </c>
      <c r="B52" s="4">
        <v>0.23</v>
      </c>
      <c r="C52" s="4">
        <v>0.53</v>
      </c>
      <c r="D52" s="4">
        <v>0.24</v>
      </c>
      <c r="E52" s="50">
        <v>1</v>
      </c>
      <c r="F52" s="50">
        <v>0.36</v>
      </c>
      <c r="G52" s="50">
        <v>-0.01</v>
      </c>
      <c r="H52" s="50">
        <v>0.38490743662900001</v>
      </c>
      <c r="I52" s="50">
        <v>0.48829287047999997</v>
      </c>
      <c r="J52" s="50">
        <v>0.28152200277799999</v>
      </c>
      <c r="K52" s="50">
        <v>271.55</v>
      </c>
      <c r="L52" s="50">
        <v>259.75</v>
      </c>
      <c r="M52" s="50">
        <v>259.77</v>
      </c>
      <c r="N52" s="66">
        <f t="shared" si="0"/>
        <v>1.4243369134234306E-3</v>
      </c>
      <c r="O52" s="66">
        <f t="shared" si="1"/>
        <v>-1.15101820841514E-2</v>
      </c>
      <c r="P52" s="4">
        <f t="shared" si="2"/>
        <v>-9.9999999999999811E-3</v>
      </c>
      <c r="Q52" s="4">
        <f t="shared" si="3"/>
        <v>0.14000000000000001</v>
      </c>
      <c r="R52" s="66">
        <f t="shared" si="4"/>
        <v>1.4243369134234306E-3</v>
      </c>
      <c r="S52" s="66">
        <f t="shared" si="5"/>
        <v>-1.15101820841514E-2</v>
      </c>
      <c r="T52" s="50">
        <f t="shared" si="6"/>
        <v>1</v>
      </c>
      <c r="U52" s="50" t="str">
        <f t="shared" si="7"/>
        <v/>
      </c>
    </row>
    <row r="53" spans="1:21" x14ac:dyDescent="0.2">
      <c r="A53" s="38">
        <v>32255</v>
      </c>
      <c r="B53" s="4">
        <v>0.23</v>
      </c>
      <c r="C53" s="4">
        <v>0.56999999999999995</v>
      </c>
      <c r="D53" s="4">
        <v>0.2</v>
      </c>
      <c r="E53" s="50">
        <v>1</v>
      </c>
      <c r="F53" s="50">
        <v>0.35125000000000001</v>
      </c>
      <c r="G53" s="50">
        <v>0.03</v>
      </c>
      <c r="H53" s="50">
        <v>0.38490743662900001</v>
      </c>
      <c r="I53" s="50">
        <v>0.48829287047999997</v>
      </c>
      <c r="J53" s="50">
        <v>0.28152200277799999</v>
      </c>
      <c r="K53" s="50">
        <v>260.14</v>
      </c>
      <c r="L53" s="50">
        <v>256.13</v>
      </c>
      <c r="M53" s="50">
        <v>260.14</v>
      </c>
      <c r="N53" s="66">
        <f t="shared" si="0"/>
        <v>4.5744599062043428E-3</v>
      </c>
      <c r="O53" s="66">
        <f t="shared" si="1"/>
        <v>-2.7369877758130146E-2</v>
      </c>
      <c r="P53" s="4">
        <f t="shared" si="2"/>
        <v>0.03</v>
      </c>
      <c r="Q53" s="4">
        <f t="shared" si="3"/>
        <v>7.7500000000000013E-2</v>
      </c>
      <c r="R53" s="66">
        <f t="shared" si="4"/>
        <v>4.5744599062043428E-3</v>
      </c>
      <c r="S53" s="66">
        <f t="shared" si="5"/>
        <v>-2.7369877758130146E-2</v>
      </c>
      <c r="T53" s="50">
        <f t="shared" si="6"/>
        <v>1</v>
      </c>
      <c r="U53" s="50" t="str">
        <f t="shared" si="7"/>
        <v/>
      </c>
    </row>
    <row r="54" spans="1:21" x14ac:dyDescent="0.2">
      <c r="A54" s="38">
        <v>32262</v>
      </c>
      <c r="B54" s="4">
        <v>0.22</v>
      </c>
      <c r="C54" s="4">
        <v>0.48</v>
      </c>
      <c r="D54" s="4">
        <v>0.3</v>
      </c>
      <c r="E54" s="50">
        <v>1</v>
      </c>
      <c r="F54" s="50">
        <v>0.33124999999999999</v>
      </c>
      <c r="G54" s="50">
        <v>-0.08</v>
      </c>
      <c r="H54" s="50">
        <v>0.38490743662900001</v>
      </c>
      <c r="I54" s="50">
        <v>0.48829287047999997</v>
      </c>
      <c r="J54" s="50">
        <v>0.28152200277799999</v>
      </c>
      <c r="K54" s="50">
        <v>263.93</v>
      </c>
      <c r="L54" s="50">
        <v>261.33</v>
      </c>
      <c r="M54" s="50">
        <v>261.33</v>
      </c>
      <c r="N54" s="66">
        <f t="shared" si="0"/>
        <v>-1.4732330769524992E-2</v>
      </c>
      <c r="O54" s="66">
        <f t="shared" si="1"/>
        <v>-3.0268243217387965E-2</v>
      </c>
      <c r="P54" s="4">
        <f t="shared" si="2"/>
        <v>-7.9999999999999988E-2</v>
      </c>
      <c r="Q54" s="4">
        <f t="shared" si="3"/>
        <v>2.0000000000000011E-2</v>
      </c>
      <c r="R54" s="66">
        <f t="shared" si="4"/>
        <v>-1.4732330769524992E-2</v>
      </c>
      <c r="S54" s="66">
        <f t="shared" si="5"/>
        <v>-3.0268243217387965E-2</v>
      </c>
      <c r="T54" s="50" t="str">
        <f t="shared" si="6"/>
        <v/>
      </c>
      <c r="U54" s="50" t="str">
        <f t="shared" si="7"/>
        <v/>
      </c>
    </row>
    <row r="55" spans="1:21" x14ac:dyDescent="0.2">
      <c r="A55" s="38">
        <v>32269</v>
      </c>
      <c r="B55" s="4">
        <v>0.38</v>
      </c>
      <c r="C55" s="4">
        <v>0.42</v>
      </c>
      <c r="D55" s="4">
        <v>0.2</v>
      </c>
      <c r="E55" s="50">
        <v>1</v>
      </c>
      <c r="F55" s="50">
        <v>0.32500000000000001</v>
      </c>
      <c r="G55" s="50">
        <v>0.18</v>
      </c>
      <c r="H55" s="50">
        <v>0.38490743662900001</v>
      </c>
      <c r="I55" s="50">
        <v>0.48829287047999997</v>
      </c>
      <c r="J55" s="50">
        <v>0.28152200277799999</v>
      </c>
      <c r="K55" s="50">
        <v>263</v>
      </c>
      <c r="L55" s="50">
        <v>257.48</v>
      </c>
      <c r="M55" s="50">
        <v>257.48</v>
      </c>
      <c r="N55" s="66">
        <f t="shared" si="0"/>
        <v>-2.7186577598261822E-3</v>
      </c>
      <c r="O55" s="66">
        <f t="shared" si="1"/>
        <v>3.4837657293770273E-2</v>
      </c>
      <c r="P55" s="4">
        <f t="shared" si="2"/>
        <v>0.18</v>
      </c>
      <c r="Q55" s="4">
        <f t="shared" si="3"/>
        <v>3.0000000000000006E-2</v>
      </c>
      <c r="R55" s="66">
        <f t="shared" si="4"/>
        <v>-2.7186577598261822E-3</v>
      </c>
      <c r="S55" s="66">
        <f t="shared" si="5"/>
        <v>3.4837657293770273E-2</v>
      </c>
      <c r="T55" s="50" t="str">
        <f t="shared" si="6"/>
        <v/>
      </c>
      <c r="U55" s="50">
        <f t="shared" si="7"/>
        <v>1</v>
      </c>
    </row>
    <row r="56" spans="1:21" x14ac:dyDescent="0.2">
      <c r="A56" s="38">
        <v>32276</v>
      </c>
      <c r="B56" s="4">
        <v>0.19</v>
      </c>
      <c r="C56" s="4">
        <v>0.56000000000000005</v>
      </c>
      <c r="D56" s="4">
        <v>0.25</v>
      </c>
      <c r="E56" s="50">
        <v>1</v>
      </c>
      <c r="F56" s="50">
        <v>0.29749999999999999</v>
      </c>
      <c r="G56" s="50">
        <v>-0.06</v>
      </c>
      <c r="H56" s="50">
        <v>0.38490743662900001</v>
      </c>
      <c r="I56" s="50">
        <v>0.48829287047999997</v>
      </c>
      <c r="J56" s="50">
        <v>0.28152200277799999</v>
      </c>
      <c r="K56" s="50">
        <v>257.62</v>
      </c>
      <c r="L56" s="50">
        <v>253.31</v>
      </c>
      <c r="M56" s="50">
        <v>256.77999999999997</v>
      </c>
      <c r="N56" s="66">
        <f t="shared" si="0"/>
        <v>-1.4642884959887697E-2</v>
      </c>
      <c r="O56" s="66">
        <f t="shared" si="1"/>
        <v>5.639068463275964E-2</v>
      </c>
      <c r="P56" s="4">
        <f t="shared" si="2"/>
        <v>-0.06</v>
      </c>
      <c r="Q56" s="4">
        <f t="shared" si="3"/>
        <v>1.7500000000000002E-2</v>
      </c>
      <c r="R56" s="66">
        <f t="shared" si="4"/>
        <v>-1.4642884959887697E-2</v>
      </c>
      <c r="S56" s="66">
        <f t="shared" si="5"/>
        <v>5.639068463275964E-2</v>
      </c>
      <c r="T56" s="50" t="str">
        <f t="shared" si="6"/>
        <v/>
      </c>
      <c r="U56" s="50">
        <f t="shared" si="7"/>
        <v>1</v>
      </c>
    </row>
    <row r="57" spans="1:21" x14ac:dyDescent="0.2">
      <c r="A57" s="38">
        <v>32283</v>
      </c>
      <c r="B57" s="4">
        <v>0.23</v>
      </c>
      <c r="C57" s="4">
        <v>0.52</v>
      </c>
      <c r="D57" s="4">
        <v>0.25</v>
      </c>
      <c r="E57" s="50">
        <v>1</v>
      </c>
      <c r="F57" s="50">
        <v>0.27</v>
      </c>
      <c r="G57" s="50">
        <v>-0.02</v>
      </c>
      <c r="H57" s="50">
        <v>0.38490743662900001</v>
      </c>
      <c r="I57" s="50">
        <v>0.48829287047999997</v>
      </c>
      <c r="J57" s="50">
        <v>0.28152200277799999</v>
      </c>
      <c r="K57" s="50">
        <v>258.70999999999998</v>
      </c>
      <c r="L57" s="50">
        <v>251.35</v>
      </c>
      <c r="M57" s="50">
        <v>253.02</v>
      </c>
      <c r="N57" s="66">
        <f t="shared" si="0"/>
        <v>1.5809026954390058E-3</v>
      </c>
      <c r="O57" s="66">
        <f t="shared" si="1"/>
        <v>6.9796854003636055E-2</v>
      </c>
      <c r="P57" s="4">
        <f t="shared" si="2"/>
        <v>-1.999999999999999E-2</v>
      </c>
      <c r="Q57" s="4">
        <f t="shared" si="3"/>
        <v>5.0000000000000044E-3</v>
      </c>
      <c r="R57" s="66">
        <f t="shared" si="4"/>
        <v>1.5809026954390058E-3</v>
      </c>
      <c r="S57" s="66">
        <f t="shared" si="5"/>
        <v>6.9796854003636055E-2</v>
      </c>
      <c r="T57" s="50">
        <f t="shared" si="6"/>
        <v>1</v>
      </c>
      <c r="U57" s="50">
        <f t="shared" si="7"/>
        <v>1</v>
      </c>
    </row>
    <row r="58" spans="1:21" x14ac:dyDescent="0.2">
      <c r="A58" s="38">
        <v>32290</v>
      </c>
      <c r="B58" s="4">
        <v>0.28000000000000003</v>
      </c>
      <c r="C58" s="4">
        <v>0.52</v>
      </c>
      <c r="D58" s="4">
        <v>0.2</v>
      </c>
      <c r="E58" s="50">
        <v>1</v>
      </c>
      <c r="F58" s="50">
        <v>0.26124999999999998</v>
      </c>
      <c r="G58" s="50">
        <v>0.08</v>
      </c>
      <c r="H58" s="50">
        <v>0.38490743662900001</v>
      </c>
      <c r="I58" s="50">
        <v>0.48829287047999997</v>
      </c>
      <c r="J58" s="50">
        <v>0.28152200277799999</v>
      </c>
      <c r="K58" s="50">
        <v>254.63</v>
      </c>
      <c r="L58" s="50">
        <v>250.83</v>
      </c>
      <c r="M58" s="50">
        <v>253.42</v>
      </c>
      <c r="N58" s="66">
        <f t="shared" si="0"/>
        <v>5.1416620629784554E-2</v>
      </c>
      <c r="O58" s="66">
        <f t="shared" si="1"/>
        <v>8.0340935995580398E-2</v>
      </c>
      <c r="P58" s="4">
        <f t="shared" si="2"/>
        <v>8.0000000000000016E-2</v>
      </c>
      <c r="Q58" s="4">
        <f t="shared" si="3"/>
        <v>4.5000000000000005E-2</v>
      </c>
      <c r="R58" s="66">
        <f t="shared" si="4"/>
        <v>5.1416620629784554E-2</v>
      </c>
      <c r="S58" s="66">
        <f t="shared" si="5"/>
        <v>8.0340935995580398E-2</v>
      </c>
      <c r="T58" s="50">
        <f t="shared" si="6"/>
        <v>1</v>
      </c>
      <c r="U58" s="50">
        <f t="shared" si="7"/>
        <v>1</v>
      </c>
    </row>
    <row r="59" spans="1:21" x14ac:dyDescent="0.2">
      <c r="A59" s="38">
        <v>32297</v>
      </c>
      <c r="B59" s="4">
        <v>0.26</v>
      </c>
      <c r="C59" s="4">
        <v>0.62</v>
      </c>
      <c r="D59" s="4">
        <v>0.12</v>
      </c>
      <c r="E59" s="50">
        <v>1</v>
      </c>
      <c r="F59" s="50">
        <v>0.2525</v>
      </c>
      <c r="G59" s="50">
        <v>0.14000000000000001</v>
      </c>
      <c r="H59" s="50">
        <v>0.38490743662900001</v>
      </c>
      <c r="I59" s="50">
        <v>0.48829287047999997</v>
      </c>
      <c r="J59" s="50">
        <v>0.28152200277799999</v>
      </c>
      <c r="K59" s="50">
        <v>266.69</v>
      </c>
      <c r="L59" s="50">
        <v>262.16000000000003</v>
      </c>
      <c r="M59" s="50">
        <v>266.45</v>
      </c>
      <c r="N59" s="66">
        <f t="shared" si="0"/>
        <v>1.8052167386001135E-2</v>
      </c>
      <c r="O59" s="66">
        <f t="shared" si="1"/>
        <v>2.0003753049352539E-2</v>
      </c>
      <c r="P59" s="4">
        <f t="shared" si="2"/>
        <v>0.14000000000000001</v>
      </c>
      <c r="Q59" s="4">
        <f t="shared" si="3"/>
        <v>3.500000000000001E-2</v>
      </c>
      <c r="R59" s="66">
        <f t="shared" si="4"/>
        <v>1.8052167386001135E-2</v>
      </c>
      <c r="S59" s="66">
        <f t="shared" si="5"/>
        <v>2.0003753049352539E-2</v>
      </c>
      <c r="T59" s="50">
        <f t="shared" si="6"/>
        <v>1</v>
      </c>
      <c r="U59" s="50">
        <f t="shared" si="7"/>
        <v>1</v>
      </c>
    </row>
    <row r="60" spans="1:21" x14ac:dyDescent="0.2">
      <c r="A60" s="38">
        <v>32304</v>
      </c>
      <c r="B60" s="4">
        <v>0.28000000000000003</v>
      </c>
      <c r="C60" s="4">
        <v>0.49</v>
      </c>
      <c r="D60" s="4">
        <v>0.23</v>
      </c>
      <c r="E60" s="50">
        <v>1</v>
      </c>
      <c r="F60" s="50">
        <v>0.25874999999999998</v>
      </c>
      <c r="G60" s="50">
        <v>0.05</v>
      </c>
      <c r="H60" s="50">
        <v>0.38490743662900001</v>
      </c>
      <c r="I60" s="50">
        <v>0.48829287047999997</v>
      </c>
      <c r="J60" s="50">
        <v>0.28152200277799999</v>
      </c>
      <c r="K60" s="50">
        <v>271.52</v>
      </c>
      <c r="L60" s="50">
        <v>265.17</v>
      </c>
      <c r="M60" s="50">
        <v>271.26</v>
      </c>
      <c r="N60" s="66">
        <f t="shared" si="0"/>
        <v>-2.1381700213816417E-3</v>
      </c>
      <c r="O60" s="66">
        <f t="shared" si="1"/>
        <v>-4.5712600457126339E-3</v>
      </c>
      <c r="P60" s="4">
        <f t="shared" si="2"/>
        <v>5.0000000000000017E-2</v>
      </c>
      <c r="Q60" s="4">
        <f t="shared" si="3"/>
        <v>6.2500000000000014E-2</v>
      </c>
      <c r="R60" s="66">
        <f t="shared" si="4"/>
        <v>-2.1381700213816417E-3</v>
      </c>
      <c r="S60" s="66">
        <f t="shared" si="5"/>
        <v>-4.5712600457126339E-3</v>
      </c>
      <c r="T60" s="50" t="str">
        <f t="shared" si="6"/>
        <v/>
      </c>
      <c r="U60" s="50" t="str">
        <f t="shared" si="7"/>
        <v/>
      </c>
    </row>
    <row r="61" spans="1:21" x14ac:dyDescent="0.2">
      <c r="A61" s="38">
        <v>32311</v>
      </c>
      <c r="B61" s="4">
        <v>0.28999999999999998</v>
      </c>
      <c r="C61" s="4">
        <v>0.5</v>
      </c>
      <c r="D61" s="4">
        <v>0.21</v>
      </c>
      <c r="E61" s="50">
        <v>1</v>
      </c>
      <c r="F61" s="50">
        <v>0.26624999999999999</v>
      </c>
      <c r="G61" s="50">
        <v>0.08</v>
      </c>
      <c r="H61" s="50">
        <v>0.38490743662900001</v>
      </c>
      <c r="I61" s="50">
        <v>0.48829287047999997</v>
      </c>
      <c r="J61" s="50">
        <v>0.28152200277799999</v>
      </c>
      <c r="K61" s="50">
        <v>274.44</v>
      </c>
      <c r="L61" s="50">
        <v>269.77</v>
      </c>
      <c r="M61" s="50">
        <v>270.68</v>
      </c>
      <c r="N61" s="66">
        <f t="shared" si="0"/>
        <v>1.1452637801093415E-2</v>
      </c>
      <c r="O61" s="66">
        <f t="shared" si="1"/>
        <v>5.0613270282252269E-3</v>
      </c>
      <c r="P61" s="4">
        <f t="shared" si="2"/>
        <v>7.9999999999999988E-2</v>
      </c>
      <c r="Q61" s="4">
        <f t="shared" si="3"/>
        <v>8.7499999999999994E-2</v>
      </c>
      <c r="R61" s="66">
        <f t="shared" si="4"/>
        <v>1.1452637801093415E-2</v>
      </c>
      <c r="S61" s="66">
        <f t="shared" si="5"/>
        <v>5.0613270282252269E-3</v>
      </c>
      <c r="T61" s="50">
        <f t="shared" si="6"/>
        <v>1</v>
      </c>
      <c r="U61" s="50">
        <f t="shared" si="7"/>
        <v>1</v>
      </c>
    </row>
    <row r="62" spans="1:21" x14ac:dyDescent="0.2">
      <c r="A62" s="38">
        <v>32318</v>
      </c>
      <c r="B62" s="4">
        <v>0.33</v>
      </c>
      <c r="C62" s="4">
        <v>0.44</v>
      </c>
      <c r="D62" s="4">
        <v>0.23</v>
      </c>
      <c r="E62" s="50">
        <v>1</v>
      </c>
      <c r="F62" s="50">
        <v>0.28000000000000003</v>
      </c>
      <c r="G62" s="50">
        <v>0.1</v>
      </c>
      <c r="H62" s="50">
        <v>0.38490743662900001</v>
      </c>
      <c r="I62" s="50">
        <v>0.48829287047999997</v>
      </c>
      <c r="J62" s="50">
        <v>0.28152200277799999</v>
      </c>
      <c r="K62" s="50">
        <v>275.66000000000003</v>
      </c>
      <c r="L62" s="50">
        <v>268.94</v>
      </c>
      <c r="M62" s="50">
        <v>273.77999999999997</v>
      </c>
      <c r="N62" s="66">
        <f t="shared" si="0"/>
        <v>-7.3051355102637158E-3</v>
      </c>
      <c r="O62" s="66">
        <f t="shared" si="1"/>
        <v>-3.7548396522755399E-2</v>
      </c>
      <c r="P62" s="4">
        <f t="shared" si="2"/>
        <v>0.1</v>
      </c>
      <c r="Q62" s="4">
        <f t="shared" si="3"/>
        <v>9.2499999999999999E-2</v>
      </c>
      <c r="R62" s="66">
        <f t="shared" si="4"/>
        <v>-7.3051355102637158E-3</v>
      </c>
      <c r="S62" s="66">
        <f t="shared" si="5"/>
        <v>-3.7548396522755399E-2</v>
      </c>
      <c r="T62" s="50" t="str">
        <f t="shared" si="6"/>
        <v/>
      </c>
      <c r="U62" s="50" t="str">
        <f t="shared" si="7"/>
        <v/>
      </c>
    </row>
    <row r="63" spans="1:21" x14ac:dyDescent="0.2">
      <c r="A63" s="38">
        <v>32325</v>
      </c>
      <c r="B63" s="4">
        <v>0.45</v>
      </c>
      <c r="C63" s="4">
        <v>0.38</v>
      </c>
      <c r="D63" s="4">
        <v>0.17</v>
      </c>
      <c r="E63" s="50">
        <v>1</v>
      </c>
      <c r="F63" s="50">
        <v>0.28875000000000001</v>
      </c>
      <c r="G63" s="50">
        <v>0.28000000000000003</v>
      </c>
      <c r="H63" s="50">
        <v>0.38490743662900001</v>
      </c>
      <c r="I63" s="50">
        <v>0.48829287047999997</v>
      </c>
      <c r="J63" s="50">
        <v>0.28152200277799999</v>
      </c>
      <c r="K63" s="50">
        <v>273.5</v>
      </c>
      <c r="L63" s="50">
        <v>269.07</v>
      </c>
      <c r="M63" s="50">
        <v>271.77999999999997</v>
      </c>
      <c r="N63" s="66">
        <f t="shared" si="0"/>
        <v>-6.4758260357641881E-3</v>
      </c>
      <c r="O63" s="66">
        <f t="shared" si="1"/>
        <v>8.8306718669515464E-4</v>
      </c>
      <c r="P63" s="4">
        <f t="shared" si="2"/>
        <v>0.28000000000000003</v>
      </c>
      <c r="Q63" s="4">
        <f t="shared" si="3"/>
        <v>0.1275</v>
      </c>
      <c r="R63" s="66">
        <f t="shared" si="4"/>
        <v>-6.4758260357641881E-3</v>
      </c>
      <c r="S63" s="66">
        <f t="shared" si="5"/>
        <v>8.8306718669515464E-4</v>
      </c>
      <c r="T63" s="50" t="str">
        <f t="shared" si="6"/>
        <v/>
      </c>
      <c r="U63" s="50">
        <f t="shared" si="7"/>
        <v>1</v>
      </c>
    </row>
    <row r="64" spans="1:21" x14ac:dyDescent="0.2">
      <c r="A64" s="38">
        <v>32332</v>
      </c>
      <c r="B64" s="4">
        <v>0.35</v>
      </c>
      <c r="C64" s="4">
        <v>0.5</v>
      </c>
      <c r="D64" s="4">
        <v>0.15</v>
      </c>
      <c r="E64" s="50">
        <v>1</v>
      </c>
      <c r="F64" s="50">
        <v>0.30875000000000002</v>
      </c>
      <c r="G64" s="50">
        <v>0.2</v>
      </c>
      <c r="H64" s="50">
        <v>0.38490743662900001</v>
      </c>
      <c r="I64" s="50">
        <v>0.48829287047999997</v>
      </c>
      <c r="J64" s="50">
        <v>0.28152200277799999</v>
      </c>
      <c r="K64" s="50">
        <v>275.8</v>
      </c>
      <c r="L64" s="50">
        <v>270.02</v>
      </c>
      <c r="M64" s="50">
        <v>270.02</v>
      </c>
      <c r="N64" s="66">
        <f t="shared" si="0"/>
        <v>7.517961632471779E-3</v>
      </c>
      <c r="O64" s="66">
        <f t="shared" si="1"/>
        <v>4.1848751944300253E-3</v>
      </c>
      <c r="P64" s="4">
        <f t="shared" si="2"/>
        <v>0.19999999999999998</v>
      </c>
      <c r="Q64" s="4">
        <f t="shared" si="3"/>
        <v>0.16500000000000001</v>
      </c>
      <c r="R64" s="66">
        <f t="shared" si="4"/>
        <v>7.517961632471779E-3</v>
      </c>
      <c r="S64" s="66">
        <f t="shared" si="5"/>
        <v>4.1848751944300253E-3</v>
      </c>
      <c r="T64" s="50">
        <f t="shared" si="6"/>
        <v>1</v>
      </c>
      <c r="U64" s="50">
        <f t="shared" si="7"/>
        <v>1</v>
      </c>
    </row>
    <row r="65" spans="1:21" x14ac:dyDescent="0.2">
      <c r="A65" s="38">
        <v>32339</v>
      </c>
      <c r="B65" s="4">
        <v>0.26</v>
      </c>
      <c r="C65" s="4">
        <v>0.37</v>
      </c>
      <c r="D65" s="4">
        <v>0.37</v>
      </c>
      <c r="E65" s="50">
        <v>1</v>
      </c>
      <c r="F65" s="50">
        <v>0.3125</v>
      </c>
      <c r="G65" s="50">
        <v>-0.11</v>
      </c>
      <c r="H65" s="50">
        <v>0.38490743662900001</v>
      </c>
      <c r="I65" s="50">
        <v>0.48829287047999997</v>
      </c>
      <c r="J65" s="50">
        <v>0.28152200277799999</v>
      </c>
      <c r="K65" s="50">
        <v>272.05</v>
      </c>
      <c r="L65" s="50">
        <v>267.77</v>
      </c>
      <c r="M65" s="50">
        <v>272.05</v>
      </c>
      <c r="N65" s="66">
        <f t="shared" si="0"/>
        <v>-3.1428046315015661E-2</v>
      </c>
      <c r="O65" s="66">
        <f t="shared" si="1"/>
        <v>-3.4920051461128469E-2</v>
      </c>
      <c r="P65" s="4">
        <f t="shared" si="2"/>
        <v>-0.10999999999999999</v>
      </c>
      <c r="Q65" s="4">
        <f t="shared" si="3"/>
        <v>0.11749999999999999</v>
      </c>
      <c r="R65" s="66">
        <f t="shared" si="4"/>
        <v>-3.1428046315015661E-2</v>
      </c>
      <c r="S65" s="66">
        <f t="shared" si="5"/>
        <v>-3.4920051461128469E-2</v>
      </c>
      <c r="T65" s="50" t="str">
        <f t="shared" si="6"/>
        <v/>
      </c>
      <c r="U65" s="50" t="str">
        <f t="shared" si="7"/>
        <v/>
      </c>
    </row>
    <row r="66" spans="1:21" x14ac:dyDescent="0.2">
      <c r="A66" s="38">
        <v>32346</v>
      </c>
      <c r="B66" s="4">
        <v>0.16</v>
      </c>
      <c r="C66" s="4">
        <v>0.57999999999999996</v>
      </c>
      <c r="D66" s="4">
        <v>0.26</v>
      </c>
      <c r="E66" s="50">
        <v>1</v>
      </c>
      <c r="F66" s="50">
        <v>0.29749999999999999</v>
      </c>
      <c r="G66" s="50">
        <v>-0.1</v>
      </c>
      <c r="H66" s="50">
        <v>0.38490743662900001</v>
      </c>
      <c r="I66" s="50">
        <v>0.48829287047999997</v>
      </c>
      <c r="J66" s="50">
        <v>0.28152200277799999</v>
      </c>
      <c r="K66" s="50">
        <v>270.51</v>
      </c>
      <c r="L66" s="50">
        <v>263.5</v>
      </c>
      <c r="M66" s="50">
        <v>263.5</v>
      </c>
      <c r="N66" s="66">
        <f t="shared" si="0"/>
        <v>3.2333965844402207E-2</v>
      </c>
      <c r="O66" s="66">
        <f t="shared" si="1"/>
        <v>-1.2371916508538866E-2</v>
      </c>
      <c r="P66" s="4">
        <f t="shared" si="2"/>
        <v>-0.1</v>
      </c>
      <c r="Q66" s="4">
        <f t="shared" si="3"/>
        <v>6.7500000000000004E-2</v>
      </c>
      <c r="R66" s="66">
        <f t="shared" si="4"/>
        <v>3.2333965844402207E-2</v>
      </c>
      <c r="S66" s="66">
        <f t="shared" si="5"/>
        <v>-1.2371916508538866E-2</v>
      </c>
      <c r="T66" s="50">
        <f t="shared" si="6"/>
        <v>1</v>
      </c>
      <c r="U66" s="50" t="str">
        <f t="shared" si="7"/>
        <v/>
      </c>
    </row>
    <row r="67" spans="1:21" x14ac:dyDescent="0.2">
      <c r="A67" s="38">
        <v>32353</v>
      </c>
      <c r="B67" s="4">
        <v>0.23</v>
      </c>
      <c r="C67" s="4">
        <v>0.54</v>
      </c>
      <c r="D67" s="4">
        <v>0.23</v>
      </c>
      <c r="E67" s="50">
        <v>1</v>
      </c>
      <c r="F67" s="50">
        <v>0.29375000000000001</v>
      </c>
      <c r="G67" s="50">
        <v>0</v>
      </c>
      <c r="H67" s="50">
        <v>0.38490743662900001</v>
      </c>
      <c r="I67" s="50">
        <v>0.48829287047999997</v>
      </c>
      <c r="J67" s="50">
        <v>0.28152200277799999</v>
      </c>
      <c r="K67" s="50">
        <v>272.02</v>
      </c>
      <c r="L67" s="50">
        <v>262.5</v>
      </c>
      <c r="M67" s="50">
        <v>272.02</v>
      </c>
      <c r="N67" s="66">
        <f t="shared" si="0"/>
        <v>-3.1982942430703793E-3</v>
      </c>
      <c r="O67" s="66">
        <f t="shared" si="1"/>
        <v>-4.5364311447687579E-2</v>
      </c>
      <c r="P67" s="4">
        <f t="shared" si="2"/>
        <v>0</v>
      </c>
      <c r="Q67" s="4">
        <f t="shared" si="3"/>
        <v>-2.5000000000000022E-3</v>
      </c>
      <c r="R67" s="66">
        <f t="shared" si="4"/>
        <v>-3.1982942430703793E-3</v>
      </c>
      <c r="S67" s="66">
        <f t="shared" si="5"/>
        <v>-4.5364311447687579E-2</v>
      </c>
      <c r="T67" s="50" t="str">
        <f t="shared" si="6"/>
        <v/>
      </c>
      <c r="U67" s="50" t="str">
        <f t="shared" si="7"/>
        <v/>
      </c>
    </row>
    <row r="68" spans="1:21" x14ac:dyDescent="0.2">
      <c r="A68" s="38">
        <v>32360</v>
      </c>
      <c r="B68" s="4">
        <v>0.21</v>
      </c>
      <c r="C68" s="4">
        <v>0.49</v>
      </c>
      <c r="D68" s="4">
        <v>0.3</v>
      </c>
      <c r="E68" s="50">
        <v>1</v>
      </c>
      <c r="F68" s="50">
        <v>0.28499999999999998</v>
      </c>
      <c r="G68" s="50">
        <v>-0.09</v>
      </c>
      <c r="H68" s="50">
        <v>0.38490743662900001</v>
      </c>
      <c r="I68" s="50">
        <v>0.48829287047999997</v>
      </c>
      <c r="J68" s="50">
        <v>0.28152200277799999</v>
      </c>
      <c r="K68" s="50">
        <v>272.98</v>
      </c>
      <c r="L68" s="50">
        <v>271.14999999999998</v>
      </c>
      <c r="M68" s="50">
        <v>271.14999999999998</v>
      </c>
      <c r="N68" s="66">
        <f t="shared" si="0"/>
        <v>-3.1716761939885547E-2</v>
      </c>
      <c r="O68" s="66">
        <f t="shared" si="1"/>
        <v>-2.4598930481283275E-2</v>
      </c>
      <c r="P68" s="4">
        <f t="shared" si="2"/>
        <v>-0.09</v>
      </c>
      <c r="Q68" s="4">
        <f t="shared" si="3"/>
        <v>-7.4999999999999997E-2</v>
      </c>
      <c r="R68" s="66">
        <f t="shared" si="4"/>
        <v>-3.1716761939885547E-2</v>
      </c>
      <c r="S68" s="66">
        <f t="shared" si="5"/>
        <v>-2.4598930481283275E-2</v>
      </c>
      <c r="T68" s="50" t="str">
        <f t="shared" si="6"/>
        <v/>
      </c>
      <c r="U68" s="50" t="str">
        <f t="shared" si="7"/>
        <v/>
      </c>
    </row>
    <row r="69" spans="1:21" x14ac:dyDescent="0.2">
      <c r="A69" s="38">
        <v>32367</v>
      </c>
      <c r="B69" s="4">
        <v>0.26</v>
      </c>
      <c r="C69" s="4">
        <v>0.48</v>
      </c>
      <c r="D69" s="4">
        <v>0.26</v>
      </c>
      <c r="E69" s="50">
        <v>1</v>
      </c>
      <c r="F69" s="50">
        <v>0.28125</v>
      </c>
      <c r="G69" s="50">
        <v>0</v>
      </c>
      <c r="H69" s="50">
        <v>0.38490743662900001</v>
      </c>
      <c r="I69" s="50">
        <v>0.48829287047999997</v>
      </c>
      <c r="J69" s="50">
        <v>0.28152200277799999</v>
      </c>
      <c r="K69" s="50">
        <v>269.98</v>
      </c>
      <c r="L69" s="50">
        <v>261.89999999999998</v>
      </c>
      <c r="M69" s="50">
        <v>262.55</v>
      </c>
      <c r="N69" s="66">
        <f t="shared" si="0"/>
        <v>-8.798324128737392E-3</v>
      </c>
      <c r="O69" s="66">
        <f t="shared" si="1"/>
        <v>1.6339744810512143E-2</v>
      </c>
      <c r="P69" s="4">
        <f t="shared" si="2"/>
        <v>0</v>
      </c>
      <c r="Q69" s="4">
        <f t="shared" si="3"/>
        <v>-4.7500000000000001E-2</v>
      </c>
      <c r="R69" s="66">
        <f t="shared" si="4"/>
        <v>-8.798324128737392E-3</v>
      </c>
      <c r="S69" s="66">
        <f t="shared" si="5"/>
        <v>1.6339744810512143E-2</v>
      </c>
      <c r="T69" s="50" t="str">
        <f t="shared" si="6"/>
        <v/>
      </c>
      <c r="U69" s="50">
        <f t="shared" si="7"/>
        <v>1</v>
      </c>
    </row>
    <row r="70" spans="1:21" x14ac:dyDescent="0.2">
      <c r="A70" s="38">
        <v>32374</v>
      </c>
      <c r="B70" s="4">
        <v>0.19</v>
      </c>
      <c r="C70" s="4">
        <v>0.53</v>
      </c>
      <c r="D70" s="4">
        <v>0.28000000000000003</v>
      </c>
      <c r="E70" s="50">
        <v>1</v>
      </c>
      <c r="F70" s="50">
        <v>0.26374999999999998</v>
      </c>
      <c r="G70" s="50">
        <v>-0.09</v>
      </c>
      <c r="H70" s="50">
        <v>0.38490743662900001</v>
      </c>
      <c r="I70" s="50">
        <v>0.48829287047999997</v>
      </c>
      <c r="J70" s="50">
        <v>0.28152200277799999</v>
      </c>
      <c r="K70" s="50">
        <v>261.02999999999997</v>
      </c>
      <c r="L70" s="50">
        <v>258.69</v>
      </c>
      <c r="M70" s="50">
        <v>260.24</v>
      </c>
      <c r="N70" s="66">
        <f t="shared" si="0"/>
        <v>-2.1518598217030518E-3</v>
      </c>
      <c r="O70" s="66">
        <f t="shared" si="1"/>
        <v>4.0001537042729664E-2</v>
      </c>
      <c r="P70" s="4">
        <f t="shared" si="2"/>
        <v>-9.0000000000000024E-2</v>
      </c>
      <c r="Q70" s="4">
        <f t="shared" si="3"/>
        <v>-4.5000000000000005E-2</v>
      </c>
      <c r="R70" s="66">
        <f t="shared" si="4"/>
        <v>-2.1518598217030518E-3</v>
      </c>
      <c r="S70" s="66">
        <f t="shared" si="5"/>
        <v>4.0001537042729664E-2</v>
      </c>
      <c r="T70" s="50" t="str">
        <f t="shared" si="6"/>
        <v/>
      </c>
      <c r="U70" s="50">
        <f t="shared" si="7"/>
        <v>1</v>
      </c>
    </row>
    <row r="71" spans="1:21" x14ac:dyDescent="0.2">
      <c r="A71" s="38">
        <v>32381</v>
      </c>
      <c r="B71" s="4">
        <v>0.28000000000000003</v>
      </c>
      <c r="C71" s="4">
        <v>0.4</v>
      </c>
      <c r="D71" s="4">
        <v>0.32</v>
      </c>
      <c r="E71" s="50">
        <v>1</v>
      </c>
      <c r="F71" s="50">
        <v>0.24249999999999999</v>
      </c>
      <c r="G71" s="50">
        <v>-0.04</v>
      </c>
      <c r="H71" s="50">
        <v>0.38490743662900001</v>
      </c>
      <c r="I71" s="50">
        <v>0.48829287047999997</v>
      </c>
      <c r="J71" s="50">
        <v>0.28152200277799999</v>
      </c>
      <c r="K71" s="50">
        <v>261.13</v>
      </c>
      <c r="L71" s="50">
        <v>256.98</v>
      </c>
      <c r="M71" s="50">
        <v>259.68</v>
      </c>
      <c r="N71" s="66">
        <f t="shared" si="0"/>
        <v>1.848428835489838E-2</v>
      </c>
      <c r="O71" s="66">
        <f t="shared" si="1"/>
        <v>3.8817005545286443E-2</v>
      </c>
      <c r="P71" s="4">
        <f t="shared" si="2"/>
        <v>-3.999999999999998E-2</v>
      </c>
      <c r="Q71" s="4">
        <f t="shared" si="3"/>
        <v>-5.5E-2</v>
      </c>
      <c r="R71" s="66">
        <f t="shared" si="4"/>
        <v>1.848428835489838E-2</v>
      </c>
      <c r="S71" s="66">
        <f t="shared" si="5"/>
        <v>3.8817005545286443E-2</v>
      </c>
      <c r="T71" s="50">
        <f t="shared" si="6"/>
        <v>1</v>
      </c>
      <c r="U71" s="50">
        <f t="shared" si="7"/>
        <v>1</v>
      </c>
    </row>
    <row r="72" spans="1:21" x14ac:dyDescent="0.2">
      <c r="A72" s="38">
        <v>32388</v>
      </c>
      <c r="B72" s="4">
        <v>0.18</v>
      </c>
      <c r="C72" s="4">
        <v>0.43</v>
      </c>
      <c r="D72" s="4">
        <v>0.39</v>
      </c>
      <c r="E72" s="50">
        <v>1</v>
      </c>
      <c r="F72" s="50">
        <v>0.22125</v>
      </c>
      <c r="G72" s="50">
        <v>-0.21</v>
      </c>
      <c r="H72" s="50">
        <v>0.38490743662900001</v>
      </c>
      <c r="I72" s="50">
        <v>0.48829287047999997</v>
      </c>
      <c r="J72" s="50">
        <v>0.28152200277799999</v>
      </c>
      <c r="K72" s="50">
        <v>264.48</v>
      </c>
      <c r="L72" s="50">
        <v>258.35000000000002</v>
      </c>
      <c r="M72" s="50">
        <v>264.48</v>
      </c>
      <c r="N72" s="66">
        <f t="shared" si="0"/>
        <v>8.9231699939502293E-3</v>
      </c>
      <c r="O72" s="66">
        <f t="shared" si="1"/>
        <v>2.8092861464004863E-2</v>
      </c>
      <c r="P72" s="4">
        <f t="shared" si="2"/>
        <v>-0.21000000000000002</v>
      </c>
      <c r="Q72" s="4">
        <f t="shared" si="3"/>
        <v>-8.5000000000000006E-2</v>
      </c>
      <c r="R72" s="66">
        <f t="shared" si="4"/>
        <v>8.9231699939502293E-3</v>
      </c>
      <c r="S72" s="66">
        <f t="shared" si="5"/>
        <v>2.8092861464004863E-2</v>
      </c>
      <c r="T72" s="50">
        <f t="shared" si="6"/>
        <v>1</v>
      </c>
      <c r="U72" s="50">
        <f t="shared" si="7"/>
        <v>1</v>
      </c>
    </row>
    <row r="73" spans="1:21" x14ac:dyDescent="0.2">
      <c r="A73" s="38">
        <v>32395</v>
      </c>
      <c r="B73" s="4">
        <v>0.17</v>
      </c>
      <c r="C73" s="4">
        <v>0.52</v>
      </c>
      <c r="D73" s="4">
        <v>0.31</v>
      </c>
      <c r="E73" s="50">
        <v>1</v>
      </c>
      <c r="F73" s="50">
        <v>0.21</v>
      </c>
      <c r="G73" s="50">
        <v>-0.14000000000000001</v>
      </c>
      <c r="H73" s="50">
        <v>0.38490743662900001</v>
      </c>
      <c r="I73" s="50">
        <v>0.48829287047999997</v>
      </c>
      <c r="J73" s="50">
        <v>0.28152200277799999</v>
      </c>
      <c r="K73" s="50">
        <v>266.83999999999997</v>
      </c>
      <c r="L73" s="50">
        <v>265.58999999999997</v>
      </c>
      <c r="M73" s="50">
        <v>266.83999999999997</v>
      </c>
      <c r="N73" s="66">
        <f t="shared" si="0"/>
        <v>1.4278219157547603E-2</v>
      </c>
      <c r="O73" s="66">
        <f t="shared" si="1"/>
        <v>4.208514465597369E-2</v>
      </c>
      <c r="P73" s="4">
        <f t="shared" si="2"/>
        <v>-0.13999999999999999</v>
      </c>
      <c r="Q73" s="4">
        <f t="shared" si="3"/>
        <v>-0.12</v>
      </c>
      <c r="R73" s="66">
        <f t="shared" si="4"/>
        <v>1.4278219157547603E-2</v>
      </c>
      <c r="S73" s="66">
        <f t="shared" si="5"/>
        <v>4.208514465597369E-2</v>
      </c>
      <c r="T73" s="50">
        <f t="shared" si="6"/>
        <v>1</v>
      </c>
      <c r="U73" s="50">
        <f t="shared" si="7"/>
        <v>1</v>
      </c>
    </row>
    <row r="74" spans="1:21" x14ac:dyDescent="0.2">
      <c r="A74" s="38">
        <v>32402</v>
      </c>
      <c r="B74" s="4">
        <v>0.24</v>
      </c>
      <c r="C74" s="4">
        <v>0.46</v>
      </c>
      <c r="D74" s="4">
        <v>0.3</v>
      </c>
      <c r="E74" s="50">
        <v>1</v>
      </c>
      <c r="F74" s="50">
        <v>0.22</v>
      </c>
      <c r="G74" s="50">
        <v>-0.06</v>
      </c>
      <c r="H74" s="50">
        <v>0.38490743662900001</v>
      </c>
      <c r="I74" s="50">
        <v>0.48829287047999997</v>
      </c>
      <c r="J74" s="50">
        <v>0.28152200277799999</v>
      </c>
      <c r="K74" s="50">
        <v>270.64999999999998</v>
      </c>
      <c r="L74" s="50">
        <v>266.47000000000003</v>
      </c>
      <c r="M74" s="50">
        <v>270.64999999999998</v>
      </c>
      <c r="N74" s="66">
        <f t="shared" si="0"/>
        <v>-3.2883798263439365E-3</v>
      </c>
      <c r="O74" s="66">
        <f t="shared" si="1"/>
        <v>1.7919822649177991E-2</v>
      </c>
      <c r="P74" s="4">
        <f t="shared" si="2"/>
        <v>-0.06</v>
      </c>
      <c r="Q74" s="4">
        <f t="shared" si="3"/>
        <v>-0.1125</v>
      </c>
      <c r="R74" s="66">
        <f t="shared" si="4"/>
        <v>-3.2883798263439365E-3</v>
      </c>
      <c r="S74" s="66">
        <f t="shared" si="5"/>
        <v>1.7919822649177991E-2</v>
      </c>
      <c r="T74" s="50" t="str">
        <f t="shared" si="6"/>
        <v/>
      </c>
      <c r="U74" s="50">
        <f t="shared" si="7"/>
        <v>1</v>
      </c>
    </row>
    <row r="75" spans="1:21" x14ac:dyDescent="0.2">
      <c r="A75" s="38">
        <v>32409</v>
      </c>
      <c r="B75" s="4">
        <v>0.2</v>
      </c>
      <c r="C75" s="4">
        <v>0.53</v>
      </c>
      <c r="D75" s="4">
        <v>0.27</v>
      </c>
      <c r="E75" s="50">
        <v>1</v>
      </c>
      <c r="F75" s="50">
        <v>0.21625</v>
      </c>
      <c r="G75" s="50">
        <v>-7.0000000000000007E-2</v>
      </c>
      <c r="H75" s="50">
        <v>0.38490743662900001</v>
      </c>
      <c r="I75" s="50">
        <v>0.48829287047999997</v>
      </c>
      <c r="J75" s="50">
        <v>0.28152200277799999</v>
      </c>
      <c r="K75" s="50">
        <v>270.16000000000003</v>
      </c>
      <c r="L75" s="50">
        <v>268.82</v>
      </c>
      <c r="M75" s="50">
        <v>269.76</v>
      </c>
      <c r="N75" s="66">
        <f t="shared" si="0"/>
        <v>7.9700474495849431E-3</v>
      </c>
      <c r="O75" s="66">
        <f t="shared" si="1"/>
        <v>5.1527283511269402E-2</v>
      </c>
      <c r="P75" s="4">
        <f t="shared" si="2"/>
        <v>-7.0000000000000007E-2</v>
      </c>
      <c r="Q75" s="4">
        <f t="shared" si="3"/>
        <v>-0.12</v>
      </c>
      <c r="R75" s="66">
        <f t="shared" si="4"/>
        <v>7.9700474495849431E-3</v>
      </c>
      <c r="S75" s="66">
        <f t="shared" si="5"/>
        <v>5.1527283511269402E-2</v>
      </c>
      <c r="T75" s="50">
        <f t="shared" si="6"/>
        <v>1</v>
      </c>
      <c r="U75" s="50">
        <f t="shared" si="7"/>
        <v>1</v>
      </c>
    </row>
    <row r="76" spans="1:21" x14ac:dyDescent="0.2">
      <c r="A76" s="38">
        <v>32416</v>
      </c>
      <c r="B76" s="4">
        <v>0.26</v>
      </c>
      <c r="C76" s="4">
        <v>0.44</v>
      </c>
      <c r="D76" s="4">
        <v>0.3</v>
      </c>
      <c r="E76" s="50">
        <v>1</v>
      </c>
      <c r="F76" s="50">
        <v>0.2225</v>
      </c>
      <c r="G76" s="50">
        <v>-0.04</v>
      </c>
      <c r="H76" s="50">
        <v>0.38490743662900001</v>
      </c>
      <c r="I76" s="50">
        <v>0.48829287047999997</v>
      </c>
      <c r="J76" s="50">
        <v>0.28152200277799999</v>
      </c>
      <c r="K76" s="50">
        <v>272.58999999999997</v>
      </c>
      <c r="L76" s="50">
        <v>268.26</v>
      </c>
      <c r="M76" s="50">
        <v>271.91000000000003</v>
      </c>
      <c r="N76" s="66">
        <f t="shared" si="0"/>
        <v>2.2654554815931621E-2</v>
      </c>
      <c r="O76" s="66">
        <f t="shared" si="1"/>
        <v>2.4346291052186192E-2</v>
      </c>
      <c r="P76" s="4">
        <f t="shared" si="2"/>
        <v>-3.999999999999998E-2</v>
      </c>
      <c r="Q76" s="4">
        <f t="shared" si="3"/>
        <v>-7.7499999999999999E-2</v>
      </c>
      <c r="R76" s="66">
        <f t="shared" si="4"/>
        <v>2.2654554815931621E-2</v>
      </c>
      <c r="S76" s="66">
        <f t="shared" si="5"/>
        <v>2.4346291052186192E-2</v>
      </c>
      <c r="T76" s="50">
        <f t="shared" si="6"/>
        <v>1</v>
      </c>
      <c r="U76" s="50">
        <f t="shared" si="7"/>
        <v>1</v>
      </c>
    </row>
    <row r="77" spans="1:21" x14ac:dyDescent="0.2">
      <c r="A77" s="38">
        <v>32423</v>
      </c>
      <c r="B77" s="4">
        <v>0.13</v>
      </c>
      <c r="C77" s="4">
        <v>0.49</v>
      </c>
      <c r="D77" s="4">
        <v>0.38</v>
      </c>
      <c r="E77" s="50">
        <v>1</v>
      </c>
      <c r="F77" s="50">
        <v>0.20624999999999999</v>
      </c>
      <c r="G77" s="50">
        <v>-0.25</v>
      </c>
      <c r="H77" s="50">
        <v>0.38490743662900001</v>
      </c>
      <c r="I77" s="50">
        <v>0.48829287047999997</v>
      </c>
      <c r="J77" s="50">
        <v>0.28152200277799999</v>
      </c>
      <c r="K77" s="50">
        <v>278.07</v>
      </c>
      <c r="L77" s="50">
        <v>270.62</v>
      </c>
      <c r="M77" s="50">
        <v>278.07</v>
      </c>
      <c r="N77" s="66">
        <f t="shared" ref="N77:N140" si="8">(M78-M77)/M77</f>
        <v>-9.2422771244650391E-3</v>
      </c>
      <c r="O77" s="66">
        <f t="shared" ref="O77:O140" si="9">(M81-M77)/M77</f>
        <v>-6.3293415327075591E-3</v>
      </c>
      <c r="P77" s="4">
        <f t="shared" si="2"/>
        <v>-0.25</v>
      </c>
      <c r="Q77" s="4">
        <f t="shared" si="3"/>
        <v>-0.105</v>
      </c>
      <c r="R77" s="66">
        <f t="shared" si="4"/>
        <v>-9.2422771244650391E-3</v>
      </c>
      <c r="S77" s="66">
        <f t="shared" si="5"/>
        <v>-6.3293415327075591E-3</v>
      </c>
      <c r="T77" s="50" t="str">
        <f t="shared" si="6"/>
        <v/>
      </c>
      <c r="U77" s="50" t="str">
        <f t="shared" si="7"/>
        <v/>
      </c>
    </row>
    <row r="78" spans="1:21" x14ac:dyDescent="0.2">
      <c r="A78" s="38">
        <v>32430</v>
      </c>
      <c r="B78" s="4">
        <v>0.22</v>
      </c>
      <c r="C78" s="4">
        <v>0.46</v>
      </c>
      <c r="D78" s="4">
        <v>0.32</v>
      </c>
      <c r="E78" s="50">
        <v>1</v>
      </c>
      <c r="F78" s="50">
        <v>0.21</v>
      </c>
      <c r="G78" s="50">
        <v>-0.1</v>
      </c>
      <c r="H78" s="50">
        <v>0.38490743662900001</v>
      </c>
      <c r="I78" s="50">
        <v>0.48829287047999997</v>
      </c>
      <c r="J78" s="50">
        <v>0.28152200277799999</v>
      </c>
      <c r="K78" s="50">
        <v>278.24</v>
      </c>
      <c r="L78" s="50">
        <v>273.98</v>
      </c>
      <c r="M78" s="50">
        <v>275.5</v>
      </c>
      <c r="N78" s="66">
        <f t="shared" si="8"/>
        <v>2.9618874773139837E-2</v>
      </c>
      <c r="O78" s="66">
        <f t="shared" si="9"/>
        <v>-2.7513611615244953E-2</v>
      </c>
      <c r="P78" s="4">
        <f t="shared" ref="P78:P141" si="10">B78-D78</f>
        <v>-0.1</v>
      </c>
      <c r="Q78" s="4">
        <f t="shared" si="3"/>
        <v>-0.11499999999999999</v>
      </c>
      <c r="R78" s="66">
        <f t="shared" si="4"/>
        <v>2.9618874773139837E-2</v>
      </c>
      <c r="S78" s="66">
        <f t="shared" si="5"/>
        <v>-2.7513611615244953E-2</v>
      </c>
      <c r="T78" s="50">
        <f t="shared" si="6"/>
        <v>1</v>
      </c>
      <c r="U78" s="50" t="str">
        <f t="shared" si="7"/>
        <v/>
      </c>
    </row>
    <row r="79" spans="1:21" x14ac:dyDescent="0.2">
      <c r="A79" s="38">
        <v>32437</v>
      </c>
      <c r="B79" s="4">
        <v>0.26</v>
      </c>
      <c r="C79" s="4">
        <v>0.51</v>
      </c>
      <c r="D79" s="4">
        <v>0.23</v>
      </c>
      <c r="E79" s="50">
        <v>1</v>
      </c>
      <c r="F79" s="50">
        <v>0.20749999999999999</v>
      </c>
      <c r="G79" s="50">
        <v>0.03</v>
      </c>
      <c r="H79" s="50">
        <v>0.38490743662900001</v>
      </c>
      <c r="I79" s="50">
        <v>0.48829287047999997</v>
      </c>
      <c r="J79" s="50">
        <v>0.28152200277799999</v>
      </c>
      <c r="K79" s="50">
        <v>283.66000000000003</v>
      </c>
      <c r="L79" s="50">
        <v>276.41000000000003</v>
      </c>
      <c r="M79" s="50">
        <v>283.66000000000003</v>
      </c>
      <c r="N79" s="66">
        <f t="shared" si="8"/>
        <v>-1.8085031375590678E-2</v>
      </c>
      <c r="O79" s="66">
        <f t="shared" si="9"/>
        <v>-6.0600719170838313E-2</v>
      </c>
      <c r="P79" s="4">
        <f t="shared" si="10"/>
        <v>0.03</v>
      </c>
      <c r="Q79" s="4">
        <f t="shared" si="3"/>
        <v>-0.09</v>
      </c>
      <c r="R79" s="66">
        <f t="shared" si="4"/>
        <v>-1.8085031375590678E-2</v>
      </c>
      <c r="S79" s="66">
        <f t="shared" si="5"/>
        <v>-6.0600719170838313E-2</v>
      </c>
      <c r="T79" s="50" t="str">
        <f t="shared" si="6"/>
        <v/>
      </c>
      <c r="U79" s="50" t="str">
        <f t="shared" si="7"/>
        <v/>
      </c>
    </row>
    <row r="80" spans="1:21" x14ac:dyDescent="0.2">
      <c r="A80" s="38">
        <v>32444</v>
      </c>
      <c r="B80" s="4">
        <v>0.4</v>
      </c>
      <c r="C80" s="4">
        <v>0.38</v>
      </c>
      <c r="D80" s="4">
        <v>0.22</v>
      </c>
      <c r="E80" s="50">
        <v>1</v>
      </c>
      <c r="F80" s="50">
        <v>0.23499999999999999</v>
      </c>
      <c r="G80" s="50">
        <v>0.18</v>
      </c>
      <c r="H80" s="50">
        <v>0.38490743662900001</v>
      </c>
      <c r="I80" s="50">
        <v>0.48829287047999997</v>
      </c>
      <c r="J80" s="50">
        <v>0.28152200277799999</v>
      </c>
      <c r="K80" s="50">
        <v>282.38</v>
      </c>
      <c r="L80" s="50">
        <v>277.27999999999997</v>
      </c>
      <c r="M80" s="50">
        <v>278.52999999999997</v>
      </c>
      <c r="N80" s="66">
        <f t="shared" si="8"/>
        <v>-7.9704161131654416E-3</v>
      </c>
      <c r="O80" s="66">
        <f t="shared" si="9"/>
        <v>-4.0570136071518166E-2</v>
      </c>
      <c r="P80" s="4">
        <f t="shared" si="10"/>
        <v>0.18000000000000002</v>
      </c>
      <c r="Q80" s="4">
        <f t="shared" si="3"/>
        <v>-3.4999999999999983E-2</v>
      </c>
      <c r="R80" s="66">
        <f t="shared" si="4"/>
        <v>-7.9704161131654416E-3</v>
      </c>
      <c r="S80" s="66">
        <f t="shared" si="5"/>
        <v>-4.0570136071518166E-2</v>
      </c>
      <c r="T80" s="50" t="str">
        <f t="shared" si="6"/>
        <v/>
      </c>
      <c r="U80" s="50" t="str">
        <f t="shared" si="7"/>
        <v/>
      </c>
    </row>
    <row r="81" spans="1:21" x14ac:dyDescent="0.2">
      <c r="A81" s="38">
        <v>32451</v>
      </c>
      <c r="B81" s="4">
        <v>0.35</v>
      </c>
      <c r="C81" s="4">
        <v>0.46</v>
      </c>
      <c r="D81" s="4">
        <v>0.19</v>
      </c>
      <c r="E81" s="50">
        <v>1</v>
      </c>
      <c r="F81" s="50">
        <v>0.25750000000000001</v>
      </c>
      <c r="G81" s="50">
        <v>0.16</v>
      </c>
      <c r="H81" s="50">
        <v>0.38490743662900001</v>
      </c>
      <c r="I81" s="50">
        <v>0.48829287047999997</v>
      </c>
      <c r="J81" s="50">
        <v>0.28152200277799999</v>
      </c>
      <c r="K81" s="50">
        <v>279.2</v>
      </c>
      <c r="L81" s="50">
        <v>276.31</v>
      </c>
      <c r="M81" s="50">
        <v>276.31</v>
      </c>
      <c r="N81" s="66">
        <f t="shared" si="8"/>
        <v>-3.0364445731243844E-2</v>
      </c>
      <c r="O81" s="66">
        <f t="shared" si="9"/>
        <v>-1.6286055517353695E-2</v>
      </c>
      <c r="P81" s="4">
        <f t="shared" si="10"/>
        <v>0.15999999999999998</v>
      </c>
      <c r="Q81" s="4">
        <f t="shared" ref="Q81:Q144" si="11">AVERAGE(P78:P81)</f>
        <v>6.7500000000000004E-2</v>
      </c>
      <c r="R81" s="66">
        <f t="shared" ref="R81:R144" si="12">(M82-M81)/M81</f>
        <v>-3.0364445731243844E-2</v>
      </c>
      <c r="S81" s="66">
        <f t="shared" ref="S81:S144" si="13">(M85-M81)/M81</f>
        <v>-1.6286055517353695E-2</v>
      </c>
      <c r="T81" s="50" t="str">
        <f t="shared" ref="T81:T144" si="14">IF(R81&gt;0,1,"")</f>
        <v/>
      </c>
      <c r="U81" s="50" t="str">
        <f t="shared" ref="U81:U144" si="15">IF(S81&gt;0,1,"")</f>
        <v/>
      </c>
    </row>
    <row r="82" spans="1:21" x14ac:dyDescent="0.2">
      <c r="A82" s="38">
        <v>32458</v>
      </c>
      <c r="B82" s="4">
        <v>0.23</v>
      </c>
      <c r="C82" s="4">
        <v>0.56000000000000005</v>
      </c>
      <c r="D82" s="4">
        <v>0.21</v>
      </c>
      <c r="E82" s="50">
        <v>1</v>
      </c>
      <c r="F82" s="50">
        <v>0.25624999999999998</v>
      </c>
      <c r="G82" s="50">
        <v>0.02</v>
      </c>
      <c r="H82" s="50">
        <v>0.38490743662900001</v>
      </c>
      <c r="I82" s="50">
        <v>0.48829287047999997</v>
      </c>
      <c r="J82" s="50">
        <v>0.28152200277799999</v>
      </c>
      <c r="K82" s="50">
        <v>275.14999999999998</v>
      </c>
      <c r="L82" s="50">
        <v>267.92</v>
      </c>
      <c r="M82" s="50">
        <v>267.92</v>
      </c>
      <c r="N82" s="66">
        <f t="shared" si="8"/>
        <v>-5.4120633024783088E-3</v>
      </c>
      <c r="O82" s="66">
        <f t="shared" si="9"/>
        <v>3.4002687369363828E-2</v>
      </c>
      <c r="P82" s="4">
        <f t="shared" si="10"/>
        <v>2.0000000000000018E-2</v>
      </c>
      <c r="Q82" s="4">
        <f t="shared" si="11"/>
        <v>9.7500000000000003E-2</v>
      </c>
      <c r="R82" s="66">
        <f t="shared" si="12"/>
        <v>-5.4120633024783088E-3</v>
      </c>
      <c r="S82" s="66">
        <f t="shared" si="13"/>
        <v>3.4002687369363828E-2</v>
      </c>
      <c r="T82" s="50" t="str">
        <f t="shared" si="14"/>
        <v/>
      </c>
      <c r="U82" s="50">
        <f t="shared" si="15"/>
        <v>1</v>
      </c>
    </row>
    <row r="83" spans="1:21" x14ac:dyDescent="0.2">
      <c r="A83" s="38">
        <v>32465</v>
      </c>
      <c r="B83" s="4">
        <v>0.3</v>
      </c>
      <c r="C83" s="4">
        <v>0.34</v>
      </c>
      <c r="D83" s="4">
        <v>0.36</v>
      </c>
      <c r="E83" s="50">
        <v>1</v>
      </c>
      <c r="F83" s="50">
        <v>0.26874999999999999</v>
      </c>
      <c r="G83" s="50">
        <v>-0.06</v>
      </c>
      <c r="H83" s="50">
        <v>0.38490743662900001</v>
      </c>
      <c r="I83" s="50">
        <v>0.48829287047999997</v>
      </c>
      <c r="J83" s="50">
        <v>0.28152200277799999</v>
      </c>
      <c r="K83" s="50">
        <v>268.33999999999997</v>
      </c>
      <c r="L83" s="50">
        <v>263.82</v>
      </c>
      <c r="M83" s="50">
        <v>266.47000000000003</v>
      </c>
      <c r="N83" s="66">
        <f t="shared" si="8"/>
        <v>2.8521034262768449E-3</v>
      </c>
      <c r="O83" s="66">
        <f t="shared" si="9"/>
        <v>3.6852178481630173E-2</v>
      </c>
      <c r="P83" s="4">
        <f t="shared" si="10"/>
        <v>-0.06</v>
      </c>
      <c r="Q83" s="4">
        <f t="shared" si="11"/>
        <v>7.4999999999999997E-2</v>
      </c>
      <c r="R83" s="66">
        <f t="shared" si="12"/>
        <v>2.8521034262768449E-3</v>
      </c>
      <c r="S83" s="66">
        <f t="shared" si="13"/>
        <v>3.6852178481630173E-2</v>
      </c>
      <c r="T83" s="50">
        <f t="shared" si="14"/>
        <v>1</v>
      </c>
      <c r="U83" s="50">
        <f t="shared" si="15"/>
        <v>1</v>
      </c>
    </row>
    <row r="84" spans="1:21" x14ac:dyDescent="0.2">
      <c r="A84" s="38">
        <v>32472</v>
      </c>
      <c r="B84" s="4">
        <v>0.17</v>
      </c>
      <c r="C84" s="4">
        <v>0.44</v>
      </c>
      <c r="D84" s="4">
        <v>0.39</v>
      </c>
      <c r="E84" s="50">
        <v>1</v>
      </c>
      <c r="F84" s="50">
        <v>0.25750000000000001</v>
      </c>
      <c r="G84" s="50">
        <v>-0.22</v>
      </c>
      <c r="H84" s="50">
        <v>0.38490743662900001</v>
      </c>
      <c r="I84" s="50">
        <v>0.48829287047999997</v>
      </c>
      <c r="J84" s="50">
        <v>0.28152200277799999</v>
      </c>
      <c r="K84" s="50">
        <v>269</v>
      </c>
      <c r="L84" s="50">
        <v>266.22000000000003</v>
      </c>
      <c r="M84" s="50">
        <v>267.23</v>
      </c>
      <c r="N84" s="66">
        <f t="shared" si="8"/>
        <v>1.7138794297047427E-2</v>
      </c>
      <c r="O84" s="66">
        <f t="shared" si="9"/>
        <v>3.9815888934625551E-2</v>
      </c>
      <c r="P84" s="4">
        <f t="shared" si="10"/>
        <v>-0.22</v>
      </c>
      <c r="Q84" s="4">
        <f t="shared" si="11"/>
        <v>-2.5000000000000001E-2</v>
      </c>
      <c r="R84" s="66">
        <f t="shared" si="12"/>
        <v>1.7138794297047427E-2</v>
      </c>
      <c r="S84" s="66">
        <f t="shared" si="13"/>
        <v>3.9815888934625551E-2</v>
      </c>
      <c r="T84" s="50">
        <f t="shared" si="14"/>
        <v>1</v>
      </c>
      <c r="U84" s="50">
        <f t="shared" si="15"/>
        <v>1</v>
      </c>
    </row>
    <row r="85" spans="1:21" x14ac:dyDescent="0.2">
      <c r="A85" s="38">
        <v>32479</v>
      </c>
      <c r="B85" s="4">
        <v>0.19</v>
      </c>
      <c r="C85" s="4">
        <v>0.47</v>
      </c>
      <c r="D85" s="4">
        <v>0.34</v>
      </c>
      <c r="E85" s="50">
        <v>1</v>
      </c>
      <c r="F85" s="50">
        <v>0.26500000000000001</v>
      </c>
      <c r="G85" s="50">
        <v>-0.15</v>
      </c>
      <c r="H85" s="50">
        <v>0.38490743662900001</v>
      </c>
      <c r="I85" s="50">
        <v>0.48829287047999997</v>
      </c>
      <c r="J85" s="50">
        <v>0.28152200277799999</v>
      </c>
      <c r="K85" s="50">
        <v>273.7</v>
      </c>
      <c r="L85" s="50">
        <v>268.64</v>
      </c>
      <c r="M85" s="50">
        <v>271.81</v>
      </c>
      <c r="N85" s="66">
        <f t="shared" si="8"/>
        <v>1.9204591442551672E-2</v>
      </c>
      <c r="O85" s="66">
        <f t="shared" si="9"/>
        <v>2.1743129391854694E-2</v>
      </c>
      <c r="P85" s="4">
        <f t="shared" si="10"/>
        <v>-0.15000000000000002</v>
      </c>
      <c r="Q85" s="4">
        <f t="shared" si="11"/>
        <v>-0.10250000000000001</v>
      </c>
      <c r="R85" s="66">
        <f t="shared" si="12"/>
        <v>1.9204591442551672E-2</v>
      </c>
      <c r="S85" s="66">
        <f t="shared" si="13"/>
        <v>2.1743129391854694E-2</v>
      </c>
      <c r="T85" s="50">
        <f t="shared" si="14"/>
        <v>1</v>
      </c>
      <c r="U85" s="50">
        <f t="shared" si="15"/>
        <v>1</v>
      </c>
    </row>
    <row r="86" spans="1:21" x14ac:dyDescent="0.2">
      <c r="A86" s="38">
        <v>32486</v>
      </c>
      <c r="B86" s="4">
        <v>0.17</v>
      </c>
      <c r="C86" s="4">
        <v>0.44</v>
      </c>
      <c r="D86" s="4">
        <v>0.39</v>
      </c>
      <c r="E86" s="50">
        <v>1</v>
      </c>
      <c r="F86" s="50">
        <v>0.25874999999999998</v>
      </c>
      <c r="G86" s="50">
        <v>-0.22</v>
      </c>
      <c r="H86" s="50">
        <v>0.38490743662900001</v>
      </c>
      <c r="I86" s="50">
        <v>0.48829287047999997</v>
      </c>
      <c r="J86" s="50">
        <v>0.28152200277799999</v>
      </c>
      <c r="K86" s="50">
        <v>278.13</v>
      </c>
      <c r="L86" s="50">
        <v>274.93</v>
      </c>
      <c r="M86" s="50">
        <v>277.02999999999997</v>
      </c>
      <c r="N86" s="66">
        <f t="shared" si="8"/>
        <v>-2.6711908457566053E-3</v>
      </c>
      <c r="O86" s="66">
        <f t="shared" si="9"/>
        <v>1.3139371187236197E-2</v>
      </c>
      <c r="P86" s="4">
        <f t="shared" si="10"/>
        <v>-0.22</v>
      </c>
      <c r="Q86" s="4">
        <f t="shared" si="11"/>
        <v>-0.16250000000000001</v>
      </c>
      <c r="R86" s="66">
        <f t="shared" si="12"/>
        <v>-2.6711908457566053E-3</v>
      </c>
      <c r="S86" s="66">
        <f t="shared" si="13"/>
        <v>1.3139371187236197E-2</v>
      </c>
      <c r="T86" s="50" t="str">
        <f t="shared" si="14"/>
        <v/>
      </c>
      <c r="U86" s="50">
        <f t="shared" si="15"/>
        <v>1</v>
      </c>
    </row>
    <row r="87" spans="1:21" x14ac:dyDescent="0.2">
      <c r="A87" s="38">
        <v>32493</v>
      </c>
      <c r="B87" s="4">
        <v>0.24</v>
      </c>
      <c r="C87" s="4">
        <v>0.54</v>
      </c>
      <c r="D87" s="4">
        <v>0.22</v>
      </c>
      <c r="E87" s="50">
        <v>1</v>
      </c>
      <c r="F87" s="50">
        <v>0.25624999999999998</v>
      </c>
      <c r="G87" s="50">
        <v>0.02</v>
      </c>
      <c r="H87" s="50">
        <v>0.38490743662900001</v>
      </c>
      <c r="I87" s="50">
        <v>0.48829287047999997</v>
      </c>
      <c r="J87" s="50">
        <v>0.28152200277799999</v>
      </c>
      <c r="K87" s="50">
        <v>276.52</v>
      </c>
      <c r="L87" s="50">
        <v>274.27999999999997</v>
      </c>
      <c r="M87" s="50">
        <v>276.29000000000002</v>
      </c>
      <c r="N87" s="66">
        <f t="shared" si="8"/>
        <v>5.718628976799681E-3</v>
      </c>
      <c r="O87" s="66">
        <f t="shared" si="9"/>
        <v>2.7434941546925273E-2</v>
      </c>
      <c r="P87" s="4">
        <f t="shared" si="10"/>
        <v>1.999999999999999E-2</v>
      </c>
      <c r="Q87" s="4">
        <f t="shared" si="11"/>
        <v>-0.14249999999999999</v>
      </c>
      <c r="R87" s="66">
        <f t="shared" si="12"/>
        <v>5.718628976799681E-3</v>
      </c>
      <c r="S87" s="66">
        <f t="shared" si="13"/>
        <v>2.7434941546925273E-2</v>
      </c>
      <c r="T87" s="50">
        <f t="shared" si="14"/>
        <v>1</v>
      </c>
      <c r="U87" s="50">
        <f t="shared" si="15"/>
        <v>1</v>
      </c>
    </row>
    <row r="88" spans="1:21" x14ac:dyDescent="0.2">
      <c r="A88" s="38">
        <v>32500</v>
      </c>
      <c r="B88" s="4">
        <v>0.22</v>
      </c>
      <c r="C88" s="4">
        <v>0.46</v>
      </c>
      <c r="D88" s="4">
        <v>0.32</v>
      </c>
      <c r="E88" s="50">
        <v>1</v>
      </c>
      <c r="F88" s="50">
        <v>0.23375000000000001</v>
      </c>
      <c r="G88" s="50">
        <v>-0.1</v>
      </c>
      <c r="H88" s="50">
        <v>0.38490743662900001</v>
      </c>
      <c r="I88" s="50">
        <v>0.48829287047999997</v>
      </c>
      <c r="J88" s="50">
        <v>0.28152200277799999</v>
      </c>
      <c r="K88" s="50">
        <v>278.91000000000003</v>
      </c>
      <c r="L88" s="50">
        <v>276.87</v>
      </c>
      <c r="M88" s="50">
        <v>277.87</v>
      </c>
      <c r="N88" s="66">
        <f t="shared" si="8"/>
        <v>-5.398207795011238E-4</v>
      </c>
      <c r="O88" s="66">
        <f t="shared" si="9"/>
        <v>3.1525533522870373E-2</v>
      </c>
      <c r="P88" s="4">
        <f t="shared" si="10"/>
        <v>-0.1</v>
      </c>
      <c r="Q88" s="4">
        <f t="shared" si="11"/>
        <v>-0.11249999999999999</v>
      </c>
      <c r="R88" s="66">
        <f t="shared" si="12"/>
        <v>-5.398207795011238E-4</v>
      </c>
      <c r="S88" s="66">
        <f t="shared" si="13"/>
        <v>3.1525533522870373E-2</v>
      </c>
      <c r="T88" s="50" t="str">
        <f t="shared" si="14"/>
        <v/>
      </c>
      <c r="U88" s="50">
        <f t="shared" si="15"/>
        <v>1</v>
      </c>
    </row>
    <row r="89" spans="1:21" x14ac:dyDescent="0.2">
      <c r="A89" s="38">
        <v>32507</v>
      </c>
      <c r="B89" s="4">
        <v>0.24</v>
      </c>
      <c r="C89" s="4">
        <v>0.54</v>
      </c>
      <c r="D89" s="4">
        <v>0.22</v>
      </c>
      <c r="E89" s="50">
        <v>1</v>
      </c>
      <c r="F89" s="50">
        <v>0.22</v>
      </c>
      <c r="G89" s="50">
        <v>0.02</v>
      </c>
      <c r="H89" s="50">
        <v>0.38490743662900001</v>
      </c>
      <c r="I89" s="50">
        <v>0.48829287047999997</v>
      </c>
      <c r="J89" s="50">
        <v>0.28152200277799999</v>
      </c>
      <c r="K89" s="50">
        <v>279.39999999999998</v>
      </c>
      <c r="L89" s="50">
        <v>276.83</v>
      </c>
      <c r="M89" s="50">
        <v>277.72000000000003</v>
      </c>
      <c r="N89" s="66">
        <f t="shared" si="8"/>
        <v>1.0622209419559226E-2</v>
      </c>
      <c r="O89" s="66">
        <f t="shared" si="9"/>
        <v>5.7972058188102998E-2</v>
      </c>
      <c r="P89" s="4">
        <f t="shared" si="10"/>
        <v>1.999999999999999E-2</v>
      </c>
      <c r="Q89" s="4">
        <f t="shared" si="11"/>
        <v>-7.0000000000000007E-2</v>
      </c>
      <c r="R89" s="66">
        <f t="shared" si="12"/>
        <v>1.0622209419559226E-2</v>
      </c>
      <c r="S89" s="66">
        <f t="shared" si="13"/>
        <v>5.7972058188102998E-2</v>
      </c>
      <c r="T89" s="50">
        <f t="shared" si="14"/>
        <v>1</v>
      </c>
      <c r="U89" s="50">
        <f t="shared" si="15"/>
        <v>1</v>
      </c>
    </row>
    <row r="90" spans="1:21" x14ac:dyDescent="0.2">
      <c r="A90" s="38">
        <v>32514</v>
      </c>
      <c r="B90" s="4">
        <v>0.26</v>
      </c>
      <c r="C90" s="4">
        <v>0.51</v>
      </c>
      <c r="D90" s="4">
        <v>0.23</v>
      </c>
      <c r="E90" s="50">
        <v>1</v>
      </c>
      <c r="F90" s="50">
        <v>0.22375</v>
      </c>
      <c r="G90" s="50">
        <v>0.03</v>
      </c>
      <c r="H90" s="50">
        <v>0.38490743662900001</v>
      </c>
      <c r="I90" s="50">
        <v>0.48829287047999997</v>
      </c>
      <c r="J90" s="50">
        <v>0.28152200277799999</v>
      </c>
      <c r="K90" s="50">
        <v>280.67</v>
      </c>
      <c r="L90" s="50">
        <v>275.31</v>
      </c>
      <c r="M90" s="50">
        <v>280.67</v>
      </c>
      <c r="N90" s="66">
        <f t="shared" si="8"/>
        <v>1.1401289770905293E-2</v>
      </c>
      <c r="O90" s="66">
        <f t="shared" si="9"/>
        <v>5.8075319770549083E-2</v>
      </c>
      <c r="P90" s="4">
        <f t="shared" si="10"/>
        <v>0.03</v>
      </c>
      <c r="Q90" s="4">
        <f t="shared" si="11"/>
        <v>-7.5000000000000067E-3</v>
      </c>
      <c r="R90" s="66">
        <f t="shared" si="12"/>
        <v>1.1401289770905293E-2</v>
      </c>
      <c r="S90" s="66">
        <f t="shared" si="13"/>
        <v>5.8075319770549083E-2</v>
      </c>
      <c r="T90" s="50">
        <f t="shared" si="14"/>
        <v>1</v>
      </c>
      <c r="U90" s="50">
        <f t="shared" si="15"/>
        <v>1</v>
      </c>
    </row>
    <row r="91" spans="1:21" x14ac:dyDescent="0.2">
      <c r="A91" s="38">
        <v>32521</v>
      </c>
      <c r="B91" s="4">
        <v>0.36</v>
      </c>
      <c r="C91" s="4">
        <v>0.44</v>
      </c>
      <c r="D91" s="4">
        <v>0.2</v>
      </c>
      <c r="E91" s="50">
        <v>1</v>
      </c>
      <c r="F91" s="50">
        <v>0.23125000000000001</v>
      </c>
      <c r="G91" s="50">
        <v>0.16</v>
      </c>
      <c r="H91" s="50">
        <v>0.38490743662900001</v>
      </c>
      <c r="I91" s="50">
        <v>0.48829287047999997</v>
      </c>
      <c r="J91" s="50">
        <v>0.28152200277799999</v>
      </c>
      <c r="K91" s="50">
        <v>283.87</v>
      </c>
      <c r="L91" s="50">
        <v>280.38</v>
      </c>
      <c r="M91" s="50">
        <v>283.87</v>
      </c>
      <c r="N91" s="66">
        <f t="shared" si="8"/>
        <v>9.7227604185013937E-3</v>
      </c>
      <c r="O91" s="66">
        <f t="shared" si="9"/>
        <v>2.8710325148835654E-2</v>
      </c>
      <c r="P91" s="4">
        <f t="shared" si="10"/>
        <v>0.15999999999999998</v>
      </c>
      <c r="Q91" s="4">
        <f t="shared" si="11"/>
        <v>2.749999999999999E-2</v>
      </c>
      <c r="R91" s="66">
        <f t="shared" si="12"/>
        <v>9.7227604185013937E-3</v>
      </c>
      <c r="S91" s="66">
        <f t="shared" si="13"/>
        <v>2.8710325148835654E-2</v>
      </c>
      <c r="T91" s="50">
        <f t="shared" si="14"/>
        <v>1</v>
      </c>
      <c r="U91" s="50">
        <f t="shared" si="15"/>
        <v>1</v>
      </c>
    </row>
    <row r="92" spans="1:21" x14ac:dyDescent="0.2">
      <c r="A92" s="38">
        <v>32528</v>
      </c>
      <c r="B92" s="4">
        <v>0.36</v>
      </c>
      <c r="C92" s="4">
        <v>0.47</v>
      </c>
      <c r="D92" s="4">
        <v>0.17</v>
      </c>
      <c r="E92" s="50">
        <v>1</v>
      </c>
      <c r="F92" s="50">
        <v>0.255</v>
      </c>
      <c r="G92" s="50">
        <v>0.19</v>
      </c>
      <c r="H92" s="50">
        <v>0.38490743662900001</v>
      </c>
      <c r="I92" s="50">
        <v>0.48829287047999997</v>
      </c>
      <c r="J92" s="50">
        <v>0.28152200277799999</v>
      </c>
      <c r="K92" s="50">
        <v>286.89999999999998</v>
      </c>
      <c r="L92" s="50">
        <v>283.55</v>
      </c>
      <c r="M92" s="50">
        <v>286.63</v>
      </c>
      <c r="N92" s="66">
        <f t="shared" si="8"/>
        <v>2.50846038446778E-2</v>
      </c>
      <c r="O92" s="66">
        <f t="shared" si="9"/>
        <v>3.5341729756131583E-2</v>
      </c>
      <c r="P92" s="4">
        <f t="shared" si="10"/>
        <v>0.18999999999999997</v>
      </c>
      <c r="Q92" s="4">
        <f t="shared" si="11"/>
        <v>9.9999999999999978E-2</v>
      </c>
      <c r="R92" s="66">
        <f t="shared" si="12"/>
        <v>2.50846038446778E-2</v>
      </c>
      <c r="S92" s="66">
        <f t="shared" si="13"/>
        <v>3.5341729756131583E-2</v>
      </c>
      <c r="T92" s="50">
        <f t="shared" si="14"/>
        <v>1</v>
      </c>
      <c r="U92" s="50">
        <f t="shared" si="15"/>
        <v>1</v>
      </c>
    </row>
    <row r="93" spans="1:21" x14ac:dyDescent="0.2">
      <c r="A93" s="38">
        <v>32535</v>
      </c>
      <c r="B93" s="4">
        <v>0.32</v>
      </c>
      <c r="C93" s="4">
        <v>0.49</v>
      </c>
      <c r="D93" s="4">
        <v>0.19</v>
      </c>
      <c r="E93" s="50">
        <v>1</v>
      </c>
      <c r="F93" s="50">
        <v>0.27124999999999999</v>
      </c>
      <c r="G93" s="50">
        <v>0.13</v>
      </c>
      <c r="H93" s="50">
        <v>0.38490743662900001</v>
      </c>
      <c r="I93" s="50">
        <v>0.48829287047999997</v>
      </c>
      <c r="J93" s="50">
        <v>0.28152200277799999</v>
      </c>
      <c r="K93" s="50">
        <v>293.82</v>
      </c>
      <c r="L93" s="50">
        <v>284.5</v>
      </c>
      <c r="M93" s="50">
        <v>293.82</v>
      </c>
      <c r="N93" s="66">
        <f t="shared" si="8"/>
        <v>1.0720849499693806E-2</v>
      </c>
      <c r="O93" s="66">
        <f t="shared" si="9"/>
        <v>-2.2769042270778021E-2</v>
      </c>
      <c r="P93" s="4">
        <f t="shared" si="10"/>
        <v>0.13</v>
      </c>
      <c r="Q93" s="4">
        <f t="shared" si="11"/>
        <v>0.1275</v>
      </c>
      <c r="R93" s="66">
        <f t="shared" si="12"/>
        <v>1.0720849499693806E-2</v>
      </c>
      <c r="S93" s="66">
        <f t="shared" si="13"/>
        <v>-2.2769042270778021E-2</v>
      </c>
      <c r="T93" s="50">
        <f t="shared" si="14"/>
        <v>1</v>
      </c>
      <c r="U93" s="50" t="str">
        <f t="shared" si="15"/>
        <v/>
      </c>
    </row>
    <row r="94" spans="1:21" x14ac:dyDescent="0.2">
      <c r="A94" s="38">
        <v>32542</v>
      </c>
      <c r="B94" s="4">
        <v>0.33</v>
      </c>
      <c r="C94" s="4">
        <v>0.44</v>
      </c>
      <c r="D94" s="4">
        <v>0.23</v>
      </c>
      <c r="E94" s="50">
        <v>1</v>
      </c>
      <c r="F94" s="50">
        <v>0.29125000000000001</v>
      </c>
      <c r="G94" s="50">
        <v>0.1</v>
      </c>
      <c r="H94" s="50">
        <v>0.38490743662900001</v>
      </c>
      <c r="I94" s="50">
        <v>0.48829287047999997</v>
      </c>
      <c r="J94" s="50">
        <v>0.28152200277799999</v>
      </c>
      <c r="K94" s="50">
        <v>297.47000000000003</v>
      </c>
      <c r="L94" s="50">
        <v>294.99</v>
      </c>
      <c r="M94" s="50">
        <v>296.97000000000003</v>
      </c>
      <c r="N94" s="66">
        <f t="shared" si="8"/>
        <v>-1.6668350338418174E-2</v>
      </c>
      <c r="O94" s="66">
        <f t="shared" si="9"/>
        <v>-1.9496918880695088E-2</v>
      </c>
      <c r="P94" s="4">
        <f t="shared" si="10"/>
        <v>0.1</v>
      </c>
      <c r="Q94" s="4">
        <f t="shared" si="11"/>
        <v>0.14499999999999999</v>
      </c>
      <c r="R94" s="66">
        <f t="shared" si="12"/>
        <v>-1.6668350338418174E-2</v>
      </c>
      <c r="S94" s="66">
        <f t="shared" si="13"/>
        <v>-1.9496918880695088E-2</v>
      </c>
      <c r="T94" s="50" t="str">
        <f t="shared" si="14"/>
        <v/>
      </c>
      <c r="U94" s="50" t="str">
        <f t="shared" si="15"/>
        <v/>
      </c>
    </row>
    <row r="95" spans="1:21" x14ac:dyDescent="0.2">
      <c r="A95" s="38">
        <v>32549</v>
      </c>
      <c r="B95" s="4">
        <v>0.43</v>
      </c>
      <c r="C95" s="4">
        <v>0.31</v>
      </c>
      <c r="D95" s="4">
        <v>0.26</v>
      </c>
      <c r="E95" s="50">
        <v>1</v>
      </c>
      <c r="F95" s="50">
        <v>0.315</v>
      </c>
      <c r="G95" s="50">
        <v>0.17</v>
      </c>
      <c r="H95" s="50">
        <v>0.38490743662900001</v>
      </c>
      <c r="I95" s="50">
        <v>0.48829287047999997</v>
      </c>
      <c r="J95" s="50">
        <v>0.28152200277799999</v>
      </c>
      <c r="K95" s="50">
        <v>299.63</v>
      </c>
      <c r="L95" s="50">
        <v>292.02</v>
      </c>
      <c r="M95" s="50">
        <v>292.02</v>
      </c>
      <c r="N95" s="66">
        <f t="shared" si="8"/>
        <v>1.6231764947606361E-2</v>
      </c>
      <c r="O95" s="66">
        <f t="shared" si="9"/>
        <v>2.9450037668653302E-3</v>
      </c>
      <c r="P95" s="4">
        <f t="shared" si="10"/>
        <v>0.16999999999999998</v>
      </c>
      <c r="Q95" s="4">
        <f t="shared" si="11"/>
        <v>0.14749999999999996</v>
      </c>
      <c r="R95" s="66">
        <f t="shared" si="12"/>
        <v>1.6231764947606361E-2</v>
      </c>
      <c r="S95" s="66">
        <f t="shared" si="13"/>
        <v>2.9450037668653302E-3</v>
      </c>
      <c r="T95" s="50">
        <f t="shared" si="14"/>
        <v>1</v>
      </c>
      <c r="U95" s="50">
        <f t="shared" si="15"/>
        <v>1</v>
      </c>
    </row>
    <row r="96" spans="1:21" x14ac:dyDescent="0.2">
      <c r="A96" s="38">
        <v>32556</v>
      </c>
      <c r="B96" s="4">
        <v>0.42</v>
      </c>
      <c r="C96" s="4">
        <v>0.41</v>
      </c>
      <c r="D96" s="4">
        <v>0.17</v>
      </c>
      <c r="E96" s="50">
        <v>1</v>
      </c>
      <c r="F96" s="50">
        <v>0.34</v>
      </c>
      <c r="G96" s="50">
        <v>0.25</v>
      </c>
      <c r="H96" s="50">
        <v>0.38490743662900001</v>
      </c>
      <c r="I96" s="50">
        <v>0.48829287047999997</v>
      </c>
      <c r="J96" s="50">
        <v>0.28152200277799999</v>
      </c>
      <c r="K96" s="50">
        <v>296.76</v>
      </c>
      <c r="L96" s="50">
        <v>291.81</v>
      </c>
      <c r="M96" s="50">
        <v>296.76</v>
      </c>
      <c r="N96" s="66">
        <f t="shared" si="8"/>
        <v>-3.245046502224018E-2</v>
      </c>
      <c r="O96" s="66">
        <f t="shared" si="9"/>
        <v>-1.3714786359347598E-2</v>
      </c>
      <c r="P96" s="4">
        <f t="shared" si="10"/>
        <v>0.24999999999999997</v>
      </c>
      <c r="Q96" s="4">
        <f t="shared" si="11"/>
        <v>0.16250000000000001</v>
      </c>
      <c r="R96" s="66">
        <f t="shared" si="12"/>
        <v>-3.245046502224018E-2</v>
      </c>
      <c r="S96" s="66">
        <f t="shared" si="13"/>
        <v>-1.3714786359347598E-2</v>
      </c>
      <c r="T96" s="50" t="str">
        <f t="shared" si="14"/>
        <v/>
      </c>
      <c r="U96" s="50" t="str">
        <f t="shared" si="15"/>
        <v/>
      </c>
    </row>
    <row r="97" spans="1:21" x14ac:dyDescent="0.2">
      <c r="A97" s="38">
        <v>32563</v>
      </c>
      <c r="B97" s="4">
        <v>0.28999999999999998</v>
      </c>
      <c r="C97" s="4">
        <v>0.45</v>
      </c>
      <c r="D97" s="4">
        <v>0.26</v>
      </c>
      <c r="E97" s="50">
        <v>1</v>
      </c>
      <c r="F97" s="50">
        <v>0.34625</v>
      </c>
      <c r="G97" s="50">
        <v>0.03</v>
      </c>
      <c r="H97" s="50">
        <v>0.38490743662900001</v>
      </c>
      <c r="I97" s="50">
        <v>0.48829287047999997</v>
      </c>
      <c r="J97" s="50">
        <v>0.28152200277799999</v>
      </c>
      <c r="K97" s="50">
        <v>295.98</v>
      </c>
      <c r="L97" s="50">
        <v>287.13</v>
      </c>
      <c r="M97" s="50">
        <v>287.13</v>
      </c>
      <c r="N97" s="66">
        <f t="shared" si="8"/>
        <v>1.4105109183993353E-2</v>
      </c>
      <c r="O97" s="66">
        <f t="shared" si="9"/>
        <v>6.4430745655278893E-3</v>
      </c>
      <c r="P97" s="4">
        <f t="shared" si="10"/>
        <v>2.9999999999999971E-2</v>
      </c>
      <c r="Q97" s="4">
        <f t="shared" si="11"/>
        <v>0.13750000000000001</v>
      </c>
      <c r="R97" s="66">
        <f t="shared" si="12"/>
        <v>1.4105109183993353E-2</v>
      </c>
      <c r="S97" s="66">
        <f t="shared" si="13"/>
        <v>6.4430745655278893E-3</v>
      </c>
      <c r="T97" s="50">
        <f t="shared" si="14"/>
        <v>1</v>
      </c>
      <c r="U97" s="50">
        <f t="shared" si="15"/>
        <v>1</v>
      </c>
    </row>
    <row r="98" spans="1:21" x14ac:dyDescent="0.2">
      <c r="A98" s="38">
        <v>32570</v>
      </c>
      <c r="B98" s="4">
        <v>0.28999999999999998</v>
      </c>
      <c r="C98" s="4">
        <v>0.35</v>
      </c>
      <c r="D98" s="4">
        <v>0.36</v>
      </c>
      <c r="E98" s="50">
        <v>1</v>
      </c>
      <c r="F98" s="50">
        <v>0.35</v>
      </c>
      <c r="G98" s="50">
        <v>-7.0000000000000007E-2</v>
      </c>
      <c r="H98" s="50">
        <v>0.38490743662900001</v>
      </c>
      <c r="I98" s="50">
        <v>0.48829287047999997</v>
      </c>
      <c r="J98" s="50">
        <v>0.28152200277799999</v>
      </c>
      <c r="K98" s="50">
        <v>291.18</v>
      </c>
      <c r="L98" s="50">
        <v>287.11</v>
      </c>
      <c r="M98" s="50">
        <v>291.18</v>
      </c>
      <c r="N98" s="66">
        <f t="shared" si="8"/>
        <v>5.8383130709526365E-3</v>
      </c>
      <c r="O98" s="66">
        <f t="shared" si="9"/>
        <v>1.2672573665773739E-2</v>
      </c>
      <c r="P98" s="4">
        <f t="shared" si="10"/>
        <v>-7.0000000000000007E-2</v>
      </c>
      <c r="Q98" s="4">
        <f t="shared" si="11"/>
        <v>9.4999999999999973E-2</v>
      </c>
      <c r="R98" s="66">
        <f t="shared" si="12"/>
        <v>5.8383130709526365E-3</v>
      </c>
      <c r="S98" s="66">
        <f t="shared" si="13"/>
        <v>1.2672573665773739E-2</v>
      </c>
      <c r="T98" s="50">
        <f t="shared" si="14"/>
        <v>1</v>
      </c>
      <c r="U98" s="50">
        <f t="shared" si="15"/>
        <v>1</v>
      </c>
    </row>
    <row r="99" spans="1:21" x14ac:dyDescent="0.2">
      <c r="A99" s="38">
        <v>32577</v>
      </c>
      <c r="B99" s="4">
        <v>0.13</v>
      </c>
      <c r="C99" s="4">
        <v>0.52</v>
      </c>
      <c r="D99" s="4">
        <v>0.35</v>
      </c>
      <c r="E99" s="50">
        <v>1</v>
      </c>
      <c r="F99" s="50">
        <v>0.32124999999999998</v>
      </c>
      <c r="G99" s="50">
        <v>-0.22</v>
      </c>
      <c r="H99" s="50">
        <v>0.38490743662900001</v>
      </c>
      <c r="I99" s="50">
        <v>0.48829287047999997</v>
      </c>
      <c r="J99" s="50">
        <v>0.28152200277799999</v>
      </c>
      <c r="K99" s="50">
        <v>294.81</v>
      </c>
      <c r="L99" s="50">
        <v>292.88</v>
      </c>
      <c r="M99" s="50">
        <v>292.88</v>
      </c>
      <c r="N99" s="66">
        <f t="shared" si="8"/>
        <v>-6.4872985523080351E-4</v>
      </c>
      <c r="O99" s="66">
        <f t="shared" si="9"/>
        <v>1.4613493580988903E-2</v>
      </c>
      <c r="P99" s="4">
        <f t="shared" si="10"/>
        <v>-0.21999999999999997</v>
      </c>
      <c r="Q99" s="4">
        <f t="shared" si="11"/>
        <v>-2.5000000000000161E-3</v>
      </c>
      <c r="R99" s="66">
        <f t="shared" si="12"/>
        <v>-6.4872985523080351E-4</v>
      </c>
      <c r="S99" s="66">
        <f t="shared" si="13"/>
        <v>1.4613493580988903E-2</v>
      </c>
      <c r="T99" s="50" t="str">
        <f t="shared" si="14"/>
        <v/>
      </c>
      <c r="U99" s="50">
        <f t="shared" si="15"/>
        <v>1</v>
      </c>
    </row>
    <row r="100" spans="1:21" x14ac:dyDescent="0.2">
      <c r="A100" s="38">
        <v>32584</v>
      </c>
      <c r="B100" s="4">
        <v>0.28000000000000003</v>
      </c>
      <c r="C100" s="4">
        <v>0.43</v>
      </c>
      <c r="D100" s="4">
        <v>0.28999999999999998</v>
      </c>
      <c r="E100" s="50">
        <v>1</v>
      </c>
      <c r="F100" s="50">
        <v>0.31125000000000003</v>
      </c>
      <c r="G100" s="50">
        <v>-0.01</v>
      </c>
      <c r="H100" s="50">
        <v>0.38490743662900001</v>
      </c>
      <c r="I100" s="50">
        <v>0.48829287047999997</v>
      </c>
      <c r="J100" s="50">
        <v>0.28152200277799999</v>
      </c>
      <c r="K100" s="50">
        <v>299.44</v>
      </c>
      <c r="L100" s="50">
        <v>292.69</v>
      </c>
      <c r="M100" s="50">
        <v>292.69</v>
      </c>
      <c r="N100" s="66">
        <f t="shared" si="8"/>
        <v>-1.2675527008097235E-2</v>
      </c>
      <c r="O100" s="66">
        <f t="shared" si="9"/>
        <v>2.9621784140216666E-2</v>
      </c>
      <c r="P100" s="4">
        <f t="shared" si="10"/>
        <v>-9.9999999999999534E-3</v>
      </c>
      <c r="Q100" s="4">
        <f t="shared" si="11"/>
        <v>-6.7499999999999991E-2</v>
      </c>
      <c r="R100" s="66">
        <f t="shared" si="12"/>
        <v>-1.2675527008097235E-2</v>
      </c>
      <c r="S100" s="66">
        <f t="shared" si="13"/>
        <v>2.9621784140216666E-2</v>
      </c>
      <c r="T100" s="50" t="str">
        <f t="shared" si="14"/>
        <v/>
      </c>
      <c r="U100" s="50">
        <f t="shared" si="15"/>
        <v>1</v>
      </c>
    </row>
    <row r="101" spans="1:21" x14ac:dyDescent="0.2">
      <c r="A101" s="38">
        <v>32590</v>
      </c>
      <c r="B101" s="4">
        <v>0.28999999999999998</v>
      </c>
      <c r="C101" s="4">
        <v>0.41</v>
      </c>
      <c r="D101" s="4">
        <v>0.3</v>
      </c>
      <c r="E101" s="50">
        <v>1</v>
      </c>
      <c r="F101" s="50">
        <v>0.3075</v>
      </c>
      <c r="G101" s="50">
        <v>-0.01</v>
      </c>
      <c r="H101" s="50">
        <v>0.38490743662900001</v>
      </c>
      <c r="I101" s="50">
        <v>0.48829287047999997</v>
      </c>
      <c r="J101" s="50">
        <v>0.28152200277799999</v>
      </c>
      <c r="K101" s="50">
        <v>291.33</v>
      </c>
      <c r="L101" s="50">
        <v>288.98</v>
      </c>
      <c r="M101" s="50">
        <v>288.98</v>
      </c>
      <c r="N101" s="66">
        <f t="shared" si="8"/>
        <v>2.0382033358709896E-2</v>
      </c>
      <c r="O101" s="66">
        <f t="shared" si="9"/>
        <v>7.138902346183125E-2</v>
      </c>
      <c r="P101" s="4">
        <f t="shared" si="10"/>
        <v>-1.0000000000000009E-2</v>
      </c>
      <c r="Q101" s="4">
        <f t="shared" si="11"/>
        <v>-7.7499999999999986E-2</v>
      </c>
      <c r="R101" s="66">
        <f t="shared" si="12"/>
        <v>2.0382033358709896E-2</v>
      </c>
      <c r="S101" s="66">
        <f t="shared" si="13"/>
        <v>7.138902346183125E-2</v>
      </c>
      <c r="T101" s="50">
        <f t="shared" si="14"/>
        <v>1</v>
      </c>
      <c r="U101" s="50">
        <f t="shared" si="15"/>
        <v>1</v>
      </c>
    </row>
    <row r="102" spans="1:21" x14ac:dyDescent="0.2">
      <c r="A102" s="38">
        <v>32598</v>
      </c>
      <c r="B102" s="4">
        <v>0.18</v>
      </c>
      <c r="C102" s="4">
        <v>0.42</v>
      </c>
      <c r="D102" s="4">
        <v>0.4</v>
      </c>
      <c r="E102" s="50">
        <v>1</v>
      </c>
      <c r="F102" s="50">
        <v>0.28875000000000001</v>
      </c>
      <c r="G102" s="50">
        <v>-0.22</v>
      </c>
      <c r="H102" s="50">
        <v>0.38490743662900001</v>
      </c>
      <c r="I102" s="50">
        <v>0.48829287047999997</v>
      </c>
      <c r="J102" s="50">
        <v>0.28152200277799999</v>
      </c>
      <c r="K102" s="50">
        <v>294.87</v>
      </c>
      <c r="L102" s="50">
        <v>290.57</v>
      </c>
      <c r="M102" s="50">
        <v>294.87</v>
      </c>
      <c r="N102" s="66">
        <f t="shared" si="8"/>
        <v>7.7661342286431999E-3</v>
      </c>
      <c r="O102" s="66">
        <f t="shared" si="9"/>
        <v>5.0089870112252792E-2</v>
      </c>
      <c r="P102" s="4">
        <f t="shared" si="10"/>
        <v>-0.22000000000000003</v>
      </c>
      <c r="Q102" s="4">
        <f t="shared" si="11"/>
        <v>-0.11499999999999999</v>
      </c>
      <c r="R102" s="66">
        <f t="shared" si="12"/>
        <v>7.7661342286431999E-3</v>
      </c>
      <c r="S102" s="66">
        <f t="shared" si="13"/>
        <v>5.0089870112252792E-2</v>
      </c>
      <c r="T102" s="50">
        <f t="shared" si="14"/>
        <v>1</v>
      </c>
      <c r="U102" s="50">
        <f t="shared" si="15"/>
        <v>1</v>
      </c>
    </row>
    <row r="103" spans="1:21" x14ac:dyDescent="0.2">
      <c r="A103" s="38">
        <v>32605</v>
      </c>
      <c r="B103" s="4">
        <v>0.23</v>
      </c>
      <c r="C103" s="4">
        <v>0.45</v>
      </c>
      <c r="D103" s="4">
        <v>0.32</v>
      </c>
      <c r="E103" s="50">
        <v>1</v>
      </c>
      <c r="F103" s="50">
        <v>0.26374999999999998</v>
      </c>
      <c r="G103" s="50">
        <v>-0.09</v>
      </c>
      <c r="H103" s="50">
        <v>0.38490743662900001</v>
      </c>
      <c r="I103" s="50">
        <v>0.48829287047999997</v>
      </c>
      <c r="J103" s="50">
        <v>0.28152200277799999</v>
      </c>
      <c r="K103" s="50">
        <v>297.16000000000003</v>
      </c>
      <c r="L103" s="50">
        <v>295.29000000000002</v>
      </c>
      <c r="M103" s="50">
        <v>297.16000000000003</v>
      </c>
      <c r="N103" s="66">
        <f t="shared" si="8"/>
        <v>1.4133799973078436E-2</v>
      </c>
      <c r="O103" s="66">
        <f t="shared" si="9"/>
        <v>3.5166240409207121E-2</v>
      </c>
      <c r="P103" s="4">
        <f t="shared" si="10"/>
        <v>-0.09</v>
      </c>
      <c r="Q103" s="4">
        <f t="shared" si="11"/>
        <v>-8.249999999999999E-2</v>
      </c>
      <c r="R103" s="66">
        <f t="shared" si="12"/>
        <v>1.4133799973078436E-2</v>
      </c>
      <c r="S103" s="66">
        <f t="shared" si="13"/>
        <v>3.5166240409207121E-2</v>
      </c>
      <c r="T103" s="50">
        <f t="shared" si="14"/>
        <v>1</v>
      </c>
      <c r="U103" s="50">
        <f t="shared" si="15"/>
        <v>1</v>
      </c>
    </row>
    <row r="104" spans="1:21" x14ac:dyDescent="0.2">
      <c r="A104" s="38">
        <v>32612</v>
      </c>
      <c r="B104" s="4">
        <v>0.25</v>
      </c>
      <c r="C104" s="4">
        <v>0.42</v>
      </c>
      <c r="D104" s="4">
        <v>0.33</v>
      </c>
      <c r="E104" s="50">
        <v>1</v>
      </c>
      <c r="F104" s="50">
        <v>0.24249999999999999</v>
      </c>
      <c r="G104" s="50">
        <v>-0.08</v>
      </c>
      <c r="H104" s="50">
        <v>0.38490743662900001</v>
      </c>
      <c r="I104" s="50">
        <v>0.48829287047999997</v>
      </c>
      <c r="J104" s="50">
        <v>0.28152200277799999</v>
      </c>
      <c r="K104" s="50">
        <v>301.36</v>
      </c>
      <c r="L104" s="50">
        <v>297.11</v>
      </c>
      <c r="M104" s="50">
        <v>301.36</v>
      </c>
      <c r="N104" s="66">
        <f t="shared" si="8"/>
        <v>2.7375895938412529E-2</v>
      </c>
      <c r="O104" s="66">
        <f t="shared" si="9"/>
        <v>4.141226440138028E-2</v>
      </c>
      <c r="P104" s="4">
        <f t="shared" si="10"/>
        <v>-8.0000000000000016E-2</v>
      </c>
      <c r="Q104" s="4">
        <f t="shared" si="11"/>
        <v>-0.10000000000000002</v>
      </c>
      <c r="R104" s="66">
        <f t="shared" si="12"/>
        <v>2.7375895938412529E-2</v>
      </c>
      <c r="S104" s="66">
        <f t="shared" si="13"/>
        <v>4.141226440138028E-2</v>
      </c>
      <c r="T104" s="50">
        <f t="shared" si="14"/>
        <v>1</v>
      </c>
      <c r="U104" s="50">
        <f t="shared" si="15"/>
        <v>1</v>
      </c>
    </row>
    <row r="105" spans="1:21" x14ac:dyDescent="0.2">
      <c r="A105" s="38">
        <v>32619</v>
      </c>
      <c r="B105" s="4">
        <v>0.21</v>
      </c>
      <c r="C105" s="4">
        <v>0.51</v>
      </c>
      <c r="D105" s="4">
        <v>0.28000000000000003</v>
      </c>
      <c r="E105" s="50">
        <v>1</v>
      </c>
      <c r="F105" s="50">
        <v>0.23250000000000001</v>
      </c>
      <c r="G105" s="50">
        <v>-7.0000000000000007E-2</v>
      </c>
      <c r="H105" s="50">
        <v>0.38490743662900001</v>
      </c>
      <c r="I105" s="50">
        <v>0.48829287047999997</v>
      </c>
      <c r="J105" s="50">
        <v>0.28152200277799999</v>
      </c>
      <c r="K105" s="50">
        <v>309.61</v>
      </c>
      <c r="L105" s="50">
        <v>301.72000000000003</v>
      </c>
      <c r="M105" s="50">
        <v>309.61</v>
      </c>
      <c r="N105" s="66">
        <f t="shared" si="8"/>
        <v>9.6896095087279849E-5</v>
      </c>
      <c r="O105" s="66">
        <f t="shared" si="9"/>
        <v>3.7563386195536307E-2</v>
      </c>
      <c r="P105" s="4">
        <f t="shared" si="10"/>
        <v>-7.0000000000000034E-2</v>
      </c>
      <c r="Q105" s="4">
        <f t="shared" si="11"/>
        <v>-0.11500000000000002</v>
      </c>
      <c r="R105" s="66">
        <f t="shared" si="12"/>
        <v>9.6896095087279849E-5</v>
      </c>
      <c r="S105" s="66">
        <f t="shared" si="13"/>
        <v>3.7563386195536307E-2</v>
      </c>
      <c r="T105" s="50">
        <f t="shared" si="14"/>
        <v>1</v>
      </c>
      <c r="U105" s="50">
        <f t="shared" si="15"/>
        <v>1</v>
      </c>
    </row>
    <row r="106" spans="1:21" x14ac:dyDescent="0.2">
      <c r="A106" s="38">
        <v>32626</v>
      </c>
      <c r="B106" s="4">
        <v>0.31</v>
      </c>
      <c r="C106" s="4">
        <v>0.4</v>
      </c>
      <c r="D106" s="4">
        <v>0.28999999999999998</v>
      </c>
      <c r="E106" s="50">
        <v>1</v>
      </c>
      <c r="F106" s="50">
        <v>0.23499999999999999</v>
      </c>
      <c r="G106" s="50">
        <v>0.02</v>
      </c>
      <c r="H106" s="50">
        <v>0.38490743662900001</v>
      </c>
      <c r="I106" s="50">
        <v>0.48829287047999997</v>
      </c>
      <c r="J106" s="50">
        <v>0.28152200277799999</v>
      </c>
      <c r="K106" s="50">
        <v>309.64</v>
      </c>
      <c r="L106" s="50">
        <v>306.75</v>
      </c>
      <c r="M106" s="50">
        <v>309.64</v>
      </c>
      <c r="N106" s="66">
        <f t="shared" si="8"/>
        <v>-6.5560005167290165E-3</v>
      </c>
      <c r="O106" s="66">
        <f t="shared" si="9"/>
        <v>3.8593205012272279E-2</v>
      </c>
      <c r="P106" s="4">
        <f t="shared" si="10"/>
        <v>2.0000000000000018E-2</v>
      </c>
      <c r="Q106" s="4">
        <f t="shared" si="11"/>
        <v>-5.5000000000000007E-2</v>
      </c>
      <c r="R106" s="66">
        <f t="shared" si="12"/>
        <v>-6.5560005167290165E-3</v>
      </c>
      <c r="S106" s="66">
        <f t="shared" si="13"/>
        <v>3.8593205012272279E-2</v>
      </c>
      <c r="T106" s="50" t="str">
        <f t="shared" si="14"/>
        <v/>
      </c>
      <c r="U106" s="50">
        <f t="shared" si="15"/>
        <v>1</v>
      </c>
    </row>
    <row r="107" spans="1:21" x14ac:dyDescent="0.2">
      <c r="A107" s="38">
        <v>32633</v>
      </c>
      <c r="B107" s="4">
        <v>0.3</v>
      </c>
      <c r="C107" s="4">
        <v>0.4</v>
      </c>
      <c r="D107" s="4">
        <v>0.3</v>
      </c>
      <c r="E107" s="50">
        <v>1</v>
      </c>
      <c r="F107" s="50">
        <v>0.25624999999999998</v>
      </c>
      <c r="G107" s="50">
        <v>0</v>
      </c>
      <c r="H107" s="50">
        <v>0.38490743662900001</v>
      </c>
      <c r="I107" s="50">
        <v>0.48829287047999997</v>
      </c>
      <c r="J107" s="50">
        <v>0.28152200277799999</v>
      </c>
      <c r="K107" s="50">
        <v>309.12</v>
      </c>
      <c r="L107" s="50">
        <v>307.61</v>
      </c>
      <c r="M107" s="50">
        <v>307.61</v>
      </c>
      <c r="N107" s="66">
        <f t="shared" si="8"/>
        <v>2.0252917655472713E-2</v>
      </c>
      <c r="O107" s="66">
        <f t="shared" si="9"/>
        <v>5.8223074672474784E-2</v>
      </c>
      <c r="P107" s="4">
        <f t="shared" si="10"/>
        <v>0</v>
      </c>
      <c r="Q107" s="4">
        <f t="shared" si="11"/>
        <v>-3.2500000000000008E-2</v>
      </c>
      <c r="R107" s="66">
        <f t="shared" si="12"/>
        <v>2.0252917655472713E-2</v>
      </c>
      <c r="S107" s="66">
        <f t="shared" si="13"/>
        <v>5.8223074672474784E-2</v>
      </c>
      <c r="T107" s="50">
        <f t="shared" si="14"/>
        <v>1</v>
      </c>
      <c r="U107" s="50">
        <f t="shared" si="15"/>
        <v>1</v>
      </c>
    </row>
    <row r="108" spans="1:21" x14ac:dyDescent="0.2">
      <c r="A108" s="38">
        <v>32640</v>
      </c>
      <c r="B108" s="4">
        <v>0.38</v>
      </c>
      <c r="C108" s="4">
        <v>0.43</v>
      </c>
      <c r="D108" s="4">
        <v>0.19</v>
      </c>
      <c r="E108" s="50">
        <v>1</v>
      </c>
      <c r="F108" s="50">
        <v>0.26874999999999999</v>
      </c>
      <c r="G108" s="50">
        <v>0.19</v>
      </c>
      <c r="H108" s="50">
        <v>0.38490743662900001</v>
      </c>
      <c r="I108" s="50">
        <v>0.48829287047999997</v>
      </c>
      <c r="J108" s="50">
        <v>0.28152200277799999</v>
      </c>
      <c r="K108" s="50">
        <v>313.83999999999997</v>
      </c>
      <c r="L108" s="50">
        <v>305.19</v>
      </c>
      <c r="M108" s="50">
        <v>313.83999999999997</v>
      </c>
      <c r="N108" s="66">
        <f t="shared" si="8"/>
        <v>2.3578893703798225E-2</v>
      </c>
      <c r="O108" s="66">
        <f t="shared" si="9"/>
        <v>4.0944430282946802E-2</v>
      </c>
      <c r="P108" s="4">
        <f t="shared" si="10"/>
        <v>0.19</v>
      </c>
      <c r="Q108" s="4">
        <f t="shared" si="11"/>
        <v>3.4999999999999996E-2</v>
      </c>
      <c r="R108" s="66">
        <f t="shared" si="12"/>
        <v>2.3578893703798225E-2</v>
      </c>
      <c r="S108" s="66">
        <f t="shared" si="13"/>
        <v>4.0944430282946802E-2</v>
      </c>
      <c r="T108" s="50">
        <f t="shared" si="14"/>
        <v>1</v>
      </c>
      <c r="U108" s="50">
        <f t="shared" si="15"/>
        <v>1</v>
      </c>
    </row>
    <row r="109" spans="1:21" x14ac:dyDescent="0.2">
      <c r="A109" s="38">
        <v>32647</v>
      </c>
      <c r="B109" s="4">
        <v>0.43</v>
      </c>
      <c r="C109" s="4">
        <v>0.38</v>
      </c>
      <c r="D109" s="4">
        <v>0.19</v>
      </c>
      <c r="E109" s="50">
        <v>1</v>
      </c>
      <c r="F109" s="50">
        <v>0.28625</v>
      </c>
      <c r="G109" s="50">
        <v>0.24</v>
      </c>
      <c r="H109" s="50">
        <v>0.38490743662900001</v>
      </c>
      <c r="I109" s="50">
        <v>0.48829287047999997</v>
      </c>
      <c r="J109" s="50">
        <v>0.28152200277799999</v>
      </c>
      <c r="K109" s="50">
        <v>321.24</v>
      </c>
      <c r="L109" s="50">
        <v>315.27999999999997</v>
      </c>
      <c r="M109" s="50">
        <v>321.24</v>
      </c>
      <c r="N109" s="66">
        <f t="shared" si="8"/>
        <v>1.0895280786949505E-3</v>
      </c>
      <c r="O109" s="66">
        <f t="shared" si="9"/>
        <v>3.4242311044706025E-4</v>
      </c>
      <c r="P109" s="4">
        <f t="shared" si="10"/>
        <v>0.24</v>
      </c>
      <c r="Q109" s="4">
        <f t="shared" si="11"/>
        <v>0.1125</v>
      </c>
      <c r="R109" s="66">
        <f t="shared" si="12"/>
        <v>1.0895280786949505E-3</v>
      </c>
      <c r="S109" s="66">
        <f t="shared" si="13"/>
        <v>3.4242311044706025E-4</v>
      </c>
      <c r="T109" s="50">
        <f t="shared" si="14"/>
        <v>1</v>
      </c>
      <c r="U109" s="50">
        <f t="shared" si="15"/>
        <v>1</v>
      </c>
    </row>
    <row r="110" spans="1:21" x14ac:dyDescent="0.2">
      <c r="A110" s="38">
        <v>32654</v>
      </c>
      <c r="B110" s="4">
        <v>0.48</v>
      </c>
      <c r="C110" s="4">
        <v>0.31</v>
      </c>
      <c r="D110" s="4">
        <v>0.21</v>
      </c>
      <c r="E110" s="50">
        <v>1</v>
      </c>
      <c r="F110" s="50">
        <v>0.32374999999999998</v>
      </c>
      <c r="G110" s="50">
        <v>0.27</v>
      </c>
      <c r="H110" s="50">
        <v>0.38490743662900001</v>
      </c>
      <c r="I110" s="50">
        <v>0.48829287047999997</v>
      </c>
      <c r="J110" s="50">
        <v>0.28152200277799999</v>
      </c>
      <c r="K110" s="50">
        <v>321.98</v>
      </c>
      <c r="L110" s="50">
        <v>318.32</v>
      </c>
      <c r="M110" s="50">
        <v>321.58999999999997</v>
      </c>
      <c r="N110" s="66">
        <f t="shared" si="8"/>
        <v>1.2220529245312377E-2</v>
      </c>
      <c r="O110" s="66">
        <f t="shared" si="9"/>
        <v>1.9932211822506998E-2</v>
      </c>
      <c r="P110" s="4">
        <f t="shared" si="10"/>
        <v>0.27</v>
      </c>
      <c r="Q110" s="4">
        <f t="shared" si="11"/>
        <v>0.17499999999999999</v>
      </c>
      <c r="R110" s="66">
        <f t="shared" si="12"/>
        <v>1.2220529245312377E-2</v>
      </c>
      <c r="S110" s="66">
        <f t="shared" si="13"/>
        <v>1.9932211822506998E-2</v>
      </c>
      <c r="T110" s="50">
        <f t="shared" si="14"/>
        <v>1</v>
      </c>
      <c r="U110" s="50">
        <f t="shared" si="15"/>
        <v>1</v>
      </c>
    </row>
    <row r="111" spans="1:21" x14ac:dyDescent="0.2">
      <c r="A111" s="38">
        <v>32661</v>
      </c>
      <c r="B111" s="4">
        <v>0.42</v>
      </c>
      <c r="C111" s="4">
        <v>0.27</v>
      </c>
      <c r="D111" s="4">
        <v>0.31</v>
      </c>
      <c r="E111" s="50">
        <v>1</v>
      </c>
      <c r="F111" s="50">
        <v>0.34749999999999998</v>
      </c>
      <c r="G111" s="50">
        <v>0.11</v>
      </c>
      <c r="H111" s="50">
        <v>0.38490743662900001</v>
      </c>
      <c r="I111" s="50">
        <v>0.48829287047999997</v>
      </c>
      <c r="J111" s="50">
        <v>0.28152200277799999</v>
      </c>
      <c r="K111" s="50">
        <v>325.52</v>
      </c>
      <c r="L111" s="50">
        <v>319.05</v>
      </c>
      <c r="M111" s="50">
        <v>325.52</v>
      </c>
      <c r="N111" s="66">
        <f t="shared" si="8"/>
        <v>3.5942492012780046E-3</v>
      </c>
      <c r="O111" s="66">
        <f t="shared" si="9"/>
        <v>-2.3162939297124489E-2</v>
      </c>
      <c r="P111" s="4">
        <f t="shared" si="10"/>
        <v>0.10999999999999999</v>
      </c>
      <c r="Q111" s="4">
        <f t="shared" si="11"/>
        <v>0.20249999999999999</v>
      </c>
      <c r="R111" s="66">
        <f t="shared" si="12"/>
        <v>3.5942492012780046E-3</v>
      </c>
      <c r="S111" s="66">
        <f t="shared" si="13"/>
        <v>-2.3162939297124489E-2</v>
      </c>
      <c r="T111" s="50">
        <f t="shared" si="14"/>
        <v>1</v>
      </c>
      <c r="U111" s="50" t="str">
        <f t="shared" si="15"/>
        <v/>
      </c>
    </row>
    <row r="112" spans="1:21" x14ac:dyDescent="0.2">
      <c r="A112" s="38">
        <v>32668</v>
      </c>
      <c r="B112" s="4">
        <v>0.43</v>
      </c>
      <c r="C112" s="4">
        <v>0.34</v>
      </c>
      <c r="D112" s="4">
        <v>0.23</v>
      </c>
      <c r="E112" s="50">
        <v>1</v>
      </c>
      <c r="F112" s="50">
        <v>0.37</v>
      </c>
      <c r="G112" s="50">
        <v>0.2</v>
      </c>
      <c r="H112" s="50">
        <v>0.38490743662900001</v>
      </c>
      <c r="I112" s="50">
        <v>0.48829287047999997</v>
      </c>
      <c r="J112" s="50">
        <v>0.28152200277799999</v>
      </c>
      <c r="K112" s="50">
        <v>326.95</v>
      </c>
      <c r="L112" s="50">
        <v>322.02999999999997</v>
      </c>
      <c r="M112" s="50">
        <v>326.69</v>
      </c>
      <c r="N112" s="66">
        <f t="shared" si="8"/>
        <v>-1.6345771220422956E-2</v>
      </c>
      <c r="O112" s="66">
        <f t="shared" si="9"/>
        <v>-5.4485904068075934E-3</v>
      </c>
      <c r="P112" s="4">
        <f t="shared" si="10"/>
        <v>0.19999999999999998</v>
      </c>
      <c r="Q112" s="4">
        <f t="shared" si="11"/>
        <v>0.20499999999999999</v>
      </c>
      <c r="R112" s="66">
        <f t="shared" si="12"/>
        <v>-1.6345771220422956E-2</v>
      </c>
      <c r="S112" s="66">
        <f t="shared" si="13"/>
        <v>-5.4485904068075934E-3</v>
      </c>
      <c r="T112" s="50" t="str">
        <f t="shared" si="14"/>
        <v/>
      </c>
      <c r="U112" s="50" t="str">
        <f t="shared" si="15"/>
        <v/>
      </c>
    </row>
    <row r="113" spans="1:21" x14ac:dyDescent="0.2">
      <c r="A113" s="38">
        <v>32675</v>
      </c>
      <c r="B113" s="4">
        <v>0.32</v>
      </c>
      <c r="C113" s="4">
        <v>0.37</v>
      </c>
      <c r="D113" s="4">
        <v>0.31</v>
      </c>
      <c r="E113" s="50">
        <v>1</v>
      </c>
      <c r="F113" s="50">
        <v>0.38374999999999998</v>
      </c>
      <c r="G113" s="50">
        <v>0.01</v>
      </c>
      <c r="H113" s="50">
        <v>0.38490743662900001</v>
      </c>
      <c r="I113" s="50">
        <v>0.48829287047999997</v>
      </c>
      <c r="J113" s="50">
        <v>0.28152200277799999</v>
      </c>
      <c r="K113" s="50">
        <v>326.24</v>
      </c>
      <c r="L113" s="50">
        <v>320.08</v>
      </c>
      <c r="M113" s="50">
        <v>321.35000000000002</v>
      </c>
      <c r="N113" s="66">
        <f t="shared" si="8"/>
        <v>2.0693947409366663E-2</v>
      </c>
      <c r="O113" s="66">
        <f t="shared" si="9"/>
        <v>3.2643535086354293E-2</v>
      </c>
      <c r="P113" s="4">
        <f t="shared" si="10"/>
        <v>1.0000000000000009E-2</v>
      </c>
      <c r="Q113" s="4">
        <f t="shared" si="11"/>
        <v>0.14749999999999999</v>
      </c>
      <c r="R113" s="66">
        <f t="shared" si="12"/>
        <v>2.0693947409366663E-2</v>
      </c>
      <c r="S113" s="66">
        <f t="shared" si="13"/>
        <v>3.2643535086354293E-2</v>
      </c>
      <c r="T113" s="50">
        <f t="shared" si="14"/>
        <v>1</v>
      </c>
      <c r="U113" s="50">
        <f t="shared" si="15"/>
        <v>1</v>
      </c>
    </row>
    <row r="114" spans="1:21" x14ac:dyDescent="0.2">
      <c r="A114" s="38">
        <v>32682</v>
      </c>
      <c r="B114" s="4">
        <v>0.33</v>
      </c>
      <c r="C114" s="4">
        <v>0.22</v>
      </c>
      <c r="D114" s="4">
        <v>0.45</v>
      </c>
      <c r="E114" s="50">
        <v>1</v>
      </c>
      <c r="F114" s="50">
        <v>0.38624999999999998</v>
      </c>
      <c r="G114" s="50">
        <v>-0.12</v>
      </c>
      <c r="H114" s="50">
        <v>0.38490743662900001</v>
      </c>
      <c r="I114" s="50">
        <v>0.48829287047999997</v>
      </c>
      <c r="J114" s="50">
        <v>0.28152200277799999</v>
      </c>
      <c r="K114" s="50">
        <v>328</v>
      </c>
      <c r="L114" s="50">
        <v>320.48</v>
      </c>
      <c r="M114" s="50">
        <v>328</v>
      </c>
      <c r="N114" s="66">
        <f t="shared" si="8"/>
        <v>-3.0548780487804822E-2</v>
      </c>
      <c r="O114" s="66">
        <f t="shared" si="9"/>
        <v>2.4085365853658468E-2</v>
      </c>
      <c r="P114" s="4">
        <f t="shared" si="10"/>
        <v>-0.12</v>
      </c>
      <c r="Q114" s="4">
        <f t="shared" si="11"/>
        <v>4.9999999999999989E-2</v>
      </c>
      <c r="R114" s="66">
        <f t="shared" si="12"/>
        <v>-3.0548780487804822E-2</v>
      </c>
      <c r="S114" s="66">
        <f t="shared" si="13"/>
        <v>2.4085365853658468E-2</v>
      </c>
      <c r="T114" s="50" t="str">
        <f t="shared" si="14"/>
        <v/>
      </c>
      <c r="U114" s="50">
        <f t="shared" si="15"/>
        <v>1</v>
      </c>
    </row>
    <row r="115" spans="1:21" x14ac:dyDescent="0.2">
      <c r="A115" s="38">
        <v>32689</v>
      </c>
      <c r="B115" s="4">
        <v>0.4</v>
      </c>
      <c r="C115" s="4">
        <v>0.34</v>
      </c>
      <c r="D115" s="4">
        <v>0.26</v>
      </c>
      <c r="E115" s="50">
        <v>1</v>
      </c>
      <c r="F115" s="50">
        <v>0.39874999999999999</v>
      </c>
      <c r="G115" s="50">
        <v>0.14000000000000001</v>
      </c>
      <c r="H115" s="50">
        <v>0.38490743662900001</v>
      </c>
      <c r="I115" s="50">
        <v>0.48829287047999997</v>
      </c>
      <c r="J115" s="50">
        <v>0.28152200277799999</v>
      </c>
      <c r="K115" s="50">
        <v>328.44</v>
      </c>
      <c r="L115" s="50">
        <v>317.98</v>
      </c>
      <c r="M115" s="50">
        <v>317.98</v>
      </c>
      <c r="N115" s="66">
        <f t="shared" si="8"/>
        <v>2.1793823510912656E-2</v>
      </c>
      <c r="O115" s="66">
        <f t="shared" si="9"/>
        <v>7.6011069878608589E-2</v>
      </c>
      <c r="P115" s="4">
        <f t="shared" si="10"/>
        <v>0.14000000000000001</v>
      </c>
      <c r="Q115" s="4">
        <f t="shared" si="11"/>
        <v>5.7500000000000002E-2</v>
      </c>
      <c r="R115" s="66">
        <f t="shared" si="12"/>
        <v>2.1793823510912656E-2</v>
      </c>
      <c r="S115" s="66">
        <f t="shared" si="13"/>
        <v>7.6011069878608589E-2</v>
      </c>
      <c r="T115" s="50">
        <f t="shared" si="14"/>
        <v>1</v>
      </c>
      <c r="U115" s="50">
        <f t="shared" si="15"/>
        <v>1</v>
      </c>
    </row>
    <row r="116" spans="1:21" x14ac:dyDescent="0.2">
      <c r="A116" s="38">
        <v>32696</v>
      </c>
      <c r="B116" s="4">
        <v>0.37</v>
      </c>
      <c r="C116" s="4">
        <v>0.32</v>
      </c>
      <c r="D116" s="4">
        <v>0.31</v>
      </c>
      <c r="E116" s="50">
        <v>1</v>
      </c>
      <c r="F116" s="50">
        <v>0.39750000000000002</v>
      </c>
      <c r="G116" s="50">
        <v>0.06</v>
      </c>
      <c r="H116" s="50">
        <v>0.38490743662900001</v>
      </c>
      <c r="I116" s="50">
        <v>0.48829287047999997</v>
      </c>
      <c r="J116" s="50">
        <v>0.28152200277799999</v>
      </c>
      <c r="K116" s="50">
        <v>324.91000000000003</v>
      </c>
      <c r="L116" s="50">
        <v>319.23</v>
      </c>
      <c r="M116" s="50">
        <v>324.91000000000003</v>
      </c>
      <c r="N116" s="66">
        <f t="shared" si="8"/>
        <v>2.1328983410790526E-2</v>
      </c>
      <c r="O116" s="66">
        <f t="shared" si="9"/>
        <v>5.8508510048936598E-2</v>
      </c>
      <c r="P116" s="4">
        <f t="shared" si="10"/>
        <v>0.06</v>
      </c>
      <c r="Q116" s="4">
        <f t="shared" si="11"/>
        <v>2.2500000000000006E-2</v>
      </c>
      <c r="R116" s="66">
        <f t="shared" si="12"/>
        <v>2.1328983410790526E-2</v>
      </c>
      <c r="S116" s="66">
        <f t="shared" si="13"/>
        <v>5.8508510048936598E-2</v>
      </c>
      <c r="T116" s="50">
        <f t="shared" si="14"/>
        <v>1</v>
      </c>
      <c r="U116" s="50">
        <f t="shared" si="15"/>
        <v>1</v>
      </c>
    </row>
    <row r="117" spans="1:21" x14ac:dyDescent="0.2">
      <c r="A117" s="38">
        <v>32703</v>
      </c>
      <c r="B117" s="4">
        <v>0.22</v>
      </c>
      <c r="C117" s="4">
        <v>0.3</v>
      </c>
      <c r="D117" s="4">
        <v>0.48</v>
      </c>
      <c r="E117" s="50">
        <v>1</v>
      </c>
      <c r="F117" s="50">
        <v>0.37125000000000002</v>
      </c>
      <c r="G117" s="50">
        <v>-0.26</v>
      </c>
      <c r="H117" s="50">
        <v>0.38490743662900001</v>
      </c>
      <c r="I117" s="50">
        <v>0.48829287047999997</v>
      </c>
      <c r="J117" s="50">
        <v>0.28152200277799999</v>
      </c>
      <c r="K117" s="50">
        <v>331.84</v>
      </c>
      <c r="L117" s="50">
        <v>327.07</v>
      </c>
      <c r="M117" s="50">
        <v>331.84</v>
      </c>
      <c r="N117" s="66">
        <f t="shared" si="8"/>
        <v>1.2234811957569921E-2</v>
      </c>
      <c r="O117" s="66">
        <f t="shared" si="9"/>
        <v>3.8874156219865098E-2</v>
      </c>
      <c r="P117" s="4">
        <f t="shared" si="10"/>
        <v>-0.26</v>
      </c>
      <c r="Q117" s="4">
        <f t="shared" si="11"/>
        <v>-4.4999999999999998E-2</v>
      </c>
      <c r="R117" s="66">
        <f t="shared" si="12"/>
        <v>1.2234811957569921E-2</v>
      </c>
      <c r="S117" s="66">
        <f t="shared" si="13"/>
        <v>3.8874156219865098E-2</v>
      </c>
      <c r="T117" s="50">
        <f t="shared" si="14"/>
        <v>1</v>
      </c>
      <c r="U117" s="50">
        <f t="shared" si="15"/>
        <v>1</v>
      </c>
    </row>
    <row r="118" spans="1:21" x14ac:dyDescent="0.2">
      <c r="A118" s="38">
        <v>32710</v>
      </c>
      <c r="B118" s="4">
        <v>0.32</v>
      </c>
      <c r="C118" s="4">
        <v>0.39</v>
      </c>
      <c r="D118" s="4">
        <v>0.28999999999999998</v>
      </c>
      <c r="E118" s="50">
        <v>1</v>
      </c>
      <c r="F118" s="50">
        <v>0.35125000000000001</v>
      </c>
      <c r="G118" s="50">
        <v>0.03</v>
      </c>
      <c r="H118" s="50">
        <v>0.38490743662900001</v>
      </c>
      <c r="I118" s="50">
        <v>0.48829287047999997</v>
      </c>
      <c r="J118" s="50">
        <v>0.28152200277799999</v>
      </c>
      <c r="K118" s="50">
        <v>335.9</v>
      </c>
      <c r="L118" s="50">
        <v>331.35</v>
      </c>
      <c r="M118" s="50">
        <v>335.9</v>
      </c>
      <c r="N118" s="66">
        <f t="shared" si="8"/>
        <v>1.8606728192914559E-2</v>
      </c>
      <c r="O118" s="66">
        <f t="shared" si="9"/>
        <v>3.0157785055075905E-2</v>
      </c>
      <c r="P118" s="4">
        <f t="shared" si="10"/>
        <v>3.0000000000000027E-2</v>
      </c>
      <c r="Q118" s="4">
        <f t="shared" si="11"/>
        <v>-7.4999999999999928E-3</v>
      </c>
      <c r="R118" s="66">
        <f t="shared" si="12"/>
        <v>1.8606728192914559E-2</v>
      </c>
      <c r="S118" s="66">
        <f t="shared" si="13"/>
        <v>3.0157785055075905E-2</v>
      </c>
      <c r="T118" s="50">
        <f t="shared" si="14"/>
        <v>1</v>
      </c>
      <c r="U118" s="50">
        <f t="shared" si="15"/>
        <v>1</v>
      </c>
    </row>
    <row r="119" spans="1:21" x14ac:dyDescent="0.2">
      <c r="A119" s="38">
        <v>32717</v>
      </c>
      <c r="B119" s="4">
        <v>0.41</v>
      </c>
      <c r="C119" s="4">
        <v>0.25</v>
      </c>
      <c r="D119" s="4">
        <v>0.34</v>
      </c>
      <c r="E119" s="50">
        <v>1</v>
      </c>
      <c r="F119" s="50">
        <v>0.35</v>
      </c>
      <c r="G119" s="50">
        <v>7.0000000000000007E-2</v>
      </c>
      <c r="H119" s="50">
        <v>0.38490743662900001</v>
      </c>
      <c r="I119" s="50">
        <v>0.48829287047999997</v>
      </c>
      <c r="J119" s="50">
        <v>0.28152200277799999</v>
      </c>
      <c r="K119" s="50">
        <v>342.15</v>
      </c>
      <c r="L119" s="50">
        <v>333.67</v>
      </c>
      <c r="M119" s="50">
        <v>342.15</v>
      </c>
      <c r="N119" s="66">
        <f t="shared" si="8"/>
        <v>5.1731696624288722E-3</v>
      </c>
      <c r="O119" s="66">
        <f t="shared" si="9"/>
        <v>2.446295484436652E-2</v>
      </c>
      <c r="P119" s="4">
        <f t="shared" si="10"/>
        <v>6.9999999999999951E-2</v>
      </c>
      <c r="Q119" s="4">
        <f t="shared" si="11"/>
        <v>-2.5000000000000008E-2</v>
      </c>
      <c r="R119" s="66">
        <f t="shared" si="12"/>
        <v>5.1731696624288722E-3</v>
      </c>
      <c r="S119" s="66">
        <f t="shared" si="13"/>
        <v>2.446295484436652E-2</v>
      </c>
      <c r="T119" s="50">
        <f t="shared" si="14"/>
        <v>1</v>
      </c>
      <c r="U119" s="50">
        <f t="shared" si="15"/>
        <v>1</v>
      </c>
    </row>
    <row r="120" spans="1:21" x14ac:dyDescent="0.2">
      <c r="A120" s="38">
        <v>32724</v>
      </c>
      <c r="B120" s="4">
        <v>0.35</v>
      </c>
      <c r="C120" s="4">
        <v>0.3</v>
      </c>
      <c r="D120" s="4">
        <v>0.35</v>
      </c>
      <c r="E120" s="50">
        <v>1</v>
      </c>
      <c r="F120" s="50">
        <v>0.34</v>
      </c>
      <c r="G120" s="50">
        <v>0</v>
      </c>
      <c r="H120" s="50">
        <v>0.38490743662900001</v>
      </c>
      <c r="I120" s="50">
        <v>0.48829287047999997</v>
      </c>
      <c r="J120" s="50">
        <v>0.28152200277799999</v>
      </c>
      <c r="K120" s="50">
        <v>346.08</v>
      </c>
      <c r="L120" s="50">
        <v>343.75</v>
      </c>
      <c r="M120" s="50">
        <v>343.92</v>
      </c>
      <c r="N120" s="66">
        <f t="shared" si="8"/>
        <v>2.3842754128866979E-3</v>
      </c>
      <c r="O120" s="66">
        <f t="shared" si="9"/>
        <v>2.8524075366364275E-2</v>
      </c>
      <c r="P120" s="4">
        <f t="shared" si="10"/>
        <v>0</v>
      </c>
      <c r="Q120" s="4">
        <f t="shared" si="11"/>
        <v>-4.0000000000000008E-2</v>
      </c>
      <c r="R120" s="66">
        <f t="shared" si="12"/>
        <v>2.3842754128866979E-3</v>
      </c>
      <c r="S120" s="66">
        <f t="shared" si="13"/>
        <v>2.8524075366364275E-2</v>
      </c>
      <c r="T120" s="50">
        <f t="shared" si="14"/>
        <v>1</v>
      </c>
      <c r="U120" s="50">
        <f t="shared" si="15"/>
        <v>1</v>
      </c>
    </row>
    <row r="121" spans="1:21" x14ac:dyDescent="0.2">
      <c r="A121" s="38">
        <v>32731</v>
      </c>
      <c r="B121" s="4">
        <v>0.53</v>
      </c>
      <c r="C121" s="4">
        <v>0.21</v>
      </c>
      <c r="D121" s="4">
        <v>0.26</v>
      </c>
      <c r="E121" s="50">
        <v>1</v>
      </c>
      <c r="F121" s="50">
        <v>0.36625000000000002</v>
      </c>
      <c r="G121" s="50">
        <v>0.27</v>
      </c>
      <c r="H121" s="50">
        <v>0.38490743662900001</v>
      </c>
      <c r="I121" s="50">
        <v>0.48829287047999997</v>
      </c>
      <c r="J121" s="50">
        <v>0.28152200277799999</v>
      </c>
      <c r="K121" s="50">
        <v>349.41</v>
      </c>
      <c r="L121" s="50">
        <v>344.74</v>
      </c>
      <c r="M121" s="50">
        <v>344.74</v>
      </c>
      <c r="N121" s="66">
        <f t="shared" si="8"/>
        <v>3.7419504554155698E-3</v>
      </c>
      <c r="O121" s="66">
        <f t="shared" si="9"/>
        <v>1.1660961884318564E-2</v>
      </c>
      <c r="P121" s="4">
        <f t="shared" si="10"/>
        <v>0.27</v>
      </c>
      <c r="Q121" s="4">
        <f t="shared" si="11"/>
        <v>9.2499999999999999E-2</v>
      </c>
      <c r="R121" s="66">
        <f t="shared" si="12"/>
        <v>3.7419504554155698E-3</v>
      </c>
      <c r="S121" s="66">
        <f t="shared" si="13"/>
        <v>1.1660961884318564E-2</v>
      </c>
      <c r="T121" s="50">
        <f t="shared" si="14"/>
        <v>1</v>
      </c>
      <c r="U121" s="50">
        <f t="shared" si="15"/>
        <v>1</v>
      </c>
    </row>
    <row r="122" spans="1:21" x14ac:dyDescent="0.2">
      <c r="A122" s="38">
        <v>32738</v>
      </c>
      <c r="B122" s="4">
        <v>0.35</v>
      </c>
      <c r="C122" s="4">
        <v>0.28000000000000003</v>
      </c>
      <c r="D122" s="4">
        <v>0.37</v>
      </c>
      <c r="E122" s="50">
        <v>1</v>
      </c>
      <c r="F122" s="50">
        <v>0.36875000000000002</v>
      </c>
      <c r="G122" s="50">
        <v>-0.02</v>
      </c>
      <c r="H122" s="50">
        <v>0.38490743662900001</v>
      </c>
      <c r="I122" s="50">
        <v>0.48829287047999997</v>
      </c>
      <c r="J122" s="50">
        <v>0.28152200277799999</v>
      </c>
      <c r="K122" s="50">
        <v>346.03</v>
      </c>
      <c r="L122" s="50">
        <v>343.06</v>
      </c>
      <c r="M122" s="50">
        <v>346.03</v>
      </c>
      <c r="N122" s="66">
        <f t="shared" si="8"/>
        <v>1.2975753547380313E-2</v>
      </c>
      <c r="O122" s="66">
        <f t="shared" si="9"/>
        <v>-2.8032251538883061E-3</v>
      </c>
      <c r="P122" s="4">
        <f t="shared" si="10"/>
        <v>-2.0000000000000018E-2</v>
      </c>
      <c r="Q122" s="4">
        <f t="shared" si="11"/>
        <v>7.9999999999999988E-2</v>
      </c>
      <c r="R122" s="66">
        <f t="shared" si="12"/>
        <v>1.2975753547380313E-2</v>
      </c>
      <c r="S122" s="66">
        <f t="shared" si="13"/>
        <v>-2.8032251538883061E-3</v>
      </c>
      <c r="T122" s="50">
        <f t="shared" si="14"/>
        <v>1</v>
      </c>
      <c r="U122" s="50" t="str">
        <f t="shared" si="15"/>
        <v/>
      </c>
    </row>
    <row r="123" spans="1:21" x14ac:dyDescent="0.2">
      <c r="A123" s="38">
        <v>32745</v>
      </c>
      <c r="B123" s="4">
        <v>0.45</v>
      </c>
      <c r="C123" s="4">
        <v>0.24</v>
      </c>
      <c r="D123" s="4">
        <v>0.31</v>
      </c>
      <c r="E123" s="50">
        <v>1</v>
      </c>
      <c r="F123" s="50">
        <v>0.375</v>
      </c>
      <c r="G123" s="50">
        <v>0.14000000000000001</v>
      </c>
      <c r="H123" s="50">
        <v>0.38490743662900001</v>
      </c>
      <c r="I123" s="50">
        <v>0.48829287047999997</v>
      </c>
      <c r="J123" s="50">
        <v>0.28152200277799999</v>
      </c>
      <c r="K123" s="50">
        <v>351.52</v>
      </c>
      <c r="L123" s="50">
        <v>340.67</v>
      </c>
      <c r="M123" s="50">
        <v>350.52</v>
      </c>
      <c r="N123" s="66">
        <f t="shared" si="8"/>
        <v>9.1578226634715185E-3</v>
      </c>
      <c r="O123" s="66">
        <f t="shared" si="9"/>
        <v>-9.8995777701699501E-3</v>
      </c>
      <c r="P123" s="4">
        <f t="shared" si="10"/>
        <v>0.14000000000000001</v>
      </c>
      <c r="Q123" s="4">
        <f t="shared" si="11"/>
        <v>9.7500000000000003E-2</v>
      </c>
      <c r="R123" s="66">
        <f t="shared" si="12"/>
        <v>9.1578226634715185E-3</v>
      </c>
      <c r="S123" s="66">
        <f t="shared" si="13"/>
        <v>-9.8995777701699501E-3</v>
      </c>
      <c r="T123" s="50">
        <f t="shared" si="14"/>
        <v>1</v>
      </c>
      <c r="U123" s="50" t="str">
        <f t="shared" si="15"/>
        <v/>
      </c>
    </row>
    <row r="124" spans="1:21" x14ac:dyDescent="0.2">
      <c r="A124" s="38">
        <v>32752</v>
      </c>
      <c r="B124" s="4">
        <v>0.34</v>
      </c>
      <c r="C124" s="4">
        <v>0.3</v>
      </c>
      <c r="D124" s="4">
        <v>0.36</v>
      </c>
      <c r="E124" s="50">
        <v>1</v>
      </c>
      <c r="F124" s="50">
        <v>0.37125000000000002</v>
      </c>
      <c r="G124" s="50">
        <v>-0.02</v>
      </c>
      <c r="H124" s="50">
        <v>0.38490743662900001</v>
      </c>
      <c r="I124" s="50">
        <v>0.48829287047999997</v>
      </c>
      <c r="J124" s="50">
        <v>0.28152200277799999</v>
      </c>
      <c r="K124" s="50">
        <v>353.73</v>
      </c>
      <c r="L124" s="50">
        <v>349.84</v>
      </c>
      <c r="M124" s="50">
        <v>353.73</v>
      </c>
      <c r="N124" s="66">
        <f t="shared" si="8"/>
        <v>-1.405026432589836E-2</v>
      </c>
      <c r="O124" s="66">
        <f t="shared" si="9"/>
        <v>-1.2947728493483846E-2</v>
      </c>
      <c r="P124" s="4">
        <f t="shared" si="10"/>
        <v>-1.9999999999999962E-2</v>
      </c>
      <c r="Q124" s="4">
        <f t="shared" si="11"/>
        <v>9.2500000000000013E-2</v>
      </c>
      <c r="R124" s="66">
        <f t="shared" si="12"/>
        <v>-1.405026432589836E-2</v>
      </c>
      <c r="S124" s="66">
        <f t="shared" si="13"/>
        <v>-1.2947728493483846E-2</v>
      </c>
      <c r="T124" s="50" t="str">
        <f t="shared" si="14"/>
        <v/>
      </c>
      <c r="U124" s="50" t="str">
        <f t="shared" si="15"/>
        <v/>
      </c>
    </row>
    <row r="125" spans="1:21" x14ac:dyDescent="0.2">
      <c r="A125" s="38">
        <v>32759</v>
      </c>
      <c r="B125" s="4">
        <v>0.3</v>
      </c>
      <c r="C125" s="4">
        <v>0.3</v>
      </c>
      <c r="D125" s="4">
        <v>0.4</v>
      </c>
      <c r="E125" s="50">
        <v>1</v>
      </c>
      <c r="F125" s="50">
        <v>0.38124999999999998</v>
      </c>
      <c r="G125" s="50">
        <v>-0.1</v>
      </c>
      <c r="H125" s="50">
        <v>0.38490743662900001</v>
      </c>
      <c r="I125" s="50">
        <v>0.48829287047999997</v>
      </c>
      <c r="J125" s="50">
        <v>0.28152200277799999</v>
      </c>
      <c r="K125" s="50">
        <v>352.56</v>
      </c>
      <c r="L125" s="50">
        <v>348.35</v>
      </c>
      <c r="M125" s="50">
        <v>348.76</v>
      </c>
      <c r="N125" s="66">
        <f t="shared" si="8"/>
        <v>-1.0609014795274655E-2</v>
      </c>
      <c r="O125" s="66">
        <f t="shared" si="9"/>
        <v>2.8730358986122209E-2</v>
      </c>
      <c r="P125" s="4">
        <f t="shared" si="10"/>
        <v>-0.10000000000000003</v>
      </c>
      <c r="Q125" s="4">
        <f t="shared" si="11"/>
        <v>0</v>
      </c>
      <c r="R125" s="66">
        <f t="shared" si="12"/>
        <v>-1.0609014795274655E-2</v>
      </c>
      <c r="S125" s="66">
        <f t="shared" si="13"/>
        <v>2.8730358986122209E-2</v>
      </c>
      <c r="T125" s="50" t="str">
        <f t="shared" si="14"/>
        <v/>
      </c>
      <c r="U125" s="50">
        <f t="shared" si="15"/>
        <v>1</v>
      </c>
    </row>
    <row r="126" spans="1:21" x14ac:dyDescent="0.2">
      <c r="A126" s="38">
        <v>32766</v>
      </c>
      <c r="B126" s="4">
        <v>0.31</v>
      </c>
      <c r="C126" s="4">
        <v>0.44</v>
      </c>
      <c r="D126" s="4">
        <v>0.25</v>
      </c>
      <c r="E126" s="50">
        <v>1</v>
      </c>
      <c r="F126" s="50">
        <v>0.38</v>
      </c>
      <c r="G126" s="50">
        <v>0.06</v>
      </c>
      <c r="H126" s="50">
        <v>0.38490743662900001</v>
      </c>
      <c r="I126" s="50">
        <v>0.48829287047999997</v>
      </c>
      <c r="J126" s="50">
        <v>0.28152200277799999</v>
      </c>
      <c r="K126" s="50">
        <v>348.7</v>
      </c>
      <c r="L126" s="50">
        <v>343.16</v>
      </c>
      <c r="M126" s="50">
        <v>345.06</v>
      </c>
      <c r="N126" s="66">
        <f t="shared" si="8"/>
        <v>5.7671129658610357E-3</v>
      </c>
      <c r="O126" s="66">
        <f t="shared" si="9"/>
        <v>-3.3066713035414204E-2</v>
      </c>
      <c r="P126" s="4">
        <f t="shared" si="10"/>
        <v>0.06</v>
      </c>
      <c r="Q126" s="4">
        <f t="shared" si="11"/>
        <v>2.0000000000000004E-2</v>
      </c>
      <c r="R126" s="66">
        <f t="shared" si="12"/>
        <v>5.7671129658610357E-3</v>
      </c>
      <c r="S126" s="66">
        <f t="shared" si="13"/>
        <v>-3.3066713035414204E-2</v>
      </c>
      <c r="T126" s="50">
        <f t="shared" si="14"/>
        <v>1</v>
      </c>
      <c r="U126" s="50" t="str">
        <f t="shared" si="15"/>
        <v/>
      </c>
    </row>
    <row r="127" spans="1:21" x14ac:dyDescent="0.2">
      <c r="A127" s="38">
        <v>32773</v>
      </c>
      <c r="B127" s="4">
        <v>0.24</v>
      </c>
      <c r="C127" s="4">
        <v>0.37</v>
      </c>
      <c r="D127" s="4">
        <v>0.39</v>
      </c>
      <c r="E127" s="50">
        <v>1</v>
      </c>
      <c r="F127" s="50">
        <v>0.35875000000000001</v>
      </c>
      <c r="G127" s="50">
        <v>-0.15</v>
      </c>
      <c r="H127" s="50">
        <v>0.38490743662900001</v>
      </c>
      <c r="I127" s="50">
        <v>0.48829287047999997</v>
      </c>
      <c r="J127" s="50">
        <v>0.28152200277799999</v>
      </c>
      <c r="K127" s="50">
        <v>347.05</v>
      </c>
      <c r="L127" s="50">
        <v>345.7</v>
      </c>
      <c r="M127" s="50">
        <v>347.05</v>
      </c>
      <c r="N127" s="66">
        <f t="shared" si="8"/>
        <v>6.0510012966430368E-3</v>
      </c>
      <c r="O127" s="66">
        <f t="shared" si="9"/>
        <v>3.1695721077658448E-4</v>
      </c>
      <c r="P127" s="4">
        <f t="shared" si="10"/>
        <v>-0.15000000000000002</v>
      </c>
      <c r="Q127" s="4">
        <f t="shared" si="11"/>
        <v>-5.2500000000000005E-2</v>
      </c>
      <c r="R127" s="66">
        <f t="shared" si="12"/>
        <v>6.0510012966430368E-3</v>
      </c>
      <c r="S127" s="66">
        <f t="shared" si="13"/>
        <v>3.1695721077658448E-4</v>
      </c>
      <c r="T127" s="50">
        <f t="shared" si="14"/>
        <v>1</v>
      </c>
      <c r="U127" s="50">
        <f t="shared" si="15"/>
        <v>1</v>
      </c>
    </row>
    <row r="128" spans="1:21" x14ac:dyDescent="0.2">
      <c r="A128" s="38">
        <v>32780</v>
      </c>
      <c r="B128" s="4">
        <v>0.33</v>
      </c>
      <c r="C128" s="4">
        <v>0.38</v>
      </c>
      <c r="D128" s="4">
        <v>0.28999999999999998</v>
      </c>
      <c r="E128" s="50">
        <v>1</v>
      </c>
      <c r="F128" s="50">
        <v>0.35625000000000001</v>
      </c>
      <c r="G128" s="50">
        <v>0.04</v>
      </c>
      <c r="H128" s="50">
        <v>0.38490743662900001</v>
      </c>
      <c r="I128" s="50">
        <v>0.48829287047999997</v>
      </c>
      <c r="J128" s="50">
        <v>0.28152200277799999</v>
      </c>
      <c r="K128" s="50">
        <v>349.15</v>
      </c>
      <c r="L128" s="50">
        <v>344.23</v>
      </c>
      <c r="M128" s="50">
        <v>349.15</v>
      </c>
      <c r="N128" s="66">
        <f t="shared" si="8"/>
        <v>2.7581268795646558E-2</v>
      </c>
      <c r="O128" s="66">
        <f t="shared" si="9"/>
        <v>-4.0355148217098596E-2</v>
      </c>
      <c r="P128" s="4">
        <f t="shared" si="10"/>
        <v>4.0000000000000036E-2</v>
      </c>
      <c r="Q128" s="4">
        <f t="shared" si="11"/>
        <v>-3.7500000000000006E-2</v>
      </c>
      <c r="R128" s="66">
        <f t="shared" si="12"/>
        <v>2.7581268795646558E-2</v>
      </c>
      <c r="S128" s="66">
        <f t="shared" si="13"/>
        <v>-4.0355148217098596E-2</v>
      </c>
      <c r="T128" s="50">
        <f t="shared" si="14"/>
        <v>1</v>
      </c>
      <c r="U128" s="50" t="str">
        <f t="shared" si="15"/>
        <v/>
      </c>
    </row>
    <row r="129" spans="1:21" x14ac:dyDescent="0.2">
      <c r="A129" s="38">
        <v>32787</v>
      </c>
      <c r="B129" s="4">
        <v>0.24</v>
      </c>
      <c r="C129" s="4">
        <v>0.43</v>
      </c>
      <c r="D129" s="4">
        <v>0.33</v>
      </c>
      <c r="E129" s="50">
        <v>1</v>
      </c>
      <c r="F129" s="50">
        <v>0.32</v>
      </c>
      <c r="G129" s="50">
        <v>-0.09</v>
      </c>
      <c r="H129" s="50">
        <v>0.38490743662900001</v>
      </c>
      <c r="I129" s="50">
        <v>0.48829287047999997</v>
      </c>
      <c r="J129" s="50">
        <v>0.28152200277799999</v>
      </c>
      <c r="K129" s="50">
        <v>358.78</v>
      </c>
      <c r="L129" s="50">
        <v>350.87</v>
      </c>
      <c r="M129" s="50">
        <v>358.78</v>
      </c>
      <c r="N129" s="66">
        <f t="shared" si="8"/>
        <v>-7.0042923239868438E-2</v>
      </c>
      <c r="O129" s="66">
        <f t="shared" si="9"/>
        <v>-5.8977646468587906E-2</v>
      </c>
      <c r="P129" s="4">
        <f t="shared" si="10"/>
        <v>-9.0000000000000024E-2</v>
      </c>
      <c r="Q129" s="4">
        <f t="shared" si="11"/>
        <v>-3.5000000000000003E-2</v>
      </c>
      <c r="R129" s="66">
        <f t="shared" si="12"/>
        <v>-7.0042923239868438E-2</v>
      </c>
      <c r="S129" s="66">
        <f t="shared" si="13"/>
        <v>-5.8977646468587906E-2</v>
      </c>
      <c r="T129" s="50" t="str">
        <f t="shared" si="14"/>
        <v/>
      </c>
      <c r="U129" s="50" t="str">
        <f t="shared" si="15"/>
        <v/>
      </c>
    </row>
    <row r="130" spans="1:21" x14ac:dyDescent="0.2">
      <c r="A130" s="38">
        <v>32794</v>
      </c>
      <c r="B130" s="4">
        <v>0.28000000000000003</v>
      </c>
      <c r="C130" s="4">
        <v>0.52</v>
      </c>
      <c r="D130" s="4">
        <v>0.2</v>
      </c>
      <c r="E130" s="50">
        <v>1</v>
      </c>
      <c r="F130" s="50">
        <v>0.31125000000000003</v>
      </c>
      <c r="G130" s="50">
        <v>0.08</v>
      </c>
      <c r="H130" s="50">
        <v>0.38490743662900001</v>
      </c>
      <c r="I130" s="50">
        <v>0.48829287047999997</v>
      </c>
      <c r="J130" s="50">
        <v>0.28152200277799999</v>
      </c>
      <c r="K130" s="50">
        <v>359.8</v>
      </c>
      <c r="L130" s="50">
        <v>333.65</v>
      </c>
      <c r="M130" s="50">
        <v>333.65</v>
      </c>
      <c r="N130" s="66">
        <f t="shared" si="8"/>
        <v>4.0491533043608717E-2</v>
      </c>
      <c r="O130" s="66">
        <f t="shared" si="9"/>
        <v>1.6334482241870361E-2</v>
      </c>
      <c r="P130" s="4">
        <f t="shared" si="10"/>
        <v>8.0000000000000016E-2</v>
      </c>
      <c r="Q130" s="4">
        <f t="shared" si="11"/>
        <v>-0.03</v>
      </c>
      <c r="R130" s="66">
        <f t="shared" si="12"/>
        <v>4.0491533043608717E-2</v>
      </c>
      <c r="S130" s="66">
        <f t="shared" si="13"/>
        <v>1.6334482241870361E-2</v>
      </c>
      <c r="T130" s="50">
        <f t="shared" si="14"/>
        <v>1</v>
      </c>
      <c r="U130" s="50">
        <f t="shared" si="15"/>
        <v>1</v>
      </c>
    </row>
    <row r="131" spans="1:21" x14ac:dyDescent="0.2">
      <c r="A131" s="38">
        <v>32801</v>
      </c>
      <c r="B131" s="4">
        <v>0.39</v>
      </c>
      <c r="C131" s="4">
        <v>0.28000000000000003</v>
      </c>
      <c r="D131" s="4">
        <v>0.33</v>
      </c>
      <c r="E131" s="50">
        <v>1</v>
      </c>
      <c r="F131" s="50">
        <v>0.30375000000000002</v>
      </c>
      <c r="G131" s="50">
        <v>0.06</v>
      </c>
      <c r="H131" s="50">
        <v>0.38490743662900001</v>
      </c>
      <c r="I131" s="50">
        <v>0.48829287047999997</v>
      </c>
      <c r="J131" s="50">
        <v>0.28152200277799999</v>
      </c>
      <c r="K131" s="50">
        <v>347.16</v>
      </c>
      <c r="L131" s="50">
        <v>341.16</v>
      </c>
      <c r="M131" s="50">
        <v>347.16</v>
      </c>
      <c r="N131" s="66">
        <f t="shared" si="8"/>
        <v>-3.485424588086191E-2</v>
      </c>
      <c r="O131" s="66">
        <f t="shared" si="9"/>
        <v>-1.5986864846180466E-2</v>
      </c>
      <c r="P131" s="4">
        <f t="shared" si="10"/>
        <v>0.06</v>
      </c>
      <c r="Q131" s="4">
        <f t="shared" si="11"/>
        <v>2.2500000000000006E-2</v>
      </c>
      <c r="R131" s="66">
        <f t="shared" si="12"/>
        <v>-3.485424588086191E-2</v>
      </c>
      <c r="S131" s="66">
        <f t="shared" si="13"/>
        <v>-1.5986864846180466E-2</v>
      </c>
      <c r="T131" s="50" t="str">
        <f t="shared" si="14"/>
        <v/>
      </c>
      <c r="U131" s="50" t="str">
        <f t="shared" si="15"/>
        <v/>
      </c>
    </row>
    <row r="132" spans="1:21" x14ac:dyDescent="0.2">
      <c r="A132" s="38">
        <v>32808</v>
      </c>
      <c r="B132" s="4">
        <v>0.36</v>
      </c>
      <c r="C132" s="4">
        <v>0.33</v>
      </c>
      <c r="D132" s="4">
        <v>0.31</v>
      </c>
      <c r="E132" s="50">
        <v>1</v>
      </c>
      <c r="F132" s="50">
        <v>0.30625000000000002</v>
      </c>
      <c r="G132" s="50">
        <v>0.05</v>
      </c>
      <c r="H132" s="50">
        <v>0.38490743662900001</v>
      </c>
      <c r="I132" s="50">
        <v>0.48829287047999997</v>
      </c>
      <c r="J132" s="50">
        <v>0.28152200277799999</v>
      </c>
      <c r="K132" s="50">
        <v>344.83</v>
      </c>
      <c r="L132" s="50">
        <v>335.06</v>
      </c>
      <c r="M132" s="50">
        <v>335.06</v>
      </c>
      <c r="N132" s="66">
        <f t="shared" si="8"/>
        <v>7.6404226108756704E-3</v>
      </c>
      <c r="O132" s="66">
        <f t="shared" si="9"/>
        <v>2.6592252133946233E-2</v>
      </c>
      <c r="P132" s="4">
        <f t="shared" si="10"/>
        <v>4.9999999999999989E-2</v>
      </c>
      <c r="Q132" s="4">
        <f t="shared" si="11"/>
        <v>2.4999999999999994E-2</v>
      </c>
      <c r="R132" s="66">
        <f t="shared" si="12"/>
        <v>7.6404226108756704E-3</v>
      </c>
      <c r="S132" s="66">
        <f t="shared" si="13"/>
        <v>2.6592252133946233E-2</v>
      </c>
      <c r="T132" s="50">
        <f t="shared" si="14"/>
        <v>1</v>
      </c>
      <c r="U132" s="50">
        <f t="shared" si="15"/>
        <v>1</v>
      </c>
    </row>
    <row r="133" spans="1:21" x14ac:dyDescent="0.2">
      <c r="A133" s="38">
        <v>32815</v>
      </c>
      <c r="B133" s="4">
        <v>0.37</v>
      </c>
      <c r="C133" s="4">
        <v>0.31</v>
      </c>
      <c r="D133" s="4">
        <v>0.32</v>
      </c>
      <c r="E133" s="50">
        <v>1</v>
      </c>
      <c r="F133" s="50">
        <v>0.315</v>
      </c>
      <c r="G133" s="50">
        <v>0.05</v>
      </c>
      <c r="H133" s="50">
        <v>0.38490743662900001</v>
      </c>
      <c r="I133" s="50">
        <v>0.48829287047999997</v>
      </c>
      <c r="J133" s="50">
        <v>0.28152200277799999</v>
      </c>
      <c r="K133" s="50">
        <v>341.2</v>
      </c>
      <c r="L133" s="50">
        <v>335.07</v>
      </c>
      <c r="M133" s="50">
        <v>337.62</v>
      </c>
      <c r="N133" s="66">
        <f t="shared" si="8"/>
        <v>4.3836265624074945E-3</v>
      </c>
      <c r="O133" s="66">
        <f t="shared" si="9"/>
        <v>3.8534447011432944E-2</v>
      </c>
      <c r="P133" s="4">
        <f t="shared" si="10"/>
        <v>4.9999999999999989E-2</v>
      </c>
      <c r="Q133" s="4">
        <f t="shared" si="11"/>
        <v>0.06</v>
      </c>
      <c r="R133" s="66">
        <f t="shared" si="12"/>
        <v>4.3836265624074945E-3</v>
      </c>
      <c r="S133" s="66">
        <f t="shared" si="13"/>
        <v>3.8534447011432944E-2</v>
      </c>
      <c r="T133" s="50">
        <f t="shared" si="14"/>
        <v>1</v>
      </c>
      <c r="U133" s="50">
        <f t="shared" si="15"/>
        <v>1</v>
      </c>
    </row>
    <row r="134" spans="1:21" x14ac:dyDescent="0.2">
      <c r="A134" s="38">
        <v>32822</v>
      </c>
      <c r="B134" s="4">
        <v>0.27</v>
      </c>
      <c r="C134" s="4">
        <v>0.37</v>
      </c>
      <c r="D134" s="4">
        <v>0.36</v>
      </c>
      <c r="E134" s="50">
        <v>1</v>
      </c>
      <c r="F134" s="50">
        <v>0.31</v>
      </c>
      <c r="G134" s="50">
        <v>-0.09</v>
      </c>
      <c r="H134" s="50">
        <v>0.38490743662900001</v>
      </c>
      <c r="I134" s="50">
        <v>0.48829287047999997</v>
      </c>
      <c r="J134" s="50">
        <v>0.28152200277799999</v>
      </c>
      <c r="K134" s="50">
        <v>339.1</v>
      </c>
      <c r="L134" s="50">
        <v>332.61</v>
      </c>
      <c r="M134" s="50">
        <v>339.1</v>
      </c>
      <c r="N134" s="66">
        <f t="shared" si="8"/>
        <v>7.4019463285166344E-3</v>
      </c>
      <c r="O134" s="66">
        <f t="shared" si="9"/>
        <v>2.8280743143615377E-2</v>
      </c>
      <c r="P134" s="4">
        <f t="shared" si="10"/>
        <v>-8.9999999999999969E-2</v>
      </c>
      <c r="Q134" s="4">
        <f t="shared" si="11"/>
        <v>1.7500000000000002E-2</v>
      </c>
      <c r="R134" s="66">
        <f t="shared" si="12"/>
        <v>7.4019463285166344E-3</v>
      </c>
      <c r="S134" s="66">
        <f t="shared" si="13"/>
        <v>2.8280743143615377E-2</v>
      </c>
      <c r="T134" s="50">
        <f t="shared" si="14"/>
        <v>1</v>
      </c>
      <c r="U134" s="50">
        <f t="shared" si="15"/>
        <v>1</v>
      </c>
    </row>
    <row r="135" spans="1:21" x14ac:dyDescent="0.2">
      <c r="A135" s="38">
        <v>32829</v>
      </c>
      <c r="B135" s="4">
        <v>0.24</v>
      </c>
      <c r="C135" s="4">
        <v>0.28000000000000003</v>
      </c>
      <c r="D135" s="4">
        <v>0.48</v>
      </c>
      <c r="E135" s="50">
        <v>1</v>
      </c>
      <c r="F135" s="50">
        <v>0.31</v>
      </c>
      <c r="G135" s="50">
        <v>-0.24</v>
      </c>
      <c r="H135" s="50">
        <v>0.38490743662900001</v>
      </c>
      <c r="I135" s="50">
        <v>0.48829287047999997</v>
      </c>
      <c r="J135" s="50">
        <v>0.28152200277799999</v>
      </c>
      <c r="K135" s="50">
        <v>341.61</v>
      </c>
      <c r="L135" s="50">
        <v>337.99</v>
      </c>
      <c r="M135" s="50">
        <v>341.61</v>
      </c>
      <c r="N135" s="66">
        <f t="shared" si="8"/>
        <v>6.9084628670121294E-3</v>
      </c>
      <c r="O135" s="66">
        <f t="shared" si="9"/>
        <v>2.4969995023564805E-2</v>
      </c>
      <c r="P135" s="4">
        <f t="shared" si="10"/>
        <v>-0.24</v>
      </c>
      <c r="Q135" s="4">
        <f t="shared" si="11"/>
        <v>-5.7499999999999996E-2</v>
      </c>
      <c r="R135" s="66">
        <f t="shared" si="12"/>
        <v>6.9084628670121294E-3</v>
      </c>
      <c r="S135" s="66">
        <f t="shared" si="13"/>
        <v>2.4969995023564805E-2</v>
      </c>
      <c r="T135" s="50">
        <f t="shared" si="14"/>
        <v>1</v>
      </c>
      <c r="U135" s="50">
        <f t="shared" si="15"/>
        <v>1</v>
      </c>
    </row>
    <row r="136" spans="1:21" x14ac:dyDescent="0.2">
      <c r="A136" s="38">
        <v>32834</v>
      </c>
      <c r="B136" s="4">
        <v>0.27</v>
      </c>
      <c r="C136" s="4">
        <v>0.4</v>
      </c>
      <c r="D136" s="4">
        <v>0.33</v>
      </c>
      <c r="E136" s="50">
        <v>1</v>
      </c>
      <c r="F136" s="50">
        <v>0.30249999999999999</v>
      </c>
      <c r="G136" s="50">
        <v>-0.06</v>
      </c>
      <c r="H136" s="50">
        <v>0.38490743662900001</v>
      </c>
      <c r="I136" s="50">
        <v>0.48829287047999997</v>
      </c>
      <c r="J136" s="50">
        <v>0.28152200277799999</v>
      </c>
      <c r="K136" s="50">
        <v>343.97</v>
      </c>
      <c r="L136" s="50">
        <v>339.35</v>
      </c>
      <c r="M136" s="50">
        <v>343.97</v>
      </c>
      <c r="N136" s="66">
        <f t="shared" si="8"/>
        <v>1.9362153676192598E-2</v>
      </c>
      <c r="O136" s="66">
        <f t="shared" si="9"/>
        <v>1.0029944471901586E-2</v>
      </c>
      <c r="P136" s="4">
        <f t="shared" si="10"/>
        <v>-0.06</v>
      </c>
      <c r="Q136" s="4">
        <f t="shared" si="11"/>
        <v>-8.4999999999999992E-2</v>
      </c>
      <c r="R136" s="66">
        <f t="shared" si="12"/>
        <v>1.9362153676192598E-2</v>
      </c>
      <c r="S136" s="66">
        <f t="shared" si="13"/>
        <v>1.0029944471901586E-2</v>
      </c>
      <c r="T136" s="50">
        <f t="shared" si="14"/>
        <v>1</v>
      </c>
      <c r="U136" s="50">
        <f t="shared" si="15"/>
        <v>1</v>
      </c>
    </row>
    <row r="137" spans="1:21" x14ac:dyDescent="0.2">
      <c r="A137" s="38">
        <v>32843</v>
      </c>
      <c r="B137" s="4">
        <v>0.28000000000000003</v>
      </c>
      <c r="C137" s="4">
        <v>0.4</v>
      </c>
      <c r="D137" s="4">
        <v>0.32</v>
      </c>
      <c r="E137" s="50">
        <v>1</v>
      </c>
      <c r="F137" s="50">
        <v>0.3075</v>
      </c>
      <c r="G137" s="50">
        <v>-0.04</v>
      </c>
      <c r="H137" s="50">
        <v>0.38490743662900001</v>
      </c>
      <c r="I137" s="50">
        <v>0.48829287047999997</v>
      </c>
      <c r="J137" s="50">
        <v>0.28152200277799999</v>
      </c>
      <c r="K137" s="50">
        <v>350.63</v>
      </c>
      <c r="L137" s="50">
        <v>343.6</v>
      </c>
      <c r="M137" s="50">
        <v>350.63</v>
      </c>
      <c r="N137" s="66">
        <f t="shared" si="8"/>
        <v>-5.532897926589276E-3</v>
      </c>
      <c r="O137" s="66">
        <f t="shared" si="9"/>
        <v>7.9000655962124799E-3</v>
      </c>
      <c r="P137" s="4">
        <f t="shared" si="10"/>
        <v>-3.999999999999998E-2</v>
      </c>
      <c r="Q137" s="4">
        <f t="shared" si="11"/>
        <v>-0.10749999999999998</v>
      </c>
      <c r="R137" s="66">
        <f t="shared" si="12"/>
        <v>-5.532897926589276E-3</v>
      </c>
      <c r="S137" s="66">
        <f t="shared" si="13"/>
        <v>7.9000655962124799E-3</v>
      </c>
      <c r="T137" s="50" t="str">
        <f t="shared" si="14"/>
        <v/>
      </c>
      <c r="U137" s="50">
        <f t="shared" si="15"/>
        <v>1</v>
      </c>
    </row>
    <row r="138" spans="1:21" x14ac:dyDescent="0.2">
      <c r="A138" s="38">
        <v>32850</v>
      </c>
      <c r="B138" s="4">
        <v>0.31</v>
      </c>
      <c r="C138" s="4">
        <v>0.41</v>
      </c>
      <c r="D138" s="4">
        <v>0.28000000000000003</v>
      </c>
      <c r="E138" s="50">
        <v>1</v>
      </c>
      <c r="F138" s="50">
        <v>0.31125000000000003</v>
      </c>
      <c r="G138" s="50">
        <v>0.03</v>
      </c>
      <c r="H138" s="50">
        <v>0.38490743662900001</v>
      </c>
      <c r="I138" s="50">
        <v>0.48829287047999997</v>
      </c>
      <c r="J138" s="50">
        <v>0.28152200277799999</v>
      </c>
      <c r="K138" s="50">
        <v>351.41</v>
      </c>
      <c r="L138" s="50">
        <v>347.59</v>
      </c>
      <c r="M138" s="50">
        <v>348.69</v>
      </c>
      <c r="N138" s="66">
        <f t="shared" si="8"/>
        <v>4.1584215205483057E-3</v>
      </c>
      <c r="O138" s="66">
        <f t="shared" si="9"/>
        <v>1.0066247956637676E-2</v>
      </c>
      <c r="P138" s="4">
        <f t="shared" si="10"/>
        <v>2.9999999999999971E-2</v>
      </c>
      <c r="Q138" s="4">
        <f t="shared" si="11"/>
        <v>-7.7499999999999999E-2</v>
      </c>
      <c r="R138" s="66">
        <f t="shared" si="12"/>
        <v>4.1584215205483057E-3</v>
      </c>
      <c r="S138" s="66">
        <f t="shared" si="13"/>
        <v>1.0066247956637676E-2</v>
      </c>
      <c r="T138" s="50">
        <f t="shared" si="14"/>
        <v>1</v>
      </c>
      <c r="U138" s="50">
        <f t="shared" si="15"/>
        <v>1</v>
      </c>
    </row>
    <row r="139" spans="1:21" x14ac:dyDescent="0.2">
      <c r="A139" s="38">
        <v>32857</v>
      </c>
      <c r="B139" s="4">
        <v>0.42</v>
      </c>
      <c r="C139" s="4">
        <v>0.3</v>
      </c>
      <c r="D139" s="4">
        <v>0.28000000000000003</v>
      </c>
      <c r="E139" s="50">
        <v>1</v>
      </c>
      <c r="F139" s="50">
        <v>0.315</v>
      </c>
      <c r="G139" s="50">
        <v>0.14000000000000001</v>
      </c>
      <c r="H139" s="50">
        <v>0.38490743662900001</v>
      </c>
      <c r="I139" s="50">
        <v>0.48829287047999997</v>
      </c>
      <c r="J139" s="50">
        <v>0.28152200277799999</v>
      </c>
      <c r="K139" s="50">
        <v>352.75</v>
      </c>
      <c r="L139" s="50">
        <v>348.56</v>
      </c>
      <c r="M139" s="50">
        <v>350.14</v>
      </c>
      <c r="N139" s="66">
        <f t="shared" si="8"/>
        <v>-7.7683212429313147E-3</v>
      </c>
      <c r="O139" s="66">
        <f t="shared" si="9"/>
        <v>-2.9159764665562291E-2</v>
      </c>
      <c r="P139" s="4">
        <f t="shared" si="10"/>
        <v>0.13999999999999996</v>
      </c>
      <c r="Q139" s="4">
        <f t="shared" si="11"/>
        <v>1.7499999999999988E-2</v>
      </c>
      <c r="R139" s="66">
        <f t="shared" si="12"/>
        <v>-7.7683212429313147E-3</v>
      </c>
      <c r="S139" s="66">
        <f t="shared" si="13"/>
        <v>-2.9159764665562291E-2</v>
      </c>
      <c r="T139" s="50" t="str">
        <f t="shared" si="14"/>
        <v/>
      </c>
      <c r="U139" s="50" t="str">
        <f t="shared" si="15"/>
        <v/>
      </c>
    </row>
    <row r="140" spans="1:21" x14ac:dyDescent="0.2">
      <c r="A140" s="38">
        <v>32864</v>
      </c>
      <c r="B140" s="4">
        <v>0.36</v>
      </c>
      <c r="C140" s="4">
        <v>0.32</v>
      </c>
      <c r="D140" s="4">
        <v>0.32</v>
      </c>
      <c r="E140" s="50">
        <v>1</v>
      </c>
      <c r="F140" s="50">
        <v>0.315</v>
      </c>
      <c r="G140" s="50">
        <v>0.04</v>
      </c>
      <c r="H140" s="50">
        <v>0.38490743662900001</v>
      </c>
      <c r="I140" s="50">
        <v>0.48829287047999997</v>
      </c>
      <c r="J140" s="50">
        <v>0.28152200277799999</v>
      </c>
      <c r="K140" s="50">
        <v>347.42</v>
      </c>
      <c r="L140" s="50">
        <v>342.46</v>
      </c>
      <c r="M140" s="50">
        <v>347.42</v>
      </c>
      <c r="N140" s="66">
        <f t="shared" si="8"/>
        <v>1.7212595705486042E-2</v>
      </c>
      <c r="O140" s="66">
        <f t="shared" si="9"/>
        <v>-2.3804041218122268E-2</v>
      </c>
      <c r="P140" s="4">
        <f t="shared" si="10"/>
        <v>3.999999999999998E-2</v>
      </c>
      <c r="Q140" s="4">
        <f t="shared" si="11"/>
        <v>4.2499999999999982E-2</v>
      </c>
      <c r="R140" s="66">
        <f t="shared" si="12"/>
        <v>1.7212595705486042E-2</v>
      </c>
      <c r="S140" s="66">
        <f t="shared" si="13"/>
        <v>-2.3804041218122268E-2</v>
      </c>
      <c r="T140" s="50">
        <f t="shared" si="14"/>
        <v>1</v>
      </c>
      <c r="U140" s="50" t="str">
        <f t="shared" si="15"/>
        <v/>
      </c>
    </row>
    <row r="141" spans="1:21" x14ac:dyDescent="0.2">
      <c r="A141" s="38">
        <v>32871</v>
      </c>
      <c r="B141" s="4">
        <v>0.35</v>
      </c>
      <c r="C141" s="4">
        <v>0.31</v>
      </c>
      <c r="D141" s="4">
        <v>0.34</v>
      </c>
      <c r="E141" s="50">
        <v>1</v>
      </c>
      <c r="F141" s="50">
        <v>0.3125</v>
      </c>
      <c r="G141" s="50">
        <v>0.01</v>
      </c>
      <c r="H141" s="50">
        <v>0.38490743662900001</v>
      </c>
      <c r="I141" s="50">
        <v>0.48829287047999997</v>
      </c>
      <c r="J141" s="50">
        <v>0.28152200277799999</v>
      </c>
      <c r="K141" s="50">
        <v>353.4</v>
      </c>
      <c r="L141" s="50">
        <v>346.81</v>
      </c>
      <c r="M141" s="50">
        <v>353.4</v>
      </c>
      <c r="N141" s="66">
        <f t="shared" ref="N141:N204" si="16">(M142-M141)/M141</f>
        <v>-3.395585738539866E-3</v>
      </c>
      <c r="O141" s="66">
        <f t="shared" ref="O141:O204" si="17">(M145-M141)/M141</f>
        <v>-7.8098471986417561E-2</v>
      </c>
      <c r="P141" s="4">
        <f t="shared" si="10"/>
        <v>9.9999999999999534E-3</v>
      </c>
      <c r="Q141" s="4">
        <f t="shared" si="11"/>
        <v>5.4999999999999966E-2</v>
      </c>
      <c r="R141" s="66">
        <f t="shared" si="12"/>
        <v>-3.395585738539866E-3</v>
      </c>
      <c r="S141" s="66">
        <f t="shared" si="13"/>
        <v>-7.8098471986417561E-2</v>
      </c>
      <c r="T141" s="50" t="str">
        <f t="shared" si="14"/>
        <v/>
      </c>
      <c r="U141" s="50" t="str">
        <f t="shared" si="15"/>
        <v/>
      </c>
    </row>
    <row r="142" spans="1:21" x14ac:dyDescent="0.2">
      <c r="A142" s="38">
        <v>32878</v>
      </c>
      <c r="B142" s="4">
        <v>0.4</v>
      </c>
      <c r="C142" s="4">
        <v>0.3</v>
      </c>
      <c r="D142" s="4">
        <v>0.3</v>
      </c>
      <c r="E142" s="50">
        <v>1</v>
      </c>
      <c r="F142" s="50">
        <v>0.32874999999999999</v>
      </c>
      <c r="G142" s="50">
        <v>0.1</v>
      </c>
      <c r="H142" s="50">
        <v>0.38490743662900001</v>
      </c>
      <c r="I142" s="50">
        <v>0.48829287047999997</v>
      </c>
      <c r="J142" s="50">
        <v>0.28152200277799999</v>
      </c>
      <c r="K142" s="50">
        <v>359.69</v>
      </c>
      <c r="L142" s="50">
        <v>352.2</v>
      </c>
      <c r="M142" s="50">
        <v>352.2</v>
      </c>
      <c r="N142" s="66">
        <f t="shared" si="16"/>
        <v>-3.4838160136286149E-2</v>
      </c>
      <c r="O142" s="66">
        <f t="shared" si="17"/>
        <v>-6.0420215786484877E-2</v>
      </c>
      <c r="P142" s="4">
        <f t="shared" ref="P142:P205" si="18">B142-D142</f>
        <v>0.10000000000000003</v>
      </c>
      <c r="Q142" s="4">
        <f t="shared" si="11"/>
        <v>7.2499999999999981E-2</v>
      </c>
      <c r="R142" s="66">
        <f t="shared" si="12"/>
        <v>-3.4838160136286149E-2</v>
      </c>
      <c r="S142" s="66">
        <f t="shared" si="13"/>
        <v>-6.0420215786484877E-2</v>
      </c>
      <c r="T142" s="50" t="str">
        <f t="shared" si="14"/>
        <v/>
      </c>
      <c r="U142" s="50" t="str">
        <f t="shared" si="15"/>
        <v/>
      </c>
    </row>
    <row r="143" spans="1:21" x14ac:dyDescent="0.2">
      <c r="A143" s="38">
        <v>32885</v>
      </c>
      <c r="B143" s="4">
        <v>0.45</v>
      </c>
      <c r="C143" s="4">
        <v>0.38</v>
      </c>
      <c r="D143" s="4">
        <v>0.17</v>
      </c>
      <c r="E143" s="50">
        <v>1</v>
      </c>
      <c r="F143" s="50">
        <v>0.35499999999999998</v>
      </c>
      <c r="G143" s="50">
        <v>0.28000000000000003</v>
      </c>
      <c r="H143" s="50">
        <v>0.38490743662900001</v>
      </c>
      <c r="I143" s="50">
        <v>0.48829287047999997</v>
      </c>
      <c r="J143" s="50">
        <v>0.28152200277799999</v>
      </c>
      <c r="K143" s="50">
        <v>353.79</v>
      </c>
      <c r="L143" s="50">
        <v>339.93</v>
      </c>
      <c r="M143" s="50">
        <v>339.93</v>
      </c>
      <c r="N143" s="66">
        <f t="shared" si="16"/>
        <v>-2.2945900626600464E-3</v>
      </c>
      <c r="O143" s="66">
        <f t="shared" si="17"/>
        <v>-1.8562645250492754E-2</v>
      </c>
      <c r="P143" s="4">
        <f t="shared" si="18"/>
        <v>0.28000000000000003</v>
      </c>
      <c r="Q143" s="4">
        <f t="shared" si="11"/>
        <v>0.1075</v>
      </c>
      <c r="R143" s="66">
        <f t="shared" si="12"/>
        <v>-2.2945900626600464E-3</v>
      </c>
      <c r="S143" s="66">
        <f t="shared" si="13"/>
        <v>-1.8562645250492754E-2</v>
      </c>
      <c r="T143" s="50" t="str">
        <f t="shared" si="14"/>
        <v/>
      </c>
      <c r="U143" s="50" t="str">
        <f t="shared" si="15"/>
        <v/>
      </c>
    </row>
    <row r="144" spans="1:21" x14ac:dyDescent="0.2">
      <c r="A144" s="38">
        <v>32892</v>
      </c>
      <c r="B144" s="4">
        <v>0.31</v>
      </c>
      <c r="C144" s="4">
        <v>0.49</v>
      </c>
      <c r="D144" s="4">
        <v>0.2</v>
      </c>
      <c r="E144" s="50">
        <v>1</v>
      </c>
      <c r="F144" s="50">
        <v>0.36</v>
      </c>
      <c r="G144" s="50">
        <v>0.11</v>
      </c>
      <c r="H144" s="50">
        <v>0.38490743662900001</v>
      </c>
      <c r="I144" s="50">
        <v>0.48829287047999997</v>
      </c>
      <c r="J144" s="50">
        <v>0.28152200277799999</v>
      </c>
      <c r="K144" s="50">
        <v>340.75</v>
      </c>
      <c r="L144" s="50">
        <v>337</v>
      </c>
      <c r="M144" s="50">
        <v>339.15</v>
      </c>
      <c r="N144" s="66">
        <f t="shared" si="16"/>
        <v>-3.9363113666519144E-2</v>
      </c>
      <c r="O144" s="66">
        <f t="shared" si="17"/>
        <v>-1.895916261241324E-2</v>
      </c>
      <c r="P144" s="4">
        <f t="shared" si="18"/>
        <v>0.10999999999999999</v>
      </c>
      <c r="Q144" s="4">
        <f t="shared" si="11"/>
        <v>0.125</v>
      </c>
      <c r="R144" s="66">
        <f t="shared" si="12"/>
        <v>-3.9363113666519144E-2</v>
      </c>
      <c r="S144" s="66">
        <f t="shared" si="13"/>
        <v>-1.895916261241324E-2</v>
      </c>
      <c r="T144" s="50" t="str">
        <f t="shared" si="14"/>
        <v/>
      </c>
      <c r="U144" s="50" t="str">
        <f t="shared" si="15"/>
        <v/>
      </c>
    </row>
    <row r="145" spans="1:21" x14ac:dyDescent="0.2">
      <c r="A145" s="38">
        <v>32899</v>
      </c>
      <c r="B145" s="4">
        <v>0.24</v>
      </c>
      <c r="C145" s="4">
        <v>0.38</v>
      </c>
      <c r="D145" s="4">
        <v>0.38</v>
      </c>
      <c r="E145" s="50">
        <v>1</v>
      </c>
      <c r="F145" s="50">
        <v>0.35499999999999998</v>
      </c>
      <c r="G145" s="50">
        <v>-0.14000000000000001</v>
      </c>
      <c r="H145" s="50">
        <v>0.38490743662900001</v>
      </c>
      <c r="I145" s="50">
        <v>0.48829287047999997</v>
      </c>
      <c r="J145" s="50">
        <v>0.28152200277799999</v>
      </c>
      <c r="K145" s="50">
        <v>331.61</v>
      </c>
      <c r="L145" s="50">
        <v>325.8</v>
      </c>
      <c r="M145" s="50">
        <v>325.8</v>
      </c>
      <c r="N145" s="66">
        <f t="shared" si="16"/>
        <v>1.5715162676488658E-2</v>
      </c>
      <c r="O145" s="66">
        <f t="shared" si="17"/>
        <v>-5.0644567219153896E-3</v>
      </c>
      <c r="P145" s="4">
        <f t="shared" si="18"/>
        <v>-0.14000000000000001</v>
      </c>
      <c r="Q145" s="4">
        <f t="shared" ref="Q145:Q208" si="19">AVERAGE(P142:P145)</f>
        <v>8.7500000000000008E-2</v>
      </c>
      <c r="R145" s="66">
        <f t="shared" ref="R145:R208" si="20">(M146-M145)/M145</f>
        <v>1.5715162676488658E-2</v>
      </c>
      <c r="S145" s="66">
        <f t="shared" ref="S145:S208" si="21">(M149-M145)/M145</f>
        <v>-5.0644567219153896E-3</v>
      </c>
      <c r="T145" s="50">
        <f t="shared" ref="T145:T208" si="22">IF(R145&gt;0,1,"")</f>
        <v>1</v>
      </c>
      <c r="U145" s="50" t="str">
        <f t="shared" ref="U145:U208" si="23">IF(S145&gt;0,1,"")</f>
        <v/>
      </c>
    </row>
    <row r="146" spans="1:21" x14ac:dyDescent="0.2">
      <c r="A146" s="38">
        <v>32906</v>
      </c>
      <c r="B146" s="4">
        <v>0.15</v>
      </c>
      <c r="C146" s="4">
        <v>0.37</v>
      </c>
      <c r="D146" s="4">
        <v>0.48</v>
      </c>
      <c r="E146" s="50">
        <v>1</v>
      </c>
      <c r="F146" s="50">
        <v>0.33500000000000002</v>
      </c>
      <c r="G146" s="50">
        <v>-0.33</v>
      </c>
      <c r="H146" s="50">
        <v>0.38490743662900001</v>
      </c>
      <c r="I146" s="50">
        <v>0.48829287047999997</v>
      </c>
      <c r="J146" s="50">
        <v>0.28152200277799999</v>
      </c>
      <c r="K146" s="50">
        <v>330.92</v>
      </c>
      <c r="L146" s="50">
        <v>322.98</v>
      </c>
      <c r="M146" s="50">
        <v>330.92</v>
      </c>
      <c r="N146" s="66">
        <f t="shared" si="16"/>
        <v>8.1590716789556039E-3</v>
      </c>
      <c r="O146" s="66">
        <f t="shared" si="17"/>
        <v>1.3961078206212995E-2</v>
      </c>
      <c r="P146" s="4">
        <f t="shared" si="18"/>
        <v>-0.32999999999999996</v>
      </c>
      <c r="Q146" s="4">
        <f t="shared" si="19"/>
        <v>-1.999999999999999E-2</v>
      </c>
      <c r="R146" s="66">
        <f t="shared" si="20"/>
        <v>8.1590716789556039E-3</v>
      </c>
      <c r="S146" s="66">
        <f t="shared" si="21"/>
        <v>1.3961078206212995E-2</v>
      </c>
      <c r="T146" s="50">
        <f t="shared" si="22"/>
        <v>1</v>
      </c>
      <c r="U146" s="50">
        <f t="shared" si="23"/>
        <v>1</v>
      </c>
    </row>
    <row r="147" spans="1:21" x14ac:dyDescent="0.2">
      <c r="A147" s="38">
        <v>32913</v>
      </c>
      <c r="B147" s="4">
        <v>0.19</v>
      </c>
      <c r="C147" s="4">
        <v>0.3</v>
      </c>
      <c r="D147" s="4">
        <v>0.51</v>
      </c>
      <c r="E147" s="50">
        <v>1</v>
      </c>
      <c r="F147" s="50">
        <v>0.30625000000000002</v>
      </c>
      <c r="G147" s="50">
        <v>-0.32</v>
      </c>
      <c r="H147" s="50">
        <v>0.38490743662900001</v>
      </c>
      <c r="I147" s="50">
        <v>0.48829287047999997</v>
      </c>
      <c r="J147" s="50">
        <v>0.28152200277799999</v>
      </c>
      <c r="K147" s="50">
        <v>333.75</v>
      </c>
      <c r="L147" s="50">
        <v>329.66</v>
      </c>
      <c r="M147" s="50">
        <v>333.62</v>
      </c>
      <c r="N147" s="66">
        <f t="shared" si="16"/>
        <v>-2.6976799952040565E-3</v>
      </c>
      <c r="O147" s="66">
        <f t="shared" si="17"/>
        <v>1.2918889754810869E-2</v>
      </c>
      <c r="P147" s="4">
        <f t="shared" si="18"/>
        <v>-0.32</v>
      </c>
      <c r="Q147" s="4">
        <f t="shared" si="19"/>
        <v>-0.16999999999999998</v>
      </c>
      <c r="R147" s="66">
        <f t="shared" si="20"/>
        <v>-2.6976799952040565E-3</v>
      </c>
      <c r="S147" s="66">
        <f t="shared" si="21"/>
        <v>1.2918889754810869E-2</v>
      </c>
      <c r="T147" s="50" t="str">
        <f t="shared" si="22"/>
        <v/>
      </c>
      <c r="U147" s="50">
        <f t="shared" si="23"/>
        <v>1</v>
      </c>
    </row>
    <row r="148" spans="1:21" x14ac:dyDescent="0.2">
      <c r="A148" s="38">
        <v>32920</v>
      </c>
      <c r="B148" s="4">
        <v>0.23</v>
      </c>
      <c r="C148" s="4">
        <v>0.43</v>
      </c>
      <c r="D148" s="4">
        <v>0.34</v>
      </c>
      <c r="E148" s="50">
        <v>1</v>
      </c>
      <c r="F148" s="50">
        <v>0.28999999999999998</v>
      </c>
      <c r="G148" s="50">
        <v>-0.11</v>
      </c>
      <c r="H148" s="50">
        <v>0.38490743662900001</v>
      </c>
      <c r="I148" s="50">
        <v>0.48829287047999997</v>
      </c>
      <c r="J148" s="50">
        <v>0.28152200277799999</v>
      </c>
      <c r="K148" s="50">
        <v>334.89</v>
      </c>
      <c r="L148" s="50">
        <v>330.08</v>
      </c>
      <c r="M148" s="50">
        <v>332.72</v>
      </c>
      <c r="N148" s="66">
        <f t="shared" si="16"/>
        <v>-2.5757393604231935E-2</v>
      </c>
      <c r="O148" s="66">
        <f t="shared" si="17"/>
        <v>2.7620822313056015E-2</v>
      </c>
      <c r="P148" s="4">
        <f t="shared" si="18"/>
        <v>-0.11000000000000001</v>
      </c>
      <c r="Q148" s="4">
        <f t="shared" si="19"/>
        <v>-0.22500000000000001</v>
      </c>
      <c r="R148" s="66">
        <f t="shared" si="20"/>
        <v>-2.5757393604231935E-2</v>
      </c>
      <c r="S148" s="66">
        <f t="shared" si="21"/>
        <v>2.7620822313056015E-2</v>
      </c>
      <c r="T148" s="50" t="str">
        <f t="shared" si="22"/>
        <v/>
      </c>
      <c r="U148" s="50">
        <f t="shared" si="23"/>
        <v>1</v>
      </c>
    </row>
    <row r="149" spans="1:21" x14ac:dyDescent="0.2">
      <c r="A149" s="38">
        <v>32927</v>
      </c>
      <c r="B149" s="4">
        <v>0.24</v>
      </c>
      <c r="C149" s="4">
        <v>0.38</v>
      </c>
      <c r="D149" s="4">
        <v>0.38</v>
      </c>
      <c r="E149" s="50">
        <v>1</v>
      </c>
      <c r="F149" s="50">
        <v>0.27625</v>
      </c>
      <c r="G149" s="50">
        <v>-0.14000000000000001</v>
      </c>
      <c r="H149" s="50">
        <v>0.38490743662900001</v>
      </c>
      <c r="I149" s="50">
        <v>0.48829287047999997</v>
      </c>
      <c r="J149" s="50">
        <v>0.28152200277799999</v>
      </c>
      <c r="K149" s="50">
        <v>327.99</v>
      </c>
      <c r="L149" s="50">
        <v>324.14999999999998</v>
      </c>
      <c r="M149" s="50">
        <v>324.14999999999998</v>
      </c>
      <c r="N149" s="66">
        <f t="shared" si="16"/>
        <v>3.5138053370353368E-2</v>
      </c>
      <c r="O149" s="66">
        <f t="shared" si="17"/>
        <v>4.0320839117692582E-2</v>
      </c>
      <c r="P149" s="4">
        <f t="shared" si="18"/>
        <v>-0.14000000000000001</v>
      </c>
      <c r="Q149" s="4">
        <f t="shared" si="19"/>
        <v>-0.22499999999999998</v>
      </c>
      <c r="R149" s="66">
        <f t="shared" si="20"/>
        <v>3.5138053370353368E-2</v>
      </c>
      <c r="S149" s="66">
        <f t="shared" si="21"/>
        <v>4.0320839117692582E-2</v>
      </c>
      <c r="T149" s="50">
        <f t="shared" si="22"/>
        <v>1</v>
      </c>
      <c r="U149" s="50">
        <f t="shared" si="23"/>
        <v>1</v>
      </c>
    </row>
    <row r="150" spans="1:21" x14ac:dyDescent="0.2">
      <c r="A150" s="38">
        <v>32934</v>
      </c>
      <c r="B150" s="4">
        <v>0.21</v>
      </c>
      <c r="C150" s="4">
        <v>0.37</v>
      </c>
      <c r="D150" s="4">
        <v>0.42</v>
      </c>
      <c r="E150" s="50">
        <v>1</v>
      </c>
      <c r="F150" s="50">
        <v>0.2525</v>
      </c>
      <c r="G150" s="50">
        <v>-0.21</v>
      </c>
      <c r="H150" s="50">
        <v>0.38490743662900001</v>
      </c>
      <c r="I150" s="50">
        <v>0.48829287047999997</v>
      </c>
      <c r="J150" s="50">
        <v>0.28152200277799999</v>
      </c>
      <c r="K150" s="50">
        <v>335.54</v>
      </c>
      <c r="L150" s="50">
        <v>328.67</v>
      </c>
      <c r="M150" s="50">
        <v>335.54</v>
      </c>
      <c r="N150" s="66">
        <f t="shared" si="16"/>
        <v>7.1228467544852663E-3</v>
      </c>
      <c r="O150" s="66">
        <f t="shared" si="17"/>
        <v>1.3113190677713467E-2</v>
      </c>
      <c r="P150" s="4">
        <f t="shared" si="18"/>
        <v>-0.21</v>
      </c>
      <c r="Q150" s="4">
        <f t="shared" si="19"/>
        <v>-0.19500000000000001</v>
      </c>
      <c r="R150" s="66">
        <f t="shared" si="20"/>
        <v>7.1228467544852663E-3</v>
      </c>
      <c r="S150" s="66">
        <f t="shared" si="21"/>
        <v>1.3113190677713467E-2</v>
      </c>
      <c r="T150" s="50">
        <f t="shared" si="22"/>
        <v>1</v>
      </c>
      <c r="U150" s="50">
        <f t="shared" si="23"/>
        <v>1</v>
      </c>
    </row>
    <row r="151" spans="1:21" x14ac:dyDescent="0.2">
      <c r="A151" s="38">
        <v>32941</v>
      </c>
      <c r="B151" s="4">
        <v>0.22</v>
      </c>
      <c r="C151" s="4">
        <v>0.42</v>
      </c>
      <c r="D151" s="4">
        <v>0.36</v>
      </c>
      <c r="E151" s="50">
        <v>1</v>
      </c>
      <c r="F151" s="50">
        <v>0.22375</v>
      </c>
      <c r="G151" s="50">
        <v>-0.14000000000000001</v>
      </c>
      <c r="H151" s="50">
        <v>0.38490743662900001</v>
      </c>
      <c r="I151" s="50">
        <v>0.48829287047999997</v>
      </c>
      <c r="J151" s="50">
        <v>0.28152200277799999</v>
      </c>
      <c r="K151" s="50">
        <v>340.27</v>
      </c>
      <c r="L151" s="50">
        <v>333.74</v>
      </c>
      <c r="M151" s="50">
        <v>337.93</v>
      </c>
      <c r="N151" s="66">
        <f t="shared" si="16"/>
        <v>1.1777587074246199E-2</v>
      </c>
      <c r="O151" s="66">
        <f t="shared" si="17"/>
        <v>6.3622643742786292E-3</v>
      </c>
      <c r="P151" s="4">
        <f t="shared" si="18"/>
        <v>-0.13999999999999999</v>
      </c>
      <c r="Q151" s="4">
        <f t="shared" si="19"/>
        <v>-0.15</v>
      </c>
      <c r="R151" s="66">
        <f t="shared" si="20"/>
        <v>1.1777587074246199E-2</v>
      </c>
      <c r="S151" s="66">
        <f t="shared" si="21"/>
        <v>6.3622643742786292E-3</v>
      </c>
      <c r="T151" s="50">
        <f t="shared" si="22"/>
        <v>1</v>
      </c>
      <c r="U151" s="50">
        <f t="shared" si="23"/>
        <v>1</v>
      </c>
    </row>
    <row r="152" spans="1:21" x14ac:dyDescent="0.2">
      <c r="A152" s="38">
        <v>32948</v>
      </c>
      <c r="B152" s="4">
        <v>0.25</v>
      </c>
      <c r="C152" s="4">
        <v>0.35</v>
      </c>
      <c r="D152" s="4">
        <v>0.4</v>
      </c>
      <c r="E152" s="50">
        <v>1</v>
      </c>
      <c r="F152" s="50">
        <v>0.21625</v>
      </c>
      <c r="G152" s="50">
        <v>-0.15</v>
      </c>
      <c r="H152" s="50">
        <v>0.38490743662900001</v>
      </c>
      <c r="I152" s="50">
        <v>0.48829287047999997</v>
      </c>
      <c r="J152" s="50">
        <v>0.28152200277799999</v>
      </c>
      <c r="K152" s="50">
        <v>341.91</v>
      </c>
      <c r="L152" s="50">
        <v>336</v>
      </c>
      <c r="M152" s="50">
        <v>341.91</v>
      </c>
      <c r="N152" s="66">
        <f t="shared" si="16"/>
        <v>-1.3717060045041085E-2</v>
      </c>
      <c r="O152" s="66">
        <f t="shared" si="17"/>
        <v>7.1071334561725302E-3</v>
      </c>
      <c r="P152" s="4">
        <f t="shared" si="18"/>
        <v>-0.15000000000000002</v>
      </c>
      <c r="Q152" s="4">
        <f t="shared" si="19"/>
        <v>-0.16</v>
      </c>
      <c r="R152" s="66">
        <f t="shared" si="20"/>
        <v>-1.3717060045041085E-2</v>
      </c>
      <c r="S152" s="66">
        <f t="shared" si="21"/>
        <v>7.1071334561725302E-3</v>
      </c>
      <c r="T152" s="50" t="str">
        <f t="shared" si="22"/>
        <v/>
      </c>
      <c r="U152" s="50">
        <f t="shared" si="23"/>
        <v>1</v>
      </c>
    </row>
    <row r="153" spans="1:21" x14ac:dyDescent="0.2">
      <c r="A153" s="38">
        <v>32955</v>
      </c>
      <c r="B153" s="4">
        <v>0.37</v>
      </c>
      <c r="C153" s="4">
        <v>0.39</v>
      </c>
      <c r="D153" s="4">
        <v>0.24</v>
      </c>
      <c r="E153" s="50">
        <v>1</v>
      </c>
      <c r="F153" s="50">
        <v>0.23250000000000001</v>
      </c>
      <c r="G153" s="50">
        <v>0.13</v>
      </c>
      <c r="H153" s="50">
        <v>0.38490743662900001</v>
      </c>
      <c r="I153" s="50">
        <v>0.48829287047999997</v>
      </c>
      <c r="J153" s="50">
        <v>0.28152200277799999</v>
      </c>
      <c r="K153" s="50">
        <v>343.53</v>
      </c>
      <c r="L153" s="50">
        <v>335.65</v>
      </c>
      <c r="M153" s="50">
        <v>337.22</v>
      </c>
      <c r="N153" s="66">
        <f t="shared" si="16"/>
        <v>8.0659510112092107E-3</v>
      </c>
      <c r="O153" s="66">
        <f t="shared" si="17"/>
        <v>-6.227388648360188E-3</v>
      </c>
      <c r="P153" s="4">
        <f t="shared" si="18"/>
        <v>0.13</v>
      </c>
      <c r="Q153" s="4">
        <f t="shared" si="19"/>
        <v>-9.2499999999999999E-2</v>
      </c>
      <c r="R153" s="66">
        <f t="shared" si="20"/>
        <v>8.0659510112092107E-3</v>
      </c>
      <c r="S153" s="66">
        <f t="shared" si="21"/>
        <v>-6.227388648360188E-3</v>
      </c>
      <c r="T153" s="50">
        <f t="shared" si="22"/>
        <v>1</v>
      </c>
      <c r="U153" s="50" t="str">
        <f t="shared" si="23"/>
        <v/>
      </c>
    </row>
    <row r="154" spans="1:21" x14ac:dyDescent="0.2">
      <c r="A154" s="38">
        <v>32962</v>
      </c>
      <c r="B154" s="4">
        <v>0.34</v>
      </c>
      <c r="C154" s="4">
        <v>0.35</v>
      </c>
      <c r="D154" s="4">
        <v>0.31</v>
      </c>
      <c r="E154" s="50">
        <v>1</v>
      </c>
      <c r="F154" s="50">
        <v>0.25624999999999998</v>
      </c>
      <c r="G154" s="50">
        <v>0.03</v>
      </c>
      <c r="H154" s="50">
        <v>0.38490743662900001</v>
      </c>
      <c r="I154" s="50">
        <v>0.48829287047999997</v>
      </c>
      <c r="J154" s="50">
        <v>0.28152200277799999</v>
      </c>
      <c r="K154" s="50">
        <v>342</v>
      </c>
      <c r="L154" s="50">
        <v>337.63</v>
      </c>
      <c r="M154" s="50">
        <v>339.94</v>
      </c>
      <c r="N154" s="66">
        <f t="shared" si="16"/>
        <v>4.1183738306756006E-4</v>
      </c>
      <c r="O154" s="66">
        <f t="shared" si="17"/>
        <v>-3.1858563275872165E-2</v>
      </c>
      <c r="P154" s="4">
        <f t="shared" si="18"/>
        <v>3.0000000000000027E-2</v>
      </c>
      <c r="Q154" s="4">
        <f t="shared" si="19"/>
        <v>-3.2500000000000001E-2</v>
      </c>
      <c r="R154" s="66">
        <f t="shared" si="20"/>
        <v>4.1183738306756006E-4</v>
      </c>
      <c r="S154" s="66">
        <f t="shared" si="21"/>
        <v>-3.1858563275872165E-2</v>
      </c>
      <c r="T154" s="50">
        <f t="shared" si="22"/>
        <v>1</v>
      </c>
      <c r="U154" s="50" t="str">
        <f t="shared" si="23"/>
        <v/>
      </c>
    </row>
    <row r="155" spans="1:21" x14ac:dyDescent="0.2">
      <c r="A155" s="38">
        <v>32969</v>
      </c>
      <c r="B155" s="4">
        <v>0.38</v>
      </c>
      <c r="C155" s="4">
        <v>0.37</v>
      </c>
      <c r="D155" s="4">
        <v>0.25</v>
      </c>
      <c r="E155" s="50">
        <v>1</v>
      </c>
      <c r="F155" s="50">
        <v>0.28000000000000003</v>
      </c>
      <c r="G155" s="50">
        <v>0.13</v>
      </c>
      <c r="H155" s="50">
        <v>0.38490743662900001</v>
      </c>
      <c r="I155" s="50">
        <v>0.48829287047999997</v>
      </c>
      <c r="J155" s="50">
        <v>0.28152200277799999</v>
      </c>
      <c r="K155" s="50">
        <v>343.64</v>
      </c>
      <c r="L155" s="50">
        <v>338.7</v>
      </c>
      <c r="M155" s="50">
        <v>340.08</v>
      </c>
      <c r="N155" s="66">
        <f t="shared" si="16"/>
        <v>1.2526464361326721E-2</v>
      </c>
      <c r="O155" s="66">
        <f t="shared" si="17"/>
        <v>-4.9694189602446422E-3</v>
      </c>
      <c r="P155" s="4">
        <f t="shared" si="18"/>
        <v>0.13</v>
      </c>
      <c r="Q155" s="4">
        <f t="shared" si="19"/>
        <v>3.5000000000000003E-2</v>
      </c>
      <c r="R155" s="66">
        <f t="shared" si="20"/>
        <v>1.2526464361326721E-2</v>
      </c>
      <c r="S155" s="66">
        <f t="shared" si="21"/>
        <v>-4.9694189602446422E-3</v>
      </c>
      <c r="T155" s="50">
        <f t="shared" si="22"/>
        <v>1</v>
      </c>
      <c r="U155" s="50" t="str">
        <f t="shared" si="23"/>
        <v/>
      </c>
    </row>
    <row r="156" spans="1:21" x14ac:dyDescent="0.2">
      <c r="A156" s="38">
        <v>32975</v>
      </c>
      <c r="B156" s="4">
        <v>0.27</v>
      </c>
      <c r="C156" s="4">
        <v>0.56000000000000005</v>
      </c>
      <c r="D156" s="4">
        <v>0.17</v>
      </c>
      <c r="E156" s="50">
        <v>1</v>
      </c>
      <c r="F156" s="50">
        <v>0.28499999999999998</v>
      </c>
      <c r="G156" s="50">
        <v>0.1</v>
      </c>
      <c r="H156" s="50">
        <v>0.38490743662900001</v>
      </c>
      <c r="I156" s="50">
        <v>0.48829287047999997</v>
      </c>
      <c r="J156" s="50">
        <v>0.28152200277799999</v>
      </c>
      <c r="K156" s="50">
        <v>344.34</v>
      </c>
      <c r="L156" s="50">
        <v>341.37</v>
      </c>
      <c r="M156" s="50">
        <v>344.34</v>
      </c>
      <c r="N156" s="66">
        <f t="shared" si="16"/>
        <v>-2.6775861067549433E-2</v>
      </c>
      <c r="O156" s="66">
        <f t="shared" si="17"/>
        <v>2.2245455073473967E-2</v>
      </c>
      <c r="P156" s="4">
        <f t="shared" si="18"/>
        <v>0.1</v>
      </c>
      <c r="Q156" s="4">
        <f t="shared" si="19"/>
        <v>9.7500000000000003E-2</v>
      </c>
      <c r="R156" s="66">
        <f t="shared" si="20"/>
        <v>-2.6775861067549433E-2</v>
      </c>
      <c r="S156" s="66">
        <f t="shared" si="21"/>
        <v>2.2245455073473967E-2</v>
      </c>
      <c r="T156" s="50" t="str">
        <f t="shared" si="22"/>
        <v/>
      </c>
      <c r="U156" s="50">
        <f t="shared" si="23"/>
        <v>1</v>
      </c>
    </row>
    <row r="157" spans="1:21" x14ac:dyDescent="0.2">
      <c r="A157" s="38">
        <v>32983</v>
      </c>
      <c r="B157" s="4">
        <v>0.34</v>
      </c>
      <c r="C157" s="4">
        <v>0.43</v>
      </c>
      <c r="D157" s="4">
        <v>0.23</v>
      </c>
      <c r="E157" s="50">
        <v>1</v>
      </c>
      <c r="F157" s="50">
        <v>0.29749999999999999</v>
      </c>
      <c r="G157" s="50">
        <v>0.11</v>
      </c>
      <c r="H157" s="50">
        <v>0.38490743662900001</v>
      </c>
      <c r="I157" s="50">
        <v>0.48829287047999997</v>
      </c>
      <c r="J157" s="50">
        <v>0.28152200277799999</v>
      </c>
      <c r="K157" s="50">
        <v>344.74</v>
      </c>
      <c r="L157" s="50">
        <v>335.12</v>
      </c>
      <c r="M157" s="50">
        <v>335.12</v>
      </c>
      <c r="N157" s="66">
        <f t="shared" si="16"/>
        <v>-1.7933874433038885E-2</v>
      </c>
      <c r="O157" s="66">
        <f t="shared" si="17"/>
        <v>5.8247791835760267E-2</v>
      </c>
      <c r="P157" s="4">
        <f t="shared" si="18"/>
        <v>0.11000000000000001</v>
      </c>
      <c r="Q157" s="4">
        <f t="shared" si="19"/>
        <v>9.2499999999999999E-2</v>
      </c>
      <c r="R157" s="66">
        <f t="shared" si="20"/>
        <v>-1.7933874433038885E-2</v>
      </c>
      <c r="S157" s="66">
        <f t="shared" si="21"/>
        <v>5.8247791835760267E-2</v>
      </c>
      <c r="T157" s="50" t="str">
        <f t="shared" si="22"/>
        <v/>
      </c>
      <c r="U157" s="50">
        <f t="shared" si="23"/>
        <v>1</v>
      </c>
    </row>
    <row r="158" spans="1:21" x14ac:dyDescent="0.2">
      <c r="A158" s="38">
        <v>32990</v>
      </c>
      <c r="B158" s="4">
        <v>0.28000000000000003</v>
      </c>
      <c r="C158" s="4">
        <v>0.35</v>
      </c>
      <c r="D158" s="4">
        <v>0.37</v>
      </c>
      <c r="E158" s="50">
        <v>1</v>
      </c>
      <c r="F158" s="50">
        <v>0.30625000000000002</v>
      </c>
      <c r="G158" s="50">
        <v>-0.09</v>
      </c>
      <c r="H158" s="50">
        <v>0.38490743662900001</v>
      </c>
      <c r="I158" s="50">
        <v>0.48829287047999997</v>
      </c>
      <c r="J158" s="50">
        <v>0.28152200277799999</v>
      </c>
      <c r="K158" s="50">
        <v>332.92</v>
      </c>
      <c r="L158" s="50">
        <v>329.11</v>
      </c>
      <c r="M158" s="50">
        <v>329.11</v>
      </c>
      <c r="N158" s="66">
        <f t="shared" si="16"/>
        <v>2.819725927501435E-2</v>
      </c>
      <c r="O158" s="66">
        <f t="shared" si="17"/>
        <v>7.7390538117954391E-2</v>
      </c>
      <c r="P158" s="4">
        <f t="shared" si="18"/>
        <v>-8.9999999999999969E-2</v>
      </c>
      <c r="Q158" s="4">
        <f t="shared" si="19"/>
        <v>6.2500000000000014E-2</v>
      </c>
      <c r="R158" s="66">
        <f t="shared" si="20"/>
        <v>2.819725927501435E-2</v>
      </c>
      <c r="S158" s="66">
        <f t="shared" si="21"/>
        <v>7.7390538117954391E-2</v>
      </c>
      <c r="T158" s="50">
        <f t="shared" si="22"/>
        <v>1</v>
      </c>
      <c r="U158" s="50">
        <f t="shared" si="23"/>
        <v>1</v>
      </c>
    </row>
    <row r="159" spans="1:21" x14ac:dyDescent="0.2">
      <c r="A159" s="38">
        <v>32997</v>
      </c>
      <c r="B159" s="4">
        <v>0.2</v>
      </c>
      <c r="C159" s="4">
        <v>0.35</v>
      </c>
      <c r="D159" s="4">
        <v>0.45</v>
      </c>
      <c r="E159" s="50">
        <v>1</v>
      </c>
      <c r="F159" s="50">
        <v>0.30375000000000002</v>
      </c>
      <c r="G159" s="50">
        <v>-0.25</v>
      </c>
      <c r="H159" s="50">
        <v>0.38490743662900001</v>
      </c>
      <c r="I159" s="50">
        <v>0.48829287047999997</v>
      </c>
      <c r="J159" s="50">
        <v>0.28152200277799999</v>
      </c>
      <c r="K159" s="50">
        <v>338.39</v>
      </c>
      <c r="L159" s="50">
        <v>330.8</v>
      </c>
      <c r="M159" s="50">
        <v>338.39</v>
      </c>
      <c r="N159" s="66">
        <f t="shared" si="16"/>
        <v>4.0219864653210834E-2</v>
      </c>
      <c r="O159" s="66">
        <f t="shared" si="17"/>
        <v>7.3199562634829754E-2</v>
      </c>
      <c r="P159" s="4">
        <f t="shared" si="18"/>
        <v>-0.25</v>
      </c>
      <c r="Q159" s="4">
        <f t="shared" si="19"/>
        <v>-3.2499999999999987E-2</v>
      </c>
      <c r="R159" s="66">
        <f t="shared" si="20"/>
        <v>4.0219864653210834E-2</v>
      </c>
      <c r="S159" s="66">
        <f t="shared" si="21"/>
        <v>7.3199562634829754E-2</v>
      </c>
      <c r="T159" s="50">
        <f t="shared" si="22"/>
        <v>1</v>
      </c>
      <c r="U159" s="50">
        <f t="shared" si="23"/>
        <v>1</v>
      </c>
    </row>
    <row r="160" spans="1:21" x14ac:dyDescent="0.2">
      <c r="A160" s="38">
        <v>33004</v>
      </c>
      <c r="B160" s="4">
        <v>0.28000000000000003</v>
      </c>
      <c r="C160" s="4">
        <v>0.38</v>
      </c>
      <c r="D160" s="4">
        <v>0.34</v>
      </c>
      <c r="E160" s="50">
        <v>1</v>
      </c>
      <c r="F160" s="50">
        <v>0.3075</v>
      </c>
      <c r="G160" s="50">
        <v>-0.06</v>
      </c>
      <c r="H160" s="50">
        <v>0.38490743662900001</v>
      </c>
      <c r="I160" s="50">
        <v>0.48829287047999997</v>
      </c>
      <c r="J160" s="50">
        <v>0.28152200277799999</v>
      </c>
      <c r="K160" s="50">
        <v>352</v>
      </c>
      <c r="L160" s="50">
        <v>340.53</v>
      </c>
      <c r="M160" s="50">
        <v>352</v>
      </c>
      <c r="N160" s="66">
        <f t="shared" si="16"/>
        <v>7.4999999999999616E-3</v>
      </c>
      <c r="O160" s="66">
        <f t="shared" si="17"/>
        <v>1.9062499999999941E-2</v>
      </c>
      <c r="P160" s="4">
        <f t="shared" si="18"/>
        <v>-0.06</v>
      </c>
      <c r="Q160" s="4">
        <f t="shared" si="19"/>
        <v>-7.2499999999999981E-2</v>
      </c>
      <c r="R160" s="66">
        <f t="shared" si="20"/>
        <v>7.4999999999999616E-3</v>
      </c>
      <c r="S160" s="66">
        <f t="shared" si="21"/>
        <v>1.9062499999999941E-2</v>
      </c>
      <c r="T160" s="50">
        <f t="shared" si="22"/>
        <v>1</v>
      </c>
      <c r="U160" s="50">
        <f t="shared" si="23"/>
        <v>1</v>
      </c>
    </row>
    <row r="161" spans="1:21" x14ac:dyDescent="0.2">
      <c r="A161" s="38">
        <v>33011</v>
      </c>
      <c r="B161" s="4">
        <v>0.37</v>
      </c>
      <c r="C161" s="4">
        <v>0.35</v>
      </c>
      <c r="D161" s="4">
        <v>0.28000000000000003</v>
      </c>
      <c r="E161" s="50">
        <v>1</v>
      </c>
      <c r="F161" s="50">
        <v>0.3075</v>
      </c>
      <c r="G161" s="50">
        <v>0.09</v>
      </c>
      <c r="H161" s="50">
        <v>0.38490743662900001</v>
      </c>
      <c r="I161" s="50">
        <v>0.48829287047999997</v>
      </c>
      <c r="J161" s="50">
        <v>0.28152200277799999</v>
      </c>
      <c r="K161" s="50">
        <v>354.75</v>
      </c>
      <c r="L161" s="50">
        <v>354</v>
      </c>
      <c r="M161" s="50">
        <v>354.64</v>
      </c>
      <c r="N161" s="66">
        <f t="shared" si="16"/>
        <v>-1.6918565305662722E-4</v>
      </c>
      <c r="O161" s="66">
        <f t="shared" si="17"/>
        <v>2.3319422512971009E-2</v>
      </c>
      <c r="P161" s="4">
        <f t="shared" si="18"/>
        <v>8.9999999999999969E-2</v>
      </c>
      <c r="Q161" s="4">
        <f t="shared" si="19"/>
        <v>-7.7499999999999999E-2</v>
      </c>
      <c r="R161" s="66">
        <f t="shared" si="20"/>
        <v>-1.6918565305662722E-4</v>
      </c>
      <c r="S161" s="66">
        <f t="shared" si="21"/>
        <v>2.3319422512971009E-2</v>
      </c>
      <c r="T161" s="50" t="str">
        <f t="shared" si="22"/>
        <v/>
      </c>
      <c r="U161" s="50">
        <f t="shared" si="23"/>
        <v>1</v>
      </c>
    </row>
    <row r="162" spans="1:21" x14ac:dyDescent="0.2">
      <c r="A162" s="38">
        <v>33018</v>
      </c>
      <c r="B162" s="4">
        <v>0.39</v>
      </c>
      <c r="C162" s="4">
        <v>0.32</v>
      </c>
      <c r="D162" s="4">
        <v>0.28999999999999998</v>
      </c>
      <c r="E162" s="50">
        <v>1</v>
      </c>
      <c r="F162" s="50">
        <v>0.31374999999999997</v>
      </c>
      <c r="G162" s="50">
        <v>0.1</v>
      </c>
      <c r="H162" s="50">
        <v>0.38490743662900001</v>
      </c>
      <c r="I162" s="50">
        <v>0.48829287047999997</v>
      </c>
      <c r="J162" s="50">
        <v>0.28152200277799999</v>
      </c>
      <c r="K162" s="50">
        <v>359.29</v>
      </c>
      <c r="L162" s="50">
        <v>354.58</v>
      </c>
      <c r="M162" s="50">
        <v>354.58</v>
      </c>
      <c r="N162" s="66">
        <f t="shared" si="16"/>
        <v>2.4197642281008635E-2</v>
      </c>
      <c r="O162" s="66">
        <f t="shared" si="17"/>
        <v>2.3972023238761995E-3</v>
      </c>
      <c r="P162" s="4">
        <f t="shared" si="18"/>
        <v>0.10000000000000003</v>
      </c>
      <c r="Q162" s="4">
        <f t="shared" si="19"/>
        <v>-0.03</v>
      </c>
      <c r="R162" s="66">
        <f t="shared" si="20"/>
        <v>2.4197642281008635E-2</v>
      </c>
      <c r="S162" s="66">
        <f t="shared" si="21"/>
        <v>2.3972023238761995E-3</v>
      </c>
      <c r="T162" s="50">
        <f t="shared" si="22"/>
        <v>1</v>
      </c>
      <c r="U162" s="50">
        <f t="shared" si="23"/>
        <v>1</v>
      </c>
    </row>
    <row r="163" spans="1:21" x14ac:dyDescent="0.2">
      <c r="A163" s="38">
        <v>33025</v>
      </c>
      <c r="B163" s="4">
        <v>0.37</v>
      </c>
      <c r="C163" s="4">
        <v>0.28000000000000003</v>
      </c>
      <c r="D163" s="4">
        <v>0.35</v>
      </c>
      <c r="E163" s="50">
        <v>1</v>
      </c>
      <c r="F163" s="50">
        <v>0.3125</v>
      </c>
      <c r="G163" s="50">
        <v>0.02</v>
      </c>
      <c r="H163" s="50">
        <v>0.38490743662900001</v>
      </c>
      <c r="I163" s="50">
        <v>0.48829287047999997</v>
      </c>
      <c r="J163" s="50">
        <v>0.28152200277799999</v>
      </c>
      <c r="K163" s="50">
        <v>363.16</v>
      </c>
      <c r="L163" s="50">
        <v>360.65</v>
      </c>
      <c r="M163" s="50">
        <v>363.16</v>
      </c>
      <c r="N163" s="66">
        <f t="shared" si="16"/>
        <v>-1.2253552153320975E-2</v>
      </c>
      <c r="O163" s="66">
        <f t="shared" si="17"/>
        <v>-1.4153541138892067E-2</v>
      </c>
      <c r="P163" s="4">
        <f t="shared" si="18"/>
        <v>2.0000000000000018E-2</v>
      </c>
      <c r="Q163" s="4">
        <f t="shared" si="19"/>
        <v>3.7500000000000006E-2</v>
      </c>
      <c r="R163" s="66">
        <f t="shared" si="20"/>
        <v>-1.2253552153320975E-2</v>
      </c>
      <c r="S163" s="66">
        <f t="shared" si="21"/>
        <v>-1.4153541138892067E-2</v>
      </c>
      <c r="T163" s="50" t="str">
        <f t="shared" si="22"/>
        <v/>
      </c>
      <c r="U163" s="50" t="str">
        <f t="shared" si="23"/>
        <v/>
      </c>
    </row>
    <row r="164" spans="1:21" x14ac:dyDescent="0.2">
      <c r="A164" s="38">
        <v>33032</v>
      </c>
      <c r="B164" s="4">
        <v>0.35</v>
      </c>
      <c r="C164" s="4">
        <v>0.35</v>
      </c>
      <c r="D164" s="4">
        <v>0.3</v>
      </c>
      <c r="E164" s="50">
        <v>1</v>
      </c>
      <c r="F164" s="50">
        <v>0.32250000000000001</v>
      </c>
      <c r="G164" s="50">
        <v>0.05</v>
      </c>
      <c r="H164" s="50">
        <v>0.38490743662900001</v>
      </c>
      <c r="I164" s="50">
        <v>0.48829287047999997</v>
      </c>
      <c r="J164" s="50">
        <v>0.28152200277799999</v>
      </c>
      <c r="K164" s="50">
        <v>367.4</v>
      </c>
      <c r="L164" s="50">
        <v>358.71</v>
      </c>
      <c r="M164" s="50">
        <v>358.71</v>
      </c>
      <c r="N164" s="66">
        <f t="shared" si="16"/>
        <v>1.1708622564188469E-2</v>
      </c>
      <c r="O164" s="66">
        <f t="shared" si="17"/>
        <v>-8.0845251038433178E-4</v>
      </c>
      <c r="P164" s="4">
        <f t="shared" si="18"/>
        <v>4.9999999999999989E-2</v>
      </c>
      <c r="Q164" s="4">
        <f t="shared" si="19"/>
        <v>6.5000000000000002E-2</v>
      </c>
      <c r="R164" s="66">
        <f t="shared" si="20"/>
        <v>1.1708622564188469E-2</v>
      </c>
      <c r="S164" s="66">
        <f t="shared" si="21"/>
        <v>-8.0845251038433178E-4</v>
      </c>
      <c r="T164" s="50">
        <f t="shared" si="22"/>
        <v>1</v>
      </c>
      <c r="U164" s="50" t="str">
        <f t="shared" si="23"/>
        <v/>
      </c>
    </row>
    <row r="165" spans="1:21" x14ac:dyDescent="0.2">
      <c r="A165" s="38">
        <v>33039</v>
      </c>
      <c r="B165" s="4">
        <v>0.43</v>
      </c>
      <c r="C165" s="4">
        <v>0.32</v>
      </c>
      <c r="D165" s="4">
        <v>0.25</v>
      </c>
      <c r="E165" s="50">
        <v>1</v>
      </c>
      <c r="F165" s="50">
        <v>0.33374999999999999</v>
      </c>
      <c r="G165" s="50">
        <v>0.18</v>
      </c>
      <c r="H165" s="50">
        <v>0.38490743662900001</v>
      </c>
      <c r="I165" s="50">
        <v>0.48829287047999997</v>
      </c>
      <c r="J165" s="50">
        <v>0.28152200277799999</v>
      </c>
      <c r="K165" s="50">
        <v>366.25</v>
      </c>
      <c r="L165" s="50">
        <v>361.63</v>
      </c>
      <c r="M165" s="50">
        <v>362.91</v>
      </c>
      <c r="N165" s="66">
        <f t="shared" si="16"/>
        <v>-2.0611170813700414E-2</v>
      </c>
      <c r="O165" s="66">
        <f t="shared" si="17"/>
        <v>1.2124218125706035E-2</v>
      </c>
      <c r="P165" s="4">
        <f t="shared" si="18"/>
        <v>0.18</v>
      </c>
      <c r="Q165" s="4">
        <f t="shared" si="19"/>
        <v>8.7500000000000008E-2</v>
      </c>
      <c r="R165" s="66">
        <f t="shared" si="20"/>
        <v>-2.0611170813700414E-2</v>
      </c>
      <c r="S165" s="66">
        <f t="shared" si="21"/>
        <v>1.2124218125706035E-2</v>
      </c>
      <c r="T165" s="50" t="str">
        <f t="shared" si="22"/>
        <v/>
      </c>
      <c r="U165" s="50">
        <f t="shared" si="23"/>
        <v>1</v>
      </c>
    </row>
    <row r="166" spans="1:21" x14ac:dyDescent="0.2">
      <c r="A166" s="38">
        <v>33046</v>
      </c>
      <c r="B166" s="4">
        <v>0.34</v>
      </c>
      <c r="C166" s="4">
        <v>0.32</v>
      </c>
      <c r="D166" s="4">
        <v>0.34</v>
      </c>
      <c r="E166" s="50">
        <v>1</v>
      </c>
      <c r="F166" s="50">
        <v>0.34125</v>
      </c>
      <c r="G166" s="50">
        <v>0</v>
      </c>
      <c r="H166" s="50">
        <v>0.38490743662900001</v>
      </c>
      <c r="I166" s="50">
        <v>0.48829287047999997</v>
      </c>
      <c r="J166" s="50">
        <v>0.28152200277799999</v>
      </c>
      <c r="K166" s="50">
        <v>360.47</v>
      </c>
      <c r="L166" s="50">
        <v>355.43</v>
      </c>
      <c r="M166" s="50">
        <v>355.43</v>
      </c>
      <c r="N166" s="66">
        <f t="shared" si="16"/>
        <v>7.2869482035843201E-3</v>
      </c>
      <c r="O166" s="66">
        <f t="shared" si="17"/>
        <v>1.7387389922066249E-2</v>
      </c>
      <c r="P166" s="4">
        <f t="shared" si="18"/>
        <v>0</v>
      </c>
      <c r="Q166" s="4">
        <f t="shared" si="19"/>
        <v>6.25E-2</v>
      </c>
      <c r="R166" s="66">
        <f t="shared" si="20"/>
        <v>7.2869482035843201E-3</v>
      </c>
      <c r="S166" s="66">
        <f t="shared" si="21"/>
        <v>1.7387389922066249E-2</v>
      </c>
      <c r="T166" s="50">
        <f t="shared" si="22"/>
        <v>1</v>
      </c>
      <c r="U166" s="50">
        <f t="shared" si="23"/>
        <v>1</v>
      </c>
    </row>
    <row r="167" spans="1:21" x14ac:dyDescent="0.2">
      <c r="A167" s="38">
        <v>33053</v>
      </c>
      <c r="B167" s="4">
        <v>0.31</v>
      </c>
      <c r="C167" s="4">
        <v>0.31</v>
      </c>
      <c r="D167" s="4">
        <v>0.38</v>
      </c>
      <c r="E167" s="50">
        <v>1</v>
      </c>
      <c r="F167" s="50">
        <v>0.35499999999999998</v>
      </c>
      <c r="G167" s="50">
        <v>-7.0000000000000007E-2</v>
      </c>
      <c r="H167" s="50">
        <v>0.38490743662900001</v>
      </c>
      <c r="I167" s="50">
        <v>0.48829287047999997</v>
      </c>
      <c r="J167" s="50">
        <v>0.28152200277799999</v>
      </c>
      <c r="K167" s="50">
        <v>358.02</v>
      </c>
      <c r="L167" s="50">
        <v>352.06</v>
      </c>
      <c r="M167" s="50">
        <v>358.02</v>
      </c>
      <c r="N167" s="66">
        <f t="shared" si="16"/>
        <v>1.1172560192168988E-3</v>
      </c>
      <c r="O167" s="66">
        <f t="shared" si="17"/>
        <v>-1.2792581420032357E-2</v>
      </c>
      <c r="P167" s="4">
        <f t="shared" si="18"/>
        <v>-7.0000000000000007E-2</v>
      </c>
      <c r="Q167" s="4">
        <f t="shared" si="19"/>
        <v>3.9999999999999994E-2</v>
      </c>
      <c r="R167" s="66">
        <f t="shared" si="20"/>
        <v>1.1172560192168988E-3</v>
      </c>
      <c r="S167" s="66">
        <f t="shared" si="21"/>
        <v>-1.2792581420032357E-2</v>
      </c>
      <c r="T167" s="50">
        <f t="shared" si="22"/>
        <v>1</v>
      </c>
      <c r="U167" s="50" t="str">
        <f t="shared" si="23"/>
        <v/>
      </c>
    </row>
    <row r="168" spans="1:21" x14ac:dyDescent="0.2">
      <c r="A168" s="38">
        <v>33060</v>
      </c>
      <c r="B168" s="4">
        <v>0.28000000000000003</v>
      </c>
      <c r="C168" s="4">
        <v>0.34</v>
      </c>
      <c r="D168" s="4">
        <v>0.38</v>
      </c>
      <c r="E168" s="50">
        <v>1</v>
      </c>
      <c r="F168" s="50">
        <v>0.35499999999999998</v>
      </c>
      <c r="G168" s="50">
        <v>-0.1</v>
      </c>
      <c r="H168" s="50">
        <v>0.38490743662900001</v>
      </c>
      <c r="I168" s="50">
        <v>0.48829287047999997</v>
      </c>
      <c r="J168" s="50">
        <v>0.28152200277799999</v>
      </c>
      <c r="K168" s="50">
        <v>360.16</v>
      </c>
      <c r="L168" s="50">
        <v>355.68</v>
      </c>
      <c r="M168" s="50">
        <v>358.42</v>
      </c>
      <c r="N168" s="66">
        <f t="shared" si="16"/>
        <v>2.4803303387087736E-2</v>
      </c>
      <c r="O168" s="66">
        <f t="shared" si="17"/>
        <v>-3.7832710228223876E-2</v>
      </c>
      <c r="P168" s="4">
        <f t="shared" si="18"/>
        <v>-9.9999999999999978E-2</v>
      </c>
      <c r="Q168" s="4">
        <f t="shared" si="19"/>
        <v>2.5000000000000022E-3</v>
      </c>
      <c r="R168" s="66">
        <f t="shared" si="20"/>
        <v>2.4803303387087736E-2</v>
      </c>
      <c r="S168" s="66">
        <f t="shared" si="21"/>
        <v>-3.7832710228223876E-2</v>
      </c>
      <c r="T168" s="50">
        <f t="shared" si="22"/>
        <v>1</v>
      </c>
      <c r="U168" s="50" t="str">
        <f t="shared" si="23"/>
        <v/>
      </c>
    </row>
    <row r="169" spans="1:21" x14ac:dyDescent="0.2">
      <c r="A169" s="38">
        <v>33067</v>
      </c>
      <c r="B169" s="4">
        <v>0.4</v>
      </c>
      <c r="C169" s="4">
        <v>0.3</v>
      </c>
      <c r="D169" s="4">
        <v>0.3</v>
      </c>
      <c r="E169" s="50">
        <v>1</v>
      </c>
      <c r="F169" s="50">
        <v>0.35875000000000001</v>
      </c>
      <c r="G169" s="50">
        <v>0.1</v>
      </c>
      <c r="H169" s="50">
        <v>0.38490743662900001</v>
      </c>
      <c r="I169" s="50">
        <v>0.48829287047999997</v>
      </c>
      <c r="J169" s="50">
        <v>0.28152200277799999</v>
      </c>
      <c r="K169" s="50">
        <v>367.31</v>
      </c>
      <c r="L169" s="50">
        <v>356.49</v>
      </c>
      <c r="M169" s="50">
        <v>367.31</v>
      </c>
      <c r="N169" s="66">
        <f t="shared" si="16"/>
        <v>-1.5518227110614981E-2</v>
      </c>
      <c r="O169" s="66">
        <f t="shared" si="17"/>
        <v>-8.6548147341482723E-2</v>
      </c>
      <c r="P169" s="4">
        <f t="shared" si="18"/>
        <v>0.10000000000000003</v>
      </c>
      <c r="Q169" s="4">
        <f t="shared" si="19"/>
        <v>-1.7499999999999988E-2</v>
      </c>
      <c r="R169" s="66">
        <f t="shared" si="20"/>
        <v>-1.5518227110614981E-2</v>
      </c>
      <c r="S169" s="66">
        <f t="shared" si="21"/>
        <v>-8.6548147341482723E-2</v>
      </c>
      <c r="T169" s="50" t="str">
        <f t="shared" si="22"/>
        <v/>
      </c>
      <c r="U169" s="50" t="str">
        <f t="shared" si="23"/>
        <v/>
      </c>
    </row>
    <row r="170" spans="1:21" x14ac:dyDescent="0.2">
      <c r="A170" s="38">
        <v>33074</v>
      </c>
      <c r="B170" s="4">
        <v>0.4</v>
      </c>
      <c r="C170" s="4">
        <v>0.3</v>
      </c>
      <c r="D170" s="4">
        <v>0.3</v>
      </c>
      <c r="E170" s="50">
        <v>1</v>
      </c>
      <c r="F170" s="50">
        <v>0.36</v>
      </c>
      <c r="G170" s="50">
        <v>0.1</v>
      </c>
      <c r="H170" s="50">
        <v>0.38490743662900001</v>
      </c>
      <c r="I170" s="50">
        <v>0.48829287047999997</v>
      </c>
      <c r="J170" s="50">
        <v>0.28152200277799999</v>
      </c>
      <c r="K170" s="50">
        <v>368.95</v>
      </c>
      <c r="L170" s="50">
        <v>361.61</v>
      </c>
      <c r="M170" s="50">
        <v>361.61</v>
      </c>
      <c r="N170" s="66">
        <f t="shared" si="16"/>
        <v>-2.2593401731146857E-2</v>
      </c>
      <c r="O170" s="66">
        <f t="shared" si="17"/>
        <v>-9.341555819805876E-2</v>
      </c>
      <c r="P170" s="4">
        <f t="shared" si="18"/>
        <v>0.10000000000000003</v>
      </c>
      <c r="Q170" s="4">
        <f t="shared" si="19"/>
        <v>7.5000000000000205E-3</v>
      </c>
      <c r="R170" s="66">
        <f t="shared" si="20"/>
        <v>-2.2593401731146857E-2</v>
      </c>
      <c r="S170" s="66">
        <f t="shared" si="21"/>
        <v>-9.341555819805876E-2</v>
      </c>
      <c r="T170" s="50" t="str">
        <f t="shared" si="22"/>
        <v/>
      </c>
      <c r="U170" s="50" t="str">
        <f t="shared" si="23"/>
        <v/>
      </c>
    </row>
    <row r="171" spans="1:21" x14ac:dyDescent="0.2">
      <c r="A171" s="38">
        <v>33081</v>
      </c>
      <c r="B171" s="4">
        <v>0.52</v>
      </c>
      <c r="C171" s="4">
        <v>0.24</v>
      </c>
      <c r="D171" s="4">
        <v>0.24</v>
      </c>
      <c r="E171" s="50">
        <v>1</v>
      </c>
      <c r="F171" s="50">
        <v>0.37874999999999998</v>
      </c>
      <c r="G171" s="50">
        <v>0.28000000000000003</v>
      </c>
      <c r="H171" s="50">
        <v>0.38490743662900001</v>
      </c>
      <c r="I171" s="50">
        <v>0.48829287047999997</v>
      </c>
      <c r="J171" s="50">
        <v>0.28152200277799999</v>
      </c>
      <c r="K171" s="50">
        <v>357.09</v>
      </c>
      <c r="L171" s="50">
        <v>353.44</v>
      </c>
      <c r="M171" s="50">
        <v>353.44</v>
      </c>
      <c r="N171" s="66">
        <f t="shared" si="16"/>
        <v>-2.427569035762784E-2</v>
      </c>
      <c r="O171" s="66">
        <f t="shared" si="17"/>
        <v>-0.11863399728383886</v>
      </c>
      <c r="P171" s="4">
        <f t="shared" si="18"/>
        <v>0.28000000000000003</v>
      </c>
      <c r="Q171" s="4">
        <f t="shared" si="19"/>
        <v>9.5000000000000029E-2</v>
      </c>
      <c r="R171" s="66">
        <f t="shared" si="20"/>
        <v>-2.427569035762784E-2</v>
      </c>
      <c r="S171" s="66">
        <f t="shared" si="21"/>
        <v>-0.11863399728383886</v>
      </c>
      <c r="T171" s="50" t="str">
        <f t="shared" si="22"/>
        <v/>
      </c>
      <c r="U171" s="50" t="str">
        <f t="shared" si="23"/>
        <v/>
      </c>
    </row>
    <row r="172" spans="1:21" x14ac:dyDescent="0.2">
      <c r="A172" s="38">
        <v>33088</v>
      </c>
      <c r="B172" s="4">
        <v>0.26</v>
      </c>
      <c r="C172" s="4">
        <v>0.28000000000000003</v>
      </c>
      <c r="D172" s="4">
        <v>0.46</v>
      </c>
      <c r="E172" s="50">
        <v>1</v>
      </c>
      <c r="F172" s="50">
        <v>0.36749999999999999</v>
      </c>
      <c r="G172" s="50">
        <v>-0.2</v>
      </c>
      <c r="H172" s="50">
        <v>0.38490743662900001</v>
      </c>
      <c r="I172" s="50">
        <v>0.48829287047999997</v>
      </c>
      <c r="J172" s="50">
        <v>0.28152200277799999</v>
      </c>
      <c r="K172" s="50">
        <v>356.15</v>
      </c>
      <c r="L172" s="50">
        <v>344.86</v>
      </c>
      <c r="M172" s="50">
        <v>344.86</v>
      </c>
      <c r="N172" s="66">
        <f t="shared" si="16"/>
        <v>-2.7083454155309491E-2</v>
      </c>
      <c r="O172" s="66">
        <f t="shared" si="17"/>
        <v>-6.4663921591370438E-2</v>
      </c>
      <c r="P172" s="4">
        <f t="shared" si="18"/>
        <v>-0.2</v>
      </c>
      <c r="Q172" s="4">
        <f t="shared" si="19"/>
        <v>7.0000000000000021E-2</v>
      </c>
      <c r="R172" s="66">
        <f t="shared" si="20"/>
        <v>-2.7083454155309491E-2</v>
      </c>
      <c r="S172" s="66">
        <f t="shared" si="21"/>
        <v>-6.4663921591370438E-2</v>
      </c>
      <c r="T172" s="50" t="str">
        <f t="shared" si="22"/>
        <v/>
      </c>
      <c r="U172" s="50" t="str">
        <f t="shared" si="23"/>
        <v/>
      </c>
    </row>
    <row r="173" spans="1:21" x14ac:dyDescent="0.2">
      <c r="A173" s="38">
        <v>33095</v>
      </c>
      <c r="B173" s="4">
        <v>0.25</v>
      </c>
      <c r="C173" s="4">
        <v>0.21</v>
      </c>
      <c r="D173" s="4">
        <v>0.54</v>
      </c>
      <c r="E173" s="50">
        <v>1</v>
      </c>
      <c r="F173" s="50">
        <v>0.34499999999999997</v>
      </c>
      <c r="G173" s="50">
        <v>-0.28999999999999998</v>
      </c>
      <c r="H173" s="50">
        <v>0.38490743662900001</v>
      </c>
      <c r="I173" s="50">
        <v>0.48829287047999997</v>
      </c>
      <c r="J173" s="50">
        <v>0.28152200277799999</v>
      </c>
      <c r="K173" s="50">
        <v>339.94</v>
      </c>
      <c r="L173" s="50">
        <v>334.43</v>
      </c>
      <c r="M173" s="50">
        <v>335.52</v>
      </c>
      <c r="N173" s="66">
        <f t="shared" si="16"/>
        <v>-2.291964711492608E-2</v>
      </c>
      <c r="O173" s="66">
        <f t="shared" si="17"/>
        <v>-3.6123032904148797E-2</v>
      </c>
      <c r="P173" s="4">
        <f t="shared" si="18"/>
        <v>-0.29000000000000004</v>
      </c>
      <c r="Q173" s="4">
        <f t="shared" si="19"/>
        <v>-2.7499999999999997E-2</v>
      </c>
      <c r="R173" s="66">
        <f t="shared" si="20"/>
        <v>-2.291964711492608E-2</v>
      </c>
      <c r="S173" s="66">
        <f t="shared" si="21"/>
        <v>-3.6123032904148797E-2</v>
      </c>
      <c r="T173" s="50" t="str">
        <f t="shared" si="22"/>
        <v/>
      </c>
      <c r="U173" s="50" t="str">
        <f t="shared" si="23"/>
        <v/>
      </c>
    </row>
    <row r="174" spans="1:21" x14ac:dyDescent="0.2">
      <c r="A174" s="38">
        <v>33102</v>
      </c>
      <c r="B174" s="4">
        <v>0.18</v>
      </c>
      <c r="C174" s="4">
        <v>0.23</v>
      </c>
      <c r="D174" s="4">
        <v>0.59</v>
      </c>
      <c r="E174" s="50">
        <v>1</v>
      </c>
      <c r="F174" s="50">
        <v>0.32500000000000001</v>
      </c>
      <c r="G174" s="50">
        <v>-0.41</v>
      </c>
      <c r="H174" s="50">
        <v>0.38490743662900001</v>
      </c>
      <c r="I174" s="50">
        <v>0.48829287047999997</v>
      </c>
      <c r="J174" s="50">
        <v>0.28152200277799999</v>
      </c>
      <c r="K174" s="50">
        <v>340.06</v>
      </c>
      <c r="L174" s="50">
        <v>327.83</v>
      </c>
      <c r="M174" s="50">
        <v>327.83</v>
      </c>
      <c r="N174" s="66">
        <f t="shared" si="16"/>
        <v>-4.9781899155049852E-2</v>
      </c>
      <c r="O174" s="66">
        <f t="shared" si="17"/>
        <v>-3.3553976146173323E-2</v>
      </c>
      <c r="P174" s="4">
        <f t="shared" si="18"/>
        <v>-0.41</v>
      </c>
      <c r="Q174" s="4">
        <f t="shared" si="19"/>
        <v>-0.155</v>
      </c>
      <c r="R174" s="66">
        <f t="shared" si="20"/>
        <v>-4.9781899155049852E-2</v>
      </c>
      <c r="S174" s="66">
        <f t="shared" si="21"/>
        <v>-3.3553976146173323E-2</v>
      </c>
      <c r="T174" s="50" t="str">
        <f t="shared" si="22"/>
        <v/>
      </c>
      <c r="U174" s="50" t="str">
        <f t="shared" si="23"/>
        <v/>
      </c>
    </row>
    <row r="175" spans="1:21" x14ac:dyDescent="0.2">
      <c r="A175" s="38">
        <v>33109</v>
      </c>
      <c r="B175" s="4">
        <v>0.25</v>
      </c>
      <c r="C175" s="4">
        <v>0.24</v>
      </c>
      <c r="D175" s="4">
        <v>0.51</v>
      </c>
      <c r="E175" s="50">
        <v>1</v>
      </c>
      <c r="F175" s="50">
        <v>0.3175</v>
      </c>
      <c r="G175" s="50">
        <v>-0.26</v>
      </c>
      <c r="H175" s="50">
        <v>0.38490743662900001</v>
      </c>
      <c r="I175" s="50">
        <v>0.48829287047999997</v>
      </c>
      <c r="J175" s="50">
        <v>0.28152200277799999</v>
      </c>
      <c r="K175" s="50">
        <v>328.51</v>
      </c>
      <c r="L175" s="50">
        <v>307.06</v>
      </c>
      <c r="M175" s="50">
        <v>311.51</v>
      </c>
      <c r="N175" s="66">
        <f t="shared" si="16"/>
        <v>3.547237648871629E-2</v>
      </c>
      <c r="O175" s="66">
        <f t="shared" si="17"/>
        <v>-6.0993226541683325E-4</v>
      </c>
      <c r="P175" s="4">
        <f t="shared" si="18"/>
        <v>-0.26</v>
      </c>
      <c r="Q175" s="4">
        <f t="shared" si="19"/>
        <v>-0.29000000000000004</v>
      </c>
      <c r="R175" s="66">
        <f t="shared" si="20"/>
        <v>3.547237648871629E-2</v>
      </c>
      <c r="S175" s="66">
        <f t="shared" si="21"/>
        <v>-6.0993226541683325E-4</v>
      </c>
      <c r="T175" s="50">
        <f t="shared" si="22"/>
        <v>1</v>
      </c>
      <c r="U175" s="50" t="str">
        <f t="shared" si="23"/>
        <v/>
      </c>
    </row>
    <row r="176" spans="1:21" x14ac:dyDescent="0.2">
      <c r="A176" s="38">
        <v>33116</v>
      </c>
      <c r="B176" s="4">
        <v>0.23</v>
      </c>
      <c r="C176" s="4">
        <v>0.16</v>
      </c>
      <c r="D176" s="4">
        <v>0.61</v>
      </c>
      <c r="E176" s="50">
        <v>1</v>
      </c>
      <c r="F176" s="50">
        <v>0.31125000000000003</v>
      </c>
      <c r="G176" s="50">
        <v>-0.38</v>
      </c>
      <c r="H176" s="50">
        <v>0.38490743662900001</v>
      </c>
      <c r="I176" s="50">
        <v>0.48829287047999997</v>
      </c>
      <c r="J176" s="50">
        <v>0.28152200277799999</v>
      </c>
      <c r="K176" s="50">
        <v>324.19</v>
      </c>
      <c r="L176" s="50">
        <v>318.70999999999998</v>
      </c>
      <c r="M176" s="50">
        <v>322.56</v>
      </c>
      <c r="N176" s="66">
        <f t="shared" si="16"/>
        <v>2.6041666666665889E-3</v>
      </c>
      <c r="O176" s="66">
        <f t="shared" si="17"/>
        <v>-5.1184275793650764E-2</v>
      </c>
      <c r="P176" s="4">
        <f t="shared" si="18"/>
        <v>-0.38</v>
      </c>
      <c r="Q176" s="4">
        <f t="shared" si="19"/>
        <v>-0.33499999999999996</v>
      </c>
      <c r="R176" s="66">
        <f t="shared" si="20"/>
        <v>2.6041666666665889E-3</v>
      </c>
      <c r="S176" s="66">
        <f t="shared" si="21"/>
        <v>-5.1184275793650764E-2</v>
      </c>
      <c r="T176" s="50">
        <f t="shared" si="22"/>
        <v>1</v>
      </c>
      <c r="U176" s="50" t="str">
        <f t="shared" si="23"/>
        <v/>
      </c>
    </row>
    <row r="177" spans="1:21" x14ac:dyDescent="0.2">
      <c r="A177" s="38">
        <v>33123</v>
      </c>
      <c r="B177" s="4">
        <v>0.33</v>
      </c>
      <c r="C177" s="4">
        <v>0.18</v>
      </c>
      <c r="D177" s="4">
        <v>0.49</v>
      </c>
      <c r="E177" s="50">
        <v>1</v>
      </c>
      <c r="F177" s="50">
        <v>0.30249999999999999</v>
      </c>
      <c r="G177" s="50">
        <v>-0.16</v>
      </c>
      <c r="H177" s="50">
        <v>0.38490743662900001</v>
      </c>
      <c r="I177" s="50">
        <v>0.48829287047999997</v>
      </c>
      <c r="J177" s="50">
        <v>0.28152200277799999</v>
      </c>
      <c r="K177" s="50">
        <v>324.39</v>
      </c>
      <c r="L177" s="50">
        <v>320.45999999999998</v>
      </c>
      <c r="M177" s="50">
        <v>323.39999999999998</v>
      </c>
      <c r="N177" s="66">
        <f t="shared" si="16"/>
        <v>-2.031539888682744E-2</v>
      </c>
      <c r="O177" s="66">
        <f t="shared" si="17"/>
        <v>-3.679653679653673E-2</v>
      </c>
      <c r="P177" s="4">
        <f t="shared" si="18"/>
        <v>-0.15999999999999998</v>
      </c>
      <c r="Q177" s="4">
        <f t="shared" si="19"/>
        <v>-0.30249999999999994</v>
      </c>
      <c r="R177" s="66">
        <f t="shared" si="20"/>
        <v>-2.031539888682744E-2</v>
      </c>
      <c r="S177" s="66">
        <f t="shared" si="21"/>
        <v>-3.679653679653673E-2</v>
      </c>
      <c r="T177" s="50" t="str">
        <f t="shared" si="22"/>
        <v/>
      </c>
      <c r="U177" s="50" t="str">
        <f t="shared" si="23"/>
        <v/>
      </c>
    </row>
    <row r="178" spans="1:21" x14ac:dyDescent="0.2">
      <c r="A178" s="38">
        <v>33130</v>
      </c>
      <c r="B178" s="4">
        <v>0.16</v>
      </c>
      <c r="C178" s="4">
        <v>0.33</v>
      </c>
      <c r="D178" s="4">
        <v>0.51</v>
      </c>
      <c r="E178" s="50">
        <v>1</v>
      </c>
      <c r="F178" s="50">
        <v>0.27250000000000002</v>
      </c>
      <c r="G178" s="50">
        <v>-0.35</v>
      </c>
      <c r="H178" s="50">
        <v>0.38490743662900001</v>
      </c>
      <c r="I178" s="50">
        <v>0.48829287047999997</v>
      </c>
      <c r="J178" s="50">
        <v>0.28152200277799999</v>
      </c>
      <c r="K178" s="50">
        <v>322.54000000000002</v>
      </c>
      <c r="L178" s="50">
        <v>316.83</v>
      </c>
      <c r="M178" s="50">
        <v>316.83</v>
      </c>
      <c r="N178" s="66">
        <f t="shared" si="16"/>
        <v>-1.7391029889846261E-2</v>
      </c>
      <c r="O178" s="66">
        <f t="shared" si="17"/>
        <v>-5.3025281696809055E-2</v>
      </c>
      <c r="P178" s="4">
        <f t="shared" si="18"/>
        <v>-0.35</v>
      </c>
      <c r="Q178" s="4">
        <f t="shared" si="19"/>
        <v>-0.28749999999999998</v>
      </c>
      <c r="R178" s="66">
        <f t="shared" si="20"/>
        <v>-1.7391029889846261E-2</v>
      </c>
      <c r="S178" s="66">
        <f t="shared" si="21"/>
        <v>-5.3025281696809055E-2</v>
      </c>
      <c r="T178" s="50" t="str">
        <f t="shared" si="22"/>
        <v/>
      </c>
      <c r="U178" s="50" t="str">
        <f t="shared" si="23"/>
        <v/>
      </c>
    </row>
    <row r="179" spans="1:21" x14ac:dyDescent="0.2">
      <c r="A179" s="38">
        <v>33137</v>
      </c>
      <c r="B179" s="4">
        <v>0.13</v>
      </c>
      <c r="C179" s="4">
        <v>0.31</v>
      </c>
      <c r="D179" s="4">
        <v>0.56000000000000005</v>
      </c>
      <c r="E179" s="50">
        <v>1</v>
      </c>
      <c r="F179" s="50">
        <v>0.22375</v>
      </c>
      <c r="G179" s="50">
        <v>-0.43</v>
      </c>
      <c r="H179" s="50">
        <v>0.38490743662900001</v>
      </c>
      <c r="I179" s="50">
        <v>0.48829287047999997</v>
      </c>
      <c r="J179" s="50">
        <v>0.28152200277799999</v>
      </c>
      <c r="K179" s="50">
        <v>318.60000000000002</v>
      </c>
      <c r="L179" s="50">
        <v>311.32</v>
      </c>
      <c r="M179" s="50">
        <v>311.32</v>
      </c>
      <c r="N179" s="66">
        <f t="shared" si="16"/>
        <v>-1.6927919825260124E-2</v>
      </c>
      <c r="O179" s="66">
        <f t="shared" si="17"/>
        <v>3.726069638956781E-3</v>
      </c>
      <c r="P179" s="4">
        <f t="shared" si="18"/>
        <v>-0.43000000000000005</v>
      </c>
      <c r="Q179" s="4">
        <f t="shared" si="19"/>
        <v>-0.33</v>
      </c>
      <c r="R179" s="66">
        <f t="shared" si="20"/>
        <v>-1.6927919825260124E-2</v>
      </c>
      <c r="S179" s="66">
        <f t="shared" si="21"/>
        <v>3.726069638956781E-3</v>
      </c>
      <c r="T179" s="50" t="str">
        <f t="shared" si="22"/>
        <v/>
      </c>
      <c r="U179" s="50">
        <f t="shared" si="23"/>
        <v>1</v>
      </c>
    </row>
    <row r="180" spans="1:21" x14ac:dyDescent="0.2">
      <c r="A180" s="38">
        <v>33144</v>
      </c>
      <c r="B180" s="4">
        <v>0.26</v>
      </c>
      <c r="C180" s="4">
        <v>0.2</v>
      </c>
      <c r="D180" s="4">
        <v>0.54</v>
      </c>
      <c r="E180" s="50">
        <v>1</v>
      </c>
      <c r="F180" s="50">
        <v>0.22375</v>
      </c>
      <c r="G180" s="50">
        <v>-0.28000000000000003</v>
      </c>
      <c r="H180" s="50">
        <v>0.38490743662900001</v>
      </c>
      <c r="I180" s="50">
        <v>0.48829287047999997</v>
      </c>
      <c r="J180" s="50">
        <v>0.28152200277799999</v>
      </c>
      <c r="K180" s="50">
        <v>308.26</v>
      </c>
      <c r="L180" s="50">
        <v>300.97000000000003</v>
      </c>
      <c r="M180" s="50">
        <v>306.05</v>
      </c>
      <c r="N180" s="66">
        <f t="shared" si="16"/>
        <v>1.7807547786309389E-2</v>
      </c>
      <c r="O180" s="66">
        <f t="shared" si="17"/>
        <v>-4.3783695474596696E-3</v>
      </c>
      <c r="P180" s="4">
        <f t="shared" si="18"/>
        <v>-0.28000000000000003</v>
      </c>
      <c r="Q180" s="4">
        <f t="shared" si="19"/>
        <v>-0.30500000000000005</v>
      </c>
      <c r="R180" s="66">
        <f t="shared" si="20"/>
        <v>1.7807547786309389E-2</v>
      </c>
      <c r="S180" s="66">
        <f t="shared" si="21"/>
        <v>-4.3783695474596696E-3</v>
      </c>
      <c r="T180" s="50">
        <f t="shared" si="22"/>
        <v>1</v>
      </c>
      <c r="U180" s="50" t="str">
        <f t="shared" si="23"/>
        <v/>
      </c>
    </row>
    <row r="181" spans="1:21" x14ac:dyDescent="0.2">
      <c r="A181" s="38">
        <v>33151</v>
      </c>
      <c r="B181" s="4">
        <v>0.15</v>
      </c>
      <c r="C181" s="4">
        <v>0.26</v>
      </c>
      <c r="D181" s="4">
        <v>0.59</v>
      </c>
      <c r="E181" s="50">
        <v>1</v>
      </c>
      <c r="F181" s="50">
        <v>0.21124999999999999</v>
      </c>
      <c r="G181" s="50">
        <v>-0.44</v>
      </c>
      <c r="H181" s="50">
        <v>0.38490743662900001</v>
      </c>
      <c r="I181" s="50">
        <v>0.48829287047999997</v>
      </c>
      <c r="J181" s="50">
        <v>0.28152200277799999</v>
      </c>
      <c r="K181" s="50">
        <v>315.20999999999998</v>
      </c>
      <c r="L181" s="50">
        <v>311.39999999999998</v>
      </c>
      <c r="M181" s="50">
        <v>311.5</v>
      </c>
      <c r="N181" s="66">
        <f t="shared" si="16"/>
        <v>-3.6821829855537808E-2</v>
      </c>
      <c r="O181" s="66">
        <f t="shared" si="17"/>
        <v>1.1235955056180505E-3</v>
      </c>
      <c r="P181" s="4">
        <f t="shared" si="18"/>
        <v>-0.43999999999999995</v>
      </c>
      <c r="Q181" s="4">
        <f t="shared" si="19"/>
        <v>-0.375</v>
      </c>
      <c r="R181" s="66">
        <f t="shared" si="20"/>
        <v>-3.6821829855537808E-2</v>
      </c>
      <c r="S181" s="66">
        <f t="shared" si="21"/>
        <v>1.1235955056180505E-3</v>
      </c>
      <c r="T181" s="50" t="str">
        <f t="shared" si="22"/>
        <v/>
      </c>
      <c r="U181" s="50">
        <f t="shared" si="23"/>
        <v>1</v>
      </c>
    </row>
    <row r="182" spans="1:21" x14ac:dyDescent="0.2">
      <c r="A182" s="38">
        <v>33158</v>
      </c>
      <c r="B182" s="4">
        <v>0.21</v>
      </c>
      <c r="C182" s="4">
        <v>0.27</v>
      </c>
      <c r="D182" s="4">
        <v>0.52</v>
      </c>
      <c r="E182" s="50">
        <v>1</v>
      </c>
      <c r="F182" s="50">
        <v>0.215</v>
      </c>
      <c r="G182" s="50">
        <v>-0.31</v>
      </c>
      <c r="H182" s="50">
        <v>0.38490743662900001</v>
      </c>
      <c r="I182" s="50">
        <v>0.48829287047999997</v>
      </c>
      <c r="J182" s="50">
        <v>0.28152200277799999</v>
      </c>
      <c r="K182" s="50">
        <v>313.48</v>
      </c>
      <c r="L182" s="50">
        <v>295.45999999999998</v>
      </c>
      <c r="M182" s="50">
        <v>300.02999999999997</v>
      </c>
      <c r="N182" s="66">
        <f t="shared" si="16"/>
        <v>4.1495850414958659E-2</v>
      </c>
      <c r="O182" s="66">
        <f t="shared" si="17"/>
        <v>4.5695430456954428E-2</v>
      </c>
      <c r="P182" s="4">
        <f t="shared" si="18"/>
        <v>-0.31000000000000005</v>
      </c>
      <c r="Q182" s="4">
        <f t="shared" si="19"/>
        <v>-0.36499999999999999</v>
      </c>
      <c r="R182" s="66">
        <f t="shared" si="20"/>
        <v>4.1495850414958659E-2</v>
      </c>
      <c r="S182" s="66">
        <f t="shared" si="21"/>
        <v>4.5695430456954428E-2</v>
      </c>
      <c r="T182" s="50">
        <f t="shared" si="22"/>
        <v>1</v>
      </c>
      <c r="U182" s="50">
        <f t="shared" si="23"/>
        <v>1</v>
      </c>
    </row>
    <row r="183" spans="1:21" x14ac:dyDescent="0.2">
      <c r="A183" s="38">
        <v>33165</v>
      </c>
      <c r="B183" s="4">
        <v>0.13</v>
      </c>
      <c r="C183" s="4">
        <v>0.2</v>
      </c>
      <c r="D183" s="4">
        <v>0.67</v>
      </c>
      <c r="E183" s="50">
        <v>1</v>
      </c>
      <c r="F183" s="50">
        <v>0.2</v>
      </c>
      <c r="G183" s="50">
        <v>-0.54</v>
      </c>
      <c r="H183" s="50">
        <v>0.38490743662900001</v>
      </c>
      <c r="I183" s="50">
        <v>0.48829287047999997</v>
      </c>
      <c r="J183" s="50">
        <v>0.28152200277799999</v>
      </c>
      <c r="K183" s="50">
        <v>312.48</v>
      </c>
      <c r="L183" s="50">
        <v>298.76</v>
      </c>
      <c r="M183" s="50">
        <v>312.48</v>
      </c>
      <c r="N183" s="66">
        <f t="shared" si="16"/>
        <v>-2.4865591397849586E-2</v>
      </c>
      <c r="O183" s="66">
        <f t="shared" si="17"/>
        <v>1.4848950332821256E-2</v>
      </c>
      <c r="P183" s="4">
        <f t="shared" si="18"/>
        <v>-0.54</v>
      </c>
      <c r="Q183" s="4">
        <f t="shared" si="19"/>
        <v>-0.39250000000000002</v>
      </c>
      <c r="R183" s="66">
        <f t="shared" si="20"/>
        <v>-2.4865591397849586E-2</v>
      </c>
      <c r="S183" s="66">
        <f t="shared" si="21"/>
        <v>1.4848950332821256E-2</v>
      </c>
      <c r="T183" s="50" t="str">
        <f t="shared" si="22"/>
        <v/>
      </c>
      <c r="U183" s="50">
        <f t="shared" si="23"/>
        <v>1</v>
      </c>
    </row>
    <row r="184" spans="1:21" x14ac:dyDescent="0.2">
      <c r="A184" s="38">
        <v>33172</v>
      </c>
      <c r="B184" s="4">
        <v>0.23</v>
      </c>
      <c r="C184" s="4">
        <v>0.19</v>
      </c>
      <c r="D184" s="4">
        <v>0.57999999999999996</v>
      </c>
      <c r="E184" s="50">
        <v>1</v>
      </c>
      <c r="F184" s="50">
        <v>0.2</v>
      </c>
      <c r="G184" s="50">
        <v>-0.35</v>
      </c>
      <c r="H184" s="50">
        <v>0.38490743662900001</v>
      </c>
      <c r="I184" s="50">
        <v>0.48829287047999997</v>
      </c>
      <c r="J184" s="50">
        <v>0.28152200277799999</v>
      </c>
      <c r="K184" s="50">
        <v>314.76</v>
      </c>
      <c r="L184" s="50">
        <v>304.70999999999998</v>
      </c>
      <c r="M184" s="50">
        <v>304.70999999999998</v>
      </c>
      <c r="N184" s="66">
        <f t="shared" si="16"/>
        <v>2.3432115782219303E-2</v>
      </c>
      <c r="O184" s="66">
        <f t="shared" si="17"/>
        <v>3.7150077122509909E-2</v>
      </c>
      <c r="P184" s="4">
        <f t="shared" si="18"/>
        <v>-0.35</v>
      </c>
      <c r="Q184" s="4">
        <f t="shared" si="19"/>
        <v>-0.41000000000000003</v>
      </c>
      <c r="R184" s="66">
        <f t="shared" si="20"/>
        <v>2.3432115782219303E-2</v>
      </c>
      <c r="S184" s="66">
        <f t="shared" si="21"/>
        <v>3.7150077122509909E-2</v>
      </c>
      <c r="T184" s="50">
        <f t="shared" si="22"/>
        <v>1</v>
      </c>
      <c r="U184" s="50">
        <f t="shared" si="23"/>
        <v>1</v>
      </c>
    </row>
    <row r="185" spans="1:21" x14ac:dyDescent="0.2">
      <c r="A185" s="38">
        <v>33179</v>
      </c>
      <c r="B185" s="4">
        <v>0.2</v>
      </c>
      <c r="C185" s="4">
        <v>0.36</v>
      </c>
      <c r="D185" s="4">
        <v>0.44</v>
      </c>
      <c r="E185" s="50">
        <v>1</v>
      </c>
      <c r="F185" s="50">
        <v>0.18375</v>
      </c>
      <c r="G185" s="50">
        <v>-0.24</v>
      </c>
      <c r="H185" s="50">
        <v>0.38490743662900001</v>
      </c>
      <c r="I185" s="50">
        <v>0.48829287047999997</v>
      </c>
      <c r="J185" s="50">
        <v>0.28152200277799999</v>
      </c>
      <c r="K185" s="50">
        <v>311.85000000000002</v>
      </c>
      <c r="L185" s="50">
        <v>301.88</v>
      </c>
      <c r="M185" s="50">
        <v>311.85000000000002</v>
      </c>
      <c r="N185" s="66">
        <f t="shared" si="16"/>
        <v>6.0606060606060164E-3</v>
      </c>
      <c r="O185" s="66">
        <f t="shared" si="17"/>
        <v>3.3253166586499933E-2</v>
      </c>
      <c r="P185" s="4">
        <f t="shared" si="18"/>
        <v>-0.24</v>
      </c>
      <c r="Q185" s="4">
        <f t="shared" si="19"/>
        <v>-0.36000000000000004</v>
      </c>
      <c r="R185" s="66">
        <f t="shared" si="20"/>
        <v>6.0606060606060164E-3</v>
      </c>
      <c r="S185" s="66">
        <f t="shared" si="21"/>
        <v>3.3253166586499933E-2</v>
      </c>
      <c r="T185" s="50">
        <f t="shared" si="22"/>
        <v>1</v>
      </c>
      <c r="U185" s="50">
        <f t="shared" si="23"/>
        <v>1</v>
      </c>
    </row>
    <row r="186" spans="1:21" x14ac:dyDescent="0.2">
      <c r="A186" s="38">
        <v>33186</v>
      </c>
      <c r="B186" s="4">
        <v>0.2</v>
      </c>
      <c r="C186" s="4">
        <v>0.32</v>
      </c>
      <c r="D186" s="4">
        <v>0.48</v>
      </c>
      <c r="E186" s="50">
        <v>1</v>
      </c>
      <c r="F186" s="50">
        <v>0.18875</v>
      </c>
      <c r="G186" s="50">
        <v>-0.28000000000000003</v>
      </c>
      <c r="H186" s="50">
        <v>0.38490743662900001</v>
      </c>
      <c r="I186" s="50">
        <v>0.48829287047999997</v>
      </c>
      <c r="J186" s="50">
        <v>0.28152200277799999</v>
      </c>
      <c r="K186" s="50">
        <v>314.58999999999997</v>
      </c>
      <c r="L186" s="50">
        <v>306.01</v>
      </c>
      <c r="M186" s="50">
        <v>313.74</v>
      </c>
      <c r="N186" s="66">
        <f t="shared" si="16"/>
        <v>1.0773251737107144E-2</v>
      </c>
      <c r="O186" s="66">
        <f t="shared" si="17"/>
        <v>4.4654809715050647E-2</v>
      </c>
      <c r="P186" s="4">
        <f t="shared" si="18"/>
        <v>-0.27999999999999997</v>
      </c>
      <c r="Q186" s="4">
        <f t="shared" si="19"/>
        <v>-0.35249999999999998</v>
      </c>
      <c r="R186" s="66">
        <f t="shared" si="20"/>
        <v>1.0773251737107144E-2</v>
      </c>
      <c r="S186" s="66">
        <f t="shared" si="21"/>
        <v>4.4654809715050647E-2</v>
      </c>
      <c r="T186" s="50">
        <f t="shared" si="22"/>
        <v>1</v>
      </c>
      <c r="U186" s="50">
        <f t="shared" si="23"/>
        <v>1</v>
      </c>
    </row>
    <row r="187" spans="1:21" x14ac:dyDescent="0.2">
      <c r="A187" s="38">
        <v>33193</v>
      </c>
      <c r="B187" s="4">
        <v>0.12</v>
      </c>
      <c r="C187" s="4">
        <v>0.33</v>
      </c>
      <c r="D187" s="4">
        <v>0.55000000000000004</v>
      </c>
      <c r="E187" s="50">
        <v>1</v>
      </c>
      <c r="F187" s="50">
        <v>0.1875</v>
      </c>
      <c r="G187" s="50">
        <v>-0.43</v>
      </c>
      <c r="H187" s="50">
        <v>0.38490743662900001</v>
      </c>
      <c r="I187" s="50">
        <v>0.48829287047999997</v>
      </c>
      <c r="J187" s="50">
        <v>0.28152200277799999</v>
      </c>
      <c r="K187" s="50">
        <v>320.39999999999998</v>
      </c>
      <c r="L187" s="50">
        <v>317.02</v>
      </c>
      <c r="M187" s="50">
        <v>317.12</v>
      </c>
      <c r="N187" s="66">
        <f t="shared" si="16"/>
        <v>-3.4371846619577189E-3</v>
      </c>
      <c r="O187" s="66">
        <f t="shared" si="17"/>
        <v>3.0587790110998953E-2</v>
      </c>
      <c r="P187" s="4">
        <f t="shared" si="18"/>
        <v>-0.43000000000000005</v>
      </c>
      <c r="Q187" s="4">
        <f t="shared" si="19"/>
        <v>-0.32499999999999996</v>
      </c>
      <c r="R187" s="66">
        <f t="shared" si="20"/>
        <v>-3.4371846619577189E-3</v>
      </c>
      <c r="S187" s="66">
        <f t="shared" si="21"/>
        <v>3.0587790110998953E-2</v>
      </c>
      <c r="T187" s="50" t="str">
        <f t="shared" si="22"/>
        <v/>
      </c>
      <c r="U187" s="50">
        <f t="shared" si="23"/>
        <v>1</v>
      </c>
    </row>
    <row r="188" spans="1:21" x14ac:dyDescent="0.2">
      <c r="A188" s="38">
        <v>33198</v>
      </c>
      <c r="B188" s="4">
        <v>0.16</v>
      </c>
      <c r="C188" s="4">
        <v>0.37</v>
      </c>
      <c r="D188" s="4">
        <v>0.47</v>
      </c>
      <c r="E188" s="50">
        <v>1</v>
      </c>
      <c r="F188" s="50">
        <v>0.17499999999999999</v>
      </c>
      <c r="G188" s="50">
        <v>-0.31</v>
      </c>
      <c r="H188" s="50">
        <v>0.38490743662900001</v>
      </c>
      <c r="I188" s="50">
        <v>0.48829287047999997</v>
      </c>
      <c r="J188" s="50">
        <v>0.28152200277799999</v>
      </c>
      <c r="K188" s="50">
        <v>319.33999999999997</v>
      </c>
      <c r="L188" s="50">
        <v>315.10000000000002</v>
      </c>
      <c r="M188" s="50">
        <v>316.02999999999997</v>
      </c>
      <c r="N188" s="66">
        <f t="shared" si="16"/>
        <v>1.9586748093535597E-2</v>
      </c>
      <c r="O188" s="66">
        <f t="shared" si="17"/>
        <v>4.974211309052947E-2</v>
      </c>
      <c r="P188" s="4">
        <f t="shared" si="18"/>
        <v>-0.30999999999999994</v>
      </c>
      <c r="Q188" s="4">
        <f t="shared" si="19"/>
        <v>-0.315</v>
      </c>
      <c r="R188" s="66">
        <f t="shared" si="20"/>
        <v>1.9586748093535597E-2</v>
      </c>
      <c r="S188" s="66">
        <f t="shared" si="21"/>
        <v>4.974211309052947E-2</v>
      </c>
      <c r="T188" s="50">
        <f t="shared" si="22"/>
        <v>1</v>
      </c>
      <c r="U188" s="50">
        <f t="shared" si="23"/>
        <v>1</v>
      </c>
    </row>
    <row r="189" spans="1:21" x14ac:dyDescent="0.2">
      <c r="A189" s="38">
        <v>33207</v>
      </c>
      <c r="B189" s="4">
        <v>0.22</v>
      </c>
      <c r="C189" s="4">
        <v>0.33</v>
      </c>
      <c r="D189" s="4">
        <v>0.45</v>
      </c>
      <c r="E189" s="50">
        <v>1</v>
      </c>
      <c r="F189" s="50">
        <v>0.18375</v>
      </c>
      <c r="G189" s="50">
        <v>-0.23</v>
      </c>
      <c r="H189" s="50">
        <v>0.38490743662900001</v>
      </c>
      <c r="I189" s="50">
        <v>0.48829287047999997</v>
      </c>
      <c r="J189" s="50">
        <v>0.28152200277799999</v>
      </c>
      <c r="K189" s="50">
        <v>322.22000000000003</v>
      </c>
      <c r="L189" s="50">
        <v>316.42</v>
      </c>
      <c r="M189" s="50">
        <v>322.22000000000003</v>
      </c>
      <c r="N189" s="66">
        <f t="shared" si="16"/>
        <v>1.7162187325429745E-2</v>
      </c>
      <c r="O189" s="66">
        <f t="shared" si="17"/>
        <v>2.0172552914158027E-2</v>
      </c>
      <c r="P189" s="4">
        <f t="shared" si="18"/>
        <v>-0.23</v>
      </c>
      <c r="Q189" s="4">
        <f t="shared" si="19"/>
        <v>-0.3125</v>
      </c>
      <c r="R189" s="66">
        <f t="shared" si="20"/>
        <v>1.7162187325429745E-2</v>
      </c>
      <c r="S189" s="66">
        <f t="shared" si="21"/>
        <v>2.0172552914158027E-2</v>
      </c>
      <c r="T189" s="50">
        <f t="shared" si="22"/>
        <v>1</v>
      </c>
      <c r="U189" s="50">
        <f t="shared" si="23"/>
        <v>1</v>
      </c>
    </row>
    <row r="190" spans="1:21" x14ac:dyDescent="0.2">
      <c r="A190" s="38">
        <v>33214</v>
      </c>
      <c r="B190" s="4">
        <v>0.26</v>
      </c>
      <c r="C190" s="4">
        <v>0.33</v>
      </c>
      <c r="D190" s="4">
        <v>0.41</v>
      </c>
      <c r="E190" s="50">
        <v>1</v>
      </c>
      <c r="F190" s="50">
        <v>0.19</v>
      </c>
      <c r="G190" s="50">
        <v>-0.15</v>
      </c>
      <c r="H190" s="50">
        <v>0.38490743662900001</v>
      </c>
      <c r="I190" s="50">
        <v>0.48829287047999997</v>
      </c>
      <c r="J190" s="50">
        <v>0.28152200277799999</v>
      </c>
      <c r="K190" s="50">
        <v>329.92</v>
      </c>
      <c r="L190" s="50">
        <v>324.10000000000002</v>
      </c>
      <c r="M190" s="50">
        <v>327.75</v>
      </c>
      <c r="N190" s="66">
        <f t="shared" si="16"/>
        <v>-2.8375286041190141E-3</v>
      </c>
      <c r="O190" s="66">
        <f t="shared" si="17"/>
        <v>-2.0594965675057208E-2</v>
      </c>
      <c r="P190" s="4">
        <f t="shared" si="18"/>
        <v>-0.14999999999999997</v>
      </c>
      <c r="Q190" s="4">
        <f t="shared" si="19"/>
        <v>-0.27999999999999997</v>
      </c>
      <c r="R190" s="66">
        <f t="shared" si="20"/>
        <v>-2.8375286041190141E-3</v>
      </c>
      <c r="S190" s="66">
        <f t="shared" si="21"/>
        <v>-2.0594965675057208E-2</v>
      </c>
      <c r="T190" s="50" t="str">
        <f t="shared" si="22"/>
        <v/>
      </c>
      <c r="U190" s="50" t="str">
        <f t="shared" si="23"/>
        <v/>
      </c>
    </row>
    <row r="191" spans="1:21" x14ac:dyDescent="0.2">
      <c r="A191" s="38">
        <v>33221</v>
      </c>
      <c r="B191" s="4">
        <v>0.31</v>
      </c>
      <c r="C191" s="4">
        <v>0.31</v>
      </c>
      <c r="D191" s="4">
        <v>0.38</v>
      </c>
      <c r="E191" s="50">
        <v>1</v>
      </c>
      <c r="F191" s="50">
        <v>0.21249999999999999</v>
      </c>
      <c r="G191" s="50">
        <v>-7.0000000000000007E-2</v>
      </c>
      <c r="H191" s="50">
        <v>0.38490743662900001</v>
      </c>
      <c r="I191" s="50">
        <v>0.48829287047999997</v>
      </c>
      <c r="J191" s="50">
        <v>0.28152200277799999</v>
      </c>
      <c r="K191" s="50">
        <v>330.19</v>
      </c>
      <c r="L191" s="50">
        <v>326.44</v>
      </c>
      <c r="M191" s="50">
        <v>326.82</v>
      </c>
      <c r="N191" s="66">
        <f t="shared" si="16"/>
        <v>1.5084756134875487E-2</v>
      </c>
      <c r="O191" s="66">
        <f t="shared" si="17"/>
        <v>-3.5462945964139209E-2</v>
      </c>
      <c r="P191" s="4">
        <f t="shared" si="18"/>
        <v>-7.0000000000000007E-2</v>
      </c>
      <c r="Q191" s="4">
        <f t="shared" si="19"/>
        <v>-0.19</v>
      </c>
      <c r="R191" s="66">
        <f t="shared" si="20"/>
        <v>1.5084756134875487E-2</v>
      </c>
      <c r="S191" s="66">
        <f t="shared" si="21"/>
        <v>-3.5462945964139209E-2</v>
      </c>
      <c r="T191" s="50">
        <f t="shared" si="22"/>
        <v>1</v>
      </c>
      <c r="U191" s="50" t="str">
        <f t="shared" si="23"/>
        <v/>
      </c>
    </row>
    <row r="192" spans="1:21" x14ac:dyDescent="0.2">
      <c r="A192" s="38">
        <v>33228</v>
      </c>
      <c r="B192" s="4">
        <v>0.16</v>
      </c>
      <c r="C192" s="4">
        <v>0.34</v>
      </c>
      <c r="D192" s="4">
        <v>0.5</v>
      </c>
      <c r="E192" s="50">
        <v>1</v>
      </c>
      <c r="F192" s="50">
        <v>0.20374999999999999</v>
      </c>
      <c r="G192" s="50">
        <v>-0.34</v>
      </c>
      <c r="H192" s="50">
        <v>0.38490743662900001</v>
      </c>
      <c r="I192" s="50">
        <v>0.48829287047999997</v>
      </c>
      <c r="J192" s="50">
        <v>0.28152200277799999</v>
      </c>
      <c r="K192" s="50">
        <v>331.75</v>
      </c>
      <c r="L192" s="50">
        <v>326.02</v>
      </c>
      <c r="M192" s="50">
        <v>331.75</v>
      </c>
      <c r="N192" s="66">
        <f t="shared" si="16"/>
        <v>-9.1333835719667605E-3</v>
      </c>
      <c r="O192" s="66">
        <f t="shared" si="17"/>
        <v>1.446872645064109E-3</v>
      </c>
      <c r="P192" s="4">
        <f t="shared" si="18"/>
        <v>-0.33999999999999997</v>
      </c>
      <c r="Q192" s="4">
        <f t="shared" si="19"/>
        <v>-0.19750000000000001</v>
      </c>
      <c r="R192" s="66">
        <f t="shared" si="20"/>
        <v>-9.1333835719667605E-3</v>
      </c>
      <c r="S192" s="66">
        <f t="shared" si="21"/>
        <v>1.446872645064109E-3</v>
      </c>
      <c r="T192" s="50" t="str">
        <f t="shared" si="22"/>
        <v/>
      </c>
      <c r="U192" s="50">
        <f t="shared" si="23"/>
        <v>1</v>
      </c>
    </row>
    <row r="193" spans="1:21" x14ac:dyDescent="0.2">
      <c r="A193" s="38">
        <v>33235</v>
      </c>
      <c r="B193" s="4">
        <v>0.3</v>
      </c>
      <c r="C193" s="4">
        <v>0.3</v>
      </c>
      <c r="D193" s="4">
        <v>0.4</v>
      </c>
      <c r="E193" s="50">
        <v>1</v>
      </c>
      <c r="F193" s="50">
        <v>0.21625</v>
      </c>
      <c r="G193" s="50">
        <v>-0.1</v>
      </c>
      <c r="H193" s="50">
        <v>0.38490743662900001</v>
      </c>
      <c r="I193" s="50">
        <v>0.48829287047999997</v>
      </c>
      <c r="J193" s="50">
        <v>0.28152200277799999</v>
      </c>
      <c r="K193" s="50">
        <v>330.85</v>
      </c>
      <c r="L193" s="50">
        <v>328.29</v>
      </c>
      <c r="M193" s="50">
        <v>328.72</v>
      </c>
      <c r="N193" s="66">
        <f t="shared" si="16"/>
        <v>-2.3485032854709258E-2</v>
      </c>
      <c r="O193" s="66">
        <f t="shared" si="17"/>
        <v>2.2359454855195807E-2</v>
      </c>
      <c r="P193" s="4">
        <f t="shared" si="18"/>
        <v>-0.10000000000000003</v>
      </c>
      <c r="Q193" s="4">
        <f t="shared" si="19"/>
        <v>-0.16499999999999998</v>
      </c>
      <c r="R193" s="66">
        <f t="shared" si="20"/>
        <v>-2.3485032854709258E-2</v>
      </c>
      <c r="S193" s="66">
        <f t="shared" si="21"/>
        <v>2.2359454855195807E-2</v>
      </c>
      <c r="T193" s="50" t="str">
        <f t="shared" si="22"/>
        <v/>
      </c>
      <c r="U193" s="50">
        <f t="shared" si="23"/>
        <v>1</v>
      </c>
    </row>
    <row r="194" spans="1:21" x14ac:dyDescent="0.2">
      <c r="A194" s="38">
        <v>33242</v>
      </c>
      <c r="B194" s="4">
        <v>0.31</v>
      </c>
      <c r="C194" s="4">
        <v>0.39</v>
      </c>
      <c r="D194" s="4">
        <v>0.3</v>
      </c>
      <c r="E194" s="50">
        <v>1</v>
      </c>
      <c r="F194" s="50">
        <v>0.23</v>
      </c>
      <c r="G194" s="50">
        <v>0.01</v>
      </c>
      <c r="H194" s="50">
        <v>0.38490743662900001</v>
      </c>
      <c r="I194" s="50">
        <v>0.48829287047999997</v>
      </c>
      <c r="J194" s="50">
        <v>0.28152200277799999</v>
      </c>
      <c r="K194" s="50">
        <v>330.22</v>
      </c>
      <c r="L194" s="50">
        <v>321</v>
      </c>
      <c r="M194" s="50">
        <v>321</v>
      </c>
      <c r="N194" s="66">
        <f t="shared" si="16"/>
        <v>-1.797507788161988E-2</v>
      </c>
      <c r="O194" s="66">
        <f t="shared" si="17"/>
        <v>6.8691588785046762E-2</v>
      </c>
      <c r="P194" s="4">
        <f t="shared" si="18"/>
        <v>1.0000000000000009E-2</v>
      </c>
      <c r="Q194" s="4">
        <f t="shared" si="19"/>
        <v>-0.125</v>
      </c>
      <c r="R194" s="66">
        <f t="shared" si="20"/>
        <v>-1.797507788161988E-2</v>
      </c>
      <c r="S194" s="66">
        <f t="shared" si="21"/>
        <v>6.8691588785046762E-2</v>
      </c>
      <c r="T194" s="50" t="str">
        <f t="shared" si="22"/>
        <v/>
      </c>
      <c r="U194" s="50">
        <f t="shared" si="23"/>
        <v>1</v>
      </c>
    </row>
    <row r="195" spans="1:21" x14ac:dyDescent="0.2">
      <c r="A195" s="38">
        <v>33249</v>
      </c>
      <c r="B195" s="4">
        <v>0.22</v>
      </c>
      <c r="C195" s="4">
        <v>0.3</v>
      </c>
      <c r="D195" s="4">
        <v>0.48</v>
      </c>
      <c r="E195" s="50">
        <v>1</v>
      </c>
      <c r="F195" s="50">
        <v>0.24249999999999999</v>
      </c>
      <c r="G195" s="50">
        <v>-0.26</v>
      </c>
      <c r="H195" s="50">
        <v>0.38490743662900001</v>
      </c>
      <c r="I195" s="50">
        <v>0.48829287047999997</v>
      </c>
      <c r="J195" s="50">
        <v>0.28152200277799999</v>
      </c>
      <c r="K195" s="50">
        <v>315.44</v>
      </c>
      <c r="L195" s="50">
        <v>311.49</v>
      </c>
      <c r="M195" s="50">
        <v>315.23</v>
      </c>
      <c r="N195" s="66">
        <f t="shared" si="16"/>
        <v>5.3928877327665513E-2</v>
      </c>
      <c r="O195" s="66">
        <f t="shared" si="17"/>
        <v>0.13996129809980015</v>
      </c>
      <c r="P195" s="4">
        <f t="shared" si="18"/>
        <v>-0.26</v>
      </c>
      <c r="Q195" s="4">
        <f t="shared" si="19"/>
        <v>-0.17249999999999999</v>
      </c>
      <c r="R195" s="66">
        <f t="shared" si="20"/>
        <v>5.3928877327665513E-2</v>
      </c>
      <c r="S195" s="66">
        <f t="shared" si="21"/>
        <v>0.13996129809980015</v>
      </c>
      <c r="T195" s="50">
        <f t="shared" si="22"/>
        <v>1</v>
      </c>
      <c r="U195" s="50">
        <f t="shared" si="23"/>
        <v>1</v>
      </c>
    </row>
    <row r="196" spans="1:21" x14ac:dyDescent="0.2">
      <c r="A196" s="38">
        <v>33256</v>
      </c>
      <c r="B196" s="4">
        <v>0.22</v>
      </c>
      <c r="C196" s="4">
        <v>0.27</v>
      </c>
      <c r="D196" s="4">
        <v>0.51</v>
      </c>
      <c r="E196" s="50">
        <v>1</v>
      </c>
      <c r="F196" s="50">
        <v>0.25</v>
      </c>
      <c r="G196" s="50">
        <v>-0.28999999999999998</v>
      </c>
      <c r="H196" s="50">
        <v>0.38490743662900001</v>
      </c>
      <c r="I196" s="50">
        <v>0.48829287047999997</v>
      </c>
      <c r="J196" s="50">
        <v>0.28152200277799999</v>
      </c>
      <c r="K196" s="50">
        <v>332.23</v>
      </c>
      <c r="L196" s="50">
        <v>312.49</v>
      </c>
      <c r="M196" s="50">
        <v>332.23</v>
      </c>
      <c r="N196" s="66">
        <f t="shared" si="16"/>
        <v>1.1558257833428573E-2</v>
      </c>
      <c r="O196" s="66">
        <f t="shared" si="17"/>
        <v>0.11085693645968149</v>
      </c>
      <c r="P196" s="4">
        <f t="shared" si="18"/>
        <v>-0.29000000000000004</v>
      </c>
      <c r="Q196" s="4">
        <f t="shared" si="19"/>
        <v>-0.16000000000000003</v>
      </c>
      <c r="R196" s="66">
        <f t="shared" si="20"/>
        <v>1.1558257833428573E-2</v>
      </c>
      <c r="S196" s="66">
        <f t="shared" si="21"/>
        <v>0.11085693645968149</v>
      </c>
      <c r="T196" s="50">
        <f t="shared" si="22"/>
        <v>1</v>
      </c>
      <c r="U196" s="50">
        <f t="shared" si="23"/>
        <v>1</v>
      </c>
    </row>
    <row r="197" spans="1:21" x14ac:dyDescent="0.2">
      <c r="A197" s="38">
        <v>33263</v>
      </c>
      <c r="B197" s="4">
        <v>0.25</v>
      </c>
      <c r="C197" s="4">
        <v>0.25</v>
      </c>
      <c r="D197" s="4">
        <v>0.5</v>
      </c>
      <c r="E197" s="50">
        <v>1</v>
      </c>
      <c r="F197" s="50">
        <v>0.25374999999999998</v>
      </c>
      <c r="G197" s="50">
        <v>-0.25</v>
      </c>
      <c r="H197" s="50">
        <v>0.38490743662900001</v>
      </c>
      <c r="I197" s="50">
        <v>0.48829287047999997</v>
      </c>
      <c r="J197" s="50">
        <v>0.28152200277799999</v>
      </c>
      <c r="K197" s="50">
        <v>336.07</v>
      </c>
      <c r="L197" s="50">
        <v>328.31</v>
      </c>
      <c r="M197" s="50">
        <v>336.07</v>
      </c>
      <c r="N197" s="66">
        <f t="shared" si="16"/>
        <v>2.0769482548278689E-2</v>
      </c>
      <c r="O197" s="66">
        <f t="shared" si="17"/>
        <v>8.801737733210338E-2</v>
      </c>
      <c r="P197" s="4">
        <f t="shared" si="18"/>
        <v>-0.25</v>
      </c>
      <c r="Q197" s="4">
        <f t="shared" si="19"/>
        <v>-0.19750000000000001</v>
      </c>
      <c r="R197" s="66">
        <f t="shared" si="20"/>
        <v>2.0769482548278689E-2</v>
      </c>
      <c r="S197" s="66">
        <f t="shared" si="21"/>
        <v>8.801737733210338E-2</v>
      </c>
      <c r="T197" s="50">
        <f t="shared" si="22"/>
        <v>1</v>
      </c>
      <c r="U197" s="50">
        <f t="shared" si="23"/>
        <v>1</v>
      </c>
    </row>
    <row r="198" spans="1:21" x14ac:dyDescent="0.2">
      <c r="A198" s="38">
        <v>33270</v>
      </c>
      <c r="B198" s="4">
        <v>0.28999999999999998</v>
      </c>
      <c r="C198" s="4">
        <v>0.28999999999999998</v>
      </c>
      <c r="D198" s="4">
        <v>0.42</v>
      </c>
      <c r="E198" s="50">
        <v>1</v>
      </c>
      <c r="F198" s="50">
        <v>0.25750000000000001</v>
      </c>
      <c r="G198" s="50">
        <v>-0.13</v>
      </c>
      <c r="H198" s="50">
        <v>0.38490743662900001</v>
      </c>
      <c r="I198" s="50">
        <v>0.48829287047999997</v>
      </c>
      <c r="J198" s="50">
        <v>0.28152200277799999</v>
      </c>
      <c r="K198" s="50">
        <v>343.93</v>
      </c>
      <c r="L198" s="50">
        <v>335.84</v>
      </c>
      <c r="M198" s="50">
        <v>343.05</v>
      </c>
      <c r="N198" s="66">
        <f t="shared" si="16"/>
        <v>4.7514939513190531E-2</v>
      </c>
      <c r="O198" s="66">
        <f t="shared" si="17"/>
        <v>7.9784288004664056E-2</v>
      </c>
      <c r="P198" s="4">
        <f t="shared" si="18"/>
        <v>-0.13</v>
      </c>
      <c r="Q198" s="4">
        <f t="shared" si="19"/>
        <v>-0.23250000000000001</v>
      </c>
      <c r="R198" s="66">
        <f t="shared" si="20"/>
        <v>4.7514939513190531E-2</v>
      </c>
      <c r="S198" s="66">
        <f t="shared" si="21"/>
        <v>7.9784288004664056E-2</v>
      </c>
      <c r="T198" s="50">
        <f t="shared" si="22"/>
        <v>1</v>
      </c>
      <c r="U198" s="50">
        <f t="shared" si="23"/>
        <v>1</v>
      </c>
    </row>
    <row r="199" spans="1:21" x14ac:dyDescent="0.2">
      <c r="A199" s="38">
        <v>33277</v>
      </c>
      <c r="B199" s="4">
        <v>0.36</v>
      </c>
      <c r="C199" s="4">
        <v>0.28000000000000003</v>
      </c>
      <c r="D199" s="4">
        <v>0.36</v>
      </c>
      <c r="E199" s="50">
        <v>1</v>
      </c>
      <c r="F199" s="50">
        <v>0.26374999999999998</v>
      </c>
      <c r="G199" s="50">
        <v>0</v>
      </c>
      <c r="H199" s="50">
        <v>0.38490743662900001</v>
      </c>
      <c r="I199" s="50">
        <v>0.48829287047999997</v>
      </c>
      <c r="J199" s="50">
        <v>0.28152200277799999</v>
      </c>
      <c r="K199" s="50">
        <v>359.35</v>
      </c>
      <c r="L199" s="50">
        <v>343.05</v>
      </c>
      <c r="M199" s="50">
        <v>359.35</v>
      </c>
      <c r="N199" s="66">
        <f t="shared" si="16"/>
        <v>2.702101015722827E-2</v>
      </c>
      <c r="O199" s="66">
        <f t="shared" si="17"/>
        <v>4.341171559760669E-2</v>
      </c>
      <c r="P199" s="4">
        <f t="shared" si="18"/>
        <v>0</v>
      </c>
      <c r="Q199" s="4">
        <f t="shared" si="19"/>
        <v>-0.16750000000000001</v>
      </c>
      <c r="R199" s="66">
        <f t="shared" si="20"/>
        <v>2.702101015722827E-2</v>
      </c>
      <c r="S199" s="66">
        <f t="shared" si="21"/>
        <v>4.341171559760669E-2</v>
      </c>
      <c r="T199" s="50">
        <f t="shared" si="22"/>
        <v>1</v>
      </c>
      <c r="U199" s="50">
        <f t="shared" si="23"/>
        <v>1</v>
      </c>
    </row>
    <row r="200" spans="1:21" x14ac:dyDescent="0.2">
      <c r="A200" s="38">
        <v>33284</v>
      </c>
      <c r="B200" s="4">
        <v>0.46</v>
      </c>
      <c r="C200" s="4">
        <v>0.3</v>
      </c>
      <c r="D200" s="4">
        <v>0.24</v>
      </c>
      <c r="E200" s="50">
        <v>1</v>
      </c>
      <c r="F200" s="50">
        <v>0.30125000000000002</v>
      </c>
      <c r="G200" s="50">
        <v>0.22</v>
      </c>
      <c r="H200" s="50">
        <v>0.38490743662900001</v>
      </c>
      <c r="I200" s="50">
        <v>0.48829287047999997</v>
      </c>
      <c r="J200" s="50">
        <v>0.28152200277799999</v>
      </c>
      <c r="K200" s="50">
        <v>369.06</v>
      </c>
      <c r="L200" s="50">
        <v>359.35</v>
      </c>
      <c r="M200" s="50">
        <v>369.06</v>
      </c>
      <c r="N200" s="66">
        <f t="shared" si="16"/>
        <v>-9.239690023302511E-3</v>
      </c>
      <c r="O200" s="66">
        <f t="shared" si="17"/>
        <v>1.2274426922451559E-2</v>
      </c>
      <c r="P200" s="4">
        <f t="shared" si="18"/>
        <v>0.22000000000000003</v>
      </c>
      <c r="Q200" s="4">
        <f t="shared" si="19"/>
        <v>-3.9999999999999994E-2</v>
      </c>
      <c r="R200" s="66">
        <f t="shared" si="20"/>
        <v>-9.239690023302511E-3</v>
      </c>
      <c r="S200" s="66">
        <f t="shared" si="21"/>
        <v>1.2274426922451559E-2</v>
      </c>
      <c r="T200" s="50" t="str">
        <f t="shared" si="22"/>
        <v/>
      </c>
      <c r="U200" s="50">
        <f t="shared" si="23"/>
        <v>1</v>
      </c>
    </row>
    <row r="201" spans="1:21" x14ac:dyDescent="0.2">
      <c r="A201" s="38">
        <v>33291</v>
      </c>
      <c r="B201" s="4">
        <v>0.56999999999999995</v>
      </c>
      <c r="C201" s="4">
        <v>0.2</v>
      </c>
      <c r="D201" s="4">
        <v>0.23</v>
      </c>
      <c r="E201" s="50">
        <v>1</v>
      </c>
      <c r="F201" s="50">
        <v>0.33500000000000002</v>
      </c>
      <c r="G201" s="50">
        <v>0.34</v>
      </c>
      <c r="H201" s="50">
        <v>0.38490743662900001</v>
      </c>
      <c r="I201" s="50">
        <v>0.48829287047999997</v>
      </c>
      <c r="J201" s="50">
        <v>0.28152200277799999</v>
      </c>
      <c r="K201" s="50">
        <v>369.39</v>
      </c>
      <c r="L201" s="50">
        <v>365.14</v>
      </c>
      <c r="M201" s="50">
        <v>365.65</v>
      </c>
      <c r="N201" s="66">
        <f t="shared" si="16"/>
        <v>1.3045261862436862E-2</v>
      </c>
      <c r="O201" s="66">
        <f t="shared" si="17"/>
        <v>5.004785997538742E-3</v>
      </c>
      <c r="P201" s="4">
        <f t="shared" si="18"/>
        <v>0.33999999999999997</v>
      </c>
      <c r="Q201" s="4">
        <f t="shared" si="19"/>
        <v>0.1075</v>
      </c>
      <c r="R201" s="66">
        <f t="shared" si="20"/>
        <v>1.3045261862436862E-2</v>
      </c>
      <c r="S201" s="66">
        <f t="shared" si="21"/>
        <v>5.004785997538742E-3</v>
      </c>
      <c r="T201" s="50">
        <f t="shared" si="22"/>
        <v>1</v>
      </c>
      <c r="U201" s="50">
        <f t="shared" si="23"/>
        <v>1</v>
      </c>
    </row>
    <row r="202" spans="1:21" x14ac:dyDescent="0.2">
      <c r="A202" s="38">
        <v>33298</v>
      </c>
      <c r="B202" s="4">
        <v>0.5</v>
      </c>
      <c r="C202" s="4">
        <v>0.18</v>
      </c>
      <c r="D202" s="4">
        <v>0.32</v>
      </c>
      <c r="E202" s="50">
        <v>1</v>
      </c>
      <c r="F202" s="50">
        <v>0.35875000000000001</v>
      </c>
      <c r="G202" s="50">
        <v>0.18</v>
      </c>
      <c r="H202" s="50">
        <v>0.38490743662900001</v>
      </c>
      <c r="I202" s="50">
        <v>0.48829287047999997</v>
      </c>
      <c r="J202" s="50">
        <v>0.28152200277799999</v>
      </c>
      <c r="K202" s="50">
        <v>370.42</v>
      </c>
      <c r="L202" s="50">
        <v>362.81</v>
      </c>
      <c r="M202" s="50">
        <v>370.42</v>
      </c>
      <c r="N202" s="66">
        <f t="shared" si="16"/>
        <v>1.2229361265590337E-2</v>
      </c>
      <c r="O202" s="66">
        <f t="shared" si="17"/>
        <v>1.295826359267861E-2</v>
      </c>
      <c r="P202" s="4">
        <f t="shared" si="18"/>
        <v>0.18</v>
      </c>
      <c r="Q202" s="4">
        <f t="shared" si="19"/>
        <v>0.185</v>
      </c>
      <c r="R202" s="66">
        <f t="shared" si="20"/>
        <v>1.2229361265590337E-2</v>
      </c>
      <c r="S202" s="66">
        <f t="shared" si="21"/>
        <v>1.295826359267861E-2</v>
      </c>
      <c r="T202" s="50">
        <f t="shared" si="22"/>
        <v>1</v>
      </c>
      <c r="U202" s="50">
        <f t="shared" si="23"/>
        <v>1</v>
      </c>
    </row>
    <row r="203" spans="1:21" x14ac:dyDescent="0.2">
      <c r="A203" s="38">
        <v>33305</v>
      </c>
      <c r="B203" s="4">
        <v>0.5</v>
      </c>
      <c r="C203" s="4">
        <v>0.21</v>
      </c>
      <c r="D203" s="4">
        <v>0.28999999999999998</v>
      </c>
      <c r="E203" s="50">
        <v>1</v>
      </c>
      <c r="F203" s="50">
        <v>0.39374999999999999</v>
      </c>
      <c r="G203" s="50">
        <v>0.21</v>
      </c>
      <c r="H203" s="50">
        <v>0.38490743662900001</v>
      </c>
      <c r="I203" s="50">
        <v>0.48829287047999997</v>
      </c>
      <c r="J203" s="50">
        <v>0.28152200277799999</v>
      </c>
      <c r="K203" s="50">
        <v>376.72</v>
      </c>
      <c r="L203" s="50">
        <v>369.33</v>
      </c>
      <c r="M203" s="50">
        <v>374.95</v>
      </c>
      <c r="N203" s="66">
        <f t="shared" si="16"/>
        <v>-3.6271502867049306E-3</v>
      </c>
      <c r="O203" s="66">
        <f t="shared" si="17"/>
        <v>1.0934791305508068E-3</v>
      </c>
      <c r="P203" s="4">
        <f t="shared" si="18"/>
        <v>0.21000000000000002</v>
      </c>
      <c r="Q203" s="4">
        <f t="shared" si="19"/>
        <v>0.23749999999999999</v>
      </c>
      <c r="R203" s="66">
        <f t="shared" si="20"/>
        <v>-3.6271502867049306E-3</v>
      </c>
      <c r="S203" s="66">
        <f t="shared" si="21"/>
        <v>1.0934791305508068E-3</v>
      </c>
      <c r="T203" s="50" t="str">
        <f t="shared" si="22"/>
        <v/>
      </c>
      <c r="U203" s="50">
        <f t="shared" si="23"/>
        <v>1</v>
      </c>
    </row>
    <row r="204" spans="1:21" x14ac:dyDescent="0.2">
      <c r="A204" s="38">
        <v>33312</v>
      </c>
      <c r="B204" s="4">
        <v>0.55000000000000004</v>
      </c>
      <c r="C204" s="4">
        <v>0.22</v>
      </c>
      <c r="D204" s="4">
        <v>0.23</v>
      </c>
      <c r="E204" s="50">
        <v>1</v>
      </c>
      <c r="F204" s="50">
        <v>0.435</v>
      </c>
      <c r="G204" s="50">
        <v>0.32</v>
      </c>
      <c r="H204" s="50">
        <v>0.38490743662900001</v>
      </c>
      <c r="I204" s="50">
        <v>0.48829287047999997</v>
      </c>
      <c r="J204" s="50">
        <v>0.28152200277799999</v>
      </c>
      <c r="K204" s="50">
        <v>374.57</v>
      </c>
      <c r="L204" s="50">
        <v>370.03</v>
      </c>
      <c r="M204" s="50">
        <v>373.59</v>
      </c>
      <c r="N204" s="66">
        <f t="shared" si="16"/>
        <v>-1.6354827484675601E-2</v>
      </c>
      <c r="O204" s="66">
        <f t="shared" si="17"/>
        <v>1.8228539307797324E-2</v>
      </c>
      <c r="P204" s="4">
        <f t="shared" si="18"/>
        <v>0.32000000000000006</v>
      </c>
      <c r="Q204" s="4">
        <f t="shared" si="19"/>
        <v>0.26250000000000001</v>
      </c>
      <c r="R204" s="66">
        <f t="shared" si="20"/>
        <v>-1.6354827484675601E-2</v>
      </c>
      <c r="S204" s="66">
        <f t="shared" si="21"/>
        <v>1.8228539307797324E-2</v>
      </c>
      <c r="T204" s="50" t="str">
        <f t="shared" si="22"/>
        <v/>
      </c>
      <c r="U204" s="50">
        <f t="shared" si="23"/>
        <v>1</v>
      </c>
    </row>
    <row r="205" spans="1:21" x14ac:dyDescent="0.2">
      <c r="A205" s="38">
        <v>33319</v>
      </c>
      <c r="B205" s="4">
        <v>0.42</v>
      </c>
      <c r="C205" s="4">
        <v>0.31</v>
      </c>
      <c r="D205" s="4">
        <v>0.27</v>
      </c>
      <c r="E205" s="50">
        <v>1</v>
      </c>
      <c r="F205" s="50">
        <v>0.45624999999999999</v>
      </c>
      <c r="G205" s="50">
        <v>0.15</v>
      </c>
      <c r="H205" s="50">
        <v>0.38490743662900001</v>
      </c>
      <c r="I205" s="50">
        <v>0.48829287047999997</v>
      </c>
      <c r="J205" s="50">
        <v>0.28152200277799999</v>
      </c>
      <c r="K205" s="50">
        <v>372.11</v>
      </c>
      <c r="L205" s="50">
        <v>366.58</v>
      </c>
      <c r="M205" s="50">
        <v>367.48</v>
      </c>
      <c r="N205" s="66">
        <f t="shared" ref="N205:N268" si="24">(M206-M205)/M205</f>
        <v>2.1062370741264855E-2</v>
      </c>
      <c r="O205" s="66">
        <f t="shared" ref="O205:O268" si="25">(M209-M205)/M205</f>
        <v>4.5499074779579755E-2</v>
      </c>
      <c r="P205" s="4">
        <f t="shared" si="18"/>
        <v>0.14999999999999997</v>
      </c>
      <c r="Q205" s="4">
        <f t="shared" si="19"/>
        <v>0.21500000000000002</v>
      </c>
      <c r="R205" s="66">
        <f t="shared" si="20"/>
        <v>2.1062370741264855E-2</v>
      </c>
      <c r="S205" s="66">
        <f t="shared" si="21"/>
        <v>4.5499074779579755E-2</v>
      </c>
      <c r="T205" s="50">
        <f t="shared" si="22"/>
        <v>1</v>
      </c>
      <c r="U205" s="50">
        <f t="shared" si="23"/>
        <v>1</v>
      </c>
    </row>
    <row r="206" spans="1:21" x14ac:dyDescent="0.2">
      <c r="A206" s="38">
        <v>33326</v>
      </c>
      <c r="B206" s="4">
        <v>0.47</v>
      </c>
      <c r="C206" s="4">
        <v>0.28000000000000003</v>
      </c>
      <c r="D206" s="4">
        <v>0.25</v>
      </c>
      <c r="E206" s="50">
        <v>1</v>
      </c>
      <c r="F206" s="50">
        <v>0.47875000000000001</v>
      </c>
      <c r="G206" s="50">
        <v>0.22</v>
      </c>
      <c r="H206" s="50">
        <v>0.38490743662900001</v>
      </c>
      <c r="I206" s="50">
        <v>0.48829287047999997</v>
      </c>
      <c r="J206" s="50">
        <v>0.28152200277799999</v>
      </c>
      <c r="K206" s="50">
        <v>376.3</v>
      </c>
      <c r="L206" s="50">
        <v>369.83</v>
      </c>
      <c r="M206" s="50">
        <v>375.22</v>
      </c>
      <c r="N206" s="66">
        <f t="shared" si="24"/>
        <v>3.7311443952877337E-4</v>
      </c>
      <c r="O206" s="66">
        <f t="shared" si="25"/>
        <v>1.0127391930067571E-2</v>
      </c>
      <c r="P206" s="4">
        <f t="shared" ref="P206:P269" si="26">B206-D206</f>
        <v>0.21999999999999997</v>
      </c>
      <c r="Q206" s="4">
        <f t="shared" si="19"/>
        <v>0.22499999999999998</v>
      </c>
      <c r="R206" s="66">
        <f t="shared" si="20"/>
        <v>3.7311443952877337E-4</v>
      </c>
      <c r="S206" s="66">
        <f t="shared" si="21"/>
        <v>1.0127391930067571E-2</v>
      </c>
      <c r="T206" s="50">
        <f t="shared" si="22"/>
        <v>1</v>
      </c>
      <c r="U206" s="50">
        <f t="shared" si="23"/>
        <v>1</v>
      </c>
    </row>
    <row r="207" spans="1:21" x14ac:dyDescent="0.2">
      <c r="A207" s="38">
        <v>33333</v>
      </c>
      <c r="B207" s="4">
        <v>0.57999999999999996</v>
      </c>
      <c r="C207" s="4">
        <v>0.22</v>
      </c>
      <c r="D207" s="4">
        <v>0.2</v>
      </c>
      <c r="E207" s="50">
        <v>1</v>
      </c>
      <c r="F207" s="50">
        <v>0.50624999999999998</v>
      </c>
      <c r="G207" s="50">
        <v>0.38</v>
      </c>
      <c r="H207" s="50">
        <v>0.38490743662900001</v>
      </c>
      <c r="I207" s="50">
        <v>0.48829287047999997</v>
      </c>
      <c r="J207" s="50">
        <v>0.28152200277799999</v>
      </c>
      <c r="K207" s="50">
        <v>379.77</v>
      </c>
      <c r="L207" s="50">
        <v>371.3</v>
      </c>
      <c r="M207" s="50">
        <v>375.36</v>
      </c>
      <c r="N207" s="66">
        <f t="shared" si="24"/>
        <v>1.3427109974424456E-2</v>
      </c>
      <c r="O207" s="66">
        <f t="shared" si="25"/>
        <v>1.4492753623188399E-2</v>
      </c>
      <c r="P207" s="4">
        <f t="shared" si="26"/>
        <v>0.37999999999999995</v>
      </c>
      <c r="Q207" s="4">
        <f t="shared" si="19"/>
        <v>0.26749999999999996</v>
      </c>
      <c r="R207" s="66">
        <f t="shared" si="20"/>
        <v>1.3427109974424456E-2</v>
      </c>
      <c r="S207" s="66">
        <f t="shared" si="21"/>
        <v>1.4492753623188399E-2</v>
      </c>
      <c r="T207" s="50">
        <f t="shared" si="22"/>
        <v>1</v>
      </c>
      <c r="U207" s="50">
        <f t="shared" si="23"/>
        <v>1</v>
      </c>
    </row>
    <row r="208" spans="1:21" x14ac:dyDescent="0.2">
      <c r="A208" s="38">
        <v>33340</v>
      </c>
      <c r="B208" s="4">
        <v>0.43</v>
      </c>
      <c r="C208" s="4">
        <v>0.32</v>
      </c>
      <c r="D208" s="4">
        <v>0.25</v>
      </c>
      <c r="E208" s="50">
        <v>1</v>
      </c>
      <c r="F208" s="50">
        <v>0.50249999999999995</v>
      </c>
      <c r="G208" s="50">
        <v>0.18</v>
      </c>
      <c r="H208" s="50">
        <v>0.38490743662900001</v>
      </c>
      <c r="I208" s="50">
        <v>0.48829287047999997</v>
      </c>
      <c r="J208" s="50">
        <v>0.28152200277799999</v>
      </c>
      <c r="K208" s="50">
        <v>380.4</v>
      </c>
      <c r="L208" s="50">
        <v>373.15</v>
      </c>
      <c r="M208" s="50">
        <v>380.4</v>
      </c>
      <c r="N208" s="66">
        <f t="shared" si="24"/>
        <v>9.9894847528917228E-3</v>
      </c>
      <c r="O208" s="66">
        <f t="shared" si="25"/>
        <v>-1.2250262881177625E-2</v>
      </c>
      <c r="P208" s="4">
        <f t="shared" si="26"/>
        <v>0.18</v>
      </c>
      <c r="Q208" s="4">
        <f t="shared" si="19"/>
        <v>0.23249999999999998</v>
      </c>
      <c r="R208" s="66">
        <f t="shared" si="20"/>
        <v>9.9894847528917228E-3</v>
      </c>
      <c r="S208" s="66">
        <f t="shared" si="21"/>
        <v>-1.2250262881177625E-2</v>
      </c>
      <c r="T208" s="50">
        <f t="shared" si="22"/>
        <v>1</v>
      </c>
      <c r="U208" s="50" t="str">
        <f t="shared" si="23"/>
        <v/>
      </c>
    </row>
    <row r="209" spans="1:21" x14ac:dyDescent="0.2">
      <c r="A209" s="38">
        <v>33347</v>
      </c>
      <c r="B209" s="4">
        <v>0.39</v>
      </c>
      <c r="C209" s="4">
        <v>0.39</v>
      </c>
      <c r="D209" s="4">
        <v>0.22</v>
      </c>
      <c r="E209" s="50">
        <v>1</v>
      </c>
      <c r="F209" s="50">
        <v>0.48</v>
      </c>
      <c r="G209" s="50">
        <v>0.17</v>
      </c>
      <c r="H209" s="50">
        <v>0.38490743662900001</v>
      </c>
      <c r="I209" s="50">
        <v>0.48829287047999997</v>
      </c>
      <c r="J209" s="50">
        <v>0.28152200277799999</v>
      </c>
      <c r="K209" s="50">
        <v>390.45</v>
      </c>
      <c r="L209" s="50">
        <v>381.19</v>
      </c>
      <c r="M209" s="50">
        <v>384.2</v>
      </c>
      <c r="N209" s="66">
        <f t="shared" si="24"/>
        <v>-1.3482561166059363E-2</v>
      </c>
      <c r="O209" s="66">
        <f t="shared" si="25"/>
        <v>-3.0739198334200944E-2</v>
      </c>
      <c r="P209" s="4">
        <f t="shared" si="26"/>
        <v>0.17</v>
      </c>
      <c r="Q209" s="4">
        <f t="shared" ref="Q209:Q272" si="27">AVERAGE(P206:P209)</f>
        <v>0.23749999999999996</v>
      </c>
      <c r="R209" s="66">
        <f t="shared" ref="R209:R272" si="28">(M210-M209)/M209</f>
        <v>-1.3482561166059363E-2</v>
      </c>
      <c r="S209" s="66">
        <f t="shared" ref="S209:S272" si="29">(M213-M209)/M209</f>
        <v>-3.0739198334200944E-2</v>
      </c>
      <c r="T209" s="50" t="str">
        <f t="shared" ref="T209:T272" si="30">IF(R209&gt;0,1,"")</f>
        <v/>
      </c>
      <c r="U209" s="50" t="str">
        <f t="shared" ref="U209:U272" si="31">IF(S209&gt;0,1,"")</f>
        <v/>
      </c>
    </row>
    <row r="210" spans="1:21" x14ac:dyDescent="0.2">
      <c r="A210" s="38">
        <v>33354</v>
      </c>
      <c r="B210" s="4">
        <v>0.55000000000000004</v>
      </c>
      <c r="C210" s="4">
        <v>0.28000000000000003</v>
      </c>
      <c r="D210" s="4">
        <v>0.17</v>
      </c>
      <c r="E210" s="50">
        <v>1</v>
      </c>
      <c r="F210" s="50">
        <v>0.48625000000000002</v>
      </c>
      <c r="G210" s="50">
        <v>0.38</v>
      </c>
      <c r="H210" s="50">
        <v>0.38490743662900001</v>
      </c>
      <c r="I210" s="50">
        <v>0.48829287047999997</v>
      </c>
      <c r="J210" s="50">
        <v>0.28152200277799999</v>
      </c>
      <c r="K210" s="50">
        <v>382.76</v>
      </c>
      <c r="L210" s="50">
        <v>379.02</v>
      </c>
      <c r="M210" s="50">
        <v>379.02</v>
      </c>
      <c r="N210" s="66">
        <f t="shared" si="24"/>
        <v>4.696322093820985E-3</v>
      </c>
      <c r="O210" s="66">
        <f t="shared" si="25"/>
        <v>-4.0367262941268869E-3</v>
      </c>
      <c r="P210" s="4">
        <f t="shared" si="26"/>
        <v>0.38</v>
      </c>
      <c r="Q210" s="4">
        <f t="shared" si="27"/>
        <v>0.27749999999999997</v>
      </c>
      <c r="R210" s="66">
        <f t="shared" si="28"/>
        <v>4.696322093820985E-3</v>
      </c>
      <c r="S210" s="66">
        <f t="shared" si="29"/>
        <v>-4.0367262941268869E-3</v>
      </c>
      <c r="T210" s="50">
        <f t="shared" si="30"/>
        <v>1</v>
      </c>
      <c r="U210" s="50" t="str">
        <f t="shared" si="31"/>
        <v/>
      </c>
    </row>
    <row r="211" spans="1:21" x14ac:dyDescent="0.2">
      <c r="A211" s="38">
        <v>33361</v>
      </c>
      <c r="B211" s="4">
        <v>0.39</v>
      </c>
      <c r="C211" s="4">
        <v>0.33</v>
      </c>
      <c r="D211" s="4">
        <v>0.28000000000000003</v>
      </c>
      <c r="E211" s="50">
        <v>1</v>
      </c>
      <c r="F211" s="50">
        <v>0.47249999999999998</v>
      </c>
      <c r="G211" s="50">
        <v>0.11</v>
      </c>
      <c r="H211" s="50">
        <v>0.38490743662900001</v>
      </c>
      <c r="I211" s="50">
        <v>0.48829287047999997</v>
      </c>
      <c r="J211" s="50">
        <v>0.28152200277799999</v>
      </c>
      <c r="K211" s="50">
        <v>380.8</v>
      </c>
      <c r="L211" s="50">
        <v>373.66</v>
      </c>
      <c r="M211" s="50">
        <v>380.8</v>
      </c>
      <c r="N211" s="66">
        <f t="shared" si="24"/>
        <v>-1.3287815126050425E-2</v>
      </c>
      <c r="O211" s="66">
        <f t="shared" si="25"/>
        <v>2.3713235294117573E-2</v>
      </c>
      <c r="P211" s="4">
        <f t="shared" si="26"/>
        <v>0.10999999999999999</v>
      </c>
      <c r="Q211" s="4">
        <f t="shared" si="27"/>
        <v>0.21</v>
      </c>
      <c r="R211" s="66">
        <f t="shared" si="28"/>
        <v>-1.3287815126050425E-2</v>
      </c>
      <c r="S211" s="66">
        <f t="shared" si="29"/>
        <v>2.3713235294117573E-2</v>
      </c>
      <c r="T211" s="50" t="str">
        <f t="shared" si="30"/>
        <v/>
      </c>
      <c r="U211" s="50">
        <f t="shared" si="31"/>
        <v>1</v>
      </c>
    </row>
    <row r="212" spans="1:21" x14ac:dyDescent="0.2">
      <c r="A212" s="38">
        <v>33368</v>
      </c>
      <c r="B212" s="4">
        <v>0.38</v>
      </c>
      <c r="C212" s="4">
        <v>0.34</v>
      </c>
      <c r="D212" s="4">
        <v>0.28000000000000003</v>
      </c>
      <c r="E212" s="50">
        <v>1</v>
      </c>
      <c r="F212" s="50">
        <v>0.45124999999999998</v>
      </c>
      <c r="G212" s="50">
        <v>0.1</v>
      </c>
      <c r="H212" s="50">
        <v>0.38490743662900001</v>
      </c>
      <c r="I212" s="50">
        <v>0.48829287047999997</v>
      </c>
      <c r="J212" s="50">
        <v>0.28152200277799999</v>
      </c>
      <c r="K212" s="50">
        <v>383.25</v>
      </c>
      <c r="L212" s="50">
        <v>375.74</v>
      </c>
      <c r="M212" s="50">
        <v>375.74</v>
      </c>
      <c r="N212" s="66">
        <f t="shared" si="24"/>
        <v>-8.9157396071752344E-3</v>
      </c>
      <c r="O212" s="66">
        <f t="shared" si="25"/>
        <v>9.8206206419332448E-3</v>
      </c>
      <c r="P212" s="4">
        <f t="shared" si="26"/>
        <v>9.9999999999999978E-2</v>
      </c>
      <c r="Q212" s="4">
        <f t="shared" si="27"/>
        <v>0.19</v>
      </c>
      <c r="R212" s="66">
        <f t="shared" si="28"/>
        <v>-8.9157396071752344E-3</v>
      </c>
      <c r="S212" s="66">
        <f t="shared" si="29"/>
        <v>9.8206206419332448E-3</v>
      </c>
      <c r="T212" s="50" t="str">
        <f t="shared" si="30"/>
        <v/>
      </c>
      <c r="U212" s="50">
        <f t="shared" si="31"/>
        <v>1</v>
      </c>
    </row>
    <row r="213" spans="1:21" x14ac:dyDescent="0.2">
      <c r="A213" s="38">
        <v>33375</v>
      </c>
      <c r="B213" s="4">
        <v>0.42</v>
      </c>
      <c r="C213" s="4">
        <v>0.32</v>
      </c>
      <c r="D213" s="4">
        <v>0.26</v>
      </c>
      <c r="E213" s="50">
        <v>1</v>
      </c>
      <c r="F213" s="50">
        <v>0.45124999999999998</v>
      </c>
      <c r="G213" s="50">
        <v>0.16</v>
      </c>
      <c r="H213" s="50">
        <v>0.38490743662900001</v>
      </c>
      <c r="I213" s="50">
        <v>0.48829287047999997</v>
      </c>
      <c r="J213" s="50">
        <v>0.28152200277799999</v>
      </c>
      <c r="K213" s="50">
        <v>376.76</v>
      </c>
      <c r="L213" s="50">
        <v>368.57</v>
      </c>
      <c r="M213" s="50">
        <v>372.39</v>
      </c>
      <c r="N213" s="66">
        <f t="shared" si="24"/>
        <v>1.3695319423185432E-2</v>
      </c>
      <c r="O213" s="66">
        <f t="shared" si="25"/>
        <v>2.6585031821477575E-2</v>
      </c>
      <c r="P213" s="4">
        <f t="shared" si="26"/>
        <v>0.15999999999999998</v>
      </c>
      <c r="Q213" s="4">
        <f t="shared" si="27"/>
        <v>0.1875</v>
      </c>
      <c r="R213" s="66">
        <f t="shared" si="28"/>
        <v>1.3695319423185432E-2</v>
      </c>
      <c r="S213" s="66">
        <f t="shared" si="29"/>
        <v>2.6585031821477575E-2</v>
      </c>
      <c r="T213" s="50">
        <f t="shared" si="30"/>
        <v>1</v>
      </c>
      <c r="U213" s="50">
        <f t="shared" si="31"/>
        <v>1</v>
      </c>
    </row>
    <row r="214" spans="1:21" x14ac:dyDescent="0.2">
      <c r="A214" s="38">
        <v>33382</v>
      </c>
      <c r="B214" s="4">
        <v>0.38</v>
      </c>
      <c r="C214" s="4">
        <v>0.39</v>
      </c>
      <c r="D214" s="4">
        <v>0.23</v>
      </c>
      <c r="E214" s="50">
        <v>1</v>
      </c>
      <c r="F214" s="50">
        <v>0.44</v>
      </c>
      <c r="G214" s="50">
        <v>0.15</v>
      </c>
      <c r="H214" s="50">
        <v>0.38490743662900001</v>
      </c>
      <c r="I214" s="50">
        <v>0.48829287047999997</v>
      </c>
      <c r="J214" s="50">
        <v>0.28152200277799999</v>
      </c>
      <c r="K214" s="50">
        <v>377.49</v>
      </c>
      <c r="L214" s="50">
        <v>372.28</v>
      </c>
      <c r="M214" s="50">
        <v>377.49</v>
      </c>
      <c r="N214" s="66">
        <f t="shared" si="24"/>
        <v>3.2689607671726337E-2</v>
      </c>
      <c r="O214" s="66">
        <f t="shared" si="25"/>
        <v>6.8875996715142356E-4</v>
      </c>
      <c r="P214" s="4">
        <f t="shared" si="26"/>
        <v>0.15</v>
      </c>
      <c r="Q214" s="4">
        <f t="shared" si="27"/>
        <v>0.12999999999999998</v>
      </c>
      <c r="R214" s="66">
        <f t="shared" si="28"/>
        <v>3.2689607671726337E-2</v>
      </c>
      <c r="S214" s="66">
        <f t="shared" si="29"/>
        <v>6.8875996715142356E-4</v>
      </c>
      <c r="T214" s="50">
        <f t="shared" si="30"/>
        <v>1</v>
      </c>
      <c r="U214" s="50">
        <f t="shared" si="31"/>
        <v>1</v>
      </c>
    </row>
    <row r="215" spans="1:21" x14ac:dyDescent="0.2">
      <c r="A215" s="38">
        <v>33389</v>
      </c>
      <c r="B215" s="4">
        <v>0.42</v>
      </c>
      <c r="C215" s="4">
        <v>0.35</v>
      </c>
      <c r="D215" s="4">
        <v>0.23</v>
      </c>
      <c r="E215" s="50">
        <v>1</v>
      </c>
      <c r="F215" s="50">
        <v>0.42</v>
      </c>
      <c r="G215" s="50">
        <v>0.19</v>
      </c>
      <c r="H215" s="50">
        <v>0.38490743662900001</v>
      </c>
      <c r="I215" s="50">
        <v>0.48829287047999997</v>
      </c>
      <c r="J215" s="50">
        <v>0.28152200277799999</v>
      </c>
      <c r="K215" s="50">
        <v>389.83</v>
      </c>
      <c r="L215" s="50">
        <v>381.94</v>
      </c>
      <c r="M215" s="50">
        <v>389.83</v>
      </c>
      <c r="N215" s="66">
        <f t="shared" si="24"/>
        <v>-2.6678295667342117E-2</v>
      </c>
      <c r="O215" s="66">
        <f t="shared" si="25"/>
        <v>-4.7892671164353591E-2</v>
      </c>
      <c r="P215" s="4">
        <f t="shared" si="26"/>
        <v>0.18999999999999997</v>
      </c>
      <c r="Q215" s="4">
        <f t="shared" si="27"/>
        <v>0.14999999999999997</v>
      </c>
      <c r="R215" s="66">
        <f t="shared" si="28"/>
        <v>-2.6678295667342117E-2</v>
      </c>
      <c r="S215" s="66">
        <f t="shared" si="29"/>
        <v>-4.7892671164353591E-2</v>
      </c>
      <c r="T215" s="50" t="str">
        <f t="shared" si="30"/>
        <v/>
      </c>
      <c r="U215" s="50" t="str">
        <f t="shared" si="31"/>
        <v/>
      </c>
    </row>
    <row r="216" spans="1:21" x14ac:dyDescent="0.2">
      <c r="A216" s="38">
        <v>33396</v>
      </c>
      <c r="B216" s="4">
        <v>0.46</v>
      </c>
      <c r="C216" s="4">
        <v>0.37</v>
      </c>
      <c r="D216" s="4">
        <v>0.17</v>
      </c>
      <c r="E216" s="50">
        <v>1</v>
      </c>
      <c r="F216" s="50">
        <v>0.42375000000000002</v>
      </c>
      <c r="G216" s="50">
        <v>0.28999999999999998</v>
      </c>
      <c r="H216" s="50">
        <v>0.38490743662900001</v>
      </c>
      <c r="I216" s="50">
        <v>0.48829287047999997</v>
      </c>
      <c r="J216" s="50">
        <v>0.28152200277799999</v>
      </c>
      <c r="K216" s="50">
        <v>388.06</v>
      </c>
      <c r="L216" s="50">
        <v>383.63</v>
      </c>
      <c r="M216" s="50">
        <v>379.43</v>
      </c>
      <c r="N216" s="66">
        <f t="shared" si="24"/>
        <v>7.5376222228079317E-3</v>
      </c>
      <c r="O216" s="66">
        <f t="shared" si="25"/>
        <v>-1.4100097514693152E-2</v>
      </c>
      <c r="P216" s="4">
        <f t="shared" si="26"/>
        <v>0.29000000000000004</v>
      </c>
      <c r="Q216" s="4">
        <f t="shared" si="27"/>
        <v>0.19749999999999998</v>
      </c>
      <c r="R216" s="66">
        <f t="shared" si="28"/>
        <v>7.5376222228079317E-3</v>
      </c>
      <c r="S216" s="66">
        <f t="shared" si="29"/>
        <v>-1.4100097514693152E-2</v>
      </c>
      <c r="T216" s="50">
        <f t="shared" si="30"/>
        <v>1</v>
      </c>
      <c r="U216" s="50" t="str">
        <f t="shared" si="31"/>
        <v/>
      </c>
    </row>
    <row r="217" spans="1:21" x14ac:dyDescent="0.2">
      <c r="A217" s="38">
        <v>33403</v>
      </c>
      <c r="B217" s="4">
        <v>0.47</v>
      </c>
      <c r="C217" s="4">
        <v>0.31</v>
      </c>
      <c r="D217" s="4">
        <v>0.22</v>
      </c>
      <c r="E217" s="50">
        <v>1</v>
      </c>
      <c r="F217" s="50">
        <v>0.43375000000000002</v>
      </c>
      <c r="G217" s="50">
        <v>0.25</v>
      </c>
      <c r="H217" s="50">
        <v>0.38490743662900001</v>
      </c>
      <c r="I217" s="50">
        <v>0.48829287047999997</v>
      </c>
      <c r="J217" s="50">
        <v>0.28152200277799999</v>
      </c>
      <c r="K217" s="50">
        <v>382.29</v>
      </c>
      <c r="L217" s="50">
        <v>376.65</v>
      </c>
      <c r="M217" s="50">
        <v>382.29</v>
      </c>
      <c r="N217" s="66">
        <f t="shared" si="24"/>
        <v>-1.1875801093410814E-2</v>
      </c>
      <c r="O217" s="66">
        <f t="shared" si="25"/>
        <v>-5.3362630463784574E-3</v>
      </c>
      <c r="P217" s="4">
        <f t="shared" si="26"/>
        <v>0.24999999999999997</v>
      </c>
      <c r="Q217" s="4">
        <f t="shared" si="27"/>
        <v>0.22</v>
      </c>
      <c r="R217" s="66">
        <f t="shared" si="28"/>
        <v>-1.1875801093410814E-2</v>
      </c>
      <c r="S217" s="66">
        <f t="shared" si="29"/>
        <v>-5.3362630463784574E-3</v>
      </c>
      <c r="T217" s="50" t="str">
        <f t="shared" si="30"/>
        <v/>
      </c>
      <c r="U217" s="50" t="str">
        <f t="shared" si="31"/>
        <v/>
      </c>
    </row>
    <row r="218" spans="1:21" x14ac:dyDescent="0.2">
      <c r="A218" s="38">
        <v>33410</v>
      </c>
      <c r="B218" s="4">
        <v>0.44</v>
      </c>
      <c r="C218" s="4">
        <v>0.4</v>
      </c>
      <c r="D218" s="4">
        <v>0.16</v>
      </c>
      <c r="E218" s="50">
        <v>1</v>
      </c>
      <c r="F218" s="50">
        <v>0.42</v>
      </c>
      <c r="G218" s="50">
        <v>0.28000000000000003</v>
      </c>
      <c r="H218" s="50">
        <v>0.38490743662900001</v>
      </c>
      <c r="I218" s="50">
        <v>0.48829287047999997</v>
      </c>
      <c r="J218" s="50">
        <v>0.28152200277799999</v>
      </c>
      <c r="K218" s="50">
        <v>380.13</v>
      </c>
      <c r="L218" s="50">
        <v>375.09</v>
      </c>
      <c r="M218" s="50">
        <v>377.75</v>
      </c>
      <c r="N218" s="66">
        <f t="shared" si="24"/>
        <v>-1.7445400397087956E-2</v>
      </c>
      <c r="O218" s="66">
        <f t="shared" si="25"/>
        <v>1.7127729980145671E-2</v>
      </c>
      <c r="P218" s="4">
        <f t="shared" si="26"/>
        <v>0.28000000000000003</v>
      </c>
      <c r="Q218" s="4">
        <f t="shared" si="27"/>
        <v>0.2525</v>
      </c>
      <c r="R218" s="66">
        <f t="shared" si="28"/>
        <v>-1.7445400397087956E-2</v>
      </c>
      <c r="S218" s="66">
        <f t="shared" si="29"/>
        <v>1.7127729980145671E-2</v>
      </c>
      <c r="T218" s="50" t="str">
        <f t="shared" si="30"/>
        <v/>
      </c>
      <c r="U218" s="50">
        <f t="shared" si="31"/>
        <v>1</v>
      </c>
    </row>
    <row r="219" spans="1:21" x14ac:dyDescent="0.2">
      <c r="A219" s="38">
        <v>33417</v>
      </c>
      <c r="B219" s="4">
        <v>0.28000000000000003</v>
      </c>
      <c r="C219" s="4">
        <v>0.37</v>
      </c>
      <c r="D219" s="4">
        <v>0.35</v>
      </c>
      <c r="E219" s="50">
        <v>1</v>
      </c>
      <c r="F219" s="50">
        <v>0.40625</v>
      </c>
      <c r="G219" s="50">
        <v>-7.0000000000000007E-2</v>
      </c>
      <c r="H219" s="50">
        <v>0.38490743662900001</v>
      </c>
      <c r="I219" s="50">
        <v>0.48829287047999997</v>
      </c>
      <c r="J219" s="50">
        <v>0.28152200277799999</v>
      </c>
      <c r="K219" s="50">
        <v>374.4</v>
      </c>
      <c r="L219" s="50">
        <v>370.65</v>
      </c>
      <c r="M219" s="50">
        <v>371.16</v>
      </c>
      <c r="N219" s="66">
        <f t="shared" si="24"/>
        <v>7.8672270718826345E-3</v>
      </c>
      <c r="O219" s="66">
        <f t="shared" si="25"/>
        <v>2.6322879620648727E-2</v>
      </c>
      <c r="P219" s="4">
        <f t="shared" si="26"/>
        <v>-6.9999999999999951E-2</v>
      </c>
      <c r="Q219" s="4">
        <f t="shared" si="27"/>
        <v>0.18750000000000003</v>
      </c>
      <c r="R219" s="66">
        <f t="shared" si="28"/>
        <v>7.8672270718826345E-3</v>
      </c>
      <c r="S219" s="66">
        <f t="shared" si="29"/>
        <v>2.6322879620648727E-2</v>
      </c>
      <c r="T219" s="50">
        <f t="shared" si="30"/>
        <v>1</v>
      </c>
      <c r="U219" s="50">
        <f t="shared" si="31"/>
        <v>1</v>
      </c>
    </row>
    <row r="220" spans="1:21" x14ac:dyDescent="0.2">
      <c r="A220" s="38">
        <v>33422</v>
      </c>
      <c r="B220" s="4">
        <v>0.28000000000000003</v>
      </c>
      <c r="C220" s="4">
        <v>0.39</v>
      </c>
      <c r="D220" s="4">
        <v>0.33</v>
      </c>
      <c r="E220" s="50">
        <v>1</v>
      </c>
      <c r="F220" s="50">
        <v>0.39374999999999999</v>
      </c>
      <c r="G220" s="50">
        <v>-0.05</v>
      </c>
      <c r="H220" s="50">
        <v>0.38490743662900001</v>
      </c>
      <c r="I220" s="50">
        <v>0.48829287047999997</v>
      </c>
      <c r="J220" s="50">
        <v>0.28152200277799999</v>
      </c>
      <c r="K220" s="50">
        <v>377.92</v>
      </c>
      <c r="L220" s="50">
        <v>373.33</v>
      </c>
      <c r="M220" s="50">
        <v>374.08</v>
      </c>
      <c r="N220" s="66">
        <f t="shared" si="24"/>
        <v>1.6493798118049657E-2</v>
      </c>
      <c r="O220" s="66">
        <f t="shared" si="25"/>
        <v>3.5019247219846082E-2</v>
      </c>
      <c r="P220" s="4">
        <f t="shared" si="26"/>
        <v>-4.9999999999999989E-2</v>
      </c>
      <c r="Q220" s="4">
        <f t="shared" si="27"/>
        <v>0.10250000000000002</v>
      </c>
      <c r="R220" s="66">
        <f t="shared" si="28"/>
        <v>1.6493798118049657E-2</v>
      </c>
      <c r="S220" s="66">
        <f t="shared" si="29"/>
        <v>3.5019247219846082E-2</v>
      </c>
      <c r="T220" s="50">
        <f t="shared" si="30"/>
        <v>1</v>
      </c>
      <c r="U220" s="50">
        <f t="shared" si="31"/>
        <v>1</v>
      </c>
    </row>
    <row r="221" spans="1:21" x14ac:dyDescent="0.2">
      <c r="A221" s="38">
        <v>33431</v>
      </c>
      <c r="B221" s="4">
        <v>0.41</v>
      </c>
      <c r="C221" s="4">
        <v>0.39</v>
      </c>
      <c r="D221" s="4">
        <v>0.2</v>
      </c>
      <c r="E221" s="50">
        <v>1</v>
      </c>
      <c r="F221" s="50">
        <v>0.39250000000000002</v>
      </c>
      <c r="G221" s="50">
        <v>0.21</v>
      </c>
      <c r="H221" s="50">
        <v>0.38490743662900001</v>
      </c>
      <c r="I221" s="50">
        <v>0.48829287047999997</v>
      </c>
      <c r="J221" s="50">
        <v>0.28152200277799999</v>
      </c>
      <c r="K221" s="50">
        <v>380.25</v>
      </c>
      <c r="L221" s="50">
        <v>375.74</v>
      </c>
      <c r="M221" s="50">
        <v>380.25</v>
      </c>
      <c r="N221" s="66">
        <f t="shared" si="24"/>
        <v>1.0440499671268973E-2</v>
      </c>
      <c r="O221" s="66">
        <f t="shared" si="25"/>
        <v>1.8067061143984233E-2</v>
      </c>
      <c r="P221" s="4">
        <f t="shared" si="26"/>
        <v>0.20999999999999996</v>
      </c>
      <c r="Q221" s="4">
        <f t="shared" si="27"/>
        <v>9.2500000000000013E-2</v>
      </c>
      <c r="R221" s="66">
        <f t="shared" si="28"/>
        <v>1.0440499671268973E-2</v>
      </c>
      <c r="S221" s="66">
        <f t="shared" si="29"/>
        <v>1.8067061143984233E-2</v>
      </c>
      <c r="T221" s="50">
        <f t="shared" si="30"/>
        <v>1</v>
      </c>
      <c r="U221" s="50">
        <f t="shared" si="31"/>
        <v>1</v>
      </c>
    </row>
    <row r="222" spans="1:21" x14ac:dyDescent="0.2">
      <c r="A222" s="38">
        <v>33438</v>
      </c>
      <c r="B222" s="4">
        <v>0.27</v>
      </c>
      <c r="C222" s="4">
        <v>0.51</v>
      </c>
      <c r="D222" s="4">
        <v>0.22</v>
      </c>
      <c r="E222" s="50">
        <v>1</v>
      </c>
      <c r="F222" s="50">
        <v>0.37874999999999998</v>
      </c>
      <c r="G222" s="50">
        <v>0.05</v>
      </c>
      <c r="H222" s="50">
        <v>0.38490743662900001</v>
      </c>
      <c r="I222" s="50">
        <v>0.48829287047999997</v>
      </c>
      <c r="J222" s="50">
        <v>0.28152200277799999</v>
      </c>
      <c r="K222" s="50">
        <v>385.83</v>
      </c>
      <c r="L222" s="50">
        <v>380.25</v>
      </c>
      <c r="M222" s="50">
        <v>384.22</v>
      </c>
      <c r="N222" s="66">
        <f t="shared" si="24"/>
        <v>-8.5628025610327944E-3</v>
      </c>
      <c r="O222" s="66">
        <f t="shared" si="25"/>
        <v>3.5396387486334828E-3</v>
      </c>
      <c r="P222" s="4">
        <f t="shared" si="26"/>
        <v>5.0000000000000017E-2</v>
      </c>
      <c r="Q222" s="4">
        <f t="shared" si="27"/>
        <v>3.500000000000001E-2</v>
      </c>
      <c r="R222" s="66">
        <f t="shared" si="28"/>
        <v>-8.5628025610327944E-3</v>
      </c>
      <c r="S222" s="66">
        <f t="shared" si="29"/>
        <v>3.5396387486334828E-3</v>
      </c>
      <c r="T222" s="50" t="str">
        <f t="shared" si="30"/>
        <v/>
      </c>
      <c r="U222" s="50">
        <f t="shared" si="31"/>
        <v>1</v>
      </c>
    </row>
    <row r="223" spans="1:21" x14ac:dyDescent="0.2">
      <c r="A223" s="38">
        <v>33445</v>
      </c>
      <c r="B223" s="4">
        <v>0.35</v>
      </c>
      <c r="C223" s="4">
        <v>0.42</v>
      </c>
      <c r="D223" s="4">
        <v>0.23</v>
      </c>
      <c r="E223" s="50">
        <v>1</v>
      </c>
      <c r="F223" s="50">
        <v>0.37</v>
      </c>
      <c r="G223" s="50">
        <v>0.12</v>
      </c>
      <c r="H223" s="50">
        <v>0.38490743662900001</v>
      </c>
      <c r="I223" s="50">
        <v>0.48829287047999997</v>
      </c>
      <c r="J223" s="50">
        <v>0.28152200277799999</v>
      </c>
      <c r="K223" s="50">
        <v>384.86</v>
      </c>
      <c r="L223" s="50">
        <v>378.15</v>
      </c>
      <c r="M223" s="50">
        <v>380.93</v>
      </c>
      <c r="N223" s="66">
        <f t="shared" si="24"/>
        <v>1.6407213923818022E-2</v>
      </c>
      <c r="O223" s="66">
        <f t="shared" si="25"/>
        <v>3.4757041976216124E-2</v>
      </c>
      <c r="P223" s="4">
        <f t="shared" si="26"/>
        <v>0.11999999999999997</v>
      </c>
      <c r="Q223" s="4">
        <f t="shared" si="27"/>
        <v>8.249999999999999E-2</v>
      </c>
      <c r="R223" s="66">
        <f t="shared" si="28"/>
        <v>1.6407213923818022E-2</v>
      </c>
      <c r="S223" s="66">
        <f t="shared" si="29"/>
        <v>3.4757041976216124E-2</v>
      </c>
      <c r="T223" s="50">
        <f t="shared" si="30"/>
        <v>1</v>
      </c>
      <c r="U223" s="50">
        <f t="shared" si="31"/>
        <v>1</v>
      </c>
    </row>
    <row r="224" spans="1:21" x14ac:dyDescent="0.2">
      <c r="A224" s="38">
        <v>33452</v>
      </c>
      <c r="B224" s="4">
        <v>0.33</v>
      </c>
      <c r="C224" s="4">
        <v>0.36</v>
      </c>
      <c r="D224" s="4">
        <v>0.31</v>
      </c>
      <c r="E224" s="50">
        <v>1</v>
      </c>
      <c r="F224" s="50">
        <v>0.35375000000000001</v>
      </c>
      <c r="G224" s="50">
        <v>0.02</v>
      </c>
      <c r="H224" s="50">
        <v>0.38490743662900001</v>
      </c>
      <c r="I224" s="50">
        <v>0.48829287047999997</v>
      </c>
      <c r="J224" s="50">
        <v>0.28152200277799999</v>
      </c>
      <c r="K224" s="50">
        <v>389.56</v>
      </c>
      <c r="L224" s="50">
        <v>380.45</v>
      </c>
      <c r="M224" s="50">
        <v>387.18</v>
      </c>
      <c r="N224" s="66">
        <f t="shared" si="24"/>
        <v>-1.5496668216334074E-4</v>
      </c>
      <c r="O224" s="66">
        <f t="shared" si="25"/>
        <v>2.1307918797458546E-2</v>
      </c>
      <c r="P224" s="4">
        <f t="shared" si="26"/>
        <v>2.0000000000000018E-2</v>
      </c>
      <c r="Q224" s="4">
        <f t="shared" si="27"/>
        <v>0.1</v>
      </c>
      <c r="R224" s="66">
        <f t="shared" si="28"/>
        <v>-1.5496668216334074E-4</v>
      </c>
      <c r="S224" s="66">
        <f t="shared" si="29"/>
        <v>2.1307918797458546E-2</v>
      </c>
      <c r="T224" s="50" t="str">
        <f t="shared" si="30"/>
        <v/>
      </c>
      <c r="U224" s="50">
        <f t="shared" si="31"/>
        <v>1</v>
      </c>
    </row>
    <row r="225" spans="1:21" x14ac:dyDescent="0.2">
      <c r="A225" s="38">
        <v>33459</v>
      </c>
      <c r="B225" s="4">
        <v>0.26</v>
      </c>
      <c r="C225" s="4">
        <v>0.45</v>
      </c>
      <c r="D225" s="4">
        <v>0.28999999999999998</v>
      </c>
      <c r="E225" s="50">
        <v>1</v>
      </c>
      <c r="F225" s="50">
        <v>0.32750000000000001</v>
      </c>
      <c r="G225" s="50">
        <v>-0.03</v>
      </c>
      <c r="H225" s="50">
        <v>0.38490743662900001</v>
      </c>
      <c r="I225" s="50">
        <v>0.48829287047999997</v>
      </c>
      <c r="J225" s="50">
        <v>0.28152200277799999</v>
      </c>
      <c r="K225" s="50">
        <v>391.8</v>
      </c>
      <c r="L225" s="50">
        <v>384.29</v>
      </c>
      <c r="M225" s="50">
        <v>387.12</v>
      </c>
      <c r="N225" s="66">
        <f t="shared" si="24"/>
        <v>-3.978094647654527E-3</v>
      </c>
      <c r="O225" s="66">
        <f t="shared" si="25"/>
        <v>5.1146931184129418E-3</v>
      </c>
      <c r="P225" s="4">
        <f t="shared" si="26"/>
        <v>-2.9999999999999971E-2</v>
      </c>
      <c r="Q225" s="4">
        <f t="shared" si="27"/>
        <v>4.0000000000000008E-2</v>
      </c>
      <c r="R225" s="66">
        <f t="shared" si="28"/>
        <v>-3.978094647654527E-3</v>
      </c>
      <c r="S225" s="66">
        <f t="shared" si="29"/>
        <v>5.1146931184129418E-3</v>
      </c>
      <c r="T225" s="50" t="str">
        <f t="shared" si="30"/>
        <v/>
      </c>
      <c r="U225" s="50">
        <f t="shared" si="31"/>
        <v>1</v>
      </c>
    </row>
    <row r="226" spans="1:21" x14ac:dyDescent="0.2">
      <c r="A226" s="38">
        <v>33466</v>
      </c>
      <c r="B226" s="4">
        <v>0.37</v>
      </c>
      <c r="C226" s="4">
        <v>0.33</v>
      </c>
      <c r="D226" s="4">
        <v>0.3</v>
      </c>
      <c r="E226" s="50">
        <v>1</v>
      </c>
      <c r="F226" s="50">
        <v>0.31874999999999998</v>
      </c>
      <c r="G226" s="50">
        <v>7.0000000000000007E-2</v>
      </c>
      <c r="H226" s="50">
        <v>0.38490743662900001</v>
      </c>
      <c r="I226" s="50">
        <v>0.48829287047999997</v>
      </c>
      <c r="J226" s="50">
        <v>0.28152200277799999</v>
      </c>
      <c r="K226" s="50">
        <v>391.92</v>
      </c>
      <c r="L226" s="50">
        <v>382.59</v>
      </c>
      <c r="M226" s="50">
        <v>385.58</v>
      </c>
      <c r="N226" s="66">
        <f t="shared" si="24"/>
        <v>2.2278126458841311E-2</v>
      </c>
      <c r="O226" s="66">
        <f t="shared" si="25"/>
        <v>-5.1610560713730201E-3</v>
      </c>
      <c r="P226" s="4">
        <f t="shared" si="26"/>
        <v>7.0000000000000007E-2</v>
      </c>
      <c r="Q226" s="4">
        <f t="shared" si="27"/>
        <v>4.5000000000000005E-2</v>
      </c>
      <c r="R226" s="66">
        <f t="shared" si="28"/>
        <v>2.2278126458841311E-2</v>
      </c>
      <c r="S226" s="66">
        <f t="shared" si="29"/>
        <v>-5.1610560713730201E-3</v>
      </c>
      <c r="T226" s="50">
        <f t="shared" si="30"/>
        <v>1</v>
      </c>
      <c r="U226" s="50" t="str">
        <f t="shared" si="31"/>
        <v/>
      </c>
    </row>
    <row r="227" spans="1:21" x14ac:dyDescent="0.2">
      <c r="A227" s="38">
        <v>33473</v>
      </c>
      <c r="B227" s="4">
        <v>0.32</v>
      </c>
      <c r="C227" s="4">
        <v>0.36</v>
      </c>
      <c r="D227" s="4">
        <v>0.32</v>
      </c>
      <c r="E227" s="50">
        <v>1</v>
      </c>
      <c r="F227" s="50">
        <v>0.32374999999999998</v>
      </c>
      <c r="G227" s="50">
        <v>0</v>
      </c>
      <c r="H227" s="50">
        <v>0.38490743662900001</v>
      </c>
      <c r="I227" s="50">
        <v>0.48829287047999997</v>
      </c>
      <c r="J227" s="50">
        <v>0.28152200277799999</v>
      </c>
      <c r="K227" s="50">
        <v>395.34</v>
      </c>
      <c r="L227" s="50">
        <v>374.09</v>
      </c>
      <c r="M227" s="50">
        <v>394.17</v>
      </c>
      <c r="N227" s="66">
        <f t="shared" si="24"/>
        <v>3.1965903036760557E-3</v>
      </c>
      <c r="O227" s="66">
        <f t="shared" si="25"/>
        <v>-1.5856102696805947E-2</v>
      </c>
      <c r="P227" s="4">
        <f t="shared" si="26"/>
        <v>0</v>
      </c>
      <c r="Q227" s="4">
        <f t="shared" si="27"/>
        <v>1.5000000000000013E-2</v>
      </c>
      <c r="R227" s="66">
        <f t="shared" si="28"/>
        <v>3.1965903036760557E-3</v>
      </c>
      <c r="S227" s="66">
        <f t="shared" si="29"/>
        <v>-1.5856102696805947E-2</v>
      </c>
      <c r="T227" s="50">
        <f t="shared" si="30"/>
        <v>1</v>
      </c>
      <c r="U227" s="50" t="str">
        <f t="shared" si="31"/>
        <v/>
      </c>
    </row>
    <row r="228" spans="1:21" x14ac:dyDescent="0.2">
      <c r="A228" s="38">
        <v>33480</v>
      </c>
      <c r="B228" s="4">
        <v>0.41</v>
      </c>
      <c r="C228" s="4">
        <v>0.4</v>
      </c>
      <c r="D228" s="4">
        <v>0.19</v>
      </c>
      <c r="E228" s="50">
        <v>1</v>
      </c>
      <c r="F228" s="50">
        <v>0.34</v>
      </c>
      <c r="G228" s="50">
        <v>0.22</v>
      </c>
      <c r="H228" s="50">
        <v>0.38490743662900001</v>
      </c>
      <c r="I228" s="50">
        <v>0.48829287047999997</v>
      </c>
      <c r="J228" s="50">
        <v>0.28152200277799999</v>
      </c>
      <c r="K228" s="50">
        <v>396.82</v>
      </c>
      <c r="L228" s="50">
        <v>391.77</v>
      </c>
      <c r="M228" s="50">
        <v>395.43</v>
      </c>
      <c r="N228" s="66">
        <f t="shared" si="24"/>
        <v>-1.6007890144905505E-2</v>
      </c>
      <c r="O228" s="66">
        <f t="shared" si="25"/>
        <v>-2.4100346458285991E-2</v>
      </c>
      <c r="P228" s="4">
        <f t="shared" si="26"/>
        <v>0.21999999999999997</v>
      </c>
      <c r="Q228" s="4">
        <f t="shared" si="27"/>
        <v>6.5000000000000002E-2</v>
      </c>
      <c r="R228" s="66">
        <f t="shared" si="28"/>
        <v>-1.6007890144905505E-2</v>
      </c>
      <c r="S228" s="66">
        <f t="shared" si="29"/>
        <v>-2.4100346458285991E-2</v>
      </c>
      <c r="T228" s="50" t="str">
        <f t="shared" si="30"/>
        <v/>
      </c>
      <c r="U228" s="50" t="str">
        <f t="shared" si="31"/>
        <v/>
      </c>
    </row>
    <row r="229" spans="1:21" x14ac:dyDescent="0.2">
      <c r="A229" s="38">
        <v>33487</v>
      </c>
      <c r="B229" s="4">
        <v>0.36</v>
      </c>
      <c r="C229" s="4">
        <v>0.31</v>
      </c>
      <c r="D229" s="4">
        <v>0.33</v>
      </c>
      <c r="E229" s="50">
        <v>1</v>
      </c>
      <c r="F229" s="50">
        <v>0.33374999999999999</v>
      </c>
      <c r="G229" s="50">
        <v>0.03</v>
      </c>
      <c r="H229" s="50">
        <v>0.38490743662900001</v>
      </c>
      <c r="I229" s="50">
        <v>0.48829287047999997</v>
      </c>
      <c r="J229" s="50">
        <v>0.28152200277799999</v>
      </c>
      <c r="K229" s="50">
        <v>397.62</v>
      </c>
      <c r="L229" s="50">
        <v>387.36</v>
      </c>
      <c r="M229" s="50">
        <v>389.1</v>
      </c>
      <c r="N229" s="66">
        <f t="shared" si="24"/>
        <v>-1.4160884091493312E-2</v>
      </c>
      <c r="O229" s="66">
        <f t="shared" si="25"/>
        <v>-2.0200462606013912E-2</v>
      </c>
      <c r="P229" s="4">
        <f t="shared" si="26"/>
        <v>2.9999999999999971E-2</v>
      </c>
      <c r="Q229" s="4">
        <f t="shared" si="27"/>
        <v>7.9999999999999988E-2</v>
      </c>
      <c r="R229" s="66">
        <f t="shared" si="28"/>
        <v>-1.4160884091493312E-2</v>
      </c>
      <c r="S229" s="66">
        <f t="shared" si="29"/>
        <v>-2.0200462606013912E-2</v>
      </c>
      <c r="T229" s="50" t="str">
        <f t="shared" si="30"/>
        <v/>
      </c>
      <c r="U229" s="50" t="str">
        <f t="shared" si="31"/>
        <v/>
      </c>
    </row>
    <row r="230" spans="1:21" x14ac:dyDescent="0.2">
      <c r="A230" s="38">
        <v>33494</v>
      </c>
      <c r="B230" s="4">
        <v>0.43</v>
      </c>
      <c r="C230" s="4">
        <v>0.39</v>
      </c>
      <c r="D230" s="4">
        <v>0.18</v>
      </c>
      <c r="E230" s="50">
        <v>1</v>
      </c>
      <c r="F230" s="50">
        <v>0.35375000000000001</v>
      </c>
      <c r="G230" s="50">
        <v>0.25</v>
      </c>
      <c r="H230" s="50">
        <v>0.38490743662900001</v>
      </c>
      <c r="I230" s="50">
        <v>0.48829287047999997</v>
      </c>
      <c r="J230" s="50">
        <v>0.28152200277799999</v>
      </c>
      <c r="K230" s="50">
        <v>389.34</v>
      </c>
      <c r="L230" s="50">
        <v>382.85</v>
      </c>
      <c r="M230" s="50">
        <v>383.59</v>
      </c>
      <c r="N230" s="66">
        <f t="shared" si="24"/>
        <v>1.1288094058760764E-2</v>
      </c>
      <c r="O230" s="66">
        <f t="shared" si="25"/>
        <v>-5.5788732761541922E-3</v>
      </c>
      <c r="P230" s="4">
        <f t="shared" si="26"/>
        <v>0.25</v>
      </c>
      <c r="Q230" s="4">
        <f t="shared" si="27"/>
        <v>0.12499999999999999</v>
      </c>
      <c r="R230" s="66">
        <f t="shared" si="28"/>
        <v>1.1288094058760764E-2</v>
      </c>
      <c r="S230" s="66">
        <f t="shared" si="29"/>
        <v>-5.5788732761541922E-3</v>
      </c>
      <c r="T230" s="50">
        <f t="shared" si="30"/>
        <v>1</v>
      </c>
      <c r="U230" s="50" t="str">
        <f t="shared" si="31"/>
        <v/>
      </c>
    </row>
    <row r="231" spans="1:21" x14ac:dyDescent="0.2">
      <c r="A231" s="38">
        <v>33501</v>
      </c>
      <c r="B231" s="4">
        <v>0.32</v>
      </c>
      <c r="C231" s="4">
        <v>0.48</v>
      </c>
      <c r="D231" s="4">
        <v>0.2</v>
      </c>
      <c r="E231" s="50">
        <v>1</v>
      </c>
      <c r="F231" s="50">
        <v>0.35</v>
      </c>
      <c r="G231" s="50">
        <v>0.12</v>
      </c>
      <c r="H231" s="50">
        <v>0.38490743662900001</v>
      </c>
      <c r="I231" s="50">
        <v>0.48829287047999997</v>
      </c>
      <c r="J231" s="50">
        <v>0.28152200277799999</v>
      </c>
      <c r="K231" s="50">
        <v>389.42</v>
      </c>
      <c r="L231" s="50">
        <v>382.77</v>
      </c>
      <c r="M231" s="50">
        <v>387.92</v>
      </c>
      <c r="N231" s="66">
        <f t="shared" si="24"/>
        <v>-5.2072592287070495E-3</v>
      </c>
      <c r="O231" s="66">
        <f t="shared" si="25"/>
        <v>1.1806558053206805E-2</v>
      </c>
      <c r="P231" s="4">
        <f t="shared" si="26"/>
        <v>0.12</v>
      </c>
      <c r="Q231" s="4">
        <f t="shared" si="27"/>
        <v>0.15499999999999997</v>
      </c>
      <c r="R231" s="66">
        <f t="shared" si="28"/>
        <v>-5.2072592287070495E-3</v>
      </c>
      <c r="S231" s="66">
        <f t="shared" si="29"/>
        <v>1.1806558053206805E-2</v>
      </c>
      <c r="T231" s="50" t="str">
        <f t="shared" si="30"/>
        <v/>
      </c>
      <c r="U231" s="50">
        <f t="shared" si="31"/>
        <v>1</v>
      </c>
    </row>
    <row r="232" spans="1:21" x14ac:dyDescent="0.2">
      <c r="A232" s="38">
        <v>33508</v>
      </c>
      <c r="B232" s="4">
        <v>0.31</v>
      </c>
      <c r="C232" s="4">
        <v>0.38</v>
      </c>
      <c r="D232" s="4">
        <v>0.31</v>
      </c>
      <c r="E232" s="50">
        <v>1</v>
      </c>
      <c r="F232" s="50">
        <v>0.34749999999999998</v>
      </c>
      <c r="G232" s="50">
        <v>0</v>
      </c>
      <c r="H232" s="50">
        <v>0.38490743662900001</v>
      </c>
      <c r="I232" s="50">
        <v>0.48829287047999997</v>
      </c>
      <c r="J232" s="50">
        <v>0.28152200277799999</v>
      </c>
      <c r="K232" s="50">
        <v>389.09</v>
      </c>
      <c r="L232" s="50">
        <v>384.46</v>
      </c>
      <c r="M232" s="50">
        <v>385.9</v>
      </c>
      <c r="N232" s="66">
        <f t="shared" si="24"/>
        <v>-1.207566727131373E-2</v>
      </c>
      <c r="O232" s="66">
        <f t="shared" si="25"/>
        <v>-4.4052863436123057E-3</v>
      </c>
      <c r="P232" s="4">
        <f t="shared" si="26"/>
        <v>0</v>
      </c>
      <c r="Q232" s="4">
        <f t="shared" si="27"/>
        <v>9.9999999999999992E-2</v>
      </c>
      <c r="R232" s="66">
        <f t="shared" si="28"/>
        <v>-1.207566727131373E-2</v>
      </c>
      <c r="S232" s="66">
        <f t="shared" si="29"/>
        <v>-4.4052863436123057E-3</v>
      </c>
      <c r="T232" s="50" t="str">
        <f t="shared" si="30"/>
        <v/>
      </c>
      <c r="U232" s="50" t="str">
        <f t="shared" si="31"/>
        <v/>
      </c>
    </row>
    <row r="233" spans="1:21" x14ac:dyDescent="0.2">
      <c r="A233" s="38">
        <v>33515</v>
      </c>
      <c r="B233" s="4">
        <v>0.35</v>
      </c>
      <c r="C233" s="4">
        <v>0.3</v>
      </c>
      <c r="D233" s="4">
        <v>0.35</v>
      </c>
      <c r="E233" s="50">
        <v>1</v>
      </c>
      <c r="F233" s="50">
        <v>0.35875000000000001</v>
      </c>
      <c r="G233" s="50">
        <v>0</v>
      </c>
      <c r="H233" s="50">
        <v>0.38490743662900001</v>
      </c>
      <c r="I233" s="50">
        <v>0.48829287047999997</v>
      </c>
      <c r="J233" s="50">
        <v>0.28152200277799999</v>
      </c>
      <c r="K233" s="50">
        <v>390.03</v>
      </c>
      <c r="L233" s="50">
        <v>381.24</v>
      </c>
      <c r="M233" s="50">
        <v>381.24</v>
      </c>
      <c r="N233" s="66">
        <f t="shared" si="24"/>
        <v>5.5083412023916568E-4</v>
      </c>
      <c r="O233" s="66">
        <f t="shared" si="25"/>
        <v>2.6440037771482489E-2</v>
      </c>
      <c r="P233" s="4">
        <f t="shared" si="26"/>
        <v>0</v>
      </c>
      <c r="Q233" s="4">
        <f t="shared" si="27"/>
        <v>9.2499999999999999E-2</v>
      </c>
      <c r="R233" s="66">
        <f t="shared" si="28"/>
        <v>5.5083412023916568E-4</v>
      </c>
      <c r="S233" s="66">
        <f t="shared" si="29"/>
        <v>2.6440037771482489E-2</v>
      </c>
      <c r="T233" s="50">
        <f t="shared" si="30"/>
        <v>1</v>
      </c>
      <c r="U233" s="50">
        <f t="shared" si="31"/>
        <v>1</v>
      </c>
    </row>
    <row r="234" spans="1:21" x14ac:dyDescent="0.2">
      <c r="A234" s="38">
        <v>33522</v>
      </c>
      <c r="B234" s="4">
        <v>0.39</v>
      </c>
      <c r="C234" s="4">
        <v>0.37</v>
      </c>
      <c r="D234" s="4">
        <v>0.24</v>
      </c>
      <c r="E234" s="50">
        <v>1</v>
      </c>
      <c r="F234" s="50">
        <v>0.36125000000000002</v>
      </c>
      <c r="G234" s="50">
        <v>0.15</v>
      </c>
      <c r="H234" s="50">
        <v>0.38490743662900001</v>
      </c>
      <c r="I234" s="50">
        <v>0.48829287047999997</v>
      </c>
      <c r="J234" s="50">
        <v>0.28152200277799999</v>
      </c>
      <c r="K234" s="50">
        <v>381.46</v>
      </c>
      <c r="L234" s="50">
        <v>376.11</v>
      </c>
      <c r="M234" s="50">
        <v>381.45</v>
      </c>
      <c r="N234" s="66">
        <f t="shared" si="24"/>
        <v>2.8968410014418695E-2</v>
      </c>
      <c r="O234" s="66">
        <f t="shared" si="25"/>
        <v>2.999082448551579E-2</v>
      </c>
      <c r="P234" s="4">
        <f t="shared" si="26"/>
        <v>0.15000000000000002</v>
      </c>
      <c r="Q234" s="4">
        <f t="shared" si="27"/>
        <v>6.7500000000000004E-2</v>
      </c>
      <c r="R234" s="66">
        <f t="shared" si="28"/>
        <v>2.8968410014418695E-2</v>
      </c>
      <c r="S234" s="66">
        <f t="shared" si="29"/>
        <v>2.999082448551579E-2</v>
      </c>
      <c r="T234" s="50">
        <f t="shared" si="30"/>
        <v>1</v>
      </c>
      <c r="U234" s="50">
        <f t="shared" si="31"/>
        <v>1</v>
      </c>
    </row>
    <row r="235" spans="1:21" x14ac:dyDescent="0.2">
      <c r="A235" s="38">
        <v>33529</v>
      </c>
      <c r="B235" s="4">
        <v>0.3</v>
      </c>
      <c r="C235" s="4">
        <v>0.31</v>
      </c>
      <c r="D235" s="4">
        <v>0.39</v>
      </c>
      <c r="E235" s="50">
        <v>1</v>
      </c>
      <c r="F235" s="50">
        <v>0.35875000000000001</v>
      </c>
      <c r="G235" s="50">
        <v>-0.09</v>
      </c>
      <c r="H235" s="50">
        <v>0.38490743662900001</v>
      </c>
      <c r="I235" s="50">
        <v>0.48829287047999997</v>
      </c>
      <c r="J235" s="50">
        <v>0.28152200277799999</v>
      </c>
      <c r="K235" s="50">
        <v>393.81</v>
      </c>
      <c r="L235" s="50">
        <v>381.45</v>
      </c>
      <c r="M235" s="50">
        <v>392.5</v>
      </c>
      <c r="N235" s="66">
        <f t="shared" si="24"/>
        <v>-2.1146496815286655E-2</v>
      </c>
      <c r="O235" s="66">
        <f t="shared" si="25"/>
        <v>-2.5171974522292983E-2</v>
      </c>
      <c r="P235" s="4">
        <f t="shared" si="26"/>
        <v>-9.0000000000000024E-2</v>
      </c>
      <c r="Q235" s="4">
        <f t="shared" si="27"/>
        <v>1.4999999999999999E-2</v>
      </c>
      <c r="R235" s="66">
        <f t="shared" si="28"/>
        <v>-2.1146496815286655E-2</v>
      </c>
      <c r="S235" s="66">
        <f t="shared" si="29"/>
        <v>-2.5171974522292983E-2</v>
      </c>
      <c r="T235" s="50" t="str">
        <f t="shared" si="30"/>
        <v/>
      </c>
      <c r="U235" s="50" t="str">
        <f t="shared" si="31"/>
        <v/>
      </c>
    </row>
    <row r="236" spans="1:21" x14ac:dyDescent="0.2">
      <c r="A236" s="38">
        <v>33536</v>
      </c>
      <c r="B236" s="4">
        <v>0.31</v>
      </c>
      <c r="C236" s="4">
        <v>0.36</v>
      </c>
      <c r="D236" s="4">
        <v>0.33</v>
      </c>
      <c r="E236" s="50">
        <v>1</v>
      </c>
      <c r="F236" s="50">
        <v>0.34625</v>
      </c>
      <c r="G236" s="50">
        <v>-0.02</v>
      </c>
      <c r="H236" s="50">
        <v>0.38490743662900001</v>
      </c>
      <c r="I236" s="50">
        <v>0.48829287047999997</v>
      </c>
      <c r="J236" s="50">
        <v>0.28152200277799999</v>
      </c>
      <c r="K236" s="50">
        <v>392.5</v>
      </c>
      <c r="L236" s="50">
        <v>382.97</v>
      </c>
      <c r="M236" s="50">
        <v>384.2</v>
      </c>
      <c r="N236" s="66">
        <f t="shared" si="24"/>
        <v>1.8532014575741815E-2</v>
      </c>
      <c r="O236" s="66">
        <f t="shared" si="25"/>
        <v>-2.0978656949505473E-2</v>
      </c>
      <c r="P236" s="4">
        <f t="shared" si="26"/>
        <v>-2.0000000000000018E-2</v>
      </c>
      <c r="Q236" s="4">
        <f t="shared" si="27"/>
        <v>9.999999999999995E-3</v>
      </c>
      <c r="R236" s="66">
        <f t="shared" si="28"/>
        <v>1.8532014575741815E-2</v>
      </c>
      <c r="S236" s="66">
        <f t="shared" si="29"/>
        <v>-2.0978656949505473E-2</v>
      </c>
      <c r="T236" s="50">
        <f t="shared" si="30"/>
        <v>1</v>
      </c>
      <c r="U236" s="50" t="str">
        <f t="shared" si="31"/>
        <v/>
      </c>
    </row>
    <row r="237" spans="1:21" x14ac:dyDescent="0.2">
      <c r="A237" s="38">
        <v>33543</v>
      </c>
      <c r="B237" s="4">
        <v>0.52</v>
      </c>
      <c r="C237" s="4">
        <v>0.12</v>
      </c>
      <c r="D237" s="4">
        <v>0.36</v>
      </c>
      <c r="E237" s="50">
        <v>1</v>
      </c>
      <c r="F237" s="50">
        <v>0.36625000000000002</v>
      </c>
      <c r="G237" s="50">
        <v>0.16</v>
      </c>
      <c r="H237" s="50">
        <v>0.38490743662900001</v>
      </c>
      <c r="I237" s="50">
        <v>0.48829287047999997</v>
      </c>
      <c r="J237" s="50">
        <v>0.28152200277799999</v>
      </c>
      <c r="K237" s="50">
        <v>395.1</v>
      </c>
      <c r="L237" s="50">
        <v>384.2</v>
      </c>
      <c r="M237" s="50">
        <v>391.32</v>
      </c>
      <c r="N237" s="66">
        <f t="shared" si="24"/>
        <v>4.012061739752615E-3</v>
      </c>
      <c r="O237" s="66">
        <f t="shared" si="25"/>
        <v>-3.7744045793723764E-2</v>
      </c>
      <c r="P237" s="4">
        <f t="shared" si="26"/>
        <v>0.16000000000000003</v>
      </c>
      <c r="Q237" s="4">
        <f t="shared" si="27"/>
        <v>0.05</v>
      </c>
      <c r="R237" s="66">
        <f t="shared" si="28"/>
        <v>4.012061739752615E-3</v>
      </c>
      <c r="S237" s="66">
        <f t="shared" si="29"/>
        <v>-3.7744045793723764E-2</v>
      </c>
      <c r="T237" s="50">
        <f t="shared" si="30"/>
        <v>1</v>
      </c>
      <c r="U237" s="50" t="str">
        <f t="shared" si="31"/>
        <v/>
      </c>
    </row>
    <row r="238" spans="1:21" x14ac:dyDescent="0.2">
      <c r="A238" s="38">
        <v>33550</v>
      </c>
      <c r="B238" s="4">
        <v>0.32</v>
      </c>
      <c r="C238" s="4">
        <v>0.36</v>
      </c>
      <c r="D238" s="4">
        <v>0.32</v>
      </c>
      <c r="E238" s="50">
        <v>1</v>
      </c>
      <c r="F238" s="50">
        <v>0.35249999999999998</v>
      </c>
      <c r="G238" s="50">
        <v>0</v>
      </c>
      <c r="H238" s="50">
        <v>0.38490743662900001</v>
      </c>
      <c r="I238" s="50">
        <v>0.48829287047999997</v>
      </c>
      <c r="J238" s="50">
        <v>0.28152200277799999</v>
      </c>
      <c r="K238" s="50">
        <v>396.43</v>
      </c>
      <c r="L238" s="50">
        <v>388.09</v>
      </c>
      <c r="M238" s="50">
        <v>392.89</v>
      </c>
      <c r="N238" s="66">
        <f t="shared" si="24"/>
        <v>-2.6139631958054372E-2</v>
      </c>
      <c r="O238" s="66">
        <f t="shared" si="25"/>
        <v>-3.5098882638906474E-2</v>
      </c>
      <c r="P238" s="4">
        <f t="shared" si="26"/>
        <v>0</v>
      </c>
      <c r="Q238" s="4">
        <f t="shared" si="27"/>
        <v>1.2499999999999997E-2</v>
      </c>
      <c r="R238" s="66">
        <f t="shared" si="28"/>
        <v>-2.6139631958054372E-2</v>
      </c>
      <c r="S238" s="66">
        <f t="shared" si="29"/>
        <v>-3.5098882638906474E-2</v>
      </c>
      <c r="T238" s="50" t="str">
        <f t="shared" si="30"/>
        <v/>
      </c>
      <c r="U238" s="50" t="str">
        <f t="shared" si="31"/>
        <v/>
      </c>
    </row>
    <row r="239" spans="1:21" x14ac:dyDescent="0.2">
      <c r="A239" s="38">
        <v>33557</v>
      </c>
      <c r="B239" s="4">
        <v>0.38</v>
      </c>
      <c r="C239" s="4">
        <v>0.33</v>
      </c>
      <c r="D239" s="4">
        <v>0.28999999999999998</v>
      </c>
      <c r="E239" s="50">
        <v>1</v>
      </c>
      <c r="F239" s="50">
        <v>0.36</v>
      </c>
      <c r="G239" s="50">
        <v>0.09</v>
      </c>
      <c r="H239" s="50">
        <v>0.38490743662900001</v>
      </c>
      <c r="I239" s="50">
        <v>0.48829287047999997</v>
      </c>
      <c r="J239" s="50">
        <v>0.28152200277799999</v>
      </c>
      <c r="K239" s="50">
        <v>398.22</v>
      </c>
      <c r="L239" s="50">
        <v>382.62</v>
      </c>
      <c r="M239" s="50">
        <v>382.62</v>
      </c>
      <c r="N239" s="66">
        <f t="shared" si="24"/>
        <v>-1.6935863258585589E-2</v>
      </c>
      <c r="O239" s="66">
        <f t="shared" si="25"/>
        <v>4.8350844179604379E-3</v>
      </c>
      <c r="P239" s="4">
        <f t="shared" si="26"/>
        <v>9.0000000000000024E-2</v>
      </c>
      <c r="Q239" s="4">
        <f t="shared" si="27"/>
        <v>5.7500000000000009E-2</v>
      </c>
      <c r="R239" s="66">
        <f t="shared" si="28"/>
        <v>-1.6935863258585589E-2</v>
      </c>
      <c r="S239" s="66">
        <f t="shared" si="29"/>
        <v>4.8350844179604379E-3</v>
      </c>
      <c r="T239" s="50" t="str">
        <f t="shared" si="30"/>
        <v/>
      </c>
      <c r="U239" s="50">
        <f t="shared" si="31"/>
        <v>1</v>
      </c>
    </row>
    <row r="240" spans="1:21" x14ac:dyDescent="0.2">
      <c r="A240" s="38">
        <v>33564</v>
      </c>
      <c r="B240" s="4">
        <v>0.48</v>
      </c>
      <c r="C240" s="4">
        <v>0.32</v>
      </c>
      <c r="D240" s="4">
        <v>0.2</v>
      </c>
      <c r="E240" s="50">
        <v>1</v>
      </c>
      <c r="F240" s="50">
        <v>0.38124999999999998</v>
      </c>
      <c r="G240" s="50">
        <v>0.28000000000000003</v>
      </c>
      <c r="H240" s="50">
        <v>0.38490743662900001</v>
      </c>
      <c r="I240" s="50">
        <v>0.48829287047999997</v>
      </c>
      <c r="J240" s="50">
        <v>0.28152200277799999</v>
      </c>
      <c r="K240" s="50">
        <v>385.4</v>
      </c>
      <c r="L240" s="50">
        <v>374.52</v>
      </c>
      <c r="M240" s="50">
        <v>376.14</v>
      </c>
      <c r="N240" s="66">
        <f t="shared" si="24"/>
        <v>1.0900196735258813E-3</v>
      </c>
      <c r="O240" s="66">
        <f t="shared" si="25"/>
        <v>2.8978571808369318E-2</v>
      </c>
      <c r="P240" s="4">
        <f t="shared" si="26"/>
        <v>0.27999999999999997</v>
      </c>
      <c r="Q240" s="4">
        <f t="shared" si="27"/>
        <v>0.13250000000000001</v>
      </c>
      <c r="R240" s="66">
        <f t="shared" si="28"/>
        <v>1.0900196735258813E-3</v>
      </c>
      <c r="S240" s="66">
        <f t="shared" si="29"/>
        <v>2.8978571808369318E-2</v>
      </c>
      <c r="T240" s="50">
        <f t="shared" si="30"/>
        <v>1</v>
      </c>
      <c r="U240" s="50">
        <f t="shared" si="31"/>
        <v>1</v>
      </c>
    </row>
    <row r="241" spans="1:21" x14ac:dyDescent="0.2">
      <c r="A241" s="38">
        <v>33569</v>
      </c>
      <c r="B241" s="4">
        <v>0.33</v>
      </c>
      <c r="C241" s="4">
        <v>0.27</v>
      </c>
      <c r="D241" s="4">
        <v>0.4</v>
      </c>
      <c r="E241" s="50">
        <v>1</v>
      </c>
      <c r="F241" s="50">
        <v>0.37874999999999998</v>
      </c>
      <c r="G241" s="50">
        <v>-7.0000000000000007E-2</v>
      </c>
      <c r="H241" s="50">
        <v>0.38490743662900001</v>
      </c>
      <c r="I241" s="50">
        <v>0.48829287047999997</v>
      </c>
      <c r="J241" s="50">
        <v>0.28152200277799999</v>
      </c>
      <c r="K241" s="50">
        <v>378.11</v>
      </c>
      <c r="L241" s="50">
        <v>375.22</v>
      </c>
      <c r="M241" s="50">
        <v>376.55</v>
      </c>
      <c r="N241" s="66">
        <f t="shared" si="24"/>
        <v>6.7720090293454027E-3</v>
      </c>
      <c r="O241" s="66">
        <f t="shared" si="25"/>
        <v>7.9431682379497992E-2</v>
      </c>
      <c r="P241" s="4">
        <f t="shared" si="26"/>
        <v>-7.0000000000000007E-2</v>
      </c>
      <c r="Q241" s="4">
        <f t="shared" si="27"/>
        <v>7.4999999999999997E-2</v>
      </c>
      <c r="R241" s="66">
        <f t="shared" si="28"/>
        <v>6.7720090293454027E-3</v>
      </c>
      <c r="S241" s="66">
        <f t="shared" si="29"/>
        <v>7.9431682379497992E-2</v>
      </c>
      <c r="T241" s="50">
        <f t="shared" si="30"/>
        <v>1</v>
      </c>
      <c r="U241" s="50">
        <f t="shared" si="31"/>
        <v>1</v>
      </c>
    </row>
    <row r="242" spans="1:21" x14ac:dyDescent="0.2">
      <c r="A242" s="38">
        <v>33578</v>
      </c>
      <c r="B242" s="4">
        <v>0.23</v>
      </c>
      <c r="C242" s="4">
        <v>0.32</v>
      </c>
      <c r="D242" s="4">
        <v>0.45</v>
      </c>
      <c r="E242" s="50">
        <v>1</v>
      </c>
      <c r="F242" s="50">
        <v>0.35875000000000001</v>
      </c>
      <c r="G242" s="50">
        <v>-0.22</v>
      </c>
      <c r="H242" s="50">
        <v>0.38490743662900001</v>
      </c>
      <c r="I242" s="50">
        <v>0.48829287047999997</v>
      </c>
      <c r="J242" s="50">
        <v>0.28152200277799999</v>
      </c>
      <c r="K242" s="50">
        <v>382.39</v>
      </c>
      <c r="L242" s="50">
        <v>375.41</v>
      </c>
      <c r="M242" s="50">
        <v>379.1</v>
      </c>
      <c r="N242" s="66">
        <f t="shared" si="24"/>
        <v>1.4165127934581915E-2</v>
      </c>
      <c r="O242" s="66">
        <f t="shared" si="25"/>
        <v>0.10614613558427842</v>
      </c>
      <c r="P242" s="4">
        <f t="shared" si="26"/>
        <v>-0.22</v>
      </c>
      <c r="Q242" s="4">
        <f t="shared" si="27"/>
        <v>1.9999999999999997E-2</v>
      </c>
      <c r="R242" s="66">
        <f t="shared" si="28"/>
        <v>1.4165127934581915E-2</v>
      </c>
      <c r="S242" s="66">
        <f t="shared" si="29"/>
        <v>0.10614613558427842</v>
      </c>
      <c r="T242" s="50">
        <f t="shared" si="30"/>
        <v>1</v>
      </c>
      <c r="U242" s="50">
        <f t="shared" si="31"/>
        <v>1</v>
      </c>
    </row>
    <row r="243" spans="1:21" x14ac:dyDescent="0.2">
      <c r="A243" s="38">
        <v>33585</v>
      </c>
      <c r="B243" s="4">
        <v>0.33</v>
      </c>
      <c r="C243" s="4">
        <v>0.36</v>
      </c>
      <c r="D243" s="4">
        <v>0.31</v>
      </c>
      <c r="E243" s="50">
        <v>1</v>
      </c>
      <c r="F243" s="50">
        <v>0.36249999999999999</v>
      </c>
      <c r="G243" s="50">
        <v>0.02</v>
      </c>
      <c r="H243" s="50">
        <v>0.38490743662900001</v>
      </c>
      <c r="I243" s="50">
        <v>0.48829287047999997</v>
      </c>
      <c r="J243" s="50">
        <v>0.28152200277799999</v>
      </c>
      <c r="K243" s="50">
        <v>385.04</v>
      </c>
      <c r="L243" s="50">
        <v>374.78</v>
      </c>
      <c r="M243" s="50">
        <v>384.47</v>
      </c>
      <c r="N243" s="66">
        <f t="shared" si="24"/>
        <v>6.6845267511119024E-3</v>
      </c>
      <c r="O243" s="66">
        <f t="shared" si="25"/>
        <v>7.9668114547298857E-2</v>
      </c>
      <c r="P243" s="4">
        <f t="shared" si="26"/>
        <v>2.0000000000000018E-2</v>
      </c>
      <c r="Q243" s="4">
        <f t="shared" si="27"/>
        <v>2.4999999999999953E-3</v>
      </c>
      <c r="R243" s="66">
        <f t="shared" si="28"/>
        <v>6.6845267511119024E-3</v>
      </c>
      <c r="S243" s="66">
        <f t="shared" si="29"/>
        <v>7.9668114547298857E-2</v>
      </c>
      <c r="T243" s="50">
        <f t="shared" si="30"/>
        <v>1</v>
      </c>
      <c r="U243" s="50">
        <f t="shared" si="31"/>
        <v>1</v>
      </c>
    </row>
    <row r="244" spans="1:21" x14ac:dyDescent="0.2">
      <c r="A244" s="38">
        <v>33592</v>
      </c>
      <c r="B244" s="4">
        <v>0.36</v>
      </c>
      <c r="C244" s="4">
        <v>0.3</v>
      </c>
      <c r="D244" s="4">
        <v>0.34</v>
      </c>
      <c r="E244" s="50">
        <v>1</v>
      </c>
      <c r="F244" s="50">
        <v>0.36875000000000002</v>
      </c>
      <c r="G244" s="50">
        <v>0.02</v>
      </c>
      <c r="H244" s="50">
        <v>0.38490743662900001</v>
      </c>
      <c r="I244" s="50">
        <v>0.48829287047999997</v>
      </c>
      <c r="J244" s="50">
        <v>0.28152200277799999</v>
      </c>
      <c r="K244" s="50">
        <v>388.24</v>
      </c>
      <c r="L244" s="50">
        <v>380.64</v>
      </c>
      <c r="M244" s="50">
        <v>387.04</v>
      </c>
      <c r="N244" s="66">
        <f t="shared" si="24"/>
        <v>5.017569243489034E-2</v>
      </c>
      <c r="O244" s="66">
        <f t="shared" si="25"/>
        <v>8.2213724679619654E-2</v>
      </c>
      <c r="P244" s="4">
        <f t="shared" si="26"/>
        <v>1.9999999999999962E-2</v>
      </c>
      <c r="Q244" s="4">
        <f t="shared" si="27"/>
        <v>-6.2500000000000014E-2</v>
      </c>
      <c r="R244" s="66">
        <f t="shared" si="28"/>
        <v>5.017569243489034E-2</v>
      </c>
      <c r="S244" s="66">
        <f t="shared" si="29"/>
        <v>8.2213724679619654E-2</v>
      </c>
      <c r="T244" s="50">
        <f t="shared" si="30"/>
        <v>1</v>
      </c>
      <c r="U244" s="50">
        <f t="shared" si="31"/>
        <v>1</v>
      </c>
    </row>
    <row r="245" spans="1:21" x14ac:dyDescent="0.2">
      <c r="A245" s="38">
        <v>33599</v>
      </c>
      <c r="B245" s="4">
        <v>0.39</v>
      </c>
      <c r="C245" s="4">
        <v>0.28999999999999998</v>
      </c>
      <c r="D245" s="4">
        <v>0.32</v>
      </c>
      <c r="E245" s="50">
        <v>1</v>
      </c>
      <c r="F245" s="50">
        <v>0.35249999999999998</v>
      </c>
      <c r="G245" s="50">
        <v>7.0000000000000007E-2</v>
      </c>
      <c r="H245" s="50">
        <v>0.38490743662900001</v>
      </c>
      <c r="I245" s="50">
        <v>0.48829287047999997</v>
      </c>
      <c r="J245" s="50">
        <v>0.28152200277799999</v>
      </c>
      <c r="K245" s="50">
        <v>406.58</v>
      </c>
      <c r="L245" s="50">
        <v>386.96</v>
      </c>
      <c r="M245" s="50">
        <v>406.46</v>
      </c>
      <c r="N245" s="66">
        <f t="shared" si="24"/>
        <v>3.1688235004674499E-2</v>
      </c>
      <c r="O245" s="66">
        <f t="shared" si="25"/>
        <v>2.219160557004389E-2</v>
      </c>
      <c r="P245" s="4">
        <f t="shared" si="26"/>
        <v>7.0000000000000007E-2</v>
      </c>
      <c r="Q245" s="4">
        <f t="shared" si="27"/>
        <v>-2.7500000000000004E-2</v>
      </c>
      <c r="R245" s="66">
        <f t="shared" si="28"/>
        <v>3.1688235004674499E-2</v>
      </c>
      <c r="S245" s="66">
        <f t="shared" si="29"/>
        <v>2.219160557004389E-2</v>
      </c>
      <c r="T245" s="50">
        <f t="shared" si="30"/>
        <v>1</v>
      </c>
      <c r="U245" s="50">
        <f t="shared" si="31"/>
        <v>1</v>
      </c>
    </row>
    <row r="246" spans="1:21" x14ac:dyDescent="0.2">
      <c r="A246" s="38">
        <v>33606</v>
      </c>
      <c r="B246" s="4">
        <v>0.49</v>
      </c>
      <c r="C246" s="4">
        <v>0.2</v>
      </c>
      <c r="D246" s="4">
        <v>0.31</v>
      </c>
      <c r="E246" s="50">
        <v>1</v>
      </c>
      <c r="F246" s="50">
        <v>0.37375000000000003</v>
      </c>
      <c r="G246" s="50">
        <v>0.18</v>
      </c>
      <c r="H246" s="50">
        <v>0.38490743662900001</v>
      </c>
      <c r="I246" s="50">
        <v>0.48829287047999997</v>
      </c>
      <c r="J246" s="50">
        <v>0.28152200277799999</v>
      </c>
      <c r="K246" s="50">
        <v>419.79</v>
      </c>
      <c r="L246" s="50">
        <v>406.46</v>
      </c>
      <c r="M246" s="50">
        <v>419.34</v>
      </c>
      <c r="N246" s="66">
        <f t="shared" si="24"/>
        <v>-1.011112700910944E-2</v>
      </c>
      <c r="O246" s="66">
        <f t="shared" si="25"/>
        <v>-2.5158582534458806E-2</v>
      </c>
      <c r="P246" s="4">
        <f t="shared" si="26"/>
        <v>0.18</v>
      </c>
      <c r="Q246" s="4">
        <f t="shared" si="27"/>
        <v>7.2499999999999995E-2</v>
      </c>
      <c r="R246" s="66">
        <f t="shared" si="28"/>
        <v>-1.011112700910944E-2</v>
      </c>
      <c r="S246" s="66">
        <f t="shared" si="29"/>
        <v>-2.5158582534458806E-2</v>
      </c>
      <c r="T246" s="50" t="str">
        <f t="shared" si="30"/>
        <v/>
      </c>
      <c r="U246" s="50" t="str">
        <f t="shared" si="31"/>
        <v/>
      </c>
    </row>
    <row r="247" spans="1:21" x14ac:dyDescent="0.2">
      <c r="A247" s="38">
        <v>33613</v>
      </c>
      <c r="B247" s="4">
        <v>0.48</v>
      </c>
      <c r="C247" s="4">
        <v>0.27</v>
      </c>
      <c r="D247" s="4">
        <v>0.25</v>
      </c>
      <c r="E247" s="50">
        <v>1</v>
      </c>
      <c r="F247" s="50">
        <v>0.38624999999999998</v>
      </c>
      <c r="G247" s="50">
        <v>0.23</v>
      </c>
      <c r="H247" s="50">
        <v>0.38490743662900001</v>
      </c>
      <c r="I247" s="50">
        <v>0.48829287047999997</v>
      </c>
      <c r="J247" s="50">
        <v>0.28152200277799999</v>
      </c>
      <c r="K247" s="50">
        <v>420.5</v>
      </c>
      <c r="L247" s="50">
        <v>413.31</v>
      </c>
      <c r="M247" s="50">
        <v>415.1</v>
      </c>
      <c r="N247" s="66">
        <f t="shared" si="24"/>
        <v>9.058058299204988E-3</v>
      </c>
      <c r="O247" s="66">
        <f t="shared" si="25"/>
        <v>-9.6603228137799261E-3</v>
      </c>
      <c r="P247" s="4">
        <f t="shared" si="26"/>
        <v>0.22999999999999998</v>
      </c>
      <c r="Q247" s="4">
        <f t="shared" si="27"/>
        <v>0.12499999999999999</v>
      </c>
      <c r="R247" s="66">
        <f t="shared" si="28"/>
        <v>9.058058299204988E-3</v>
      </c>
      <c r="S247" s="66">
        <f t="shared" si="29"/>
        <v>-9.6603228137799261E-3</v>
      </c>
      <c r="T247" s="50">
        <f t="shared" si="30"/>
        <v>1</v>
      </c>
      <c r="U247" s="50" t="str">
        <f t="shared" si="31"/>
        <v/>
      </c>
    </row>
    <row r="248" spans="1:21" x14ac:dyDescent="0.2">
      <c r="A248" s="38">
        <v>33620</v>
      </c>
      <c r="B248" s="4">
        <v>0.51</v>
      </c>
      <c r="C248" s="4">
        <v>0.21</v>
      </c>
      <c r="D248" s="4">
        <v>0.28000000000000003</v>
      </c>
      <c r="E248" s="50">
        <v>1</v>
      </c>
      <c r="F248" s="50">
        <v>0.39</v>
      </c>
      <c r="G248" s="50">
        <v>0.23</v>
      </c>
      <c r="H248" s="50">
        <v>0.38490743662900001</v>
      </c>
      <c r="I248" s="50">
        <v>0.48829287047999997</v>
      </c>
      <c r="J248" s="50">
        <v>0.28152200277799999</v>
      </c>
      <c r="K248" s="50">
        <v>420.77</v>
      </c>
      <c r="L248" s="50">
        <v>414.34</v>
      </c>
      <c r="M248" s="50">
        <v>418.86</v>
      </c>
      <c r="N248" s="66">
        <f t="shared" si="24"/>
        <v>-8.0695220360024709E-3</v>
      </c>
      <c r="O248" s="66">
        <f t="shared" si="25"/>
        <v>-1.5231819701093432E-2</v>
      </c>
      <c r="P248" s="4">
        <f t="shared" si="26"/>
        <v>0.22999999999999998</v>
      </c>
      <c r="Q248" s="4">
        <f t="shared" si="27"/>
        <v>0.17749999999999999</v>
      </c>
      <c r="R248" s="66">
        <f t="shared" si="28"/>
        <v>-8.0695220360024709E-3</v>
      </c>
      <c r="S248" s="66">
        <f t="shared" si="29"/>
        <v>-1.5231819701093432E-2</v>
      </c>
      <c r="T248" s="50" t="str">
        <f t="shared" si="30"/>
        <v/>
      </c>
      <c r="U248" s="50" t="str">
        <f t="shared" si="31"/>
        <v/>
      </c>
    </row>
    <row r="249" spans="1:21" x14ac:dyDescent="0.2">
      <c r="A249" s="38">
        <v>33627</v>
      </c>
      <c r="B249" s="4">
        <v>0.46</v>
      </c>
      <c r="C249" s="4">
        <v>0.25</v>
      </c>
      <c r="D249" s="4">
        <v>0.28999999999999998</v>
      </c>
      <c r="E249" s="50">
        <v>1</v>
      </c>
      <c r="F249" s="50">
        <v>0.40625</v>
      </c>
      <c r="G249" s="50">
        <v>0.17</v>
      </c>
      <c r="H249" s="50">
        <v>0.38490743662900001</v>
      </c>
      <c r="I249" s="50">
        <v>0.48829287047999997</v>
      </c>
      <c r="J249" s="50">
        <v>0.28152200277799999</v>
      </c>
      <c r="K249" s="50">
        <v>418.13</v>
      </c>
      <c r="L249" s="50">
        <v>412.64</v>
      </c>
      <c r="M249" s="50">
        <v>415.48</v>
      </c>
      <c r="N249" s="66">
        <f t="shared" si="24"/>
        <v>-1.6101858091845569E-2</v>
      </c>
      <c r="O249" s="66">
        <f t="shared" si="25"/>
        <v>-9.6755559834409317E-3</v>
      </c>
      <c r="P249" s="4">
        <f t="shared" si="26"/>
        <v>0.17000000000000004</v>
      </c>
      <c r="Q249" s="4">
        <f t="shared" si="27"/>
        <v>0.20249999999999999</v>
      </c>
      <c r="R249" s="66">
        <f t="shared" si="28"/>
        <v>-1.6101858091845569E-2</v>
      </c>
      <c r="S249" s="66">
        <f t="shared" si="29"/>
        <v>-9.6755559834409317E-3</v>
      </c>
      <c r="T249" s="50" t="str">
        <f t="shared" si="30"/>
        <v/>
      </c>
      <c r="U249" s="50" t="str">
        <f t="shared" si="31"/>
        <v/>
      </c>
    </row>
    <row r="250" spans="1:21" x14ac:dyDescent="0.2">
      <c r="A250" s="38">
        <v>33634</v>
      </c>
      <c r="B250" s="4">
        <v>0.47</v>
      </c>
      <c r="C250" s="4">
        <v>0.26</v>
      </c>
      <c r="D250" s="4">
        <v>0.27</v>
      </c>
      <c r="E250" s="50">
        <v>1</v>
      </c>
      <c r="F250" s="50">
        <v>0.43625000000000003</v>
      </c>
      <c r="G250" s="50">
        <v>0.2</v>
      </c>
      <c r="H250" s="50">
        <v>0.38490743662900001</v>
      </c>
      <c r="I250" s="50">
        <v>0.48829287047999997</v>
      </c>
      <c r="J250" s="50">
        <v>0.28152200277799999</v>
      </c>
      <c r="K250" s="50">
        <v>410.34</v>
      </c>
      <c r="L250" s="50">
        <v>414.99</v>
      </c>
      <c r="M250" s="50">
        <v>408.79</v>
      </c>
      <c r="N250" s="66">
        <f t="shared" si="24"/>
        <v>5.6263607231095535E-3</v>
      </c>
      <c r="O250" s="66">
        <f t="shared" si="25"/>
        <v>9.5648132292863522E-3</v>
      </c>
      <c r="P250" s="4">
        <f t="shared" si="26"/>
        <v>0.19999999999999996</v>
      </c>
      <c r="Q250" s="4">
        <f t="shared" si="27"/>
        <v>0.20749999999999999</v>
      </c>
      <c r="R250" s="66">
        <f t="shared" si="28"/>
        <v>5.6263607231095535E-3</v>
      </c>
      <c r="S250" s="66">
        <f t="shared" si="29"/>
        <v>9.5648132292863522E-3</v>
      </c>
      <c r="T250" s="50">
        <f t="shared" si="30"/>
        <v>1</v>
      </c>
      <c r="U250" s="50">
        <f t="shared" si="31"/>
        <v>1</v>
      </c>
    </row>
    <row r="251" spans="1:21" x14ac:dyDescent="0.2">
      <c r="A251" s="38">
        <v>33641</v>
      </c>
      <c r="B251" s="4">
        <v>0.36</v>
      </c>
      <c r="C251" s="4">
        <v>0.39</v>
      </c>
      <c r="D251" s="4">
        <v>0.25</v>
      </c>
      <c r="E251" s="50">
        <v>1</v>
      </c>
      <c r="F251" s="50">
        <v>0.44</v>
      </c>
      <c r="G251" s="50">
        <v>0.11</v>
      </c>
      <c r="H251" s="50">
        <v>0.38490743662900001</v>
      </c>
      <c r="I251" s="50">
        <v>0.48829287047999997</v>
      </c>
      <c r="J251" s="50">
        <v>0.28152200277799999</v>
      </c>
      <c r="K251" s="50">
        <v>413.85</v>
      </c>
      <c r="L251" s="50">
        <v>409.53</v>
      </c>
      <c r="M251" s="50">
        <v>411.09</v>
      </c>
      <c r="N251" s="66">
        <f t="shared" si="24"/>
        <v>3.3812547130799659E-3</v>
      </c>
      <c r="O251" s="66">
        <f t="shared" si="25"/>
        <v>-1.6176506361137408E-2</v>
      </c>
      <c r="P251" s="4">
        <f t="shared" si="26"/>
        <v>0.10999999999999999</v>
      </c>
      <c r="Q251" s="4">
        <f t="shared" si="27"/>
        <v>0.17749999999999999</v>
      </c>
      <c r="R251" s="66">
        <f t="shared" si="28"/>
        <v>3.3812547130799659E-3</v>
      </c>
      <c r="S251" s="66">
        <f t="shared" si="29"/>
        <v>-1.6176506361137408E-2</v>
      </c>
      <c r="T251" s="50">
        <f t="shared" si="30"/>
        <v>1</v>
      </c>
      <c r="U251" s="50" t="str">
        <f t="shared" si="31"/>
        <v/>
      </c>
    </row>
    <row r="252" spans="1:21" x14ac:dyDescent="0.2">
      <c r="A252" s="38">
        <v>33648</v>
      </c>
      <c r="B252" s="4">
        <v>0.46</v>
      </c>
      <c r="C252" s="4">
        <v>0.28000000000000003</v>
      </c>
      <c r="D252" s="4">
        <v>0.26</v>
      </c>
      <c r="E252" s="50">
        <v>1</v>
      </c>
      <c r="F252" s="50">
        <v>0.45250000000000001</v>
      </c>
      <c r="G252" s="50">
        <v>0.2</v>
      </c>
      <c r="H252" s="50">
        <v>0.38490743662900001</v>
      </c>
      <c r="I252" s="50">
        <v>0.48829287047999997</v>
      </c>
      <c r="J252" s="50">
        <v>0.28152200277799999</v>
      </c>
      <c r="K252" s="50">
        <v>417.13</v>
      </c>
      <c r="L252" s="50">
        <v>413.69</v>
      </c>
      <c r="M252" s="50">
        <v>412.48</v>
      </c>
      <c r="N252" s="66">
        <f t="shared" si="24"/>
        <v>-2.4728471683476499E-3</v>
      </c>
      <c r="O252" s="66">
        <f t="shared" si="25"/>
        <v>-1.6097750193948903E-2</v>
      </c>
      <c r="P252" s="4">
        <f t="shared" si="26"/>
        <v>0.2</v>
      </c>
      <c r="Q252" s="4">
        <f t="shared" si="27"/>
        <v>0.16999999999999998</v>
      </c>
      <c r="R252" s="66">
        <f t="shared" si="28"/>
        <v>-2.4728471683476499E-3</v>
      </c>
      <c r="S252" s="66">
        <f t="shared" si="29"/>
        <v>-1.6097750193948903E-2</v>
      </c>
      <c r="T252" s="50" t="str">
        <f t="shared" si="30"/>
        <v/>
      </c>
      <c r="U252" s="50" t="str">
        <f t="shared" si="31"/>
        <v/>
      </c>
    </row>
    <row r="253" spans="1:21" x14ac:dyDescent="0.2">
      <c r="A253" s="38">
        <v>33655</v>
      </c>
      <c r="B253" s="4">
        <v>0.47</v>
      </c>
      <c r="C253" s="4">
        <v>0.25</v>
      </c>
      <c r="D253" s="4">
        <v>0.28000000000000003</v>
      </c>
      <c r="E253" s="50">
        <v>1</v>
      </c>
      <c r="F253" s="50">
        <v>0.46250000000000002</v>
      </c>
      <c r="G253" s="50">
        <v>0.19</v>
      </c>
      <c r="H253" s="50">
        <v>0.38490743662900001</v>
      </c>
      <c r="I253" s="50">
        <v>0.48829287047999997</v>
      </c>
      <c r="J253" s="50">
        <v>0.28152200277799999</v>
      </c>
      <c r="K253" s="50">
        <v>413.9</v>
      </c>
      <c r="L253" s="50">
        <v>407.38</v>
      </c>
      <c r="M253" s="50">
        <v>411.46</v>
      </c>
      <c r="N253" s="66">
        <f t="shared" si="24"/>
        <v>3.0136586788509436E-3</v>
      </c>
      <c r="O253" s="66">
        <f t="shared" si="25"/>
        <v>-3.8885918436778344E-4</v>
      </c>
      <c r="P253" s="4">
        <f t="shared" si="26"/>
        <v>0.18999999999999995</v>
      </c>
      <c r="Q253" s="4">
        <f t="shared" si="27"/>
        <v>0.17499999999999999</v>
      </c>
      <c r="R253" s="66">
        <f t="shared" si="28"/>
        <v>3.0136586788509436E-3</v>
      </c>
      <c r="S253" s="66">
        <f t="shared" si="29"/>
        <v>-3.8885918436778344E-4</v>
      </c>
      <c r="T253" s="50">
        <f t="shared" si="30"/>
        <v>1</v>
      </c>
      <c r="U253" s="50" t="str">
        <f t="shared" si="31"/>
        <v/>
      </c>
    </row>
    <row r="254" spans="1:21" x14ac:dyDescent="0.2">
      <c r="A254" s="38">
        <v>33662</v>
      </c>
      <c r="B254" s="4">
        <v>0.43</v>
      </c>
      <c r="C254" s="4">
        <v>0.36</v>
      </c>
      <c r="D254" s="4">
        <v>0.21</v>
      </c>
      <c r="E254" s="50">
        <v>1</v>
      </c>
      <c r="F254" s="50">
        <v>0.45500000000000002</v>
      </c>
      <c r="G254" s="50">
        <v>0.22</v>
      </c>
      <c r="H254" s="50">
        <v>0.38490743662900001</v>
      </c>
      <c r="I254" s="50">
        <v>0.48829287047999997</v>
      </c>
      <c r="J254" s="50">
        <v>0.28152200277799999</v>
      </c>
      <c r="K254" s="50">
        <v>416.07</v>
      </c>
      <c r="L254" s="50">
        <v>408.02</v>
      </c>
      <c r="M254" s="50">
        <v>412.7</v>
      </c>
      <c r="N254" s="66">
        <f t="shared" si="24"/>
        <v>-2.0014538405621497E-2</v>
      </c>
      <c r="O254" s="66">
        <f t="shared" si="25"/>
        <v>-2.229222195299246E-2</v>
      </c>
      <c r="P254" s="4">
        <f t="shared" si="26"/>
        <v>0.22</v>
      </c>
      <c r="Q254" s="4">
        <f t="shared" si="27"/>
        <v>0.18</v>
      </c>
      <c r="R254" s="66">
        <f t="shared" si="28"/>
        <v>-2.0014538405621497E-2</v>
      </c>
      <c r="S254" s="66">
        <f t="shared" si="29"/>
        <v>-2.229222195299246E-2</v>
      </c>
      <c r="T254" s="50" t="str">
        <f t="shared" si="30"/>
        <v/>
      </c>
      <c r="U254" s="50" t="str">
        <f t="shared" si="31"/>
        <v/>
      </c>
    </row>
    <row r="255" spans="1:21" x14ac:dyDescent="0.2">
      <c r="A255" s="38">
        <v>33669</v>
      </c>
      <c r="B255" s="4">
        <v>0.45</v>
      </c>
      <c r="C255" s="4">
        <v>0.28999999999999998</v>
      </c>
      <c r="D255" s="4">
        <v>0.26</v>
      </c>
      <c r="E255" s="50">
        <v>1</v>
      </c>
      <c r="F255" s="50">
        <v>0.45124999999999998</v>
      </c>
      <c r="G255" s="50">
        <v>0.19</v>
      </c>
      <c r="H255" s="50">
        <v>0.38490743662900001</v>
      </c>
      <c r="I255" s="50">
        <v>0.48829287047999997</v>
      </c>
      <c r="J255" s="50">
        <v>0.28152200277799999</v>
      </c>
      <c r="K255" s="50">
        <v>413.78</v>
      </c>
      <c r="L255" s="50">
        <v>403.65</v>
      </c>
      <c r="M255" s="50">
        <v>404.44</v>
      </c>
      <c r="N255" s="66">
        <f t="shared" si="24"/>
        <v>3.4615765008406125E-3</v>
      </c>
      <c r="O255" s="66">
        <f t="shared" si="25"/>
        <v>-7.1456829195924894E-3</v>
      </c>
      <c r="P255" s="4">
        <f t="shared" si="26"/>
        <v>0.19</v>
      </c>
      <c r="Q255" s="4">
        <f t="shared" si="27"/>
        <v>0.2</v>
      </c>
      <c r="R255" s="66">
        <f t="shared" si="28"/>
        <v>3.4615765008406125E-3</v>
      </c>
      <c r="S255" s="66">
        <f t="shared" si="29"/>
        <v>-7.1456829195924894E-3</v>
      </c>
      <c r="T255" s="50">
        <f t="shared" si="30"/>
        <v>1</v>
      </c>
      <c r="U255" s="50" t="str">
        <f t="shared" si="31"/>
        <v/>
      </c>
    </row>
    <row r="256" spans="1:21" x14ac:dyDescent="0.2">
      <c r="A256" s="38">
        <v>33676</v>
      </c>
      <c r="B256" s="4">
        <v>0.38</v>
      </c>
      <c r="C256" s="4">
        <v>0.35</v>
      </c>
      <c r="D256" s="4">
        <v>0.27</v>
      </c>
      <c r="E256" s="50">
        <v>1</v>
      </c>
      <c r="F256" s="50">
        <v>0.435</v>
      </c>
      <c r="G256" s="50">
        <v>0.11</v>
      </c>
      <c r="H256" s="50">
        <v>0.38490743662900001</v>
      </c>
      <c r="I256" s="50">
        <v>0.48829287047999997</v>
      </c>
      <c r="J256" s="50">
        <v>0.28152200277799999</v>
      </c>
      <c r="K256" s="50">
        <v>409.16</v>
      </c>
      <c r="L256" s="50">
        <v>404.72</v>
      </c>
      <c r="M256" s="50">
        <v>405.84</v>
      </c>
      <c r="N256" s="66">
        <f t="shared" si="24"/>
        <v>1.3453577764636401E-2</v>
      </c>
      <c r="O256" s="66">
        <f t="shared" si="25"/>
        <v>-3.8192391090083643E-3</v>
      </c>
      <c r="P256" s="4">
        <f t="shared" si="26"/>
        <v>0.10999999999999999</v>
      </c>
      <c r="Q256" s="4">
        <f t="shared" si="27"/>
        <v>0.17749999999999996</v>
      </c>
      <c r="R256" s="66">
        <f t="shared" si="28"/>
        <v>1.3453577764636401E-2</v>
      </c>
      <c r="S256" s="66">
        <f t="shared" si="29"/>
        <v>-3.8192391090083643E-3</v>
      </c>
      <c r="T256" s="50">
        <f t="shared" si="30"/>
        <v>1</v>
      </c>
      <c r="U256" s="50" t="str">
        <f t="shared" si="31"/>
        <v/>
      </c>
    </row>
    <row r="257" spans="1:21" x14ac:dyDescent="0.2">
      <c r="A257" s="38">
        <v>33683</v>
      </c>
      <c r="B257" s="4">
        <v>0.48</v>
      </c>
      <c r="C257" s="4">
        <v>0.28999999999999998</v>
      </c>
      <c r="D257" s="4">
        <v>0.23</v>
      </c>
      <c r="E257" s="50">
        <v>1</v>
      </c>
      <c r="F257" s="50">
        <v>0.4375</v>
      </c>
      <c r="G257" s="50">
        <v>0.25</v>
      </c>
      <c r="H257" s="50">
        <v>0.38490743662900001</v>
      </c>
      <c r="I257" s="50">
        <v>0.48829287047999997</v>
      </c>
      <c r="J257" s="50">
        <v>0.28152200277799999</v>
      </c>
      <c r="K257" s="50">
        <v>411.3</v>
      </c>
      <c r="L257" s="50">
        <v>406.39</v>
      </c>
      <c r="M257" s="50">
        <v>411.3</v>
      </c>
      <c r="N257" s="66">
        <f t="shared" si="24"/>
        <v>-1.8964259664478511E-2</v>
      </c>
      <c r="O257" s="66">
        <f t="shared" si="25"/>
        <v>1.1548747872599076E-2</v>
      </c>
      <c r="P257" s="4">
        <f t="shared" si="26"/>
        <v>0.24999999999999997</v>
      </c>
      <c r="Q257" s="4">
        <f t="shared" si="27"/>
        <v>0.1925</v>
      </c>
      <c r="R257" s="66">
        <f t="shared" si="28"/>
        <v>-1.8964259664478511E-2</v>
      </c>
      <c r="S257" s="66">
        <f t="shared" si="29"/>
        <v>1.1548747872599076E-2</v>
      </c>
      <c r="T257" s="50" t="str">
        <f t="shared" si="30"/>
        <v/>
      </c>
      <c r="U257" s="50">
        <f t="shared" si="31"/>
        <v>1</v>
      </c>
    </row>
    <row r="258" spans="1:21" x14ac:dyDescent="0.2">
      <c r="A258" s="38">
        <v>33690</v>
      </c>
      <c r="B258" s="4">
        <v>0.43</v>
      </c>
      <c r="C258" s="4">
        <v>0.35</v>
      </c>
      <c r="D258" s="4">
        <v>0.22</v>
      </c>
      <c r="E258" s="50">
        <v>1</v>
      </c>
      <c r="F258" s="50">
        <v>0.4325</v>
      </c>
      <c r="G258" s="50">
        <v>0.21</v>
      </c>
      <c r="H258" s="50">
        <v>0.38490743662900001</v>
      </c>
      <c r="I258" s="50">
        <v>0.48829287047999997</v>
      </c>
      <c r="J258" s="50">
        <v>0.28152200277799999</v>
      </c>
      <c r="K258" s="50">
        <v>409.91</v>
      </c>
      <c r="L258" s="50">
        <v>403.5</v>
      </c>
      <c r="M258" s="50">
        <v>403.5</v>
      </c>
      <c r="N258" s="66">
        <f t="shared" si="24"/>
        <v>-4.8327137546468118E-3</v>
      </c>
      <c r="O258" s="66">
        <f t="shared" si="25"/>
        <v>1.3680297397769471E-2</v>
      </c>
      <c r="P258" s="4">
        <f t="shared" si="26"/>
        <v>0.21</v>
      </c>
      <c r="Q258" s="4">
        <f t="shared" si="27"/>
        <v>0.18999999999999997</v>
      </c>
      <c r="R258" s="66">
        <f t="shared" si="28"/>
        <v>-4.8327137546468118E-3</v>
      </c>
      <c r="S258" s="66">
        <f t="shared" si="29"/>
        <v>1.3680297397769471E-2</v>
      </c>
      <c r="T258" s="50" t="str">
        <f t="shared" si="30"/>
        <v/>
      </c>
      <c r="U258" s="50">
        <f t="shared" si="31"/>
        <v>1</v>
      </c>
    </row>
    <row r="259" spans="1:21" x14ac:dyDescent="0.2">
      <c r="A259" s="38">
        <v>33697</v>
      </c>
      <c r="B259" s="4">
        <v>0.35</v>
      </c>
      <c r="C259" s="4">
        <v>0.42</v>
      </c>
      <c r="D259" s="4">
        <v>0.23</v>
      </c>
      <c r="E259" s="50">
        <v>1</v>
      </c>
      <c r="F259" s="50">
        <v>0.43125000000000002</v>
      </c>
      <c r="G259" s="50">
        <v>0.12</v>
      </c>
      <c r="H259" s="50">
        <v>0.38490743662900001</v>
      </c>
      <c r="I259" s="50">
        <v>0.48829287047999997</v>
      </c>
      <c r="J259" s="50">
        <v>0.28152200277799999</v>
      </c>
      <c r="K259" s="50">
        <v>404.23</v>
      </c>
      <c r="L259" s="50">
        <v>400.5</v>
      </c>
      <c r="M259" s="50">
        <v>401.55</v>
      </c>
      <c r="N259" s="66">
        <f t="shared" si="24"/>
        <v>6.8235587099987772E-3</v>
      </c>
      <c r="O259" s="66">
        <f t="shared" si="25"/>
        <v>2.7344041837878124E-2</v>
      </c>
      <c r="P259" s="4">
        <f t="shared" si="26"/>
        <v>0.11999999999999997</v>
      </c>
      <c r="Q259" s="4">
        <f t="shared" si="27"/>
        <v>0.17249999999999999</v>
      </c>
      <c r="R259" s="66">
        <f t="shared" si="28"/>
        <v>6.8235587099987772E-3</v>
      </c>
      <c r="S259" s="66">
        <f t="shared" si="29"/>
        <v>2.7344041837878124E-2</v>
      </c>
      <c r="T259" s="50">
        <f t="shared" si="30"/>
        <v>1</v>
      </c>
      <c r="U259" s="50">
        <f t="shared" si="31"/>
        <v>1</v>
      </c>
    </row>
    <row r="260" spans="1:21" x14ac:dyDescent="0.2">
      <c r="A260" s="38">
        <v>33704</v>
      </c>
      <c r="B260" s="4">
        <v>0.43</v>
      </c>
      <c r="C260" s="4">
        <v>0.27</v>
      </c>
      <c r="D260" s="4">
        <v>0.3</v>
      </c>
      <c r="E260" s="50">
        <v>1</v>
      </c>
      <c r="F260" s="50">
        <v>0.42749999999999999</v>
      </c>
      <c r="G260" s="50">
        <v>0.13</v>
      </c>
      <c r="H260" s="50">
        <v>0.38490743662900001</v>
      </c>
      <c r="I260" s="50">
        <v>0.48829287047999997</v>
      </c>
      <c r="J260" s="50">
        <v>0.28152200277799999</v>
      </c>
      <c r="K260" s="50">
        <v>405.59</v>
      </c>
      <c r="L260" s="50">
        <v>394.5</v>
      </c>
      <c r="M260" s="50">
        <v>404.29</v>
      </c>
      <c r="N260" s="66">
        <f t="shared" si="24"/>
        <v>2.9088030868930696E-2</v>
      </c>
      <c r="O260" s="66">
        <f t="shared" si="25"/>
        <v>2.9088030868930696E-2</v>
      </c>
      <c r="P260" s="4">
        <f t="shared" si="26"/>
        <v>0.13</v>
      </c>
      <c r="Q260" s="4">
        <f t="shared" si="27"/>
        <v>0.17749999999999999</v>
      </c>
      <c r="R260" s="66">
        <f t="shared" si="28"/>
        <v>2.9088030868930696E-2</v>
      </c>
      <c r="S260" s="66">
        <f t="shared" si="29"/>
        <v>2.9088030868930696E-2</v>
      </c>
      <c r="T260" s="50">
        <f t="shared" si="30"/>
        <v>1</v>
      </c>
      <c r="U260" s="50">
        <f t="shared" si="31"/>
        <v>1</v>
      </c>
    </row>
    <row r="261" spans="1:21" x14ac:dyDescent="0.2">
      <c r="A261" s="38">
        <v>33711</v>
      </c>
      <c r="B261" s="4">
        <v>0.37</v>
      </c>
      <c r="C261" s="4">
        <v>0.38</v>
      </c>
      <c r="D261" s="4">
        <v>0.25</v>
      </c>
      <c r="E261" s="50">
        <v>1</v>
      </c>
      <c r="F261" s="50">
        <v>0.41499999999999998</v>
      </c>
      <c r="G261" s="50">
        <v>0.12</v>
      </c>
      <c r="H261" s="50">
        <v>0.38490743662900001</v>
      </c>
      <c r="I261" s="50">
        <v>0.48829287047999997</v>
      </c>
      <c r="J261" s="50">
        <v>0.28152200277799999</v>
      </c>
      <c r="K261" s="50">
        <v>416.28</v>
      </c>
      <c r="L261" s="50">
        <v>406.08</v>
      </c>
      <c r="M261" s="50">
        <v>416.05</v>
      </c>
      <c r="N261" s="66">
        <f t="shared" si="24"/>
        <v>-1.6897007571205453E-2</v>
      </c>
      <c r="O261" s="66">
        <f t="shared" si="25"/>
        <v>-1.432520129792101E-2</v>
      </c>
      <c r="P261" s="4">
        <f t="shared" si="26"/>
        <v>0.12</v>
      </c>
      <c r="Q261" s="4">
        <f t="shared" si="27"/>
        <v>0.14499999999999999</v>
      </c>
      <c r="R261" s="66">
        <f t="shared" si="28"/>
        <v>-1.6897007571205453E-2</v>
      </c>
      <c r="S261" s="66">
        <f t="shared" si="29"/>
        <v>-1.432520129792101E-2</v>
      </c>
      <c r="T261" s="50" t="str">
        <f t="shared" si="30"/>
        <v/>
      </c>
      <c r="U261" s="50" t="str">
        <f t="shared" si="31"/>
        <v/>
      </c>
    </row>
    <row r="262" spans="1:21" x14ac:dyDescent="0.2">
      <c r="A262" s="38">
        <v>33718</v>
      </c>
      <c r="B262" s="4">
        <v>0.52</v>
      </c>
      <c r="C262" s="4">
        <v>0.34</v>
      </c>
      <c r="D262" s="4">
        <v>0.14000000000000001</v>
      </c>
      <c r="E262" s="50">
        <v>1</v>
      </c>
      <c r="F262" s="50">
        <v>0.42625000000000002</v>
      </c>
      <c r="G262" s="50">
        <v>0.38</v>
      </c>
      <c r="H262" s="50">
        <v>0.38490743662900001</v>
      </c>
      <c r="I262" s="50">
        <v>0.48829287047999997</v>
      </c>
      <c r="J262" s="50">
        <v>0.28152200277799999</v>
      </c>
      <c r="K262" s="50">
        <v>411.6</v>
      </c>
      <c r="L262" s="50">
        <v>409.81</v>
      </c>
      <c r="M262" s="50">
        <v>409.02</v>
      </c>
      <c r="N262" s="66">
        <f t="shared" si="24"/>
        <v>8.5814874578260016E-3</v>
      </c>
      <c r="O262" s="66">
        <f t="shared" si="25"/>
        <v>1.2224341108014278E-2</v>
      </c>
      <c r="P262" s="4">
        <f t="shared" si="26"/>
        <v>0.38</v>
      </c>
      <c r="Q262" s="4">
        <f t="shared" si="27"/>
        <v>0.1875</v>
      </c>
      <c r="R262" s="66">
        <f t="shared" si="28"/>
        <v>8.5814874578260016E-3</v>
      </c>
      <c r="S262" s="66">
        <f t="shared" si="29"/>
        <v>1.2224341108014278E-2</v>
      </c>
      <c r="T262" s="50">
        <f t="shared" si="30"/>
        <v>1</v>
      </c>
      <c r="U262" s="50">
        <f t="shared" si="31"/>
        <v>1</v>
      </c>
    </row>
    <row r="263" spans="1:21" x14ac:dyDescent="0.2">
      <c r="A263" s="38">
        <v>33725</v>
      </c>
      <c r="B263" s="4">
        <v>0.28999999999999998</v>
      </c>
      <c r="C263" s="4">
        <v>0.36</v>
      </c>
      <c r="D263" s="4">
        <v>0.35</v>
      </c>
      <c r="E263" s="50">
        <v>1</v>
      </c>
      <c r="F263" s="50">
        <v>0.40625</v>
      </c>
      <c r="G263" s="50">
        <v>-0.06</v>
      </c>
      <c r="H263" s="50">
        <v>0.38490743662900001</v>
      </c>
      <c r="I263" s="50">
        <v>0.48829287047999997</v>
      </c>
      <c r="J263" s="50">
        <v>0.28152200277799999</v>
      </c>
      <c r="K263" s="50">
        <v>414.95</v>
      </c>
      <c r="L263" s="50">
        <v>408.45</v>
      </c>
      <c r="M263" s="50">
        <v>412.53</v>
      </c>
      <c r="N263" s="66">
        <f t="shared" si="24"/>
        <v>8.5327127724045253E-3</v>
      </c>
      <c r="O263" s="66">
        <f t="shared" si="25"/>
        <v>6.8358664824377628E-3</v>
      </c>
      <c r="P263" s="4">
        <f t="shared" si="26"/>
        <v>-0.06</v>
      </c>
      <c r="Q263" s="4">
        <f t="shared" si="27"/>
        <v>0.14250000000000002</v>
      </c>
      <c r="R263" s="66">
        <f t="shared" si="28"/>
        <v>8.5327127724045253E-3</v>
      </c>
      <c r="S263" s="66">
        <f t="shared" si="29"/>
        <v>6.8358664824377628E-3</v>
      </c>
      <c r="T263" s="50">
        <f t="shared" si="30"/>
        <v>1</v>
      </c>
      <c r="U263" s="50">
        <f t="shared" si="31"/>
        <v>1</v>
      </c>
    </row>
    <row r="264" spans="1:21" x14ac:dyDescent="0.2">
      <c r="A264" s="38">
        <v>33732</v>
      </c>
      <c r="B264" s="4">
        <v>0.43</v>
      </c>
      <c r="C264" s="4">
        <v>0.31</v>
      </c>
      <c r="D264" s="4">
        <v>0.26</v>
      </c>
      <c r="E264" s="50">
        <v>1</v>
      </c>
      <c r="F264" s="50">
        <v>0.41249999999999998</v>
      </c>
      <c r="G264" s="50">
        <v>0.17</v>
      </c>
      <c r="H264" s="50">
        <v>0.38490743662900001</v>
      </c>
      <c r="I264" s="50">
        <v>0.48829287047999997</v>
      </c>
      <c r="J264" s="50">
        <v>0.28152200277799999</v>
      </c>
      <c r="K264" s="50">
        <v>416.91</v>
      </c>
      <c r="L264" s="50">
        <v>415.85</v>
      </c>
      <c r="M264" s="50">
        <v>416.05</v>
      </c>
      <c r="N264" s="66">
        <f t="shared" si="24"/>
        <v>-1.432520129792101E-2</v>
      </c>
      <c r="O264" s="66">
        <f t="shared" si="25"/>
        <v>-6.1771421704121931E-3</v>
      </c>
      <c r="P264" s="4">
        <f t="shared" si="26"/>
        <v>0.16999999999999998</v>
      </c>
      <c r="Q264" s="4">
        <f t="shared" si="27"/>
        <v>0.1525</v>
      </c>
      <c r="R264" s="66">
        <f t="shared" si="28"/>
        <v>-1.432520129792101E-2</v>
      </c>
      <c r="S264" s="66">
        <f t="shared" si="29"/>
        <v>-6.1771421704121931E-3</v>
      </c>
      <c r="T264" s="50" t="str">
        <f t="shared" si="30"/>
        <v/>
      </c>
      <c r="U264" s="50" t="str">
        <f t="shared" si="31"/>
        <v/>
      </c>
    </row>
    <row r="265" spans="1:21" x14ac:dyDescent="0.2">
      <c r="A265" s="38">
        <v>33739</v>
      </c>
      <c r="B265" s="4">
        <v>0.4</v>
      </c>
      <c r="C265" s="4">
        <v>0.37</v>
      </c>
      <c r="D265" s="4">
        <v>0.23</v>
      </c>
      <c r="E265" s="50">
        <v>1</v>
      </c>
      <c r="F265" s="50">
        <v>0.40250000000000002</v>
      </c>
      <c r="G265" s="50">
        <v>0.17</v>
      </c>
      <c r="H265" s="50">
        <v>0.38490743662900001</v>
      </c>
      <c r="I265" s="50">
        <v>0.48829287047999997</v>
      </c>
      <c r="J265" s="50">
        <v>0.28152200277799999</v>
      </c>
      <c r="K265" s="50">
        <v>418.49</v>
      </c>
      <c r="L265" s="50">
        <v>410.09</v>
      </c>
      <c r="M265" s="50">
        <v>410.09</v>
      </c>
      <c r="N265" s="66">
        <f t="shared" si="24"/>
        <v>9.5832622107342464E-3</v>
      </c>
      <c r="O265" s="66">
        <f t="shared" si="25"/>
        <v>-8.047014070081789E-4</v>
      </c>
      <c r="P265" s="4">
        <f t="shared" si="26"/>
        <v>0.17</v>
      </c>
      <c r="Q265" s="4">
        <f t="shared" si="27"/>
        <v>0.16500000000000001</v>
      </c>
      <c r="R265" s="66">
        <f t="shared" si="28"/>
        <v>9.5832622107342464E-3</v>
      </c>
      <c r="S265" s="66">
        <f t="shared" si="29"/>
        <v>-8.047014070081789E-4</v>
      </c>
      <c r="T265" s="50">
        <f t="shared" si="30"/>
        <v>1</v>
      </c>
      <c r="U265" s="50" t="str">
        <f t="shared" si="31"/>
        <v/>
      </c>
    </row>
    <row r="266" spans="1:21" x14ac:dyDescent="0.2">
      <c r="A266" s="38">
        <v>33746</v>
      </c>
      <c r="B266" s="4">
        <v>0.48</v>
      </c>
      <c r="C266" s="4">
        <v>0.24</v>
      </c>
      <c r="D266" s="4">
        <v>0.28000000000000003</v>
      </c>
      <c r="E266" s="50">
        <v>1</v>
      </c>
      <c r="F266" s="50">
        <v>0.40875</v>
      </c>
      <c r="G266" s="50">
        <v>0.2</v>
      </c>
      <c r="H266" s="50">
        <v>0.38490743662900001</v>
      </c>
      <c r="I266" s="50">
        <v>0.48829287047999997</v>
      </c>
      <c r="J266" s="50">
        <v>0.28152200277799999</v>
      </c>
      <c r="K266" s="50">
        <v>416.37</v>
      </c>
      <c r="L266" s="50">
        <v>412.6</v>
      </c>
      <c r="M266" s="50">
        <v>414.02</v>
      </c>
      <c r="N266" s="66">
        <f t="shared" si="24"/>
        <v>3.2124051978166296E-3</v>
      </c>
      <c r="O266" s="66">
        <f t="shared" si="25"/>
        <v>-2.4998792328872921E-2</v>
      </c>
      <c r="P266" s="4">
        <f t="shared" si="26"/>
        <v>0.19999999999999996</v>
      </c>
      <c r="Q266" s="4">
        <f t="shared" si="27"/>
        <v>0.12</v>
      </c>
      <c r="R266" s="66">
        <f t="shared" si="28"/>
        <v>3.2124051978166296E-3</v>
      </c>
      <c r="S266" s="66">
        <f t="shared" si="29"/>
        <v>-2.4998792328872921E-2</v>
      </c>
      <c r="T266" s="50">
        <f t="shared" si="30"/>
        <v>1</v>
      </c>
      <c r="U266" s="50" t="str">
        <f t="shared" si="31"/>
        <v/>
      </c>
    </row>
    <row r="267" spans="1:21" x14ac:dyDescent="0.2">
      <c r="A267" s="38">
        <v>33753</v>
      </c>
      <c r="B267" s="4">
        <v>0.41</v>
      </c>
      <c r="C267" s="4">
        <v>0.43</v>
      </c>
      <c r="D267" s="4">
        <v>0.16</v>
      </c>
      <c r="E267" s="50">
        <v>1</v>
      </c>
      <c r="F267" s="50">
        <v>0.41625000000000001</v>
      </c>
      <c r="G267" s="50">
        <v>0.25</v>
      </c>
      <c r="H267" s="50">
        <v>0.38490743662900001</v>
      </c>
      <c r="I267" s="50">
        <v>0.48829287047999997</v>
      </c>
      <c r="J267" s="50">
        <v>0.28152200277799999</v>
      </c>
      <c r="K267" s="50">
        <v>416.74</v>
      </c>
      <c r="L267" s="50">
        <v>411.41</v>
      </c>
      <c r="M267" s="50">
        <v>415.35</v>
      </c>
      <c r="N267" s="66">
        <f t="shared" si="24"/>
        <v>-4.5022270374383156E-3</v>
      </c>
      <c r="O267" s="66">
        <f t="shared" si="25"/>
        <v>-2.8650535692789296E-2</v>
      </c>
      <c r="P267" s="4">
        <f t="shared" si="26"/>
        <v>0.24999999999999997</v>
      </c>
      <c r="Q267" s="4">
        <f t="shared" si="27"/>
        <v>0.19749999999999998</v>
      </c>
      <c r="R267" s="66">
        <f t="shared" si="28"/>
        <v>-4.5022270374383156E-3</v>
      </c>
      <c r="S267" s="66">
        <f t="shared" si="29"/>
        <v>-2.8650535692789296E-2</v>
      </c>
      <c r="T267" s="50" t="str">
        <f t="shared" si="30"/>
        <v/>
      </c>
      <c r="U267" s="50" t="str">
        <f t="shared" si="31"/>
        <v/>
      </c>
    </row>
    <row r="268" spans="1:21" x14ac:dyDescent="0.2">
      <c r="A268" s="38">
        <v>33760</v>
      </c>
      <c r="B268" s="4">
        <v>0.41</v>
      </c>
      <c r="C268" s="4">
        <v>0.4</v>
      </c>
      <c r="D268" s="4">
        <v>0.19</v>
      </c>
      <c r="E268" s="50">
        <v>1</v>
      </c>
      <c r="F268" s="50">
        <v>0.41375000000000001</v>
      </c>
      <c r="G268" s="50">
        <v>0.22</v>
      </c>
      <c r="H268" s="50">
        <v>0.38490743662900001</v>
      </c>
      <c r="I268" s="50">
        <v>0.48829287047999997</v>
      </c>
      <c r="J268" s="50">
        <v>0.28152200277799999</v>
      </c>
      <c r="K268" s="50">
        <v>417.3</v>
      </c>
      <c r="L268" s="50">
        <v>413.26</v>
      </c>
      <c r="M268" s="50">
        <v>413.48</v>
      </c>
      <c r="N268" s="66">
        <f t="shared" si="24"/>
        <v>-8.9968075844055993E-3</v>
      </c>
      <c r="O268" s="66">
        <f t="shared" si="25"/>
        <v>-4.1356292928316635E-3</v>
      </c>
      <c r="P268" s="4">
        <f t="shared" si="26"/>
        <v>0.21999999999999997</v>
      </c>
      <c r="Q268" s="4">
        <f t="shared" si="27"/>
        <v>0.21</v>
      </c>
      <c r="R268" s="66">
        <f t="shared" si="28"/>
        <v>-8.9968075844055993E-3</v>
      </c>
      <c r="S268" s="66">
        <f t="shared" si="29"/>
        <v>-4.1356292928316635E-3</v>
      </c>
      <c r="T268" s="50" t="str">
        <f t="shared" si="30"/>
        <v/>
      </c>
      <c r="U268" s="50" t="str">
        <f t="shared" si="31"/>
        <v/>
      </c>
    </row>
    <row r="269" spans="1:21" x14ac:dyDescent="0.2">
      <c r="A269" s="38">
        <v>33767</v>
      </c>
      <c r="B269" s="4">
        <v>0.31</v>
      </c>
      <c r="C269" s="4">
        <v>0.46</v>
      </c>
      <c r="D269" s="4">
        <v>0.23</v>
      </c>
      <c r="E269" s="50">
        <v>1</v>
      </c>
      <c r="F269" s="50">
        <v>0.40625</v>
      </c>
      <c r="G269" s="50">
        <v>0.08</v>
      </c>
      <c r="H269" s="50">
        <v>0.38490743662900001</v>
      </c>
      <c r="I269" s="50">
        <v>0.48829287047999997</v>
      </c>
      <c r="J269" s="50">
        <v>0.28152200277799999</v>
      </c>
      <c r="K269" s="50">
        <v>413.36</v>
      </c>
      <c r="L269" s="50">
        <v>406.64</v>
      </c>
      <c r="M269" s="50">
        <v>409.76</v>
      </c>
      <c r="N269" s="66">
        <f t="shared" ref="N269:N332" si="32">(M270-M269)/M269</f>
        <v>-1.4862358453728951E-2</v>
      </c>
      <c r="O269" s="66">
        <f t="shared" ref="O269:O332" si="33">(M273-M269)/M269</f>
        <v>1.1860601327606437E-2</v>
      </c>
      <c r="P269" s="4">
        <f t="shared" si="26"/>
        <v>7.9999999999999988E-2</v>
      </c>
      <c r="Q269" s="4">
        <f t="shared" si="27"/>
        <v>0.18749999999999997</v>
      </c>
      <c r="R269" s="66">
        <f t="shared" si="28"/>
        <v>-1.4862358453728951E-2</v>
      </c>
      <c r="S269" s="66">
        <f t="shared" si="29"/>
        <v>1.1860601327606437E-2</v>
      </c>
      <c r="T269" s="50" t="str">
        <f t="shared" si="30"/>
        <v/>
      </c>
      <c r="U269" s="50">
        <f t="shared" si="31"/>
        <v>1</v>
      </c>
    </row>
    <row r="270" spans="1:21" x14ac:dyDescent="0.2">
      <c r="A270" s="38">
        <v>33774</v>
      </c>
      <c r="B270" s="4">
        <v>0.35</v>
      </c>
      <c r="C270" s="4">
        <v>0.37</v>
      </c>
      <c r="D270" s="4">
        <v>0.28000000000000003</v>
      </c>
      <c r="E270" s="50">
        <v>1</v>
      </c>
      <c r="F270" s="50">
        <v>0.38500000000000001</v>
      </c>
      <c r="G270" s="50">
        <v>7.0000000000000007E-2</v>
      </c>
      <c r="H270" s="50">
        <v>0.38490743662900001</v>
      </c>
      <c r="I270" s="50">
        <v>0.48829287047999997</v>
      </c>
      <c r="J270" s="50">
        <v>0.28152200277799999</v>
      </c>
      <c r="K270" s="50">
        <v>410.29</v>
      </c>
      <c r="L270" s="50">
        <v>400.96</v>
      </c>
      <c r="M270" s="50">
        <v>403.67</v>
      </c>
      <c r="N270" s="66">
        <f t="shared" si="32"/>
        <v>-5.4499962840941186E-4</v>
      </c>
      <c r="O270" s="66">
        <f t="shared" si="33"/>
        <v>2.960338890678026E-2</v>
      </c>
      <c r="P270" s="4">
        <f t="shared" ref="P270:P333" si="34">B270-D270</f>
        <v>6.9999999999999951E-2</v>
      </c>
      <c r="Q270" s="4">
        <f t="shared" si="27"/>
        <v>0.15499999999999997</v>
      </c>
      <c r="R270" s="66">
        <f t="shared" si="28"/>
        <v>-5.4499962840941186E-4</v>
      </c>
      <c r="S270" s="66">
        <f t="shared" si="29"/>
        <v>2.960338890678026E-2</v>
      </c>
      <c r="T270" s="50" t="str">
        <f t="shared" si="30"/>
        <v/>
      </c>
      <c r="U270" s="50">
        <f t="shared" si="31"/>
        <v>1</v>
      </c>
    </row>
    <row r="271" spans="1:21" x14ac:dyDescent="0.2">
      <c r="A271" s="38">
        <v>33781</v>
      </c>
      <c r="B271" s="4">
        <v>0.39</v>
      </c>
      <c r="C271" s="4">
        <v>0.34</v>
      </c>
      <c r="D271" s="4">
        <v>0.27</v>
      </c>
      <c r="E271" s="50">
        <v>1</v>
      </c>
      <c r="F271" s="50">
        <v>0.39750000000000002</v>
      </c>
      <c r="G271" s="50">
        <v>0.12</v>
      </c>
      <c r="H271" s="50">
        <v>0.38490743662900001</v>
      </c>
      <c r="I271" s="50">
        <v>0.48829287047999997</v>
      </c>
      <c r="J271" s="50">
        <v>0.28152200277799999</v>
      </c>
      <c r="K271" s="50">
        <v>404.04</v>
      </c>
      <c r="L271" s="50">
        <v>403.12</v>
      </c>
      <c r="M271" s="50">
        <v>403.45</v>
      </c>
      <c r="N271" s="66">
        <f t="shared" si="32"/>
        <v>2.0622134093444027E-2</v>
      </c>
      <c r="O271" s="66">
        <f t="shared" si="33"/>
        <v>2.0200768372784818E-2</v>
      </c>
      <c r="P271" s="4">
        <f t="shared" si="34"/>
        <v>0.12</v>
      </c>
      <c r="Q271" s="4">
        <f t="shared" si="27"/>
        <v>0.12249999999999997</v>
      </c>
      <c r="R271" s="66">
        <f t="shared" si="28"/>
        <v>2.0622134093444027E-2</v>
      </c>
      <c r="S271" s="66">
        <f t="shared" si="29"/>
        <v>2.0200768372784818E-2</v>
      </c>
      <c r="T271" s="50">
        <f t="shared" si="30"/>
        <v>1</v>
      </c>
      <c r="U271" s="50">
        <f t="shared" si="31"/>
        <v>1</v>
      </c>
    </row>
    <row r="272" spans="1:21" x14ac:dyDescent="0.2">
      <c r="A272" s="38">
        <v>33787</v>
      </c>
      <c r="B272" s="4">
        <v>0.21</v>
      </c>
      <c r="C272" s="4">
        <v>0.44</v>
      </c>
      <c r="D272" s="4">
        <v>0.35</v>
      </c>
      <c r="E272" s="50">
        <v>1</v>
      </c>
      <c r="F272" s="50">
        <v>0.37</v>
      </c>
      <c r="G272" s="50">
        <v>-0.14000000000000001</v>
      </c>
      <c r="H272" s="50">
        <v>0.38490743662900001</v>
      </c>
      <c r="I272" s="50">
        <v>0.48829287047999997</v>
      </c>
      <c r="J272" s="50">
        <v>0.28152200277799999</v>
      </c>
      <c r="K272" s="50">
        <v>412.88</v>
      </c>
      <c r="L272" s="50">
        <v>408.14</v>
      </c>
      <c r="M272" s="50">
        <v>411.77</v>
      </c>
      <c r="N272" s="66">
        <f t="shared" si="32"/>
        <v>6.9213395827768488E-3</v>
      </c>
      <c r="O272" s="66">
        <f t="shared" si="33"/>
        <v>3.0211040143769578E-2</v>
      </c>
      <c r="P272" s="4">
        <f t="shared" si="34"/>
        <v>-0.13999999999999999</v>
      </c>
      <c r="Q272" s="4">
        <f t="shared" si="27"/>
        <v>3.249999999999998E-2</v>
      </c>
      <c r="R272" s="66">
        <f t="shared" si="28"/>
        <v>6.9213395827768488E-3</v>
      </c>
      <c r="S272" s="66">
        <f t="shared" si="29"/>
        <v>3.0211040143769578E-2</v>
      </c>
      <c r="T272" s="50">
        <f t="shared" si="30"/>
        <v>1</v>
      </c>
      <c r="U272" s="50">
        <f t="shared" si="31"/>
        <v>1</v>
      </c>
    </row>
    <row r="273" spans="1:21" x14ac:dyDescent="0.2">
      <c r="A273" s="38">
        <v>33794</v>
      </c>
      <c r="B273" s="4">
        <v>0.23</v>
      </c>
      <c r="C273" s="4">
        <v>0.42</v>
      </c>
      <c r="D273" s="4">
        <v>0.35</v>
      </c>
      <c r="E273" s="50">
        <v>1</v>
      </c>
      <c r="F273" s="50">
        <v>0.34875</v>
      </c>
      <c r="G273" s="50">
        <v>-0.12</v>
      </c>
      <c r="H273" s="50">
        <v>0.38490743662900001</v>
      </c>
      <c r="I273" s="50">
        <v>0.48829287047999997</v>
      </c>
      <c r="J273" s="50">
        <v>0.28152200277799999</v>
      </c>
      <c r="K273" s="50">
        <v>414.62</v>
      </c>
      <c r="L273" s="50">
        <v>409.16</v>
      </c>
      <c r="M273" s="50">
        <v>414.62</v>
      </c>
      <c r="N273" s="66">
        <f t="shared" si="32"/>
        <v>2.4118469924268005E-3</v>
      </c>
      <c r="O273" s="66">
        <f t="shared" si="33"/>
        <v>1.8257681732670863E-2</v>
      </c>
      <c r="P273" s="4">
        <f t="shared" si="34"/>
        <v>-0.11999999999999997</v>
      </c>
      <c r="Q273" s="4">
        <f t="shared" ref="Q273:Q336" si="35">AVERAGE(P270:P273)</f>
        <v>-1.7500000000000002E-2</v>
      </c>
      <c r="R273" s="66">
        <f t="shared" ref="R273:R336" si="36">(M274-M273)/M273</f>
        <v>2.4118469924268005E-3</v>
      </c>
      <c r="S273" s="66">
        <f t="shared" ref="S273:S336" si="37">(M277-M273)/M273</f>
        <v>1.8257681732670863E-2</v>
      </c>
      <c r="T273" s="50">
        <f t="shared" ref="T273:T336" si="38">IF(R273&gt;0,1,"")</f>
        <v>1</v>
      </c>
      <c r="U273" s="50">
        <f t="shared" ref="U273:U336" si="39">IF(S273&gt;0,1,"")</f>
        <v>1</v>
      </c>
    </row>
    <row r="274" spans="1:21" x14ac:dyDescent="0.2">
      <c r="A274" s="38">
        <v>33802</v>
      </c>
      <c r="B274" s="4">
        <v>0.28999999999999998</v>
      </c>
      <c r="C274" s="4">
        <v>0.4</v>
      </c>
      <c r="D274" s="4">
        <v>0.31</v>
      </c>
      <c r="E274" s="50">
        <v>1</v>
      </c>
      <c r="F274" s="50">
        <v>0.32500000000000001</v>
      </c>
      <c r="G274" s="50">
        <v>-0.02</v>
      </c>
      <c r="H274" s="50">
        <v>0.38490743662900001</v>
      </c>
      <c r="I274" s="50">
        <v>0.48829287047999997</v>
      </c>
      <c r="J274" s="50">
        <v>0.28152200277799999</v>
      </c>
      <c r="K274" s="50">
        <v>417.81</v>
      </c>
      <c r="L274" s="50">
        <v>412.96</v>
      </c>
      <c r="M274" s="50">
        <v>415.62</v>
      </c>
      <c r="N274" s="66">
        <f t="shared" si="32"/>
        <v>-9.672296809585635E-3</v>
      </c>
      <c r="O274" s="66">
        <f t="shared" si="33"/>
        <v>1.0321928684856409E-2</v>
      </c>
      <c r="P274" s="4">
        <f t="shared" si="34"/>
        <v>-2.0000000000000018E-2</v>
      </c>
      <c r="Q274" s="4">
        <f t="shared" si="35"/>
        <v>-3.9999999999999994E-2</v>
      </c>
      <c r="R274" s="66">
        <f t="shared" si="36"/>
        <v>-9.672296809585635E-3</v>
      </c>
      <c r="S274" s="66">
        <f t="shared" si="37"/>
        <v>1.0321928684856409E-2</v>
      </c>
      <c r="T274" s="50" t="str">
        <f t="shared" si="38"/>
        <v/>
      </c>
      <c r="U274" s="50">
        <f t="shared" si="39"/>
        <v>1</v>
      </c>
    </row>
    <row r="275" spans="1:21" x14ac:dyDescent="0.2">
      <c r="A275" s="38">
        <v>33809</v>
      </c>
      <c r="B275" s="4">
        <v>0.32</v>
      </c>
      <c r="C275" s="4">
        <v>0.44</v>
      </c>
      <c r="D275" s="4">
        <v>0.24</v>
      </c>
      <c r="E275" s="50">
        <v>1</v>
      </c>
      <c r="F275" s="50">
        <v>0.31374999999999997</v>
      </c>
      <c r="G275" s="50">
        <v>0.08</v>
      </c>
      <c r="H275" s="50">
        <v>0.38490743662900001</v>
      </c>
      <c r="I275" s="50">
        <v>0.48829287047999997</v>
      </c>
      <c r="J275" s="50">
        <v>0.28152200277799999</v>
      </c>
      <c r="K275" s="50">
        <v>415.62</v>
      </c>
      <c r="L275" s="50">
        <v>409.94</v>
      </c>
      <c r="M275" s="50">
        <v>411.6</v>
      </c>
      <c r="N275" s="66">
        <f t="shared" si="32"/>
        <v>3.0636540330417773E-2</v>
      </c>
      <c r="O275" s="66">
        <f t="shared" si="33"/>
        <v>7.8960155490767729E-3</v>
      </c>
      <c r="P275" s="4">
        <f t="shared" si="34"/>
        <v>8.0000000000000016E-2</v>
      </c>
      <c r="Q275" s="4">
        <f t="shared" si="35"/>
        <v>-4.9999999999999989E-2</v>
      </c>
      <c r="R275" s="66">
        <f t="shared" si="36"/>
        <v>3.0636540330417773E-2</v>
      </c>
      <c r="S275" s="66">
        <f t="shared" si="37"/>
        <v>7.8960155490767729E-3</v>
      </c>
      <c r="T275" s="50">
        <f t="shared" si="38"/>
        <v>1</v>
      </c>
      <c r="U275" s="50">
        <f t="shared" si="39"/>
        <v>1</v>
      </c>
    </row>
    <row r="276" spans="1:21" x14ac:dyDescent="0.2">
      <c r="A276" s="38">
        <v>33816</v>
      </c>
      <c r="B276" s="4">
        <v>0.22</v>
      </c>
      <c r="C276" s="4">
        <v>0.47</v>
      </c>
      <c r="D276" s="4">
        <v>0.31</v>
      </c>
      <c r="E276" s="50">
        <v>1</v>
      </c>
      <c r="F276" s="50">
        <v>0.28999999999999998</v>
      </c>
      <c r="G276" s="50">
        <v>-0.09</v>
      </c>
      <c r="H276" s="50">
        <v>0.38490743662900001</v>
      </c>
      <c r="I276" s="50">
        <v>0.48829287047999997</v>
      </c>
      <c r="J276" s="50">
        <v>0.28152200277799999</v>
      </c>
      <c r="K276" s="50">
        <v>424.8</v>
      </c>
      <c r="L276" s="50">
        <v>411.27</v>
      </c>
      <c r="M276" s="50">
        <v>424.21</v>
      </c>
      <c r="N276" s="66">
        <f t="shared" si="32"/>
        <v>-4.7617925084273869E-3</v>
      </c>
      <c r="O276" s="66">
        <f t="shared" si="33"/>
        <v>-2.2088116734636159E-2</v>
      </c>
      <c r="P276" s="4">
        <f t="shared" si="34"/>
        <v>-0.09</v>
      </c>
      <c r="Q276" s="4">
        <f t="shared" si="35"/>
        <v>-3.7499999999999992E-2</v>
      </c>
      <c r="R276" s="66">
        <f t="shared" si="36"/>
        <v>-4.7617925084273869E-3</v>
      </c>
      <c r="S276" s="66">
        <f t="shared" si="37"/>
        <v>-2.2088116734636159E-2</v>
      </c>
      <c r="T276" s="50" t="str">
        <f t="shared" si="38"/>
        <v/>
      </c>
      <c r="U276" s="50" t="str">
        <f t="shared" si="39"/>
        <v/>
      </c>
    </row>
    <row r="277" spans="1:21" x14ac:dyDescent="0.2">
      <c r="A277" s="38">
        <v>33821</v>
      </c>
      <c r="B277" s="4">
        <v>0.28000000000000003</v>
      </c>
      <c r="C277" s="4">
        <v>0.39</v>
      </c>
      <c r="D277" s="4">
        <v>0.33</v>
      </c>
      <c r="E277" s="50">
        <v>1</v>
      </c>
      <c r="F277" s="50">
        <v>0.28625</v>
      </c>
      <c r="G277" s="50">
        <v>-0.05</v>
      </c>
      <c r="H277" s="50">
        <v>0.38490743662900001</v>
      </c>
      <c r="I277" s="50">
        <v>0.48829287047999997</v>
      </c>
      <c r="J277" s="50">
        <v>0.28152200277799999</v>
      </c>
      <c r="K277" s="50">
        <v>424.36</v>
      </c>
      <c r="L277" s="50">
        <v>421.92</v>
      </c>
      <c r="M277" s="50">
        <v>422.19</v>
      </c>
      <c r="N277" s="66">
        <f t="shared" si="32"/>
        <v>-5.4004121367156321E-3</v>
      </c>
      <c r="O277" s="66">
        <f t="shared" si="33"/>
        <v>-1.210355527132337E-2</v>
      </c>
      <c r="P277" s="4">
        <f t="shared" si="34"/>
        <v>-4.9999999999999989E-2</v>
      </c>
      <c r="Q277" s="4">
        <f t="shared" si="35"/>
        <v>-1.9999999999999997E-2</v>
      </c>
      <c r="R277" s="66">
        <f t="shared" si="36"/>
        <v>-5.4004121367156321E-3</v>
      </c>
      <c r="S277" s="66">
        <f t="shared" si="37"/>
        <v>-1.210355527132337E-2</v>
      </c>
      <c r="T277" s="50" t="str">
        <f t="shared" si="38"/>
        <v/>
      </c>
      <c r="U277" s="50" t="str">
        <f t="shared" si="39"/>
        <v/>
      </c>
    </row>
    <row r="278" spans="1:21" x14ac:dyDescent="0.2">
      <c r="A278" s="38">
        <v>33830</v>
      </c>
      <c r="B278" s="4">
        <v>0.26</v>
      </c>
      <c r="C278" s="4">
        <v>0.37</v>
      </c>
      <c r="D278" s="4">
        <v>0.37</v>
      </c>
      <c r="E278" s="50">
        <v>1</v>
      </c>
      <c r="F278" s="50">
        <v>0.27500000000000002</v>
      </c>
      <c r="G278" s="50">
        <v>-0.11</v>
      </c>
      <c r="H278" s="50">
        <v>0.38490743662900001</v>
      </c>
      <c r="I278" s="50">
        <v>0.48829287047999997</v>
      </c>
      <c r="J278" s="50">
        <v>0.28152200277799999</v>
      </c>
      <c r="K278" s="50">
        <v>423.45</v>
      </c>
      <c r="L278" s="50">
        <v>416.4</v>
      </c>
      <c r="M278" s="50">
        <v>419.91</v>
      </c>
      <c r="N278" s="66">
        <f t="shared" si="32"/>
        <v>-1.2050201233597681E-2</v>
      </c>
      <c r="O278" s="66">
        <f t="shared" si="33"/>
        <v>-7.8588268914777195E-4</v>
      </c>
      <c r="P278" s="4">
        <f t="shared" si="34"/>
        <v>-0.10999999999999999</v>
      </c>
      <c r="Q278" s="4">
        <f t="shared" si="35"/>
        <v>-4.2499999999999989E-2</v>
      </c>
      <c r="R278" s="66">
        <f t="shared" si="36"/>
        <v>-1.2050201233597681E-2</v>
      </c>
      <c r="S278" s="66">
        <f t="shared" si="37"/>
        <v>-7.8588268914777195E-4</v>
      </c>
      <c r="T278" s="50" t="str">
        <f t="shared" si="38"/>
        <v/>
      </c>
      <c r="U278" s="50" t="str">
        <f t="shared" si="39"/>
        <v/>
      </c>
    </row>
    <row r="279" spans="1:21" x14ac:dyDescent="0.2">
      <c r="A279" s="38">
        <v>33837</v>
      </c>
      <c r="B279" s="4">
        <v>0.22</v>
      </c>
      <c r="C279" s="4">
        <v>0.34</v>
      </c>
      <c r="D279" s="4">
        <v>0.44</v>
      </c>
      <c r="E279" s="50">
        <v>1</v>
      </c>
      <c r="F279" s="50">
        <v>0.25374999999999998</v>
      </c>
      <c r="G279" s="50">
        <v>-0.22</v>
      </c>
      <c r="H279" s="50">
        <v>0.38490743662900001</v>
      </c>
      <c r="I279" s="50">
        <v>0.48829287047999997</v>
      </c>
      <c r="J279" s="50">
        <v>0.28152200277799999</v>
      </c>
      <c r="K279" s="50">
        <v>421.89</v>
      </c>
      <c r="L279" s="50">
        <v>413.58</v>
      </c>
      <c r="M279" s="50">
        <v>414.85</v>
      </c>
      <c r="N279" s="66">
        <f t="shared" si="32"/>
        <v>-2.4105098228390378E-5</v>
      </c>
      <c r="O279" s="66">
        <f t="shared" si="33"/>
        <v>1.9476919368446387E-2</v>
      </c>
      <c r="P279" s="4">
        <f t="shared" si="34"/>
        <v>-0.22</v>
      </c>
      <c r="Q279" s="4">
        <f t="shared" si="35"/>
        <v>-0.11749999999999999</v>
      </c>
      <c r="R279" s="66">
        <f t="shared" si="36"/>
        <v>-2.4105098228390378E-5</v>
      </c>
      <c r="S279" s="66">
        <f t="shared" si="37"/>
        <v>1.9476919368446387E-2</v>
      </c>
      <c r="T279" s="50" t="str">
        <f t="shared" si="38"/>
        <v/>
      </c>
      <c r="U279" s="50">
        <f t="shared" si="39"/>
        <v>1</v>
      </c>
    </row>
    <row r="280" spans="1:21" x14ac:dyDescent="0.2">
      <c r="A280" s="38">
        <v>33844</v>
      </c>
      <c r="B280" s="4">
        <v>0.3</v>
      </c>
      <c r="C280" s="4">
        <v>0.37</v>
      </c>
      <c r="D280" s="4">
        <v>0.33</v>
      </c>
      <c r="E280" s="50">
        <v>1</v>
      </c>
      <c r="F280" s="50">
        <v>0.26500000000000001</v>
      </c>
      <c r="G280" s="50">
        <v>-0.03</v>
      </c>
      <c r="H280" s="50">
        <v>0.38490743662900001</v>
      </c>
      <c r="I280" s="50">
        <v>0.48829287047999997</v>
      </c>
      <c r="J280" s="50">
        <v>0.28152200277799999</v>
      </c>
      <c r="K280" s="50">
        <v>414.95</v>
      </c>
      <c r="L280" s="50">
        <v>408.3</v>
      </c>
      <c r="M280" s="50">
        <v>414.84</v>
      </c>
      <c r="N280" s="66">
        <f t="shared" si="32"/>
        <v>5.3996721627615684E-3</v>
      </c>
      <c r="O280" s="66">
        <f t="shared" si="33"/>
        <v>-1.1811782856039734E-3</v>
      </c>
      <c r="P280" s="4">
        <f t="shared" si="34"/>
        <v>-3.0000000000000027E-2</v>
      </c>
      <c r="Q280" s="4">
        <f t="shared" si="35"/>
        <v>-0.10250000000000001</v>
      </c>
      <c r="R280" s="66">
        <f t="shared" si="36"/>
        <v>5.3996721627615684E-3</v>
      </c>
      <c r="S280" s="66">
        <f t="shared" si="37"/>
        <v>-1.1811782856039734E-3</v>
      </c>
      <c r="T280" s="50">
        <f t="shared" si="38"/>
        <v>1</v>
      </c>
      <c r="U280" s="50" t="str">
        <f t="shared" si="39"/>
        <v/>
      </c>
    </row>
    <row r="281" spans="1:21" x14ac:dyDescent="0.2">
      <c r="A281" s="38">
        <v>33851</v>
      </c>
      <c r="B281" s="4">
        <v>0.14000000000000001</v>
      </c>
      <c r="C281" s="4">
        <v>0.44</v>
      </c>
      <c r="D281" s="4">
        <v>0.42</v>
      </c>
      <c r="E281" s="50">
        <v>1</v>
      </c>
      <c r="F281" s="50">
        <v>0.25374999999999998</v>
      </c>
      <c r="G281" s="50">
        <v>-0.28000000000000003</v>
      </c>
      <c r="H281" s="50">
        <v>0.38490743662900001</v>
      </c>
      <c r="I281" s="50">
        <v>0.48829287047999997</v>
      </c>
      <c r="J281" s="50">
        <v>0.28152200277799999</v>
      </c>
      <c r="K281" s="50">
        <v>420.31</v>
      </c>
      <c r="L281" s="50">
        <v>413.35</v>
      </c>
      <c r="M281" s="50">
        <v>417.08</v>
      </c>
      <c r="N281" s="66">
        <f t="shared" si="32"/>
        <v>5.9940538985326555E-3</v>
      </c>
      <c r="O281" s="66">
        <f t="shared" si="33"/>
        <v>-1.5848278507720238E-2</v>
      </c>
      <c r="P281" s="4">
        <f t="shared" si="34"/>
        <v>-0.27999999999999997</v>
      </c>
      <c r="Q281" s="4">
        <f t="shared" si="35"/>
        <v>-0.15999999999999998</v>
      </c>
      <c r="R281" s="66">
        <f t="shared" si="36"/>
        <v>5.9940538985326555E-3</v>
      </c>
      <c r="S281" s="66">
        <f t="shared" si="37"/>
        <v>-1.5848278507720238E-2</v>
      </c>
      <c r="T281" s="50">
        <f t="shared" si="38"/>
        <v>1</v>
      </c>
      <c r="U281" s="50" t="str">
        <f t="shared" si="39"/>
        <v/>
      </c>
    </row>
    <row r="282" spans="1:21" x14ac:dyDescent="0.2">
      <c r="A282" s="38">
        <v>33858</v>
      </c>
      <c r="B282" s="4">
        <v>0.22</v>
      </c>
      <c r="C282" s="4">
        <v>0.39</v>
      </c>
      <c r="D282" s="4">
        <v>0.39</v>
      </c>
      <c r="E282" s="50">
        <v>1</v>
      </c>
      <c r="F282" s="50">
        <v>0.245</v>
      </c>
      <c r="G282" s="50">
        <v>-0.17</v>
      </c>
      <c r="H282" s="50">
        <v>0.38490743662900001</v>
      </c>
      <c r="I282" s="50">
        <v>0.48829287047999997</v>
      </c>
      <c r="J282" s="50">
        <v>0.28152200277799999</v>
      </c>
      <c r="K282" s="50">
        <v>420.58</v>
      </c>
      <c r="L282" s="50">
        <v>414.3</v>
      </c>
      <c r="M282" s="50">
        <v>419.58</v>
      </c>
      <c r="N282" s="66">
        <f t="shared" si="32"/>
        <v>7.9841746508413722E-3</v>
      </c>
      <c r="O282" s="66">
        <f t="shared" si="33"/>
        <v>-4.032604032604023E-2</v>
      </c>
      <c r="P282" s="4">
        <f t="shared" si="34"/>
        <v>-0.17</v>
      </c>
      <c r="Q282" s="4">
        <f t="shared" si="35"/>
        <v>-0.17500000000000002</v>
      </c>
      <c r="R282" s="66">
        <f t="shared" si="36"/>
        <v>7.9841746508413722E-3</v>
      </c>
      <c r="S282" s="66">
        <f t="shared" si="37"/>
        <v>-4.032604032604023E-2</v>
      </c>
      <c r="T282" s="50">
        <f t="shared" si="38"/>
        <v>1</v>
      </c>
      <c r="U282" s="50" t="str">
        <f t="shared" si="39"/>
        <v/>
      </c>
    </row>
    <row r="283" spans="1:21" x14ac:dyDescent="0.2">
      <c r="A283" s="38">
        <v>33865</v>
      </c>
      <c r="B283" s="4">
        <v>0.21</v>
      </c>
      <c r="C283" s="4">
        <v>0.42</v>
      </c>
      <c r="D283" s="4">
        <v>0.37</v>
      </c>
      <c r="E283" s="50">
        <v>1</v>
      </c>
      <c r="F283" s="50">
        <v>0.23125000000000001</v>
      </c>
      <c r="G283" s="50">
        <v>-0.16</v>
      </c>
      <c r="H283" s="50">
        <v>0.38490743662900001</v>
      </c>
      <c r="I283" s="50">
        <v>0.48829287047999997</v>
      </c>
      <c r="J283" s="50">
        <v>0.28152200277799999</v>
      </c>
      <c r="K283" s="50">
        <v>425.27</v>
      </c>
      <c r="L283" s="50">
        <v>417.77</v>
      </c>
      <c r="M283" s="50">
        <v>422.93</v>
      </c>
      <c r="N283" s="66">
        <f t="shared" si="32"/>
        <v>-2.0287045137493163E-2</v>
      </c>
      <c r="O283" s="66">
        <f t="shared" si="33"/>
        <v>-2.6481923722601823E-2</v>
      </c>
      <c r="P283" s="4">
        <f t="shared" si="34"/>
        <v>-0.16</v>
      </c>
      <c r="Q283" s="4">
        <f t="shared" si="35"/>
        <v>-0.16</v>
      </c>
      <c r="R283" s="66">
        <f t="shared" si="36"/>
        <v>-2.0287045137493163E-2</v>
      </c>
      <c r="S283" s="66">
        <f t="shared" si="37"/>
        <v>-2.6481923722601823E-2</v>
      </c>
      <c r="T283" s="50" t="str">
        <f t="shared" si="38"/>
        <v/>
      </c>
      <c r="U283" s="50" t="str">
        <f t="shared" si="39"/>
        <v/>
      </c>
    </row>
    <row r="284" spans="1:21" x14ac:dyDescent="0.2">
      <c r="A284" s="38">
        <v>33872</v>
      </c>
      <c r="B284" s="4">
        <v>0.25</v>
      </c>
      <c r="C284" s="4">
        <v>0.34</v>
      </c>
      <c r="D284" s="4">
        <v>0.41</v>
      </c>
      <c r="E284" s="50">
        <v>1</v>
      </c>
      <c r="F284" s="50">
        <v>0.23499999999999999</v>
      </c>
      <c r="G284" s="50">
        <v>-0.16</v>
      </c>
      <c r="H284" s="50">
        <v>0.38490743662900001</v>
      </c>
      <c r="I284" s="50">
        <v>0.48829287047999997</v>
      </c>
      <c r="J284" s="50">
        <v>0.28152200277799999</v>
      </c>
      <c r="K284" s="50">
        <v>422.93</v>
      </c>
      <c r="L284" s="50">
        <v>412.71</v>
      </c>
      <c r="M284" s="50">
        <v>414.35</v>
      </c>
      <c r="N284" s="66">
        <f t="shared" si="32"/>
        <v>-9.3640641969349476E-3</v>
      </c>
      <c r="O284" s="66">
        <f t="shared" si="33"/>
        <v>-6.0335465186436583E-4</v>
      </c>
      <c r="P284" s="4">
        <f t="shared" si="34"/>
        <v>-0.15999999999999998</v>
      </c>
      <c r="Q284" s="4">
        <f t="shared" si="35"/>
        <v>-0.1925</v>
      </c>
      <c r="R284" s="66">
        <f t="shared" si="36"/>
        <v>-9.3640641969349476E-3</v>
      </c>
      <c r="S284" s="66">
        <f t="shared" si="37"/>
        <v>-6.0335465186436583E-4</v>
      </c>
      <c r="T284" s="50" t="str">
        <f t="shared" si="38"/>
        <v/>
      </c>
      <c r="U284" s="50" t="str">
        <f t="shared" si="39"/>
        <v/>
      </c>
    </row>
    <row r="285" spans="1:21" x14ac:dyDescent="0.2">
      <c r="A285" s="38">
        <v>33879</v>
      </c>
      <c r="B285" s="4">
        <v>0.3</v>
      </c>
      <c r="C285" s="4">
        <v>0.35</v>
      </c>
      <c r="D285" s="4">
        <v>0.35</v>
      </c>
      <c r="E285" s="50">
        <v>1</v>
      </c>
      <c r="F285" s="50">
        <v>0.23749999999999999</v>
      </c>
      <c r="G285" s="50">
        <v>-0.05</v>
      </c>
      <c r="H285" s="50">
        <v>0.38490743662900001</v>
      </c>
      <c r="I285" s="50">
        <v>0.48829287047999997</v>
      </c>
      <c r="J285" s="50">
        <v>0.28152200277799999</v>
      </c>
      <c r="K285" s="50">
        <v>418.67</v>
      </c>
      <c r="L285" s="50">
        <v>410.45</v>
      </c>
      <c r="M285" s="50">
        <v>410.47</v>
      </c>
      <c r="N285" s="66">
        <f t="shared" si="32"/>
        <v>-1.9026969084220531E-2</v>
      </c>
      <c r="O285" s="66">
        <f t="shared" si="33"/>
        <v>2.0001461738982092E-2</v>
      </c>
      <c r="P285" s="4">
        <f t="shared" si="34"/>
        <v>-4.9999999999999989E-2</v>
      </c>
      <c r="Q285" s="4">
        <f t="shared" si="35"/>
        <v>-0.13500000000000001</v>
      </c>
      <c r="R285" s="66">
        <f t="shared" si="36"/>
        <v>-1.9026969084220531E-2</v>
      </c>
      <c r="S285" s="66">
        <f t="shared" si="37"/>
        <v>2.0001461738982092E-2</v>
      </c>
      <c r="T285" s="50" t="str">
        <f t="shared" si="38"/>
        <v/>
      </c>
      <c r="U285" s="50">
        <f t="shared" si="39"/>
        <v>1</v>
      </c>
    </row>
    <row r="286" spans="1:21" x14ac:dyDescent="0.2">
      <c r="A286" s="38">
        <v>33886</v>
      </c>
      <c r="B286" s="4">
        <v>0.21</v>
      </c>
      <c r="C286" s="4">
        <v>0.35</v>
      </c>
      <c r="D286" s="4">
        <v>0.44</v>
      </c>
      <c r="E286" s="50">
        <v>1</v>
      </c>
      <c r="F286" s="50">
        <v>0.23125000000000001</v>
      </c>
      <c r="G286" s="50">
        <v>-0.23</v>
      </c>
      <c r="H286" s="50">
        <v>0.38490743662900001</v>
      </c>
      <c r="I286" s="50">
        <v>0.48829287047999997</v>
      </c>
      <c r="J286" s="50">
        <v>0.28152200277799999</v>
      </c>
      <c r="K286" s="50">
        <v>407.75</v>
      </c>
      <c r="L286" s="50">
        <v>402.42</v>
      </c>
      <c r="M286" s="50">
        <v>402.66</v>
      </c>
      <c r="N286" s="66">
        <f t="shared" si="32"/>
        <v>2.2525207370982944E-2</v>
      </c>
      <c r="O286" s="66">
        <f t="shared" si="33"/>
        <v>3.7053593602542984E-2</v>
      </c>
      <c r="P286" s="4">
        <f t="shared" si="34"/>
        <v>-0.23</v>
      </c>
      <c r="Q286" s="4">
        <f t="shared" si="35"/>
        <v>-0.15</v>
      </c>
      <c r="R286" s="66">
        <f t="shared" si="36"/>
        <v>2.2525207370982944E-2</v>
      </c>
      <c r="S286" s="66">
        <f t="shared" si="37"/>
        <v>3.7053593602542984E-2</v>
      </c>
      <c r="T286" s="50">
        <f t="shared" si="38"/>
        <v>1</v>
      </c>
      <c r="U286" s="50">
        <f t="shared" si="39"/>
        <v>1</v>
      </c>
    </row>
    <row r="287" spans="1:21" x14ac:dyDescent="0.2">
      <c r="A287" s="38">
        <v>33893</v>
      </c>
      <c r="B287" s="4">
        <v>0.2</v>
      </c>
      <c r="C287" s="4">
        <v>0.24</v>
      </c>
      <c r="D287" s="4">
        <v>0.56000000000000005</v>
      </c>
      <c r="E287" s="50">
        <v>1</v>
      </c>
      <c r="F287" s="50">
        <v>0.22875000000000001</v>
      </c>
      <c r="G287" s="50">
        <v>-0.36</v>
      </c>
      <c r="H287" s="50">
        <v>0.38490743662900001</v>
      </c>
      <c r="I287" s="50">
        <v>0.48829287047999997</v>
      </c>
      <c r="J287" s="50">
        <v>0.28152200277799999</v>
      </c>
      <c r="K287" s="50">
        <v>411.73</v>
      </c>
      <c r="L287" s="50">
        <v>407.43</v>
      </c>
      <c r="M287" s="50">
        <v>411.73</v>
      </c>
      <c r="N287" s="66">
        <f t="shared" si="32"/>
        <v>5.7561994510966028E-3</v>
      </c>
      <c r="O287" s="66">
        <f t="shared" si="33"/>
        <v>2.5987904694824249E-2</v>
      </c>
      <c r="P287" s="4">
        <f t="shared" si="34"/>
        <v>-0.36000000000000004</v>
      </c>
      <c r="Q287" s="4">
        <f t="shared" si="35"/>
        <v>-0.2</v>
      </c>
      <c r="R287" s="66">
        <f t="shared" si="36"/>
        <v>5.7561994510966028E-3</v>
      </c>
      <c r="S287" s="66">
        <f t="shared" si="37"/>
        <v>2.5987904694824249E-2</v>
      </c>
      <c r="T287" s="50">
        <f t="shared" si="38"/>
        <v>1</v>
      </c>
      <c r="U287" s="50">
        <f t="shared" si="39"/>
        <v>1</v>
      </c>
    </row>
    <row r="288" spans="1:21" x14ac:dyDescent="0.2">
      <c r="A288" s="38">
        <v>33900</v>
      </c>
      <c r="B288" s="4">
        <v>0.21</v>
      </c>
      <c r="C288" s="4">
        <v>0.32</v>
      </c>
      <c r="D288" s="4">
        <v>0.47</v>
      </c>
      <c r="E288" s="50">
        <v>1</v>
      </c>
      <c r="F288" s="50">
        <v>0.2175</v>
      </c>
      <c r="G288" s="50">
        <v>-0.26</v>
      </c>
      <c r="H288" s="50">
        <v>0.38490743662900001</v>
      </c>
      <c r="I288" s="50">
        <v>0.48829287047999997</v>
      </c>
      <c r="J288" s="50">
        <v>0.28152200277799999</v>
      </c>
      <c r="K288" s="50">
        <v>417.98</v>
      </c>
      <c r="L288" s="50">
        <v>407.43</v>
      </c>
      <c r="M288" s="50">
        <v>414.1</v>
      </c>
      <c r="N288" s="66">
        <f t="shared" si="32"/>
        <v>1.1060130403284192E-2</v>
      </c>
      <c r="O288" s="66">
        <f t="shared" si="33"/>
        <v>3.0306689205505805E-2</v>
      </c>
      <c r="P288" s="4">
        <f t="shared" si="34"/>
        <v>-0.26</v>
      </c>
      <c r="Q288" s="4">
        <f t="shared" si="35"/>
        <v>-0.22500000000000003</v>
      </c>
      <c r="R288" s="66">
        <f t="shared" si="36"/>
        <v>1.1060130403284192E-2</v>
      </c>
      <c r="S288" s="66">
        <f t="shared" si="37"/>
        <v>3.0306689205505805E-2</v>
      </c>
      <c r="T288" s="50">
        <f t="shared" si="38"/>
        <v>1</v>
      </c>
      <c r="U288" s="50">
        <f t="shared" si="39"/>
        <v>1</v>
      </c>
    </row>
    <row r="289" spans="1:21" x14ac:dyDescent="0.2">
      <c r="A289" s="38">
        <v>33907</v>
      </c>
      <c r="B289" s="4">
        <v>0.35</v>
      </c>
      <c r="C289" s="4">
        <v>0.35</v>
      </c>
      <c r="D289" s="4">
        <v>0.3</v>
      </c>
      <c r="E289" s="50">
        <v>1</v>
      </c>
      <c r="F289" s="50">
        <v>0.24374999999999999</v>
      </c>
      <c r="G289" s="50">
        <v>0.05</v>
      </c>
      <c r="H289" s="50">
        <v>0.38490743662900001</v>
      </c>
      <c r="I289" s="50">
        <v>0.48829287047999997</v>
      </c>
      <c r="J289" s="50">
        <v>0.28152200277799999</v>
      </c>
      <c r="K289" s="50">
        <v>421.16</v>
      </c>
      <c r="L289" s="50">
        <v>413.7</v>
      </c>
      <c r="M289" s="50">
        <v>418.68</v>
      </c>
      <c r="N289" s="66">
        <f t="shared" si="32"/>
        <v>-2.6273048629025094E-3</v>
      </c>
      <c r="O289" s="66">
        <f t="shared" si="33"/>
        <v>2.5102703735549802E-2</v>
      </c>
      <c r="P289" s="4">
        <f t="shared" si="34"/>
        <v>4.9999999999999989E-2</v>
      </c>
      <c r="Q289" s="4">
        <f t="shared" si="35"/>
        <v>-0.2</v>
      </c>
      <c r="R289" s="66">
        <f t="shared" si="36"/>
        <v>-2.6273048629025094E-3</v>
      </c>
      <c r="S289" s="66">
        <f t="shared" si="37"/>
        <v>2.5102703735549802E-2</v>
      </c>
      <c r="T289" s="50" t="str">
        <f t="shared" si="38"/>
        <v/>
      </c>
      <c r="U289" s="50">
        <f t="shared" si="39"/>
        <v>1</v>
      </c>
    </row>
    <row r="290" spans="1:21" x14ac:dyDescent="0.2">
      <c r="A290" s="38">
        <v>33914</v>
      </c>
      <c r="B290" s="4">
        <v>0.49</v>
      </c>
      <c r="C290" s="4">
        <v>0.27</v>
      </c>
      <c r="D290" s="4">
        <v>0.24</v>
      </c>
      <c r="E290" s="50">
        <v>1</v>
      </c>
      <c r="F290" s="50">
        <v>0.27750000000000002</v>
      </c>
      <c r="G290" s="50">
        <v>0.25</v>
      </c>
      <c r="H290" s="50">
        <v>0.38490743662900001</v>
      </c>
      <c r="I290" s="50">
        <v>0.48829287047999997</v>
      </c>
      <c r="J290" s="50">
        <v>0.28152200277799999</v>
      </c>
      <c r="K290" s="50">
        <v>422.81</v>
      </c>
      <c r="L290" s="50">
        <v>415.58</v>
      </c>
      <c r="M290" s="50">
        <v>417.58</v>
      </c>
      <c r="N290" s="66">
        <f t="shared" si="32"/>
        <v>1.1614540926289628E-2</v>
      </c>
      <c r="O290" s="66">
        <f t="shared" si="33"/>
        <v>3.4675990229417163E-2</v>
      </c>
      <c r="P290" s="4">
        <f t="shared" si="34"/>
        <v>0.25</v>
      </c>
      <c r="Q290" s="4">
        <f t="shared" si="35"/>
        <v>-8.0000000000000016E-2</v>
      </c>
      <c r="R290" s="66">
        <f t="shared" si="36"/>
        <v>1.1614540926289628E-2</v>
      </c>
      <c r="S290" s="66">
        <f t="shared" si="37"/>
        <v>3.4675990229417163E-2</v>
      </c>
      <c r="T290" s="50">
        <f t="shared" si="38"/>
        <v>1</v>
      </c>
      <c r="U290" s="50">
        <f t="shared" si="39"/>
        <v>1</v>
      </c>
    </row>
    <row r="291" spans="1:21" x14ac:dyDescent="0.2">
      <c r="A291" s="38">
        <v>33921</v>
      </c>
      <c r="B291" s="4">
        <v>0.37</v>
      </c>
      <c r="C291" s="4">
        <v>0.44</v>
      </c>
      <c r="D291" s="4">
        <v>0.19</v>
      </c>
      <c r="E291" s="50">
        <v>1</v>
      </c>
      <c r="F291" s="50">
        <v>0.29749999999999999</v>
      </c>
      <c r="G291" s="50">
        <v>0.18</v>
      </c>
      <c r="H291" s="50">
        <v>0.38490743662900001</v>
      </c>
      <c r="I291" s="50">
        <v>0.48829287047999997</v>
      </c>
      <c r="J291" s="50">
        <v>0.28152200277799999</v>
      </c>
      <c r="K291" s="50">
        <v>423.1</v>
      </c>
      <c r="L291" s="50">
        <v>416.79</v>
      </c>
      <c r="M291" s="50">
        <v>422.43</v>
      </c>
      <c r="N291" s="66">
        <f t="shared" si="32"/>
        <v>9.9898207987121432E-3</v>
      </c>
      <c r="O291" s="66">
        <f t="shared" si="33"/>
        <v>2.6749994081859744E-2</v>
      </c>
      <c r="P291" s="4">
        <f t="shared" si="34"/>
        <v>0.18</v>
      </c>
      <c r="Q291" s="4">
        <f t="shared" si="35"/>
        <v>5.4999999999999993E-2</v>
      </c>
      <c r="R291" s="66">
        <f t="shared" si="36"/>
        <v>9.9898207987121432E-3</v>
      </c>
      <c r="S291" s="66">
        <f t="shared" si="37"/>
        <v>2.6749994081859744E-2</v>
      </c>
      <c r="T291" s="50">
        <f t="shared" si="38"/>
        <v>1</v>
      </c>
      <c r="U291" s="50">
        <f t="shared" si="39"/>
        <v>1</v>
      </c>
    </row>
    <row r="292" spans="1:21" x14ac:dyDescent="0.2">
      <c r="A292" s="38">
        <v>33928</v>
      </c>
      <c r="B292" s="4">
        <v>0.48</v>
      </c>
      <c r="C292" s="4">
        <v>0.38</v>
      </c>
      <c r="D292" s="4">
        <v>0.14000000000000001</v>
      </c>
      <c r="E292" s="50">
        <v>1</v>
      </c>
      <c r="F292" s="50">
        <v>0.32624999999999998</v>
      </c>
      <c r="G292" s="50">
        <v>0.34</v>
      </c>
      <c r="H292" s="50">
        <v>0.38490743662900001</v>
      </c>
      <c r="I292" s="50">
        <v>0.48829287047999997</v>
      </c>
      <c r="J292" s="50">
        <v>0.28152200277799999</v>
      </c>
      <c r="K292" s="50">
        <v>426.98</v>
      </c>
      <c r="L292" s="50">
        <v>418.31</v>
      </c>
      <c r="M292" s="50">
        <v>426.65</v>
      </c>
      <c r="N292" s="66">
        <f t="shared" si="32"/>
        <v>5.9533575530294636E-3</v>
      </c>
      <c r="O292" s="66">
        <f t="shared" si="33"/>
        <v>3.4290401968826899E-2</v>
      </c>
      <c r="P292" s="4">
        <f t="shared" si="34"/>
        <v>0.33999999999999997</v>
      </c>
      <c r="Q292" s="4">
        <f t="shared" si="35"/>
        <v>0.20499999999999999</v>
      </c>
      <c r="R292" s="66">
        <f t="shared" si="36"/>
        <v>5.9533575530294636E-3</v>
      </c>
      <c r="S292" s="66">
        <f t="shared" si="37"/>
        <v>3.4290401968826899E-2</v>
      </c>
      <c r="T292" s="50">
        <f t="shared" si="38"/>
        <v>1</v>
      </c>
      <c r="U292" s="50">
        <f t="shared" si="39"/>
        <v>1</v>
      </c>
    </row>
    <row r="293" spans="1:21" x14ac:dyDescent="0.2">
      <c r="A293" s="38">
        <v>33933</v>
      </c>
      <c r="B293" s="4">
        <v>0.43</v>
      </c>
      <c r="C293" s="4">
        <v>0.37</v>
      </c>
      <c r="D293" s="4">
        <v>0.2</v>
      </c>
      <c r="E293" s="50">
        <v>1</v>
      </c>
      <c r="F293" s="50">
        <v>0.34250000000000003</v>
      </c>
      <c r="G293" s="50">
        <v>0.23</v>
      </c>
      <c r="H293" s="50">
        <v>0.38490743662900001</v>
      </c>
      <c r="I293" s="50">
        <v>0.48829287047999997</v>
      </c>
      <c r="J293" s="50">
        <v>0.28152200277799999</v>
      </c>
      <c r="K293" s="50">
        <v>429.41</v>
      </c>
      <c r="L293" s="50">
        <v>422.5</v>
      </c>
      <c r="M293" s="50">
        <v>429.19</v>
      </c>
      <c r="N293" s="66">
        <f t="shared" si="32"/>
        <v>6.6870150749085595E-3</v>
      </c>
      <c r="O293" s="66">
        <f t="shared" si="33"/>
        <v>2.4651086931195935E-2</v>
      </c>
      <c r="P293" s="4">
        <f t="shared" si="34"/>
        <v>0.22999999999999998</v>
      </c>
      <c r="Q293" s="4">
        <f t="shared" si="35"/>
        <v>0.25</v>
      </c>
      <c r="R293" s="66">
        <f t="shared" si="36"/>
        <v>6.6870150749085595E-3</v>
      </c>
      <c r="S293" s="66">
        <f t="shared" si="37"/>
        <v>2.4651086931195935E-2</v>
      </c>
      <c r="T293" s="50">
        <f t="shared" si="38"/>
        <v>1</v>
      </c>
      <c r="U293" s="50">
        <f t="shared" si="39"/>
        <v>1</v>
      </c>
    </row>
    <row r="294" spans="1:21" x14ac:dyDescent="0.2">
      <c r="A294" s="38">
        <v>33942</v>
      </c>
      <c r="B294" s="4">
        <v>0.37</v>
      </c>
      <c r="C294" s="4">
        <v>0.39</v>
      </c>
      <c r="D294" s="4">
        <v>0.24</v>
      </c>
      <c r="E294" s="50">
        <v>1</v>
      </c>
      <c r="F294" s="50">
        <v>0.36249999999999999</v>
      </c>
      <c r="G294" s="50">
        <v>0.13</v>
      </c>
      <c r="H294" s="50">
        <v>0.38490743662900001</v>
      </c>
      <c r="I294" s="50">
        <v>0.48829287047999997</v>
      </c>
      <c r="J294" s="50">
        <v>0.28152200277799999</v>
      </c>
      <c r="K294" s="50">
        <v>432.89</v>
      </c>
      <c r="L294" s="50">
        <v>428.61</v>
      </c>
      <c r="M294" s="50">
        <v>432.06</v>
      </c>
      <c r="N294" s="66">
        <f t="shared" si="32"/>
        <v>3.8652039068648239E-3</v>
      </c>
      <c r="O294" s="66">
        <f t="shared" si="33"/>
        <v>8.4479007545247824E-3</v>
      </c>
      <c r="P294" s="4">
        <f t="shared" si="34"/>
        <v>0.13</v>
      </c>
      <c r="Q294" s="4">
        <f t="shared" si="35"/>
        <v>0.22</v>
      </c>
      <c r="R294" s="66">
        <f t="shared" si="36"/>
        <v>3.8652039068648239E-3</v>
      </c>
      <c r="S294" s="66">
        <f t="shared" si="37"/>
        <v>8.4479007545247824E-3</v>
      </c>
      <c r="T294" s="50">
        <f t="shared" si="38"/>
        <v>1</v>
      </c>
      <c r="U294" s="50">
        <f t="shared" si="39"/>
        <v>1</v>
      </c>
    </row>
    <row r="295" spans="1:21" x14ac:dyDescent="0.2">
      <c r="A295" s="38">
        <v>33949</v>
      </c>
      <c r="B295" s="4">
        <v>0.43</v>
      </c>
      <c r="C295" s="4">
        <v>0.42</v>
      </c>
      <c r="D295" s="4">
        <v>0.15</v>
      </c>
      <c r="E295" s="50">
        <v>1</v>
      </c>
      <c r="F295" s="50">
        <v>0.39124999999999999</v>
      </c>
      <c r="G295" s="50">
        <v>0.28000000000000003</v>
      </c>
      <c r="H295" s="50">
        <v>0.38490743662900001</v>
      </c>
      <c r="I295" s="50">
        <v>0.48829287047999997</v>
      </c>
      <c r="J295" s="50">
        <v>0.28152200277799999</v>
      </c>
      <c r="K295" s="50">
        <v>436.99</v>
      </c>
      <c r="L295" s="50">
        <v>432.06</v>
      </c>
      <c r="M295" s="50">
        <v>433.73</v>
      </c>
      <c r="N295" s="66">
        <f t="shared" si="32"/>
        <v>1.7407142692458338E-2</v>
      </c>
      <c r="O295" s="66">
        <f t="shared" si="33"/>
        <v>-1.0790122887510679E-2</v>
      </c>
      <c r="P295" s="4">
        <f t="shared" si="34"/>
        <v>0.28000000000000003</v>
      </c>
      <c r="Q295" s="4">
        <f t="shared" si="35"/>
        <v>0.245</v>
      </c>
      <c r="R295" s="66">
        <f t="shared" si="36"/>
        <v>1.7407142692458338E-2</v>
      </c>
      <c r="S295" s="66">
        <f t="shared" si="37"/>
        <v>-1.0790122887510679E-2</v>
      </c>
      <c r="T295" s="50">
        <f t="shared" si="38"/>
        <v>1</v>
      </c>
      <c r="U295" s="50" t="str">
        <f t="shared" si="39"/>
        <v/>
      </c>
    </row>
    <row r="296" spans="1:21" x14ac:dyDescent="0.2">
      <c r="A296" s="38">
        <v>33956</v>
      </c>
      <c r="B296" s="4">
        <v>0.63</v>
      </c>
      <c r="C296" s="4">
        <v>0.27</v>
      </c>
      <c r="D296" s="4">
        <v>0.1</v>
      </c>
      <c r="E296" s="50">
        <v>1</v>
      </c>
      <c r="F296" s="50">
        <v>0.44374999999999998</v>
      </c>
      <c r="G296" s="50">
        <v>0.53</v>
      </c>
      <c r="H296" s="50">
        <v>0.38490743662900001</v>
      </c>
      <c r="I296" s="50">
        <v>0.48829287047999997</v>
      </c>
      <c r="J296" s="50">
        <v>0.28152200277799999</v>
      </c>
      <c r="K296" s="50">
        <v>441.29</v>
      </c>
      <c r="L296" s="50">
        <v>430.88</v>
      </c>
      <c r="M296" s="50">
        <v>441.28</v>
      </c>
      <c r="N296" s="66">
        <f t="shared" si="32"/>
        <v>-3.4218636693255778E-3</v>
      </c>
      <c r="O296" s="66">
        <f t="shared" si="33"/>
        <v>-9.3591370558375533E-3</v>
      </c>
      <c r="P296" s="4">
        <f t="shared" si="34"/>
        <v>0.53</v>
      </c>
      <c r="Q296" s="4">
        <f t="shared" si="35"/>
        <v>0.29249999999999998</v>
      </c>
      <c r="R296" s="66">
        <f t="shared" si="36"/>
        <v>-3.4218636693255778E-3</v>
      </c>
      <c r="S296" s="66">
        <f t="shared" si="37"/>
        <v>-9.3591370558375533E-3</v>
      </c>
      <c r="T296" s="50" t="str">
        <f t="shared" si="38"/>
        <v/>
      </c>
      <c r="U296" s="50" t="str">
        <f t="shared" si="39"/>
        <v/>
      </c>
    </row>
    <row r="297" spans="1:21" x14ac:dyDescent="0.2">
      <c r="A297" s="38">
        <v>33962</v>
      </c>
      <c r="B297" s="4">
        <v>0.55000000000000004</v>
      </c>
      <c r="C297" s="4">
        <v>0.3</v>
      </c>
      <c r="D297" s="4">
        <v>0.15</v>
      </c>
      <c r="E297" s="50">
        <v>1</v>
      </c>
      <c r="F297" s="50">
        <v>0.46875</v>
      </c>
      <c r="G297" s="50">
        <v>0.4</v>
      </c>
      <c r="H297" s="50">
        <v>0.38490743662900001</v>
      </c>
      <c r="I297" s="50">
        <v>0.48829287047999997</v>
      </c>
      <c r="J297" s="50">
        <v>0.28152200277799999</v>
      </c>
      <c r="K297" s="50">
        <v>441.64</v>
      </c>
      <c r="L297" s="50">
        <v>438.25</v>
      </c>
      <c r="M297" s="50">
        <v>439.77</v>
      </c>
      <c r="N297" s="66">
        <f t="shared" si="32"/>
        <v>-9.2320985969938894E-3</v>
      </c>
      <c r="O297" s="66">
        <f t="shared" si="33"/>
        <v>-8.322532232757961E-3</v>
      </c>
      <c r="P297" s="4">
        <f t="shared" si="34"/>
        <v>0.4</v>
      </c>
      <c r="Q297" s="4">
        <f t="shared" si="35"/>
        <v>0.33500000000000002</v>
      </c>
      <c r="R297" s="66">
        <f t="shared" si="36"/>
        <v>-9.2320985969938894E-3</v>
      </c>
      <c r="S297" s="66">
        <f t="shared" si="37"/>
        <v>-8.322532232757961E-3</v>
      </c>
      <c r="T297" s="50" t="str">
        <f t="shared" si="38"/>
        <v/>
      </c>
      <c r="U297" s="50" t="str">
        <f t="shared" si="39"/>
        <v/>
      </c>
    </row>
    <row r="298" spans="1:21" x14ac:dyDescent="0.2">
      <c r="A298" s="38">
        <v>33970</v>
      </c>
      <c r="B298" s="4">
        <v>0.6</v>
      </c>
      <c r="C298" s="4">
        <v>0.27</v>
      </c>
      <c r="D298" s="4">
        <v>0.13</v>
      </c>
      <c r="E298" s="50">
        <v>1</v>
      </c>
      <c r="F298" s="50">
        <v>0.48249999999999998</v>
      </c>
      <c r="G298" s="50">
        <v>0.47</v>
      </c>
      <c r="H298" s="50">
        <v>0.38490743662900001</v>
      </c>
      <c r="I298" s="50">
        <v>0.48829287047999997</v>
      </c>
      <c r="J298" s="50">
        <v>0.28152200277799999</v>
      </c>
      <c r="K298" s="50">
        <v>442.65</v>
      </c>
      <c r="L298" s="50">
        <v>435.71</v>
      </c>
      <c r="M298" s="50">
        <v>435.71</v>
      </c>
      <c r="N298" s="66">
        <f t="shared" si="32"/>
        <v>-1.5285396249799106E-2</v>
      </c>
      <c r="O298" s="66">
        <f t="shared" si="33"/>
        <v>7.0459709439764824E-3</v>
      </c>
      <c r="P298" s="4">
        <f t="shared" si="34"/>
        <v>0.47</v>
      </c>
      <c r="Q298" s="4">
        <f t="shared" si="35"/>
        <v>0.42</v>
      </c>
      <c r="R298" s="66">
        <f t="shared" si="36"/>
        <v>-1.5285396249799106E-2</v>
      </c>
      <c r="S298" s="66">
        <f t="shared" si="37"/>
        <v>7.0459709439764824E-3</v>
      </c>
      <c r="T298" s="50" t="str">
        <f t="shared" si="38"/>
        <v/>
      </c>
      <c r="U298" s="50">
        <f t="shared" si="39"/>
        <v>1</v>
      </c>
    </row>
    <row r="299" spans="1:21" x14ac:dyDescent="0.2">
      <c r="A299" s="38">
        <v>33977</v>
      </c>
      <c r="B299" s="4">
        <v>0.2</v>
      </c>
      <c r="C299" s="4">
        <v>0.49</v>
      </c>
      <c r="D299" s="4">
        <v>0.31</v>
      </c>
      <c r="E299" s="50">
        <v>1</v>
      </c>
      <c r="F299" s="50">
        <v>0.46124999999999999</v>
      </c>
      <c r="G299" s="50">
        <v>-0.11</v>
      </c>
      <c r="H299" s="50">
        <v>0.38490743662900001</v>
      </c>
      <c r="I299" s="50">
        <v>0.48829287047999997</v>
      </c>
      <c r="J299" s="50">
        <v>0.28152200277799999</v>
      </c>
      <c r="K299" s="50">
        <v>437.32</v>
      </c>
      <c r="L299" s="50">
        <v>426.88</v>
      </c>
      <c r="M299" s="50">
        <v>429.05</v>
      </c>
      <c r="N299" s="66">
        <f t="shared" si="32"/>
        <v>1.8878918540962512E-2</v>
      </c>
      <c r="O299" s="66">
        <f t="shared" si="33"/>
        <v>4.6334925999300766E-2</v>
      </c>
      <c r="P299" s="4">
        <f t="shared" si="34"/>
        <v>-0.10999999999999999</v>
      </c>
      <c r="Q299" s="4">
        <f t="shared" si="35"/>
        <v>0.32250000000000001</v>
      </c>
      <c r="R299" s="66">
        <f t="shared" si="36"/>
        <v>1.8878918540962512E-2</v>
      </c>
      <c r="S299" s="66">
        <f t="shared" si="37"/>
        <v>4.6334925999300766E-2</v>
      </c>
      <c r="T299" s="50">
        <f t="shared" si="38"/>
        <v>1</v>
      </c>
      <c r="U299" s="50">
        <f t="shared" si="39"/>
        <v>1</v>
      </c>
    </row>
    <row r="300" spans="1:21" x14ac:dyDescent="0.2">
      <c r="A300" s="38">
        <v>33984</v>
      </c>
      <c r="B300" s="4">
        <v>0.54</v>
      </c>
      <c r="C300" s="4">
        <v>0.32</v>
      </c>
      <c r="D300" s="4">
        <v>0.14000000000000001</v>
      </c>
      <c r="E300" s="50">
        <v>1</v>
      </c>
      <c r="F300" s="50">
        <v>0.46875</v>
      </c>
      <c r="G300" s="50">
        <v>0.4</v>
      </c>
      <c r="H300" s="50">
        <v>0.38490743662900001</v>
      </c>
      <c r="I300" s="50">
        <v>0.48829287047999997</v>
      </c>
      <c r="J300" s="50">
        <v>0.28152200277799999</v>
      </c>
      <c r="K300" s="50">
        <v>439.49</v>
      </c>
      <c r="L300" s="50">
        <v>428.19</v>
      </c>
      <c r="M300" s="50">
        <v>437.15</v>
      </c>
      <c r="N300" s="66">
        <f t="shared" si="32"/>
        <v>-2.3790460940179884E-3</v>
      </c>
      <c r="O300" s="66">
        <f t="shared" si="33"/>
        <v>1.69964543063022E-2</v>
      </c>
      <c r="P300" s="4">
        <f t="shared" si="34"/>
        <v>0.4</v>
      </c>
      <c r="Q300" s="4">
        <f t="shared" si="35"/>
        <v>0.29000000000000004</v>
      </c>
      <c r="R300" s="66">
        <f t="shared" si="36"/>
        <v>-2.3790460940179884E-3</v>
      </c>
      <c r="S300" s="66">
        <f t="shared" si="37"/>
        <v>1.69964543063022E-2</v>
      </c>
      <c r="T300" s="50" t="str">
        <f t="shared" si="38"/>
        <v/>
      </c>
      <c r="U300" s="50">
        <f t="shared" si="39"/>
        <v>1</v>
      </c>
    </row>
    <row r="301" spans="1:21" x14ac:dyDescent="0.2">
      <c r="A301" s="38">
        <v>33991</v>
      </c>
      <c r="B301" s="4">
        <v>0.41</v>
      </c>
      <c r="C301" s="4">
        <v>0.38</v>
      </c>
      <c r="D301" s="4">
        <v>0.21</v>
      </c>
      <c r="E301" s="50">
        <v>1</v>
      </c>
      <c r="F301" s="50">
        <v>0.46625</v>
      </c>
      <c r="G301" s="50">
        <v>0.2</v>
      </c>
      <c r="H301" s="50">
        <v>0.38490743662900001</v>
      </c>
      <c r="I301" s="50">
        <v>0.48829287047999997</v>
      </c>
      <c r="J301" s="50">
        <v>0.28152200277799999</v>
      </c>
      <c r="K301" s="50">
        <v>437.82</v>
      </c>
      <c r="L301" s="50">
        <v>432.48</v>
      </c>
      <c r="M301" s="50">
        <v>436.11</v>
      </c>
      <c r="N301" s="66">
        <f t="shared" si="32"/>
        <v>6.1223085918689297E-3</v>
      </c>
      <c r="O301" s="66">
        <f t="shared" si="33"/>
        <v>-4.3337690032330982E-3</v>
      </c>
      <c r="P301" s="4">
        <f t="shared" si="34"/>
        <v>0.19999999999999998</v>
      </c>
      <c r="Q301" s="4">
        <f t="shared" si="35"/>
        <v>0.24</v>
      </c>
      <c r="R301" s="66">
        <f t="shared" si="36"/>
        <v>6.1223085918689297E-3</v>
      </c>
      <c r="S301" s="66">
        <f t="shared" si="37"/>
        <v>-4.3337690032330982E-3</v>
      </c>
      <c r="T301" s="50">
        <f t="shared" si="38"/>
        <v>1</v>
      </c>
      <c r="U301" s="50" t="str">
        <f t="shared" si="39"/>
        <v/>
      </c>
    </row>
    <row r="302" spans="1:21" x14ac:dyDescent="0.2">
      <c r="A302" s="38">
        <v>33998</v>
      </c>
      <c r="B302" s="4">
        <v>0.4</v>
      </c>
      <c r="C302" s="4">
        <v>0.37</v>
      </c>
      <c r="D302" s="4">
        <v>0.23</v>
      </c>
      <c r="E302" s="50">
        <v>1</v>
      </c>
      <c r="F302" s="50">
        <v>0.47</v>
      </c>
      <c r="G302" s="50">
        <v>0.17</v>
      </c>
      <c r="H302" s="50">
        <v>0.38490743662900001</v>
      </c>
      <c r="I302" s="50">
        <v>0.48829287047999997</v>
      </c>
      <c r="J302" s="50">
        <v>0.28152200277799999</v>
      </c>
      <c r="K302" s="50">
        <v>442.66</v>
      </c>
      <c r="L302" s="50">
        <v>436.11</v>
      </c>
      <c r="M302" s="50">
        <v>438.78</v>
      </c>
      <c r="N302" s="66">
        <f t="shared" si="32"/>
        <v>2.313232143671096E-2</v>
      </c>
      <c r="O302" s="66">
        <f t="shared" si="33"/>
        <v>1.0483613656046362E-2</v>
      </c>
      <c r="P302" s="4">
        <f t="shared" si="34"/>
        <v>0.17</v>
      </c>
      <c r="Q302" s="4">
        <f t="shared" si="35"/>
        <v>0.16500000000000001</v>
      </c>
      <c r="R302" s="66">
        <f t="shared" si="36"/>
        <v>2.313232143671096E-2</v>
      </c>
      <c r="S302" s="66">
        <f t="shared" si="37"/>
        <v>1.0483613656046362E-2</v>
      </c>
      <c r="T302" s="50">
        <f t="shared" si="38"/>
        <v>1</v>
      </c>
      <c r="U302" s="50">
        <f t="shared" si="39"/>
        <v>1</v>
      </c>
    </row>
    <row r="303" spans="1:21" x14ac:dyDescent="0.2">
      <c r="A303" s="38">
        <v>34005</v>
      </c>
      <c r="B303" s="4">
        <v>0.44</v>
      </c>
      <c r="C303" s="4">
        <v>0.34</v>
      </c>
      <c r="D303" s="4">
        <v>0.22</v>
      </c>
      <c r="E303" s="50">
        <v>1</v>
      </c>
      <c r="F303" s="50">
        <v>0.47125</v>
      </c>
      <c r="G303" s="50">
        <v>0.22</v>
      </c>
      <c r="H303" s="50">
        <v>0.38490743662900001</v>
      </c>
      <c r="I303" s="50">
        <v>0.48829287047999997</v>
      </c>
      <c r="J303" s="50">
        <v>0.28152200277799999</v>
      </c>
      <c r="K303" s="50">
        <v>449.86</v>
      </c>
      <c r="L303" s="50">
        <v>438.78</v>
      </c>
      <c r="M303" s="50">
        <v>448.93</v>
      </c>
      <c r="N303" s="66">
        <f t="shared" si="32"/>
        <v>-9.689706635778457E-3</v>
      </c>
      <c r="O303" s="66">
        <f t="shared" si="33"/>
        <v>-6.2816029225046064E-3</v>
      </c>
      <c r="P303" s="4">
        <f t="shared" si="34"/>
        <v>0.22</v>
      </c>
      <c r="Q303" s="4">
        <f t="shared" si="35"/>
        <v>0.2475</v>
      </c>
      <c r="R303" s="66">
        <f t="shared" si="36"/>
        <v>-9.689706635778457E-3</v>
      </c>
      <c r="S303" s="66">
        <f t="shared" si="37"/>
        <v>-6.2816029225046064E-3</v>
      </c>
      <c r="T303" s="50" t="str">
        <f t="shared" si="38"/>
        <v/>
      </c>
      <c r="U303" s="50" t="str">
        <f t="shared" si="39"/>
        <v/>
      </c>
    </row>
    <row r="304" spans="1:21" x14ac:dyDescent="0.2">
      <c r="A304" s="38">
        <v>34012</v>
      </c>
      <c r="B304" s="4">
        <v>0.47</v>
      </c>
      <c r="C304" s="4">
        <v>0.31</v>
      </c>
      <c r="D304" s="4">
        <v>0.22</v>
      </c>
      <c r="E304" s="50">
        <v>1</v>
      </c>
      <c r="F304" s="50">
        <v>0.45124999999999998</v>
      </c>
      <c r="G304" s="50">
        <v>0.25</v>
      </c>
      <c r="H304" s="50">
        <v>0.38490743662900001</v>
      </c>
      <c r="I304" s="50">
        <v>0.48829287047999997</v>
      </c>
      <c r="J304" s="50">
        <v>0.28152200277799999</v>
      </c>
      <c r="K304" s="50">
        <v>450.04</v>
      </c>
      <c r="L304" s="50">
        <v>444.24</v>
      </c>
      <c r="M304" s="50">
        <v>444.58</v>
      </c>
      <c r="N304" s="66">
        <f t="shared" si="32"/>
        <v>-2.3302892617751491E-2</v>
      </c>
      <c r="O304" s="66">
        <f t="shared" si="33"/>
        <v>1.1808898286022763E-2</v>
      </c>
      <c r="P304" s="4">
        <f t="shared" si="34"/>
        <v>0.24999999999999997</v>
      </c>
      <c r="Q304" s="4">
        <f t="shared" si="35"/>
        <v>0.21</v>
      </c>
      <c r="R304" s="66">
        <f t="shared" si="36"/>
        <v>-2.3302892617751491E-2</v>
      </c>
      <c r="S304" s="66">
        <f t="shared" si="37"/>
        <v>1.1808898286022763E-2</v>
      </c>
      <c r="T304" s="50" t="str">
        <f t="shared" si="38"/>
        <v/>
      </c>
      <c r="U304" s="50">
        <f t="shared" si="39"/>
        <v>1</v>
      </c>
    </row>
    <row r="305" spans="1:21" x14ac:dyDescent="0.2">
      <c r="A305" s="38">
        <v>34019</v>
      </c>
      <c r="B305" s="4">
        <v>0.46</v>
      </c>
      <c r="C305" s="4">
        <v>0.27</v>
      </c>
      <c r="D305" s="4">
        <v>0.27</v>
      </c>
      <c r="E305" s="50">
        <v>1</v>
      </c>
      <c r="F305" s="50">
        <v>0.44</v>
      </c>
      <c r="G305" s="50">
        <v>0.19</v>
      </c>
      <c r="H305" s="50">
        <v>0.38490743662900001</v>
      </c>
      <c r="I305" s="50">
        <v>0.48829287047999997</v>
      </c>
      <c r="J305" s="50">
        <v>0.28152200277799999</v>
      </c>
      <c r="K305" s="50">
        <v>444.58</v>
      </c>
      <c r="L305" s="50">
        <v>428.25</v>
      </c>
      <c r="M305" s="50">
        <v>434.22</v>
      </c>
      <c r="N305" s="66">
        <f t="shared" si="32"/>
        <v>2.1095297314725179E-2</v>
      </c>
      <c r="O305" s="66">
        <f t="shared" si="33"/>
        <v>3.6755561696835658E-2</v>
      </c>
      <c r="P305" s="4">
        <f t="shared" si="34"/>
        <v>0.19</v>
      </c>
      <c r="Q305" s="4">
        <f t="shared" si="35"/>
        <v>0.20750000000000002</v>
      </c>
      <c r="R305" s="66">
        <f t="shared" si="36"/>
        <v>2.1095297314725179E-2</v>
      </c>
      <c r="S305" s="66">
        <f t="shared" si="37"/>
        <v>3.6755561696835658E-2</v>
      </c>
      <c r="T305" s="50">
        <f t="shared" si="38"/>
        <v>1</v>
      </c>
      <c r="U305" s="50">
        <f t="shared" si="39"/>
        <v>1</v>
      </c>
    </row>
    <row r="306" spans="1:21" x14ac:dyDescent="0.2">
      <c r="A306" s="38">
        <v>34026</v>
      </c>
      <c r="B306" s="4">
        <v>0.34</v>
      </c>
      <c r="C306" s="4">
        <v>0.32</v>
      </c>
      <c r="D306" s="4">
        <v>0.34</v>
      </c>
      <c r="E306" s="50">
        <v>1</v>
      </c>
      <c r="F306" s="50">
        <v>0.40749999999999997</v>
      </c>
      <c r="G306" s="50">
        <v>0</v>
      </c>
      <c r="H306" s="50">
        <v>0.38490743662900001</v>
      </c>
      <c r="I306" s="50">
        <v>0.48829287047999997</v>
      </c>
      <c r="J306" s="50">
        <v>0.28152200277799999</v>
      </c>
      <c r="K306" s="50">
        <v>443.77</v>
      </c>
      <c r="L306" s="50">
        <v>432.41</v>
      </c>
      <c r="M306" s="50">
        <v>443.38</v>
      </c>
      <c r="N306" s="66">
        <f t="shared" si="32"/>
        <v>6.1572466056205024E-3</v>
      </c>
      <c r="O306" s="66">
        <f t="shared" si="33"/>
        <v>9.9237674229779808E-3</v>
      </c>
      <c r="P306" s="4">
        <f t="shared" si="34"/>
        <v>0</v>
      </c>
      <c r="Q306" s="4">
        <f t="shared" si="35"/>
        <v>0.16499999999999998</v>
      </c>
      <c r="R306" s="66">
        <f t="shared" si="36"/>
        <v>6.1572466056205024E-3</v>
      </c>
      <c r="S306" s="66">
        <f t="shared" si="37"/>
        <v>9.9237674229779808E-3</v>
      </c>
      <c r="T306" s="50">
        <f t="shared" si="38"/>
        <v>1</v>
      </c>
      <c r="U306" s="50">
        <f t="shared" si="39"/>
        <v>1</v>
      </c>
    </row>
    <row r="307" spans="1:21" x14ac:dyDescent="0.2">
      <c r="A307" s="38">
        <v>34033</v>
      </c>
      <c r="B307" s="4">
        <v>0.27</v>
      </c>
      <c r="C307" s="4">
        <v>0.36</v>
      </c>
      <c r="D307" s="4">
        <v>0.37</v>
      </c>
      <c r="E307" s="50">
        <v>1</v>
      </c>
      <c r="F307" s="50">
        <v>0.41625000000000001</v>
      </c>
      <c r="G307" s="50">
        <v>-0.1</v>
      </c>
      <c r="H307" s="50">
        <v>0.38490743662900001</v>
      </c>
      <c r="I307" s="50">
        <v>0.48829287047999997</v>
      </c>
      <c r="J307" s="50">
        <v>0.28152200277799999</v>
      </c>
      <c r="K307" s="50">
        <v>450</v>
      </c>
      <c r="L307" s="50">
        <v>441.07</v>
      </c>
      <c r="M307" s="50">
        <v>446.11</v>
      </c>
      <c r="N307" s="66">
        <f t="shared" si="32"/>
        <v>8.3387505323798405E-3</v>
      </c>
      <c r="O307" s="66">
        <f t="shared" si="33"/>
        <v>-1.0580350137858437E-2</v>
      </c>
      <c r="P307" s="4">
        <f t="shared" si="34"/>
        <v>-9.9999999999999978E-2</v>
      </c>
      <c r="Q307" s="4">
        <f t="shared" si="35"/>
        <v>8.4999999999999992E-2</v>
      </c>
      <c r="R307" s="66">
        <f t="shared" si="36"/>
        <v>8.3387505323798405E-3</v>
      </c>
      <c r="S307" s="66">
        <f t="shared" si="37"/>
        <v>-1.0580350137858437E-2</v>
      </c>
      <c r="T307" s="50">
        <f t="shared" si="38"/>
        <v>1</v>
      </c>
      <c r="U307" s="50" t="str">
        <f t="shared" si="39"/>
        <v/>
      </c>
    </row>
    <row r="308" spans="1:21" x14ac:dyDescent="0.2">
      <c r="A308" s="38">
        <v>34040</v>
      </c>
      <c r="B308" s="4">
        <v>0.45</v>
      </c>
      <c r="C308" s="4">
        <v>0.33</v>
      </c>
      <c r="D308" s="4">
        <v>0.22</v>
      </c>
      <c r="E308" s="50">
        <v>1</v>
      </c>
      <c r="F308" s="50">
        <v>0.40500000000000003</v>
      </c>
      <c r="G308" s="50">
        <v>0.23</v>
      </c>
      <c r="H308" s="50">
        <v>0.38490743662900001</v>
      </c>
      <c r="I308" s="50">
        <v>0.48829287047999997</v>
      </c>
      <c r="J308" s="50">
        <v>0.28152200277799999</v>
      </c>
      <c r="K308" s="50">
        <v>456.33</v>
      </c>
      <c r="L308" s="50">
        <v>447.04</v>
      </c>
      <c r="M308" s="50">
        <v>449.83</v>
      </c>
      <c r="N308" s="66">
        <f t="shared" si="32"/>
        <v>7.7807171598164363E-4</v>
      </c>
      <c r="O308" s="66">
        <f t="shared" si="33"/>
        <v>-1.7762265744836959E-2</v>
      </c>
      <c r="P308" s="4">
        <f t="shared" si="34"/>
        <v>0.23</v>
      </c>
      <c r="Q308" s="4">
        <f t="shared" si="35"/>
        <v>8.0000000000000016E-2</v>
      </c>
      <c r="R308" s="66">
        <f t="shared" si="36"/>
        <v>7.7807171598164363E-4</v>
      </c>
      <c r="S308" s="66">
        <f t="shared" si="37"/>
        <v>-1.7762265744836959E-2</v>
      </c>
      <c r="T308" s="50">
        <f t="shared" si="38"/>
        <v>1</v>
      </c>
      <c r="U308" s="50" t="str">
        <f t="shared" si="39"/>
        <v/>
      </c>
    </row>
    <row r="309" spans="1:21" x14ac:dyDescent="0.2">
      <c r="A309" s="38">
        <v>34047</v>
      </c>
      <c r="B309" s="4">
        <v>0.41</v>
      </c>
      <c r="C309" s="4">
        <v>0.32</v>
      </c>
      <c r="D309" s="4">
        <v>0.27</v>
      </c>
      <c r="E309" s="50">
        <v>1</v>
      </c>
      <c r="F309" s="50">
        <v>0.40500000000000003</v>
      </c>
      <c r="G309" s="50">
        <v>0.14000000000000001</v>
      </c>
      <c r="H309" s="50">
        <v>0.38490743662900001</v>
      </c>
      <c r="I309" s="50">
        <v>0.48829287047999997</v>
      </c>
      <c r="J309" s="50">
        <v>0.28152200277799999</v>
      </c>
      <c r="K309" s="50">
        <v>453.32</v>
      </c>
      <c r="L309" s="50">
        <v>447.99</v>
      </c>
      <c r="M309" s="50">
        <v>450.18</v>
      </c>
      <c r="N309" s="66">
        <f t="shared" si="32"/>
        <v>-5.3312008529922119E-3</v>
      </c>
      <c r="O309" s="66">
        <f t="shared" si="33"/>
        <v>-2.7544537740459571E-3</v>
      </c>
      <c r="P309" s="4">
        <f t="shared" si="34"/>
        <v>0.13999999999999996</v>
      </c>
      <c r="Q309" s="4">
        <f t="shared" si="35"/>
        <v>6.7500000000000004E-2</v>
      </c>
      <c r="R309" s="66">
        <f t="shared" si="36"/>
        <v>-5.3312008529922119E-3</v>
      </c>
      <c r="S309" s="66">
        <f t="shared" si="37"/>
        <v>-2.7544537740459571E-3</v>
      </c>
      <c r="T309" s="50" t="str">
        <f t="shared" si="38"/>
        <v/>
      </c>
      <c r="U309" s="50" t="str">
        <f t="shared" si="39"/>
        <v/>
      </c>
    </row>
    <row r="310" spans="1:21" x14ac:dyDescent="0.2">
      <c r="A310" s="38">
        <v>34054</v>
      </c>
      <c r="B310" s="4">
        <v>0.43</v>
      </c>
      <c r="C310" s="4">
        <v>0.34</v>
      </c>
      <c r="D310" s="4">
        <v>0.23</v>
      </c>
      <c r="E310" s="50">
        <v>1</v>
      </c>
      <c r="F310" s="50">
        <v>0.40875</v>
      </c>
      <c r="G310" s="50">
        <v>0.2</v>
      </c>
      <c r="H310" s="50">
        <v>0.38490743662900001</v>
      </c>
      <c r="I310" s="50">
        <v>0.48829287047999997</v>
      </c>
      <c r="J310" s="50">
        <v>0.28152200277799999</v>
      </c>
      <c r="K310" s="50">
        <v>452.09</v>
      </c>
      <c r="L310" s="50">
        <v>446.08</v>
      </c>
      <c r="M310" s="50">
        <v>447.78</v>
      </c>
      <c r="N310" s="66">
        <f t="shared" si="32"/>
        <v>-1.4270400643172957E-2</v>
      </c>
      <c r="O310" s="66">
        <f t="shared" si="33"/>
        <v>-2.3694671490463972E-2</v>
      </c>
      <c r="P310" s="4">
        <f t="shared" si="34"/>
        <v>0.19999999999999998</v>
      </c>
      <c r="Q310" s="4">
        <f t="shared" si="35"/>
        <v>0.11749999999999999</v>
      </c>
      <c r="R310" s="66">
        <f t="shared" si="36"/>
        <v>-1.4270400643172957E-2</v>
      </c>
      <c r="S310" s="66">
        <f t="shared" si="37"/>
        <v>-2.3694671490463972E-2</v>
      </c>
      <c r="T310" s="50" t="str">
        <f t="shared" si="38"/>
        <v/>
      </c>
      <c r="U310" s="50" t="str">
        <f t="shared" si="39"/>
        <v/>
      </c>
    </row>
    <row r="311" spans="1:21" x14ac:dyDescent="0.2">
      <c r="A311" s="38">
        <v>34061</v>
      </c>
      <c r="B311" s="4">
        <v>0.37</v>
      </c>
      <c r="C311" s="4">
        <v>0.36</v>
      </c>
      <c r="D311" s="4">
        <v>0.27</v>
      </c>
      <c r="E311" s="50">
        <v>1</v>
      </c>
      <c r="F311" s="50">
        <v>0.4</v>
      </c>
      <c r="G311" s="50">
        <v>0.1</v>
      </c>
      <c r="H311" s="50">
        <v>0.38490743662900001</v>
      </c>
      <c r="I311" s="50">
        <v>0.48829287047999997</v>
      </c>
      <c r="J311" s="50">
        <v>0.28152200277799999</v>
      </c>
      <c r="K311" s="50">
        <v>454.88</v>
      </c>
      <c r="L311" s="50">
        <v>440.71</v>
      </c>
      <c r="M311" s="50">
        <v>441.39</v>
      </c>
      <c r="N311" s="66">
        <f t="shared" si="32"/>
        <v>1.0195065588255027E-3</v>
      </c>
      <c r="O311" s="66">
        <f t="shared" si="33"/>
        <v>-2.7186841568680501E-3</v>
      </c>
      <c r="P311" s="4">
        <f t="shared" si="34"/>
        <v>9.9999999999999978E-2</v>
      </c>
      <c r="Q311" s="4">
        <f t="shared" si="35"/>
        <v>0.16749999999999998</v>
      </c>
      <c r="R311" s="66">
        <f t="shared" si="36"/>
        <v>1.0195065588255027E-3</v>
      </c>
      <c r="S311" s="66">
        <f t="shared" si="37"/>
        <v>-2.7186841568680501E-3</v>
      </c>
      <c r="T311" s="50">
        <f t="shared" si="38"/>
        <v>1</v>
      </c>
      <c r="U311" s="50" t="str">
        <f t="shared" si="39"/>
        <v/>
      </c>
    </row>
    <row r="312" spans="1:21" x14ac:dyDescent="0.2">
      <c r="A312" s="38">
        <v>34068</v>
      </c>
      <c r="B312" s="4">
        <v>0.32</v>
      </c>
      <c r="C312" s="4">
        <v>0.39</v>
      </c>
      <c r="D312" s="4">
        <v>0.28999999999999998</v>
      </c>
      <c r="E312" s="50">
        <v>1</v>
      </c>
      <c r="F312" s="50">
        <v>0.38124999999999998</v>
      </c>
      <c r="G312" s="50">
        <v>0.03</v>
      </c>
      <c r="H312" s="50">
        <v>0.38490743662900001</v>
      </c>
      <c r="I312" s="50">
        <v>0.48829287047999997</v>
      </c>
      <c r="J312" s="50">
        <v>0.28152200277799999</v>
      </c>
      <c r="K312" s="50">
        <v>443.77</v>
      </c>
      <c r="L312" s="50">
        <v>439.48</v>
      </c>
      <c r="M312" s="50">
        <v>441.84</v>
      </c>
      <c r="N312" s="66">
        <f t="shared" si="32"/>
        <v>1.6069165308709086E-2</v>
      </c>
      <c r="O312" s="66">
        <f t="shared" si="33"/>
        <v>1.0637334781822092E-3</v>
      </c>
      <c r="P312" s="4">
        <f t="shared" si="34"/>
        <v>3.0000000000000027E-2</v>
      </c>
      <c r="Q312" s="4">
        <f t="shared" si="35"/>
        <v>0.11749999999999999</v>
      </c>
      <c r="R312" s="66">
        <f t="shared" si="36"/>
        <v>1.6069165308709086E-2</v>
      </c>
      <c r="S312" s="66">
        <f t="shared" si="37"/>
        <v>1.0637334781822092E-3</v>
      </c>
      <c r="T312" s="50">
        <f t="shared" si="38"/>
        <v>1</v>
      </c>
      <c r="U312" s="50">
        <f t="shared" si="39"/>
        <v>1</v>
      </c>
    </row>
    <row r="313" spans="1:21" x14ac:dyDescent="0.2">
      <c r="A313" s="38">
        <v>34075</v>
      </c>
      <c r="B313" s="4">
        <v>0.31</v>
      </c>
      <c r="C313" s="4">
        <v>0.35</v>
      </c>
      <c r="D313" s="4">
        <v>0.34</v>
      </c>
      <c r="E313" s="50">
        <v>1</v>
      </c>
      <c r="F313" s="50">
        <v>0.36249999999999999</v>
      </c>
      <c r="G313" s="50">
        <v>-0.03</v>
      </c>
      <c r="H313" s="50">
        <v>0.38490743662900001</v>
      </c>
      <c r="I313" s="50">
        <v>0.48829287047999997</v>
      </c>
      <c r="J313" s="50">
        <v>0.28152200277799999</v>
      </c>
      <c r="K313" s="50">
        <v>450.4</v>
      </c>
      <c r="L313" s="50">
        <v>441.84</v>
      </c>
      <c r="M313" s="50">
        <v>448.94</v>
      </c>
      <c r="N313" s="66">
        <f t="shared" si="32"/>
        <v>-2.6217311890230278E-2</v>
      </c>
      <c r="O313" s="66">
        <f t="shared" si="33"/>
        <v>-2.0893660622800365E-2</v>
      </c>
      <c r="P313" s="4">
        <f t="shared" si="34"/>
        <v>-3.0000000000000027E-2</v>
      </c>
      <c r="Q313" s="4">
        <f t="shared" si="35"/>
        <v>7.4999999999999983E-2</v>
      </c>
      <c r="R313" s="66">
        <f t="shared" si="36"/>
        <v>-2.6217311890230278E-2</v>
      </c>
      <c r="S313" s="66">
        <f t="shared" si="37"/>
        <v>-2.0893660622800365E-2</v>
      </c>
      <c r="T313" s="50" t="str">
        <f t="shared" si="38"/>
        <v/>
      </c>
      <c r="U313" s="50" t="str">
        <f t="shared" si="39"/>
        <v/>
      </c>
    </row>
    <row r="314" spans="1:21" x14ac:dyDescent="0.2">
      <c r="A314" s="38">
        <v>34082</v>
      </c>
      <c r="B314" s="4">
        <v>0.28000000000000003</v>
      </c>
      <c r="C314" s="4">
        <v>0.42</v>
      </c>
      <c r="D314" s="4">
        <v>0.3</v>
      </c>
      <c r="E314" s="50">
        <v>1</v>
      </c>
      <c r="F314" s="50">
        <v>0.35499999999999998</v>
      </c>
      <c r="G314" s="50">
        <v>-0.02</v>
      </c>
      <c r="H314" s="50">
        <v>0.38490743662900001</v>
      </c>
      <c r="I314" s="50">
        <v>0.48829287047999997</v>
      </c>
      <c r="J314" s="50">
        <v>0.28152200277799999</v>
      </c>
      <c r="K314" s="50">
        <v>449.39</v>
      </c>
      <c r="L314" s="50">
        <v>436.82</v>
      </c>
      <c r="M314" s="50">
        <v>437.17</v>
      </c>
      <c r="N314" s="66">
        <f t="shared" si="32"/>
        <v>6.9080677997117408E-3</v>
      </c>
      <c r="O314" s="66">
        <f t="shared" si="33"/>
        <v>1.9832101928311547E-2</v>
      </c>
      <c r="P314" s="4">
        <f t="shared" si="34"/>
        <v>-1.9999999999999962E-2</v>
      </c>
      <c r="Q314" s="4">
        <f t="shared" si="35"/>
        <v>2.0000000000000004E-2</v>
      </c>
      <c r="R314" s="66">
        <f t="shared" si="36"/>
        <v>6.9080677997117408E-3</v>
      </c>
      <c r="S314" s="66">
        <f t="shared" si="37"/>
        <v>1.9832101928311547E-2</v>
      </c>
      <c r="T314" s="50">
        <f t="shared" si="38"/>
        <v>1</v>
      </c>
      <c r="U314" s="50">
        <f t="shared" si="39"/>
        <v>1</v>
      </c>
    </row>
    <row r="315" spans="1:21" x14ac:dyDescent="0.2">
      <c r="A315" s="38">
        <v>34089</v>
      </c>
      <c r="B315" s="4">
        <v>0.22</v>
      </c>
      <c r="C315" s="4">
        <v>0.37</v>
      </c>
      <c r="D315" s="4">
        <v>0.41</v>
      </c>
      <c r="E315" s="50">
        <v>1</v>
      </c>
      <c r="F315" s="50">
        <v>0.34875</v>
      </c>
      <c r="G315" s="50">
        <v>-0.19</v>
      </c>
      <c r="H315" s="50">
        <v>0.38490743662900001</v>
      </c>
      <c r="I315" s="50">
        <v>0.48829287047999997</v>
      </c>
      <c r="J315" s="50">
        <v>0.28152200277799999</v>
      </c>
      <c r="K315" s="50">
        <v>442.29</v>
      </c>
      <c r="L315" s="50">
        <v>432.3</v>
      </c>
      <c r="M315" s="50">
        <v>440.19</v>
      </c>
      <c r="N315" s="66">
        <f t="shared" si="32"/>
        <v>4.8161021377132705E-3</v>
      </c>
      <c r="O315" s="66">
        <f t="shared" si="33"/>
        <v>2.2717462913741795E-2</v>
      </c>
      <c r="P315" s="4">
        <f t="shared" si="34"/>
        <v>-0.18999999999999997</v>
      </c>
      <c r="Q315" s="4">
        <f t="shared" si="35"/>
        <v>-5.2499999999999984E-2</v>
      </c>
      <c r="R315" s="66">
        <f t="shared" si="36"/>
        <v>4.8161021377132705E-3</v>
      </c>
      <c r="S315" s="66">
        <f t="shared" si="37"/>
        <v>2.2717462913741795E-2</v>
      </c>
      <c r="T315" s="50">
        <f t="shared" si="38"/>
        <v>1</v>
      </c>
      <c r="U315" s="50">
        <f t="shared" si="39"/>
        <v>1</v>
      </c>
    </row>
    <row r="316" spans="1:21" x14ac:dyDescent="0.2">
      <c r="A316" s="38">
        <v>34096</v>
      </c>
      <c r="B316" s="4">
        <v>0.21</v>
      </c>
      <c r="C316" s="4">
        <v>0.45</v>
      </c>
      <c r="D316" s="4">
        <v>0.34</v>
      </c>
      <c r="E316" s="50">
        <v>1</v>
      </c>
      <c r="F316" s="50">
        <v>0.31874999999999998</v>
      </c>
      <c r="G316" s="50">
        <v>-0.13</v>
      </c>
      <c r="H316" s="50">
        <v>0.38490743662900001</v>
      </c>
      <c r="I316" s="50">
        <v>0.48829287047999997</v>
      </c>
      <c r="J316" s="50">
        <v>0.28152200277799999</v>
      </c>
      <c r="K316" s="50">
        <v>446.09</v>
      </c>
      <c r="L316" s="50">
        <v>438.25</v>
      </c>
      <c r="M316" s="50">
        <v>442.31</v>
      </c>
      <c r="N316" s="66">
        <f t="shared" si="32"/>
        <v>-6.2173588659537428E-3</v>
      </c>
      <c r="O316" s="66">
        <f t="shared" si="33"/>
        <v>1.7521647713142366E-2</v>
      </c>
      <c r="P316" s="4">
        <f t="shared" si="34"/>
        <v>-0.13000000000000003</v>
      </c>
      <c r="Q316" s="4">
        <f t="shared" si="35"/>
        <v>-9.2499999999999999E-2</v>
      </c>
      <c r="R316" s="66">
        <f t="shared" si="36"/>
        <v>-6.2173588659537428E-3</v>
      </c>
      <c r="S316" s="66">
        <f t="shared" si="37"/>
        <v>1.7521647713142366E-2</v>
      </c>
      <c r="T316" s="50" t="str">
        <f t="shared" si="38"/>
        <v/>
      </c>
      <c r="U316" s="50">
        <f t="shared" si="39"/>
        <v>1</v>
      </c>
    </row>
    <row r="317" spans="1:21" x14ac:dyDescent="0.2">
      <c r="A317" s="38">
        <v>34103</v>
      </c>
      <c r="B317" s="4">
        <v>0.2</v>
      </c>
      <c r="C317" s="4">
        <v>0.41</v>
      </c>
      <c r="D317" s="4">
        <v>0.39</v>
      </c>
      <c r="E317" s="50">
        <v>1</v>
      </c>
      <c r="F317" s="50">
        <v>0.29249999999999998</v>
      </c>
      <c r="G317" s="50">
        <v>-0.19</v>
      </c>
      <c r="H317" s="50">
        <v>0.38490743662900001</v>
      </c>
      <c r="I317" s="50">
        <v>0.48829287047999997</v>
      </c>
      <c r="J317" s="50">
        <v>0.28152200277799999</v>
      </c>
      <c r="K317" s="50">
        <v>445.42</v>
      </c>
      <c r="L317" s="50">
        <v>438.1</v>
      </c>
      <c r="M317" s="50">
        <v>439.56</v>
      </c>
      <c r="N317" s="66">
        <f t="shared" si="32"/>
        <v>1.4287014287014226E-2</v>
      </c>
      <c r="O317" s="66">
        <f t="shared" si="33"/>
        <v>1.751751751751749E-2</v>
      </c>
      <c r="P317" s="4">
        <f t="shared" si="34"/>
        <v>-0.19</v>
      </c>
      <c r="Q317" s="4">
        <f t="shared" si="35"/>
        <v>-0.13250000000000001</v>
      </c>
      <c r="R317" s="66">
        <f t="shared" si="36"/>
        <v>1.4287014287014226E-2</v>
      </c>
      <c r="S317" s="66">
        <f t="shared" si="37"/>
        <v>1.751751751751749E-2</v>
      </c>
      <c r="T317" s="50">
        <f t="shared" si="38"/>
        <v>1</v>
      </c>
      <c r="U317" s="50">
        <f t="shared" si="39"/>
        <v>1</v>
      </c>
    </row>
    <row r="318" spans="1:21" x14ac:dyDescent="0.2">
      <c r="A318" s="38">
        <v>34110</v>
      </c>
      <c r="B318" s="4">
        <v>0.21</v>
      </c>
      <c r="C318" s="4">
        <v>0.34</v>
      </c>
      <c r="D318" s="4">
        <v>0.45</v>
      </c>
      <c r="E318" s="50">
        <v>1</v>
      </c>
      <c r="F318" s="50">
        <v>0.26500000000000001</v>
      </c>
      <c r="G318" s="50">
        <v>-0.24</v>
      </c>
      <c r="H318" s="50">
        <v>0.38490743662900001</v>
      </c>
      <c r="I318" s="50">
        <v>0.48829287047999997</v>
      </c>
      <c r="J318" s="50">
        <v>0.28152200277799999</v>
      </c>
      <c r="K318" s="50">
        <v>450.59</v>
      </c>
      <c r="L318" s="50">
        <v>436.83</v>
      </c>
      <c r="M318" s="50">
        <v>445.84</v>
      </c>
      <c r="N318" s="66">
        <f t="shared" si="32"/>
        <v>9.7568634487709104E-3</v>
      </c>
      <c r="O318" s="66">
        <f t="shared" si="33"/>
        <v>-4.8447873676654594E-3</v>
      </c>
      <c r="P318" s="4">
        <f t="shared" si="34"/>
        <v>-0.24000000000000002</v>
      </c>
      <c r="Q318" s="4">
        <f t="shared" si="35"/>
        <v>-0.1875</v>
      </c>
      <c r="R318" s="66">
        <f t="shared" si="36"/>
        <v>9.7568634487709104E-3</v>
      </c>
      <c r="S318" s="66">
        <f t="shared" si="37"/>
        <v>-4.8447873676654594E-3</v>
      </c>
      <c r="T318" s="50">
        <f t="shared" si="38"/>
        <v>1</v>
      </c>
      <c r="U318" s="50" t="str">
        <f t="shared" si="39"/>
        <v/>
      </c>
    </row>
    <row r="319" spans="1:21" x14ac:dyDescent="0.2">
      <c r="A319" s="38">
        <v>34117</v>
      </c>
      <c r="B319" s="4">
        <v>0.24</v>
      </c>
      <c r="C319" s="4">
        <v>0.37</v>
      </c>
      <c r="D319" s="4">
        <v>0.39</v>
      </c>
      <c r="E319" s="50">
        <v>1</v>
      </c>
      <c r="F319" s="50">
        <v>0.24875</v>
      </c>
      <c r="G319" s="50">
        <v>-0.15</v>
      </c>
      <c r="H319" s="50">
        <v>0.38490743662900001</v>
      </c>
      <c r="I319" s="50">
        <v>0.48829287047999997</v>
      </c>
      <c r="J319" s="50">
        <v>0.28152200277799999</v>
      </c>
      <c r="K319" s="50">
        <v>454.55</v>
      </c>
      <c r="L319" s="50">
        <v>444.89</v>
      </c>
      <c r="M319" s="50">
        <v>450.19</v>
      </c>
      <c r="N319" s="66">
        <f t="shared" si="32"/>
        <v>-2.8876696505918711E-4</v>
      </c>
      <c r="O319" s="66">
        <f t="shared" si="33"/>
        <v>-5.7531264577177967E-3</v>
      </c>
      <c r="P319" s="4">
        <f t="shared" si="34"/>
        <v>-0.15000000000000002</v>
      </c>
      <c r="Q319" s="4">
        <f t="shared" si="35"/>
        <v>-0.17750000000000002</v>
      </c>
      <c r="R319" s="66">
        <f t="shared" si="36"/>
        <v>-2.8876696505918711E-4</v>
      </c>
      <c r="S319" s="66">
        <f t="shared" si="37"/>
        <v>-5.7531264577177967E-3</v>
      </c>
      <c r="T319" s="50" t="str">
        <f t="shared" si="38"/>
        <v/>
      </c>
      <c r="U319" s="50" t="str">
        <f t="shared" si="39"/>
        <v/>
      </c>
    </row>
    <row r="320" spans="1:21" x14ac:dyDescent="0.2">
      <c r="A320" s="38">
        <v>34124</v>
      </c>
      <c r="B320" s="4">
        <v>0.33</v>
      </c>
      <c r="C320" s="4">
        <v>0.39</v>
      </c>
      <c r="D320" s="4">
        <v>0.28000000000000003</v>
      </c>
      <c r="E320" s="50">
        <v>1</v>
      </c>
      <c r="F320" s="50">
        <v>0.25</v>
      </c>
      <c r="G320" s="50">
        <v>0.05</v>
      </c>
      <c r="H320" s="50">
        <v>0.38490743662900001</v>
      </c>
      <c r="I320" s="50">
        <v>0.48829287047999997</v>
      </c>
      <c r="J320" s="50">
        <v>0.28152200277799999</v>
      </c>
      <c r="K320" s="50">
        <v>455.63</v>
      </c>
      <c r="L320" s="50">
        <v>448.92</v>
      </c>
      <c r="M320" s="50">
        <v>450.06</v>
      </c>
      <c r="N320" s="66">
        <f t="shared" si="32"/>
        <v>-6.221392703195155E-3</v>
      </c>
      <c r="O320" s="66">
        <f t="shared" si="33"/>
        <v>-9.3765275741012916E-3</v>
      </c>
      <c r="P320" s="4">
        <f t="shared" si="34"/>
        <v>4.9999999999999989E-2</v>
      </c>
      <c r="Q320" s="4">
        <f t="shared" si="35"/>
        <v>-0.13250000000000001</v>
      </c>
      <c r="R320" s="66">
        <f t="shared" si="36"/>
        <v>-6.221392703195155E-3</v>
      </c>
      <c r="S320" s="66">
        <f t="shared" si="37"/>
        <v>-9.3765275741012916E-3</v>
      </c>
      <c r="T320" s="50" t="str">
        <f t="shared" si="38"/>
        <v/>
      </c>
      <c r="U320" s="50" t="str">
        <f t="shared" si="39"/>
        <v/>
      </c>
    </row>
    <row r="321" spans="1:21" x14ac:dyDescent="0.2">
      <c r="A321" s="38">
        <v>34131</v>
      </c>
      <c r="B321" s="4">
        <v>0.23</v>
      </c>
      <c r="C321" s="4">
        <v>0.36</v>
      </c>
      <c r="D321" s="4">
        <v>0.41</v>
      </c>
      <c r="E321" s="50">
        <v>1</v>
      </c>
      <c r="F321" s="50">
        <v>0.24</v>
      </c>
      <c r="G321" s="50">
        <v>-0.18</v>
      </c>
      <c r="H321" s="50">
        <v>0.38490743662900001</v>
      </c>
      <c r="I321" s="50">
        <v>0.48829287047999997</v>
      </c>
      <c r="J321" s="50">
        <v>0.28152200277799999</v>
      </c>
      <c r="K321" s="50">
        <v>452.49</v>
      </c>
      <c r="L321" s="50">
        <v>444.09</v>
      </c>
      <c r="M321" s="50">
        <v>447.26</v>
      </c>
      <c r="N321" s="66">
        <f t="shared" si="32"/>
        <v>-8.0042928050797837E-3</v>
      </c>
      <c r="O321" s="66">
        <f t="shared" si="33"/>
        <v>1.9451773017931506E-3</v>
      </c>
      <c r="P321" s="4">
        <f t="shared" si="34"/>
        <v>-0.17999999999999997</v>
      </c>
      <c r="Q321" s="4">
        <f t="shared" si="35"/>
        <v>-0.13</v>
      </c>
      <c r="R321" s="66">
        <f t="shared" si="36"/>
        <v>-8.0042928050797837E-3</v>
      </c>
      <c r="S321" s="66">
        <f t="shared" si="37"/>
        <v>1.9451773017931506E-3</v>
      </c>
      <c r="T321" s="50" t="str">
        <f t="shared" si="38"/>
        <v/>
      </c>
      <c r="U321" s="50">
        <f t="shared" si="39"/>
        <v>1</v>
      </c>
    </row>
    <row r="322" spans="1:21" x14ac:dyDescent="0.2">
      <c r="A322" s="38">
        <v>34138</v>
      </c>
      <c r="B322" s="4">
        <v>0.22</v>
      </c>
      <c r="C322" s="4">
        <v>0.35</v>
      </c>
      <c r="D322" s="4">
        <v>0.43</v>
      </c>
      <c r="E322" s="50">
        <v>1</v>
      </c>
      <c r="F322" s="50">
        <v>0.23250000000000001</v>
      </c>
      <c r="G322" s="50">
        <v>-0.21</v>
      </c>
      <c r="H322" s="50">
        <v>0.38490743662900001</v>
      </c>
      <c r="I322" s="50">
        <v>0.48829287047999997</v>
      </c>
      <c r="J322" s="50">
        <v>0.28152200277799999</v>
      </c>
      <c r="K322" s="50">
        <v>448.98</v>
      </c>
      <c r="L322" s="50">
        <v>443.61</v>
      </c>
      <c r="M322" s="50">
        <v>443.68</v>
      </c>
      <c r="N322" s="66">
        <f t="shared" si="32"/>
        <v>8.8351965380454745E-3</v>
      </c>
      <c r="O322" s="66">
        <f t="shared" si="33"/>
        <v>4.6655247024882645E-3</v>
      </c>
      <c r="P322" s="4">
        <f t="shared" si="34"/>
        <v>-0.21</v>
      </c>
      <c r="Q322" s="4">
        <f t="shared" si="35"/>
        <v>-0.1225</v>
      </c>
      <c r="R322" s="66">
        <f t="shared" si="36"/>
        <v>8.8351965380454745E-3</v>
      </c>
      <c r="S322" s="66">
        <f t="shared" si="37"/>
        <v>4.6655247024882645E-3</v>
      </c>
      <c r="T322" s="50">
        <f t="shared" si="38"/>
        <v>1</v>
      </c>
      <c r="U322" s="50">
        <f t="shared" si="39"/>
        <v>1</v>
      </c>
    </row>
    <row r="323" spans="1:21" x14ac:dyDescent="0.2">
      <c r="A323" s="38">
        <v>34145</v>
      </c>
      <c r="B323" s="4">
        <v>0.28000000000000003</v>
      </c>
      <c r="C323" s="4">
        <v>0.38</v>
      </c>
      <c r="D323" s="4">
        <v>0.34</v>
      </c>
      <c r="E323" s="50">
        <v>1</v>
      </c>
      <c r="F323" s="50">
        <v>0.24</v>
      </c>
      <c r="G323" s="50">
        <v>-0.06</v>
      </c>
      <c r="H323" s="50">
        <v>0.38490743662900001</v>
      </c>
      <c r="I323" s="50">
        <v>0.48829287047999997</v>
      </c>
      <c r="J323" s="50">
        <v>0.28152200277799999</v>
      </c>
      <c r="K323" s="50">
        <v>448.64</v>
      </c>
      <c r="L323" s="50">
        <v>443.19</v>
      </c>
      <c r="M323" s="50">
        <v>447.6</v>
      </c>
      <c r="N323" s="66">
        <f t="shared" si="32"/>
        <v>-3.9320822162646285E-3</v>
      </c>
      <c r="O323" s="66">
        <f t="shared" si="33"/>
        <v>-1.1170688114387846E-3</v>
      </c>
      <c r="P323" s="4">
        <f t="shared" si="34"/>
        <v>-0.06</v>
      </c>
      <c r="Q323" s="4">
        <f t="shared" si="35"/>
        <v>-9.9999999999999992E-2</v>
      </c>
      <c r="R323" s="66">
        <f t="shared" si="36"/>
        <v>-3.9320822162646285E-3</v>
      </c>
      <c r="S323" s="66">
        <f t="shared" si="37"/>
        <v>-1.1170688114387846E-3</v>
      </c>
      <c r="T323" s="50" t="str">
        <f t="shared" si="38"/>
        <v/>
      </c>
      <c r="U323" s="50" t="str">
        <f t="shared" si="39"/>
        <v/>
      </c>
    </row>
    <row r="324" spans="1:21" x14ac:dyDescent="0.2">
      <c r="A324" s="38">
        <v>34152</v>
      </c>
      <c r="B324" s="4">
        <v>0.18</v>
      </c>
      <c r="C324" s="4">
        <v>0.44</v>
      </c>
      <c r="D324" s="4">
        <v>0.38</v>
      </c>
      <c r="E324" s="50">
        <v>1</v>
      </c>
      <c r="F324" s="50">
        <v>0.23624999999999999</v>
      </c>
      <c r="G324" s="50">
        <v>-0.2</v>
      </c>
      <c r="H324" s="50">
        <v>0.38490743662900001</v>
      </c>
      <c r="I324" s="50">
        <v>0.48829287047999997</v>
      </c>
      <c r="J324" s="50">
        <v>0.28152200277799999</v>
      </c>
      <c r="K324" s="50">
        <v>451.9</v>
      </c>
      <c r="L324" s="50">
        <v>445.2</v>
      </c>
      <c r="M324" s="50">
        <v>445.84</v>
      </c>
      <c r="N324" s="66">
        <f t="shared" si="32"/>
        <v>5.1363717925713721E-3</v>
      </c>
      <c r="O324" s="66">
        <f t="shared" si="33"/>
        <v>5.1363717925713721E-3</v>
      </c>
      <c r="P324" s="4">
        <f t="shared" si="34"/>
        <v>-0.2</v>
      </c>
      <c r="Q324" s="4">
        <f t="shared" si="35"/>
        <v>-0.16249999999999998</v>
      </c>
      <c r="R324" s="66">
        <f t="shared" si="36"/>
        <v>5.1363717925713721E-3</v>
      </c>
      <c r="S324" s="66">
        <f t="shared" si="37"/>
        <v>5.1363717925713721E-3</v>
      </c>
      <c r="T324" s="50">
        <f t="shared" si="38"/>
        <v>1</v>
      </c>
      <c r="U324" s="50">
        <f t="shared" si="39"/>
        <v>1</v>
      </c>
    </row>
    <row r="325" spans="1:21" x14ac:dyDescent="0.2">
      <c r="A325" s="38">
        <v>34159</v>
      </c>
      <c r="B325" s="4">
        <v>0.21</v>
      </c>
      <c r="C325" s="4">
        <v>0.45</v>
      </c>
      <c r="D325" s="4">
        <v>0.34</v>
      </c>
      <c r="E325" s="50">
        <v>1</v>
      </c>
      <c r="F325" s="50">
        <v>0.23749999999999999</v>
      </c>
      <c r="G325" s="50">
        <v>-0.13</v>
      </c>
      <c r="H325" s="50">
        <v>0.38490743662900001</v>
      </c>
      <c r="I325" s="50">
        <v>0.48829287047999997</v>
      </c>
      <c r="J325" s="50">
        <v>0.28152200277799999</v>
      </c>
      <c r="K325" s="50">
        <v>448.96</v>
      </c>
      <c r="L325" s="50">
        <v>441.4</v>
      </c>
      <c r="M325" s="50">
        <v>448.13</v>
      </c>
      <c r="N325" s="66">
        <f t="shared" si="32"/>
        <v>-5.3109588735411502E-3</v>
      </c>
      <c r="O325" s="66">
        <f t="shared" si="33"/>
        <v>1.2273224287595371E-3</v>
      </c>
      <c r="P325" s="4">
        <f t="shared" si="34"/>
        <v>-0.13000000000000003</v>
      </c>
      <c r="Q325" s="4">
        <f t="shared" si="35"/>
        <v>-0.15000000000000002</v>
      </c>
      <c r="R325" s="66">
        <f t="shared" si="36"/>
        <v>-5.3109588735411502E-3</v>
      </c>
      <c r="S325" s="66">
        <f t="shared" si="37"/>
        <v>1.2273224287595371E-3</v>
      </c>
      <c r="T325" s="50" t="str">
        <f t="shared" si="38"/>
        <v/>
      </c>
      <c r="U325" s="50">
        <f t="shared" si="39"/>
        <v>1</v>
      </c>
    </row>
    <row r="326" spans="1:21" x14ac:dyDescent="0.2">
      <c r="A326" s="38">
        <v>34166</v>
      </c>
      <c r="B326" s="4">
        <v>0.22</v>
      </c>
      <c r="C326" s="4">
        <v>0.44</v>
      </c>
      <c r="D326" s="4">
        <v>0.34</v>
      </c>
      <c r="E326" s="50">
        <v>1</v>
      </c>
      <c r="F326" s="50">
        <v>0.23874999999999999</v>
      </c>
      <c r="G326" s="50">
        <v>-0.12</v>
      </c>
      <c r="H326" s="50">
        <v>0.38490743662900001</v>
      </c>
      <c r="I326" s="50">
        <v>0.48829287047999997</v>
      </c>
      <c r="J326" s="50">
        <v>0.28152200277799999</v>
      </c>
      <c r="K326" s="50">
        <v>451.12</v>
      </c>
      <c r="L326" s="50">
        <v>445.66</v>
      </c>
      <c r="M326" s="50">
        <v>445.75</v>
      </c>
      <c r="N326" s="66">
        <f t="shared" si="32"/>
        <v>3.0286034772855248E-3</v>
      </c>
      <c r="O326" s="66">
        <f t="shared" si="33"/>
        <v>9.848569826135696E-3</v>
      </c>
      <c r="P326" s="4">
        <f t="shared" si="34"/>
        <v>-0.12000000000000002</v>
      </c>
      <c r="Q326" s="4">
        <f t="shared" si="35"/>
        <v>-0.1275</v>
      </c>
      <c r="R326" s="66">
        <f t="shared" si="36"/>
        <v>3.0286034772855248E-3</v>
      </c>
      <c r="S326" s="66">
        <f t="shared" si="37"/>
        <v>9.848569826135696E-3</v>
      </c>
      <c r="T326" s="50">
        <f t="shared" si="38"/>
        <v>1</v>
      </c>
      <c r="U326" s="50">
        <f t="shared" si="39"/>
        <v>1</v>
      </c>
    </row>
    <row r="327" spans="1:21" x14ac:dyDescent="0.2">
      <c r="A327" s="38">
        <v>34173</v>
      </c>
      <c r="B327" s="4">
        <v>0.24</v>
      </c>
      <c r="C327" s="4">
        <v>0.43</v>
      </c>
      <c r="D327" s="4">
        <v>0.33</v>
      </c>
      <c r="E327" s="50">
        <v>1</v>
      </c>
      <c r="F327" s="50">
        <v>0.23874999999999999</v>
      </c>
      <c r="G327" s="50">
        <v>-0.09</v>
      </c>
      <c r="H327" s="50">
        <v>0.38490743662900001</v>
      </c>
      <c r="I327" s="50">
        <v>0.48829287047999997</v>
      </c>
      <c r="J327" s="50">
        <v>0.28152200277799999</v>
      </c>
      <c r="K327" s="50">
        <v>449.22</v>
      </c>
      <c r="L327" s="50">
        <v>443.71</v>
      </c>
      <c r="M327" s="50">
        <v>447.1</v>
      </c>
      <c r="N327" s="66">
        <f t="shared" si="32"/>
        <v>2.303735182285781E-3</v>
      </c>
      <c r="O327" s="66">
        <f t="shared" si="33"/>
        <v>2.0263923059718188E-2</v>
      </c>
      <c r="P327" s="4">
        <f t="shared" si="34"/>
        <v>-9.0000000000000024E-2</v>
      </c>
      <c r="Q327" s="4">
        <f t="shared" si="35"/>
        <v>-0.13500000000000001</v>
      </c>
      <c r="R327" s="66">
        <f t="shared" si="36"/>
        <v>2.303735182285781E-3</v>
      </c>
      <c r="S327" s="66">
        <f t="shared" si="37"/>
        <v>2.0263923059718188E-2</v>
      </c>
      <c r="T327" s="50">
        <f t="shared" si="38"/>
        <v>1</v>
      </c>
      <c r="U327" s="50">
        <f t="shared" si="39"/>
        <v>1</v>
      </c>
    </row>
    <row r="328" spans="1:21" x14ac:dyDescent="0.2">
      <c r="A328" s="38">
        <v>34180</v>
      </c>
      <c r="B328" s="4">
        <v>0.25</v>
      </c>
      <c r="C328" s="4">
        <v>0.45</v>
      </c>
      <c r="D328" s="4">
        <v>0.3</v>
      </c>
      <c r="E328" s="50">
        <v>1</v>
      </c>
      <c r="F328" s="50">
        <v>0.22875000000000001</v>
      </c>
      <c r="G328" s="50">
        <v>-0.05</v>
      </c>
      <c r="H328" s="50">
        <v>0.38490743662900001</v>
      </c>
      <c r="I328" s="50">
        <v>0.48829287047999997</v>
      </c>
      <c r="J328" s="50">
        <v>0.28152200277799999</v>
      </c>
      <c r="K328" s="50">
        <v>450.77</v>
      </c>
      <c r="L328" s="50">
        <v>444.51</v>
      </c>
      <c r="M328" s="50">
        <v>448.13</v>
      </c>
      <c r="N328" s="66">
        <f t="shared" si="32"/>
        <v>1.2273224287595371E-3</v>
      </c>
      <c r="O328" s="66">
        <f t="shared" si="33"/>
        <v>2.7692856983464676E-2</v>
      </c>
      <c r="P328" s="4">
        <f t="shared" si="34"/>
        <v>-4.9999999999999989E-2</v>
      </c>
      <c r="Q328" s="4">
        <f t="shared" si="35"/>
        <v>-9.7500000000000017E-2</v>
      </c>
      <c r="R328" s="66">
        <f t="shared" si="36"/>
        <v>1.2273224287595371E-3</v>
      </c>
      <c r="S328" s="66">
        <f t="shared" si="37"/>
        <v>2.7692856983464676E-2</v>
      </c>
      <c r="T328" s="50">
        <f t="shared" si="38"/>
        <v>1</v>
      </c>
      <c r="U328" s="50">
        <f t="shared" si="39"/>
        <v>1</v>
      </c>
    </row>
    <row r="329" spans="1:21" x14ac:dyDescent="0.2">
      <c r="A329" s="38">
        <v>34187</v>
      </c>
      <c r="B329" s="4">
        <v>0.26</v>
      </c>
      <c r="C329" s="4">
        <v>0.42</v>
      </c>
      <c r="D329" s="4">
        <v>0.32</v>
      </c>
      <c r="E329" s="50">
        <v>1</v>
      </c>
      <c r="F329" s="50">
        <v>0.23250000000000001</v>
      </c>
      <c r="G329" s="50">
        <v>-0.06</v>
      </c>
      <c r="H329" s="50">
        <v>0.38490743662900001</v>
      </c>
      <c r="I329" s="50">
        <v>0.48829287047999997</v>
      </c>
      <c r="J329" s="50">
        <v>0.28152200277799999</v>
      </c>
      <c r="K329" s="50">
        <v>450.43</v>
      </c>
      <c r="L329" s="50">
        <v>446.94</v>
      </c>
      <c r="M329" s="50">
        <v>448.68</v>
      </c>
      <c r="N329" s="66">
        <f t="shared" si="32"/>
        <v>3.2539894802531416E-3</v>
      </c>
      <c r="O329" s="66">
        <f t="shared" si="33"/>
        <v>2.8216100561647427E-2</v>
      </c>
      <c r="P329" s="4">
        <f t="shared" si="34"/>
        <v>-0.06</v>
      </c>
      <c r="Q329" s="4">
        <f t="shared" si="35"/>
        <v>-0.08</v>
      </c>
      <c r="R329" s="66">
        <f t="shared" si="36"/>
        <v>3.2539894802531416E-3</v>
      </c>
      <c r="S329" s="66">
        <f t="shared" si="37"/>
        <v>2.8216100561647427E-2</v>
      </c>
      <c r="T329" s="50">
        <f t="shared" si="38"/>
        <v>1</v>
      </c>
      <c r="U329" s="50">
        <f t="shared" si="39"/>
        <v>1</v>
      </c>
    </row>
    <row r="330" spans="1:21" x14ac:dyDescent="0.2">
      <c r="A330" s="38">
        <v>34194</v>
      </c>
      <c r="B330" s="4">
        <v>0.25</v>
      </c>
      <c r="C330" s="4">
        <v>0.41</v>
      </c>
      <c r="D330" s="4">
        <v>0.34</v>
      </c>
      <c r="E330" s="50">
        <v>1</v>
      </c>
      <c r="F330" s="50">
        <v>0.23624999999999999</v>
      </c>
      <c r="G330" s="50">
        <v>-0.09</v>
      </c>
      <c r="H330" s="50">
        <v>0.38490743662900001</v>
      </c>
      <c r="I330" s="50">
        <v>0.48829287047999997</v>
      </c>
      <c r="J330" s="50">
        <v>0.28152200277799999</v>
      </c>
      <c r="K330" s="50">
        <v>451.63</v>
      </c>
      <c r="L330" s="50">
        <v>447.53</v>
      </c>
      <c r="M330" s="50">
        <v>450.14</v>
      </c>
      <c r="N330" s="66">
        <f t="shared" si="32"/>
        <v>1.3373617096903273E-2</v>
      </c>
      <c r="O330" s="66">
        <f t="shared" si="33"/>
        <v>2.5725329897365357E-2</v>
      </c>
      <c r="P330" s="4">
        <f t="shared" si="34"/>
        <v>-9.0000000000000024E-2</v>
      </c>
      <c r="Q330" s="4">
        <f t="shared" si="35"/>
        <v>-7.2500000000000009E-2</v>
      </c>
      <c r="R330" s="66">
        <f t="shared" si="36"/>
        <v>1.3373617096903273E-2</v>
      </c>
      <c r="S330" s="66">
        <f t="shared" si="37"/>
        <v>2.5725329897365357E-2</v>
      </c>
      <c r="T330" s="50">
        <f t="shared" si="38"/>
        <v>1</v>
      </c>
      <c r="U330" s="50">
        <f t="shared" si="39"/>
        <v>1</v>
      </c>
    </row>
    <row r="331" spans="1:21" x14ac:dyDescent="0.2">
      <c r="A331" s="38">
        <v>34201</v>
      </c>
      <c r="B331" s="4">
        <v>0.28999999999999998</v>
      </c>
      <c r="C331" s="4">
        <v>0.41</v>
      </c>
      <c r="D331" s="4">
        <v>0.3</v>
      </c>
      <c r="E331" s="50">
        <v>1</v>
      </c>
      <c r="F331" s="50">
        <v>0.23749999999999999</v>
      </c>
      <c r="G331" s="50">
        <v>-0.01</v>
      </c>
      <c r="H331" s="50">
        <v>0.38490743662900001</v>
      </c>
      <c r="I331" s="50">
        <v>0.48829287047999997</v>
      </c>
      <c r="J331" s="50">
        <v>0.28152200277799999</v>
      </c>
      <c r="K331" s="50">
        <v>456.99</v>
      </c>
      <c r="L331" s="50">
        <v>448.96</v>
      </c>
      <c r="M331" s="50">
        <v>456.16</v>
      </c>
      <c r="N331" s="66">
        <f t="shared" si="32"/>
        <v>9.6018940722553386E-3</v>
      </c>
      <c r="O331" s="66">
        <f t="shared" si="33"/>
        <v>5.8532094002103621E-3</v>
      </c>
      <c r="P331" s="4">
        <f t="shared" si="34"/>
        <v>-1.0000000000000009E-2</v>
      </c>
      <c r="Q331" s="4">
        <f t="shared" si="35"/>
        <v>-5.2500000000000005E-2</v>
      </c>
      <c r="R331" s="66">
        <f t="shared" si="36"/>
        <v>9.6018940722553386E-3</v>
      </c>
      <c r="S331" s="66">
        <f t="shared" si="37"/>
        <v>5.8532094002103621E-3</v>
      </c>
      <c r="T331" s="50">
        <f t="shared" si="38"/>
        <v>1</v>
      </c>
      <c r="U331" s="50">
        <f t="shared" si="39"/>
        <v>1</v>
      </c>
    </row>
    <row r="332" spans="1:21" x14ac:dyDescent="0.2">
      <c r="A332" s="38">
        <v>34208</v>
      </c>
      <c r="B332" s="4">
        <v>0.27</v>
      </c>
      <c r="C332" s="4">
        <v>0.35</v>
      </c>
      <c r="D332" s="4">
        <v>0.38</v>
      </c>
      <c r="E332" s="50">
        <v>1</v>
      </c>
      <c r="F332" s="50">
        <v>0.24875</v>
      </c>
      <c r="G332" s="50">
        <v>-0.11</v>
      </c>
      <c r="H332" s="50">
        <v>0.38490743662900001</v>
      </c>
      <c r="I332" s="50">
        <v>0.48829287047999997</v>
      </c>
      <c r="J332" s="50">
        <v>0.28152200277799999</v>
      </c>
      <c r="K332" s="50">
        <v>461.04</v>
      </c>
      <c r="L332" s="50">
        <v>454.29</v>
      </c>
      <c r="M332" s="50">
        <v>460.54</v>
      </c>
      <c r="N332" s="66">
        <f t="shared" si="32"/>
        <v>1.7370912407173198E-3</v>
      </c>
      <c r="O332" s="66">
        <f t="shared" si="33"/>
        <v>-6.3186693881096649E-3</v>
      </c>
      <c r="P332" s="4">
        <f t="shared" si="34"/>
        <v>-0.10999999999999999</v>
      </c>
      <c r="Q332" s="4">
        <f t="shared" si="35"/>
        <v>-6.7500000000000004E-2</v>
      </c>
      <c r="R332" s="66">
        <f t="shared" si="36"/>
        <v>1.7370912407173198E-3</v>
      </c>
      <c r="S332" s="66">
        <f t="shared" si="37"/>
        <v>-6.3186693881096649E-3</v>
      </c>
      <c r="T332" s="50">
        <f t="shared" si="38"/>
        <v>1</v>
      </c>
      <c r="U332" s="50" t="str">
        <f t="shared" si="39"/>
        <v/>
      </c>
    </row>
    <row r="333" spans="1:21" x14ac:dyDescent="0.2">
      <c r="A333" s="38">
        <v>34215</v>
      </c>
      <c r="B333" s="4">
        <v>0.38</v>
      </c>
      <c r="C333" s="4">
        <v>0.33</v>
      </c>
      <c r="D333" s="4">
        <v>0.28999999999999998</v>
      </c>
      <c r="E333" s="50">
        <v>1</v>
      </c>
      <c r="F333" s="50">
        <v>0.27</v>
      </c>
      <c r="G333" s="50">
        <v>0.09</v>
      </c>
      <c r="H333" s="50">
        <v>0.38490743662900001</v>
      </c>
      <c r="I333" s="50">
        <v>0.48829287047999997</v>
      </c>
      <c r="J333" s="50">
        <v>0.28152200277799999</v>
      </c>
      <c r="K333" s="50">
        <v>463.8</v>
      </c>
      <c r="L333" s="50">
        <v>459.19</v>
      </c>
      <c r="M333" s="50">
        <v>461.34</v>
      </c>
      <c r="N333" s="66">
        <f t="shared" ref="N333:N396" si="40">(M334-M333)/M333</f>
        <v>8.2368751896660236E-4</v>
      </c>
      <c r="O333" s="66">
        <f t="shared" ref="O333:O396" si="41">(M337-M333)/M333</f>
        <v>-1.083799367060184E-4</v>
      </c>
      <c r="P333" s="4">
        <f t="shared" si="34"/>
        <v>9.0000000000000024E-2</v>
      </c>
      <c r="Q333" s="4">
        <f t="shared" si="35"/>
        <v>-0.03</v>
      </c>
      <c r="R333" s="66">
        <f t="shared" si="36"/>
        <v>8.2368751896660236E-4</v>
      </c>
      <c r="S333" s="66">
        <f t="shared" si="37"/>
        <v>-1.083799367060184E-4</v>
      </c>
      <c r="T333" s="50">
        <f t="shared" si="38"/>
        <v>1</v>
      </c>
      <c r="U333" s="50" t="str">
        <f t="shared" si="39"/>
        <v/>
      </c>
    </row>
    <row r="334" spans="1:21" x14ac:dyDescent="0.2">
      <c r="A334" s="38">
        <v>34222</v>
      </c>
      <c r="B334" s="4">
        <v>0.3</v>
      </c>
      <c r="C334" s="4">
        <v>0.3</v>
      </c>
      <c r="D334" s="4">
        <v>0.4</v>
      </c>
      <c r="E334" s="50">
        <v>1</v>
      </c>
      <c r="F334" s="50">
        <v>0.28000000000000003</v>
      </c>
      <c r="G334" s="50">
        <v>-0.1</v>
      </c>
      <c r="H334" s="50">
        <v>0.38490743662900001</v>
      </c>
      <c r="I334" s="50">
        <v>0.48829287047999997</v>
      </c>
      <c r="J334" s="50">
        <v>0.28152200277799999</v>
      </c>
      <c r="K334" s="50">
        <v>462.07</v>
      </c>
      <c r="L334" s="50">
        <v>453.75</v>
      </c>
      <c r="M334" s="50">
        <v>461.72</v>
      </c>
      <c r="N334" s="66">
        <f t="shared" si="40"/>
        <v>-6.2592047128130534E-3</v>
      </c>
      <c r="O334" s="66">
        <f t="shared" si="41"/>
        <v>-3.0537988391233324E-3</v>
      </c>
      <c r="P334" s="4">
        <f t="shared" ref="P334:P397" si="42">B334-D334</f>
        <v>-0.10000000000000003</v>
      </c>
      <c r="Q334" s="4">
        <f t="shared" si="35"/>
        <v>-3.2500000000000001E-2</v>
      </c>
      <c r="R334" s="66">
        <f t="shared" si="36"/>
        <v>-6.2592047128130534E-3</v>
      </c>
      <c r="S334" s="66">
        <f t="shared" si="37"/>
        <v>-3.0537988391233324E-3</v>
      </c>
      <c r="T334" s="50" t="str">
        <f t="shared" si="38"/>
        <v/>
      </c>
      <c r="U334" s="50" t="str">
        <f t="shared" si="39"/>
        <v/>
      </c>
    </row>
    <row r="335" spans="1:21" x14ac:dyDescent="0.2">
      <c r="A335" s="38">
        <v>34229</v>
      </c>
      <c r="B335" s="4">
        <v>0.32</v>
      </c>
      <c r="C335" s="4">
        <v>0.34</v>
      </c>
      <c r="D335" s="4">
        <v>0.34</v>
      </c>
      <c r="E335" s="50">
        <v>1</v>
      </c>
      <c r="F335" s="50">
        <v>0.28999999999999998</v>
      </c>
      <c r="G335" s="50">
        <v>-0.02</v>
      </c>
      <c r="H335" s="50">
        <v>0.38490743662900001</v>
      </c>
      <c r="I335" s="50">
        <v>0.48829287047999997</v>
      </c>
      <c r="J335" s="50">
        <v>0.28152200277799999</v>
      </c>
      <c r="K335" s="50">
        <v>463.38</v>
      </c>
      <c r="L335" s="50">
        <v>456.31</v>
      </c>
      <c r="M335" s="50">
        <v>458.83</v>
      </c>
      <c r="N335" s="66">
        <f t="shared" si="40"/>
        <v>-2.6153477322755458E-3</v>
      </c>
      <c r="O335" s="66">
        <f t="shared" si="41"/>
        <v>2.3254800252816982E-2</v>
      </c>
      <c r="P335" s="4">
        <f t="shared" si="42"/>
        <v>-2.0000000000000018E-2</v>
      </c>
      <c r="Q335" s="4">
        <f t="shared" si="35"/>
        <v>-3.5000000000000003E-2</v>
      </c>
      <c r="R335" s="66">
        <f t="shared" si="36"/>
        <v>-2.6153477322755458E-3</v>
      </c>
      <c r="S335" s="66">
        <f t="shared" si="37"/>
        <v>2.3254800252816982E-2</v>
      </c>
      <c r="T335" s="50" t="str">
        <f t="shared" si="38"/>
        <v/>
      </c>
      <c r="U335" s="50">
        <f t="shared" si="39"/>
        <v>1</v>
      </c>
    </row>
    <row r="336" spans="1:21" x14ac:dyDescent="0.2">
      <c r="A336" s="38">
        <v>34236</v>
      </c>
      <c r="B336" s="4">
        <v>0.28000000000000003</v>
      </c>
      <c r="C336" s="4">
        <v>0.4</v>
      </c>
      <c r="D336" s="4">
        <v>0.32</v>
      </c>
      <c r="E336" s="50">
        <v>1</v>
      </c>
      <c r="F336" s="50">
        <v>0.29375000000000001</v>
      </c>
      <c r="G336" s="50">
        <v>-0.04</v>
      </c>
      <c r="H336" s="50">
        <v>0.38490743662900001</v>
      </c>
      <c r="I336" s="50">
        <v>0.48829287047999997</v>
      </c>
      <c r="J336" s="50">
        <v>0.28152200277799999</v>
      </c>
      <c r="K336" s="50">
        <v>459.91</v>
      </c>
      <c r="L336" s="50">
        <v>449.64</v>
      </c>
      <c r="M336" s="50">
        <v>457.63</v>
      </c>
      <c r="N336" s="66">
        <f t="shared" si="40"/>
        <v>7.9977274217162882E-3</v>
      </c>
      <c r="O336" s="66">
        <f t="shared" si="41"/>
        <v>1.2324366846579084E-2</v>
      </c>
      <c r="P336" s="4">
        <f t="shared" si="42"/>
        <v>-3.999999999999998E-2</v>
      </c>
      <c r="Q336" s="4">
        <f t="shared" si="35"/>
        <v>-1.7500000000000002E-2</v>
      </c>
      <c r="R336" s="66">
        <f t="shared" si="36"/>
        <v>7.9977274217162882E-3</v>
      </c>
      <c r="S336" s="66">
        <f t="shared" si="37"/>
        <v>1.2324366846579084E-2</v>
      </c>
      <c r="T336" s="50">
        <f t="shared" si="38"/>
        <v>1</v>
      </c>
      <c r="U336" s="50">
        <f t="shared" si="39"/>
        <v>1</v>
      </c>
    </row>
    <row r="337" spans="1:21" x14ac:dyDescent="0.2">
      <c r="A337" s="38">
        <v>34243</v>
      </c>
      <c r="B337" s="4">
        <v>0.26</v>
      </c>
      <c r="C337" s="4">
        <v>0.34</v>
      </c>
      <c r="D337" s="4">
        <v>0.4</v>
      </c>
      <c r="E337" s="50">
        <v>1</v>
      </c>
      <c r="F337" s="50">
        <v>0.29375000000000001</v>
      </c>
      <c r="G337" s="50">
        <v>-0.14000000000000001</v>
      </c>
      <c r="H337" s="50">
        <v>0.38490743662900001</v>
      </c>
      <c r="I337" s="50">
        <v>0.48829287047999997</v>
      </c>
      <c r="J337" s="50">
        <v>0.28152200277799999</v>
      </c>
      <c r="K337" s="50">
        <v>462.17</v>
      </c>
      <c r="L337" s="50">
        <v>456.92</v>
      </c>
      <c r="M337" s="50">
        <v>461.29</v>
      </c>
      <c r="N337" s="66">
        <f t="shared" si="40"/>
        <v>-2.1244770101238228E-3</v>
      </c>
      <c r="O337" s="66">
        <f t="shared" si="41"/>
        <v>1.4177632292050475E-2</v>
      </c>
      <c r="P337" s="4">
        <f t="shared" si="42"/>
        <v>-0.14000000000000001</v>
      </c>
      <c r="Q337" s="4">
        <f t="shared" ref="Q337:Q400" si="43">AVERAGE(P334:P337)</f>
        <v>-7.5000000000000011E-2</v>
      </c>
      <c r="R337" s="66">
        <f t="shared" ref="R337:R400" si="44">(M338-M337)/M337</f>
        <v>-2.1244770101238228E-3</v>
      </c>
      <c r="S337" s="66">
        <f t="shared" ref="S337:S400" si="45">(M341-M337)/M337</f>
        <v>1.4177632292050475E-2</v>
      </c>
      <c r="T337" s="50" t="str">
        <f t="shared" ref="T337:T400" si="46">IF(R337&gt;0,1,"")</f>
        <v/>
      </c>
      <c r="U337" s="50">
        <f t="shared" ref="U337:U400" si="47">IF(S337&gt;0,1,"")</f>
        <v>1</v>
      </c>
    </row>
    <row r="338" spans="1:21" x14ac:dyDescent="0.2">
      <c r="A338" s="38">
        <v>34250</v>
      </c>
      <c r="B338" s="4">
        <v>0.28999999999999998</v>
      </c>
      <c r="C338" s="4">
        <v>0.37</v>
      </c>
      <c r="D338" s="4">
        <v>0.34</v>
      </c>
      <c r="E338" s="50">
        <v>1</v>
      </c>
      <c r="F338" s="50">
        <v>0.29875000000000002</v>
      </c>
      <c r="G338" s="50">
        <v>-0.05</v>
      </c>
      <c r="H338" s="50">
        <v>0.38490743662900001</v>
      </c>
      <c r="I338" s="50">
        <v>0.48829287047999997</v>
      </c>
      <c r="J338" s="50">
        <v>0.28152200277799999</v>
      </c>
      <c r="K338" s="50">
        <v>463.15</v>
      </c>
      <c r="L338" s="50">
        <v>456.4</v>
      </c>
      <c r="M338" s="50">
        <v>460.31</v>
      </c>
      <c r="N338" s="66">
        <f t="shared" si="40"/>
        <v>1.9964806326171487E-2</v>
      </c>
      <c r="O338" s="66">
        <f t="shared" si="41"/>
        <v>-1.6076122613021856E-3</v>
      </c>
      <c r="P338" s="4">
        <f t="shared" si="42"/>
        <v>-5.0000000000000044E-2</v>
      </c>
      <c r="Q338" s="4">
        <f t="shared" si="43"/>
        <v>-6.2500000000000014E-2</v>
      </c>
      <c r="R338" s="66">
        <f t="shared" si="44"/>
        <v>1.9964806326171487E-2</v>
      </c>
      <c r="S338" s="66">
        <f t="shared" si="45"/>
        <v>-1.6076122613021856E-3</v>
      </c>
      <c r="T338" s="50">
        <f t="shared" si="46"/>
        <v>1</v>
      </c>
      <c r="U338" s="50" t="str">
        <f t="shared" si="47"/>
        <v/>
      </c>
    </row>
    <row r="339" spans="1:21" x14ac:dyDescent="0.2">
      <c r="A339" s="38">
        <v>34257</v>
      </c>
      <c r="B339" s="4">
        <v>0.31</v>
      </c>
      <c r="C339" s="4">
        <v>0.38</v>
      </c>
      <c r="D339" s="4">
        <v>0.31</v>
      </c>
      <c r="E339" s="50">
        <v>1</v>
      </c>
      <c r="F339" s="50">
        <v>0.30125000000000002</v>
      </c>
      <c r="G339" s="50">
        <v>0</v>
      </c>
      <c r="H339" s="50">
        <v>0.38490743662900001</v>
      </c>
      <c r="I339" s="50">
        <v>0.48829287047999997</v>
      </c>
      <c r="J339" s="50">
        <v>0.28152200277799999</v>
      </c>
      <c r="K339" s="50">
        <v>471.1</v>
      </c>
      <c r="L339" s="50">
        <v>456.4</v>
      </c>
      <c r="M339" s="50">
        <v>469.5</v>
      </c>
      <c r="N339" s="66">
        <f t="shared" si="40"/>
        <v>-1.3269435569755097E-2</v>
      </c>
      <c r="O339" s="66">
        <f t="shared" si="41"/>
        <v>-8.7539936102236718E-3</v>
      </c>
      <c r="P339" s="4">
        <f t="shared" si="42"/>
        <v>0</v>
      </c>
      <c r="Q339" s="4">
        <f t="shared" si="43"/>
        <v>-5.7500000000000009E-2</v>
      </c>
      <c r="R339" s="66">
        <f t="shared" si="44"/>
        <v>-1.3269435569755097E-2</v>
      </c>
      <c r="S339" s="66">
        <f t="shared" si="45"/>
        <v>-8.7539936102236718E-3</v>
      </c>
      <c r="T339" s="50" t="str">
        <f t="shared" si="46"/>
        <v/>
      </c>
      <c r="U339" s="50" t="str">
        <f t="shared" si="47"/>
        <v/>
      </c>
    </row>
    <row r="340" spans="1:21" x14ac:dyDescent="0.2">
      <c r="A340" s="38">
        <v>34264</v>
      </c>
      <c r="B340" s="4">
        <v>0.42</v>
      </c>
      <c r="C340" s="4">
        <v>0.3</v>
      </c>
      <c r="D340" s="4">
        <v>0.28000000000000003</v>
      </c>
      <c r="E340" s="50">
        <v>1</v>
      </c>
      <c r="F340" s="50">
        <v>0.32</v>
      </c>
      <c r="G340" s="50">
        <v>0.14000000000000001</v>
      </c>
      <c r="H340" s="50">
        <v>0.38490743662900001</v>
      </c>
      <c r="I340" s="50">
        <v>0.48829287047999997</v>
      </c>
      <c r="J340" s="50">
        <v>0.28152200277799999</v>
      </c>
      <c r="K340" s="50">
        <v>471.1</v>
      </c>
      <c r="L340" s="50">
        <v>463.27</v>
      </c>
      <c r="M340" s="50">
        <v>463.27</v>
      </c>
      <c r="N340" s="66">
        <f t="shared" si="40"/>
        <v>9.8430720746001312E-3</v>
      </c>
      <c r="O340" s="66">
        <f t="shared" si="41"/>
        <v>-1.4462408530661582E-3</v>
      </c>
      <c r="P340" s="4">
        <f t="shared" si="42"/>
        <v>0.13999999999999996</v>
      </c>
      <c r="Q340" s="4">
        <f t="shared" si="43"/>
        <v>-1.2500000000000025E-2</v>
      </c>
      <c r="R340" s="66">
        <f t="shared" si="44"/>
        <v>9.8430720746001312E-3</v>
      </c>
      <c r="S340" s="66">
        <f t="shared" si="45"/>
        <v>-1.4462408530661582E-3</v>
      </c>
      <c r="T340" s="50">
        <f t="shared" si="46"/>
        <v>1</v>
      </c>
      <c r="U340" s="50" t="str">
        <f t="shared" si="47"/>
        <v/>
      </c>
    </row>
    <row r="341" spans="1:21" x14ac:dyDescent="0.2">
      <c r="A341" s="38">
        <v>34271</v>
      </c>
      <c r="B341" s="4">
        <v>0.43</v>
      </c>
      <c r="C341" s="4">
        <v>0.33</v>
      </c>
      <c r="D341" s="4">
        <v>0.24</v>
      </c>
      <c r="E341" s="50">
        <v>1</v>
      </c>
      <c r="F341" s="50">
        <v>0.32624999999999998</v>
      </c>
      <c r="G341" s="50">
        <v>0.19</v>
      </c>
      <c r="H341" s="50">
        <v>0.38490743662900001</v>
      </c>
      <c r="I341" s="50">
        <v>0.48829287047999997</v>
      </c>
      <c r="J341" s="50">
        <v>0.28152200277799999</v>
      </c>
      <c r="K341" s="50">
        <v>468.76</v>
      </c>
      <c r="L341" s="50">
        <v>462.05</v>
      </c>
      <c r="M341" s="50">
        <v>467.83</v>
      </c>
      <c r="N341" s="66">
        <f t="shared" si="40"/>
        <v>-1.7655986148814723E-2</v>
      </c>
      <c r="O341" s="66">
        <f t="shared" si="41"/>
        <v>-1.1692281384263451E-2</v>
      </c>
      <c r="P341" s="4">
        <f t="shared" si="42"/>
        <v>0.19</v>
      </c>
      <c r="Q341" s="4">
        <f t="shared" si="43"/>
        <v>6.9999999999999979E-2</v>
      </c>
      <c r="R341" s="66">
        <f t="shared" si="44"/>
        <v>-1.7655986148814723E-2</v>
      </c>
      <c r="S341" s="66">
        <f t="shared" si="45"/>
        <v>-1.1692281384263451E-2</v>
      </c>
      <c r="T341" s="50" t="str">
        <f t="shared" si="46"/>
        <v/>
      </c>
      <c r="U341" s="50" t="str">
        <f t="shared" si="47"/>
        <v/>
      </c>
    </row>
    <row r="342" spans="1:21" x14ac:dyDescent="0.2">
      <c r="A342" s="38">
        <v>34277</v>
      </c>
      <c r="B342" s="4">
        <v>0.32</v>
      </c>
      <c r="C342" s="4">
        <v>0.36</v>
      </c>
      <c r="D342" s="4">
        <v>0.32</v>
      </c>
      <c r="E342" s="50">
        <v>1</v>
      </c>
      <c r="F342" s="50">
        <v>0.32874999999999999</v>
      </c>
      <c r="G342" s="50">
        <v>0</v>
      </c>
      <c r="H342" s="50">
        <v>0.38490743662900001</v>
      </c>
      <c r="I342" s="50">
        <v>0.48829287047999997</v>
      </c>
      <c r="J342" s="50">
        <v>0.28152200277799999</v>
      </c>
      <c r="K342" s="50">
        <v>469.11</v>
      </c>
      <c r="L342" s="50">
        <v>454.36</v>
      </c>
      <c r="M342" s="50">
        <v>459.57</v>
      </c>
      <c r="N342" s="66">
        <f t="shared" si="40"/>
        <v>1.2664012011227872E-2</v>
      </c>
      <c r="O342" s="66">
        <f t="shared" si="41"/>
        <v>1.1576038470744376E-2</v>
      </c>
      <c r="P342" s="4">
        <f t="shared" si="42"/>
        <v>0</v>
      </c>
      <c r="Q342" s="4">
        <f t="shared" si="43"/>
        <v>8.249999999999999E-2</v>
      </c>
      <c r="R342" s="66">
        <f t="shared" si="44"/>
        <v>1.2664012011227872E-2</v>
      </c>
      <c r="S342" s="66">
        <f t="shared" si="45"/>
        <v>1.1576038470744376E-2</v>
      </c>
      <c r="T342" s="50">
        <f t="shared" si="46"/>
        <v>1</v>
      </c>
      <c r="U342" s="50">
        <f t="shared" si="47"/>
        <v>1</v>
      </c>
    </row>
    <row r="343" spans="1:21" x14ac:dyDescent="0.2">
      <c r="A343" s="38">
        <v>34284</v>
      </c>
      <c r="B343" s="4">
        <v>0.35</v>
      </c>
      <c r="C343" s="4">
        <v>0.3</v>
      </c>
      <c r="D343" s="4">
        <v>0.35</v>
      </c>
      <c r="E343" s="50">
        <v>1</v>
      </c>
      <c r="F343" s="50">
        <v>0.33250000000000002</v>
      </c>
      <c r="G343" s="50">
        <v>0</v>
      </c>
      <c r="H343" s="50">
        <v>0.38490743662900001</v>
      </c>
      <c r="I343" s="50">
        <v>0.48829287047999997</v>
      </c>
      <c r="J343" s="50">
        <v>0.28152200277799999</v>
      </c>
      <c r="K343" s="50">
        <v>465.84</v>
      </c>
      <c r="L343" s="50">
        <v>454.36</v>
      </c>
      <c r="M343" s="50">
        <v>465.39</v>
      </c>
      <c r="N343" s="66">
        <f t="shared" si="40"/>
        <v>-5.9949719590020496E-3</v>
      </c>
      <c r="O343" s="66">
        <f t="shared" si="41"/>
        <v>-3.1371537849974851E-3</v>
      </c>
      <c r="P343" s="4">
        <f t="shared" si="42"/>
        <v>0</v>
      </c>
      <c r="Q343" s="4">
        <f t="shared" si="43"/>
        <v>8.249999999999999E-2</v>
      </c>
      <c r="R343" s="66">
        <f t="shared" si="44"/>
        <v>-5.9949719590020496E-3</v>
      </c>
      <c r="S343" s="66">
        <f t="shared" si="45"/>
        <v>-3.1371537849974851E-3</v>
      </c>
      <c r="T343" s="50" t="str">
        <f t="shared" si="46"/>
        <v/>
      </c>
      <c r="U343" s="50" t="str">
        <f t="shared" si="47"/>
        <v/>
      </c>
    </row>
    <row r="344" spans="1:21" x14ac:dyDescent="0.2">
      <c r="A344" s="38">
        <v>34291</v>
      </c>
      <c r="B344" s="4">
        <v>0.34</v>
      </c>
      <c r="C344" s="4">
        <v>0.31</v>
      </c>
      <c r="D344" s="4">
        <v>0.35</v>
      </c>
      <c r="E344" s="50">
        <v>1</v>
      </c>
      <c r="F344" s="50">
        <v>0.34</v>
      </c>
      <c r="G344" s="50">
        <v>-0.01</v>
      </c>
      <c r="H344" s="50">
        <v>0.38490743662900001</v>
      </c>
      <c r="I344" s="50">
        <v>0.48829287047999997</v>
      </c>
      <c r="J344" s="50">
        <v>0.28152200277799999</v>
      </c>
      <c r="K344" s="50">
        <v>467.24</v>
      </c>
      <c r="L344" s="50">
        <v>460.03</v>
      </c>
      <c r="M344" s="50">
        <v>462.6</v>
      </c>
      <c r="N344" s="66">
        <f t="shared" si="40"/>
        <v>-5.1880674448769796E-4</v>
      </c>
      <c r="O344" s="66">
        <f t="shared" si="41"/>
        <v>8.1712062256808753E-3</v>
      </c>
      <c r="P344" s="4">
        <f t="shared" si="42"/>
        <v>-9.9999999999999534E-3</v>
      </c>
      <c r="Q344" s="4">
        <f t="shared" si="43"/>
        <v>4.5000000000000012E-2</v>
      </c>
      <c r="R344" s="66">
        <f t="shared" si="44"/>
        <v>-5.1880674448769796E-4</v>
      </c>
      <c r="S344" s="66">
        <f t="shared" si="45"/>
        <v>8.1712062256808753E-3</v>
      </c>
      <c r="T344" s="50" t="str">
        <f t="shared" si="46"/>
        <v/>
      </c>
      <c r="U344" s="50">
        <f t="shared" si="47"/>
        <v>1</v>
      </c>
    </row>
    <row r="345" spans="1:21" x14ac:dyDescent="0.2">
      <c r="A345" s="38">
        <v>34297</v>
      </c>
      <c r="B345" s="4">
        <v>0.45</v>
      </c>
      <c r="C345" s="4">
        <v>0.3</v>
      </c>
      <c r="D345" s="4">
        <v>0.25</v>
      </c>
      <c r="E345" s="50">
        <v>1</v>
      </c>
      <c r="F345" s="50">
        <v>0.36375000000000002</v>
      </c>
      <c r="G345" s="50">
        <v>0.2</v>
      </c>
      <c r="H345" s="50">
        <v>0.38490743662900001</v>
      </c>
      <c r="I345" s="50">
        <v>0.48829287047999997</v>
      </c>
      <c r="J345" s="50">
        <v>0.28152200277799999</v>
      </c>
      <c r="K345" s="50">
        <v>462.9</v>
      </c>
      <c r="L345" s="50">
        <v>457.08</v>
      </c>
      <c r="M345" s="50">
        <v>462.36</v>
      </c>
      <c r="N345" s="66">
        <f t="shared" si="40"/>
        <v>5.471926637252298E-3</v>
      </c>
      <c r="O345" s="66">
        <f t="shared" si="41"/>
        <v>1.0857340600397919E-2</v>
      </c>
      <c r="P345" s="4">
        <f t="shared" si="42"/>
        <v>0.2</v>
      </c>
      <c r="Q345" s="4">
        <f t="shared" si="43"/>
        <v>4.7500000000000014E-2</v>
      </c>
      <c r="R345" s="66">
        <f t="shared" si="44"/>
        <v>5.471926637252298E-3</v>
      </c>
      <c r="S345" s="66">
        <f t="shared" si="45"/>
        <v>1.0857340600397919E-2</v>
      </c>
      <c r="T345" s="50">
        <f t="shared" si="46"/>
        <v>1</v>
      </c>
      <c r="U345" s="50">
        <f t="shared" si="47"/>
        <v>1</v>
      </c>
    </row>
    <row r="346" spans="1:21" x14ac:dyDescent="0.2">
      <c r="A346" s="38">
        <v>34305</v>
      </c>
      <c r="B346" s="4">
        <v>0.33</v>
      </c>
      <c r="C346" s="4">
        <v>0.32</v>
      </c>
      <c r="D346" s="4">
        <v>0.35</v>
      </c>
      <c r="E346" s="50">
        <v>1</v>
      </c>
      <c r="F346" s="50">
        <v>0.36875000000000002</v>
      </c>
      <c r="G346" s="50">
        <v>-0.02</v>
      </c>
      <c r="H346" s="50">
        <v>0.38490743662900001</v>
      </c>
      <c r="I346" s="50">
        <v>0.48829287047999997</v>
      </c>
      <c r="J346" s="50">
        <v>0.28152200277799999</v>
      </c>
      <c r="K346" s="50">
        <v>464.89</v>
      </c>
      <c r="L346" s="50">
        <v>460.45</v>
      </c>
      <c r="M346" s="50">
        <v>464.89</v>
      </c>
      <c r="N346" s="66">
        <f t="shared" si="40"/>
        <v>-2.0650046247498968E-3</v>
      </c>
      <c r="O346" s="66">
        <f t="shared" si="41"/>
        <v>3.3556325152186589E-3</v>
      </c>
      <c r="P346" s="4">
        <f t="shared" si="42"/>
        <v>-1.9999999999999962E-2</v>
      </c>
      <c r="Q346" s="4">
        <f t="shared" si="43"/>
        <v>4.2500000000000024E-2</v>
      </c>
      <c r="R346" s="66">
        <f t="shared" si="44"/>
        <v>-2.0650046247498968E-3</v>
      </c>
      <c r="S346" s="66">
        <f t="shared" si="45"/>
        <v>3.3556325152186589E-3</v>
      </c>
      <c r="T346" s="50" t="str">
        <f t="shared" si="46"/>
        <v/>
      </c>
      <c r="U346" s="50">
        <f t="shared" si="47"/>
        <v>1</v>
      </c>
    </row>
    <row r="347" spans="1:21" x14ac:dyDescent="0.2">
      <c r="A347" s="38">
        <v>34312</v>
      </c>
      <c r="B347" s="4">
        <v>0.37</v>
      </c>
      <c r="C347" s="4">
        <v>0.39</v>
      </c>
      <c r="D347" s="4">
        <v>0.24</v>
      </c>
      <c r="E347" s="50">
        <v>1</v>
      </c>
      <c r="F347" s="50">
        <v>0.37624999999999997</v>
      </c>
      <c r="G347" s="50">
        <v>0.13</v>
      </c>
      <c r="H347" s="50">
        <v>0.38490743662900001</v>
      </c>
      <c r="I347" s="50">
        <v>0.48829287047999997</v>
      </c>
      <c r="J347" s="50">
        <v>0.28152200277799999</v>
      </c>
      <c r="K347" s="50">
        <v>466.89</v>
      </c>
      <c r="L347" s="50">
        <v>462.66</v>
      </c>
      <c r="M347" s="50">
        <v>463.93</v>
      </c>
      <c r="N347" s="66">
        <f t="shared" si="40"/>
        <v>5.2809691117194158E-3</v>
      </c>
      <c r="O347" s="66">
        <f t="shared" si="41"/>
        <v>1.2868320651822409E-2</v>
      </c>
      <c r="P347" s="4">
        <f t="shared" si="42"/>
        <v>0.13</v>
      </c>
      <c r="Q347" s="4">
        <f t="shared" si="43"/>
        <v>7.5000000000000025E-2</v>
      </c>
      <c r="R347" s="66">
        <f t="shared" si="44"/>
        <v>5.2809691117194158E-3</v>
      </c>
      <c r="S347" s="66">
        <f t="shared" si="45"/>
        <v>1.2868320651822409E-2</v>
      </c>
      <c r="T347" s="50">
        <f t="shared" si="46"/>
        <v>1</v>
      </c>
      <c r="U347" s="50">
        <f t="shared" si="47"/>
        <v>1</v>
      </c>
    </row>
    <row r="348" spans="1:21" x14ac:dyDescent="0.2">
      <c r="A348" s="38">
        <v>34319</v>
      </c>
      <c r="B348" s="4">
        <v>0.33</v>
      </c>
      <c r="C348" s="4">
        <v>0.38</v>
      </c>
      <c r="D348" s="4">
        <v>0.28999999999999998</v>
      </c>
      <c r="E348" s="50">
        <v>1</v>
      </c>
      <c r="F348" s="50">
        <v>0.36499999999999999</v>
      </c>
      <c r="G348" s="50">
        <v>0.04</v>
      </c>
      <c r="H348" s="50">
        <v>0.38490743662900001</v>
      </c>
      <c r="I348" s="50">
        <v>0.48829287047999997</v>
      </c>
      <c r="J348" s="50">
        <v>0.28152200277799999</v>
      </c>
      <c r="K348" s="50">
        <v>466.38</v>
      </c>
      <c r="L348" s="50">
        <v>461.84</v>
      </c>
      <c r="M348" s="50">
        <v>466.38</v>
      </c>
      <c r="N348" s="66">
        <f t="shared" si="40"/>
        <v>2.1441742784853554E-3</v>
      </c>
      <c r="O348" s="66">
        <f t="shared" si="41"/>
        <v>1.8289806595480143E-2</v>
      </c>
      <c r="P348" s="4">
        <f t="shared" si="42"/>
        <v>4.0000000000000036E-2</v>
      </c>
      <c r="Q348" s="4">
        <f t="shared" si="43"/>
        <v>8.7500000000000022E-2</v>
      </c>
      <c r="R348" s="66">
        <f t="shared" si="44"/>
        <v>2.1441742784853554E-3</v>
      </c>
      <c r="S348" s="66">
        <f t="shared" si="45"/>
        <v>1.8289806595480143E-2</v>
      </c>
      <c r="T348" s="50">
        <f t="shared" si="46"/>
        <v>1</v>
      </c>
      <c r="U348" s="50">
        <f t="shared" si="47"/>
        <v>1</v>
      </c>
    </row>
    <row r="349" spans="1:21" x14ac:dyDescent="0.2">
      <c r="A349" s="38">
        <v>34326</v>
      </c>
      <c r="B349" s="4">
        <v>0.36</v>
      </c>
      <c r="C349" s="4">
        <v>0.31</v>
      </c>
      <c r="D349" s="4">
        <v>0.33</v>
      </c>
      <c r="E349" s="50">
        <v>1</v>
      </c>
      <c r="F349" s="50">
        <v>0.35625000000000001</v>
      </c>
      <c r="G349" s="50">
        <v>0.03</v>
      </c>
      <c r="H349" s="50">
        <v>0.38490743662900001</v>
      </c>
      <c r="I349" s="50">
        <v>0.48829287047999997</v>
      </c>
      <c r="J349" s="50">
        <v>0.28152200277799999</v>
      </c>
      <c r="K349" s="50">
        <v>468.97</v>
      </c>
      <c r="L349" s="50">
        <v>463.34</v>
      </c>
      <c r="M349" s="50">
        <v>467.38</v>
      </c>
      <c r="N349" s="66">
        <f t="shared" si="40"/>
        <v>-1.9898155676323481E-3</v>
      </c>
      <c r="O349" s="66">
        <f t="shared" si="41"/>
        <v>1.5704565877872462E-2</v>
      </c>
      <c r="P349" s="4">
        <f t="shared" si="42"/>
        <v>2.9999999999999971E-2</v>
      </c>
      <c r="Q349" s="4">
        <f t="shared" si="43"/>
        <v>4.5000000000000012E-2</v>
      </c>
      <c r="R349" s="66">
        <f t="shared" si="44"/>
        <v>-1.9898155676323481E-3</v>
      </c>
      <c r="S349" s="66">
        <f t="shared" si="45"/>
        <v>1.5704565877872462E-2</v>
      </c>
      <c r="T349" s="50" t="str">
        <f t="shared" si="46"/>
        <v/>
      </c>
      <c r="U349" s="50">
        <f t="shared" si="47"/>
        <v>1</v>
      </c>
    </row>
    <row r="350" spans="1:21" x14ac:dyDescent="0.2">
      <c r="A350" s="38">
        <v>34333</v>
      </c>
      <c r="B350" s="4">
        <v>0.44</v>
      </c>
      <c r="C350" s="4">
        <v>0.28000000000000003</v>
      </c>
      <c r="D350" s="4">
        <v>0.28000000000000003</v>
      </c>
      <c r="E350" s="50">
        <v>1</v>
      </c>
      <c r="F350" s="50">
        <v>0.37125000000000002</v>
      </c>
      <c r="G350" s="50">
        <v>0.16</v>
      </c>
      <c r="H350" s="50">
        <v>0.38490743662900001</v>
      </c>
      <c r="I350" s="50">
        <v>0.48829287047999997</v>
      </c>
      <c r="J350" s="50">
        <v>0.28152200277799999</v>
      </c>
      <c r="K350" s="50">
        <v>471.29</v>
      </c>
      <c r="L350" s="50">
        <v>466.45</v>
      </c>
      <c r="M350" s="50">
        <v>466.45</v>
      </c>
      <c r="N350" s="66">
        <f t="shared" si="40"/>
        <v>7.3962911351698763E-3</v>
      </c>
      <c r="O350" s="66">
        <f t="shared" si="41"/>
        <v>2.6262193161110517E-2</v>
      </c>
      <c r="P350" s="4">
        <f t="shared" si="42"/>
        <v>0.15999999999999998</v>
      </c>
      <c r="Q350" s="4">
        <f t="shared" si="43"/>
        <v>0.09</v>
      </c>
      <c r="R350" s="66">
        <f t="shared" si="44"/>
        <v>7.3962911351698763E-3</v>
      </c>
      <c r="S350" s="66">
        <f t="shared" si="45"/>
        <v>2.6262193161110517E-2</v>
      </c>
      <c r="T350" s="50">
        <f t="shared" si="46"/>
        <v>1</v>
      </c>
      <c r="U350" s="50">
        <f t="shared" si="47"/>
        <v>1</v>
      </c>
    </row>
    <row r="351" spans="1:21" x14ac:dyDescent="0.2">
      <c r="A351" s="38">
        <v>34340</v>
      </c>
      <c r="B351" s="4">
        <v>0.4</v>
      </c>
      <c r="C351" s="4">
        <v>0.33</v>
      </c>
      <c r="D351" s="4">
        <v>0.27</v>
      </c>
      <c r="E351" s="50">
        <v>1</v>
      </c>
      <c r="F351" s="50">
        <v>0.3775</v>
      </c>
      <c r="G351" s="50">
        <v>0.13</v>
      </c>
      <c r="H351" s="50">
        <v>0.38490743662900001</v>
      </c>
      <c r="I351" s="50">
        <v>0.48829287047999997</v>
      </c>
      <c r="J351" s="50">
        <v>0.28152200277799999</v>
      </c>
      <c r="K351" s="50">
        <v>470.26</v>
      </c>
      <c r="L351" s="50">
        <v>464.36</v>
      </c>
      <c r="M351" s="50">
        <v>469.9</v>
      </c>
      <c r="N351" s="66">
        <f t="shared" si="40"/>
        <v>1.0661842945307615E-2</v>
      </c>
      <c r="O351" s="66">
        <f t="shared" si="41"/>
        <v>-1.915301127899021E-4</v>
      </c>
      <c r="P351" s="4">
        <f t="shared" si="42"/>
        <v>0.13</v>
      </c>
      <c r="Q351" s="4">
        <f t="shared" si="43"/>
        <v>0.09</v>
      </c>
      <c r="R351" s="66">
        <f t="shared" si="44"/>
        <v>1.0661842945307615E-2</v>
      </c>
      <c r="S351" s="66">
        <f t="shared" si="45"/>
        <v>-1.915301127899021E-4</v>
      </c>
      <c r="T351" s="50">
        <f t="shared" si="46"/>
        <v>1</v>
      </c>
      <c r="U351" s="50" t="str">
        <f t="shared" si="47"/>
        <v/>
      </c>
    </row>
    <row r="352" spans="1:21" x14ac:dyDescent="0.2">
      <c r="A352" s="38">
        <v>34347</v>
      </c>
      <c r="B352" s="4">
        <v>0.38</v>
      </c>
      <c r="C352" s="4">
        <v>0.31</v>
      </c>
      <c r="D352" s="4">
        <v>0.31</v>
      </c>
      <c r="E352" s="50">
        <v>1</v>
      </c>
      <c r="F352" s="50">
        <v>0.38250000000000001</v>
      </c>
      <c r="G352" s="50">
        <v>7.0000000000000007E-2</v>
      </c>
      <c r="H352" s="50">
        <v>0.38490743662900001</v>
      </c>
      <c r="I352" s="50">
        <v>0.48829287047999997</v>
      </c>
      <c r="J352" s="50">
        <v>0.28152200277799999</v>
      </c>
      <c r="K352" s="50">
        <v>475.32</v>
      </c>
      <c r="L352" s="50">
        <v>467.03</v>
      </c>
      <c r="M352" s="50">
        <v>474.91</v>
      </c>
      <c r="N352" s="66">
        <f t="shared" si="40"/>
        <v>-4.0007580383651158E-4</v>
      </c>
      <c r="O352" s="66">
        <f t="shared" si="41"/>
        <v>-9.9597818534038398E-3</v>
      </c>
      <c r="P352" s="4">
        <f t="shared" si="42"/>
        <v>7.0000000000000007E-2</v>
      </c>
      <c r="Q352" s="4">
        <f t="shared" si="43"/>
        <v>9.7499999999999989E-2</v>
      </c>
      <c r="R352" s="66">
        <f t="shared" si="44"/>
        <v>-4.0007580383651158E-4</v>
      </c>
      <c r="S352" s="66">
        <f t="shared" si="45"/>
        <v>-9.9597818534038398E-3</v>
      </c>
      <c r="T352" s="50" t="str">
        <f t="shared" si="46"/>
        <v/>
      </c>
      <c r="U352" s="50" t="str">
        <f t="shared" si="47"/>
        <v/>
      </c>
    </row>
    <row r="353" spans="1:21" x14ac:dyDescent="0.2">
      <c r="A353" s="38">
        <v>34354</v>
      </c>
      <c r="B353" s="4">
        <v>0.48</v>
      </c>
      <c r="C353" s="4">
        <v>0.26</v>
      </c>
      <c r="D353" s="4">
        <v>0.26</v>
      </c>
      <c r="E353" s="50">
        <v>1</v>
      </c>
      <c r="F353" s="50">
        <v>0.38624999999999998</v>
      </c>
      <c r="G353" s="50">
        <v>0.22</v>
      </c>
      <c r="H353" s="50">
        <v>0.38490743662900001</v>
      </c>
      <c r="I353" s="50">
        <v>0.48829287047999997</v>
      </c>
      <c r="J353" s="50">
        <v>0.28152200277799999</v>
      </c>
      <c r="K353" s="50">
        <v>475.56</v>
      </c>
      <c r="L353" s="50">
        <v>472.21</v>
      </c>
      <c r="M353" s="50">
        <v>474.72</v>
      </c>
      <c r="N353" s="66">
        <f t="shared" si="40"/>
        <v>8.3838894506234433E-3</v>
      </c>
      <c r="O353" s="66">
        <f t="shared" si="41"/>
        <v>-1.4808729356252168E-2</v>
      </c>
      <c r="P353" s="4">
        <f t="shared" si="42"/>
        <v>0.21999999999999997</v>
      </c>
      <c r="Q353" s="4">
        <f t="shared" si="43"/>
        <v>0.14499999999999999</v>
      </c>
      <c r="R353" s="66">
        <f t="shared" si="44"/>
        <v>8.3838894506234433E-3</v>
      </c>
      <c r="S353" s="66">
        <f t="shared" si="45"/>
        <v>-1.4808729356252168E-2</v>
      </c>
      <c r="T353" s="50">
        <f t="shared" si="46"/>
        <v>1</v>
      </c>
      <c r="U353" s="50" t="str">
        <f t="shared" si="47"/>
        <v/>
      </c>
    </row>
    <row r="354" spans="1:21" x14ac:dyDescent="0.2">
      <c r="A354" s="38">
        <v>34361</v>
      </c>
      <c r="B354" s="4">
        <v>0.41</v>
      </c>
      <c r="C354" s="4">
        <v>0.25</v>
      </c>
      <c r="D354" s="4">
        <v>0.34</v>
      </c>
      <c r="E354" s="50">
        <v>1</v>
      </c>
      <c r="F354" s="50">
        <v>0.39624999999999999</v>
      </c>
      <c r="G354" s="50">
        <v>7.0000000000000007E-2</v>
      </c>
      <c r="H354" s="50">
        <v>0.38490743662900001</v>
      </c>
      <c r="I354" s="50">
        <v>0.48829287047999997</v>
      </c>
      <c r="J354" s="50">
        <v>0.28152200277799999</v>
      </c>
      <c r="K354" s="50">
        <v>479.75</v>
      </c>
      <c r="L354" s="50">
        <v>470.27</v>
      </c>
      <c r="M354" s="50">
        <v>478.7</v>
      </c>
      <c r="N354" s="66">
        <f t="shared" si="40"/>
        <v>-1.8571130144140351E-2</v>
      </c>
      <c r="O354" s="66">
        <f t="shared" si="41"/>
        <v>-2.6383956548986832E-2</v>
      </c>
      <c r="P354" s="4">
        <f t="shared" si="42"/>
        <v>6.9999999999999951E-2</v>
      </c>
      <c r="Q354" s="4">
        <f t="shared" si="43"/>
        <v>0.12249999999999998</v>
      </c>
      <c r="R354" s="66">
        <f t="shared" si="44"/>
        <v>-1.8571130144140351E-2</v>
      </c>
      <c r="S354" s="66">
        <f t="shared" si="45"/>
        <v>-2.6383956548986832E-2</v>
      </c>
      <c r="T354" s="50" t="str">
        <f t="shared" si="46"/>
        <v/>
      </c>
      <c r="U354" s="50" t="str">
        <f t="shared" si="47"/>
        <v/>
      </c>
    </row>
    <row r="355" spans="1:21" x14ac:dyDescent="0.2">
      <c r="A355" s="38">
        <v>34368</v>
      </c>
      <c r="B355" s="4">
        <v>0.38</v>
      </c>
      <c r="C355" s="4">
        <v>0.28999999999999998</v>
      </c>
      <c r="D355" s="4">
        <v>0.33</v>
      </c>
      <c r="E355" s="50">
        <v>1</v>
      </c>
      <c r="F355" s="50">
        <v>0.39750000000000002</v>
      </c>
      <c r="G355" s="50">
        <v>0.05</v>
      </c>
      <c r="H355" s="50">
        <v>0.38490743662900001</v>
      </c>
      <c r="I355" s="50">
        <v>0.48829287047999997</v>
      </c>
      <c r="J355" s="50">
        <v>0.28152200277799999</v>
      </c>
      <c r="K355" s="50">
        <v>482.85</v>
      </c>
      <c r="L355" s="50">
        <v>469.28</v>
      </c>
      <c r="M355" s="50">
        <v>469.81</v>
      </c>
      <c r="N355" s="66">
        <f t="shared" si="40"/>
        <v>7.8755241480599507E-4</v>
      </c>
      <c r="O355" s="66">
        <f t="shared" si="41"/>
        <v>-1.0791596602882002E-2</v>
      </c>
      <c r="P355" s="4">
        <f t="shared" si="42"/>
        <v>4.9999999999999989E-2</v>
      </c>
      <c r="Q355" s="4">
        <f t="shared" si="43"/>
        <v>0.10249999999999998</v>
      </c>
      <c r="R355" s="66">
        <f t="shared" si="44"/>
        <v>7.8755241480599507E-4</v>
      </c>
      <c r="S355" s="66">
        <f t="shared" si="45"/>
        <v>-1.0791596602882002E-2</v>
      </c>
      <c r="T355" s="50">
        <f t="shared" si="46"/>
        <v>1</v>
      </c>
      <c r="U355" s="50" t="str">
        <f t="shared" si="47"/>
        <v/>
      </c>
    </row>
    <row r="356" spans="1:21" x14ac:dyDescent="0.2">
      <c r="A356" s="38">
        <v>34375</v>
      </c>
      <c r="B356" s="4">
        <v>0.49</v>
      </c>
      <c r="C356" s="4">
        <v>0.27</v>
      </c>
      <c r="D356" s="4">
        <v>0.24</v>
      </c>
      <c r="E356" s="50">
        <v>1</v>
      </c>
      <c r="F356" s="50">
        <v>0.41749999999999998</v>
      </c>
      <c r="G356" s="50">
        <v>0.25</v>
      </c>
      <c r="H356" s="50">
        <v>0.38490743662900001</v>
      </c>
      <c r="I356" s="50">
        <v>0.48829287047999997</v>
      </c>
      <c r="J356" s="50">
        <v>0.28152200277799999</v>
      </c>
      <c r="K356" s="50">
        <v>473.13</v>
      </c>
      <c r="L356" s="50">
        <v>466.89</v>
      </c>
      <c r="M356" s="50">
        <v>470.18</v>
      </c>
      <c r="N356" s="66">
        <f t="shared" si="40"/>
        <v>-5.2958441447956296E-3</v>
      </c>
      <c r="O356" s="66">
        <f t="shared" si="41"/>
        <v>-7.9544004423837879E-3</v>
      </c>
      <c r="P356" s="4">
        <f t="shared" si="42"/>
        <v>0.25</v>
      </c>
      <c r="Q356" s="4">
        <f t="shared" si="43"/>
        <v>0.14749999999999996</v>
      </c>
      <c r="R356" s="66">
        <f t="shared" si="44"/>
        <v>-5.2958441447956296E-3</v>
      </c>
      <c r="S356" s="66">
        <f t="shared" si="45"/>
        <v>-7.9544004423837879E-3</v>
      </c>
      <c r="T356" s="50" t="str">
        <f t="shared" si="46"/>
        <v/>
      </c>
      <c r="U356" s="50" t="str">
        <f t="shared" si="47"/>
        <v/>
      </c>
    </row>
    <row r="357" spans="1:21" x14ac:dyDescent="0.2">
      <c r="A357" s="38">
        <v>34382</v>
      </c>
      <c r="B357" s="4">
        <v>0.4</v>
      </c>
      <c r="C357" s="4">
        <v>0.36</v>
      </c>
      <c r="D357" s="4">
        <v>0.24</v>
      </c>
      <c r="E357" s="50">
        <v>1</v>
      </c>
      <c r="F357" s="50">
        <v>0.42249999999999999</v>
      </c>
      <c r="G357" s="50">
        <v>0.16</v>
      </c>
      <c r="H357" s="50">
        <v>0.38490743662900001</v>
      </c>
      <c r="I357" s="50">
        <v>0.48829287047999997</v>
      </c>
      <c r="J357" s="50">
        <v>0.28152200277799999</v>
      </c>
      <c r="K357" s="50">
        <v>475.13</v>
      </c>
      <c r="L357" s="50">
        <v>466.07</v>
      </c>
      <c r="M357" s="50">
        <v>467.69</v>
      </c>
      <c r="N357" s="66">
        <f t="shared" si="40"/>
        <v>-3.4638328807543558E-3</v>
      </c>
      <c r="O357" s="66">
        <f t="shared" si="41"/>
        <v>7.2056276593470128E-3</v>
      </c>
      <c r="P357" s="4">
        <f t="shared" si="42"/>
        <v>0.16000000000000003</v>
      </c>
      <c r="Q357" s="4">
        <f t="shared" si="43"/>
        <v>0.13250000000000001</v>
      </c>
      <c r="R357" s="66">
        <f t="shared" si="44"/>
        <v>-3.4638328807543558E-3</v>
      </c>
      <c r="S357" s="66">
        <f t="shared" si="45"/>
        <v>7.2056276593470128E-3</v>
      </c>
      <c r="T357" s="50" t="str">
        <f t="shared" si="46"/>
        <v/>
      </c>
      <c r="U357" s="50">
        <f t="shared" si="47"/>
        <v>1</v>
      </c>
    </row>
    <row r="358" spans="1:21" x14ac:dyDescent="0.2">
      <c r="A358" s="38">
        <v>34389</v>
      </c>
      <c r="B358" s="4">
        <v>0.41</v>
      </c>
      <c r="C358" s="4">
        <v>0.3</v>
      </c>
      <c r="D358" s="4">
        <v>0.28999999999999998</v>
      </c>
      <c r="E358" s="50">
        <v>1</v>
      </c>
      <c r="F358" s="50">
        <v>0.41875000000000001</v>
      </c>
      <c r="G358" s="50">
        <v>0.12</v>
      </c>
      <c r="H358" s="50">
        <v>0.38490743662900001</v>
      </c>
      <c r="I358" s="50">
        <v>0.48829287047999997</v>
      </c>
      <c r="J358" s="50">
        <v>0.28152200277799999</v>
      </c>
      <c r="K358" s="50">
        <v>472.41</v>
      </c>
      <c r="L358" s="50">
        <v>464.26</v>
      </c>
      <c r="M358" s="50">
        <v>466.07</v>
      </c>
      <c r="N358" s="66">
        <f t="shared" si="40"/>
        <v>-2.8536485935588734E-3</v>
      </c>
      <c r="O358" s="66">
        <f t="shared" si="41"/>
        <v>-1.1779346450104082E-2</v>
      </c>
      <c r="P358" s="4">
        <f t="shared" si="42"/>
        <v>0.12</v>
      </c>
      <c r="Q358" s="4">
        <f t="shared" si="43"/>
        <v>0.14500000000000002</v>
      </c>
      <c r="R358" s="66">
        <f t="shared" si="44"/>
        <v>-2.8536485935588734E-3</v>
      </c>
      <c r="S358" s="66">
        <f t="shared" si="45"/>
        <v>-1.1779346450104082E-2</v>
      </c>
      <c r="T358" s="50" t="str">
        <f t="shared" si="46"/>
        <v/>
      </c>
      <c r="U358" s="50" t="str">
        <f t="shared" si="47"/>
        <v/>
      </c>
    </row>
    <row r="359" spans="1:21" x14ac:dyDescent="0.2">
      <c r="A359" s="38">
        <v>34396</v>
      </c>
      <c r="B359" s="4">
        <v>0.31</v>
      </c>
      <c r="C359" s="4">
        <v>0.42</v>
      </c>
      <c r="D359" s="4">
        <v>0.27</v>
      </c>
      <c r="E359" s="50">
        <v>1</v>
      </c>
      <c r="F359" s="50">
        <v>0.40749999999999997</v>
      </c>
      <c r="G359" s="50">
        <v>0.04</v>
      </c>
      <c r="H359" s="50">
        <v>0.38490743662900001</v>
      </c>
      <c r="I359" s="50">
        <v>0.48829287047999997</v>
      </c>
      <c r="J359" s="50">
        <v>0.28152200277799999</v>
      </c>
      <c r="K359" s="50">
        <v>469.16</v>
      </c>
      <c r="L359" s="50">
        <v>457.67</v>
      </c>
      <c r="M359" s="50">
        <v>464.74</v>
      </c>
      <c r="N359" s="66">
        <f t="shared" si="40"/>
        <v>3.6579592890648291E-3</v>
      </c>
      <c r="O359" s="66">
        <f t="shared" si="41"/>
        <v>-4.0818522184447273E-2</v>
      </c>
      <c r="P359" s="4">
        <f t="shared" si="42"/>
        <v>3.999999999999998E-2</v>
      </c>
      <c r="Q359" s="4">
        <f t="shared" si="43"/>
        <v>0.14250000000000002</v>
      </c>
      <c r="R359" s="66">
        <f t="shared" si="44"/>
        <v>3.6579592890648291E-3</v>
      </c>
      <c r="S359" s="66">
        <f t="shared" si="45"/>
        <v>-4.0818522184447273E-2</v>
      </c>
      <c r="T359" s="50">
        <f t="shared" si="46"/>
        <v>1</v>
      </c>
      <c r="U359" s="50" t="str">
        <f t="shared" si="47"/>
        <v/>
      </c>
    </row>
    <row r="360" spans="1:21" x14ac:dyDescent="0.2">
      <c r="A360" s="38">
        <v>34403</v>
      </c>
      <c r="B360" s="4">
        <v>0.28999999999999998</v>
      </c>
      <c r="C360" s="4">
        <v>0.34</v>
      </c>
      <c r="D360" s="4">
        <v>0.37</v>
      </c>
      <c r="E360" s="50">
        <v>1</v>
      </c>
      <c r="F360" s="50">
        <v>0.39624999999999999</v>
      </c>
      <c r="G360" s="50">
        <v>-0.08</v>
      </c>
      <c r="H360" s="50">
        <v>0.38490743662900001</v>
      </c>
      <c r="I360" s="50">
        <v>0.48829287047999997</v>
      </c>
      <c r="J360" s="50">
        <v>0.28152200277799999</v>
      </c>
      <c r="K360" s="50">
        <v>468.07</v>
      </c>
      <c r="L360" s="50">
        <v>462.46</v>
      </c>
      <c r="M360" s="50">
        <v>466.44</v>
      </c>
      <c r="N360" s="66">
        <f t="shared" si="40"/>
        <v>9.9048109081553998E-3</v>
      </c>
      <c r="O360" s="66">
        <f t="shared" si="41"/>
        <v>-4.1462996312494588E-2</v>
      </c>
      <c r="P360" s="4">
        <f t="shared" si="42"/>
        <v>-8.0000000000000016E-2</v>
      </c>
      <c r="Q360" s="4">
        <f t="shared" si="43"/>
        <v>0.06</v>
      </c>
      <c r="R360" s="66">
        <f t="shared" si="44"/>
        <v>9.9048109081553998E-3</v>
      </c>
      <c r="S360" s="66">
        <f t="shared" si="45"/>
        <v>-4.1462996312494588E-2</v>
      </c>
      <c r="T360" s="50">
        <f t="shared" si="46"/>
        <v>1</v>
      </c>
      <c r="U360" s="50" t="str">
        <f t="shared" si="47"/>
        <v/>
      </c>
    </row>
    <row r="361" spans="1:21" x14ac:dyDescent="0.2">
      <c r="A361" s="38">
        <v>34410</v>
      </c>
      <c r="B361" s="4">
        <v>0.24</v>
      </c>
      <c r="C361" s="4">
        <v>0.41</v>
      </c>
      <c r="D361" s="4">
        <v>0.35</v>
      </c>
      <c r="E361" s="50">
        <v>1</v>
      </c>
      <c r="F361" s="50">
        <v>0.36625000000000002</v>
      </c>
      <c r="G361" s="50">
        <v>-0.11</v>
      </c>
      <c r="H361" s="50">
        <v>0.38490743662900001</v>
      </c>
      <c r="I361" s="50">
        <v>0.48829287047999997</v>
      </c>
      <c r="J361" s="50">
        <v>0.28152200277799999</v>
      </c>
      <c r="K361" s="50">
        <v>471.09</v>
      </c>
      <c r="L361" s="50">
        <v>465.48</v>
      </c>
      <c r="M361" s="50">
        <v>471.06</v>
      </c>
      <c r="N361" s="66">
        <f t="shared" si="40"/>
        <v>-2.2247696684074253E-2</v>
      </c>
      <c r="O361" s="66">
        <f t="shared" si="41"/>
        <v>-5.281705090646626E-2</v>
      </c>
      <c r="P361" s="4">
        <f t="shared" si="42"/>
        <v>-0.10999999999999999</v>
      </c>
      <c r="Q361" s="4">
        <f t="shared" si="43"/>
        <v>-7.5000000000000067E-3</v>
      </c>
      <c r="R361" s="66">
        <f t="shared" si="44"/>
        <v>-2.2247696684074253E-2</v>
      </c>
      <c r="S361" s="66">
        <f t="shared" si="45"/>
        <v>-5.281705090646626E-2</v>
      </c>
      <c r="T361" s="50" t="str">
        <f t="shared" si="46"/>
        <v/>
      </c>
      <c r="U361" s="50" t="str">
        <f t="shared" si="47"/>
        <v/>
      </c>
    </row>
    <row r="362" spans="1:21" x14ac:dyDescent="0.2">
      <c r="A362" s="38">
        <v>34417</v>
      </c>
      <c r="B362" s="4">
        <v>0.28999999999999998</v>
      </c>
      <c r="C362" s="4">
        <v>0.37</v>
      </c>
      <c r="D362" s="4">
        <v>0.34</v>
      </c>
      <c r="E362" s="50">
        <v>1</v>
      </c>
      <c r="F362" s="50">
        <v>0.35125000000000001</v>
      </c>
      <c r="G362" s="50">
        <v>-0.05</v>
      </c>
      <c r="H362" s="50">
        <v>0.38490743662900001</v>
      </c>
      <c r="I362" s="50">
        <v>0.48829287047999997</v>
      </c>
      <c r="J362" s="50">
        <v>0.28152200277799999</v>
      </c>
      <c r="K362" s="50">
        <v>471.06</v>
      </c>
      <c r="L362" s="50">
        <v>460.58</v>
      </c>
      <c r="M362" s="50">
        <v>460.58</v>
      </c>
      <c r="N362" s="66">
        <f t="shared" si="40"/>
        <v>-3.2155108775891277E-2</v>
      </c>
      <c r="O362" s="66">
        <f t="shared" si="41"/>
        <v>-2.811672239350382E-2</v>
      </c>
      <c r="P362" s="4">
        <f t="shared" si="42"/>
        <v>-5.0000000000000044E-2</v>
      </c>
      <c r="Q362" s="4">
        <f t="shared" si="43"/>
        <v>-5.0000000000000017E-2</v>
      </c>
      <c r="R362" s="66">
        <f t="shared" si="44"/>
        <v>-3.2155108775891277E-2</v>
      </c>
      <c r="S362" s="66">
        <f t="shared" si="45"/>
        <v>-2.811672239350382E-2</v>
      </c>
      <c r="T362" s="50" t="str">
        <f t="shared" si="46"/>
        <v/>
      </c>
      <c r="U362" s="50" t="str">
        <f t="shared" si="47"/>
        <v/>
      </c>
    </row>
    <row r="363" spans="1:21" x14ac:dyDescent="0.2">
      <c r="A363" s="38">
        <v>34424</v>
      </c>
      <c r="B363" s="4">
        <v>0.23</v>
      </c>
      <c r="C363" s="4">
        <v>0.33</v>
      </c>
      <c r="D363" s="4">
        <v>0.44</v>
      </c>
      <c r="E363" s="50">
        <v>1</v>
      </c>
      <c r="F363" s="50">
        <v>0.33250000000000002</v>
      </c>
      <c r="G363" s="50">
        <v>-0.21</v>
      </c>
      <c r="H363" s="50">
        <v>0.38490743662900001</v>
      </c>
      <c r="I363" s="50">
        <v>0.48829287047999997</v>
      </c>
      <c r="J363" s="50">
        <v>0.28152200277799999</v>
      </c>
      <c r="K363" s="50">
        <v>465.29</v>
      </c>
      <c r="L363" s="50">
        <v>436.16</v>
      </c>
      <c r="M363" s="50">
        <v>445.77</v>
      </c>
      <c r="N363" s="66">
        <f t="shared" si="40"/>
        <v>2.9836014087983513E-3</v>
      </c>
      <c r="O363" s="66">
        <f t="shared" si="41"/>
        <v>1.1530609955806903E-2</v>
      </c>
      <c r="P363" s="4">
        <f t="shared" si="42"/>
        <v>-0.21</v>
      </c>
      <c r="Q363" s="4">
        <f t="shared" si="43"/>
        <v>-0.11250000000000002</v>
      </c>
      <c r="R363" s="66">
        <f t="shared" si="44"/>
        <v>2.9836014087983513E-3</v>
      </c>
      <c r="S363" s="66">
        <f t="shared" si="45"/>
        <v>1.1530609955806903E-2</v>
      </c>
      <c r="T363" s="50">
        <f t="shared" si="46"/>
        <v>1</v>
      </c>
      <c r="U363" s="50">
        <f t="shared" si="47"/>
        <v>1</v>
      </c>
    </row>
    <row r="364" spans="1:21" x14ac:dyDescent="0.2">
      <c r="A364" s="38">
        <v>34431</v>
      </c>
      <c r="B364" s="4">
        <v>0.28000000000000003</v>
      </c>
      <c r="C364" s="4">
        <v>0.31</v>
      </c>
      <c r="D364" s="4">
        <v>0.41</v>
      </c>
      <c r="E364" s="50">
        <v>1</v>
      </c>
      <c r="F364" s="50">
        <v>0.30625000000000002</v>
      </c>
      <c r="G364" s="50">
        <v>-0.13</v>
      </c>
      <c r="H364" s="50">
        <v>0.38490743662900001</v>
      </c>
      <c r="I364" s="50">
        <v>0.48829287047999997</v>
      </c>
      <c r="J364" s="50">
        <v>0.28152200277799999</v>
      </c>
      <c r="K364" s="50">
        <v>451.1</v>
      </c>
      <c r="L364" s="50">
        <v>435.86</v>
      </c>
      <c r="M364" s="50">
        <v>447.1</v>
      </c>
      <c r="N364" s="66">
        <f t="shared" si="40"/>
        <v>-2.0577052113621469E-3</v>
      </c>
      <c r="O364" s="66">
        <f t="shared" si="41"/>
        <v>1.6103779915007167E-3</v>
      </c>
      <c r="P364" s="4">
        <f t="shared" si="42"/>
        <v>-0.12999999999999995</v>
      </c>
      <c r="Q364" s="4">
        <f t="shared" si="43"/>
        <v>-0.12499999999999999</v>
      </c>
      <c r="R364" s="66">
        <f t="shared" si="44"/>
        <v>-2.0577052113621469E-3</v>
      </c>
      <c r="S364" s="66">
        <f t="shared" si="45"/>
        <v>1.6103779915007167E-3</v>
      </c>
      <c r="T364" s="50" t="str">
        <f t="shared" si="46"/>
        <v/>
      </c>
      <c r="U364" s="50">
        <f t="shared" si="47"/>
        <v>1</v>
      </c>
    </row>
    <row r="365" spans="1:21" x14ac:dyDescent="0.2">
      <c r="A365" s="38">
        <v>34438</v>
      </c>
      <c r="B365" s="4">
        <v>0.28999999999999998</v>
      </c>
      <c r="C365" s="4">
        <v>0.23</v>
      </c>
      <c r="D365" s="4">
        <v>0.48</v>
      </c>
      <c r="E365" s="50">
        <v>1</v>
      </c>
      <c r="F365" s="50">
        <v>0.29249999999999998</v>
      </c>
      <c r="G365" s="50">
        <v>-0.19</v>
      </c>
      <c r="H365" s="50">
        <v>0.38490743662900001</v>
      </c>
      <c r="I365" s="50">
        <v>0.48829287047999997</v>
      </c>
      <c r="J365" s="50">
        <v>0.28152200277799999</v>
      </c>
      <c r="K365" s="50">
        <v>450.89</v>
      </c>
      <c r="L365" s="50">
        <v>442.62</v>
      </c>
      <c r="M365" s="50">
        <v>446.18</v>
      </c>
      <c r="N365" s="66">
        <f t="shared" si="40"/>
        <v>3.2498094939261927E-3</v>
      </c>
      <c r="O365" s="66">
        <f t="shared" si="41"/>
        <v>-4.5721457707652074E-3</v>
      </c>
      <c r="P365" s="4">
        <f t="shared" si="42"/>
        <v>-0.19</v>
      </c>
      <c r="Q365" s="4">
        <f t="shared" si="43"/>
        <v>-0.14499999999999999</v>
      </c>
      <c r="R365" s="66">
        <f t="shared" si="44"/>
        <v>3.2498094939261927E-3</v>
      </c>
      <c r="S365" s="66">
        <f t="shared" si="45"/>
        <v>-4.5721457707652074E-3</v>
      </c>
      <c r="T365" s="50">
        <f t="shared" si="46"/>
        <v>1</v>
      </c>
      <c r="U365" s="50" t="str">
        <f t="shared" si="47"/>
        <v/>
      </c>
    </row>
    <row r="366" spans="1:21" x14ac:dyDescent="0.2">
      <c r="A366" s="38">
        <v>34445</v>
      </c>
      <c r="B366" s="4">
        <v>0.26</v>
      </c>
      <c r="C366" s="4">
        <v>0.41</v>
      </c>
      <c r="D366" s="4">
        <v>0.33</v>
      </c>
      <c r="E366" s="50">
        <v>1</v>
      </c>
      <c r="F366" s="50">
        <v>0.27374999999999999</v>
      </c>
      <c r="G366" s="50">
        <v>-7.0000000000000007E-2</v>
      </c>
      <c r="H366" s="50">
        <v>0.38490743662900001</v>
      </c>
      <c r="I366" s="50">
        <v>0.48829287047999997</v>
      </c>
      <c r="J366" s="50">
        <v>0.28152200277799999</v>
      </c>
      <c r="K366" s="50">
        <v>449.96</v>
      </c>
      <c r="L366" s="50">
        <v>438.83</v>
      </c>
      <c r="M366" s="50">
        <v>447.63</v>
      </c>
      <c r="N366" s="66">
        <f t="shared" si="40"/>
        <v>7.3274802850569207E-3</v>
      </c>
      <c r="O366" s="66">
        <f t="shared" si="41"/>
        <v>1.6285771731117265E-2</v>
      </c>
      <c r="P366" s="4">
        <f t="shared" si="42"/>
        <v>-7.0000000000000007E-2</v>
      </c>
      <c r="Q366" s="4">
        <f t="shared" si="43"/>
        <v>-0.15000000000000002</v>
      </c>
      <c r="R366" s="66">
        <f t="shared" si="44"/>
        <v>7.3274802850569207E-3</v>
      </c>
      <c r="S366" s="66">
        <f t="shared" si="45"/>
        <v>1.6285771731117265E-2</v>
      </c>
      <c r="T366" s="50">
        <f t="shared" si="46"/>
        <v>1</v>
      </c>
      <c r="U366" s="50">
        <f t="shared" si="47"/>
        <v>1</v>
      </c>
    </row>
    <row r="367" spans="1:21" x14ac:dyDescent="0.2">
      <c r="A367" s="38">
        <v>34452</v>
      </c>
      <c r="B367" s="4">
        <v>0.27</v>
      </c>
      <c r="C367" s="4">
        <v>0.35</v>
      </c>
      <c r="D367" s="4">
        <v>0.38</v>
      </c>
      <c r="E367" s="50">
        <v>1</v>
      </c>
      <c r="F367" s="50">
        <v>0.26874999999999999</v>
      </c>
      <c r="G367" s="50">
        <v>-0.11</v>
      </c>
      <c r="H367" s="50">
        <v>0.38490743662900001</v>
      </c>
      <c r="I367" s="50">
        <v>0.48829287047999997</v>
      </c>
      <c r="J367" s="50">
        <v>0.28152200277799999</v>
      </c>
      <c r="K367" s="50">
        <v>452.79</v>
      </c>
      <c r="L367" s="50">
        <v>447.58</v>
      </c>
      <c r="M367" s="50">
        <v>450.91</v>
      </c>
      <c r="N367" s="66">
        <f t="shared" si="40"/>
        <v>-6.8528087644985289E-3</v>
      </c>
      <c r="O367" s="66">
        <f t="shared" si="41"/>
        <v>1.4237874520414182E-2</v>
      </c>
      <c r="P367" s="4">
        <f t="shared" si="42"/>
        <v>-0.10999999999999999</v>
      </c>
      <c r="Q367" s="4">
        <f t="shared" si="43"/>
        <v>-0.12499999999999999</v>
      </c>
      <c r="R367" s="66">
        <f t="shared" si="44"/>
        <v>-6.8528087644985289E-3</v>
      </c>
      <c r="S367" s="66">
        <f t="shared" si="45"/>
        <v>1.4237874520414182E-2</v>
      </c>
      <c r="T367" s="50" t="str">
        <f t="shared" si="46"/>
        <v/>
      </c>
      <c r="U367" s="50">
        <f t="shared" si="47"/>
        <v>1</v>
      </c>
    </row>
    <row r="368" spans="1:21" x14ac:dyDescent="0.2">
      <c r="A368" s="38">
        <v>34459</v>
      </c>
      <c r="B368" s="4">
        <v>0.32</v>
      </c>
      <c r="C368" s="4">
        <v>0.32</v>
      </c>
      <c r="D368" s="4">
        <v>0.36</v>
      </c>
      <c r="E368" s="50">
        <v>1</v>
      </c>
      <c r="F368" s="50">
        <v>0.27250000000000002</v>
      </c>
      <c r="G368" s="50">
        <v>-0.04</v>
      </c>
      <c r="H368" s="50">
        <v>0.38490743662900001</v>
      </c>
      <c r="I368" s="50">
        <v>0.48829287047999997</v>
      </c>
      <c r="J368" s="50">
        <v>0.28152200277799999</v>
      </c>
      <c r="K368" s="50">
        <v>453.98</v>
      </c>
      <c r="L368" s="50">
        <v>445.64</v>
      </c>
      <c r="M368" s="50">
        <v>447.82</v>
      </c>
      <c r="N368" s="66">
        <f t="shared" si="40"/>
        <v>-8.2175874235183941E-3</v>
      </c>
      <c r="O368" s="66">
        <f t="shared" si="41"/>
        <v>2.7488723147693274E-2</v>
      </c>
      <c r="P368" s="4">
        <f t="shared" si="42"/>
        <v>-3.999999999999998E-2</v>
      </c>
      <c r="Q368" s="4">
        <f t="shared" si="43"/>
        <v>-0.10249999999999999</v>
      </c>
      <c r="R368" s="66">
        <f t="shared" si="44"/>
        <v>-8.2175874235183941E-3</v>
      </c>
      <c r="S368" s="66">
        <f t="shared" si="45"/>
        <v>2.7488723147693274E-2</v>
      </c>
      <c r="T368" s="50" t="str">
        <f t="shared" si="46"/>
        <v/>
      </c>
      <c r="U368" s="50">
        <f t="shared" si="47"/>
        <v>1</v>
      </c>
    </row>
    <row r="369" spans="1:21" x14ac:dyDescent="0.2">
      <c r="A369" s="38">
        <v>34466</v>
      </c>
      <c r="B369" s="4">
        <v>0.38</v>
      </c>
      <c r="C369" s="4">
        <v>0.32</v>
      </c>
      <c r="D369" s="4">
        <v>0.3</v>
      </c>
      <c r="E369" s="50">
        <v>1</v>
      </c>
      <c r="F369" s="50">
        <v>0.28999999999999998</v>
      </c>
      <c r="G369" s="50">
        <v>0.08</v>
      </c>
      <c r="H369" s="50">
        <v>0.38490743662900001</v>
      </c>
      <c r="I369" s="50">
        <v>0.48829287047999997</v>
      </c>
      <c r="J369" s="50">
        <v>0.28152200277799999</v>
      </c>
      <c r="K369" s="50">
        <v>447.82</v>
      </c>
      <c r="L369" s="50">
        <v>440.78</v>
      </c>
      <c r="M369" s="50">
        <v>444.14</v>
      </c>
      <c r="N369" s="66">
        <f t="shared" si="40"/>
        <v>2.4271626063853809E-2</v>
      </c>
      <c r="O369" s="66">
        <f t="shared" si="41"/>
        <v>3.2714909713153578E-2</v>
      </c>
      <c r="P369" s="4">
        <f t="shared" si="42"/>
        <v>8.0000000000000016E-2</v>
      </c>
      <c r="Q369" s="4">
        <f t="shared" si="43"/>
        <v>-3.4999999999999989E-2</v>
      </c>
      <c r="R369" s="66">
        <f t="shared" si="44"/>
        <v>2.4271626063853809E-2</v>
      </c>
      <c r="S369" s="66">
        <f t="shared" si="45"/>
        <v>3.2714909713153578E-2</v>
      </c>
      <c r="T369" s="50">
        <f t="shared" si="46"/>
        <v>1</v>
      </c>
      <c r="U369" s="50">
        <f t="shared" si="47"/>
        <v>1</v>
      </c>
    </row>
    <row r="370" spans="1:21" x14ac:dyDescent="0.2">
      <c r="A370" s="38">
        <v>34473</v>
      </c>
      <c r="B370" s="4">
        <v>0.22</v>
      </c>
      <c r="C370" s="4">
        <v>0.36</v>
      </c>
      <c r="D370" s="4">
        <v>0.42</v>
      </c>
      <c r="E370" s="50">
        <v>1</v>
      </c>
      <c r="F370" s="50">
        <v>0.28125</v>
      </c>
      <c r="G370" s="50">
        <v>-0.2</v>
      </c>
      <c r="H370" s="50">
        <v>0.38490743662900001</v>
      </c>
      <c r="I370" s="50">
        <v>0.48829287047999997</v>
      </c>
      <c r="J370" s="50">
        <v>0.28152200277799999</v>
      </c>
      <c r="K370" s="50">
        <v>456.88</v>
      </c>
      <c r="L370" s="50">
        <v>443.62</v>
      </c>
      <c r="M370" s="50">
        <v>454.92</v>
      </c>
      <c r="N370" s="66">
        <f t="shared" si="40"/>
        <v>5.2976347489667808E-3</v>
      </c>
      <c r="O370" s="66">
        <f t="shared" si="41"/>
        <v>7.7596060845862404E-3</v>
      </c>
      <c r="P370" s="4">
        <f t="shared" si="42"/>
        <v>-0.19999999999999998</v>
      </c>
      <c r="Q370" s="4">
        <f t="shared" si="43"/>
        <v>-6.7499999999999977E-2</v>
      </c>
      <c r="R370" s="66">
        <f t="shared" si="44"/>
        <v>5.2976347489667808E-3</v>
      </c>
      <c r="S370" s="66">
        <f t="shared" si="45"/>
        <v>7.7596060845862404E-3</v>
      </c>
      <c r="T370" s="50">
        <f t="shared" si="46"/>
        <v>1</v>
      </c>
      <c r="U370" s="50">
        <f t="shared" si="47"/>
        <v>1</v>
      </c>
    </row>
    <row r="371" spans="1:21" x14ac:dyDescent="0.2">
      <c r="A371" s="38">
        <v>34480</v>
      </c>
      <c r="B371" s="4">
        <v>0.28999999999999998</v>
      </c>
      <c r="C371" s="4">
        <v>0.33</v>
      </c>
      <c r="D371" s="4">
        <v>0.38</v>
      </c>
      <c r="E371" s="50">
        <v>1</v>
      </c>
      <c r="F371" s="50">
        <v>0.28875000000000001</v>
      </c>
      <c r="G371" s="50">
        <v>-0.09</v>
      </c>
      <c r="H371" s="50">
        <v>0.38490743662900001</v>
      </c>
      <c r="I371" s="50">
        <v>0.48829287047999997</v>
      </c>
      <c r="J371" s="50">
        <v>0.28152200277799999</v>
      </c>
      <c r="K371" s="50">
        <v>457.77</v>
      </c>
      <c r="L371" s="50">
        <v>451.79</v>
      </c>
      <c r="M371" s="50">
        <v>457.33</v>
      </c>
      <c r="N371" s="66">
        <f t="shared" si="40"/>
        <v>6.1224936041808136E-3</v>
      </c>
      <c r="O371" s="66">
        <f t="shared" si="41"/>
        <v>-3.177136859598096E-2</v>
      </c>
      <c r="P371" s="4">
        <f t="shared" si="42"/>
        <v>-9.0000000000000024E-2</v>
      </c>
      <c r="Q371" s="4">
        <f t="shared" si="43"/>
        <v>-6.2499999999999993E-2</v>
      </c>
      <c r="R371" s="66">
        <f t="shared" si="44"/>
        <v>6.1224936041808136E-3</v>
      </c>
      <c r="S371" s="66">
        <f t="shared" si="45"/>
        <v>-3.177136859598096E-2</v>
      </c>
      <c r="T371" s="50">
        <f t="shared" si="46"/>
        <v>1</v>
      </c>
      <c r="U371" s="50" t="str">
        <f t="shared" si="47"/>
        <v/>
      </c>
    </row>
    <row r="372" spans="1:21" x14ac:dyDescent="0.2">
      <c r="A372" s="38">
        <v>34487</v>
      </c>
      <c r="B372" s="4">
        <v>0.39</v>
      </c>
      <c r="C372" s="4">
        <v>0.36</v>
      </c>
      <c r="D372" s="4">
        <v>0.25</v>
      </c>
      <c r="E372" s="50">
        <v>1</v>
      </c>
      <c r="F372" s="50">
        <v>0.30249999999999999</v>
      </c>
      <c r="G372" s="50">
        <v>0.14000000000000001</v>
      </c>
      <c r="H372" s="50">
        <v>0.38490743662900001</v>
      </c>
      <c r="I372" s="50">
        <v>0.48829287047999997</v>
      </c>
      <c r="J372" s="50">
        <v>0.28152200277799999</v>
      </c>
      <c r="K372" s="50">
        <v>460.86</v>
      </c>
      <c r="L372" s="50">
        <v>453.99</v>
      </c>
      <c r="M372" s="50">
        <v>460.13</v>
      </c>
      <c r="N372" s="66">
        <f t="shared" si="40"/>
        <v>-3.1730163214743214E-3</v>
      </c>
      <c r="O372" s="66">
        <f t="shared" si="41"/>
        <v>-3.0274052985025987E-2</v>
      </c>
      <c r="P372" s="4">
        <f t="shared" si="42"/>
        <v>0.14000000000000001</v>
      </c>
      <c r="Q372" s="4">
        <f t="shared" si="43"/>
        <v>-1.7499999999999995E-2</v>
      </c>
      <c r="R372" s="66">
        <f t="shared" si="44"/>
        <v>-3.1730163214743214E-3</v>
      </c>
      <c r="S372" s="66">
        <f t="shared" si="45"/>
        <v>-3.0274052985025987E-2</v>
      </c>
      <c r="T372" s="50" t="str">
        <f t="shared" si="46"/>
        <v/>
      </c>
      <c r="U372" s="50" t="str">
        <f t="shared" si="47"/>
        <v/>
      </c>
    </row>
    <row r="373" spans="1:21" x14ac:dyDescent="0.2">
      <c r="A373" s="38">
        <v>34494</v>
      </c>
      <c r="B373" s="4">
        <v>0.28000000000000003</v>
      </c>
      <c r="C373" s="4">
        <v>0.47</v>
      </c>
      <c r="D373" s="4">
        <v>0.25</v>
      </c>
      <c r="E373" s="50">
        <v>1</v>
      </c>
      <c r="F373" s="50">
        <v>0.30125000000000002</v>
      </c>
      <c r="G373" s="50">
        <v>0.03</v>
      </c>
      <c r="H373" s="50">
        <v>0.38490743662900001</v>
      </c>
      <c r="I373" s="50">
        <v>0.48829287047999997</v>
      </c>
      <c r="J373" s="50">
        <v>0.28152200277799999</v>
      </c>
      <c r="K373" s="50">
        <v>461.87</v>
      </c>
      <c r="L373" s="50">
        <v>455.43</v>
      </c>
      <c r="M373" s="50">
        <v>458.67</v>
      </c>
      <c r="N373" s="66">
        <f t="shared" si="40"/>
        <v>-4.7964767697915121E-4</v>
      </c>
      <c r="O373" s="66">
        <f t="shared" si="41"/>
        <v>-1.9883576427496902E-2</v>
      </c>
      <c r="P373" s="4">
        <f t="shared" si="42"/>
        <v>3.0000000000000027E-2</v>
      </c>
      <c r="Q373" s="4">
        <f t="shared" si="43"/>
        <v>-0.03</v>
      </c>
      <c r="R373" s="66">
        <f t="shared" si="44"/>
        <v>-4.7964767697915121E-4</v>
      </c>
      <c r="S373" s="66">
        <f t="shared" si="45"/>
        <v>-1.9883576427496902E-2</v>
      </c>
      <c r="T373" s="50" t="str">
        <f t="shared" si="46"/>
        <v/>
      </c>
      <c r="U373" s="50" t="str">
        <f t="shared" si="47"/>
        <v/>
      </c>
    </row>
    <row r="374" spans="1:21" x14ac:dyDescent="0.2">
      <c r="A374" s="38">
        <v>34501</v>
      </c>
      <c r="B374" s="4">
        <v>0.32</v>
      </c>
      <c r="C374" s="4">
        <v>0.42</v>
      </c>
      <c r="D374" s="4">
        <v>0.26</v>
      </c>
      <c r="E374" s="50">
        <v>1</v>
      </c>
      <c r="F374" s="50">
        <v>0.30875000000000002</v>
      </c>
      <c r="G374" s="50">
        <v>0.06</v>
      </c>
      <c r="H374" s="50">
        <v>0.38490743662900001</v>
      </c>
      <c r="I374" s="50">
        <v>0.48829287047999997</v>
      </c>
      <c r="J374" s="50">
        <v>0.28152200277799999</v>
      </c>
      <c r="K374" s="50">
        <v>463.23</v>
      </c>
      <c r="L374" s="50">
        <v>457.18</v>
      </c>
      <c r="M374" s="50">
        <v>458.45</v>
      </c>
      <c r="N374" s="66">
        <f t="shared" si="40"/>
        <v>-3.4136765187043248E-2</v>
      </c>
      <c r="O374" s="66">
        <f t="shared" si="41"/>
        <v>-9.3576180608571577E-3</v>
      </c>
      <c r="P374" s="4">
        <f t="shared" si="42"/>
        <v>0.06</v>
      </c>
      <c r="Q374" s="4">
        <f t="shared" si="43"/>
        <v>3.5000000000000003E-2</v>
      </c>
      <c r="R374" s="66">
        <f t="shared" si="44"/>
        <v>-3.4136765187043248E-2</v>
      </c>
      <c r="S374" s="66">
        <f t="shared" si="45"/>
        <v>-9.3576180608571577E-3</v>
      </c>
      <c r="T374" s="50" t="str">
        <f t="shared" si="46"/>
        <v/>
      </c>
      <c r="U374" s="50" t="str">
        <f t="shared" si="47"/>
        <v/>
      </c>
    </row>
    <row r="375" spans="1:21" x14ac:dyDescent="0.2">
      <c r="A375" s="38">
        <v>34508</v>
      </c>
      <c r="B375" s="4">
        <v>0.28999999999999998</v>
      </c>
      <c r="C375" s="4">
        <v>0.45</v>
      </c>
      <c r="D375" s="4">
        <v>0.26</v>
      </c>
      <c r="E375" s="50">
        <v>1</v>
      </c>
      <c r="F375" s="50">
        <v>0.31125000000000003</v>
      </c>
      <c r="G375" s="50">
        <v>0.03</v>
      </c>
      <c r="H375" s="50">
        <v>0.38490743662900001</v>
      </c>
      <c r="I375" s="50">
        <v>0.48829287047999997</v>
      </c>
      <c r="J375" s="50">
        <v>0.28152200277799999</v>
      </c>
      <c r="K375" s="50">
        <v>458.45</v>
      </c>
      <c r="L375" s="50">
        <v>442.51</v>
      </c>
      <c r="M375" s="50">
        <v>442.8</v>
      </c>
      <c r="N375" s="66">
        <f t="shared" si="40"/>
        <v>7.6784101174344564E-3</v>
      </c>
      <c r="O375" s="66">
        <f t="shared" si="41"/>
        <v>2.3283649503161703E-2</v>
      </c>
      <c r="P375" s="4">
        <f t="shared" si="42"/>
        <v>2.9999999999999971E-2</v>
      </c>
      <c r="Q375" s="4">
        <f t="shared" si="43"/>
        <v>6.5000000000000002E-2</v>
      </c>
      <c r="R375" s="66">
        <f t="shared" si="44"/>
        <v>7.6784101174344564E-3</v>
      </c>
      <c r="S375" s="66">
        <f t="shared" si="45"/>
        <v>2.3283649503161703E-2</v>
      </c>
      <c r="T375" s="50">
        <f t="shared" si="46"/>
        <v>1</v>
      </c>
      <c r="U375" s="50">
        <f t="shared" si="47"/>
        <v>1</v>
      </c>
    </row>
    <row r="376" spans="1:21" x14ac:dyDescent="0.2">
      <c r="A376" s="38">
        <v>34515</v>
      </c>
      <c r="B376" s="4">
        <v>0.32</v>
      </c>
      <c r="C376" s="4">
        <v>0.37</v>
      </c>
      <c r="D376" s="4">
        <v>0.31</v>
      </c>
      <c r="E376" s="50">
        <v>1</v>
      </c>
      <c r="F376" s="50">
        <v>0.31125000000000003</v>
      </c>
      <c r="G376" s="50">
        <v>0.01</v>
      </c>
      <c r="H376" s="50">
        <v>0.38490743662900001</v>
      </c>
      <c r="I376" s="50">
        <v>0.48829287047999997</v>
      </c>
      <c r="J376" s="50">
        <v>0.28152200277799999</v>
      </c>
      <c r="K376" s="50">
        <v>449.83</v>
      </c>
      <c r="L376" s="50">
        <v>439.83</v>
      </c>
      <c r="M376" s="50">
        <v>446.2</v>
      </c>
      <c r="N376" s="66">
        <f t="shared" si="40"/>
        <v>7.5078440161363133E-3</v>
      </c>
      <c r="O376" s="66">
        <f t="shared" si="41"/>
        <v>2.7028238458090548E-2</v>
      </c>
      <c r="P376" s="4">
        <f t="shared" si="42"/>
        <v>1.0000000000000009E-2</v>
      </c>
      <c r="Q376" s="4">
        <f t="shared" si="43"/>
        <v>3.2500000000000001E-2</v>
      </c>
      <c r="R376" s="66">
        <f t="shared" si="44"/>
        <v>7.5078440161363133E-3</v>
      </c>
      <c r="S376" s="66">
        <f t="shared" si="45"/>
        <v>2.7028238458090548E-2</v>
      </c>
      <c r="T376" s="50">
        <f t="shared" si="46"/>
        <v>1</v>
      </c>
      <c r="U376" s="50">
        <f t="shared" si="47"/>
        <v>1</v>
      </c>
    </row>
    <row r="377" spans="1:21" x14ac:dyDescent="0.2">
      <c r="A377" s="38">
        <v>34522</v>
      </c>
      <c r="B377" s="4">
        <v>0.28000000000000003</v>
      </c>
      <c r="C377" s="4">
        <v>0.32</v>
      </c>
      <c r="D377" s="4">
        <v>0.4</v>
      </c>
      <c r="E377" s="50">
        <v>1</v>
      </c>
      <c r="F377" s="50">
        <v>0.29875000000000002</v>
      </c>
      <c r="G377" s="50">
        <v>-0.12</v>
      </c>
      <c r="H377" s="50">
        <v>0.38490743662900001</v>
      </c>
      <c r="I377" s="50">
        <v>0.48829287047999997</v>
      </c>
      <c r="J377" s="50">
        <v>0.28152200277799999</v>
      </c>
      <c r="K377" s="50">
        <v>449.75</v>
      </c>
      <c r="L377" s="50">
        <v>444.18</v>
      </c>
      <c r="M377" s="50">
        <v>449.55</v>
      </c>
      <c r="N377" s="66">
        <f t="shared" si="40"/>
        <v>1.0254699143588062E-2</v>
      </c>
      <c r="O377" s="66">
        <f t="shared" si="41"/>
        <v>1.6772327883438912E-2</v>
      </c>
      <c r="P377" s="4">
        <f t="shared" si="42"/>
        <v>-0.12</v>
      </c>
      <c r="Q377" s="4">
        <f t="shared" si="43"/>
        <v>-5.0000000000000044E-3</v>
      </c>
      <c r="R377" s="66">
        <f t="shared" si="44"/>
        <v>1.0254699143588062E-2</v>
      </c>
      <c r="S377" s="66">
        <f t="shared" si="45"/>
        <v>1.6772327883438912E-2</v>
      </c>
      <c r="T377" s="50">
        <f t="shared" si="46"/>
        <v>1</v>
      </c>
      <c r="U377" s="50">
        <f t="shared" si="47"/>
        <v>1</v>
      </c>
    </row>
    <row r="378" spans="1:21" x14ac:dyDescent="0.2">
      <c r="A378" s="38">
        <v>34529</v>
      </c>
      <c r="B378" s="4">
        <v>0.25</v>
      </c>
      <c r="C378" s="4">
        <v>0.4</v>
      </c>
      <c r="D378" s="4">
        <v>0.35</v>
      </c>
      <c r="E378" s="50">
        <v>1</v>
      </c>
      <c r="F378" s="50">
        <v>0.30249999999999999</v>
      </c>
      <c r="G378" s="50">
        <v>-0.1</v>
      </c>
      <c r="H378" s="50">
        <v>0.38490743662900001</v>
      </c>
      <c r="I378" s="50">
        <v>0.48829287047999997</v>
      </c>
      <c r="J378" s="50">
        <v>0.28152200277799999</v>
      </c>
      <c r="K378" s="50">
        <v>454.33</v>
      </c>
      <c r="L378" s="50">
        <v>444.65</v>
      </c>
      <c r="M378" s="50">
        <v>454.16</v>
      </c>
      <c r="N378" s="66">
        <f t="shared" si="40"/>
        <v>-2.3119605425400988E-3</v>
      </c>
      <c r="O378" s="66">
        <f t="shared" si="41"/>
        <v>1.7130526686630201E-2</v>
      </c>
      <c r="P378" s="4">
        <f t="shared" si="42"/>
        <v>-9.9999999999999978E-2</v>
      </c>
      <c r="Q378" s="4">
        <f t="shared" si="43"/>
        <v>-4.4999999999999998E-2</v>
      </c>
      <c r="R378" s="66">
        <f t="shared" si="44"/>
        <v>-2.3119605425400988E-3</v>
      </c>
      <c r="S378" s="66">
        <f t="shared" si="45"/>
        <v>1.7130526686630201E-2</v>
      </c>
      <c r="T378" s="50" t="str">
        <f t="shared" si="46"/>
        <v/>
      </c>
      <c r="U378" s="50">
        <f t="shared" si="47"/>
        <v>1</v>
      </c>
    </row>
    <row r="379" spans="1:21" x14ac:dyDescent="0.2">
      <c r="A379" s="38">
        <v>34536</v>
      </c>
      <c r="B379" s="4">
        <v>0.34</v>
      </c>
      <c r="C379" s="4">
        <v>0.38</v>
      </c>
      <c r="D379" s="4">
        <v>0.28000000000000003</v>
      </c>
      <c r="E379" s="50">
        <v>1</v>
      </c>
      <c r="F379" s="50">
        <v>0.30875000000000002</v>
      </c>
      <c r="G379" s="50">
        <v>0.06</v>
      </c>
      <c r="H379" s="50">
        <v>0.38490743662900001</v>
      </c>
      <c r="I379" s="50">
        <v>0.48829287047999997</v>
      </c>
      <c r="J379" s="50">
        <v>0.28152200277799999</v>
      </c>
      <c r="K379" s="50">
        <v>455.71</v>
      </c>
      <c r="L379" s="50">
        <v>450.69</v>
      </c>
      <c r="M379" s="50">
        <v>453.11</v>
      </c>
      <c r="N379" s="66">
        <f t="shared" si="40"/>
        <v>1.1365893491646569E-2</v>
      </c>
      <c r="O379" s="66">
        <f t="shared" si="41"/>
        <v>2.332766877800091E-2</v>
      </c>
      <c r="P379" s="4">
        <f t="shared" si="42"/>
        <v>0.06</v>
      </c>
      <c r="Q379" s="4">
        <f t="shared" si="43"/>
        <v>-3.7499999999999992E-2</v>
      </c>
      <c r="R379" s="66">
        <f t="shared" si="44"/>
        <v>1.1365893491646569E-2</v>
      </c>
      <c r="S379" s="66">
        <f t="shared" si="45"/>
        <v>2.332766877800091E-2</v>
      </c>
      <c r="T379" s="50">
        <f t="shared" si="46"/>
        <v>1</v>
      </c>
      <c r="U379" s="50">
        <f t="shared" si="47"/>
        <v>1</v>
      </c>
    </row>
    <row r="380" spans="1:21" x14ac:dyDescent="0.2">
      <c r="A380" s="38">
        <v>34543</v>
      </c>
      <c r="B380" s="4">
        <v>0.27</v>
      </c>
      <c r="C380" s="4">
        <v>0.42</v>
      </c>
      <c r="D380" s="4">
        <v>0.31</v>
      </c>
      <c r="E380" s="50">
        <v>1</v>
      </c>
      <c r="F380" s="50">
        <v>0.29375000000000001</v>
      </c>
      <c r="G380" s="50">
        <v>-0.04</v>
      </c>
      <c r="H380" s="50">
        <v>0.38490743662900001</v>
      </c>
      <c r="I380" s="50">
        <v>0.48829287047999997</v>
      </c>
      <c r="J380" s="50">
        <v>0.28152200277799999</v>
      </c>
      <c r="K380" s="50">
        <v>459.33</v>
      </c>
      <c r="L380" s="50">
        <v>451.36</v>
      </c>
      <c r="M380" s="50">
        <v>458.26</v>
      </c>
      <c r="N380" s="66">
        <f t="shared" si="40"/>
        <v>-2.5531357744512195E-3</v>
      </c>
      <c r="O380" s="66">
        <f t="shared" si="41"/>
        <v>3.3910880286300397E-2</v>
      </c>
      <c r="P380" s="4">
        <f t="shared" si="42"/>
        <v>-3.999999999999998E-2</v>
      </c>
      <c r="Q380" s="4">
        <f t="shared" si="43"/>
        <v>-4.9999999999999989E-2</v>
      </c>
      <c r="R380" s="66">
        <f t="shared" si="44"/>
        <v>-2.5531357744512195E-3</v>
      </c>
      <c r="S380" s="66">
        <f t="shared" si="45"/>
        <v>3.3910880286300397E-2</v>
      </c>
      <c r="T380" s="50" t="str">
        <f t="shared" si="46"/>
        <v/>
      </c>
      <c r="U380" s="50">
        <f t="shared" si="47"/>
        <v>1</v>
      </c>
    </row>
    <row r="381" spans="1:21" x14ac:dyDescent="0.2">
      <c r="A381" s="38">
        <v>34550</v>
      </c>
      <c r="B381" s="4">
        <v>0.22</v>
      </c>
      <c r="C381" s="4">
        <v>0.52</v>
      </c>
      <c r="D381" s="4">
        <v>0.26</v>
      </c>
      <c r="E381" s="50">
        <v>1</v>
      </c>
      <c r="F381" s="50">
        <v>0.28625</v>
      </c>
      <c r="G381" s="50">
        <v>-0.04</v>
      </c>
      <c r="H381" s="50">
        <v>0.38490743662900001</v>
      </c>
      <c r="I381" s="50">
        <v>0.48829287047999997</v>
      </c>
      <c r="J381" s="50">
        <v>0.28152200277799999</v>
      </c>
      <c r="K381" s="50">
        <v>462.77</v>
      </c>
      <c r="L381" s="50">
        <v>456.08</v>
      </c>
      <c r="M381" s="50">
        <v>457.09</v>
      </c>
      <c r="N381" s="66">
        <f t="shared" si="40"/>
        <v>1.0610601850839053E-2</v>
      </c>
      <c r="O381" s="66">
        <f t="shared" si="41"/>
        <v>3.0409766129208766E-2</v>
      </c>
      <c r="P381" s="4">
        <f t="shared" si="42"/>
        <v>-4.0000000000000008E-2</v>
      </c>
      <c r="Q381" s="4">
        <f t="shared" si="43"/>
        <v>-2.9999999999999992E-2</v>
      </c>
      <c r="R381" s="66">
        <f t="shared" si="44"/>
        <v>1.0610601850839053E-2</v>
      </c>
      <c r="S381" s="66">
        <f t="shared" si="45"/>
        <v>3.0409766129208766E-2</v>
      </c>
      <c r="T381" s="50">
        <f t="shared" si="46"/>
        <v>1</v>
      </c>
      <c r="U381" s="50">
        <f t="shared" si="47"/>
        <v>1</v>
      </c>
    </row>
    <row r="382" spans="1:21" x14ac:dyDescent="0.2">
      <c r="A382" s="38">
        <v>34557</v>
      </c>
      <c r="B382" s="4">
        <v>0.34</v>
      </c>
      <c r="C382" s="4">
        <v>0.37</v>
      </c>
      <c r="D382" s="4">
        <v>0.28999999999999998</v>
      </c>
      <c r="E382" s="50">
        <v>1</v>
      </c>
      <c r="F382" s="50">
        <v>0.28875000000000001</v>
      </c>
      <c r="G382" s="50">
        <v>0.05</v>
      </c>
      <c r="H382" s="50">
        <v>0.38490743662900001</v>
      </c>
      <c r="I382" s="50">
        <v>0.48829287047999997</v>
      </c>
      <c r="J382" s="50">
        <v>0.28152200277799999</v>
      </c>
      <c r="K382" s="50">
        <v>462.27</v>
      </c>
      <c r="L382" s="50">
        <v>456.66</v>
      </c>
      <c r="M382" s="50">
        <v>461.94</v>
      </c>
      <c r="N382" s="66">
        <f t="shared" si="40"/>
        <v>3.7667229510326213E-3</v>
      </c>
      <c r="O382" s="66">
        <f t="shared" si="41"/>
        <v>1.3508247824392798E-2</v>
      </c>
      <c r="P382" s="4">
        <f t="shared" si="42"/>
        <v>5.0000000000000044E-2</v>
      </c>
      <c r="Q382" s="4">
        <f t="shared" si="43"/>
        <v>7.5000000000000136E-3</v>
      </c>
      <c r="R382" s="66">
        <f t="shared" si="44"/>
        <v>3.7667229510326213E-3</v>
      </c>
      <c r="S382" s="66">
        <f t="shared" si="45"/>
        <v>1.3508247824392798E-2</v>
      </c>
      <c r="T382" s="50">
        <f t="shared" si="46"/>
        <v>1</v>
      </c>
      <c r="U382" s="50">
        <f t="shared" si="47"/>
        <v>1</v>
      </c>
    </row>
    <row r="383" spans="1:21" x14ac:dyDescent="0.2">
      <c r="A383" s="38">
        <v>34564</v>
      </c>
      <c r="B383" s="4">
        <v>0.3</v>
      </c>
      <c r="C383" s="4">
        <v>0.4</v>
      </c>
      <c r="D383" s="4">
        <v>0.3</v>
      </c>
      <c r="E383" s="50">
        <v>1</v>
      </c>
      <c r="F383" s="50">
        <v>0.28999999999999998</v>
      </c>
      <c r="G383" s="50">
        <v>0</v>
      </c>
      <c r="H383" s="50">
        <v>0.38490743662900001</v>
      </c>
      <c r="I383" s="50">
        <v>0.48829287047999997</v>
      </c>
      <c r="J383" s="50">
        <v>0.28152200277799999</v>
      </c>
      <c r="K383" s="50">
        <v>465.91</v>
      </c>
      <c r="L383" s="50">
        <v>459.89</v>
      </c>
      <c r="M383" s="50">
        <v>463.68</v>
      </c>
      <c r="N383" s="66">
        <f t="shared" si="40"/>
        <v>2.1825396825396835E-2</v>
      </c>
      <c r="O383" s="66">
        <f t="shared" si="41"/>
        <v>1.6196514837819167E-2</v>
      </c>
      <c r="P383" s="4">
        <f t="shared" si="42"/>
        <v>0</v>
      </c>
      <c r="Q383" s="4">
        <f t="shared" si="43"/>
        <v>-7.4999999999999858E-3</v>
      </c>
      <c r="R383" s="66">
        <f t="shared" si="44"/>
        <v>2.1825396825396835E-2</v>
      </c>
      <c r="S383" s="66">
        <f t="shared" si="45"/>
        <v>1.6196514837819167E-2</v>
      </c>
      <c r="T383" s="50">
        <f t="shared" si="46"/>
        <v>1</v>
      </c>
      <c r="U383" s="50">
        <f t="shared" si="47"/>
        <v>1</v>
      </c>
    </row>
    <row r="384" spans="1:21" x14ac:dyDescent="0.2">
      <c r="A384" s="38">
        <v>34571</v>
      </c>
      <c r="B384" s="4">
        <v>0.32</v>
      </c>
      <c r="C384" s="4">
        <v>0.39</v>
      </c>
      <c r="D384" s="4">
        <v>0.28999999999999998</v>
      </c>
      <c r="E384" s="50">
        <v>1</v>
      </c>
      <c r="F384" s="50">
        <v>0.28999999999999998</v>
      </c>
      <c r="G384" s="50">
        <v>0.03</v>
      </c>
      <c r="H384" s="50">
        <v>0.38490743662900001</v>
      </c>
      <c r="I384" s="50">
        <v>0.48829287047999997</v>
      </c>
      <c r="J384" s="50">
        <v>0.28152200277799999</v>
      </c>
      <c r="K384" s="50">
        <v>474.65</v>
      </c>
      <c r="L384" s="50">
        <v>461.46</v>
      </c>
      <c r="M384" s="50">
        <v>473.8</v>
      </c>
      <c r="N384" s="66">
        <f t="shared" si="40"/>
        <v>-5.9307724778387555E-3</v>
      </c>
      <c r="O384" s="66">
        <f t="shared" si="41"/>
        <v>-2.9822710004221181E-2</v>
      </c>
      <c r="P384" s="4">
        <f t="shared" si="42"/>
        <v>3.0000000000000027E-2</v>
      </c>
      <c r="Q384" s="4">
        <f t="shared" si="43"/>
        <v>1.0000000000000016E-2</v>
      </c>
      <c r="R384" s="66">
        <f t="shared" si="44"/>
        <v>-5.9307724778387555E-3</v>
      </c>
      <c r="S384" s="66">
        <f t="shared" si="45"/>
        <v>-2.9822710004221181E-2</v>
      </c>
      <c r="T384" s="50" t="str">
        <f t="shared" si="46"/>
        <v/>
      </c>
      <c r="U384" s="50" t="str">
        <f t="shared" si="47"/>
        <v/>
      </c>
    </row>
    <row r="385" spans="1:21" x14ac:dyDescent="0.2">
      <c r="A385" s="38">
        <v>34578</v>
      </c>
      <c r="B385" s="4">
        <v>0.43</v>
      </c>
      <c r="C385" s="4">
        <v>0.34</v>
      </c>
      <c r="D385" s="4">
        <v>0.23</v>
      </c>
      <c r="E385" s="50">
        <v>1</v>
      </c>
      <c r="F385" s="50">
        <v>0.30875000000000002</v>
      </c>
      <c r="G385" s="50">
        <v>0.2</v>
      </c>
      <c r="H385" s="50">
        <v>0.38490743662900001</v>
      </c>
      <c r="I385" s="50">
        <v>0.48829287047999997</v>
      </c>
      <c r="J385" s="50">
        <v>0.28152200277799999</v>
      </c>
      <c r="K385" s="50">
        <v>477.59</v>
      </c>
      <c r="L385" s="50">
        <v>470.67</v>
      </c>
      <c r="M385" s="50">
        <v>470.99</v>
      </c>
      <c r="N385" s="66">
        <f t="shared" si="40"/>
        <v>-5.9661563939786451E-3</v>
      </c>
      <c r="O385" s="66">
        <f t="shared" si="41"/>
        <v>-1.7622454829189602E-2</v>
      </c>
      <c r="P385" s="4">
        <f t="shared" si="42"/>
        <v>0.19999999999999998</v>
      </c>
      <c r="Q385" s="4">
        <f t="shared" si="43"/>
        <v>7.0000000000000007E-2</v>
      </c>
      <c r="R385" s="66">
        <f t="shared" si="44"/>
        <v>-5.9661563939786451E-3</v>
      </c>
      <c r="S385" s="66">
        <f t="shared" si="45"/>
        <v>-1.7622454829189602E-2</v>
      </c>
      <c r="T385" s="50" t="str">
        <f t="shared" si="46"/>
        <v/>
      </c>
      <c r="U385" s="50" t="str">
        <f t="shared" si="47"/>
        <v/>
      </c>
    </row>
    <row r="386" spans="1:21" x14ac:dyDescent="0.2">
      <c r="A386" s="38">
        <v>34585</v>
      </c>
      <c r="B386" s="4">
        <v>0.47</v>
      </c>
      <c r="C386" s="4">
        <v>0.33</v>
      </c>
      <c r="D386" s="4">
        <v>0.2</v>
      </c>
      <c r="E386" s="50">
        <v>1</v>
      </c>
      <c r="F386" s="50">
        <v>0.33624999999999999</v>
      </c>
      <c r="G386" s="50">
        <v>0.27</v>
      </c>
      <c r="H386" s="50">
        <v>0.38490743662900001</v>
      </c>
      <c r="I386" s="50">
        <v>0.48829287047999997</v>
      </c>
      <c r="J386" s="50">
        <v>0.28152200277799999</v>
      </c>
      <c r="K386" s="50">
        <v>473.4</v>
      </c>
      <c r="L386" s="50">
        <v>466.55</v>
      </c>
      <c r="M386" s="50">
        <v>468.18</v>
      </c>
      <c r="N386" s="66">
        <f t="shared" si="40"/>
        <v>6.4291511811696159E-3</v>
      </c>
      <c r="O386" s="66">
        <f t="shared" si="41"/>
        <v>-2.7937972574650742E-2</v>
      </c>
      <c r="P386" s="4">
        <f t="shared" si="42"/>
        <v>0.26999999999999996</v>
      </c>
      <c r="Q386" s="4">
        <f t="shared" si="43"/>
        <v>0.125</v>
      </c>
      <c r="R386" s="66">
        <f t="shared" si="44"/>
        <v>6.4291511811696159E-3</v>
      </c>
      <c r="S386" s="66">
        <f t="shared" si="45"/>
        <v>-2.7937972574650742E-2</v>
      </c>
      <c r="T386" s="50">
        <f t="shared" si="46"/>
        <v>1</v>
      </c>
      <c r="U386" s="50" t="str">
        <f t="shared" si="47"/>
        <v/>
      </c>
    </row>
    <row r="387" spans="1:21" x14ac:dyDescent="0.2">
      <c r="A387" s="38">
        <v>34592</v>
      </c>
      <c r="B387" s="4">
        <v>0.45</v>
      </c>
      <c r="C387" s="4">
        <v>0.25</v>
      </c>
      <c r="D387" s="4">
        <v>0.3</v>
      </c>
      <c r="E387" s="50">
        <v>1</v>
      </c>
      <c r="F387" s="50">
        <v>0.35</v>
      </c>
      <c r="G387" s="50">
        <v>0.15</v>
      </c>
      <c r="H387" s="50">
        <v>0.38490743662900001</v>
      </c>
      <c r="I387" s="50">
        <v>0.48829287047999997</v>
      </c>
      <c r="J387" s="50">
        <v>0.28152200277799999</v>
      </c>
      <c r="K387" s="50">
        <v>474.81</v>
      </c>
      <c r="L387" s="50">
        <v>466.15</v>
      </c>
      <c r="M387" s="50">
        <v>471.19</v>
      </c>
      <c r="N387" s="66">
        <f t="shared" si="40"/>
        <v>-2.4448736178611562E-2</v>
      </c>
      <c r="O387" s="66">
        <f t="shared" si="41"/>
        <v>-4.4355780046265308E-3</v>
      </c>
      <c r="P387" s="4">
        <f t="shared" si="42"/>
        <v>0.15000000000000002</v>
      </c>
      <c r="Q387" s="4">
        <f t="shared" si="43"/>
        <v>0.16250000000000001</v>
      </c>
      <c r="R387" s="66">
        <f t="shared" si="44"/>
        <v>-2.4448736178611562E-2</v>
      </c>
      <c r="S387" s="66">
        <f t="shared" si="45"/>
        <v>-4.4355780046265308E-3</v>
      </c>
      <c r="T387" s="50" t="str">
        <f t="shared" si="46"/>
        <v/>
      </c>
      <c r="U387" s="50" t="str">
        <f t="shared" si="47"/>
        <v/>
      </c>
    </row>
    <row r="388" spans="1:21" x14ac:dyDescent="0.2">
      <c r="A388" s="38">
        <v>34599</v>
      </c>
      <c r="B388" s="4">
        <v>0.37</v>
      </c>
      <c r="C388" s="4">
        <v>0.36</v>
      </c>
      <c r="D388" s="4">
        <v>0.27</v>
      </c>
      <c r="E388" s="50">
        <v>1</v>
      </c>
      <c r="F388" s="50">
        <v>0.36249999999999999</v>
      </c>
      <c r="G388" s="50">
        <v>0.1</v>
      </c>
      <c r="H388" s="50">
        <v>0.38490743662900001</v>
      </c>
      <c r="I388" s="50">
        <v>0.48829287047999997</v>
      </c>
      <c r="J388" s="50">
        <v>0.28152200277799999</v>
      </c>
      <c r="K388" s="50">
        <v>473.15</v>
      </c>
      <c r="L388" s="50">
        <v>458.47</v>
      </c>
      <c r="M388" s="50">
        <v>459.67</v>
      </c>
      <c r="N388" s="66">
        <f t="shared" si="40"/>
        <v>6.5699306023886302E-3</v>
      </c>
      <c r="O388" s="66">
        <f t="shared" si="41"/>
        <v>1.1355972763069093E-2</v>
      </c>
      <c r="P388" s="4">
        <f t="shared" si="42"/>
        <v>9.9999999999999978E-2</v>
      </c>
      <c r="Q388" s="4">
        <f t="shared" si="43"/>
        <v>0.18</v>
      </c>
      <c r="R388" s="66">
        <f t="shared" si="44"/>
        <v>6.5699306023886302E-3</v>
      </c>
      <c r="S388" s="66">
        <f t="shared" si="45"/>
        <v>1.1355972763069093E-2</v>
      </c>
      <c r="T388" s="50">
        <f t="shared" si="46"/>
        <v>1</v>
      </c>
      <c r="U388" s="50">
        <f t="shared" si="47"/>
        <v>1</v>
      </c>
    </row>
    <row r="389" spans="1:21" x14ac:dyDescent="0.2">
      <c r="A389" s="38">
        <v>34606</v>
      </c>
      <c r="B389" s="4">
        <v>0.38</v>
      </c>
      <c r="C389" s="4">
        <v>0.32</v>
      </c>
      <c r="D389" s="4">
        <v>0.3</v>
      </c>
      <c r="E389" s="50">
        <v>1</v>
      </c>
      <c r="F389" s="50">
        <v>0.38250000000000001</v>
      </c>
      <c r="G389" s="50">
        <v>0.08</v>
      </c>
      <c r="H389" s="50">
        <v>0.38490743662900001</v>
      </c>
      <c r="I389" s="50">
        <v>0.48829287047999997</v>
      </c>
      <c r="J389" s="50">
        <v>0.28152200277799999</v>
      </c>
      <c r="K389" s="50">
        <v>464.84</v>
      </c>
      <c r="L389" s="50">
        <v>459.01</v>
      </c>
      <c r="M389" s="50">
        <v>462.69</v>
      </c>
      <c r="N389" s="66">
        <f t="shared" si="40"/>
        <v>-1.6404071840757258E-2</v>
      </c>
      <c r="O389" s="66">
        <f t="shared" si="41"/>
        <v>2.394691910350339E-2</v>
      </c>
      <c r="P389" s="4">
        <f t="shared" si="42"/>
        <v>8.0000000000000016E-2</v>
      </c>
      <c r="Q389" s="4">
        <f t="shared" si="43"/>
        <v>0.15000000000000002</v>
      </c>
      <c r="R389" s="66">
        <f t="shared" si="44"/>
        <v>-1.6404071840757258E-2</v>
      </c>
      <c r="S389" s="66">
        <f t="shared" si="45"/>
        <v>2.394691910350339E-2</v>
      </c>
      <c r="T389" s="50" t="str">
        <f t="shared" si="46"/>
        <v/>
      </c>
      <c r="U389" s="50">
        <f t="shared" si="47"/>
        <v>1</v>
      </c>
    </row>
    <row r="390" spans="1:21" x14ac:dyDescent="0.2">
      <c r="A390" s="38">
        <v>34613</v>
      </c>
      <c r="B390" s="4">
        <v>0.33</v>
      </c>
      <c r="C390" s="4">
        <v>0.39</v>
      </c>
      <c r="D390" s="4">
        <v>0.28000000000000003</v>
      </c>
      <c r="E390" s="50">
        <v>1</v>
      </c>
      <c r="F390" s="50">
        <v>0.38124999999999998</v>
      </c>
      <c r="G390" s="50">
        <v>0.05</v>
      </c>
      <c r="H390" s="50">
        <v>0.38490743662900001</v>
      </c>
      <c r="I390" s="50">
        <v>0.48829287047999997</v>
      </c>
      <c r="J390" s="50">
        <v>0.28152200277799999</v>
      </c>
      <c r="K390" s="50">
        <v>463.31</v>
      </c>
      <c r="L390" s="50">
        <v>449.27</v>
      </c>
      <c r="M390" s="50">
        <v>455.1</v>
      </c>
      <c r="N390" s="66">
        <f t="shared" si="40"/>
        <v>3.0762469786860029E-2</v>
      </c>
      <c r="O390" s="66">
        <f t="shared" si="41"/>
        <v>1.5776752362118104E-2</v>
      </c>
      <c r="P390" s="4">
        <f t="shared" si="42"/>
        <v>4.9999999999999989E-2</v>
      </c>
      <c r="Q390" s="4">
        <f t="shared" si="43"/>
        <v>9.5000000000000001E-2</v>
      </c>
      <c r="R390" s="66">
        <f t="shared" si="44"/>
        <v>3.0762469786860029E-2</v>
      </c>
      <c r="S390" s="66">
        <f t="shared" si="45"/>
        <v>1.5776752362118104E-2</v>
      </c>
      <c r="T390" s="50">
        <f t="shared" si="46"/>
        <v>1</v>
      </c>
      <c r="U390" s="50">
        <f t="shared" si="47"/>
        <v>1</v>
      </c>
    </row>
    <row r="391" spans="1:21" x14ac:dyDescent="0.2">
      <c r="A391" s="38">
        <v>34620</v>
      </c>
      <c r="B391" s="4">
        <v>0.35</v>
      </c>
      <c r="C391" s="4">
        <v>0.39</v>
      </c>
      <c r="D391" s="4">
        <v>0.26</v>
      </c>
      <c r="E391" s="50">
        <v>1</v>
      </c>
      <c r="F391" s="50">
        <v>0.38750000000000001</v>
      </c>
      <c r="G391" s="50">
        <v>0.09</v>
      </c>
      <c r="H391" s="50">
        <v>0.38490743662900001</v>
      </c>
      <c r="I391" s="50">
        <v>0.48829287047999997</v>
      </c>
      <c r="J391" s="50">
        <v>0.28152200277799999</v>
      </c>
      <c r="K391" s="50">
        <v>471.3</v>
      </c>
      <c r="L391" s="50">
        <v>455.1</v>
      </c>
      <c r="M391" s="50">
        <v>469.1</v>
      </c>
      <c r="N391" s="66">
        <f t="shared" si="40"/>
        <v>-8.974632274568399E-3</v>
      </c>
      <c r="O391" s="66">
        <f t="shared" si="41"/>
        <v>-1.4389256022170113E-2</v>
      </c>
      <c r="P391" s="4">
        <f t="shared" si="42"/>
        <v>8.9999999999999969E-2</v>
      </c>
      <c r="Q391" s="4">
        <f t="shared" si="43"/>
        <v>7.9999999999999988E-2</v>
      </c>
      <c r="R391" s="66">
        <f t="shared" si="44"/>
        <v>-8.974632274568399E-3</v>
      </c>
      <c r="S391" s="66">
        <f t="shared" si="45"/>
        <v>-1.4389256022170113E-2</v>
      </c>
      <c r="T391" s="50" t="str">
        <f t="shared" si="46"/>
        <v/>
      </c>
      <c r="U391" s="50" t="str">
        <f t="shared" si="47"/>
        <v/>
      </c>
    </row>
    <row r="392" spans="1:21" x14ac:dyDescent="0.2">
      <c r="A392" s="38">
        <v>34627</v>
      </c>
      <c r="B392" s="4">
        <v>0.39</v>
      </c>
      <c r="C392" s="4">
        <v>0.33</v>
      </c>
      <c r="D392" s="4">
        <v>0.28000000000000003</v>
      </c>
      <c r="E392" s="50">
        <v>1</v>
      </c>
      <c r="F392" s="50">
        <v>0.39624999999999999</v>
      </c>
      <c r="G392" s="50">
        <v>0.11</v>
      </c>
      <c r="H392" s="50">
        <v>0.38490743662900001</v>
      </c>
      <c r="I392" s="50">
        <v>0.48829287047999997</v>
      </c>
      <c r="J392" s="50">
        <v>0.28152200277799999</v>
      </c>
      <c r="K392" s="50">
        <v>471.43</v>
      </c>
      <c r="L392" s="50">
        <v>463.83</v>
      </c>
      <c r="M392" s="50">
        <v>464.89</v>
      </c>
      <c r="N392" s="66">
        <f t="shared" si="40"/>
        <v>1.9101292778936945E-2</v>
      </c>
      <c r="O392" s="66">
        <f t="shared" si="41"/>
        <v>-7.3565789756715764E-3</v>
      </c>
      <c r="P392" s="4">
        <f t="shared" si="42"/>
        <v>0.10999999999999999</v>
      </c>
      <c r="Q392" s="4">
        <f t="shared" si="43"/>
        <v>8.249999999999999E-2</v>
      </c>
      <c r="R392" s="66">
        <f t="shared" si="44"/>
        <v>1.9101292778936945E-2</v>
      </c>
      <c r="S392" s="66">
        <f t="shared" si="45"/>
        <v>-7.3565789756715764E-3</v>
      </c>
      <c r="T392" s="50">
        <f t="shared" si="46"/>
        <v>1</v>
      </c>
      <c r="U392" s="50" t="str">
        <f t="shared" si="47"/>
        <v/>
      </c>
    </row>
    <row r="393" spans="1:21" x14ac:dyDescent="0.2">
      <c r="A393" s="38">
        <v>34634</v>
      </c>
      <c r="B393" s="4">
        <v>0.43</v>
      </c>
      <c r="C393" s="4">
        <v>0.38</v>
      </c>
      <c r="D393" s="4">
        <v>0.19</v>
      </c>
      <c r="E393" s="50">
        <v>1</v>
      </c>
      <c r="F393" s="50">
        <v>0.39624999999999999</v>
      </c>
      <c r="G393" s="50">
        <v>0.24</v>
      </c>
      <c r="H393" s="50">
        <v>0.38490743662900001</v>
      </c>
      <c r="I393" s="50">
        <v>0.48829287047999997</v>
      </c>
      <c r="J393" s="50">
        <v>0.28152200277799999</v>
      </c>
      <c r="K393" s="50">
        <v>473.78</v>
      </c>
      <c r="L393" s="50">
        <v>458.26</v>
      </c>
      <c r="M393" s="50">
        <v>473.77</v>
      </c>
      <c r="N393" s="66">
        <f t="shared" si="40"/>
        <v>-2.4252274310319375E-2</v>
      </c>
      <c r="O393" s="66">
        <f t="shared" si="41"/>
        <v>-5.0319775418451944E-2</v>
      </c>
      <c r="P393" s="4">
        <f t="shared" si="42"/>
        <v>0.24</v>
      </c>
      <c r="Q393" s="4">
        <f t="shared" si="43"/>
        <v>0.12249999999999998</v>
      </c>
      <c r="R393" s="66">
        <f t="shared" si="44"/>
        <v>-2.4252274310319375E-2</v>
      </c>
      <c r="S393" s="66">
        <f t="shared" si="45"/>
        <v>-5.0319775418451944E-2</v>
      </c>
      <c r="T393" s="50" t="str">
        <f t="shared" si="46"/>
        <v/>
      </c>
      <c r="U393" s="50" t="str">
        <f t="shared" si="47"/>
        <v/>
      </c>
    </row>
    <row r="394" spans="1:21" x14ac:dyDescent="0.2">
      <c r="A394" s="38">
        <v>34641</v>
      </c>
      <c r="B394" s="4">
        <v>0.4</v>
      </c>
      <c r="C394" s="4">
        <v>0.35</v>
      </c>
      <c r="D394" s="4">
        <v>0.25</v>
      </c>
      <c r="E394" s="50">
        <v>1</v>
      </c>
      <c r="F394" s="50">
        <v>0.38750000000000001</v>
      </c>
      <c r="G394" s="50">
        <v>0.15</v>
      </c>
      <c r="H394" s="50">
        <v>0.38490743662900001</v>
      </c>
      <c r="I394" s="50">
        <v>0.48829287047999997</v>
      </c>
      <c r="J394" s="50">
        <v>0.28152200277799999</v>
      </c>
      <c r="K394" s="50">
        <v>474.74</v>
      </c>
      <c r="L394" s="50">
        <v>462.28</v>
      </c>
      <c r="M394" s="50">
        <v>462.28</v>
      </c>
      <c r="N394" s="66">
        <f t="shared" si="40"/>
        <v>1.5142337976994469E-4</v>
      </c>
      <c r="O394" s="66">
        <f t="shared" si="41"/>
        <v>-1.9425456433330365E-2</v>
      </c>
      <c r="P394" s="4">
        <f t="shared" si="42"/>
        <v>0.15000000000000002</v>
      </c>
      <c r="Q394" s="4">
        <f t="shared" si="43"/>
        <v>0.14749999999999999</v>
      </c>
      <c r="R394" s="66">
        <f t="shared" si="44"/>
        <v>1.5142337976994469E-4</v>
      </c>
      <c r="S394" s="66">
        <f t="shared" si="45"/>
        <v>-1.9425456433330365E-2</v>
      </c>
      <c r="T394" s="50">
        <f t="shared" si="46"/>
        <v>1</v>
      </c>
      <c r="U394" s="50" t="str">
        <f t="shared" si="47"/>
        <v/>
      </c>
    </row>
    <row r="395" spans="1:21" x14ac:dyDescent="0.2">
      <c r="A395" s="38">
        <v>34648</v>
      </c>
      <c r="B395" s="4">
        <v>0.37</v>
      </c>
      <c r="C395" s="4">
        <v>0.31</v>
      </c>
      <c r="D395" s="4">
        <v>0.32</v>
      </c>
      <c r="E395" s="50">
        <v>1</v>
      </c>
      <c r="F395" s="50">
        <v>0.3775</v>
      </c>
      <c r="G395" s="50">
        <v>0.05</v>
      </c>
      <c r="H395" s="50">
        <v>0.38490743662900001</v>
      </c>
      <c r="I395" s="50">
        <v>0.48829287047999997</v>
      </c>
      <c r="J395" s="50">
        <v>0.28152200277799999</v>
      </c>
      <c r="K395" s="50">
        <v>469.95</v>
      </c>
      <c r="L395" s="50">
        <v>461.25</v>
      </c>
      <c r="M395" s="50">
        <v>462.35</v>
      </c>
      <c r="N395" s="66">
        <f t="shared" si="40"/>
        <v>-1.9033199956742628E-3</v>
      </c>
      <c r="O395" s="66">
        <f t="shared" si="41"/>
        <v>-3.3286471287985384E-2</v>
      </c>
      <c r="P395" s="4">
        <f t="shared" si="42"/>
        <v>4.9999999999999989E-2</v>
      </c>
      <c r="Q395" s="4">
        <f t="shared" si="43"/>
        <v>0.13750000000000001</v>
      </c>
      <c r="R395" s="66">
        <f t="shared" si="44"/>
        <v>-1.9033199956742628E-3</v>
      </c>
      <c r="S395" s="66">
        <f t="shared" si="45"/>
        <v>-3.3286471287985384E-2</v>
      </c>
      <c r="T395" s="50" t="str">
        <f t="shared" si="46"/>
        <v/>
      </c>
      <c r="U395" s="50" t="str">
        <f t="shared" si="47"/>
        <v/>
      </c>
    </row>
    <row r="396" spans="1:21" x14ac:dyDescent="0.2">
      <c r="A396" s="38">
        <v>34655</v>
      </c>
      <c r="B396" s="4">
        <v>0.39</v>
      </c>
      <c r="C396" s="4">
        <v>0.22</v>
      </c>
      <c r="D396" s="4">
        <v>0.39</v>
      </c>
      <c r="E396" s="50">
        <v>1</v>
      </c>
      <c r="F396" s="50">
        <v>0.38</v>
      </c>
      <c r="G396" s="50">
        <v>0</v>
      </c>
      <c r="H396" s="50">
        <v>0.38490743662900001</v>
      </c>
      <c r="I396" s="50">
        <v>0.48829287047999997</v>
      </c>
      <c r="J396" s="50">
        <v>0.28152200277799999</v>
      </c>
      <c r="K396" s="50">
        <v>468.51</v>
      </c>
      <c r="L396" s="50">
        <v>460.25</v>
      </c>
      <c r="M396" s="50">
        <v>461.47</v>
      </c>
      <c r="N396" s="66">
        <f t="shared" si="40"/>
        <v>-2.5007042711335557E-2</v>
      </c>
      <c r="O396" s="66">
        <f t="shared" si="41"/>
        <v>-5.7858582356383201E-3</v>
      </c>
      <c r="P396" s="4">
        <f t="shared" si="42"/>
        <v>0</v>
      </c>
      <c r="Q396" s="4">
        <f t="shared" si="43"/>
        <v>0.11</v>
      </c>
      <c r="R396" s="66">
        <f t="shared" si="44"/>
        <v>-2.5007042711335557E-2</v>
      </c>
      <c r="S396" s="66">
        <f t="shared" si="45"/>
        <v>-5.7858582356383201E-3</v>
      </c>
      <c r="T396" s="50" t="str">
        <f t="shared" si="46"/>
        <v/>
      </c>
      <c r="U396" s="50" t="str">
        <f t="shared" si="47"/>
        <v/>
      </c>
    </row>
    <row r="397" spans="1:21" x14ac:dyDescent="0.2">
      <c r="A397" s="38">
        <v>34661</v>
      </c>
      <c r="B397" s="4">
        <v>0.39</v>
      </c>
      <c r="C397" s="4">
        <v>0.32</v>
      </c>
      <c r="D397" s="4">
        <v>0.28999999999999998</v>
      </c>
      <c r="E397" s="50">
        <v>1</v>
      </c>
      <c r="F397" s="50">
        <v>0.38124999999999998</v>
      </c>
      <c r="G397" s="50">
        <v>0.1</v>
      </c>
      <c r="H397" s="50">
        <v>0.38490743662900001</v>
      </c>
      <c r="I397" s="50">
        <v>0.48829287047999997</v>
      </c>
      <c r="J397" s="50">
        <v>0.28152200277799999</v>
      </c>
      <c r="K397" s="50">
        <v>466.25</v>
      </c>
      <c r="L397" s="50">
        <v>444.18</v>
      </c>
      <c r="M397" s="50">
        <v>449.93</v>
      </c>
      <c r="N397" s="66">
        <f t="shared" ref="N397:N460" si="48">(M398-M397)/M397</f>
        <v>7.4900540084013164E-3</v>
      </c>
      <c r="O397" s="66">
        <f t="shared" ref="O397:O460" si="49">(M401-M397)/M397</f>
        <v>2.1647811881848309E-2</v>
      </c>
      <c r="P397" s="4">
        <f t="shared" si="42"/>
        <v>0.10000000000000003</v>
      </c>
      <c r="Q397" s="4">
        <f t="shared" si="43"/>
        <v>7.5000000000000011E-2</v>
      </c>
      <c r="R397" s="66">
        <f t="shared" si="44"/>
        <v>7.4900540084013164E-3</v>
      </c>
      <c r="S397" s="66">
        <f t="shared" si="45"/>
        <v>2.1647811881848309E-2</v>
      </c>
      <c r="T397" s="50">
        <f t="shared" si="46"/>
        <v>1</v>
      </c>
      <c r="U397" s="50">
        <f t="shared" si="47"/>
        <v>1</v>
      </c>
    </row>
    <row r="398" spans="1:21" x14ac:dyDescent="0.2">
      <c r="A398" s="38">
        <v>34668</v>
      </c>
      <c r="B398" s="4">
        <v>0.44</v>
      </c>
      <c r="C398" s="4">
        <v>0.3</v>
      </c>
      <c r="D398" s="4">
        <v>0.26</v>
      </c>
      <c r="E398" s="50">
        <v>1</v>
      </c>
      <c r="F398" s="50">
        <v>0.39500000000000002</v>
      </c>
      <c r="G398" s="50">
        <v>0.18</v>
      </c>
      <c r="H398" s="50">
        <v>0.38490743662900001</v>
      </c>
      <c r="I398" s="50">
        <v>0.48829287047999997</v>
      </c>
      <c r="J398" s="50">
        <v>0.28152200277799999</v>
      </c>
      <c r="K398" s="50">
        <v>457.13</v>
      </c>
      <c r="L398" s="50">
        <v>447.97</v>
      </c>
      <c r="M398" s="50">
        <v>453.3</v>
      </c>
      <c r="N398" s="66">
        <f t="shared" si="48"/>
        <v>-1.3986322523715049E-2</v>
      </c>
      <c r="O398" s="66">
        <f t="shared" si="49"/>
        <v>1.3170086035737856E-2</v>
      </c>
      <c r="P398" s="4">
        <f t="shared" ref="P398:P461" si="50">B398-D398</f>
        <v>0.18</v>
      </c>
      <c r="Q398" s="4">
        <f t="shared" si="43"/>
        <v>8.2500000000000004E-2</v>
      </c>
      <c r="R398" s="66">
        <f t="shared" si="44"/>
        <v>-1.3986322523715049E-2</v>
      </c>
      <c r="S398" s="66">
        <f t="shared" si="45"/>
        <v>1.3170086035737856E-2</v>
      </c>
      <c r="T398" s="50" t="str">
        <f t="shared" si="46"/>
        <v/>
      </c>
      <c r="U398" s="50">
        <f t="shared" si="47"/>
        <v>1</v>
      </c>
    </row>
    <row r="399" spans="1:21" x14ac:dyDescent="0.2">
      <c r="A399" s="38">
        <v>34676</v>
      </c>
      <c r="B399" s="4">
        <v>0.3</v>
      </c>
      <c r="C399" s="4">
        <v>0.35</v>
      </c>
      <c r="D399" s="4">
        <v>0.35</v>
      </c>
      <c r="E399" s="50">
        <v>1</v>
      </c>
      <c r="F399" s="50">
        <v>0.38874999999999998</v>
      </c>
      <c r="G399" s="50">
        <v>-0.05</v>
      </c>
      <c r="H399" s="50">
        <v>0.38490743662900001</v>
      </c>
      <c r="I399" s="50">
        <v>0.48829287047999997</v>
      </c>
      <c r="J399" s="50">
        <v>0.28152200277799999</v>
      </c>
      <c r="K399" s="50">
        <v>455.04</v>
      </c>
      <c r="L399" s="50">
        <v>442.88</v>
      </c>
      <c r="M399" s="50">
        <v>446.96</v>
      </c>
      <c r="N399" s="66">
        <f t="shared" si="48"/>
        <v>2.6490066225165636E-2</v>
      </c>
      <c r="O399" s="66">
        <f t="shared" si="49"/>
        <v>3.0696259173080429E-2</v>
      </c>
      <c r="P399" s="4">
        <f t="shared" si="50"/>
        <v>-4.9999999999999989E-2</v>
      </c>
      <c r="Q399" s="4">
        <f t="shared" si="43"/>
        <v>5.7500000000000009E-2</v>
      </c>
      <c r="R399" s="66">
        <f t="shared" si="44"/>
        <v>2.6490066225165636E-2</v>
      </c>
      <c r="S399" s="66">
        <f t="shared" si="45"/>
        <v>3.0696259173080429E-2</v>
      </c>
      <c r="T399" s="50">
        <f t="shared" si="46"/>
        <v>1</v>
      </c>
      <c r="U399" s="50">
        <f t="shared" si="47"/>
        <v>1</v>
      </c>
    </row>
    <row r="400" spans="1:21" x14ac:dyDescent="0.2">
      <c r="A400" s="38">
        <v>34683</v>
      </c>
      <c r="B400" s="4">
        <v>0.33</v>
      </c>
      <c r="C400" s="4">
        <v>0.35</v>
      </c>
      <c r="D400" s="4">
        <v>0.32</v>
      </c>
      <c r="E400" s="50">
        <v>1</v>
      </c>
      <c r="F400" s="50">
        <v>0.38124999999999998</v>
      </c>
      <c r="G400" s="50">
        <v>0.01</v>
      </c>
      <c r="H400" s="50">
        <v>0.38490743662900001</v>
      </c>
      <c r="I400" s="50">
        <v>0.48829287047999997</v>
      </c>
      <c r="J400" s="50">
        <v>0.28152200277799999</v>
      </c>
      <c r="K400" s="50">
        <v>458.8</v>
      </c>
      <c r="L400" s="50">
        <v>445.62</v>
      </c>
      <c r="M400" s="50">
        <v>458.8</v>
      </c>
      <c r="N400" s="66">
        <f t="shared" si="48"/>
        <v>1.8962510897994867E-3</v>
      </c>
      <c r="O400" s="66">
        <f t="shared" si="49"/>
        <v>1.5627724498692274E-2</v>
      </c>
      <c r="P400" s="4">
        <f t="shared" si="50"/>
        <v>1.0000000000000009E-2</v>
      </c>
      <c r="Q400" s="4">
        <f t="shared" si="43"/>
        <v>6.0000000000000012E-2</v>
      </c>
      <c r="R400" s="66">
        <f t="shared" si="44"/>
        <v>1.8962510897994867E-3</v>
      </c>
      <c r="S400" s="66">
        <f t="shared" si="45"/>
        <v>1.5627724498692274E-2</v>
      </c>
      <c r="T400" s="50">
        <f t="shared" si="46"/>
        <v>1</v>
      </c>
      <c r="U400" s="50">
        <f t="shared" si="47"/>
        <v>1</v>
      </c>
    </row>
    <row r="401" spans="1:21" x14ac:dyDescent="0.2">
      <c r="A401" s="38">
        <v>34690</v>
      </c>
      <c r="B401" s="4">
        <v>0.42</v>
      </c>
      <c r="C401" s="4">
        <v>0.25</v>
      </c>
      <c r="D401" s="4">
        <v>0.33</v>
      </c>
      <c r="E401" s="50">
        <v>1</v>
      </c>
      <c r="F401" s="50">
        <v>0.38</v>
      </c>
      <c r="G401" s="50">
        <v>0.09</v>
      </c>
      <c r="H401" s="50">
        <v>0.38490743662900001</v>
      </c>
      <c r="I401" s="50">
        <v>0.48829287047999997</v>
      </c>
      <c r="J401" s="50">
        <v>0.28152200277799999</v>
      </c>
      <c r="K401" s="50">
        <v>461.7</v>
      </c>
      <c r="L401" s="50">
        <v>455.34</v>
      </c>
      <c r="M401" s="50">
        <v>459.67</v>
      </c>
      <c r="N401" s="66">
        <f t="shared" si="48"/>
        <v>-8.7018948376016295E-4</v>
      </c>
      <c r="O401" s="66">
        <f t="shared" si="49"/>
        <v>1.1116670655035039E-2</v>
      </c>
      <c r="P401" s="4">
        <f t="shared" si="50"/>
        <v>8.9999999999999969E-2</v>
      </c>
      <c r="Q401" s="4">
        <f t="shared" ref="Q401:Q464" si="51">AVERAGE(P398:P401)</f>
        <v>5.7499999999999996E-2</v>
      </c>
      <c r="R401" s="66">
        <f t="shared" ref="R401:R464" si="52">(M402-M401)/M401</f>
        <v>-8.7018948376016295E-4</v>
      </c>
      <c r="S401" s="66">
        <f t="shared" ref="S401:S464" si="53">(M405-M401)/M401</f>
        <v>1.1116670655035039E-2</v>
      </c>
      <c r="T401" s="50" t="str">
        <f t="shared" ref="T401:T464" si="54">IF(R401&gt;0,1,"")</f>
        <v/>
      </c>
      <c r="U401" s="50">
        <f t="shared" ref="U401:U464" si="55">IF(S401&gt;0,1,"")</f>
        <v>1</v>
      </c>
    </row>
    <row r="402" spans="1:21" x14ac:dyDescent="0.2">
      <c r="A402" s="38">
        <v>34697</v>
      </c>
      <c r="B402" s="4">
        <v>0.4</v>
      </c>
      <c r="C402" s="4">
        <v>0.43</v>
      </c>
      <c r="D402" s="4">
        <v>0.17</v>
      </c>
      <c r="E402" s="50">
        <v>1</v>
      </c>
      <c r="F402" s="50">
        <v>0.38</v>
      </c>
      <c r="G402" s="50">
        <v>0.23</v>
      </c>
      <c r="H402" s="50">
        <v>0.38490743662900001</v>
      </c>
      <c r="I402" s="50">
        <v>0.48829287047999997</v>
      </c>
      <c r="J402" s="50">
        <v>0.28152200277799999</v>
      </c>
      <c r="K402" s="50">
        <v>462.73</v>
      </c>
      <c r="L402" s="50">
        <v>459</v>
      </c>
      <c r="M402" s="50">
        <v>459.27</v>
      </c>
      <c r="N402" s="66">
        <f t="shared" si="48"/>
        <v>3.0700894898426307E-3</v>
      </c>
      <c r="O402" s="66">
        <f t="shared" si="49"/>
        <v>2.4212336969538627E-2</v>
      </c>
      <c r="P402" s="4">
        <f t="shared" si="50"/>
        <v>0.23</v>
      </c>
      <c r="Q402" s="4">
        <f t="shared" si="51"/>
        <v>7.0000000000000007E-2</v>
      </c>
      <c r="R402" s="66">
        <f t="shared" si="52"/>
        <v>3.0700894898426307E-3</v>
      </c>
      <c r="S402" s="66">
        <f t="shared" si="53"/>
        <v>2.4212336969538627E-2</v>
      </c>
      <c r="T402" s="50">
        <f t="shared" si="54"/>
        <v>1</v>
      </c>
      <c r="U402" s="50">
        <f t="shared" si="55"/>
        <v>1</v>
      </c>
    </row>
    <row r="403" spans="1:21" x14ac:dyDescent="0.2">
      <c r="A403" s="38">
        <v>34704</v>
      </c>
      <c r="B403" s="4">
        <v>0.44</v>
      </c>
      <c r="C403" s="4">
        <v>0.31</v>
      </c>
      <c r="D403" s="4">
        <v>0.25</v>
      </c>
      <c r="E403" s="50">
        <v>1</v>
      </c>
      <c r="F403" s="50">
        <v>0.38874999999999998</v>
      </c>
      <c r="G403" s="50">
        <v>0.19</v>
      </c>
      <c r="H403" s="50">
        <v>0.38490743662900001</v>
      </c>
      <c r="I403" s="50">
        <v>0.48829287047999997</v>
      </c>
      <c r="J403" s="50">
        <v>0.28152200277799999</v>
      </c>
      <c r="K403" s="50">
        <v>462.49</v>
      </c>
      <c r="L403" s="50">
        <v>457.2</v>
      </c>
      <c r="M403" s="50">
        <v>460.68</v>
      </c>
      <c r="N403" s="66">
        <f t="shared" si="48"/>
        <v>1.1483025093340324E-2</v>
      </c>
      <c r="O403" s="66">
        <f t="shared" si="49"/>
        <v>3.89858470087696E-2</v>
      </c>
      <c r="P403" s="4">
        <f t="shared" si="50"/>
        <v>0.19</v>
      </c>
      <c r="Q403" s="4">
        <f t="shared" si="51"/>
        <v>0.13</v>
      </c>
      <c r="R403" s="66">
        <f t="shared" si="52"/>
        <v>1.1483025093340324E-2</v>
      </c>
      <c r="S403" s="66">
        <f t="shared" si="53"/>
        <v>3.89858470087696E-2</v>
      </c>
      <c r="T403" s="50">
        <f t="shared" si="54"/>
        <v>1</v>
      </c>
      <c r="U403" s="50">
        <f t="shared" si="55"/>
        <v>1</v>
      </c>
    </row>
    <row r="404" spans="1:21" x14ac:dyDescent="0.2">
      <c r="A404" s="38">
        <v>34711</v>
      </c>
      <c r="B404" s="4">
        <v>0.36</v>
      </c>
      <c r="C404" s="4">
        <v>0.42</v>
      </c>
      <c r="D404" s="4">
        <v>0.22</v>
      </c>
      <c r="E404" s="50">
        <v>1</v>
      </c>
      <c r="F404" s="50">
        <v>0.38500000000000001</v>
      </c>
      <c r="G404" s="50">
        <v>0.14000000000000001</v>
      </c>
      <c r="H404" s="50">
        <v>0.38490743662900001</v>
      </c>
      <c r="I404" s="50">
        <v>0.48829287047999997</v>
      </c>
      <c r="J404" s="50">
        <v>0.28152200277799999</v>
      </c>
      <c r="K404" s="50">
        <v>466.43</v>
      </c>
      <c r="L404" s="50">
        <v>459.74</v>
      </c>
      <c r="M404" s="50">
        <v>465.97</v>
      </c>
      <c r="N404" s="66">
        <f t="shared" si="48"/>
        <v>-2.5538124771982197E-3</v>
      </c>
      <c r="O404" s="66">
        <f t="shared" si="49"/>
        <v>3.3242483421679403E-2</v>
      </c>
      <c r="P404" s="4">
        <f t="shared" si="50"/>
        <v>0.13999999999999999</v>
      </c>
      <c r="Q404" s="4">
        <f t="shared" si="51"/>
        <v>0.16250000000000001</v>
      </c>
      <c r="R404" s="66">
        <f t="shared" si="52"/>
        <v>-2.5538124771982197E-3</v>
      </c>
      <c r="S404" s="66">
        <f t="shared" si="53"/>
        <v>3.3242483421679403E-2</v>
      </c>
      <c r="T404" s="50" t="str">
        <f t="shared" si="54"/>
        <v/>
      </c>
      <c r="U404" s="50">
        <f t="shared" si="55"/>
        <v>1</v>
      </c>
    </row>
    <row r="405" spans="1:21" x14ac:dyDescent="0.2">
      <c r="A405" s="38">
        <v>34718</v>
      </c>
      <c r="B405" s="4">
        <v>0.37</v>
      </c>
      <c r="C405" s="4">
        <v>0.39</v>
      </c>
      <c r="D405" s="4">
        <v>0.24</v>
      </c>
      <c r="E405" s="50">
        <v>1</v>
      </c>
      <c r="F405" s="50">
        <v>0.38250000000000001</v>
      </c>
      <c r="G405" s="50">
        <v>0.13</v>
      </c>
      <c r="H405" s="50">
        <v>0.38490743662900001</v>
      </c>
      <c r="I405" s="50">
        <v>0.48829287047999997</v>
      </c>
      <c r="J405" s="50">
        <v>0.28152200277799999</v>
      </c>
      <c r="K405" s="50">
        <v>470.43</v>
      </c>
      <c r="L405" s="50">
        <v>463.99</v>
      </c>
      <c r="M405" s="50">
        <v>464.78</v>
      </c>
      <c r="N405" s="66">
        <f t="shared" si="48"/>
        <v>1.2070226773957601E-2</v>
      </c>
      <c r="O405" s="66">
        <f t="shared" si="49"/>
        <v>3.6985240328757808E-2</v>
      </c>
      <c r="P405" s="4">
        <f t="shared" si="50"/>
        <v>0.13</v>
      </c>
      <c r="Q405" s="4">
        <f t="shared" si="51"/>
        <v>0.17250000000000001</v>
      </c>
      <c r="R405" s="66">
        <f t="shared" si="52"/>
        <v>1.2070226773957601E-2</v>
      </c>
      <c r="S405" s="66">
        <f t="shared" si="53"/>
        <v>3.6985240328757808E-2</v>
      </c>
      <c r="T405" s="50">
        <f t="shared" si="54"/>
        <v>1</v>
      </c>
      <c r="U405" s="50">
        <f t="shared" si="55"/>
        <v>1</v>
      </c>
    </row>
    <row r="406" spans="1:21" x14ac:dyDescent="0.2">
      <c r="A406" s="38">
        <v>34725</v>
      </c>
      <c r="B406" s="4">
        <v>0.38</v>
      </c>
      <c r="C406" s="4">
        <v>0.37</v>
      </c>
      <c r="D406" s="4">
        <v>0.25</v>
      </c>
      <c r="E406" s="50">
        <v>1</v>
      </c>
      <c r="F406" s="50">
        <v>0.375</v>
      </c>
      <c r="G406" s="50">
        <v>0.13</v>
      </c>
      <c r="H406" s="50">
        <v>0.38490743662900001</v>
      </c>
      <c r="I406" s="50">
        <v>0.48829287047999997</v>
      </c>
      <c r="J406" s="50">
        <v>0.28152200277799999</v>
      </c>
      <c r="K406" s="50">
        <v>471.36</v>
      </c>
      <c r="L406" s="50">
        <v>464.4</v>
      </c>
      <c r="M406" s="50">
        <v>470.39</v>
      </c>
      <c r="N406" s="66">
        <f t="shared" si="48"/>
        <v>1.7538638151321246E-2</v>
      </c>
      <c r="O406" s="66">
        <f t="shared" si="49"/>
        <v>3.7670868853504597E-2</v>
      </c>
      <c r="P406" s="4">
        <f t="shared" si="50"/>
        <v>0.13</v>
      </c>
      <c r="Q406" s="4">
        <f t="shared" si="51"/>
        <v>0.14749999999999999</v>
      </c>
      <c r="R406" s="66">
        <f t="shared" si="52"/>
        <v>1.7538638151321246E-2</v>
      </c>
      <c r="S406" s="66">
        <f t="shared" si="53"/>
        <v>3.7670868853504597E-2</v>
      </c>
      <c r="T406" s="50">
        <f t="shared" si="54"/>
        <v>1</v>
      </c>
      <c r="U406" s="50">
        <f t="shared" si="55"/>
        <v>1</v>
      </c>
    </row>
    <row r="407" spans="1:21" x14ac:dyDescent="0.2">
      <c r="A407" s="38">
        <v>34732</v>
      </c>
      <c r="B407" s="4">
        <v>0.38</v>
      </c>
      <c r="C407" s="4">
        <v>0.37</v>
      </c>
      <c r="D407" s="4">
        <v>0.25</v>
      </c>
      <c r="E407" s="50">
        <v>1</v>
      </c>
      <c r="F407" s="50">
        <v>0.38500000000000001</v>
      </c>
      <c r="G407" s="50">
        <v>0.13</v>
      </c>
      <c r="H407" s="50">
        <v>0.38490743662900001</v>
      </c>
      <c r="I407" s="50">
        <v>0.48829287047999997</v>
      </c>
      <c r="J407" s="50">
        <v>0.28152200277799999</v>
      </c>
      <c r="K407" s="50">
        <v>479.91</v>
      </c>
      <c r="L407" s="50">
        <v>467.49</v>
      </c>
      <c r="M407" s="50">
        <v>478.64</v>
      </c>
      <c r="N407" s="66">
        <f t="shared" si="48"/>
        <v>5.891693130536506E-3</v>
      </c>
      <c r="O407" s="66">
        <f t="shared" si="49"/>
        <v>1.4165134547885738E-2</v>
      </c>
      <c r="P407" s="4">
        <f t="shared" si="50"/>
        <v>0.13</v>
      </c>
      <c r="Q407" s="4">
        <f t="shared" si="51"/>
        <v>0.13250000000000001</v>
      </c>
      <c r="R407" s="66">
        <f t="shared" si="52"/>
        <v>5.891693130536506E-3</v>
      </c>
      <c r="S407" s="66">
        <f t="shared" si="53"/>
        <v>1.4165134547885738E-2</v>
      </c>
      <c r="T407" s="50">
        <f t="shared" si="54"/>
        <v>1</v>
      </c>
      <c r="U407" s="50">
        <f t="shared" si="55"/>
        <v>1</v>
      </c>
    </row>
    <row r="408" spans="1:21" x14ac:dyDescent="0.2">
      <c r="A408" s="38">
        <v>34739</v>
      </c>
      <c r="B408" s="4">
        <v>0.34</v>
      </c>
      <c r="C408" s="4">
        <v>0.43</v>
      </c>
      <c r="D408" s="4">
        <v>0.23</v>
      </c>
      <c r="E408" s="50">
        <v>1</v>
      </c>
      <c r="F408" s="50">
        <v>0.38624999999999998</v>
      </c>
      <c r="G408" s="50">
        <v>0.11</v>
      </c>
      <c r="H408" s="50">
        <v>0.38490743662900001</v>
      </c>
      <c r="I408" s="50">
        <v>0.48829287047999997</v>
      </c>
      <c r="J408" s="50">
        <v>0.28152200277799999</v>
      </c>
      <c r="K408" s="50">
        <v>482.6</v>
      </c>
      <c r="L408" s="50">
        <v>478.36</v>
      </c>
      <c r="M408" s="50">
        <v>481.46</v>
      </c>
      <c r="N408" s="66">
        <f t="shared" si="48"/>
        <v>1.0592780293275615E-3</v>
      </c>
      <c r="O408" s="66">
        <f t="shared" si="49"/>
        <v>1.6844597682050461E-2</v>
      </c>
      <c r="P408" s="4">
        <f t="shared" si="50"/>
        <v>0.11000000000000001</v>
      </c>
      <c r="Q408" s="4">
        <f t="shared" si="51"/>
        <v>0.125</v>
      </c>
      <c r="R408" s="66">
        <f t="shared" si="52"/>
        <v>1.0592780293275615E-3</v>
      </c>
      <c r="S408" s="66">
        <f t="shared" si="53"/>
        <v>1.6844597682050461E-2</v>
      </c>
      <c r="T408" s="50">
        <f t="shared" si="54"/>
        <v>1</v>
      </c>
      <c r="U408" s="50">
        <f t="shared" si="55"/>
        <v>1</v>
      </c>
    </row>
    <row r="409" spans="1:21" x14ac:dyDescent="0.2">
      <c r="A409" s="38">
        <v>34746</v>
      </c>
      <c r="B409" s="4">
        <v>0.43</v>
      </c>
      <c r="C409" s="4">
        <v>0.37</v>
      </c>
      <c r="D409" s="4">
        <v>0.2</v>
      </c>
      <c r="E409" s="50">
        <v>1</v>
      </c>
      <c r="F409" s="50">
        <v>0.38750000000000001</v>
      </c>
      <c r="G409" s="50">
        <v>0.23</v>
      </c>
      <c r="H409" s="50">
        <v>0.38490743662900001</v>
      </c>
      <c r="I409" s="50">
        <v>0.48829287047999997</v>
      </c>
      <c r="J409" s="50">
        <v>0.28152200277799999</v>
      </c>
      <c r="K409" s="50">
        <v>485.54</v>
      </c>
      <c r="L409" s="50">
        <v>480.89</v>
      </c>
      <c r="M409" s="50">
        <v>481.97</v>
      </c>
      <c r="N409" s="66">
        <f t="shared" si="48"/>
        <v>1.273938211921901E-2</v>
      </c>
      <c r="O409" s="66">
        <f t="shared" si="49"/>
        <v>2.8113783015540291E-2</v>
      </c>
      <c r="P409" s="4">
        <f t="shared" si="50"/>
        <v>0.22999999999999998</v>
      </c>
      <c r="Q409" s="4">
        <f t="shared" si="51"/>
        <v>0.15</v>
      </c>
      <c r="R409" s="66">
        <f t="shared" si="52"/>
        <v>1.273938211921901E-2</v>
      </c>
      <c r="S409" s="66">
        <f t="shared" si="53"/>
        <v>2.8113783015540291E-2</v>
      </c>
      <c r="T409" s="50">
        <f t="shared" si="54"/>
        <v>1</v>
      </c>
      <c r="U409" s="50">
        <f t="shared" si="55"/>
        <v>1</v>
      </c>
    </row>
    <row r="410" spans="1:21" x14ac:dyDescent="0.2">
      <c r="A410" s="38">
        <v>34753</v>
      </c>
      <c r="B410" s="4">
        <v>0.46</v>
      </c>
      <c r="C410" s="4">
        <v>0.37</v>
      </c>
      <c r="D410" s="4">
        <v>0.17</v>
      </c>
      <c r="E410" s="50">
        <v>1</v>
      </c>
      <c r="F410" s="50">
        <v>0.39500000000000002</v>
      </c>
      <c r="G410" s="50">
        <v>0.28999999999999998</v>
      </c>
      <c r="H410" s="50">
        <v>0.38490743662900001</v>
      </c>
      <c r="I410" s="50">
        <v>0.48829287047999997</v>
      </c>
      <c r="J410" s="50">
        <v>0.28152200277799999</v>
      </c>
      <c r="K410" s="50">
        <v>489.19</v>
      </c>
      <c r="L410" s="50">
        <v>481.97</v>
      </c>
      <c r="M410" s="50">
        <v>488.11</v>
      </c>
      <c r="N410" s="66">
        <f t="shared" si="48"/>
        <v>-5.5110528364507956E-3</v>
      </c>
      <c r="O410" s="66">
        <f t="shared" si="49"/>
        <v>2.6346520251582663E-2</v>
      </c>
      <c r="P410" s="4">
        <f t="shared" si="50"/>
        <v>0.29000000000000004</v>
      </c>
      <c r="Q410" s="4">
        <f t="shared" si="51"/>
        <v>0.19</v>
      </c>
      <c r="R410" s="66">
        <f t="shared" si="52"/>
        <v>-5.5110528364507956E-3</v>
      </c>
      <c r="S410" s="66">
        <f t="shared" si="53"/>
        <v>2.6346520251582663E-2</v>
      </c>
      <c r="T410" s="50" t="str">
        <f t="shared" si="54"/>
        <v/>
      </c>
      <c r="U410" s="50">
        <f t="shared" si="55"/>
        <v>1</v>
      </c>
    </row>
    <row r="411" spans="1:21" x14ac:dyDescent="0.2">
      <c r="A411" s="38">
        <v>34760</v>
      </c>
      <c r="B411" s="4">
        <v>0.53</v>
      </c>
      <c r="C411" s="4">
        <v>0.26</v>
      </c>
      <c r="D411" s="4">
        <v>0.21</v>
      </c>
      <c r="E411" s="50">
        <v>1</v>
      </c>
      <c r="F411" s="50">
        <v>0.40625</v>
      </c>
      <c r="G411" s="50">
        <v>0.32</v>
      </c>
      <c r="H411" s="50">
        <v>0.38490743662900001</v>
      </c>
      <c r="I411" s="50">
        <v>0.48829287047999997</v>
      </c>
      <c r="J411" s="50">
        <v>0.28152200277799999</v>
      </c>
      <c r="K411" s="50">
        <v>488.11</v>
      </c>
      <c r="L411" s="50">
        <v>483.07</v>
      </c>
      <c r="M411" s="50">
        <v>485.42</v>
      </c>
      <c r="N411" s="66">
        <f t="shared" si="48"/>
        <v>8.5492975155534948E-3</v>
      </c>
      <c r="O411" s="66">
        <f t="shared" si="49"/>
        <v>3.149849614766586E-2</v>
      </c>
      <c r="P411" s="4">
        <f t="shared" si="50"/>
        <v>0.32000000000000006</v>
      </c>
      <c r="Q411" s="4">
        <f t="shared" si="51"/>
        <v>0.23750000000000002</v>
      </c>
      <c r="R411" s="66">
        <f t="shared" si="52"/>
        <v>8.5492975155534948E-3</v>
      </c>
      <c r="S411" s="66">
        <f t="shared" si="53"/>
        <v>3.149849614766586E-2</v>
      </c>
      <c r="T411" s="50">
        <f t="shared" si="54"/>
        <v>1</v>
      </c>
      <c r="U411" s="50">
        <f t="shared" si="55"/>
        <v>1</v>
      </c>
    </row>
    <row r="412" spans="1:21" x14ac:dyDescent="0.2">
      <c r="A412" s="38">
        <v>34767</v>
      </c>
      <c r="B412" s="4">
        <v>0.48</v>
      </c>
      <c r="C412" s="4">
        <v>0.34</v>
      </c>
      <c r="D412" s="4">
        <v>0.18</v>
      </c>
      <c r="E412" s="50">
        <v>1</v>
      </c>
      <c r="F412" s="50">
        <v>0.42125000000000001</v>
      </c>
      <c r="G412" s="50">
        <v>0.3</v>
      </c>
      <c r="H412" s="50">
        <v>0.38490743662900001</v>
      </c>
      <c r="I412" s="50">
        <v>0.48829287047999997</v>
      </c>
      <c r="J412" s="50">
        <v>0.28152200277799999</v>
      </c>
      <c r="K412" s="50">
        <v>490.37</v>
      </c>
      <c r="L412" s="50">
        <v>479.7</v>
      </c>
      <c r="M412" s="50">
        <v>489.57</v>
      </c>
      <c r="N412" s="66">
        <f t="shared" si="48"/>
        <v>1.215352247891004E-2</v>
      </c>
      <c r="O412" s="66">
        <f t="shared" si="49"/>
        <v>3.4417958616745355E-2</v>
      </c>
      <c r="P412" s="4">
        <f t="shared" si="50"/>
        <v>0.3</v>
      </c>
      <c r="Q412" s="4">
        <f t="shared" si="51"/>
        <v>0.28500000000000003</v>
      </c>
      <c r="R412" s="66">
        <f t="shared" si="52"/>
        <v>1.215352247891004E-2</v>
      </c>
      <c r="S412" s="66">
        <f t="shared" si="53"/>
        <v>3.4417958616745355E-2</v>
      </c>
      <c r="T412" s="50">
        <f t="shared" si="54"/>
        <v>1</v>
      </c>
      <c r="U412" s="50">
        <f t="shared" si="55"/>
        <v>1</v>
      </c>
    </row>
    <row r="413" spans="1:21" x14ac:dyDescent="0.2">
      <c r="A413" s="38">
        <v>34774</v>
      </c>
      <c r="B413" s="4">
        <v>0.39</v>
      </c>
      <c r="C413" s="4">
        <v>0.41</v>
      </c>
      <c r="D413" s="4">
        <v>0.2</v>
      </c>
      <c r="E413" s="50">
        <v>1</v>
      </c>
      <c r="F413" s="50">
        <v>0.42375000000000002</v>
      </c>
      <c r="G413" s="50">
        <v>0.19</v>
      </c>
      <c r="H413" s="50">
        <v>0.38490743662900001</v>
      </c>
      <c r="I413" s="50">
        <v>0.48829287047999997</v>
      </c>
      <c r="J413" s="50">
        <v>0.28152200277799999</v>
      </c>
      <c r="K413" s="50">
        <v>496.67</v>
      </c>
      <c r="L413" s="50">
        <v>489.35</v>
      </c>
      <c r="M413" s="50">
        <v>495.52</v>
      </c>
      <c r="N413" s="66">
        <f t="shared" si="48"/>
        <v>1.0998546980949398E-2</v>
      </c>
      <c r="O413" s="66">
        <f t="shared" si="49"/>
        <v>2.7667904423635852E-2</v>
      </c>
      <c r="P413" s="4">
        <f t="shared" si="50"/>
        <v>0.19</v>
      </c>
      <c r="Q413" s="4">
        <f t="shared" si="51"/>
        <v>0.27500000000000002</v>
      </c>
      <c r="R413" s="66">
        <f t="shared" si="52"/>
        <v>1.0998546980949398E-2</v>
      </c>
      <c r="S413" s="66">
        <f t="shared" si="53"/>
        <v>2.7667904423635852E-2</v>
      </c>
      <c r="T413" s="50">
        <f t="shared" si="54"/>
        <v>1</v>
      </c>
      <c r="U413" s="50">
        <f t="shared" si="55"/>
        <v>1</v>
      </c>
    </row>
    <row r="414" spans="1:21" x14ac:dyDescent="0.2">
      <c r="A414" s="38">
        <v>34781</v>
      </c>
      <c r="B414" s="4">
        <v>0.47</v>
      </c>
      <c r="C414" s="4">
        <v>0.3</v>
      </c>
      <c r="D414" s="4">
        <v>0.23</v>
      </c>
      <c r="E414" s="50">
        <v>1</v>
      </c>
      <c r="F414" s="50">
        <v>0.435</v>
      </c>
      <c r="G414" s="50">
        <v>0.24</v>
      </c>
      <c r="H414" s="50">
        <v>0.38490743662900001</v>
      </c>
      <c r="I414" s="50">
        <v>0.48829287047999997</v>
      </c>
      <c r="J414" s="50">
        <v>0.28152200277799999</v>
      </c>
      <c r="K414" s="50">
        <v>500.97</v>
      </c>
      <c r="L414" s="50">
        <v>493.67</v>
      </c>
      <c r="M414" s="50">
        <v>500.97</v>
      </c>
      <c r="N414" s="66">
        <f t="shared" si="48"/>
        <v>-5.1899315328272693E-4</v>
      </c>
      <c r="O414" s="66">
        <f t="shared" si="49"/>
        <v>1.5010878894943772E-2</v>
      </c>
      <c r="P414" s="4">
        <f t="shared" si="50"/>
        <v>0.23999999999999996</v>
      </c>
      <c r="Q414" s="4">
        <f t="shared" si="51"/>
        <v>0.26250000000000001</v>
      </c>
      <c r="R414" s="66">
        <f t="shared" si="52"/>
        <v>-5.1899315328272693E-4</v>
      </c>
      <c r="S414" s="66">
        <f t="shared" si="53"/>
        <v>1.5010878894943772E-2</v>
      </c>
      <c r="T414" s="50" t="str">
        <f t="shared" si="54"/>
        <v/>
      </c>
      <c r="U414" s="50">
        <f t="shared" si="55"/>
        <v>1</v>
      </c>
    </row>
    <row r="415" spans="1:21" x14ac:dyDescent="0.2">
      <c r="A415" s="38">
        <v>34788</v>
      </c>
      <c r="B415" s="4">
        <v>0.52</v>
      </c>
      <c r="C415" s="4">
        <v>0.23</v>
      </c>
      <c r="D415" s="4">
        <v>0.25</v>
      </c>
      <c r="E415" s="50">
        <v>1</v>
      </c>
      <c r="F415" s="50">
        <v>0.45250000000000001</v>
      </c>
      <c r="G415" s="50">
        <v>0.27</v>
      </c>
      <c r="H415" s="50">
        <v>0.38490743662900001</v>
      </c>
      <c r="I415" s="50">
        <v>0.48829287047999997</v>
      </c>
      <c r="J415" s="50">
        <v>0.28152200277799999</v>
      </c>
      <c r="K415" s="50">
        <v>508.15</v>
      </c>
      <c r="L415" s="50">
        <v>495.7</v>
      </c>
      <c r="M415" s="50">
        <v>500.71</v>
      </c>
      <c r="N415" s="66">
        <f t="shared" si="48"/>
        <v>1.140380659463569E-2</v>
      </c>
      <c r="O415" s="66">
        <f t="shared" si="49"/>
        <v>2.7960296379141734E-2</v>
      </c>
      <c r="P415" s="4">
        <f t="shared" si="50"/>
        <v>0.27</v>
      </c>
      <c r="Q415" s="4">
        <f t="shared" si="51"/>
        <v>0.25</v>
      </c>
      <c r="R415" s="66">
        <f t="shared" si="52"/>
        <v>1.140380659463569E-2</v>
      </c>
      <c r="S415" s="66">
        <f t="shared" si="53"/>
        <v>2.7960296379141734E-2</v>
      </c>
      <c r="T415" s="50">
        <f t="shared" si="54"/>
        <v>1</v>
      </c>
      <c r="U415" s="50">
        <f t="shared" si="55"/>
        <v>1</v>
      </c>
    </row>
    <row r="416" spans="1:21" x14ac:dyDescent="0.2">
      <c r="A416" s="38">
        <v>34795</v>
      </c>
      <c r="B416" s="4">
        <v>0.42</v>
      </c>
      <c r="C416" s="4">
        <v>0.25</v>
      </c>
      <c r="D416" s="4">
        <v>0.33</v>
      </c>
      <c r="E416" s="50">
        <v>1</v>
      </c>
      <c r="F416" s="50">
        <v>0.46250000000000002</v>
      </c>
      <c r="G416" s="50">
        <v>0.09</v>
      </c>
      <c r="H416" s="50">
        <v>0.38490743662900001</v>
      </c>
      <c r="I416" s="50">
        <v>0.48829287047999997</v>
      </c>
      <c r="J416" s="50">
        <v>0.28152200277799999</v>
      </c>
      <c r="K416" s="50">
        <v>507.19</v>
      </c>
      <c r="L416" s="50">
        <v>500.2</v>
      </c>
      <c r="M416" s="50">
        <v>506.42</v>
      </c>
      <c r="N416" s="66">
        <f t="shared" si="48"/>
        <v>5.5487539986572455E-3</v>
      </c>
      <c r="O416" s="66">
        <f t="shared" si="49"/>
        <v>2.705264405039293E-2</v>
      </c>
      <c r="P416" s="4">
        <f t="shared" si="50"/>
        <v>8.9999999999999969E-2</v>
      </c>
      <c r="Q416" s="4">
        <f t="shared" si="51"/>
        <v>0.19749999999999998</v>
      </c>
      <c r="R416" s="66">
        <f t="shared" si="52"/>
        <v>5.5487539986572455E-3</v>
      </c>
      <c r="S416" s="66">
        <f t="shared" si="53"/>
        <v>2.705264405039293E-2</v>
      </c>
      <c r="T416" s="50">
        <f t="shared" si="54"/>
        <v>1</v>
      </c>
      <c r="U416" s="50">
        <f t="shared" si="55"/>
        <v>1</v>
      </c>
    </row>
    <row r="417" spans="1:21" x14ac:dyDescent="0.2">
      <c r="A417" s="38">
        <v>34802</v>
      </c>
      <c r="B417" s="4">
        <v>0.4</v>
      </c>
      <c r="C417" s="4">
        <v>0.23</v>
      </c>
      <c r="D417" s="4">
        <v>0.37</v>
      </c>
      <c r="E417" s="50">
        <v>1</v>
      </c>
      <c r="F417" s="50">
        <v>0.45874999999999999</v>
      </c>
      <c r="G417" s="50">
        <v>0.03</v>
      </c>
      <c r="H417" s="50">
        <v>0.38490743662900001</v>
      </c>
      <c r="I417" s="50">
        <v>0.48829287047999997</v>
      </c>
      <c r="J417" s="50">
        <v>0.28152200277799999</v>
      </c>
      <c r="K417" s="50">
        <v>509.83</v>
      </c>
      <c r="L417" s="50">
        <v>503.59</v>
      </c>
      <c r="M417" s="50">
        <v>509.23</v>
      </c>
      <c r="N417" s="66">
        <f t="shared" si="48"/>
        <v>-1.4531744005655777E-3</v>
      </c>
      <c r="O417" s="66">
        <f t="shared" si="49"/>
        <v>3.2048386780040329E-2</v>
      </c>
      <c r="P417" s="4">
        <f t="shared" si="50"/>
        <v>3.0000000000000027E-2</v>
      </c>
      <c r="Q417" s="4">
        <f t="shared" si="51"/>
        <v>0.1575</v>
      </c>
      <c r="R417" s="66">
        <f t="shared" si="52"/>
        <v>-1.4531744005655777E-3</v>
      </c>
      <c r="S417" s="66">
        <f t="shared" si="53"/>
        <v>3.2048386780040329E-2</v>
      </c>
      <c r="T417" s="50" t="str">
        <f t="shared" si="54"/>
        <v/>
      </c>
      <c r="U417" s="50">
        <f t="shared" si="55"/>
        <v>1</v>
      </c>
    </row>
    <row r="418" spans="1:21" x14ac:dyDescent="0.2">
      <c r="A418" s="38">
        <v>34809</v>
      </c>
      <c r="B418" s="4">
        <v>0.37</v>
      </c>
      <c r="C418" s="4">
        <v>0.27</v>
      </c>
      <c r="D418" s="4">
        <v>0.36</v>
      </c>
      <c r="E418" s="50">
        <v>1</v>
      </c>
      <c r="F418" s="50">
        <v>0.44750000000000001</v>
      </c>
      <c r="G418" s="50">
        <v>0.01</v>
      </c>
      <c r="H418" s="50">
        <v>0.38490743662900001</v>
      </c>
      <c r="I418" s="50">
        <v>0.48829287047999997</v>
      </c>
      <c r="J418" s="50">
        <v>0.28152200277799999</v>
      </c>
      <c r="K418" s="50">
        <v>508.49</v>
      </c>
      <c r="L418" s="50">
        <v>501.19</v>
      </c>
      <c r="M418" s="50">
        <v>508.49</v>
      </c>
      <c r="N418" s="66">
        <f t="shared" si="48"/>
        <v>1.2232295620366236E-2</v>
      </c>
      <c r="O418" s="66">
        <f t="shared" si="49"/>
        <v>2.1042695038250594E-2</v>
      </c>
      <c r="P418" s="4">
        <f t="shared" si="50"/>
        <v>1.0000000000000009E-2</v>
      </c>
      <c r="Q418" s="4">
        <f t="shared" si="51"/>
        <v>0.1</v>
      </c>
      <c r="R418" s="66">
        <f t="shared" si="52"/>
        <v>1.2232295620366236E-2</v>
      </c>
      <c r="S418" s="66">
        <f t="shared" si="53"/>
        <v>2.1042695038250594E-2</v>
      </c>
      <c r="T418" s="50">
        <f t="shared" si="54"/>
        <v>1</v>
      </c>
      <c r="U418" s="50">
        <f t="shared" si="55"/>
        <v>1</v>
      </c>
    </row>
    <row r="419" spans="1:21" x14ac:dyDescent="0.2">
      <c r="A419" s="38">
        <v>34816</v>
      </c>
      <c r="B419" s="4">
        <v>0.52</v>
      </c>
      <c r="C419" s="4">
        <v>0.28999999999999998</v>
      </c>
      <c r="D419" s="4">
        <v>0.19</v>
      </c>
      <c r="E419" s="50">
        <v>1</v>
      </c>
      <c r="F419" s="50">
        <v>0.44624999999999998</v>
      </c>
      <c r="G419" s="50">
        <v>0.33</v>
      </c>
      <c r="H419" s="50">
        <v>0.38490743662900001</v>
      </c>
      <c r="I419" s="50">
        <v>0.48829287047999997</v>
      </c>
      <c r="J419" s="50">
        <v>0.28152200277799999</v>
      </c>
      <c r="K419" s="50">
        <v>515.29</v>
      </c>
      <c r="L419" s="50">
        <v>507.44</v>
      </c>
      <c r="M419" s="50">
        <v>514.71</v>
      </c>
      <c r="N419" s="66">
        <f t="shared" si="48"/>
        <v>1.0510773056672628E-2</v>
      </c>
      <c r="O419" s="66">
        <f t="shared" si="49"/>
        <v>1.7369003905111501E-2</v>
      </c>
      <c r="P419" s="4">
        <f t="shared" si="50"/>
        <v>0.33</v>
      </c>
      <c r="Q419" s="4">
        <f t="shared" si="51"/>
        <v>0.115</v>
      </c>
      <c r="R419" s="66">
        <f t="shared" si="52"/>
        <v>1.0510773056672628E-2</v>
      </c>
      <c r="S419" s="66">
        <f t="shared" si="53"/>
        <v>1.7369003905111501E-2</v>
      </c>
      <c r="T419" s="50">
        <f t="shared" si="54"/>
        <v>1</v>
      </c>
      <c r="U419" s="50">
        <f t="shared" si="55"/>
        <v>1</v>
      </c>
    </row>
    <row r="420" spans="1:21" x14ac:dyDescent="0.2">
      <c r="A420" s="38">
        <v>34823</v>
      </c>
      <c r="B420" s="4">
        <v>0.42</v>
      </c>
      <c r="C420" s="4">
        <v>0.27</v>
      </c>
      <c r="D420" s="4">
        <v>0.31</v>
      </c>
      <c r="E420" s="50">
        <v>1</v>
      </c>
      <c r="F420" s="50">
        <v>0.43874999999999997</v>
      </c>
      <c r="G420" s="50">
        <v>0.11</v>
      </c>
      <c r="H420" s="50">
        <v>0.38490743662900001</v>
      </c>
      <c r="I420" s="50">
        <v>0.48829287047999997</v>
      </c>
      <c r="J420" s="50">
        <v>0.28152200277799999</v>
      </c>
      <c r="K420" s="50">
        <v>525.4</v>
      </c>
      <c r="L420" s="50">
        <v>513.03</v>
      </c>
      <c r="M420" s="50">
        <v>520.12</v>
      </c>
      <c r="N420" s="66">
        <f t="shared" si="48"/>
        <v>1.0439898484964912E-2</v>
      </c>
      <c r="O420" s="66">
        <f t="shared" si="49"/>
        <v>2.3821425824809634E-2</v>
      </c>
      <c r="P420" s="4">
        <f t="shared" si="50"/>
        <v>0.10999999999999999</v>
      </c>
      <c r="Q420" s="4">
        <f t="shared" si="51"/>
        <v>0.12000000000000001</v>
      </c>
      <c r="R420" s="66">
        <f t="shared" si="52"/>
        <v>1.0439898484964912E-2</v>
      </c>
      <c r="S420" s="66">
        <f t="shared" si="53"/>
        <v>2.3821425824809634E-2</v>
      </c>
      <c r="T420" s="50">
        <f t="shared" si="54"/>
        <v>1</v>
      </c>
      <c r="U420" s="50">
        <f t="shared" si="55"/>
        <v>1</v>
      </c>
    </row>
    <row r="421" spans="1:21" x14ac:dyDescent="0.2">
      <c r="A421" s="38">
        <v>34830</v>
      </c>
      <c r="B421" s="4">
        <v>0.44</v>
      </c>
      <c r="C421" s="4">
        <v>0.26</v>
      </c>
      <c r="D421" s="4">
        <v>0.3</v>
      </c>
      <c r="E421" s="50">
        <v>1</v>
      </c>
      <c r="F421" s="50">
        <v>0.44500000000000001</v>
      </c>
      <c r="G421" s="50">
        <v>0.14000000000000001</v>
      </c>
      <c r="H421" s="50">
        <v>0.38490743662900001</v>
      </c>
      <c r="I421" s="50">
        <v>0.48829287047999997</v>
      </c>
      <c r="J421" s="50">
        <v>0.28152200277799999</v>
      </c>
      <c r="K421" s="50">
        <v>527.04999999999995</v>
      </c>
      <c r="L421" s="50">
        <v>519.14</v>
      </c>
      <c r="M421" s="50">
        <v>525.54999999999995</v>
      </c>
      <c r="N421" s="66">
        <f t="shared" si="48"/>
        <v>-1.2101607839406147E-2</v>
      </c>
      <c r="O421" s="66">
        <f t="shared" si="49"/>
        <v>4.5476167824186099E-3</v>
      </c>
      <c r="P421" s="4">
        <f t="shared" si="50"/>
        <v>0.14000000000000001</v>
      </c>
      <c r="Q421" s="4">
        <f t="shared" si="51"/>
        <v>0.14750000000000002</v>
      </c>
      <c r="R421" s="66">
        <f t="shared" si="52"/>
        <v>-1.2101607839406147E-2</v>
      </c>
      <c r="S421" s="66">
        <f t="shared" si="53"/>
        <v>4.5476167824186099E-3</v>
      </c>
      <c r="T421" s="50" t="str">
        <f t="shared" si="54"/>
        <v/>
      </c>
      <c r="U421" s="50">
        <f t="shared" si="55"/>
        <v>1</v>
      </c>
    </row>
    <row r="422" spans="1:21" x14ac:dyDescent="0.2">
      <c r="A422" s="38">
        <v>34837</v>
      </c>
      <c r="B422" s="4">
        <v>0.42</v>
      </c>
      <c r="C422" s="4">
        <v>0.23</v>
      </c>
      <c r="D422" s="4">
        <v>0.35</v>
      </c>
      <c r="E422" s="50">
        <v>1</v>
      </c>
      <c r="F422" s="50">
        <v>0.43874999999999997</v>
      </c>
      <c r="G422" s="50">
        <v>7.0000000000000007E-2</v>
      </c>
      <c r="H422" s="50">
        <v>0.38490743662900001</v>
      </c>
      <c r="I422" s="50">
        <v>0.48829287047999997</v>
      </c>
      <c r="J422" s="50">
        <v>0.28152200277799999</v>
      </c>
      <c r="K422" s="50">
        <v>529.08000000000004</v>
      </c>
      <c r="L422" s="50">
        <v>517.07000000000005</v>
      </c>
      <c r="M422" s="50">
        <v>519.19000000000005</v>
      </c>
      <c r="N422" s="66">
        <f t="shared" si="48"/>
        <v>8.5903041275832009E-3</v>
      </c>
      <c r="O422" s="66">
        <f t="shared" si="49"/>
        <v>3.9754232554556103E-2</v>
      </c>
      <c r="P422" s="4">
        <f t="shared" si="50"/>
        <v>7.0000000000000007E-2</v>
      </c>
      <c r="Q422" s="4">
        <f t="shared" si="51"/>
        <v>0.16250000000000003</v>
      </c>
      <c r="R422" s="66">
        <f t="shared" si="52"/>
        <v>8.5903041275832009E-3</v>
      </c>
      <c r="S422" s="66">
        <f t="shared" si="53"/>
        <v>3.9754232554556103E-2</v>
      </c>
      <c r="T422" s="50">
        <f t="shared" si="54"/>
        <v>1</v>
      </c>
      <c r="U422" s="50">
        <f t="shared" si="55"/>
        <v>1</v>
      </c>
    </row>
    <row r="423" spans="1:21" x14ac:dyDescent="0.2">
      <c r="A423" s="38">
        <v>34844</v>
      </c>
      <c r="B423" s="4">
        <v>0.44</v>
      </c>
      <c r="C423" s="4">
        <v>0.26</v>
      </c>
      <c r="D423" s="4">
        <v>0.3</v>
      </c>
      <c r="E423" s="50">
        <v>1</v>
      </c>
      <c r="F423" s="50">
        <v>0.42875000000000002</v>
      </c>
      <c r="G423" s="50">
        <v>0.14000000000000001</v>
      </c>
      <c r="H423" s="50">
        <v>0.38490743662900001</v>
      </c>
      <c r="I423" s="50">
        <v>0.48829287047999997</v>
      </c>
      <c r="J423" s="50">
        <v>0.28152200277799999</v>
      </c>
      <c r="K423" s="50">
        <v>531.91</v>
      </c>
      <c r="L423" s="50">
        <v>519.19000000000005</v>
      </c>
      <c r="M423" s="50">
        <v>523.65</v>
      </c>
      <c r="N423" s="66">
        <f t="shared" si="48"/>
        <v>1.6919698271746421E-2</v>
      </c>
      <c r="O423" s="66">
        <f t="shared" si="49"/>
        <v>4.9766065119832066E-2</v>
      </c>
      <c r="P423" s="4">
        <f t="shared" si="50"/>
        <v>0.14000000000000001</v>
      </c>
      <c r="Q423" s="4">
        <f t="shared" si="51"/>
        <v>0.115</v>
      </c>
      <c r="R423" s="66">
        <f t="shared" si="52"/>
        <v>1.6919698271746421E-2</v>
      </c>
      <c r="S423" s="66">
        <f t="shared" si="53"/>
        <v>4.9766065119832066E-2</v>
      </c>
      <c r="T423" s="50">
        <f t="shared" si="54"/>
        <v>1</v>
      </c>
      <c r="U423" s="50">
        <f t="shared" si="55"/>
        <v>1</v>
      </c>
    </row>
    <row r="424" spans="1:21" x14ac:dyDescent="0.2">
      <c r="A424" s="38">
        <v>34851</v>
      </c>
      <c r="B424" s="4">
        <v>0.39</v>
      </c>
      <c r="C424" s="4">
        <v>0.34</v>
      </c>
      <c r="D424" s="4">
        <v>0.27</v>
      </c>
      <c r="E424" s="50">
        <v>1</v>
      </c>
      <c r="F424" s="50">
        <v>0.42499999999999999</v>
      </c>
      <c r="G424" s="50">
        <v>0.12</v>
      </c>
      <c r="H424" s="50">
        <v>0.38490743662900001</v>
      </c>
      <c r="I424" s="50">
        <v>0.48829287047999997</v>
      </c>
      <c r="J424" s="50">
        <v>0.28152200277799999</v>
      </c>
      <c r="K424" s="50">
        <v>536.91</v>
      </c>
      <c r="L424" s="50">
        <v>521.38</v>
      </c>
      <c r="M424" s="50">
        <v>532.51</v>
      </c>
      <c r="N424" s="66">
        <f t="shared" si="48"/>
        <v>-8.5819984601226956E-3</v>
      </c>
      <c r="O424" s="66">
        <f t="shared" si="49"/>
        <v>2.2985483840679066E-2</v>
      </c>
      <c r="P424" s="4">
        <f t="shared" si="50"/>
        <v>0.12</v>
      </c>
      <c r="Q424" s="4">
        <f t="shared" si="51"/>
        <v>0.11750000000000001</v>
      </c>
      <c r="R424" s="66">
        <f t="shared" si="52"/>
        <v>-8.5819984601226956E-3</v>
      </c>
      <c r="S424" s="66">
        <f t="shared" si="53"/>
        <v>2.2985483840679066E-2</v>
      </c>
      <c r="T424" s="50" t="str">
        <f t="shared" si="54"/>
        <v/>
      </c>
      <c r="U424" s="50">
        <f t="shared" si="55"/>
        <v>1</v>
      </c>
    </row>
    <row r="425" spans="1:21" x14ac:dyDescent="0.2">
      <c r="A425" s="38">
        <v>34858</v>
      </c>
      <c r="B425" s="4">
        <v>0.44</v>
      </c>
      <c r="C425" s="4">
        <v>0.25</v>
      </c>
      <c r="D425" s="4">
        <v>0.31</v>
      </c>
      <c r="E425" s="50">
        <v>1</v>
      </c>
      <c r="F425" s="50">
        <v>0.43</v>
      </c>
      <c r="G425" s="50">
        <v>0.13</v>
      </c>
      <c r="H425" s="50">
        <v>0.38490743662900001</v>
      </c>
      <c r="I425" s="50">
        <v>0.48829287047999997</v>
      </c>
      <c r="J425" s="50">
        <v>0.28152200277799999</v>
      </c>
      <c r="K425" s="50">
        <v>537.73</v>
      </c>
      <c r="L425" s="50">
        <v>526</v>
      </c>
      <c r="M425" s="50">
        <v>527.94000000000005</v>
      </c>
      <c r="N425" s="66">
        <f t="shared" si="48"/>
        <v>2.2521498655150178E-2</v>
      </c>
      <c r="O425" s="66">
        <f t="shared" si="49"/>
        <v>5.3850816380649216E-2</v>
      </c>
      <c r="P425" s="4">
        <f t="shared" si="50"/>
        <v>0.13</v>
      </c>
      <c r="Q425" s="4">
        <f t="shared" si="51"/>
        <v>0.115</v>
      </c>
      <c r="R425" s="66">
        <f t="shared" si="52"/>
        <v>2.2521498655150178E-2</v>
      </c>
      <c r="S425" s="66">
        <f t="shared" si="53"/>
        <v>5.3850816380649216E-2</v>
      </c>
      <c r="T425" s="50">
        <f t="shared" si="54"/>
        <v>1</v>
      </c>
      <c r="U425" s="50">
        <f t="shared" si="55"/>
        <v>1</v>
      </c>
    </row>
    <row r="426" spans="1:21" x14ac:dyDescent="0.2">
      <c r="A426" s="38">
        <v>34865</v>
      </c>
      <c r="B426" s="4">
        <v>0.36</v>
      </c>
      <c r="C426" s="4">
        <v>0.31</v>
      </c>
      <c r="D426" s="4">
        <v>0.33</v>
      </c>
      <c r="E426" s="50">
        <v>1</v>
      </c>
      <c r="F426" s="50">
        <v>0.42875000000000002</v>
      </c>
      <c r="G426" s="50">
        <v>0.03</v>
      </c>
      <c r="H426" s="50">
        <v>0.38490743662900001</v>
      </c>
      <c r="I426" s="50">
        <v>0.48829287047999997</v>
      </c>
      <c r="J426" s="50">
        <v>0.28152200277799999</v>
      </c>
      <c r="K426" s="50">
        <v>539.98</v>
      </c>
      <c r="L426" s="50">
        <v>527.94000000000005</v>
      </c>
      <c r="M426" s="50">
        <v>539.83000000000004</v>
      </c>
      <c r="N426" s="66">
        <f t="shared" si="48"/>
        <v>1.8302058055313701E-2</v>
      </c>
      <c r="O426" s="66">
        <f t="shared" si="49"/>
        <v>3.7159846618379754E-2</v>
      </c>
      <c r="P426" s="4">
        <f t="shared" si="50"/>
        <v>2.9999999999999971E-2</v>
      </c>
      <c r="Q426" s="4">
        <f t="shared" si="51"/>
        <v>0.105</v>
      </c>
      <c r="R426" s="66">
        <f t="shared" si="52"/>
        <v>1.8302058055313701E-2</v>
      </c>
      <c r="S426" s="66">
        <f t="shared" si="53"/>
        <v>3.7159846618379754E-2</v>
      </c>
      <c r="T426" s="50">
        <f t="shared" si="54"/>
        <v>1</v>
      </c>
      <c r="U426" s="50">
        <f t="shared" si="55"/>
        <v>1</v>
      </c>
    </row>
    <row r="427" spans="1:21" x14ac:dyDescent="0.2">
      <c r="A427" s="38">
        <v>34872</v>
      </c>
      <c r="B427" s="4">
        <v>0.48</v>
      </c>
      <c r="C427" s="4">
        <v>0.21</v>
      </c>
      <c r="D427" s="4">
        <v>0.31</v>
      </c>
      <c r="E427" s="50">
        <v>1</v>
      </c>
      <c r="F427" s="50">
        <v>0.42375000000000002</v>
      </c>
      <c r="G427" s="50">
        <v>0.17</v>
      </c>
      <c r="H427" s="50">
        <v>0.38490743662900001</v>
      </c>
      <c r="I427" s="50">
        <v>0.48829287047999997</v>
      </c>
      <c r="J427" s="50">
        <v>0.28152200277799999</v>
      </c>
      <c r="K427" s="50">
        <v>551.07000000000005</v>
      </c>
      <c r="L427" s="50">
        <v>539.83000000000004</v>
      </c>
      <c r="M427" s="50">
        <v>549.71</v>
      </c>
      <c r="N427" s="66">
        <f t="shared" si="48"/>
        <v>-9.0229393680304817E-3</v>
      </c>
      <c r="O427" s="66">
        <f t="shared" si="49"/>
        <v>7.1128413163303707E-3</v>
      </c>
      <c r="P427" s="4">
        <f t="shared" si="50"/>
        <v>0.16999999999999998</v>
      </c>
      <c r="Q427" s="4">
        <f t="shared" si="51"/>
        <v>0.11249999999999999</v>
      </c>
      <c r="R427" s="66">
        <f t="shared" si="52"/>
        <v>-9.0229393680304817E-3</v>
      </c>
      <c r="S427" s="66">
        <f t="shared" si="53"/>
        <v>7.1128413163303707E-3</v>
      </c>
      <c r="T427" s="50" t="str">
        <f t="shared" si="54"/>
        <v/>
      </c>
      <c r="U427" s="50">
        <f t="shared" si="55"/>
        <v>1</v>
      </c>
    </row>
    <row r="428" spans="1:21" x14ac:dyDescent="0.2">
      <c r="A428" s="38">
        <v>34879</v>
      </c>
      <c r="B428" s="4">
        <v>0.35</v>
      </c>
      <c r="C428" s="4">
        <v>0.28000000000000003</v>
      </c>
      <c r="D428" s="4">
        <v>0.37</v>
      </c>
      <c r="E428" s="50">
        <v>1</v>
      </c>
      <c r="F428" s="50">
        <v>0.41499999999999998</v>
      </c>
      <c r="G428" s="50">
        <v>-0.02</v>
      </c>
      <c r="H428" s="50">
        <v>0.38490743662900001</v>
      </c>
      <c r="I428" s="50">
        <v>0.48829287047999997</v>
      </c>
      <c r="J428" s="50">
        <v>0.28152200277799999</v>
      </c>
      <c r="K428" s="50">
        <v>549.79</v>
      </c>
      <c r="L428" s="50">
        <v>540.79</v>
      </c>
      <c r="M428" s="50">
        <v>544.75</v>
      </c>
      <c r="N428" s="66">
        <f t="shared" si="48"/>
        <v>2.1330885727397896E-2</v>
      </c>
      <c r="O428" s="66">
        <f t="shared" si="49"/>
        <v>3.3373106929784215E-2</v>
      </c>
      <c r="P428" s="4">
        <f t="shared" si="50"/>
        <v>-2.0000000000000018E-2</v>
      </c>
      <c r="Q428" s="4">
        <f t="shared" si="51"/>
        <v>7.7499999999999986E-2</v>
      </c>
      <c r="R428" s="66">
        <f t="shared" si="52"/>
        <v>2.1330885727397896E-2</v>
      </c>
      <c r="S428" s="66">
        <f t="shared" si="53"/>
        <v>3.3373106929784215E-2</v>
      </c>
      <c r="T428" s="50">
        <f t="shared" si="54"/>
        <v>1</v>
      </c>
      <c r="U428" s="50">
        <f t="shared" si="55"/>
        <v>1</v>
      </c>
    </row>
    <row r="429" spans="1:21" x14ac:dyDescent="0.2">
      <c r="A429" s="38">
        <v>34886</v>
      </c>
      <c r="B429" s="4">
        <v>0.35</v>
      </c>
      <c r="C429" s="4">
        <v>0.34</v>
      </c>
      <c r="D429" s="4">
        <v>0.31</v>
      </c>
      <c r="E429" s="50">
        <v>1</v>
      </c>
      <c r="F429" s="50">
        <v>0.40375</v>
      </c>
      <c r="G429" s="50">
        <v>0.04</v>
      </c>
      <c r="H429" s="50">
        <v>0.38490743662900001</v>
      </c>
      <c r="I429" s="50">
        <v>0.48829287047999997</v>
      </c>
      <c r="J429" s="50">
        <v>0.28152200277799999</v>
      </c>
      <c r="K429" s="50">
        <v>556.37</v>
      </c>
      <c r="L429" s="50">
        <v>544.42999999999995</v>
      </c>
      <c r="M429" s="50">
        <v>556.37</v>
      </c>
      <c r="N429" s="66">
        <f t="shared" si="48"/>
        <v>6.3267250211190068E-3</v>
      </c>
      <c r="O429" s="66">
        <f t="shared" si="49"/>
        <v>4.6192282114421159E-3</v>
      </c>
      <c r="P429" s="4">
        <f t="shared" si="50"/>
        <v>3.999999999999998E-2</v>
      </c>
      <c r="Q429" s="4">
        <f t="shared" si="51"/>
        <v>5.4999999999999979E-2</v>
      </c>
      <c r="R429" s="66">
        <f t="shared" si="52"/>
        <v>6.3267250211190068E-3</v>
      </c>
      <c r="S429" s="66">
        <f t="shared" si="53"/>
        <v>4.6192282114421159E-3</v>
      </c>
      <c r="T429" s="50">
        <f t="shared" si="54"/>
        <v>1</v>
      </c>
      <c r="U429" s="50">
        <f t="shared" si="55"/>
        <v>1</v>
      </c>
    </row>
    <row r="430" spans="1:21" x14ac:dyDescent="0.2">
      <c r="A430" s="38">
        <v>34893</v>
      </c>
      <c r="B430" s="4">
        <v>0.44</v>
      </c>
      <c r="C430" s="4">
        <v>0.18</v>
      </c>
      <c r="D430" s="4">
        <v>0.38</v>
      </c>
      <c r="E430" s="50">
        <v>1</v>
      </c>
      <c r="F430" s="50">
        <v>0.40625</v>
      </c>
      <c r="G430" s="50">
        <v>0.06</v>
      </c>
      <c r="H430" s="50">
        <v>0.38490743662900001</v>
      </c>
      <c r="I430" s="50">
        <v>0.48829287047999997</v>
      </c>
      <c r="J430" s="50">
        <v>0.28152200277799999</v>
      </c>
      <c r="K430" s="50">
        <v>562</v>
      </c>
      <c r="L430" s="50">
        <v>553.79999999999995</v>
      </c>
      <c r="M430" s="50">
        <v>559.89</v>
      </c>
      <c r="N430" s="66">
        <f t="shared" si="48"/>
        <v>-1.1198628301987859E-2</v>
      </c>
      <c r="O430" s="66">
        <f t="shared" si="49"/>
        <v>-8.537391273285776E-3</v>
      </c>
      <c r="P430" s="4">
        <f t="shared" si="50"/>
        <v>0.06</v>
      </c>
      <c r="Q430" s="4">
        <f t="shared" si="51"/>
        <v>6.2499999999999986E-2</v>
      </c>
      <c r="R430" s="66">
        <f t="shared" si="52"/>
        <v>-1.1198628301987859E-2</v>
      </c>
      <c r="S430" s="66">
        <f t="shared" si="53"/>
        <v>-8.537391273285776E-3</v>
      </c>
      <c r="T430" s="50" t="str">
        <f t="shared" si="54"/>
        <v/>
      </c>
      <c r="U430" s="50" t="str">
        <f t="shared" si="55"/>
        <v/>
      </c>
    </row>
    <row r="431" spans="1:21" x14ac:dyDescent="0.2">
      <c r="A431" s="38">
        <v>34900</v>
      </c>
      <c r="B431" s="4">
        <v>0.43</v>
      </c>
      <c r="C431" s="4">
        <v>0.3</v>
      </c>
      <c r="D431" s="4">
        <v>0.27</v>
      </c>
      <c r="E431" s="50">
        <v>1</v>
      </c>
      <c r="F431" s="50">
        <v>0.40500000000000003</v>
      </c>
      <c r="G431" s="50">
        <v>0.16</v>
      </c>
      <c r="H431" s="50">
        <v>0.38490743662900001</v>
      </c>
      <c r="I431" s="50">
        <v>0.48829287047999997</v>
      </c>
      <c r="J431" s="50">
        <v>0.28152200277799999</v>
      </c>
      <c r="K431" s="50">
        <v>562.72</v>
      </c>
      <c r="L431" s="50">
        <v>550.98</v>
      </c>
      <c r="M431" s="50">
        <v>553.62</v>
      </c>
      <c r="N431" s="66">
        <f t="shared" si="48"/>
        <v>1.6816588996062181E-2</v>
      </c>
      <c r="O431" s="66">
        <f t="shared" si="49"/>
        <v>1.0097178570138419E-2</v>
      </c>
      <c r="P431" s="4">
        <f t="shared" si="50"/>
        <v>0.15999999999999998</v>
      </c>
      <c r="Q431" s="4">
        <f t="shared" si="51"/>
        <v>5.9999999999999984E-2</v>
      </c>
      <c r="R431" s="66">
        <f t="shared" si="52"/>
        <v>1.6816588996062181E-2</v>
      </c>
      <c r="S431" s="66">
        <f t="shared" si="53"/>
        <v>1.0097178570138419E-2</v>
      </c>
      <c r="T431" s="50">
        <f t="shared" si="54"/>
        <v>1</v>
      </c>
      <c r="U431" s="50">
        <f t="shared" si="55"/>
        <v>1</v>
      </c>
    </row>
    <row r="432" spans="1:21" x14ac:dyDescent="0.2">
      <c r="A432" s="38">
        <v>34907</v>
      </c>
      <c r="B432" s="4">
        <v>0.41</v>
      </c>
      <c r="C432" s="4">
        <v>0.26</v>
      </c>
      <c r="D432" s="4">
        <v>0.33</v>
      </c>
      <c r="E432" s="50">
        <v>1</v>
      </c>
      <c r="F432" s="50">
        <v>0.40749999999999997</v>
      </c>
      <c r="G432" s="50">
        <v>0.08</v>
      </c>
      <c r="H432" s="50">
        <v>0.38490743662900001</v>
      </c>
      <c r="I432" s="50">
        <v>0.48829287047999997</v>
      </c>
      <c r="J432" s="50">
        <v>0.28152200277799999</v>
      </c>
      <c r="K432" s="50">
        <v>565.4</v>
      </c>
      <c r="L432" s="50">
        <v>553.62</v>
      </c>
      <c r="M432" s="50">
        <v>562.92999999999995</v>
      </c>
      <c r="N432" s="66">
        <f t="shared" si="48"/>
        <v>-7.0879150160764138E-3</v>
      </c>
      <c r="O432" s="66">
        <f t="shared" si="49"/>
        <v>-5.0272680439840253E-3</v>
      </c>
      <c r="P432" s="4">
        <f t="shared" si="50"/>
        <v>7.999999999999996E-2</v>
      </c>
      <c r="Q432" s="4">
        <f t="shared" si="51"/>
        <v>8.4999999999999978E-2</v>
      </c>
      <c r="R432" s="66">
        <f t="shared" si="52"/>
        <v>-7.0879150160764138E-3</v>
      </c>
      <c r="S432" s="66">
        <f t="shared" si="53"/>
        <v>-5.0272680439840253E-3</v>
      </c>
      <c r="T432" s="50" t="str">
        <f t="shared" si="54"/>
        <v/>
      </c>
      <c r="U432" s="50" t="str">
        <f t="shared" si="55"/>
        <v/>
      </c>
    </row>
    <row r="433" spans="1:21" x14ac:dyDescent="0.2">
      <c r="A433" s="38">
        <v>34914</v>
      </c>
      <c r="B433" s="4">
        <v>0.38</v>
      </c>
      <c r="C433" s="4">
        <v>0.34</v>
      </c>
      <c r="D433" s="4">
        <v>0.28000000000000003</v>
      </c>
      <c r="E433" s="50">
        <v>1</v>
      </c>
      <c r="F433" s="50">
        <v>0.4</v>
      </c>
      <c r="G433" s="50">
        <v>0.1</v>
      </c>
      <c r="H433" s="50">
        <v>0.38490743662900001</v>
      </c>
      <c r="I433" s="50">
        <v>0.48829287047999997</v>
      </c>
      <c r="J433" s="50">
        <v>0.28152200277799999</v>
      </c>
      <c r="K433" s="50">
        <v>565.62</v>
      </c>
      <c r="L433" s="50">
        <v>554.1</v>
      </c>
      <c r="M433" s="50">
        <v>558.94000000000005</v>
      </c>
      <c r="N433" s="66">
        <f t="shared" si="48"/>
        <v>-6.8522560561062734E-3</v>
      </c>
      <c r="O433" s="66">
        <f t="shared" si="49"/>
        <v>8.7665939099008418E-3</v>
      </c>
      <c r="P433" s="4">
        <f t="shared" si="50"/>
        <v>9.9999999999999978E-2</v>
      </c>
      <c r="Q433" s="4">
        <f t="shared" si="51"/>
        <v>9.9999999999999978E-2</v>
      </c>
      <c r="R433" s="66">
        <f t="shared" si="52"/>
        <v>-6.8522560561062734E-3</v>
      </c>
      <c r="S433" s="66">
        <f t="shared" si="53"/>
        <v>8.7665939099008418E-3</v>
      </c>
      <c r="T433" s="50" t="str">
        <f t="shared" si="54"/>
        <v/>
      </c>
      <c r="U433" s="50">
        <f t="shared" si="55"/>
        <v>1</v>
      </c>
    </row>
    <row r="434" spans="1:21" x14ac:dyDescent="0.2">
      <c r="A434" s="38">
        <v>34921</v>
      </c>
      <c r="B434" s="4">
        <v>0.4</v>
      </c>
      <c r="C434" s="4">
        <v>0.3</v>
      </c>
      <c r="D434" s="4">
        <v>0.3</v>
      </c>
      <c r="E434" s="50">
        <v>1</v>
      </c>
      <c r="F434" s="50">
        <v>0.40500000000000003</v>
      </c>
      <c r="G434" s="50">
        <v>0.1</v>
      </c>
      <c r="H434" s="50">
        <v>0.38490743662900001</v>
      </c>
      <c r="I434" s="50">
        <v>0.48829287047999997</v>
      </c>
      <c r="J434" s="50">
        <v>0.28152200277799999</v>
      </c>
      <c r="K434" s="50">
        <v>561.59</v>
      </c>
      <c r="L434" s="50">
        <v>553.04</v>
      </c>
      <c r="M434" s="50">
        <v>555.11</v>
      </c>
      <c r="N434" s="66">
        <f t="shared" si="48"/>
        <v>7.3859235106555864E-3</v>
      </c>
      <c r="O434" s="66">
        <f t="shared" si="49"/>
        <v>3.165138441029694E-2</v>
      </c>
      <c r="P434" s="4">
        <f t="shared" si="50"/>
        <v>0.10000000000000003</v>
      </c>
      <c r="Q434" s="4">
        <f t="shared" si="51"/>
        <v>0.10999999999999999</v>
      </c>
      <c r="R434" s="66">
        <f t="shared" si="52"/>
        <v>7.3859235106555864E-3</v>
      </c>
      <c r="S434" s="66">
        <f t="shared" si="53"/>
        <v>3.165138441029694E-2</v>
      </c>
      <c r="T434" s="50">
        <f t="shared" si="54"/>
        <v>1</v>
      </c>
      <c r="U434" s="50">
        <f t="shared" si="55"/>
        <v>1</v>
      </c>
    </row>
    <row r="435" spans="1:21" x14ac:dyDescent="0.2">
      <c r="A435" s="38">
        <v>34928</v>
      </c>
      <c r="B435" s="4">
        <v>0.36</v>
      </c>
      <c r="C435" s="4">
        <v>0.43</v>
      </c>
      <c r="D435" s="4">
        <v>0.21</v>
      </c>
      <c r="E435" s="50">
        <v>1</v>
      </c>
      <c r="F435" s="50">
        <v>0.39</v>
      </c>
      <c r="G435" s="50">
        <v>0.15</v>
      </c>
      <c r="H435" s="50">
        <v>0.38490743662900001</v>
      </c>
      <c r="I435" s="50">
        <v>0.48829287047999997</v>
      </c>
      <c r="J435" s="50">
        <v>0.28152200277799999</v>
      </c>
      <c r="K435" s="50">
        <v>561.24</v>
      </c>
      <c r="L435" s="50">
        <v>554.76</v>
      </c>
      <c r="M435" s="50">
        <v>559.21</v>
      </c>
      <c r="N435" s="66">
        <f t="shared" si="48"/>
        <v>1.5915309096761257E-3</v>
      </c>
      <c r="O435" s="66">
        <f t="shared" si="49"/>
        <v>4.3168040628744096E-2</v>
      </c>
      <c r="P435" s="4">
        <f t="shared" si="50"/>
        <v>0.15</v>
      </c>
      <c r="Q435" s="4">
        <f t="shared" si="51"/>
        <v>0.10749999999999998</v>
      </c>
      <c r="R435" s="66">
        <f t="shared" si="52"/>
        <v>1.5915309096761257E-3</v>
      </c>
      <c r="S435" s="66">
        <f t="shared" si="53"/>
        <v>4.3168040628744096E-2</v>
      </c>
      <c r="T435" s="50">
        <f t="shared" si="54"/>
        <v>1</v>
      </c>
      <c r="U435" s="50">
        <f t="shared" si="55"/>
        <v>1</v>
      </c>
    </row>
    <row r="436" spans="1:21" x14ac:dyDescent="0.2">
      <c r="A436" s="38">
        <v>34935</v>
      </c>
      <c r="B436" s="4">
        <v>0.35</v>
      </c>
      <c r="C436" s="4">
        <v>0.28000000000000003</v>
      </c>
      <c r="D436" s="4">
        <v>0.37</v>
      </c>
      <c r="E436" s="50">
        <v>1</v>
      </c>
      <c r="F436" s="50">
        <v>0.39</v>
      </c>
      <c r="G436" s="50">
        <v>-0.02</v>
      </c>
      <c r="H436" s="50">
        <v>0.38490743662900001</v>
      </c>
      <c r="I436" s="50">
        <v>0.48829287047999997</v>
      </c>
      <c r="J436" s="50">
        <v>0.28152200277799999</v>
      </c>
      <c r="K436" s="50">
        <v>563.34</v>
      </c>
      <c r="L436" s="50">
        <v>555.20000000000005</v>
      </c>
      <c r="M436" s="50">
        <v>560.1</v>
      </c>
      <c r="N436" s="66">
        <f t="shared" si="48"/>
        <v>6.6773790394572558E-3</v>
      </c>
      <c r="O436" s="66">
        <f t="shared" si="49"/>
        <v>3.8618103910016056E-2</v>
      </c>
      <c r="P436" s="4">
        <f t="shared" si="50"/>
        <v>-2.0000000000000018E-2</v>
      </c>
      <c r="Q436" s="4">
        <f t="shared" si="51"/>
        <v>8.249999999999999E-2</v>
      </c>
      <c r="R436" s="66">
        <f t="shared" si="52"/>
        <v>6.6773790394572558E-3</v>
      </c>
      <c r="S436" s="66">
        <f t="shared" si="53"/>
        <v>3.8618103910016056E-2</v>
      </c>
      <c r="T436" s="50">
        <f t="shared" si="54"/>
        <v>1</v>
      </c>
      <c r="U436" s="50">
        <f t="shared" si="55"/>
        <v>1</v>
      </c>
    </row>
    <row r="437" spans="1:21" x14ac:dyDescent="0.2">
      <c r="A437" s="38">
        <v>34942</v>
      </c>
      <c r="B437" s="4">
        <v>0.38</v>
      </c>
      <c r="C437" s="4">
        <v>0.42</v>
      </c>
      <c r="D437" s="4">
        <v>0.2</v>
      </c>
      <c r="E437" s="50">
        <v>1</v>
      </c>
      <c r="F437" s="50">
        <v>0.39374999999999999</v>
      </c>
      <c r="G437" s="50">
        <v>0.18</v>
      </c>
      <c r="H437" s="50">
        <v>0.38490743662900001</v>
      </c>
      <c r="I437" s="50">
        <v>0.48829287047999997</v>
      </c>
      <c r="J437" s="50">
        <v>0.28152200277799999</v>
      </c>
      <c r="K437" s="50">
        <v>564.62</v>
      </c>
      <c r="L437" s="50">
        <v>555.71</v>
      </c>
      <c r="M437" s="50">
        <v>563.84</v>
      </c>
      <c r="N437" s="66">
        <f t="shared" si="48"/>
        <v>1.5678206583427778E-2</v>
      </c>
      <c r="O437" s="66">
        <f t="shared" si="49"/>
        <v>3.6481980703745628E-2</v>
      </c>
      <c r="P437" s="4">
        <f t="shared" si="50"/>
        <v>0.18</v>
      </c>
      <c r="Q437" s="4">
        <f t="shared" si="51"/>
        <v>0.10249999999999999</v>
      </c>
      <c r="R437" s="66">
        <f t="shared" si="52"/>
        <v>1.5678206583427778E-2</v>
      </c>
      <c r="S437" s="66">
        <f t="shared" si="53"/>
        <v>3.6481980703745628E-2</v>
      </c>
      <c r="T437" s="50">
        <f t="shared" si="54"/>
        <v>1</v>
      </c>
      <c r="U437" s="50">
        <f t="shared" si="55"/>
        <v>1</v>
      </c>
    </row>
    <row r="438" spans="1:21" x14ac:dyDescent="0.2">
      <c r="A438" s="38">
        <v>34949</v>
      </c>
      <c r="B438" s="4">
        <v>0.37</v>
      </c>
      <c r="C438" s="4">
        <v>0.36</v>
      </c>
      <c r="D438" s="4">
        <v>0.27</v>
      </c>
      <c r="E438" s="50">
        <v>1</v>
      </c>
      <c r="F438" s="50">
        <v>0.38500000000000001</v>
      </c>
      <c r="G438" s="50">
        <v>0.1</v>
      </c>
      <c r="H438" s="50">
        <v>0.38490743662900001</v>
      </c>
      <c r="I438" s="50">
        <v>0.48829287047999997</v>
      </c>
      <c r="J438" s="50">
        <v>0.28152200277799999</v>
      </c>
      <c r="K438" s="50">
        <v>572.67999999999995</v>
      </c>
      <c r="L438" s="50">
        <v>563.84</v>
      </c>
      <c r="M438" s="50">
        <v>572.67999999999995</v>
      </c>
      <c r="N438" s="66">
        <f t="shared" si="48"/>
        <v>1.8631696584480117E-2</v>
      </c>
      <c r="O438" s="66">
        <f t="shared" si="49"/>
        <v>1.7129985332122757E-2</v>
      </c>
      <c r="P438" s="4">
        <f t="shared" si="50"/>
        <v>9.9999999999999978E-2</v>
      </c>
      <c r="Q438" s="4">
        <f t="shared" si="51"/>
        <v>0.10249999999999998</v>
      </c>
      <c r="R438" s="66">
        <f t="shared" si="52"/>
        <v>1.8631696584480117E-2</v>
      </c>
      <c r="S438" s="66">
        <f t="shared" si="53"/>
        <v>1.7129985332122757E-2</v>
      </c>
      <c r="T438" s="50">
        <f t="shared" si="54"/>
        <v>1</v>
      </c>
      <c r="U438" s="50">
        <f t="shared" si="55"/>
        <v>1</v>
      </c>
    </row>
    <row r="439" spans="1:21" x14ac:dyDescent="0.2">
      <c r="A439" s="38">
        <v>34956</v>
      </c>
      <c r="B439" s="4">
        <v>0.46</v>
      </c>
      <c r="C439" s="4">
        <v>0.32</v>
      </c>
      <c r="D439" s="4">
        <v>0.22</v>
      </c>
      <c r="E439" s="50">
        <v>1</v>
      </c>
      <c r="F439" s="50">
        <v>0.38874999999999998</v>
      </c>
      <c r="G439" s="50">
        <v>0.24</v>
      </c>
      <c r="H439" s="50">
        <v>0.38490743662900001</v>
      </c>
      <c r="I439" s="50">
        <v>0.48829287047999997</v>
      </c>
      <c r="J439" s="50">
        <v>0.28152200277799999</v>
      </c>
      <c r="K439" s="50">
        <v>585.07000000000005</v>
      </c>
      <c r="L439" s="50">
        <v>572.67999999999995</v>
      </c>
      <c r="M439" s="50">
        <v>583.35</v>
      </c>
      <c r="N439" s="66">
        <f t="shared" si="48"/>
        <v>-2.7770635124710801E-3</v>
      </c>
      <c r="O439" s="66">
        <f t="shared" si="49"/>
        <v>1.9713722465072034E-3</v>
      </c>
      <c r="P439" s="4">
        <f t="shared" si="50"/>
        <v>0.24000000000000002</v>
      </c>
      <c r="Q439" s="4">
        <f t="shared" si="51"/>
        <v>0.125</v>
      </c>
      <c r="R439" s="66">
        <f t="shared" si="52"/>
        <v>-2.7770635124710801E-3</v>
      </c>
      <c r="S439" s="66">
        <f t="shared" si="53"/>
        <v>1.9713722465072034E-3</v>
      </c>
      <c r="T439" s="50" t="str">
        <f t="shared" si="54"/>
        <v/>
      </c>
      <c r="U439" s="50">
        <f t="shared" si="55"/>
        <v>1</v>
      </c>
    </row>
    <row r="440" spans="1:21" x14ac:dyDescent="0.2">
      <c r="A440" s="38">
        <v>34963</v>
      </c>
      <c r="B440" s="4">
        <v>0.46</v>
      </c>
      <c r="C440" s="4">
        <v>0.25</v>
      </c>
      <c r="D440" s="4">
        <v>0.28999999999999998</v>
      </c>
      <c r="E440" s="50">
        <v>1</v>
      </c>
      <c r="F440" s="50">
        <v>0.39500000000000002</v>
      </c>
      <c r="G440" s="50">
        <v>0.17</v>
      </c>
      <c r="H440" s="50">
        <v>0.38490743662900001</v>
      </c>
      <c r="I440" s="50">
        <v>0.48829287047999997</v>
      </c>
      <c r="J440" s="50">
        <v>0.28152200277799999</v>
      </c>
      <c r="K440" s="50">
        <v>586.79</v>
      </c>
      <c r="L440" s="50">
        <v>578.25</v>
      </c>
      <c r="M440" s="50">
        <v>581.73</v>
      </c>
      <c r="N440" s="66">
        <f t="shared" si="48"/>
        <v>4.6069482405926288E-3</v>
      </c>
      <c r="O440" s="66">
        <f t="shared" si="49"/>
        <v>9.8499303800732609E-3</v>
      </c>
      <c r="P440" s="4">
        <f t="shared" si="50"/>
        <v>0.17000000000000004</v>
      </c>
      <c r="Q440" s="4">
        <f t="shared" si="51"/>
        <v>0.17250000000000001</v>
      </c>
      <c r="R440" s="66">
        <f t="shared" si="52"/>
        <v>4.6069482405926288E-3</v>
      </c>
      <c r="S440" s="66">
        <f t="shared" si="53"/>
        <v>9.8499303800732609E-3</v>
      </c>
      <c r="T440" s="50">
        <f t="shared" si="54"/>
        <v>1</v>
      </c>
      <c r="U440" s="50">
        <f t="shared" si="55"/>
        <v>1</v>
      </c>
    </row>
    <row r="441" spans="1:21" x14ac:dyDescent="0.2">
      <c r="A441" s="38">
        <v>34970</v>
      </c>
      <c r="B441" s="4">
        <v>0.42</v>
      </c>
      <c r="C441" s="4">
        <v>0.27</v>
      </c>
      <c r="D441" s="4">
        <v>0.31</v>
      </c>
      <c r="E441" s="50">
        <v>1</v>
      </c>
      <c r="F441" s="50">
        <v>0.4</v>
      </c>
      <c r="G441" s="50">
        <v>0.11</v>
      </c>
      <c r="H441" s="50">
        <v>0.38490743662900001</v>
      </c>
      <c r="I441" s="50">
        <v>0.48829287047999997</v>
      </c>
      <c r="J441" s="50">
        <v>0.28152200277799999</v>
      </c>
      <c r="K441" s="50">
        <v>587.61</v>
      </c>
      <c r="L441" s="50">
        <v>574.67999999999995</v>
      </c>
      <c r="M441" s="50">
        <v>584.41</v>
      </c>
      <c r="N441" s="66">
        <f t="shared" si="48"/>
        <v>-3.2853647268184308E-3</v>
      </c>
      <c r="O441" s="66">
        <f t="shared" si="49"/>
        <v>-8.0594103454765028E-3</v>
      </c>
      <c r="P441" s="4">
        <f t="shared" si="50"/>
        <v>0.10999999999999999</v>
      </c>
      <c r="Q441" s="4">
        <f t="shared" si="51"/>
        <v>0.155</v>
      </c>
      <c r="R441" s="66">
        <f t="shared" si="52"/>
        <v>-3.2853647268184308E-3</v>
      </c>
      <c r="S441" s="66">
        <f t="shared" si="53"/>
        <v>-8.0594103454765028E-3</v>
      </c>
      <c r="T441" s="50" t="str">
        <f t="shared" si="54"/>
        <v/>
      </c>
      <c r="U441" s="50" t="str">
        <f t="shared" si="55"/>
        <v/>
      </c>
    </row>
    <row r="442" spans="1:21" x14ac:dyDescent="0.2">
      <c r="A442" s="38">
        <v>34977</v>
      </c>
      <c r="B442" s="4">
        <v>0.39</v>
      </c>
      <c r="C442" s="4">
        <v>0.37</v>
      </c>
      <c r="D442" s="4">
        <v>0.24</v>
      </c>
      <c r="E442" s="50">
        <v>1</v>
      </c>
      <c r="F442" s="50">
        <v>0.39874999999999999</v>
      </c>
      <c r="G442" s="50">
        <v>0.15</v>
      </c>
      <c r="H442" s="50">
        <v>0.38490743662900001</v>
      </c>
      <c r="I442" s="50">
        <v>0.48829287047999997</v>
      </c>
      <c r="J442" s="50">
        <v>0.28152200277799999</v>
      </c>
      <c r="K442" s="50">
        <v>585.04999999999995</v>
      </c>
      <c r="L442" s="50">
        <v>578.48</v>
      </c>
      <c r="M442" s="50">
        <v>582.49</v>
      </c>
      <c r="N442" s="66">
        <f t="shared" si="48"/>
        <v>3.4507030163607802E-3</v>
      </c>
      <c r="O442" s="66">
        <f t="shared" si="49"/>
        <v>1.3871482772236503E-2</v>
      </c>
      <c r="P442" s="4">
        <f t="shared" si="50"/>
        <v>0.15000000000000002</v>
      </c>
      <c r="Q442" s="4">
        <f t="shared" si="51"/>
        <v>0.16750000000000001</v>
      </c>
      <c r="R442" s="66">
        <f t="shared" si="52"/>
        <v>3.4507030163607802E-3</v>
      </c>
      <c r="S442" s="66">
        <f t="shared" si="53"/>
        <v>1.3871482772236503E-2</v>
      </c>
      <c r="T442" s="50">
        <f t="shared" si="54"/>
        <v>1</v>
      </c>
      <c r="U442" s="50">
        <f t="shared" si="55"/>
        <v>1</v>
      </c>
    </row>
    <row r="443" spans="1:21" x14ac:dyDescent="0.2">
      <c r="A443" s="38">
        <v>34984</v>
      </c>
      <c r="B443" s="4">
        <v>0.41</v>
      </c>
      <c r="C443" s="4">
        <v>0.3</v>
      </c>
      <c r="D443" s="4">
        <v>0.28999999999999998</v>
      </c>
      <c r="E443" s="50">
        <v>1</v>
      </c>
      <c r="F443" s="50">
        <v>0.40500000000000003</v>
      </c>
      <c r="G443" s="50">
        <v>0.12</v>
      </c>
      <c r="H443" s="50">
        <v>0.38490743662900001</v>
      </c>
      <c r="I443" s="50">
        <v>0.48829287047999997</v>
      </c>
      <c r="J443" s="50">
        <v>0.28152200277799999</v>
      </c>
      <c r="K443" s="50">
        <v>587.39</v>
      </c>
      <c r="L443" s="50">
        <v>571.54999999999995</v>
      </c>
      <c r="M443" s="50">
        <v>584.5</v>
      </c>
      <c r="N443" s="66">
        <f t="shared" si="48"/>
        <v>5.0641573994868027E-3</v>
      </c>
      <c r="O443" s="66">
        <f t="shared" si="49"/>
        <v>1.4063301967493631E-2</v>
      </c>
      <c r="P443" s="4">
        <f t="shared" si="50"/>
        <v>0.12</v>
      </c>
      <c r="Q443" s="4">
        <f t="shared" si="51"/>
        <v>0.13750000000000001</v>
      </c>
      <c r="R443" s="66">
        <f t="shared" si="52"/>
        <v>5.0641573994868027E-3</v>
      </c>
      <c r="S443" s="66">
        <f t="shared" si="53"/>
        <v>1.4063301967493631E-2</v>
      </c>
      <c r="T443" s="50">
        <f t="shared" si="54"/>
        <v>1</v>
      </c>
      <c r="U443" s="50">
        <f t="shared" si="55"/>
        <v>1</v>
      </c>
    </row>
    <row r="444" spans="1:21" x14ac:dyDescent="0.2">
      <c r="A444" s="38">
        <v>34991</v>
      </c>
      <c r="B444" s="4">
        <v>0.47</v>
      </c>
      <c r="C444" s="4">
        <v>0.32</v>
      </c>
      <c r="D444" s="4">
        <v>0.21</v>
      </c>
      <c r="E444" s="50">
        <v>1</v>
      </c>
      <c r="F444" s="50">
        <v>0.42</v>
      </c>
      <c r="G444" s="50">
        <v>0.26</v>
      </c>
      <c r="H444" s="50">
        <v>0.38490743662900001</v>
      </c>
      <c r="I444" s="50">
        <v>0.48829287047999997</v>
      </c>
      <c r="J444" s="50">
        <v>0.28152200277799999</v>
      </c>
      <c r="K444" s="50">
        <v>590.66</v>
      </c>
      <c r="L444" s="50">
        <v>581.9</v>
      </c>
      <c r="M444" s="50">
        <v>587.46</v>
      </c>
      <c r="N444" s="66">
        <f t="shared" si="48"/>
        <v>-1.3209410002383125E-2</v>
      </c>
      <c r="O444" s="66">
        <f t="shared" si="49"/>
        <v>2.1465291253872625E-2</v>
      </c>
      <c r="P444" s="4">
        <f t="shared" si="50"/>
        <v>0.26</v>
      </c>
      <c r="Q444" s="4">
        <f t="shared" si="51"/>
        <v>0.16</v>
      </c>
      <c r="R444" s="66">
        <f t="shared" si="52"/>
        <v>-1.3209410002383125E-2</v>
      </c>
      <c r="S444" s="66">
        <f t="shared" si="53"/>
        <v>2.1465291253872625E-2</v>
      </c>
      <c r="T444" s="50" t="str">
        <f t="shared" si="54"/>
        <v/>
      </c>
      <c r="U444" s="50">
        <f t="shared" si="55"/>
        <v>1</v>
      </c>
    </row>
    <row r="445" spans="1:21" x14ac:dyDescent="0.2">
      <c r="A445" s="38">
        <v>34998</v>
      </c>
      <c r="B445" s="4">
        <v>0.46</v>
      </c>
      <c r="C445" s="4">
        <v>0.33</v>
      </c>
      <c r="D445" s="4">
        <v>0.21</v>
      </c>
      <c r="E445" s="50">
        <v>1</v>
      </c>
      <c r="F445" s="50">
        <v>0.43</v>
      </c>
      <c r="G445" s="50">
        <v>0.25</v>
      </c>
      <c r="H445" s="50">
        <v>0.38490743662900001</v>
      </c>
      <c r="I445" s="50">
        <v>0.48829287047999997</v>
      </c>
      <c r="J445" s="50">
        <v>0.28152200277799999</v>
      </c>
      <c r="K445" s="50">
        <v>587.46</v>
      </c>
      <c r="L445" s="50">
        <v>572.53</v>
      </c>
      <c r="M445" s="50">
        <v>579.70000000000005</v>
      </c>
      <c r="N445" s="66">
        <f t="shared" si="48"/>
        <v>1.8751078143867523E-2</v>
      </c>
      <c r="O445" s="66">
        <f t="shared" si="49"/>
        <v>3.2258064516128913E-2</v>
      </c>
      <c r="P445" s="4">
        <f t="shared" si="50"/>
        <v>0.25</v>
      </c>
      <c r="Q445" s="4">
        <f t="shared" si="51"/>
        <v>0.19500000000000001</v>
      </c>
      <c r="R445" s="66">
        <f t="shared" si="52"/>
        <v>1.8751078143867523E-2</v>
      </c>
      <c r="S445" s="66">
        <f t="shared" si="53"/>
        <v>3.2258064516128913E-2</v>
      </c>
      <c r="T445" s="50">
        <f t="shared" si="54"/>
        <v>1</v>
      </c>
      <c r="U445" s="50">
        <f t="shared" si="55"/>
        <v>1</v>
      </c>
    </row>
    <row r="446" spans="1:21" x14ac:dyDescent="0.2">
      <c r="A446" s="38">
        <v>35005</v>
      </c>
      <c r="B446" s="4">
        <v>0.47</v>
      </c>
      <c r="C446" s="4">
        <v>0.34</v>
      </c>
      <c r="D446" s="4">
        <v>0.19</v>
      </c>
      <c r="E446" s="50">
        <v>1</v>
      </c>
      <c r="F446" s="50">
        <v>0.4425</v>
      </c>
      <c r="G446" s="50">
        <v>0.28000000000000003</v>
      </c>
      <c r="H446" s="50">
        <v>0.38490743662900001</v>
      </c>
      <c r="I446" s="50">
        <v>0.48829287047999997</v>
      </c>
      <c r="J446" s="50">
        <v>0.28152200277799999</v>
      </c>
      <c r="K446" s="50">
        <v>590.57000000000005</v>
      </c>
      <c r="L446" s="50">
        <v>579.70000000000005</v>
      </c>
      <c r="M446" s="50">
        <v>590.57000000000005</v>
      </c>
      <c r="N446" s="66">
        <f t="shared" si="48"/>
        <v>3.6405506544524395E-3</v>
      </c>
      <c r="O446" s="66">
        <f t="shared" si="49"/>
        <v>2.7786714530030253E-2</v>
      </c>
      <c r="P446" s="4">
        <f t="shared" si="50"/>
        <v>0.27999999999999997</v>
      </c>
      <c r="Q446" s="4">
        <f t="shared" si="51"/>
        <v>0.22749999999999998</v>
      </c>
      <c r="R446" s="66">
        <f t="shared" si="52"/>
        <v>3.6405506544524395E-3</v>
      </c>
      <c r="S446" s="66">
        <f t="shared" si="53"/>
        <v>2.7786714530030253E-2</v>
      </c>
      <c r="T446" s="50">
        <f t="shared" si="54"/>
        <v>1</v>
      </c>
      <c r="U446" s="50">
        <f t="shared" si="55"/>
        <v>1</v>
      </c>
    </row>
    <row r="447" spans="1:21" x14ac:dyDescent="0.2">
      <c r="A447" s="38">
        <v>35012</v>
      </c>
      <c r="B447" s="4">
        <v>0.49</v>
      </c>
      <c r="C447" s="4">
        <v>0.35</v>
      </c>
      <c r="D447" s="4">
        <v>0.16</v>
      </c>
      <c r="E447" s="50">
        <v>1</v>
      </c>
      <c r="F447" s="50">
        <v>0.44624999999999998</v>
      </c>
      <c r="G447" s="50">
        <v>0.33</v>
      </c>
      <c r="H447" s="50">
        <v>0.38490743662900001</v>
      </c>
      <c r="I447" s="50">
        <v>0.48829287047999997</v>
      </c>
      <c r="J447" s="50">
        <v>0.28152200277799999</v>
      </c>
      <c r="K447" s="50">
        <v>593.9</v>
      </c>
      <c r="L447" s="50">
        <v>584.24</v>
      </c>
      <c r="M447" s="50">
        <v>592.72</v>
      </c>
      <c r="N447" s="66">
        <f t="shared" si="48"/>
        <v>1.240045890133625E-2</v>
      </c>
      <c r="O447" s="66">
        <f t="shared" si="49"/>
        <v>4.1773518693480886E-2</v>
      </c>
      <c r="P447" s="4">
        <f t="shared" si="50"/>
        <v>0.32999999999999996</v>
      </c>
      <c r="Q447" s="4">
        <f t="shared" si="51"/>
        <v>0.28000000000000003</v>
      </c>
      <c r="R447" s="66">
        <f t="shared" si="52"/>
        <v>1.240045890133625E-2</v>
      </c>
      <c r="S447" s="66">
        <f t="shared" si="53"/>
        <v>4.1773518693480886E-2</v>
      </c>
      <c r="T447" s="50">
        <f t="shared" si="54"/>
        <v>1</v>
      </c>
      <c r="U447" s="50">
        <f t="shared" si="55"/>
        <v>1</v>
      </c>
    </row>
    <row r="448" spans="1:21" x14ac:dyDescent="0.2">
      <c r="A448" s="38">
        <v>35019</v>
      </c>
      <c r="B448" s="4">
        <v>0.46</v>
      </c>
      <c r="C448" s="4">
        <v>0.31</v>
      </c>
      <c r="D448" s="4">
        <v>0.23</v>
      </c>
      <c r="E448" s="50">
        <v>1</v>
      </c>
      <c r="F448" s="50">
        <v>0.44624999999999998</v>
      </c>
      <c r="G448" s="50">
        <v>0.23</v>
      </c>
      <c r="H448" s="50">
        <v>0.38490743662900001</v>
      </c>
      <c r="I448" s="50">
        <v>0.48829287047999997</v>
      </c>
      <c r="J448" s="50">
        <v>0.28152200277799999</v>
      </c>
      <c r="K448" s="50">
        <v>600.14</v>
      </c>
      <c r="L448" s="50">
        <v>588.36</v>
      </c>
      <c r="M448" s="50">
        <v>600.07000000000005</v>
      </c>
      <c r="N448" s="66">
        <f t="shared" si="48"/>
        <v>-2.7830086489910723E-3</v>
      </c>
      <c r="O448" s="66">
        <f t="shared" si="49"/>
        <v>2.7113503424600432E-2</v>
      </c>
      <c r="P448" s="4">
        <f t="shared" si="50"/>
        <v>0.23</v>
      </c>
      <c r="Q448" s="4">
        <f t="shared" si="51"/>
        <v>0.27250000000000002</v>
      </c>
      <c r="R448" s="66">
        <f t="shared" si="52"/>
        <v>-2.7830086489910723E-3</v>
      </c>
      <c r="S448" s="66">
        <f t="shared" si="53"/>
        <v>2.7113503424600432E-2</v>
      </c>
      <c r="T448" s="50" t="str">
        <f t="shared" si="54"/>
        <v/>
      </c>
      <c r="U448" s="50">
        <f t="shared" si="55"/>
        <v>1</v>
      </c>
    </row>
    <row r="449" spans="1:21" x14ac:dyDescent="0.2">
      <c r="A449" s="38">
        <v>35025</v>
      </c>
      <c r="B449" s="4">
        <v>0.48</v>
      </c>
      <c r="C449" s="4">
        <v>0.18</v>
      </c>
      <c r="D449" s="4">
        <v>0.34</v>
      </c>
      <c r="E449" s="50">
        <v>1</v>
      </c>
      <c r="F449" s="50">
        <v>0.45374999999999999</v>
      </c>
      <c r="G449" s="50">
        <v>0.14000000000000001</v>
      </c>
      <c r="H449" s="50">
        <v>0.38490743662900001</v>
      </c>
      <c r="I449" s="50">
        <v>0.48829287047999997</v>
      </c>
      <c r="J449" s="50">
        <v>0.28152200277799999</v>
      </c>
      <c r="K449" s="50">
        <v>600.71</v>
      </c>
      <c r="L449" s="50">
        <v>595.41999999999996</v>
      </c>
      <c r="M449" s="50">
        <v>598.4</v>
      </c>
      <c r="N449" s="66">
        <f t="shared" si="48"/>
        <v>1.4338235294117716E-2</v>
      </c>
      <c r="O449" s="66">
        <f t="shared" si="49"/>
        <v>2.2660427807486731E-2</v>
      </c>
      <c r="P449" s="4">
        <f t="shared" si="50"/>
        <v>0.13999999999999996</v>
      </c>
      <c r="Q449" s="4">
        <f t="shared" si="51"/>
        <v>0.24499999999999994</v>
      </c>
      <c r="R449" s="66">
        <f t="shared" si="52"/>
        <v>1.4338235294117716E-2</v>
      </c>
      <c r="S449" s="66">
        <f t="shared" si="53"/>
        <v>2.2660427807486731E-2</v>
      </c>
      <c r="T449" s="50">
        <f t="shared" si="54"/>
        <v>1</v>
      </c>
      <c r="U449" s="50">
        <f t="shared" si="55"/>
        <v>1</v>
      </c>
    </row>
    <row r="450" spans="1:21" x14ac:dyDescent="0.2">
      <c r="A450" s="38">
        <v>35033</v>
      </c>
      <c r="B450" s="4">
        <v>0.51</v>
      </c>
      <c r="C450" s="4">
        <v>0.3</v>
      </c>
      <c r="D450" s="4">
        <v>0.19</v>
      </c>
      <c r="E450" s="50">
        <v>1</v>
      </c>
      <c r="F450" s="50">
        <v>0.46875</v>
      </c>
      <c r="G450" s="50">
        <v>0.32</v>
      </c>
      <c r="H450" s="50">
        <v>0.38490743662900001</v>
      </c>
      <c r="I450" s="50">
        <v>0.48829287047999997</v>
      </c>
      <c r="J450" s="50">
        <v>0.28152200277799999</v>
      </c>
      <c r="K450" s="50">
        <v>608.69000000000005</v>
      </c>
      <c r="L450" s="50">
        <v>599.02</v>
      </c>
      <c r="M450" s="50">
        <v>606.98</v>
      </c>
      <c r="N450" s="66">
        <f t="shared" si="48"/>
        <v>1.7298757784441003E-2</v>
      </c>
      <c r="O450" s="66">
        <f t="shared" si="49"/>
        <v>1.4745131635309123E-2</v>
      </c>
      <c r="P450" s="4">
        <f t="shared" si="50"/>
        <v>0.32</v>
      </c>
      <c r="Q450" s="4">
        <f t="shared" si="51"/>
        <v>0.255</v>
      </c>
      <c r="R450" s="66">
        <f t="shared" si="52"/>
        <v>1.7298757784441003E-2</v>
      </c>
      <c r="S450" s="66">
        <f t="shared" si="53"/>
        <v>1.4745131635309123E-2</v>
      </c>
      <c r="T450" s="50">
        <f t="shared" si="54"/>
        <v>1</v>
      </c>
      <c r="U450" s="50">
        <f t="shared" si="55"/>
        <v>1</v>
      </c>
    </row>
    <row r="451" spans="1:21" x14ac:dyDescent="0.2">
      <c r="A451" s="38">
        <v>35040</v>
      </c>
      <c r="B451" s="4">
        <v>0.48</v>
      </c>
      <c r="C451" s="4">
        <v>0.28000000000000003</v>
      </c>
      <c r="D451" s="4">
        <v>0.24</v>
      </c>
      <c r="E451" s="50">
        <v>1</v>
      </c>
      <c r="F451" s="50">
        <v>0.47749999999999998</v>
      </c>
      <c r="G451" s="50">
        <v>0.24</v>
      </c>
      <c r="H451" s="50">
        <v>0.38490743662900001</v>
      </c>
      <c r="I451" s="50">
        <v>0.48829287047999997</v>
      </c>
      <c r="J451" s="50">
        <v>0.28152200277799999</v>
      </c>
      <c r="K451" s="50">
        <v>621.11</v>
      </c>
      <c r="L451" s="50">
        <v>606.85</v>
      </c>
      <c r="M451" s="50">
        <v>617.48</v>
      </c>
      <c r="N451" s="66">
        <f t="shared" si="48"/>
        <v>-1.8462136425471049E-3</v>
      </c>
      <c r="O451" s="66">
        <f t="shared" si="49"/>
        <v>-1.2470039515449598E-3</v>
      </c>
      <c r="P451" s="4">
        <f t="shared" si="50"/>
        <v>0.24</v>
      </c>
      <c r="Q451" s="4">
        <f t="shared" si="51"/>
        <v>0.23249999999999998</v>
      </c>
      <c r="R451" s="66">
        <f t="shared" si="52"/>
        <v>-1.8462136425471049E-3</v>
      </c>
      <c r="S451" s="66">
        <f t="shared" si="53"/>
        <v>-1.2470039515449598E-3</v>
      </c>
      <c r="T451" s="50" t="str">
        <f t="shared" si="54"/>
        <v/>
      </c>
      <c r="U451" s="50" t="str">
        <f t="shared" si="55"/>
        <v/>
      </c>
    </row>
    <row r="452" spans="1:21" x14ac:dyDescent="0.2">
      <c r="A452" s="38">
        <v>35047</v>
      </c>
      <c r="B452" s="4">
        <v>0.51</v>
      </c>
      <c r="C452" s="4">
        <v>0.23</v>
      </c>
      <c r="D452" s="4">
        <v>0.26</v>
      </c>
      <c r="E452" s="50">
        <v>1</v>
      </c>
      <c r="F452" s="50">
        <v>0.48249999999999998</v>
      </c>
      <c r="G452" s="50">
        <v>0.25</v>
      </c>
      <c r="H452" s="50">
        <v>0.38490743662900001</v>
      </c>
      <c r="I452" s="50">
        <v>0.48829287047999997</v>
      </c>
      <c r="J452" s="50">
        <v>0.28152200277799999</v>
      </c>
      <c r="K452" s="50">
        <v>621.69000000000005</v>
      </c>
      <c r="L452" s="50">
        <v>616.34</v>
      </c>
      <c r="M452" s="50">
        <v>616.34</v>
      </c>
      <c r="N452" s="66">
        <f t="shared" si="48"/>
        <v>-7.1064672096570001E-3</v>
      </c>
      <c r="O452" s="66">
        <f t="shared" si="49"/>
        <v>-2.3574650355323499E-2</v>
      </c>
      <c r="P452" s="4">
        <f t="shared" si="50"/>
        <v>0.25</v>
      </c>
      <c r="Q452" s="4">
        <f t="shared" si="51"/>
        <v>0.23749999999999999</v>
      </c>
      <c r="R452" s="66">
        <f t="shared" si="52"/>
        <v>-7.1064672096570001E-3</v>
      </c>
      <c r="S452" s="66">
        <f t="shared" si="53"/>
        <v>-2.3574650355323499E-2</v>
      </c>
      <c r="T452" s="50" t="str">
        <f t="shared" si="54"/>
        <v/>
      </c>
      <c r="U452" s="50" t="str">
        <f t="shared" si="55"/>
        <v/>
      </c>
    </row>
    <row r="453" spans="1:21" x14ac:dyDescent="0.2">
      <c r="A453" s="38">
        <v>35054</v>
      </c>
      <c r="B453" s="4">
        <v>0.48</v>
      </c>
      <c r="C453" s="4">
        <v>0.28000000000000003</v>
      </c>
      <c r="D453" s="4">
        <v>0.24</v>
      </c>
      <c r="E453" s="50">
        <v>1</v>
      </c>
      <c r="F453" s="50">
        <v>0.48499999999999999</v>
      </c>
      <c r="G453" s="50">
        <v>0.24</v>
      </c>
      <c r="H453" s="50">
        <v>0.38490743662900001</v>
      </c>
      <c r="I453" s="50">
        <v>0.48829287047999997</v>
      </c>
      <c r="J453" s="50">
        <v>0.28152200277799999</v>
      </c>
      <c r="K453" s="50">
        <v>616.34</v>
      </c>
      <c r="L453" s="50">
        <v>605.04999999999995</v>
      </c>
      <c r="M453" s="50">
        <v>611.96</v>
      </c>
      <c r="N453" s="66">
        <f t="shared" si="48"/>
        <v>6.4873521145171475E-3</v>
      </c>
      <c r="O453" s="66">
        <f t="shared" si="49"/>
        <v>-2.1243218511013049E-4</v>
      </c>
      <c r="P453" s="4">
        <f t="shared" si="50"/>
        <v>0.24</v>
      </c>
      <c r="Q453" s="4">
        <f t="shared" si="51"/>
        <v>0.26250000000000001</v>
      </c>
      <c r="R453" s="66">
        <f t="shared" si="52"/>
        <v>6.4873521145171475E-3</v>
      </c>
      <c r="S453" s="66">
        <f t="shared" si="53"/>
        <v>-2.1243218511013049E-4</v>
      </c>
      <c r="T453" s="50">
        <f t="shared" si="54"/>
        <v>1</v>
      </c>
      <c r="U453" s="50" t="str">
        <f t="shared" si="55"/>
        <v/>
      </c>
    </row>
    <row r="454" spans="1:21" x14ac:dyDescent="0.2">
      <c r="A454" s="38">
        <v>35061</v>
      </c>
      <c r="B454" s="4">
        <v>0.46</v>
      </c>
      <c r="C454" s="4">
        <v>0.34</v>
      </c>
      <c r="D454" s="4">
        <v>0.2</v>
      </c>
      <c r="E454" s="50">
        <v>1</v>
      </c>
      <c r="F454" s="50">
        <v>0.48375000000000001</v>
      </c>
      <c r="G454" s="50">
        <v>0.26</v>
      </c>
      <c r="H454" s="50">
        <v>0.38490743662900001</v>
      </c>
      <c r="I454" s="50">
        <v>0.48829287047999997</v>
      </c>
      <c r="J454" s="50">
        <v>0.28152200277799999</v>
      </c>
      <c r="K454" s="50">
        <v>615.92999999999995</v>
      </c>
      <c r="L454" s="50">
        <v>611.96</v>
      </c>
      <c r="M454" s="50">
        <v>615.92999999999995</v>
      </c>
      <c r="N454" s="66">
        <f t="shared" si="48"/>
        <v>1.2663776727876324E-3</v>
      </c>
      <c r="O454" s="66">
        <f t="shared" si="49"/>
        <v>9.2380627668729488E-3</v>
      </c>
      <c r="P454" s="4">
        <f t="shared" si="50"/>
        <v>0.26</v>
      </c>
      <c r="Q454" s="4">
        <f t="shared" si="51"/>
        <v>0.2475</v>
      </c>
      <c r="R454" s="66">
        <f t="shared" si="52"/>
        <v>1.2663776727876324E-3</v>
      </c>
      <c r="S454" s="66">
        <f t="shared" si="53"/>
        <v>9.2380627668729488E-3</v>
      </c>
      <c r="T454" s="50">
        <f t="shared" si="54"/>
        <v>1</v>
      </c>
      <c r="U454" s="50">
        <f t="shared" si="55"/>
        <v>1</v>
      </c>
    </row>
    <row r="455" spans="1:21" x14ac:dyDescent="0.2">
      <c r="A455" s="38">
        <v>35068</v>
      </c>
      <c r="B455" s="4">
        <v>0.55000000000000004</v>
      </c>
      <c r="C455" s="4">
        <v>0.18</v>
      </c>
      <c r="D455" s="4">
        <v>0.27</v>
      </c>
      <c r="E455" s="50">
        <v>1</v>
      </c>
      <c r="F455" s="50">
        <v>0.49125000000000002</v>
      </c>
      <c r="G455" s="50">
        <v>0.28000000000000003</v>
      </c>
      <c r="H455" s="50">
        <v>0.38490743662900001</v>
      </c>
      <c r="I455" s="50">
        <v>0.48829287047999997</v>
      </c>
      <c r="J455" s="50">
        <v>0.28152200277799999</v>
      </c>
      <c r="K455" s="50">
        <v>624.52</v>
      </c>
      <c r="L455" s="50">
        <v>612.02</v>
      </c>
      <c r="M455" s="50">
        <v>616.71</v>
      </c>
      <c r="N455" s="66">
        <f t="shared" si="48"/>
        <v>-2.4160464399799079E-2</v>
      </c>
      <c r="O455" s="66">
        <f t="shared" si="49"/>
        <v>3.1019441877057279E-2</v>
      </c>
      <c r="P455" s="4">
        <f t="shared" si="50"/>
        <v>0.28000000000000003</v>
      </c>
      <c r="Q455" s="4">
        <f t="shared" si="51"/>
        <v>0.25750000000000001</v>
      </c>
      <c r="R455" s="66">
        <f t="shared" si="52"/>
        <v>-2.4160464399799079E-2</v>
      </c>
      <c r="S455" s="66">
        <f t="shared" si="53"/>
        <v>3.1019441877057279E-2</v>
      </c>
      <c r="T455" s="50" t="str">
        <f t="shared" si="54"/>
        <v/>
      </c>
      <c r="U455" s="50">
        <f t="shared" si="55"/>
        <v>1</v>
      </c>
    </row>
    <row r="456" spans="1:21" x14ac:dyDescent="0.2">
      <c r="A456" s="38">
        <v>35075</v>
      </c>
      <c r="H456" s="50">
        <v>0.386013987936</v>
      </c>
      <c r="I456" s="50">
        <v>0.48917782314500002</v>
      </c>
      <c r="J456" s="50">
        <v>0.282850152726</v>
      </c>
      <c r="K456" s="50">
        <v>619.15</v>
      </c>
      <c r="L456" s="50">
        <v>597.29</v>
      </c>
      <c r="M456" s="50">
        <v>601.80999999999995</v>
      </c>
      <c r="N456" s="66">
        <f t="shared" si="48"/>
        <v>1.664977318422774E-2</v>
      </c>
      <c r="O456" s="66">
        <f t="shared" si="49"/>
        <v>9.0659842807530727E-2</v>
      </c>
      <c r="P456" s="4">
        <f t="shared" si="50"/>
        <v>0</v>
      </c>
      <c r="Q456" s="4">
        <f t="shared" si="51"/>
        <v>0.19500000000000001</v>
      </c>
      <c r="R456" s="66">
        <f t="shared" si="52"/>
        <v>1.664977318422774E-2</v>
      </c>
      <c r="S456" s="66">
        <f t="shared" si="53"/>
        <v>9.0659842807530727E-2</v>
      </c>
      <c r="T456" s="50">
        <f t="shared" si="54"/>
        <v>1</v>
      </c>
      <c r="U456" s="50">
        <f t="shared" si="55"/>
        <v>1</v>
      </c>
    </row>
    <row r="457" spans="1:21" x14ac:dyDescent="0.2">
      <c r="A457" s="38">
        <v>35082</v>
      </c>
      <c r="B457" s="4">
        <v>0.42</v>
      </c>
      <c r="C457" s="4">
        <v>0.28999999999999998</v>
      </c>
      <c r="D457" s="4">
        <v>0.28999999999999998</v>
      </c>
      <c r="E457" s="50">
        <v>1</v>
      </c>
      <c r="G457" s="50">
        <v>0.13</v>
      </c>
      <c r="H457" s="50">
        <v>0.386013987936</v>
      </c>
      <c r="I457" s="50">
        <v>0.48917782314500002</v>
      </c>
      <c r="J457" s="50">
        <v>0.282850152726</v>
      </c>
      <c r="K457" s="50">
        <v>612.91999999999996</v>
      </c>
      <c r="L457" s="50">
        <v>598.47</v>
      </c>
      <c r="M457" s="50">
        <v>611.83000000000004</v>
      </c>
      <c r="N457" s="66">
        <f t="shared" si="48"/>
        <v>1.6001176797476362E-2</v>
      </c>
      <c r="O457" s="66">
        <f t="shared" si="49"/>
        <v>5.9085039962080928E-2</v>
      </c>
      <c r="P457" s="4">
        <f t="shared" si="50"/>
        <v>0.13</v>
      </c>
      <c r="Q457" s="4">
        <f t="shared" si="51"/>
        <v>0.16750000000000001</v>
      </c>
      <c r="R457" s="66">
        <f t="shared" si="52"/>
        <v>1.6001176797476362E-2</v>
      </c>
      <c r="S457" s="66">
        <f t="shared" si="53"/>
        <v>5.9085039962080928E-2</v>
      </c>
      <c r="T457" s="50">
        <f t="shared" si="54"/>
        <v>1</v>
      </c>
      <c r="U457" s="50">
        <f t="shared" si="55"/>
        <v>1</v>
      </c>
    </row>
    <row r="458" spans="1:21" x14ac:dyDescent="0.2">
      <c r="A458" s="38">
        <v>35089</v>
      </c>
      <c r="B458" s="4">
        <v>0.36</v>
      </c>
      <c r="C458" s="4">
        <v>0.4</v>
      </c>
      <c r="D458" s="4">
        <v>0.24</v>
      </c>
      <c r="E458" s="50">
        <v>1</v>
      </c>
      <c r="G458" s="50">
        <v>0.12</v>
      </c>
      <c r="H458" s="50">
        <v>0.386013987936</v>
      </c>
      <c r="I458" s="50">
        <v>0.48917782314500002</v>
      </c>
      <c r="J458" s="50">
        <v>0.282850152726</v>
      </c>
      <c r="K458" s="50">
        <v>621.62</v>
      </c>
      <c r="L458" s="50">
        <v>610.65</v>
      </c>
      <c r="M458" s="50">
        <v>621.62</v>
      </c>
      <c r="N458" s="66">
        <f t="shared" si="48"/>
        <v>2.2875711849683129E-2</v>
      </c>
      <c r="O458" s="66">
        <f t="shared" si="49"/>
        <v>6.0261896335381801E-2</v>
      </c>
      <c r="P458" s="4">
        <f t="shared" si="50"/>
        <v>0.12</v>
      </c>
      <c r="Q458" s="4">
        <f t="shared" si="51"/>
        <v>0.13250000000000001</v>
      </c>
      <c r="R458" s="66">
        <f t="shared" si="52"/>
        <v>2.2875711849683129E-2</v>
      </c>
      <c r="S458" s="66">
        <f t="shared" si="53"/>
        <v>6.0261896335381801E-2</v>
      </c>
      <c r="T458" s="50">
        <f t="shared" si="54"/>
        <v>1</v>
      </c>
      <c r="U458" s="50">
        <f t="shared" si="55"/>
        <v>1</v>
      </c>
    </row>
    <row r="459" spans="1:21" x14ac:dyDescent="0.2">
      <c r="A459" s="38">
        <v>35096</v>
      </c>
      <c r="B459" s="4">
        <v>0.54</v>
      </c>
      <c r="C459" s="4">
        <v>0.31</v>
      </c>
      <c r="D459" s="4">
        <v>0.15</v>
      </c>
      <c r="E459" s="50">
        <v>1</v>
      </c>
      <c r="G459" s="50">
        <v>0.39</v>
      </c>
      <c r="H459" s="50">
        <v>0.386013987936</v>
      </c>
      <c r="I459" s="50">
        <v>0.48917782314500002</v>
      </c>
      <c r="J459" s="50">
        <v>0.282850152726</v>
      </c>
      <c r="K459" s="50">
        <v>639.26</v>
      </c>
      <c r="L459" s="50">
        <v>621.41999999999996</v>
      </c>
      <c r="M459" s="50">
        <v>635.84</v>
      </c>
      <c r="N459" s="66">
        <f t="shared" si="48"/>
        <v>3.2287996980372373E-2</v>
      </c>
      <c r="O459" s="66">
        <f t="shared" si="49"/>
        <v>1.3415324609964727E-2</v>
      </c>
      <c r="P459" s="4">
        <f t="shared" si="50"/>
        <v>0.39</v>
      </c>
      <c r="Q459" s="4">
        <f t="shared" si="51"/>
        <v>0.16</v>
      </c>
      <c r="R459" s="66">
        <f t="shared" si="52"/>
        <v>3.2287996980372373E-2</v>
      </c>
      <c r="S459" s="66">
        <f t="shared" si="53"/>
        <v>1.3415324609964727E-2</v>
      </c>
      <c r="T459" s="50">
        <f t="shared" si="54"/>
        <v>1</v>
      </c>
      <c r="U459" s="50">
        <f t="shared" si="55"/>
        <v>1</v>
      </c>
    </row>
    <row r="460" spans="1:21" x14ac:dyDescent="0.2">
      <c r="A460" s="38">
        <v>35103</v>
      </c>
      <c r="B460" s="4">
        <v>0.53</v>
      </c>
      <c r="C460" s="4">
        <v>0.31</v>
      </c>
      <c r="D460" s="4">
        <v>0.16</v>
      </c>
      <c r="E460" s="50">
        <v>1</v>
      </c>
      <c r="G460" s="50">
        <v>0.37</v>
      </c>
      <c r="H460" s="50">
        <v>0.386013987936</v>
      </c>
      <c r="I460" s="50">
        <v>0.48917782314500002</v>
      </c>
      <c r="J460" s="50">
        <v>0.282850152726</v>
      </c>
      <c r="K460" s="50">
        <v>656.37</v>
      </c>
      <c r="L460" s="50">
        <v>641.42999999999995</v>
      </c>
      <c r="M460" s="50">
        <v>656.37</v>
      </c>
      <c r="N460" s="66">
        <f t="shared" si="48"/>
        <v>-1.2782424547130409E-2</v>
      </c>
      <c r="O460" s="66">
        <f t="shared" si="49"/>
        <v>-3.4843152490211318E-2</v>
      </c>
      <c r="P460" s="4">
        <f t="shared" si="50"/>
        <v>0.37</v>
      </c>
      <c r="Q460" s="4">
        <f t="shared" si="51"/>
        <v>0.2525</v>
      </c>
      <c r="R460" s="66">
        <f t="shared" si="52"/>
        <v>-1.2782424547130409E-2</v>
      </c>
      <c r="S460" s="66">
        <f t="shared" si="53"/>
        <v>-3.4843152490211318E-2</v>
      </c>
      <c r="T460" s="50" t="str">
        <f t="shared" si="54"/>
        <v/>
      </c>
      <c r="U460" s="50" t="str">
        <f t="shared" si="55"/>
        <v/>
      </c>
    </row>
    <row r="461" spans="1:21" x14ac:dyDescent="0.2">
      <c r="A461" s="38">
        <v>35110</v>
      </c>
      <c r="B461" s="4">
        <v>0.54</v>
      </c>
      <c r="C461" s="4">
        <v>0.21</v>
      </c>
      <c r="D461" s="4">
        <v>0.25</v>
      </c>
      <c r="E461" s="50">
        <v>1</v>
      </c>
      <c r="G461" s="50">
        <v>0.28999999999999998</v>
      </c>
      <c r="H461" s="50">
        <v>0.386013987936</v>
      </c>
      <c r="I461" s="50">
        <v>0.48917782314500002</v>
      </c>
      <c r="J461" s="50">
        <v>0.282850152726</v>
      </c>
      <c r="K461" s="50">
        <v>664.23</v>
      </c>
      <c r="L461" s="50">
        <v>646.99</v>
      </c>
      <c r="M461" s="50">
        <v>647.98</v>
      </c>
      <c r="N461" s="66">
        <f t="shared" ref="N461:N524" si="56">(M462-M461)/M461</f>
        <v>1.7130158338220351E-2</v>
      </c>
      <c r="O461" s="66">
        <f t="shared" ref="O461:O524" si="57">(M465-M461)/M461</f>
        <v>-1.0108336677058039E-2</v>
      </c>
      <c r="P461" s="4">
        <f t="shared" si="50"/>
        <v>0.29000000000000004</v>
      </c>
      <c r="Q461" s="4">
        <f t="shared" si="51"/>
        <v>0.29249999999999998</v>
      </c>
      <c r="R461" s="66">
        <f t="shared" si="52"/>
        <v>1.7130158338220351E-2</v>
      </c>
      <c r="S461" s="66">
        <f t="shared" si="53"/>
        <v>-1.0108336677058039E-2</v>
      </c>
      <c r="T461" s="50">
        <f t="shared" si="54"/>
        <v>1</v>
      </c>
      <c r="U461" s="50" t="str">
        <f t="shared" si="55"/>
        <v/>
      </c>
    </row>
    <row r="462" spans="1:21" x14ac:dyDescent="0.2">
      <c r="A462" s="38">
        <v>35117</v>
      </c>
      <c r="B462" s="4">
        <v>0.49</v>
      </c>
      <c r="C462" s="4">
        <v>0.22</v>
      </c>
      <c r="D462" s="4">
        <v>0.28999999999999998</v>
      </c>
      <c r="E462" s="50">
        <v>1</v>
      </c>
      <c r="G462" s="50">
        <v>0.2</v>
      </c>
      <c r="H462" s="50">
        <v>0.386013987936</v>
      </c>
      <c r="I462" s="50">
        <v>0.48917782314500002</v>
      </c>
      <c r="J462" s="50">
        <v>0.282850152726</v>
      </c>
      <c r="K462" s="50">
        <v>663</v>
      </c>
      <c r="L462" s="50">
        <v>638.79</v>
      </c>
      <c r="M462" s="50">
        <v>659.08</v>
      </c>
      <c r="N462" s="66">
        <f t="shared" si="56"/>
        <v>-2.2318990107422523E-2</v>
      </c>
      <c r="O462" s="66">
        <f t="shared" si="57"/>
        <v>-1.2836074528130174E-2</v>
      </c>
      <c r="P462" s="4">
        <f t="shared" ref="P462:P525" si="58">B462-D462</f>
        <v>0.2</v>
      </c>
      <c r="Q462" s="4">
        <f t="shared" si="51"/>
        <v>0.3125</v>
      </c>
      <c r="R462" s="66">
        <f t="shared" si="52"/>
        <v>-2.2318990107422523E-2</v>
      </c>
      <c r="S462" s="66">
        <f t="shared" si="53"/>
        <v>-1.2836074528130174E-2</v>
      </c>
      <c r="T462" s="50" t="str">
        <f t="shared" si="54"/>
        <v/>
      </c>
      <c r="U462" s="50" t="str">
        <f t="shared" si="55"/>
        <v/>
      </c>
    </row>
    <row r="463" spans="1:21" x14ac:dyDescent="0.2">
      <c r="A463" s="38">
        <v>35124</v>
      </c>
      <c r="B463" s="4">
        <v>0.45</v>
      </c>
      <c r="C463" s="4">
        <v>0.28000000000000003</v>
      </c>
      <c r="D463" s="4">
        <v>0.27</v>
      </c>
      <c r="E463" s="50">
        <v>1</v>
      </c>
      <c r="G463" s="50">
        <v>0.18</v>
      </c>
      <c r="H463" s="50">
        <v>0.386013987936</v>
      </c>
      <c r="I463" s="50">
        <v>0.48917782314500002</v>
      </c>
      <c r="J463" s="50">
        <v>0.282850152726</v>
      </c>
      <c r="K463" s="50">
        <v>659.08</v>
      </c>
      <c r="L463" s="50">
        <v>635</v>
      </c>
      <c r="M463" s="50">
        <v>644.37</v>
      </c>
      <c r="N463" s="66">
        <f t="shared" si="56"/>
        <v>-1.6869190061610573E-2</v>
      </c>
      <c r="O463" s="66">
        <f t="shared" si="57"/>
        <v>1.7536508527709164E-3</v>
      </c>
      <c r="P463" s="4">
        <f t="shared" si="58"/>
        <v>0.18</v>
      </c>
      <c r="Q463" s="4">
        <f t="shared" si="51"/>
        <v>0.26</v>
      </c>
      <c r="R463" s="66">
        <f t="shared" si="52"/>
        <v>-1.6869190061610573E-2</v>
      </c>
      <c r="S463" s="66">
        <f t="shared" si="53"/>
        <v>1.7536508527709164E-3</v>
      </c>
      <c r="T463" s="50" t="str">
        <f t="shared" si="54"/>
        <v/>
      </c>
      <c r="U463" s="50">
        <f t="shared" si="55"/>
        <v>1</v>
      </c>
    </row>
    <row r="464" spans="1:21" x14ac:dyDescent="0.2">
      <c r="A464" s="38">
        <v>35131</v>
      </c>
      <c r="B464" s="4">
        <v>0.44</v>
      </c>
      <c r="C464" s="4">
        <v>0.28000000000000003</v>
      </c>
      <c r="D464" s="4">
        <v>0.28000000000000003</v>
      </c>
      <c r="E464" s="50">
        <v>1</v>
      </c>
      <c r="F464" s="50">
        <v>0.47125</v>
      </c>
      <c r="G464" s="50">
        <v>0.16</v>
      </c>
      <c r="H464" s="50">
        <v>0.38490743662900001</v>
      </c>
      <c r="I464" s="50">
        <v>0.48829287047999997</v>
      </c>
      <c r="J464" s="50">
        <v>0.28152200277799999</v>
      </c>
      <c r="K464" s="50">
        <v>656.97</v>
      </c>
      <c r="L464" s="50">
        <v>627.63</v>
      </c>
      <c r="M464" s="50">
        <v>633.5</v>
      </c>
      <c r="N464" s="66">
        <f t="shared" si="56"/>
        <v>1.2517758484609235E-2</v>
      </c>
      <c r="O464" s="66">
        <f t="shared" si="57"/>
        <v>3.5295974743488577E-2</v>
      </c>
      <c r="P464" s="4">
        <f t="shared" si="58"/>
        <v>0.15999999999999998</v>
      </c>
      <c r="Q464" s="4">
        <f t="shared" si="51"/>
        <v>0.20750000000000002</v>
      </c>
      <c r="R464" s="66">
        <f t="shared" si="52"/>
        <v>1.2517758484609235E-2</v>
      </c>
      <c r="S464" s="66">
        <f t="shared" si="53"/>
        <v>3.5295974743488577E-2</v>
      </c>
      <c r="T464" s="50">
        <f t="shared" si="54"/>
        <v>1</v>
      </c>
      <c r="U464" s="50">
        <f t="shared" si="55"/>
        <v>1</v>
      </c>
    </row>
    <row r="465" spans="1:21" x14ac:dyDescent="0.2">
      <c r="A465" s="38">
        <v>35138</v>
      </c>
      <c r="B465" s="4">
        <v>0.36</v>
      </c>
      <c r="C465" s="4">
        <v>0.35</v>
      </c>
      <c r="D465" s="4">
        <v>0.28999999999999998</v>
      </c>
      <c r="E465" s="50">
        <v>1</v>
      </c>
      <c r="F465" s="50">
        <v>0.46375</v>
      </c>
      <c r="G465" s="50">
        <v>7.0000000000000007E-2</v>
      </c>
      <c r="H465" s="50">
        <v>0.38490743662900001</v>
      </c>
      <c r="I465" s="50">
        <v>0.48829287047999997</v>
      </c>
      <c r="J465" s="50">
        <v>0.28152200277799999</v>
      </c>
      <c r="K465" s="50">
        <v>641.42999999999995</v>
      </c>
      <c r="L465" s="50">
        <v>637.09</v>
      </c>
      <c r="M465" s="50">
        <v>641.42999999999995</v>
      </c>
      <c r="N465" s="66">
        <f t="shared" si="56"/>
        <v>1.4327362299861333E-2</v>
      </c>
      <c r="O465" s="66">
        <f t="shared" si="57"/>
        <v>-7.3585582214737598E-3</v>
      </c>
      <c r="P465" s="4">
        <f t="shared" si="58"/>
        <v>7.0000000000000007E-2</v>
      </c>
      <c r="Q465" s="4">
        <f t="shared" ref="Q465:Q528" si="59">AVERAGE(P462:P465)</f>
        <v>0.15250000000000002</v>
      </c>
      <c r="R465" s="66">
        <f t="shared" ref="R465:R528" si="60">(M466-M465)/M465</f>
        <v>1.4327362299861333E-2</v>
      </c>
      <c r="S465" s="66">
        <f t="shared" ref="S465:S528" si="61">(M469-M465)/M465</f>
        <v>-7.3585582214737598E-3</v>
      </c>
      <c r="T465" s="50">
        <f t="shared" ref="T465:T528" si="62">IF(R465&gt;0,1,"")</f>
        <v>1</v>
      </c>
      <c r="U465" s="50" t="str">
        <f t="shared" ref="U465:U528" si="63">IF(S465&gt;0,1,"")</f>
        <v/>
      </c>
    </row>
    <row r="466" spans="1:21" x14ac:dyDescent="0.2">
      <c r="A466" s="38">
        <v>35145</v>
      </c>
      <c r="B466" s="4">
        <v>0.47</v>
      </c>
      <c r="C466" s="4">
        <v>0.31</v>
      </c>
      <c r="D466" s="4">
        <v>0.22</v>
      </c>
      <c r="E466" s="50">
        <v>1</v>
      </c>
      <c r="F466" s="50">
        <v>0.47749999999999998</v>
      </c>
      <c r="G466" s="50">
        <v>0.25</v>
      </c>
      <c r="H466" s="50">
        <v>0.38490743662900001</v>
      </c>
      <c r="I466" s="50">
        <v>0.48829287047999997</v>
      </c>
      <c r="J466" s="50">
        <v>0.28152200277799999</v>
      </c>
      <c r="K466" s="50">
        <v>656.18</v>
      </c>
      <c r="L466" s="50">
        <v>641.42999999999995</v>
      </c>
      <c r="M466" s="50">
        <v>650.62</v>
      </c>
      <c r="N466" s="66">
        <f t="shared" si="56"/>
        <v>-7.8694168639144267E-3</v>
      </c>
      <c r="O466" s="66">
        <f t="shared" si="57"/>
        <v>-8.5303249208446633E-3</v>
      </c>
      <c r="P466" s="4">
        <f t="shared" si="58"/>
        <v>0.24999999999999997</v>
      </c>
      <c r="Q466" s="4">
        <f t="shared" si="59"/>
        <v>0.16499999999999998</v>
      </c>
      <c r="R466" s="66">
        <f t="shared" si="60"/>
        <v>-7.8694168639144267E-3</v>
      </c>
      <c r="S466" s="66">
        <f t="shared" si="61"/>
        <v>-8.5303249208446633E-3</v>
      </c>
      <c r="T466" s="50" t="str">
        <f t="shared" si="62"/>
        <v/>
      </c>
      <c r="U466" s="50" t="str">
        <f t="shared" si="63"/>
        <v/>
      </c>
    </row>
    <row r="467" spans="1:21" x14ac:dyDescent="0.2">
      <c r="A467" s="38">
        <v>35152</v>
      </c>
      <c r="B467" s="4">
        <v>0.45</v>
      </c>
      <c r="C467" s="4">
        <v>0.31</v>
      </c>
      <c r="D467" s="4">
        <v>0.24</v>
      </c>
      <c r="E467" s="50">
        <v>1</v>
      </c>
      <c r="F467" s="50">
        <v>0.46625</v>
      </c>
      <c r="G467" s="50">
        <v>0.21</v>
      </c>
      <c r="H467" s="50">
        <v>0.38490743662900001</v>
      </c>
      <c r="I467" s="50">
        <v>0.48829287047999997</v>
      </c>
      <c r="J467" s="50">
        <v>0.28152200277799999</v>
      </c>
      <c r="K467" s="50">
        <v>652.97</v>
      </c>
      <c r="L467" s="50">
        <v>645.5</v>
      </c>
      <c r="M467" s="50">
        <v>645.5</v>
      </c>
      <c r="N467" s="66">
        <f t="shared" si="56"/>
        <v>1.6049573973663848E-2</v>
      </c>
      <c r="O467" s="66">
        <f t="shared" si="57"/>
        <v>1.2331525948876897E-2</v>
      </c>
      <c r="P467" s="4">
        <f t="shared" si="58"/>
        <v>0.21000000000000002</v>
      </c>
      <c r="Q467" s="4">
        <f t="shared" si="59"/>
        <v>0.17249999999999999</v>
      </c>
      <c r="R467" s="66">
        <f t="shared" si="60"/>
        <v>1.6049573973663848E-2</v>
      </c>
      <c r="S467" s="66">
        <f t="shared" si="61"/>
        <v>1.2331525948876897E-2</v>
      </c>
      <c r="T467" s="50">
        <f t="shared" si="62"/>
        <v>1</v>
      </c>
      <c r="U467" s="50">
        <f t="shared" si="63"/>
        <v>1</v>
      </c>
    </row>
    <row r="468" spans="1:21" x14ac:dyDescent="0.2">
      <c r="A468" s="38">
        <v>35159</v>
      </c>
      <c r="B468" s="4">
        <v>0.4</v>
      </c>
      <c r="C468" s="4">
        <v>0.43</v>
      </c>
      <c r="D468" s="4">
        <v>0.17</v>
      </c>
      <c r="E468" s="50">
        <v>1</v>
      </c>
      <c r="F468" s="50">
        <v>0.45</v>
      </c>
      <c r="G468" s="50">
        <v>0.23</v>
      </c>
      <c r="H468" s="50">
        <v>0.38490743662900001</v>
      </c>
      <c r="I468" s="50">
        <v>0.48829287047999997</v>
      </c>
      <c r="J468" s="50">
        <v>0.28152200277799999</v>
      </c>
      <c r="K468" s="50">
        <v>656.68</v>
      </c>
      <c r="L468" s="50">
        <v>645.5</v>
      </c>
      <c r="M468" s="50">
        <v>655.86</v>
      </c>
      <c r="N468" s="66">
        <f t="shared" si="56"/>
        <v>-2.9198304516207692E-2</v>
      </c>
      <c r="O468" s="66">
        <f t="shared" si="57"/>
        <v>-2.1696703564785196E-2</v>
      </c>
      <c r="P468" s="4">
        <f t="shared" si="58"/>
        <v>0.23</v>
      </c>
      <c r="Q468" s="4">
        <f t="shared" si="59"/>
        <v>0.19</v>
      </c>
      <c r="R468" s="66">
        <f t="shared" si="60"/>
        <v>-2.9198304516207692E-2</v>
      </c>
      <c r="S468" s="66">
        <f t="shared" si="61"/>
        <v>-2.1696703564785196E-2</v>
      </c>
      <c r="T468" s="50" t="str">
        <f t="shared" si="62"/>
        <v/>
      </c>
      <c r="U468" s="50" t="str">
        <f t="shared" si="63"/>
        <v/>
      </c>
    </row>
    <row r="469" spans="1:21" x14ac:dyDescent="0.2">
      <c r="A469" s="38">
        <v>35166</v>
      </c>
      <c r="B469" s="4">
        <v>0.4</v>
      </c>
      <c r="C469" s="4">
        <v>0.42</v>
      </c>
      <c r="D469" s="4">
        <v>0.18</v>
      </c>
      <c r="E469" s="50">
        <v>1</v>
      </c>
      <c r="F469" s="50">
        <v>0.4325</v>
      </c>
      <c r="G469" s="50">
        <v>0.22</v>
      </c>
      <c r="H469" s="50">
        <v>0.38490743662900001</v>
      </c>
      <c r="I469" s="50">
        <v>0.48829287047999997</v>
      </c>
      <c r="J469" s="50">
        <v>0.28152200277799999</v>
      </c>
      <c r="K469" s="50">
        <v>655.86</v>
      </c>
      <c r="L469" s="50">
        <v>624.14</v>
      </c>
      <c r="M469" s="50">
        <v>636.71</v>
      </c>
      <c r="N469" s="66">
        <f t="shared" si="56"/>
        <v>1.312999638768044E-2</v>
      </c>
      <c r="O469" s="66">
        <f t="shared" si="57"/>
        <v>2.4155423976378564E-2</v>
      </c>
      <c r="P469" s="4">
        <f t="shared" si="58"/>
        <v>0.22000000000000003</v>
      </c>
      <c r="Q469" s="4">
        <f t="shared" si="59"/>
        <v>0.22749999999999998</v>
      </c>
      <c r="R469" s="66">
        <f t="shared" si="60"/>
        <v>1.312999638768044E-2</v>
      </c>
      <c r="S469" s="66">
        <f t="shared" si="61"/>
        <v>2.4155423976378564E-2</v>
      </c>
      <c r="T469" s="50">
        <f t="shared" si="62"/>
        <v>1</v>
      </c>
      <c r="U469" s="50">
        <f t="shared" si="63"/>
        <v>1</v>
      </c>
    </row>
    <row r="470" spans="1:21" x14ac:dyDescent="0.2">
      <c r="A470" s="38">
        <v>35173</v>
      </c>
      <c r="B470" s="4">
        <v>0.36</v>
      </c>
      <c r="C470" s="4">
        <v>0.38</v>
      </c>
      <c r="D470" s="4">
        <v>0.26</v>
      </c>
      <c r="E470" s="50">
        <v>1</v>
      </c>
      <c r="F470" s="50">
        <v>0.41625000000000001</v>
      </c>
      <c r="G470" s="50">
        <v>0.1</v>
      </c>
      <c r="H470" s="50">
        <v>0.38490743662900001</v>
      </c>
      <c r="I470" s="50">
        <v>0.48829287047999997</v>
      </c>
      <c r="J470" s="50">
        <v>0.28152200277799999</v>
      </c>
      <c r="K470" s="50">
        <v>647.32000000000005</v>
      </c>
      <c r="L470" s="50">
        <v>631.17999999999995</v>
      </c>
      <c r="M470" s="50">
        <v>645.07000000000005</v>
      </c>
      <c r="N470" s="66">
        <f t="shared" si="56"/>
        <v>1.3006340397166177E-2</v>
      </c>
      <c r="O470" s="66">
        <f t="shared" si="57"/>
        <v>3.6957229447966755E-2</v>
      </c>
      <c r="P470" s="4">
        <f t="shared" si="58"/>
        <v>9.9999999999999978E-2</v>
      </c>
      <c r="Q470" s="4">
        <f t="shared" si="59"/>
        <v>0.19000000000000003</v>
      </c>
      <c r="R470" s="66">
        <f t="shared" si="60"/>
        <v>1.3006340397166177E-2</v>
      </c>
      <c r="S470" s="66">
        <f t="shared" si="61"/>
        <v>3.6957229447966755E-2</v>
      </c>
      <c r="T470" s="50">
        <f t="shared" si="62"/>
        <v>1</v>
      </c>
      <c r="U470" s="50">
        <f t="shared" si="63"/>
        <v>1</v>
      </c>
    </row>
    <row r="471" spans="1:21" x14ac:dyDescent="0.2">
      <c r="A471" s="38">
        <v>35180</v>
      </c>
      <c r="B471" s="4">
        <v>0.28000000000000003</v>
      </c>
      <c r="C471" s="4">
        <v>0.4</v>
      </c>
      <c r="D471" s="4">
        <v>0.32</v>
      </c>
      <c r="E471" s="50">
        <v>1</v>
      </c>
      <c r="F471" s="50">
        <v>0.39500000000000002</v>
      </c>
      <c r="G471" s="50">
        <v>-0.04</v>
      </c>
      <c r="H471" s="50">
        <v>0.38490743662900001</v>
      </c>
      <c r="I471" s="50">
        <v>0.48829287047999997</v>
      </c>
      <c r="J471" s="50">
        <v>0.28152200277799999</v>
      </c>
      <c r="K471" s="50">
        <v>656.43</v>
      </c>
      <c r="L471" s="50">
        <v>643.61</v>
      </c>
      <c r="M471" s="50">
        <v>653.46</v>
      </c>
      <c r="N471" s="66">
        <f t="shared" si="56"/>
        <v>-1.8103632969118294E-2</v>
      </c>
      <c r="O471" s="66">
        <f t="shared" si="57"/>
        <v>3.8334404554219007E-2</v>
      </c>
      <c r="P471" s="4">
        <f t="shared" si="58"/>
        <v>-3.999999999999998E-2</v>
      </c>
      <c r="Q471" s="4">
        <f t="shared" si="59"/>
        <v>0.1275</v>
      </c>
      <c r="R471" s="66">
        <f t="shared" si="60"/>
        <v>-1.8103632969118294E-2</v>
      </c>
      <c r="S471" s="66">
        <f t="shared" si="61"/>
        <v>3.8334404554219007E-2</v>
      </c>
      <c r="T471" s="50" t="str">
        <f t="shared" si="62"/>
        <v/>
      </c>
      <c r="U471" s="50">
        <f t="shared" si="63"/>
        <v>1</v>
      </c>
    </row>
    <row r="472" spans="1:21" x14ac:dyDescent="0.2">
      <c r="A472" s="38">
        <v>35187</v>
      </c>
      <c r="B472" s="4">
        <v>0.48</v>
      </c>
      <c r="C472" s="4">
        <v>0.31</v>
      </c>
      <c r="D472" s="4">
        <v>0.21</v>
      </c>
      <c r="E472" s="50">
        <v>1</v>
      </c>
      <c r="F472" s="50">
        <v>0.4</v>
      </c>
      <c r="G472" s="50">
        <v>0.27</v>
      </c>
      <c r="H472" s="50">
        <v>0.38490743662900001</v>
      </c>
      <c r="I472" s="50">
        <v>0.48829287047999997</v>
      </c>
      <c r="J472" s="50">
        <v>0.28152200277799999</v>
      </c>
      <c r="K472" s="50">
        <v>656.44</v>
      </c>
      <c r="L472" s="50">
        <v>640.23</v>
      </c>
      <c r="M472" s="50">
        <v>641.63</v>
      </c>
      <c r="N472" s="66">
        <f t="shared" si="56"/>
        <v>1.6302230257313463E-2</v>
      </c>
      <c r="O472" s="66">
        <f t="shared" si="57"/>
        <v>4.2844006670511053E-2</v>
      </c>
      <c r="P472" s="4">
        <f t="shared" si="58"/>
        <v>0.27</v>
      </c>
      <c r="Q472" s="4">
        <f t="shared" si="59"/>
        <v>0.13750000000000001</v>
      </c>
      <c r="R472" s="66">
        <f t="shared" si="60"/>
        <v>1.6302230257313463E-2</v>
      </c>
      <c r="S472" s="66">
        <f t="shared" si="61"/>
        <v>4.2844006670511053E-2</v>
      </c>
      <c r="T472" s="50">
        <f t="shared" si="62"/>
        <v>1</v>
      </c>
      <c r="U472" s="50">
        <f t="shared" si="63"/>
        <v>1</v>
      </c>
    </row>
    <row r="473" spans="1:21" x14ac:dyDescent="0.2">
      <c r="A473" s="38">
        <v>35194</v>
      </c>
      <c r="B473" s="4">
        <v>0.46</v>
      </c>
      <c r="C473" s="4">
        <v>0.38</v>
      </c>
      <c r="D473" s="4">
        <v>0.16</v>
      </c>
      <c r="E473" s="50">
        <v>1</v>
      </c>
      <c r="F473" s="50">
        <v>0.41249999999999998</v>
      </c>
      <c r="G473" s="50">
        <v>0.3</v>
      </c>
      <c r="H473" s="50">
        <v>0.38490743662900001</v>
      </c>
      <c r="I473" s="50">
        <v>0.48829287047999997</v>
      </c>
      <c r="J473" s="50">
        <v>0.28152200277799999</v>
      </c>
      <c r="K473" s="50">
        <v>652.09</v>
      </c>
      <c r="L473" s="50">
        <v>638.26</v>
      </c>
      <c r="M473" s="50">
        <v>652.09</v>
      </c>
      <c r="N473" s="66">
        <f t="shared" si="56"/>
        <v>2.5793985492799976E-2</v>
      </c>
      <c r="O473" s="66">
        <f t="shared" si="57"/>
        <v>3.2541520342283907E-2</v>
      </c>
      <c r="P473" s="4">
        <f t="shared" si="58"/>
        <v>0.30000000000000004</v>
      </c>
      <c r="Q473" s="4">
        <f t="shared" si="59"/>
        <v>0.15750000000000003</v>
      </c>
      <c r="R473" s="66">
        <f t="shared" si="60"/>
        <v>2.5793985492799976E-2</v>
      </c>
      <c r="S473" s="66">
        <f t="shared" si="61"/>
        <v>3.2541520342283907E-2</v>
      </c>
      <c r="T473" s="50">
        <f t="shared" si="62"/>
        <v>1</v>
      </c>
      <c r="U473" s="50">
        <f t="shared" si="63"/>
        <v>1</v>
      </c>
    </row>
    <row r="474" spans="1:21" x14ac:dyDescent="0.2">
      <c r="A474" s="38">
        <v>35201</v>
      </c>
      <c r="B474" s="4">
        <v>0.37</v>
      </c>
      <c r="C474" s="4">
        <v>0.4</v>
      </c>
      <c r="D474" s="4">
        <v>0.23</v>
      </c>
      <c r="E474" s="50">
        <v>1</v>
      </c>
      <c r="F474" s="50">
        <v>0.4</v>
      </c>
      <c r="G474" s="50">
        <v>0.14000000000000001</v>
      </c>
      <c r="H474" s="50">
        <v>0.38490743662900001</v>
      </c>
      <c r="I474" s="50">
        <v>0.48829287047999997</v>
      </c>
      <c r="J474" s="50">
        <v>0.28152200277799999</v>
      </c>
      <c r="K474" s="50">
        <v>669.84</v>
      </c>
      <c r="L474" s="50">
        <v>645.44000000000005</v>
      </c>
      <c r="M474" s="50">
        <v>668.91</v>
      </c>
      <c r="N474" s="66">
        <f t="shared" si="56"/>
        <v>1.4351706507601954E-2</v>
      </c>
      <c r="O474" s="66">
        <f t="shared" si="57"/>
        <v>-4.5746064492980304E-3</v>
      </c>
      <c r="P474" s="4">
        <f t="shared" si="58"/>
        <v>0.13999999999999999</v>
      </c>
      <c r="Q474" s="4">
        <f t="shared" si="59"/>
        <v>0.16750000000000001</v>
      </c>
      <c r="R474" s="66">
        <f t="shared" si="60"/>
        <v>1.4351706507601954E-2</v>
      </c>
      <c r="S474" s="66">
        <f t="shared" si="61"/>
        <v>-4.5746064492980304E-3</v>
      </c>
      <c r="T474" s="50">
        <f t="shared" si="62"/>
        <v>1</v>
      </c>
      <c r="U474" s="50" t="str">
        <f t="shared" si="63"/>
        <v/>
      </c>
    </row>
    <row r="475" spans="1:21" x14ac:dyDescent="0.2">
      <c r="A475" s="38">
        <v>35208</v>
      </c>
      <c r="B475" s="4">
        <v>0.51</v>
      </c>
      <c r="C475" s="4">
        <v>0.35</v>
      </c>
      <c r="D475" s="4">
        <v>0.14000000000000001</v>
      </c>
      <c r="E475" s="50">
        <v>1</v>
      </c>
      <c r="F475" s="50">
        <v>0.40749999999999997</v>
      </c>
      <c r="G475" s="50">
        <v>0.37</v>
      </c>
      <c r="H475" s="50">
        <v>0.38490743662900001</v>
      </c>
      <c r="I475" s="50">
        <v>0.48829287047999997</v>
      </c>
      <c r="J475" s="50">
        <v>0.28152200277799999</v>
      </c>
      <c r="K475" s="50">
        <v>681.1</v>
      </c>
      <c r="L475" s="50">
        <v>667.64</v>
      </c>
      <c r="M475" s="50">
        <v>678.51</v>
      </c>
      <c r="N475" s="66">
        <f t="shared" si="56"/>
        <v>-1.38391475438829E-2</v>
      </c>
      <c r="O475" s="66">
        <f t="shared" si="57"/>
        <v>-1.7199451739841651E-2</v>
      </c>
      <c r="P475" s="4">
        <f t="shared" si="58"/>
        <v>0.37</v>
      </c>
      <c r="Q475" s="4">
        <f t="shared" si="59"/>
        <v>0.27</v>
      </c>
      <c r="R475" s="66">
        <f t="shared" si="60"/>
        <v>-1.38391475438829E-2</v>
      </c>
      <c r="S475" s="66">
        <f t="shared" si="61"/>
        <v>-1.7199451739841651E-2</v>
      </c>
      <c r="T475" s="50" t="str">
        <f t="shared" si="62"/>
        <v/>
      </c>
      <c r="U475" s="50" t="str">
        <f t="shared" si="63"/>
        <v/>
      </c>
    </row>
    <row r="476" spans="1:21" x14ac:dyDescent="0.2">
      <c r="A476" s="38">
        <v>35215</v>
      </c>
      <c r="B476" s="4">
        <v>0.61</v>
      </c>
      <c r="C476" s="4">
        <v>0.28999999999999998</v>
      </c>
      <c r="D476" s="4">
        <v>0.1</v>
      </c>
      <c r="E476" s="50">
        <v>1</v>
      </c>
      <c r="F476" s="50">
        <v>0.43375000000000002</v>
      </c>
      <c r="G476" s="50">
        <v>0.51</v>
      </c>
      <c r="H476" s="50">
        <v>0.38490743662900001</v>
      </c>
      <c r="I476" s="50">
        <v>0.48829287047999997</v>
      </c>
      <c r="J476" s="50">
        <v>0.28152200277799999</v>
      </c>
      <c r="K476" s="50">
        <v>679.98</v>
      </c>
      <c r="L476" s="50">
        <v>664.56</v>
      </c>
      <c r="M476" s="50">
        <v>669.12</v>
      </c>
      <c r="N476" s="66">
        <f t="shared" si="56"/>
        <v>6.2619560019128717E-3</v>
      </c>
      <c r="O476" s="66">
        <f t="shared" si="57"/>
        <v>2.2566953610712441E-3</v>
      </c>
      <c r="P476" s="4">
        <f t="shared" si="58"/>
        <v>0.51</v>
      </c>
      <c r="Q476" s="4">
        <f t="shared" si="59"/>
        <v>0.33</v>
      </c>
      <c r="R476" s="66">
        <f t="shared" si="60"/>
        <v>6.2619560019128717E-3</v>
      </c>
      <c r="S476" s="66">
        <f t="shared" si="61"/>
        <v>2.2566953610712441E-3</v>
      </c>
      <c r="T476" s="50">
        <f t="shared" si="62"/>
        <v>1</v>
      </c>
      <c r="U476" s="50">
        <f t="shared" si="63"/>
        <v>1</v>
      </c>
    </row>
    <row r="477" spans="1:21" x14ac:dyDescent="0.2">
      <c r="A477" s="38">
        <v>35222</v>
      </c>
      <c r="B477" s="4">
        <v>0.47</v>
      </c>
      <c r="C477" s="4">
        <v>0.28000000000000003</v>
      </c>
      <c r="D477" s="4">
        <v>0.25</v>
      </c>
      <c r="E477" s="50">
        <v>1</v>
      </c>
      <c r="F477" s="50">
        <v>0.4425</v>
      </c>
      <c r="G477" s="50">
        <v>0.22</v>
      </c>
      <c r="H477" s="50">
        <v>0.38490743662900001</v>
      </c>
      <c r="I477" s="50">
        <v>0.48829287047999997</v>
      </c>
      <c r="J477" s="50">
        <v>0.28152200277799999</v>
      </c>
      <c r="K477" s="50">
        <v>680.32</v>
      </c>
      <c r="L477" s="50">
        <v>662.48</v>
      </c>
      <c r="M477" s="50">
        <v>673.31</v>
      </c>
      <c r="N477" s="66">
        <f t="shared" si="56"/>
        <v>-1.1079591867044783E-2</v>
      </c>
      <c r="O477" s="66">
        <f t="shared" si="57"/>
        <v>-1.351531983781569E-3</v>
      </c>
      <c r="P477" s="4">
        <f t="shared" si="58"/>
        <v>0.21999999999999997</v>
      </c>
      <c r="Q477" s="4">
        <f t="shared" si="59"/>
        <v>0.31</v>
      </c>
      <c r="R477" s="66">
        <f t="shared" si="60"/>
        <v>-1.1079591867044783E-2</v>
      </c>
      <c r="S477" s="66">
        <f t="shared" si="61"/>
        <v>-1.351531983781569E-3</v>
      </c>
      <c r="T477" s="50" t="str">
        <f t="shared" si="62"/>
        <v/>
      </c>
      <c r="U477" s="50" t="str">
        <f t="shared" si="63"/>
        <v/>
      </c>
    </row>
    <row r="478" spans="1:21" x14ac:dyDescent="0.2">
      <c r="A478" s="38">
        <v>35229</v>
      </c>
      <c r="B478" s="4">
        <v>0.49</v>
      </c>
      <c r="C478" s="4">
        <v>0.28000000000000003</v>
      </c>
      <c r="D478" s="4">
        <v>0.23</v>
      </c>
      <c r="E478" s="50">
        <v>1</v>
      </c>
      <c r="F478" s="50">
        <v>0.45874999999999999</v>
      </c>
      <c r="G478" s="50">
        <v>0.26</v>
      </c>
      <c r="H478" s="50">
        <v>0.38490743662900001</v>
      </c>
      <c r="I478" s="50">
        <v>0.48829287047999997</v>
      </c>
      <c r="J478" s="50">
        <v>0.28152200277799999</v>
      </c>
      <c r="K478" s="50">
        <v>676.72</v>
      </c>
      <c r="L478" s="50">
        <v>664.35</v>
      </c>
      <c r="M478" s="50">
        <v>665.85</v>
      </c>
      <c r="N478" s="66">
        <f t="shared" si="56"/>
        <v>1.4868213561613111E-3</v>
      </c>
      <c r="O478" s="66">
        <f t="shared" si="57"/>
        <v>-2.9526169557708145E-2</v>
      </c>
      <c r="P478" s="4">
        <f t="shared" si="58"/>
        <v>0.26</v>
      </c>
      <c r="Q478" s="4">
        <f t="shared" si="59"/>
        <v>0.34</v>
      </c>
      <c r="R478" s="66">
        <f t="shared" si="60"/>
        <v>1.4868213561613111E-3</v>
      </c>
      <c r="S478" s="66">
        <f t="shared" si="61"/>
        <v>-2.9526169557708145E-2</v>
      </c>
      <c r="T478" s="50">
        <f t="shared" si="62"/>
        <v>1</v>
      </c>
      <c r="U478" s="50" t="str">
        <f t="shared" si="63"/>
        <v/>
      </c>
    </row>
    <row r="479" spans="1:21" x14ac:dyDescent="0.2">
      <c r="A479" s="38">
        <v>35236</v>
      </c>
      <c r="B479" s="4">
        <v>0.42</v>
      </c>
      <c r="C479" s="4">
        <v>0.32</v>
      </c>
      <c r="D479" s="4">
        <v>0.26</v>
      </c>
      <c r="E479" s="50">
        <v>1</v>
      </c>
      <c r="F479" s="50">
        <v>0.47625000000000001</v>
      </c>
      <c r="G479" s="50">
        <v>0.16</v>
      </c>
      <c r="H479" s="50">
        <v>0.38490743662900001</v>
      </c>
      <c r="I479" s="50">
        <v>0.48829287047999997</v>
      </c>
      <c r="J479" s="50">
        <v>0.28152200277799999</v>
      </c>
      <c r="K479" s="50">
        <v>668.27</v>
      </c>
      <c r="L479" s="50">
        <v>661.34</v>
      </c>
      <c r="M479" s="50">
        <v>666.84</v>
      </c>
      <c r="N479" s="66">
        <f t="shared" si="56"/>
        <v>5.6835222842060518E-3</v>
      </c>
      <c r="O479" s="66">
        <f t="shared" si="57"/>
        <v>-4.2154039949613122E-2</v>
      </c>
      <c r="P479" s="4">
        <f t="shared" si="58"/>
        <v>0.15999999999999998</v>
      </c>
      <c r="Q479" s="4">
        <f t="shared" si="59"/>
        <v>0.28749999999999998</v>
      </c>
      <c r="R479" s="66">
        <f t="shared" si="60"/>
        <v>5.6835222842060518E-3</v>
      </c>
      <c r="S479" s="66">
        <f t="shared" si="61"/>
        <v>-4.2154039949613122E-2</v>
      </c>
      <c r="T479" s="50">
        <f t="shared" si="62"/>
        <v>1</v>
      </c>
      <c r="U479" s="50" t="str">
        <f t="shared" si="63"/>
        <v/>
      </c>
    </row>
    <row r="480" spans="1:21" x14ac:dyDescent="0.2">
      <c r="A480" s="38">
        <v>35243</v>
      </c>
      <c r="B480" s="4">
        <v>0.42</v>
      </c>
      <c r="C480" s="4">
        <v>0.41</v>
      </c>
      <c r="D480" s="4">
        <v>0.17</v>
      </c>
      <c r="E480" s="50">
        <v>1</v>
      </c>
      <c r="F480" s="50">
        <v>0.46875</v>
      </c>
      <c r="G480" s="50">
        <v>0.25</v>
      </c>
      <c r="H480" s="50">
        <v>0.38490743662900001</v>
      </c>
      <c r="I480" s="50">
        <v>0.48829287047999997</v>
      </c>
      <c r="J480" s="50">
        <v>0.28152200277799999</v>
      </c>
      <c r="K480" s="50">
        <v>672.68</v>
      </c>
      <c r="L480" s="50">
        <v>661.56</v>
      </c>
      <c r="M480" s="50">
        <v>670.63</v>
      </c>
      <c r="N480" s="66">
        <f t="shared" si="56"/>
        <v>2.6393093061747638E-3</v>
      </c>
      <c r="O480" s="66">
        <f t="shared" si="57"/>
        <v>-5.1787125538672617E-2</v>
      </c>
      <c r="P480" s="4">
        <f t="shared" si="58"/>
        <v>0.24999999999999997</v>
      </c>
      <c r="Q480" s="4">
        <f t="shared" si="59"/>
        <v>0.22249999999999998</v>
      </c>
      <c r="R480" s="66">
        <f t="shared" si="60"/>
        <v>2.6393093061747638E-3</v>
      </c>
      <c r="S480" s="66">
        <f t="shared" si="61"/>
        <v>-5.1787125538672617E-2</v>
      </c>
      <c r="T480" s="50">
        <f t="shared" si="62"/>
        <v>1</v>
      </c>
      <c r="U480" s="50" t="str">
        <f t="shared" si="63"/>
        <v/>
      </c>
    </row>
    <row r="481" spans="1:21" x14ac:dyDescent="0.2">
      <c r="A481" s="38">
        <v>35249</v>
      </c>
      <c r="B481" s="4">
        <v>0.32</v>
      </c>
      <c r="C481" s="4">
        <v>0.44</v>
      </c>
      <c r="D481" s="4">
        <v>0.24</v>
      </c>
      <c r="E481" s="50">
        <v>1</v>
      </c>
      <c r="F481" s="50">
        <v>0.45124999999999998</v>
      </c>
      <c r="G481" s="50">
        <v>0.08</v>
      </c>
      <c r="H481" s="50">
        <v>0.38490743662900001</v>
      </c>
      <c r="I481" s="50">
        <v>0.48829287047999997</v>
      </c>
      <c r="J481" s="50">
        <v>0.28152200277799999</v>
      </c>
      <c r="K481" s="50">
        <v>675.88</v>
      </c>
      <c r="L481" s="50">
        <v>670.21</v>
      </c>
      <c r="M481" s="50">
        <v>672.4</v>
      </c>
      <c r="N481" s="66">
        <f t="shared" si="56"/>
        <v>-3.8979773944080788E-2</v>
      </c>
      <c r="O481" s="66">
        <f t="shared" si="57"/>
        <v>-1.473825104104695E-2</v>
      </c>
      <c r="P481" s="4">
        <f t="shared" si="58"/>
        <v>8.0000000000000016E-2</v>
      </c>
      <c r="Q481" s="4">
        <f t="shared" si="59"/>
        <v>0.1875</v>
      </c>
      <c r="R481" s="66">
        <f t="shared" si="60"/>
        <v>-3.8979773944080788E-2</v>
      </c>
      <c r="S481" s="66">
        <f t="shared" si="61"/>
        <v>-1.473825104104695E-2</v>
      </c>
      <c r="T481" s="50" t="str">
        <f t="shared" si="62"/>
        <v/>
      </c>
      <c r="U481" s="50" t="str">
        <f t="shared" si="63"/>
        <v/>
      </c>
    </row>
    <row r="482" spans="1:21" x14ac:dyDescent="0.2">
      <c r="A482" s="38">
        <v>35257</v>
      </c>
      <c r="B482" s="4">
        <v>0.4</v>
      </c>
      <c r="C482" s="4">
        <v>0.35</v>
      </c>
      <c r="D482" s="4">
        <v>0.25</v>
      </c>
      <c r="E482" s="50">
        <v>1</v>
      </c>
      <c r="F482" s="50">
        <v>0.45500000000000002</v>
      </c>
      <c r="G482" s="50">
        <v>0.15</v>
      </c>
      <c r="H482" s="50">
        <v>0.38490743662900001</v>
      </c>
      <c r="I482" s="50">
        <v>0.48829287047999997</v>
      </c>
      <c r="J482" s="50">
        <v>0.28152200277799999</v>
      </c>
      <c r="K482" s="50">
        <v>657.65</v>
      </c>
      <c r="L482" s="50">
        <v>639.52</v>
      </c>
      <c r="M482" s="50">
        <v>646.19000000000005</v>
      </c>
      <c r="N482" s="66">
        <f t="shared" si="56"/>
        <v>-1.1544592147820356E-2</v>
      </c>
      <c r="O482" s="66">
        <f t="shared" si="57"/>
        <v>2.4621241430538954E-2</v>
      </c>
      <c r="P482" s="4">
        <f t="shared" si="58"/>
        <v>0.15000000000000002</v>
      </c>
      <c r="Q482" s="4">
        <f t="shared" si="59"/>
        <v>0.15999999999999998</v>
      </c>
      <c r="R482" s="66">
        <f t="shared" si="60"/>
        <v>-1.1544592147820356E-2</v>
      </c>
      <c r="S482" s="66">
        <f t="shared" si="61"/>
        <v>2.4621241430538954E-2</v>
      </c>
      <c r="T482" s="50" t="str">
        <f t="shared" si="62"/>
        <v/>
      </c>
      <c r="U482" s="50">
        <f t="shared" si="63"/>
        <v>1</v>
      </c>
    </row>
    <row r="483" spans="1:21" x14ac:dyDescent="0.2">
      <c r="A483" s="38">
        <v>35264</v>
      </c>
      <c r="B483" s="4">
        <v>0.28999999999999998</v>
      </c>
      <c r="C483" s="4">
        <v>0.45</v>
      </c>
      <c r="D483" s="4">
        <v>0.26</v>
      </c>
      <c r="E483" s="50">
        <v>1</v>
      </c>
      <c r="F483" s="50">
        <v>0.42749999999999999</v>
      </c>
      <c r="G483" s="50">
        <v>0.03</v>
      </c>
      <c r="H483" s="50">
        <v>0.38490743662900001</v>
      </c>
      <c r="I483" s="50">
        <v>0.48829287047999997</v>
      </c>
      <c r="J483" s="50">
        <v>0.28152200277799999</v>
      </c>
      <c r="K483" s="50">
        <v>646.19000000000005</v>
      </c>
      <c r="L483" s="50">
        <v>605.88</v>
      </c>
      <c r="M483" s="50">
        <v>638.73</v>
      </c>
      <c r="N483" s="66">
        <f t="shared" si="56"/>
        <v>-4.430667105036621E-3</v>
      </c>
      <c r="O483" s="66">
        <f t="shared" si="57"/>
        <v>4.1457266763734311E-2</v>
      </c>
      <c r="P483" s="4">
        <f t="shared" si="58"/>
        <v>2.9999999999999971E-2</v>
      </c>
      <c r="Q483" s="4">
        <f t="shared" si="59"/>
        <v>0.1275</v>
      </c>
      <c r="R483" s="66">
        <f t="shared" si="60"/>
        <v>-4.430667105036621E-3</v>
      </c>
      <c r="S483" s="66">
        <f t="shared" si="61"/>
        <v>4.1457266763734311E-2</v>
      </c>
      <c r="T483" s="50" t="str">
        <f t="shared" si="62"/>
        <v/>
      </c>
      <c r="U483" s="50">
        <f t="shared" si="63"/>
        <v>1</v>
      </c>
    </row>
    <row r="484" spans="1:21" x14ac:dyDescent="0.2">
      <c r="A484" s="38">
        <v>35271</v>
      </c>
      <c r="B484" s="4">
        <v>0.3</v>
      </c>
      <c r="C484" s="4">
        <v>0.32</v>
      </c>
      <c r="D484" s="4">
        <v>0.38</v>
      </c>
      <c r="E484" s="50">
        <v>1</v>
      </c>
      <c r="F484" s="50">
        <v>0.38874999999999998</v>
      </c>
      <c r="G484" s="50">
        <v>-0.08</v>
      </c>
      <c r="H484" s="50">
        <v>0.38490743662900001</v>
      </c>
      <c r="I484" s="50">
        <v>0.48829287047999997</v>
      </c>
      <c r="J484" s="50">
        <v>0.28152200277799999</v>
      </c>
      <c r="K484" s="50">
        <v>638.73</v>
      </c>
      <c r="L484" s="50">
        <v>616.42999999999995</v>
      </c>
      <c r="M484" s="50">
        <v>635.9</v>
      </c>
      <c r="N484" s="66">
        <f t="shared" si="56"/>
        <v>4.1814750746972849E-2</v>
      </c>
      <c r="O484" s="66">
        <f t="shared" si="57"/>
        <v>4.8954238087749638E-2</v>
      </c>
      <c r="P484" s="4">
        <f t="shared" si="58"/>
        <v>-8.0000000000000016E-2</v>
      </c>
      <c r="Q484" s="4">
        <f t="shared" si="59"/>
        <v>4.4999999999999998E-2</v>
      </c>
      <c r="R484" s="66">
        <f t="shared" si="60"/>
        <v>4.1814750746972849E-2</v>
      </c>
      <c r="S484" s="66">
        <f t="shared" si="61"/>
        <v>4.8954238087749638E-2</v>
      </c>
      <c r="T484" s="50">
        <f t="shared" si="62"/>
        <v>1</v>
      </c>
      <c r="U484" s="50">
        <f t="shared" si="63"/>
        <v>1</v>
      </c>
    </row>
    <row r="485" spans="1:21" x14ac:dyDescent="0.2">
      <c r="A485" s="38">
        <v>35278</v>
      </c>
      <c r="B485" s="4">
        <v>0.28999999999999998</v>
      </c>
      <c r="C485" s="4">
        <v>0.38</v>
      </c>
      <c r="D485" s="4">
        <v>0.33</v>
      </c>
      <c r="E485" s="50">
        <v>1</v>
      </c>
      <c r="F485" s="50">
        <v>0.36625000000000002</v>
      </c>
      <c r="G485" s="50">
        <v>-0.04</v>
      </c>
      <c r="H485" s="50">
        <v>0.38490743662900001</v>
      </c>
      <c r="I485" s="50">
        <v>0.48829287047999997</v>
      </c>
      <c r="J485" s="50">
        <v>0.28152200277799999</v>
      </c>
      <c r="K485" s="50">
        <v>662.49</v>
      </c>
      <c r="L485" s="50">
        <v>629.22</v>
      </c>
      <c r="M485" s="50">
        <v>662.49</v>
      </c>
      <c r="N485" s="66">
        <f t="shared" si="56"/>
        <v>-5.8868813114158151E-4</v>
      </c>
      <c r="O485" s="66">
        <f t="shared" si="57"/>
        <v>-1.584929583842775E-2</v>
      </c>
      <c r="P485" s="4">
        <f t="shared" si="58"/>
        <v>-4.0000000000000036E-2</v>
      </c>
      <c r="Q485" s="4">
        <f t="shared" si="59"/>
        <v>1.4999999999999986E-2</v>
      </c>
      <c r="R485" s="66">
        <f t="shared" si="60"/>
        <v>-5.8868813114158151E-4</v>
      </c>
      <c r="S485" s="66">
        <f t="shared" si="61"/>
        <v>-1.584929583842775E-2</v>
      </c>
      <c r="T485" s="50" t="str">
        <f t="shared" si="62"/>
        <v/>
      </c>
      <c r="U485" s="50" t="str">
        <f t="shared" si="63"/>
        <v/>
      </c>
    </row>
    <row r="486" spans="1:21" x14ac:dyDescent="0.2">
      <c r="A486" s="38">
        <v>35285</v>
      </c>
      <c r="B486" s="4">
        <v>0.27</v>
      </c>
      <c r="C486" s="4">
        <v>0.42</v>
      </c>
      <c r="D486" s="4">
        <v>0.31</v>
      </c>
      <c r="E486" s="50">
        <v>1</v>
      </c>
      <c r="F486" s="50">
        <v>0.33875</v>
      </c>
      <c r="G486" s="50">
        <v>-0.04</v>
      </c>
      <c r="H486" s="50">
        <v>0.38490743662900001</v>
      </c>
      <c r="I486" s="50">
        <v>0.48829287047999997</v>
      </c>
      <c r="J486" s="50">
        <v>0.28152200277799999</v>
      </c>
      <c r="K486" s="50">
        <v>665.37</v>
      </c>
      <c r="L486" s="50">
        <v>656.83</v>
      </c>
      <c r="M486" s="50">
        <v>662.1</v>
      </c>
      <c r="N486" s="66">
        <f t="shared" si="56"/>
        <v>4.6971756532246086E-3</v>
      </c>
      <c r="O486" s="66">
        <f t="shared" si="57"/>
        <v>-9.6964204802900966E-3</v>
      </c>
      <c r="P486" s="4">
        <f t="shared" si="58"/>
        <v>-3.999999999999998E-2</v>
      </c>
      <c r="Q486" s="4">
        <f t="shared" si="59"/>
        <v>-3.2500000000000015E-2</v>
      </c>
      <c r="R486" s="66">
        <f t="shared" si="60"/>
        <v>4.6971756532246086E-3</v>
      </c>
      <c r="S486" s="66">
        <f t="shared" si="61"/>
        <v>-9.6964204802900966E-3</v>
      </c>
      <c r="T486" s="50">
        <f t="shared" si="62"/>
        <v>1</v>
      </c>
      <c r="U486" s="50" t="str">
        <f t="shared" si="63"/>
        <v/>
      </c>
    </row>
    <row r="487" spans="1:21" x14ac:dyDescent="0.2">
      <c r="A487" s="38">
        <v>35292</v>
      </c>
      <c r="B487" s="4">
        <v>0.43</v>
      </c>
      <c r="C487" s="4">
        <v>0.37</v>
      </c>
      <c r="D487" s="4">
        <v>0.2</v>
      </c>
      <c r="E487" s="50">
        <v>1</v>
      </c>
      <c r="F487" s="50">
        <v>0.34</v>
      </c>
      <c r="G487" s="50">
        <v>0.23</v>
      </c>
      <c r="H487" s="50">
        <v>0.38490743662900001</v>
      </c>
      <c r="I487" s="50">
        <v>0.48829287047999997</v>
      </c>
      <c r="J487" s="50">
        <v>0.28152200277799999</v>
      </c>
      <c r="K487" s="50">
        <v>666.34</v>
      </c>
      <c r="L487" s="50">
        <v>658.47</v>
      </c>
      <c r="M487" s="50">
        <v>665.21</v>
      </c>
      <c r="N487" s="66">
        <f t="shared" si="56"/>
        <v>2.7359781121750067E-3</v>
      </c>
      <c r="O487" s="66">
        <f t="shared" si="57"/>
        <v>2.3045354098705562E-2</v>
      </c>
      <c r="P487" s="4">
        <f t="shared" si="58"/>
        <v>0.22999999999999998</v>
      </c>
      <c r="Q487" s="4">
        <f t="shared" si="59"/>
        <v>1.7499999999999988E-2</v>
      </c>
      <c r="R487" s="66">
        <f t="shared" si="60"/>
        <v>2.7359781121750067E-3</v>
      </c>
      <c r="S487" s="66">
        <f t="shared" si="61"/>
        <v>2.3045354098705562E-2</v>
      </c>
      <c r="T487" s="50">
        <f t="shared" si="62"/>
        <v>1</v>
      </c>
      <c r="U487" s="50">
        <f t="shared" si="63"/>
        <v>1</v>
      </c>
    </row>
    <row r="488" spans="1:21" x14ac:dyDescent="0.2">
      <c r="A488" s="38">
        <v>35299</v>
      </c>
      <c r="B488" s="4">
        <v>0.28000000000000003</v>
      </c>
      <c r="C488" s="4">
        <v>0.46</v>
      </c>
      <c r="D488" s="4">
        <v>0.26</v>
      </c>
      <c r="E488" s="50">
        <v>1</v>
      </c>
      <c r="F488" s="50">
        <v>0.32250000000000001</v>
      </c>
      <c r="G488" s="50">
        <v>0.02</v>
      </c>
      <c r="H488" s="50">
        <v>0.38490743662900001</v>
      </c>
      <c r="I488" s="50">
        <v>0.48829287047999997</v>
      </c>
      <c r="J488" s="50">
        <v>0.28152200277799999</v>
      </c>
      <c r="K488" s="50">
        <v>670.68</v>
      </c>
      <c r="L488" s="50">
        <v>662.16</v>
      </c>
      <c r="M488" s="50">
        <v>667.03</v>
      </c>
      <c r="N488" s="66">
        <f t="shared" si="56"/>
        <v>-2.2547711497233953E-2</v>
      </c>
      <c r="O488" s="66">
        <f t="shared" si="57"/>
        <v>2.9983658905896288E-2</v>
      </c>
      <c r="P488" s="4">
        <f t="shared" si="58"/>
        <v>2.0000000000000018E-2</v>
      </c>
      <c r="Q488" s="4">
        <f t="shared" si="59"/>
        <v>4.2499999999999996E-2</v>
      </c>
      <c r="R488" s="66">
        <f t="shared" si="60"/>
        <v>-2.2547711497233953E-2</v>
      </c>
      <c r="S488" s="66">
        <f t="shared" si="61"/>
        <v>2.9983658905896288E-2</v>
      </c>
      <c r="T488" s="50" t="str">
        <f t="shared" si="62"/>
        <v/>
      </c>
      <c r="U488" s="50">
        <f t="shared" si="63"/>
        <v>1</v>
      </c>
    </row>
    <row r="489" spans="1:21" x14ac:dyDescent="0.2">
      <c r="A489" s="38">
        <v>35306</v>
      </c>
      <c r="B489" s="4">
        <v>0.28000000000000003</v>
      </c>
      <c r="C489" s="4">
        <v>0.43</v>
      </c>
      <c r="D489" s="4">
        <v>0.28999999999999998</v>
      </c>
      <c r="E489" s="50">
        <v>1</v>
      </c>
      <c r="F489" s="50">
        <v>0.3175</v>
      </c>
      <c r="G489" s="50">
        <v>-0.01</v>
      </c>
      <c r="H489" s="50">
        <v>0.38490743662900001</v>
      </c>
      <c r="I489" s="50">
        <v>0.48829287047999997</v>
      </c>
      <c r="J489" s="50">
        <v>0.28152200277799999</v>
      </c>
      <c r="K489" s="50">
        <v>670.68</v>
      </c>
      <c r="L489" s="50">
        <v>650.52</v>
      </c>
      <c r="M489" s="50">
        <v>651.99</v>
      </c>
      <c r="N489" s="66">
        <f t="shared" si="56"/>
        <v>5.6595960060736219E-3</v>
      </c>
      <c r="O489" s="66">
        <f t="shared" si="57"/>
        <v>5.2454792251414965E-2</v>
      </c>
      <c r="P489" s="4">
        <f t="shared" si="58"/>
        <v>-9.9999999999999534E-3</v>
      </c>
      <c r="Q489" s="4">
        <f t="shared" si="59"/>
        <v>5.0000000000000017E-2</v>
      </c>
      <c r="R489" s="66">
        <f t="shared" si="60"/>
        <v>5.6595960060736219E-3</v>
      </c>
      <c r="S489" s="66">
        <f t="shared" si="61"/>
        <v>5.2454792251414965E-2</v>
      </c>
      <c r="T489" s="50">
        <f t="shared" si="62"/>
        <v>1</v>
      </c>
      <c r="U489" s="50">
        <f t="shared" si="63"/>
        <v>1</v>
      </c>
    </row>
    <row r="490" spans="1:21" x14ac:dyDescent="0.2">
      <c r="A490" s="38">
        <v>35313</v>
      </c>
      <c r="B490" s="4">
        <v>0.28999999999999998</v>
      </c>
      <c r="C490" s="4">
        <v>0.35</v>
      </c>
      <c r="D490" s="4">
        <v>0.36</v>
      </c>
      <c r="E490" s="50">
        <v>1</v>
      </c>
      <c r="F490" s="50">
        <v>0.30375000000000002</v>
      </c>
      <c r="G490" s="50">
        <v>-7.0000000000000007E-2</v>
      </c>
      <c r="H490" s="50">
        <v>0.38490743662900001</v>
      </c>
      <c r="I490" s="50">
        <v>0.48829287047999997</v>
      </c>
      <c r="J490" s="50">
        <v>0.28152200277799999</v>
      </c>
      <c r="K490" s="50">
        <v>658.21</v>
      </c>
      <c r="L490" s="50">
        <v>643.97</v>
      </c>
      <c r="M490" s="50">
        <v>655.68</v>
      </c>
      <c r="N490" s="66">
        <f t="shared" si="56"/>
        <v>3.7914836505612518E-2</v>
      </c>
      <c r="O490" s="66">
        <f t="shared" si="57"/>
        <v>6.9820644216691208E-2</v>
      </c>
      <c r="P490" s="4">
        <f t="shared" si="58"/>
        <v>-7.0000000000000007E-2</v>
      </c>
      <c r="Q490" s="4">
        <f t="shared" si="59"/>
        <v>4.250000000000001E-2</v>
      </c>
      <c r="R490" s="66">
        <f t="shared" si="60"/>
        <v>3.7914836505612518E-2</v>
      </c>
      <c r="S490" s="66">
        <f t="shared" si="61"/>
        <v>6.9820644216691208E-2</v>
      </c>
      <c r="T490" s="50">
        <f t="shared" si="62"/>
        <v>1</v>
      </c>
      <c r="U490" s="50">
        <f t="shared" si="63"/>
        <v>1</v>
      </c>
    </row>
    <row r="491" spans="1:21" x14ac:dyDescent="0.2">
      <c r="A491" s="38">
        <v>35320</v>
      </c>
      <c r="B491" s="4">
        <v>0.26</v>
      </c>
      <c r="C491" s="4">
        <v>0.46</v>
      </c>
      <c r="D491" s="4">
        <v>0.28000000000000003</v>
      </c>
      <c r="E491" s="50">
        <v>1</v>
      </c>
      <c r="F491" s="50">
        <v>0.3</v>
      </c>
      <c r="G491" s="50">
        <v>-0.02</v>
      </c>
      <c r="H491" s="50">
        <v>0.38490743662900001</v>
      </c>
      <c r="I491" s="50">
        <v>0.48829287047999997</v>
      </c>
      <c r="J491" s="50">
        <v>0.28152200277799999</v>
      </c>
      <c r="K491" s="50">
        <v>681.39</v>
      </c>
      <c r="L491" s="50">
        <v>655.68</v>
      </c>
      <c r="M491" s="50">
        <v>680.54</v>
      </c>
      <c r="N491" s="66">
        <f t="shared" si="56"/>
        <v>9.5365445087724592E-3</v>
      </c>
      <c r="O491" s="66">
        <f t="shared" si="57"/>
        <v>2.9564757398536465E-2</v>
      </c>
      <c r="P491" s="4">
        <f t="shared" si="58"/>
        <v>-2.0000000000000018E-2</v>
      </c>
      <c r="Q491" s="4">
        <f t="shared" si="59"/>
        <v>-1.999999999999999E-2</v>
      </c>
      <c r="R491" s="66">
        <f t="shared" si="60"/>
        <v>9.5365445087724592E-3</v>
      </c>
      <c r="S491" s="66">
        <f t="shared" si="61"/>
        <v>2.9564757398536465E-2</v>
      </c>
      <c r="T491" s="50">
        <f t="shared" si="62"/>
        <v>1</v>
      </c>
      <c r="U491" s="50">
        <f t="shared" si="63"/>
        <v>1</v>
      </c>
    </row>
    <row r="492" spans="1:21" x14ac:dyDescent="0.2">
      <c r="A492" s="38">
        <v>35327</v>
      </c>
      <c r="B492" s="4">
        <v>0.28000000000000003</v>
      </c>
      <c r="C492" s="4">
        <v>0.41</v>
      </c>
      <c r="D492" s="4">
        <v>0.31</v>
      </c>
      <c r="E492" s="50">
        <v>1</v>
      </c>
      <c r="F492" s="50">
        <v>0.29749999999999999</v>
      </c>
      <c r="G492" s="50">
        <v>-0.03</v>
      </c>
      <c r="H492" s="50">
        <v>0.38490743662900001</v>
      </c>
      <c r="I492" s="50">
        <v>0.48829287047999997</v>
      </c>
      <c r="J492" s="50">
        <v>0.28152200277799999</v>
      </c>
      <c r="K492" s="50">
        <v>687.07</v>
      </c>
      <c r="L492" s="50">
        <v>679.06</v>
      </c>
      <c r="M492" s="50">
        <v>687.03</v>
      </c>
      <c r="N492" s="66">
        <f t="shared" si="56"/>
        <v>-1.2226540325748776E-3</v>
      </c>
      <c r="O492" s="66">
        <f t="shared" si="57"/>
        <v>3.4627308851141986E-2</v>
      </c>
      <c r="P492" s="4">
        <f t="shared" si="58"/>
        <v>-2.9999999999999971E-2</v>
      </c>
      <c r="Q492" s="4">
        <f t="shared" si="59"/>
        <v>-3.2499999999999987E-2</v>
      </c>
      <c r="R492" s="66">
        <f t="shared" si="60"/>
        <v>-1.2226540325748776E-3</v>
      </c>
      <c r="S492" s="66">
        <f t="shared" si="61"/>
        <v>3.4627308851141986E-2</v>
      </c>
      <c r="T492" s="50" t="str">
        <f t="shared" si="62"/>
        <v/>
      </c>
      <c r="U492" s="50">
        <f t="shared" si="63"/>
        <v>1</v>
      </c>
    </row>
    <row r="493" spans="1:21" x14ac:dyDescent="0.2">
      <c r="A493" s="38">
        <v>35334</v>
      </c>
      <c r="B493" s="4">
        <v>0.34</v>
      </c>
      <c r="C493" s="4">
        <v>0.39</v>
      </c>
      <c r="D493" s="4">
        <v>0.27</v>
      </c>
      <c r="E493" s="50">
        <v>1</v>
      </c>
      <c r="F493" s="50">
        <v>0.30375000000000002</v>
      </c>
      <c r="G493" s="50">
        <v>7.0000000000000007E-2</v>
      </c>
      <c r="H493" s="50">
        <v>0.38490743662900001</v>
      </c>
      <c r="I493" s="50">
        <v>0.48829287047999997</v>
      </c>
      <c r="J493" s="50">
        <v>0.28152200277799999</v>
      </c>
      <c r="K493" s="50">
        <v>690.88</v>
      </c>
      <c r="L493" s="50">
        <v>681.01</v>
      </c>
      <c r="M493" s="50">
        <v>686.19</v>
      </c>
      <c r="N493" s="66">
        <f t="shared" si="56"/>
        <v>2.2253311764963028E-2</v>
      </c>
      <c r="O493" s="66">
        <f t="shared" si="57"/>
        <v>2.1466357714335537E-2</v>
      </c>
      <c r="P493" s="4">
        <f t="shared" si="58"/>
        <v>7.0000000000000007E-2</v>
      </c>
      <c r="Q493" s="4">
        <f t="shared" si="59"/>
        <v>-1.2499999999999997E-2</v>
      </c>
      <c r="R493" s="66">
        <f t="shared" si="60"/>
        <v>2.2253311764963028E-2</v>
      </c>
      <c r="S493" s="66">
        <f t="shared" si="61"/>
        <v>2.1466357714335537E-2</v>
      </c>
      <c r="T493" s="50">
        <f t="shared" si="62"/>
        <v>1</v>
      </c>
      <c r="U493" s="50">
        <f t="shared" si="63"/>
        <v>1</v>
      </c>
    </row>
    <row r="494" spans="1:21" x14ac:dyDescent="0.2">
      <c r="A494" s="38">
        <v>35341</v>
      </c>
      <c r="B494" s="4">
        <v>0.4</v>
      </c>
      <c r="C494" s="4">
        <v>0.31</v>
      </c>
      <c r="D494" s="4">
        <v>0.28999999999999998</v>
      </c>
      <c r="E494" s="50">
        <v>1</v>
      </c>
      <c r="F494" s="50">
        <v>0.32</v>
      </c>
      <c r="G494" s="50">
        <v>0.11</v>
      </c>
      <c r="H494" s="50">
        <v>0.38490743662900001</v>
      </c>
      <c r="I494" s="50">
        <v>0.48829287047999997</v>
      </c>
      <c r="J494" s="50">
        <v>0.28152200277799999</v>
      </c>
      <c r="K494" s="50">
        <v>701.74</v>
      </c>
      <c r="L494" s="50">
        <v>686.03</v>
      </c>
      <c r="M494" s="50">
        <v>701.46</v>
      </c>
      <c r="N494" s="66">
        <f t="shared" si="56"/>
        <v>-1.1404784307017764E-3</v>
      </c>
      <c r="O494" s="66">
        <f t="shared" si="57"/>
        <v>3.2931314686510211E-3</v>
      </c>
      <c r="P494" s="4">
        <f t="shared" si="58"/>
        <v>0.11000000000000004</v>
      </c>
      <c r="Q494" s="4">
        <f t="shared" si="59"/>
        <v>3.2500000000000015E-2</v>
      </c>
      <c r="R494" s="66">
        <f t="shared" si="60"/>
        <v>-1.1404784307017764E-3</v>
      </c>
      <c r="S494" s="66">
        <f t="shared" si="61"/>
        <v>3.2931314686510211E-3</v>
      </c>
      <c r="T494" s="50" t="str">
        <f t="shared" si="62"/>
        <v/>
      </c>
      <c r="U494" s="50">
        <f t="shared" si="63"/>
        <v>1</v>
      </c>
    </row>
    <row r="495" spans="1:21" x14ac:dyDescent="0.2">
      <c r="A495" s="38">
        <v>35348</v>
      </c>
      <c r="B495" s="4">
        <v>0.38</v>
      </c>
      <c r="C495" s="4">
        <v>0.36</v>
      </c>
      <c r="D495" s="4">
        <v>0.26</v>
      </c>
      <c r="E495" s="50">
        <v>1</v>
      </c>
      <c r="F495" s="50">
        <v>0.31374999999999997</v>
      </c>
      <c r="G495" s="50">
        <v>0.12</v>
      </c>
      <c r="H495" s="50">
        <v>0.38490743662900001</v>
      </c>
      <c r="I495" s="50">
        <v>0.48829287047999997</v>
      </c>
      <c r="J495" s="50">
        <v>0.28152200277799999</v>
      </c>
      <c r="K495" s="50">
        <v>705.76</v>
      </c>
      <c r="L495" s="50">
        <v>693.34</v>
      </c>
      <c r="M495" s="50">
        <v>700.66</v>
      </c>
      <c r="N495" s="66">
        <f t="shared" si="56"/>
        <v>1.4500613707076303E-2</v>
      </c>
      <c r="O495" s="66">
        <f t="shared" si="57"/>
        <v>4.3045128878486119E-2</v>
      </c>
      <c r="P495" s="4">
        <f t="shared" si="58"/>
        <v>0.12</v>
      </c>
      <c r="Q495" s="4">
        <f t="shared" si="59"/>
        <v>6.7500000000000018E-2</v>
      </c>
      <c r="R495" s="66">
        <f t="shared" si="60"/>
        <v>1.4500613707076303E-2</v>
      </c>
      <c r="S495" s="66">
        <f t="shared" si="61"/>
        <v>4.3045128878486119E-2</v>
      </c>
      <c r="T495" s="50">
        <f t="shared" si="62"/>
        <v>1</v>
      </c>
      <c r="U495" s="50">
        <f t="shared" si="63"/>
        <v>1</v>
      </c>
    </row>
    <row r="496" spans="1:21" x14ac:dyDescent="0.2">
      <c r="A496" s="38">
        <v>35355</v>
      </c>
      <c r="B496" s="4">
        <v>0.39</v>
      </c>
      <c r="C496" s="4">
        <v>0.36</v>
      </c>
      <c r="D496" s="4">
        <v>0.25</v>
      </c>
      <c r="E496" s="50">
        <v>1</v>
      </c>
      <c r="F496" s="50">
        <v>0.32750000000000001</v>
      </c>
      <c r="G496" s="50">
        <v>0.14000000000000001</v>
      </c>
      <c r="H496" s="50">
        <v>0.38490743662900001</v>
      </c>
      <c r="I496" s="50">
        <v>0.48829287047999997</v>
      </c>
      <c r="J496" s="50">
        <v>0.28152200277799999</v>
      </c>
      <c r="K496" s="50">
        <v>711.04</v>
      </c>
      <c r="L496" s="50">
        <v>699.07</v>
      </c>
      <c r="M496" s="50">
        <v>710.82</v>
      </c>
      <c r="N496" s="66">
        <f t="shared" si="56"/>
        <v>-1.3927576601671435E-2</v>
      </c>
      <c r="O496" s="66">
        <f t="shared" si="57"/>
        <v>3.7702934638867723E-2</v>
      </c>
      <c r="P496" s="4">
        <f t="shared" si="58"/>
        <v>0.14000000000000001</v>
      </c>
      <c r="Q496" s="4">
        <f t="shared" si="59"/>
        <v>0.11000000000000001</v>
      </c>
      <c r="R496" s="66">
        <f t="shared" si="60"/>
        <v>-1.3927576601671435E-2</v>
      </c>
      <c r="S496" s="66">
        <f t="shared" si="61"/>
        <v>3.7702934638867723E-2</v>
      </c>
      <c r="T496" s="50" t="str">
        <f t="shared" si="62"/>
        <v/>
      </c>
      <c r="U496" s="50">
        <f t="shared" si="63"/>
        <v>1</v>
      </c>
    </row>
    <row r="497" spans="1:21" x14ac:dyDescent="0.2">
      <c r="A497" s="38">
        <v>35362</v>
      </c>
      <c r="B497" s="4">
        <v>0.42</v>
      </c>
      <c r="C497" s="4">
        <v>0.33</v>
      </c>
      <c r="D497" s="4">
        <v>0.25</v>
      </c>
      <c r="E497" s="50">
        <v>1</v>
      </c>
      <c r="F497" s="50">
        <v>0.34499999999999997</v>
      </c>
      <c r="G497" s="50">
        <v>0.17</v>
      </c>
      <c r="H497" s="50">
        <v>0.38490743662900001</v>
      </c>
      <c r="I497" s="50">
        <v>0.48829287047999997</v>
      </c>
      <c r="J497" s="50">
        <v>0.28152200277799999</v>
      </c>
      <c r="K497" s="50">
        <v>714.1</v>
      </c>
      <c r="L497" s="50">
        <v>700.53</v>
      </c>
      <c r="M497" s="50">
        <v>700.92</v>
      </c>
      <c r="N497" s="66">
        <f t="shared" si="56"/>
        <v>4.0660845745591834E-3</v>
      </c>
      <c r="O497" s="66">
        <f t="shared" si="57"/>
        <v>6.8210352108657279E-2</v>
      </c>
      <c r="P497" s="4">
        <f t="shared" si="58"/>
        <v>0.16999999999999998</v>
      </c>
      <c r="Q497" s="4">
        <f t="shared" si="59"/>
        <v>0.13500000000000001</v>
      </c>
      <c r="R497" s="66">
        <f t="shared" si="60"/>
        <v>4.0660845745591834E-3</v>
      </c>
      <c r="S497" s="66">
        <f t="shared" si="61"/>
        <v>6.8210352108657279E-2</v>
      </c>
      <c r="T497" s="50">
        <f t="shared" si="62"/>
        <v>1</v>
      </c>
      <c r="U497" s="50">
        <f t="shared" si="63"/>
        <v>1</v>
      </c>
    </row>
    <row r="498" spans="1:21" x14ac:dyDescent="0.2">
      <c r="A498" s="38">
        <v>35369</v>
      </c>
      <c r="B498" s="4">
        <v>0.37</v>
      </c>
      <c r="C498" s="4">
        <v>0.28999999999999998</v>
      </c>
      <c r="D498" s="4">
        <v>0.34</v>
      </c>
      <c r="E498" s="50">
        <v>1</v>
      </c>
      <c r="F498" s="50">
        <v>0.35499999999999998</v>
      </c>
      <c r="G498" s="50">
        <v>0.03</v>
      </c>
      <c r="H498" s="50">
        <v>0.38490743662900001</v>
      </c>
      <c r="I498" s="50">
        <v>0.48829287047999997</v>
      </c>
      <c r="J498" s="50">
        <v>0.28152200277799999</v>
      </c>
      <c r="K498" s="50">
        <v>708.6</v>
      </c>
      <c r="L498" s="50">
        <v>696.22</v>
      </c>
      <c r="M498" s="50">
        <v>703.77</v>
      </c>
      <c r="N498" s="66">
        <f t="shared" si="56"/>
        <v>3.8435852622305679E-2</v>
      </c>
      <c r="O498" s="66">
        <f t="shared" si="57"/>
        <v>7.2793668385978408E-2</v>
      </c>
      <c r="P498" s="4">
        <f t="shared" si="58"/>
        <v>2.9999999999999971E-2</v>
      </c>
      <c r="Q498" s="4">
        <f t="shared" si="59"/>
        <v>0.11499999999999999</v>
      </c>
      <c r="R498" s="66">
        <f t="shared" si="60"/>
        <v>3.8435852622305679E-2</v>
      </c>
      <c r="S498" s="66">
        <f t="shared" si="61"/>
        <v>7.2793668385978408E-2</v>
      </c>
      <c r="T498" s="50">
        <f t="shared" si="62"/>
        <v>1</v>
      </c>
      <c r="U498" s="50">
        <f t="shared" si="63"/>
        <v>1</v>
      </c>
    </row>
    <row r="499" spans="1:21" x14ac:dyDescent="0.2">
      <c r="A499" s="38">
        <v>35376</v>
      </c>
      <c r="B499" s="4">
        <v>0.26</v>
      </c>
      <c r="C499" s="4">
        <v>0.45</v>
      </c>
      <c r="D499" s="4">
        <v>0.28999999999999998</v>
      </c>
      <c r="E499" s="50">
        <v>1</v>
      </c>
      <c r="F499" s="50">
        <v>0.35499999999999998</v>
      </c>
      <c r="G499" s="50">
        <v>-0.03</v>
      </c>
      <c r="H499" s="50">
        <v>0.38490743662900001</v>
      </c>
      <c r="I499" s="50">
        <v>0.48829287047999997</v>
      </c>
      <c r="J499" s="50">
        <v>0.28152200277799999</v>
      </c>
      <c r="K499" s="50">
        <v>730.82</v>
      </c>
      <c r="L499" s="50">
        <v>702.84</v>
      </c>
      <c r="M499" s="50">
        <v>730.82</v>
      </c>
      <c r="N499" s="66">
        <f t="shared" si="56"/>
        <v>9.3046167318901422E-3</v>
      </c>
      <c r="O499" s="66">
        <f t="shared" si="57"/>
        <v>1.2013902192058197E-2</v>
      </c>
      <c r="P499" s="4">
        <f t="shared" si="58"/>
        <v>-2.9999999999999971E-2</v>
      </c>
      <c r="Q499" s="4">
        <f t="shared" si="59"/>
        <v>7.7499999999999999E-2</v>
      </c>
      <c r="R499" s="66">
        <f t="shared" si="60"/>
        <v>9.3046167318901422E-3</v>
      </c>
      <c r="S499" s="66">
        <f t="shared" si="61"/>
        <v>1.2013902192058197E-2</v>
      </c>
      <c r="T499" s="50">
        <f t="shared" si="62"/>
        <v>1</v>
      </c>
      <c r="U499" s="50">
        <f t="shared" si="63"/>
        <v>1</v>
      </c>
    </row>
    <row r="500" spans="1:21" x14ac:dyDescent="0.2">
      <c r="A500" s="38">
        <v>35383</v>
      </c>
      <c r="B500" s="4">
        <v>0.37</v>
      </c>
      <c r="C500" s="4">
        <v>0.34</v>
      </c>
      <c r="D500" s="4">
        <v>0.28999999999999998</v>
      </c>
      <c r="E500" s="50">
        <v>1</v>
      </c>
      <c r="F500" s="50">
        <v>0.36625000000000002</v>
      </c>
      <c r="G500" s="50">
        <v>0.08</v>
      </c>
      <c r="H500" s="50">
        <v>0.38490743662900001</v>
      </c>
      <c r="I500" s="50">
        <v>0.48829287047999997</v>
      </c>
      <c r="J500" s="50">
        <v>0.28152200277799999</v>
      </c>
      <c r="K500" s="50">
        <v>741.92</v>
      </c>
      <c r="L500" s="50">
        <v>728.03</v>
      </c>
      <c r="M500" s="50">
        <v>737.62</v>
      </c>
      <c r="N500" s="66">
        <f t="shared" si="56"/>
        <v>1.5061956020715292E-2</v>
      </c>
      <c r="O500" s="66">
        <f t="shared" si="57"/>
        <v>-1.2174290284970605E-2</v>
      </c>
      <c r="P500" s="4">
        <f t="shared" si="58"/>
        <v>8.0000000000000016E-2</v>
      </c>
      <c r="Q500" s="4">
        <f t="shared" si="59"/>
        <v>6.25E-2</v>
      </c>
      <c r="R500" s="66">
        <f t="shared" si="60"/>
        <v>1.5061956020715292E-2</v>
      </c>
      <c r="S500" s="66">
        <f t="shared" si="61"/>
        <v>-1.2174290284970605E-2</v>
      </c>
      <c r="T500" s="50">
        <f t="shared" si="62"/>
        <v>1</v>
      </c>
      <c r="U500" s="50" t="str">
        <f t="shared" si="63"/>
        <v/>
      </c>
    </row>
    <row r="501" spans="1:21" x14ac:dyDescent="0.2">
      <c r="A501" s="38">
        <v>35390</v>
      </c>
      <c r="B501" s="4">
        <v>0.43</v>
      </c>
      <c r="C501" s="4">
        <v>0.3</v>
      </c>
      <c r="D501" s="4">
        <v>0.27</v>
      </c>
      <c r="E501" s="50">
        <v>1</v>
      </c>
      <c r="F501" s="50">
        <v>0.3775</v>
      </c>
      <c r="G501" s="50">
        <v>0.16</v>
      </c>
      <c r="H501" s="50">
        <v>0.38490743662900001</v>
      </c>
      <c r="I501" s="50">
        <v>0.48829287047999997</v>
      </c>
      <c r="J501" s="50">
        <v>0.28152200277799999</v>
      </c>
      <c r="K501" s="50">
        <v>748.73</v>
      </c>
      <c r="L501" s="50">
        <v>737.02</v>
      </c>
      <c r="M501" s="50">
        <v>748.73</v>
      </c>
      <c r="N501" s="66">
        <f t="shared" si="56"/>
        <v>8.3741802786050801E-3</v>
      </c>
      <c r="O501" s="66">
        <f t="shared" si="57"/>
        <v>1.8698329170727278E-4</v>
      </c>
      <c r="P501" s="4">
        <f t="shared" si="58"/>
        <v>0.15999999999999998</v>
      </c>
      <c r="Q501" s="4">
        <f t="shared" si="59"/>
        <v>0.06</v>
      </c>
      <c r="R501" s="66">
        <f t="shared" si="60"/>
        <v>8.3741802786050801E-3</v>
      </c>
      <c r="S501" s="66">
        <f t="shared" si="61"/>
        <v>1.8698329170727278E-4</v>
      </c>
      <c r="T501" s="50">
        <f t="shared" si="62"/>
        <v>1</v>
      </c>
      <c r="U501" s="50">
        <f t="shared" si="63"/>
        <v>1</v>
      </c>
    </row>
    <row r="502" spans="1:21" x14ac:dyDescent="0.2">
      <c r="A502" s="38">
        <v>35396</v>
      </c>
      <c r="B502" s="4">
        <v>0.52</v>
      </c>
      <c r="C502" s="4">
        <v>0.27</v>
      </c>
      <c r="D502" s="4">
        <v>0.21</v>
      </c>
      <c r="E502" s="50">
        <v>1</v>
      </c>
      <c r="F502" s="50">
        <v>0.39250000000000002</v>
      </c>
      <c r="G502" s="50">
        <v>0.31</v>
      </c>
      <c r="H502" s="50">
        <v>0.38490743662900001</v>
      </c>
      <c r="I502" s="50">
        <v>0.48829287047999997</v>
      </c>
      <c r="J502" s="50">
        <v>0.28152200277799999</v>
      </c>
      <c r="K502" s="50">
        <v>762.12</v>
      </c>
      <c r="L502" s="50">
        <v>741.08</v>
      </c>
      <c r="M502" s="50">
        <v>755</v>
      </c>
      <c r="N502" s="66">
        <f t="shared" si="56"/>
        <v>-2.0397350993377455E-2</v>
      </c>
      <c r="O502" s="66">
        <f t="shared" si="57"/>
        <v>2.3708609271522697E-3</v>
      </c>
      <c r="P502" s="4">
        <f t="shared" si="58"/>
        <v>0.31000000000000005</v>
      </c>
      <c r="Q502" s="4">
        <f t="shared" si="59"/>
        <v>0.13</v>
      </c>
      <c r="R502" s="66">
        <f t="shared" si="60"/>
        <v>-2.0397350993377455E-2</v>
      </c>
      <c r="S502" s="66">
        <f t="shared" si="61"/>
        <v>2.3708609271522697E-3</v>
      </c>
      <c r="T502" s="50" t="str">
        <f t="shared" si="62"/>
        <v/>
      </c>
      <c r="U502" s="50">
        <f t="shared" si="63"/>
        <v>1</v>
      </c>
    </row>
    <row r="503" spans="1:21" x14ac:dyDescent="0.2">
      <c r="A503" s="38">
        <v>35404</v>
      </c>
      <c r="B503" s="4">
        <v>0.41</v>
      </c>
      <c r="C503" s="4">
        <v>0.26</v>
      </c>
      <c r="D503" s="4">
        <v>0.33</v>
      </c>
      <c r="E503" s="50">
        <v>1</v>
      </c>
      <c r="F503" s="50">
        <v>0.39624999999999999</v>
      </c>
      <c r="G503" s="50">
        <v>0.08</v>
      </c>
      <c r="H503" s="50">
        <v>0.38490743662900001</v>
      </c>
      <c r="I503" s="50">
        <v>0.48829287047999997</v>
      </c>
      <c r="J503" s="50">
        <v>0.28152200277799999</v>
      </c>
      <c r="K503" s="50">
        <v>761.75</v>
      </c>
      <c r="L503" s="50">
        <v>726.98</v>
      </c>
      <c r="M503" s="50">
        <v>739.6</v>
      </c>
      <c r="N503" s="66">
        <f t="shared" si="56"/>
        <v>-1.4818820984315894E-2</v>
      </c>
      <c r="O503" s="66">
        <f t="shared" si="57"/>
        <v>1.1398053001622431E-2</v>
      </c>
      <c r="P503" s="4">
        <f t="shared" si="58"/>
        <v>7.999999999999996E-2</v>
      </c>
      <c r="Q503" s="4">
        <f t="shared" si="59"/>
        <v>0.1575</v>
      </c>
      <c r="R503" s="66">
        <f t="shared" si="60"/>
        <v>-1.4818820984315894E-2</v>
      </c>
      <c r="S503" s="66">
        <f t="shared" si="61"/>
        <v>1.1398053001622431E-2</v>
      </c>
      <c r="T503" s="50" t="str">
        <f t="shared" si="62"/>
        <v/>
      </c>
      <c r="U503" s="50">
        <f t="shared" si="63"/>
        <v>1</v>
      </c>
    </row>
    <row r="504" spans="1:21" x14ac:dyDescent="0.2">
      <c r="A504" s="38">
        <v>35411</v>
      </c>
      <c r="B504" s="4">
        <v>0.4</v>
      </c>
      <c r="C504" s="4">
        <v>0.28000000000000003</v>
      </c>
      <c r="D504" s="4">
        <v>0.32</v>
      </c>
      <c r="E504" s="50">
        <v>1</v>
      </c>
      <c r="F504" s="50">
        <v>0.39750000000000002</v>
      </c>
      <c r="G504" s="50">
        <v>0.08</v>
      </c>
      <c r="H504" s="50">
        <v>0.38490743662900001</v>
      </c>
      <c r="I504" s="50">
        <v>0.48829287047999997</v>
      </c>
      <c r="J504" s="50">
        <v>0.28152200277799999</v>
      </c>
      <c r="K504" s="50">
        <v>753.43</v>
      </c>
      <c r="L504" s="50">
        <v>718.98</v>
      </c>
      <c r="M504" s="50">
        <v>728.64</v>
      </c>
      <c r="N504" s="66">
        <f t="shared" si="56"/>
        <v>2.7764053579270996E-2</v>
      </c>
      <c r="O504" s="66">
        <f t="shared" si="57"/>
        <v>4.2352876592007045E-2</v>
      </c>
      <c r="P504" s="4">
        <f t="shared" si="58"/>
        <v>8.0000000000000016E-2</v>
      </c>
      <c r="Q504" s="4">
        <f t="shared" si="59"/>
        <v>0.15750000000000003</v>
      </c>
      <c r="R504" s="66">
        <f t="shared" si="60"/>
        <v>2.7764053579270996E-2</v>
      </c>
      <c r="S504" s="66">
        <f t="shared" si="61"/>
        <v>4.2352876592007045E-2</v>
      </c>
      <c r="T504" s="50">
        <f t="shared" si="62"/>
        <v>1</v>
      </c>
      <c r="U504" s="50">
        <f t="shared" si="63"/>
        <v>1</v>
      </c>
    </row>
    <row r="505" spans="1:21" x14ac:dyDescent="0.2">
      <c r="A505" s="38">
        <v>35418</v>
      </c>
      <c r="B505" s="4">
        <v>0.33</v>
      </c>
      <c r="C505" s="4">
        <v>0.28000000000000003</v>
      </c>
      <c r="D505" s="4">
        <v>0.39</v>
      </c>
      <c r="E505" s="50">
        <v>1</v>
      </c>
      <c r="F505" s="50">
        <v>0.38624999999999998</v>
      </c>
      <c r="G505" s="50">
        <v>-0.06</v>
      </c>
      <c r="H505" s="50">
        <v>0.38490743662900001</v>
      </c>
      <c r="I505" s="50">
        <v>0.48829287047999997</v>
      </c>
      <c r="J505" s="50">
        <v>0.28152200277799999</v>
      </c>
      <c r="K505" s="50">
        <v>755.41</v>
      </c>
      <c r="L505" s="50">
        <v>716.69</v>
      </c>
      <c r="M505" s="50">
        <v>748.87</v>
      </c>
      <c r="N505" s="66">
        <f t="shared" si="56"/>
        <v>1.0575934407841093E-2</v>
      </c>
      <c r="O505" s="66">
        <f t="shared" si="57"/>
        <v>3.6454925420967531E-2</v>
      </c>
      <c r="P505" s="4">
        <f t="shared" si="58"/>
        <v>-0.06</v>
      </c>
      <c r="Q505" s="4">
        <f t="shared" si="59"/>
        <v>0.10250000000000001</v>
      </c>
      <c r="R505" s="66">
        <f t="shared" si="60"/>
        <v>1.0575934407841093E-2</v>
      </c>
      <c r="S505" s="66">
        <f t="shared" si="61"/>
        <v>3.6454925420967531E-2</v>
      </c>
      <c r="T505" s="50">
        <f t="shared" si="62"/>
        <v>1</v>
      </c>
      <c r="U505" s="50">
        <f t="shared" si="63"/>
        <v>1</v>
      </c>
    </row>
    <row r="506" spans="1:21" x14ac:dyDescent="0.2">
      <c r="A506" s="38">
        <v>35425</v>
      </c>
      <c r="B506" s="4">
        <v>0.37</v>
      </c>
      <c r="C506" s="4">
        <v>0.33</v>
      </c>
      <c r="D506" s="4">
        <v>0.3</v>
      </c>
      <c r="E506" s="50">
        <v>1</v>
      </c>
      <c r="F506" s="50">
        <v>0.38624999999999998</v>
      </c>
      <c r="G506" s="50">
        <v>7.0000000000000007E-2</v>
      </c>
      <c r="H506" s="50">
        <v>0.38490743662900001</v>
      </c>
      <c r="I506" s="50">
        <v>0.48829287047999997</v>
      </c>
      <c r="J506" s="50">
        <v>0.28152200277799999</v>
      </c>
      <c r="K506" s="50">
        <v>756.79</v>
      </c>
      <c r="L506" s="50">
        <v>746.92</v>
      </c>
      <c r="M506" s="50">
        <v>756.79</v>
      </c>
      <c r="N506" s="66">
        <f t="shared" si="56"/>
        <v>-1.1575205803459337E-2</v>
      </c>
      <c r="O506" s="66">
        <f t="shared" si="57"/>
        <v>1.8142417315239391E-2</v>
      </c>
      <c r="P506" s="4">
        <f t="shared" si="58"/>
        <v>7.0000000000000007E-2</v>
      </c>
      <c r="Q506" s="4">
        <f t="shared" si="59"/>
        <v>4.2499999999999996E-2</v>
      </c>
      <c r="R506" s="66">
        <f t="shared" si="60"/>
        <v>-1.1575205803459337E-2</v>
      </c>
      <c r="S506" s="66">
        <f t="shared" si="61"/>
        <v>1.8142417315239391E-2</v>
      </c>
      <c r="T506" s="50" t="str">
        <f t="shared" si="62"/>
        <v/>
      </c>
      <c r="U506" s="50">
        <f t="shared" si="63"/>
        <v>1</v>
      </c>
    </row>
    <row r="507" spans="1:21" x14ac:dyDescent="0.2">
      <c r="A507" s="38">
        <v>35432</v>
      </c>
      <c r="B507" s="4">
        <v>0.43</v>
      </c>
      <c r="C507" s="4">
        <v>0.33</v>
      </c>
      <c r="D507" s="4">
        <v>0.24</v>
      </c>
      <c r="E507" s="50">
        <v>1</v>
      </c>
      <c r="F507" s="50">
        <v>0.40749999999999997</v>
      </c>
      <c r="G507" s="50">
        <v>0.19</v>
      </c>
      <c r="H507" s="50">
        <v>0.38490743662900001</v>
      </c>
      <c r="I507" s="50">
        <v>0.48829287047999997</v>
      </c>
      <c r="J507" s="50">
        <v>0.28152200277799999</v>
      </c>
      <c r="K507" s="50">
        <v>753.85</v>
      </c>
      <c r="L507" s="50">
        <v>737.01</v>
      </c>
      <c r="M507" s="50">
        <v>748.03</v>
      </c>
      <c r="N507" s="66">
        <f t="shared" si="56"/>
        <v>1.5333609614587688E-2</v>
      </c>
      <c r="O507" s="66">
        <f t="shared" si="57"/>
        <v>5.0973891421467049E-2</v>
      </c>
      <c r="P507" s="4">
        <f t="shared" si="58"/>
        <v>0.19</v>
      </c>
      <c r="Q507" s="4">
        <f t="shared" si="59"/>
        <v>7.0000000000000007E-2</v>
      </c>
      <c r="R507" s="66">
        <f t="shared" si="60"/>
        <v>1.5333609614587688E-2</v>
      </c>
      <c r="S507" s="66">
        <f t="shared" si="61"/>
        <v>5.0973891421467049E-2</v>
      </c>
      <c r="T507" s="50">
        <f t="shared" si="62"/>
        <v>1</v>
      </c>
      <c r="U507" s="50">
        <f t="shared" si="63"/>
        <v>1</v>
      </c>
    </row>
    <row r="508" spans="1:21" x14ac:dyDescent="0.2">
      <c r="A508" s="38">
        <v>35439</v>
      </c>
      <c r="B508" s="4">
        <v>0.36</v>
      </c>
      <c r="C508" s="4">
        <v>0.39</v>
      </c>
      <c r="D508" s="4">
        <v>0.25</v>
      </c>
      <c r="E508" s="50">
        <v>1</v>
      </c>
      <c r="F508" s="50">
        <v>0.40625</v>
      </c>
      <c r="G508" s="50">
        <v>0.11</v>
      </c>
      <c r="H508" s="50">
        <v>0.38490743662900001</v>
      </c>
      <c r="I508" s="50">
        <v>0.48829287047999997</v>
      </c>
      <c r="J508" s="50">
        <v>0.28152200277799999</v>
      </c>
      <c r="K508" s="50">
        <v>759.65</v>
      </c>
      <c r="L508" s="50">
        <v>742.18</v>
      </c>
      <c r="M508" s="50">
        <v>759.5</v>
      </c>
      <c r="N508" s="66">
        <f t="shared" si="56"/>
        <v>2.1948650427913045E-2</v>
      </c>
      <c r="O508" s="66">
        <f t="shared" si="57"/>
        <v>3.9578670177748444E-2</v>
      </c>
      <c r="P508" s="4">
        <f t="shared" si="58"/>
        <v>0.10999999999999999</v>
      </c>
      <c r="Q508" s="4">
        <f t="shared" si="59"/>
        <v>7.7499999999999999E-2</v>
      </c>
      <c r="R508" s="66">
        <f t="shared" si="60"/>
        <v>2.1948650427913045E-2</v>
      </c>
      <c r="S508" s="66">
        <f t="shared" si="61"/>
        <v>3.9578670177748444E-2</v>
      </c>
      <c r="T508" s="50">
        <f t="shared" si="62"/>
        <v>1</v>
      </c>
      <c r="U508" s="50">
        <f t="shared" si="63"/>
        <v>1</v>
      </c>
    </row>
    <row r="509" spans="1:21" x14ac:dyDescent="0.2">
      <c r="A509" s="38">
        <v>35446</v>
      </c>
      <c r="B509" s="4">
        <v>0.42</v>
      </c>
      <c r="C509" s="4">
        <v>0.32</v>
      </c>
      <c r="D509" s="4">
        <v>0.26</v>
      </c>
      <c r="E509" s="50">
        <v>1</v>
      </c>
      <c r="F509" s="50">
        <v>0.40500000000000003</v>
      </c>
      <c r="G509" s="50">
        <v>0.16</v>
      </c>
      <c r="H509" s="50">
        <v>0.38490743662900001</v>
      </c>
      <c r="I509" s="50">
        <v>0.48829287047999997</v>
      </c>
      <c r="J509" s="50">
        <v>0.28152200277799999</v>
      </c>
      <c r="K509" s="50">
        <v>776.17</v>
      </c>
      <c r="L509" s="50">
        <v>759.51</v>
      </c>
      <c r="M509" s="50">
        <v>776.17</v>
      </c>
      <c r="N509" s="66">
        <f t="shared" si="56"/>
        <v>-7.2793331357820807E-3</v>
      </c>
      <c r="O509" s="66">
        <f t="shared" si="57"/>
        <v>4.1627478516304495E-2</v>
      </c>
      <c r="P509" s="4">
        <f t="shared" si="58"/>
        <v>0.15999999999999998</v>
      </c>
      <c r="Q509" s="4">
        <f t="shared" si="59"/>
        <v>0.13250000000000001</v>
      </c>
      <c r="R509" s="66">
        <f t="shared" si="60"/>
        <v>-7.2793331357820807E-3</v>
      </c>
      <c r="S509" s="66">
        <f t="shared" si="61"/>
        <v>4.1627478516304495E-2</v>
      </c>
      <c r="T509" s="50" t="str">
        <f t="shared" si="62"/>
        <v/>
      </c>
      <c r="U509" s="50">
        <f t="shared" si="63"/>
        <v>1</v>
      </c>
    </row>
    <row r="510" spans="1:21" x14ac:dyDescent="0.2">
      <c r="A510" s="38">
        <v>35453</v>
      </c>
      <c r="B510" s="4">
        <v>0.37</v>
      </c>
      <c r="C510" s="4">
        <v>0.41</v>
      </c>
      <c r="D510" s="4">
        <v>0.22</v>
      </c>
      <c r="E510" s="50">
        <v>1</v>
      </c>
      <c r="F510" s="50">
        <v>0.38624999999999998</v>
      </c>
      <c r="G510" s="50">
        <v>0.15</v>
      </c>
      <c r="H510" s="50">
        <v>0.38490743662900001</v>
      </c>
      <c r="I510" s="50">
        <v>0.48829287047999997</v>
      </c>
      <c r="J510" s="50">
        <v>0.28152200277799999</v>
      </c>
      <c r="K510" s="50">
        <v>794.67</v>
      </c>
      <c r="L510" s="50">
        <v>768.17</v>
      </c>
      <c r="M510" s="50">
        <v>770.52</v>
      </c>
      <c r="N510" s="66">
        <f t="shared" si="56"/>
        <v>2.0297980584540295E-2</v>
      </c>
      <c r="O510" s="66">
        <f t="shared" si="57"/>
        <v>4.0557026423713859E-2</v>
      </c>
      <c r="P510" s="4">
        <f t="shared" si="58"/>
        <v>0.15</v>
      </c>
      <c r="Q510" s="4">
        <f t="shared" si="59"/>
        <v>0.1525</v>
      </c>
      <c r="R510" s="66">
        <f t="shared" si="60"/>
        <v>2.0297980584540295E-2</v>
      </c>
      <c r="S510" s="66">
        <f t="shared" si="61"/>
        <v>4.0557026423713859E-2</v>
      </c>
      <c r="T510" s="50">
        <f t="shared" si="62"/>
        <v>1</v>
      </c>
      <c r="U510" s="50">
        <f t="shared" si="63"/>
        <v>1</v>
      </c>
    </row>
    <row r="511" spans="1:21" x14ac:dyDescent="0.2">
      <c r="A511" s="38">
        <v>35460</v>
      </c>
      <c r="B511" s="4">
        <v>0.51</v>
      </c>
      <c r="C511" s="4">
        <v>0.33</v>
      </c>
      <c r="D511" s="4">
        <v>0.16</v>
      </c>
      <c r="E511" s="50">
        <v>1</v>
      </c>
      <c r="F511" s="50">
        <v>0.39874999999999999</v>
      </c>
      <c r="G511" s="50">
        <v>0.35</v>
      </c>
      <c r="H511" s="50">
        <v>0.38490743662900001</v>
      </c>
      <c r="I511" s="50">
        <v>0.48829287047999997</v>
      </c>
      <c r="J511" s="50">
        <v>0.28152200277799999</v>
      </c>
      <c r="K511" s="50">
        <v>791.86</v>
      </c>
      <c r="L511" s="50">
        <v>761.75</v>
      </c>
      <c r="M511" s="50">
        <v>786.16</v>
      </c>
      <c r="N511" s="66">
        <f t="shared" si="56"/>
        <v>4.3248193751907723E-3</v>
      </c>
      <c r="O511" s="66">
        <f t="shared" si="57"/>
        <v>5.9275465554086727E-3</v>
      </c>
      <c r="P511" s="4">
        <f t="shared" si="58"/>
        <v>0.35</v>
      </c>
      <c r="Q511" s="4">
        <f t="shared" si="59"/>
        <v>0.19249999999999998</v>
      </c>
      <c r="R511" s="66">
        <f t="shared" si="60"/>
        <v>4.3248193751907723E-3</v>
      </c>
      <c r="S511" s="66">
        <f t="shared" si="61"/>
        <v>5.9275465554086727E-3</v>
      </c>
      <c r="T511" s="50">
        <f t="shared" si="62"/>
        <v>1</v>
      </c>
      <c r="U511" s="50">
        <f t="shared" si="63"/>
        <v>1</v>
      </c>
    </row>
    <row r="512" spans="1:21" x14ac:dyDescent="0.2">
      <c r="A512" s="38">
        <v>35467</v>
      </c>
      <c r="B512" s="4">
        <v>0.47</v>
      </c>
      <c r="C512" s="4">
        <v>0.28999999999999998</v>
      </c>
      <c r="D512" s="4">
        <v>0.24</v>
      </c>
      <c r="E512" s="50">
        <v>1</v>
      </c>
      <c r="F512" s="50">
        <v>0.40749999999999997</v>
      </c>
      <c r="G512" s="50">
        <v>0.23</v>
      </c>
      <c r="H512" s="50">
        <v>0.38490743662900001</v>
      </c>
      <c r="I512" s="50">
        <v>0.48829287047999997</v>
      </c>
      <c r="J512" s="50">
        <v>0.28152200277799999</v>
      </c>
      <c r="K512" s="50">
        <v>789.72</v>
      </c>
      <c r="L512" s="50">
        <v>773.43</v>
      </c>
      <c r="M512" s="50">
        <v>789.56</v>
      </c>
      <c r="N512" s="66">
        <f t="shared" si="56"/>
        <v>2.39627134100006E-2</v>
      </c>
      <c r="O512" s="66">
        <f t="shared" si="57"/>
        <v>1.9517199452859926E-2</v>
      </c>
      <c r="P512" s="4">
        <f t="shared" si="58"/>
        <v>0.22999999999999998</v>
      </c>
      <c r="Q512" s="4">
        <f t="shared" si="59"/>
        <v>0.22249999999999998</v>
      </c>
      <c r="R512" s="66">
        <f t="shared" si="60"/>
        <v>2.39627134100006E-2</v>
      </c>
      <c r="S512" s="66">
        <f t="shared" si="61"/>
        <v>1.9517199452859926E-2</v>
      </c>
      <c r="T512" s="50">
        <f t="shared" si="62"/>
        <v>1</v>
      </c>
      <c r="U512" s="50">
        <f t="shared" si="63"/>
        <v>1</v>
      </c>
    </row>
    <row r="513" spans="1:21" x14ac:dyDescent="0.2">
      <c r="A513" s="38">
        <v>35474</v>
      </c>
      <c r="B513" s="4">
        <v>0.45</v>
      </c>
      <c r="C513" s="4">
        <v>0.37</v>
      </c>
      <c r="D513" s="4">
        <v>0.18</v>
      </c>
      <c r="E513" s="50">
        <v>1</v>
      </c>
      <c r="F513" s="50">
        <v>0.42249999999999999</v>
      </c>
      <c r="G513" s="50">
        <v>0.27</v>
      </c>
      <c r="H513" s="50">
        <v>0.38490743662900001</v>
      </c>
      <c r="I513" s="50">
        <v>0.48829287047999997</v>
      </c>
      <c r="J513" s="50">
        <v>0.28152200277799999</v>
      </c>
      <c r="K513" s="50">
        <v>812.93</v>
      </c>
      <c r="L513" s="50">
        <v>780.95</v>
      </c>
      <c r="M513" s="50">
        <v>808.48</v>
      </c>
      <c r="N513" s="66">
        <f t="shared" si="56"/>
        <v>-8.2995250346329357E-3</v>
      </c>
      <c r="O513" s="66">
        <f t="shared" si="57"/>
        <v>-1.8936770235503733E-2</v>
      </c>
      <c r="P513" s="4">
        <f t="shared" si="58"/>
        <v>0.27</v>
      </c>
      <c r="Q513" s="4">
        <f t="shared" si="59"/>
        <v>0.25</v>
      </c>
      <c r="R513" s="66">
        <f t="shared" si="60"/>
        <v>-8.2995250346329357E-3</v>
      </c>
      <c r="S513" s="66">
        <f t="shared" si="61"/>
        <v>-1.8936770235503733E-2</v>
      </c>
      <c r="T513" s="50" t="str">
        <f t="shared" si="62"/>
        <v/>
      </c>
      <c r="U513" s="50" t="str">
        <f t="shared" si="63"/>
        <v/>
      </c>
    </row>
    <row r="514" spans="1:21" x14ac:dyDescent="0.2">
      <c r="A514" s="38">
        <v>35481</v>
      </c>
      <c r="B514" s="4">
        <v>0.44</v>
      </c>
      <c r="C514" s="4">
        <v>0.36</v>
      </c>
      <c r="D514" s="4">
        <v>0.2</v>
      </c>
      <c r="E514" s="50">
        <v>1</v>
      </c>
      <c r="F514" s="50">
        <v>0.43125000000000002</v>
      </c>
      <c r="G514" s="50">
        <v>0.24</v>
      </c>
      <c r="H514" s="50">
        <v>0.38490743662900001</v>
      </c>
      <c r="I514" s="50">
        <v>0.48829287047999997</v>
      </c>
      <c r="J514" s="50">
        <v>0.28152200277799999</v>
      </c>
      <c r="K514" s="50">
        <v>817.68</v>
      </c>
      <c r="L514" s="50">
        <v>799.99</v>
      </c>
      <c r="M514" s="50">
        <v>801.77</v>
      </c>
      <c r="N514" s="66">
        <f t="shared" si="56"/>
        <v>-1.3657283260785427E-2</v>
      </c>
      <c r="O514" s="66">
        <f t="shared" si="57"/>
        <v>-2.2038739289322325E-2</v>
      </c>
      <c r="P514" s="4">
        <f t="shared" si="58"/>
        <v>0.24</v>
      </c>
      <c r="Q514" s="4">
        <f t="shared" si="59"/>
        <v>0.27249999999999996</v>
      </c>
      <c r="R514" s="66">
        <f t="shared" si="60"/>
        <v>-1.3657283260785427E-2</v>
      </c>
      <c r="S514" s="66">
        <f t="shared" si="61"/>
        <v>-2.2038739289322325E-2</v>
      </c>
      <c r="T514" s="50" t="str">
        <f t="shared" si="62"/>
        <v/>
      </c>
      <c r="U514" s="50" t="str">
        <f t="shared" si="63"/>
        <v/>
      </c>
    </row>
    <row r="515" spans="1:21" x14ac:dyDescent="0.2">
      <c r="A515" s="38">
        <v>35488</v>
      </c>
      <c r="B515" s="4">
        <v>0.63</v>
      </c>
      <c r="C515" s="4">
        <v>0.22</v>
      </c>
      <c r="D515" s="4">
        <v>0.15</v>
      </c>
      <c r="E515" s="50">
        <v>1</v>
      </c>
      <c r="F515" s="50">
        <v>0.45624999999999999</v>
      </c>
      <c r="G515" s="50">
        <v>0.48</v>
      </c>
      <c r="H515" s="50">
        <v>0.38490743662900001</v>
      </c>
      <c r="I515" s="50">
        <v>0.48829287047999997</v>
      </c>
      <c r="J515" s="50">
        <v>0.28152200277799999</v>
      </c>
      <c r="K515" s="50">
        <v>812.85</v>
      </c>
      <c r="L515" s="50">
        <v>788.5</v>
      </c>
      <c r="M515" s="50">
        <v>790.82</v>
      </c>
      <c r="N515" s="66">
        <f t="shared" si="56"/>
        <v>1.789282011077107E-2</v>
      </c>
      <c r="O515" s="66">
        <f t="shared" si="57"/>
        <v>-2.1420803722718259E-2</v>
      </c>
      <c r="P515" s="4">
        <f t="shared" si="58"/>
        <v>0.48</v>
      </c>
      <c r="Q515" s="4">
        <f t="shared" si="59"/>
        <v>0.30499999999999999</v>
      </c>
      <c r="R515" s="66">
        <f t="shared" si="60"/>
        <v>1.789282011077107E-2</v>
      </c>
      <c r="S515" s="66">
        <f t="shared" si="61"/>
        <v>-2.1420803722718259E-2</v>
      </c>
      <c r="T515" s="50">
        <f t="shared" si="62"/>
        <v>1</v>
      </c>
      <c r="U515" s="50" t="str">
        <f t="shared" si="63"/>
        <v/>
      </c>
    </row>
    <row r="516" spans="1:21" x14ac:dyDescent="0.2">
      <c r="A516" s="38">
        <v>35495</v>
      </c>
      <c r="B516" s="4">
        <v>0.43</v>
      </c>
      <c r="C516" s="4">
        <v>0.37</v>
      </c>
      <c r="D516" s="4">
        <v>0.2</v>
      </c>
      <c r="E516" s="50">
        <v>1</v>
      </c>
      <c r="F516" s="50">
        <v>0.46500000000000002</v>
      </c>
      <c r="G516" s="50">
        <v>0.23</v>
      </c>
      <c r="H516" s="50">
        <v>0.38490743662900001</v>
      </c>
      <c r="I516" s="50">
        <v>0.48829287047999997</v>
      </c>
      <c r="J516" s="50">
        <v>0.28152200277799999</v>
      </c>
      <c r="K516" s="50">
        <v>808.19</v>
      </c>
      <c r="L516" s="50">
        <v>785.66</v>
      </c>
      <c r="M516" s="50">
        <v>804.97</v>
      </c>
      <c r="N516" s="66">
        <f t="shared" si="56"/>
        <v>-1.4658931388747491E-2</v>
      </c>
      <c r="O516" s="66">
        <f t="shared" si="57"/>
        <v>-5.8474228853249252E-2</v>
      </c>
      <c r="P516" s="4">
        <f t="shared" si="58"/>
        <v>0.22999999999999998</v>
      </c>
      <c r="Q516" s="4">
        <f t="shared" si="59"/>
        <v>0.30499999999999999</v>
      </c>
      <c r="R516" s="66">
        <f t="shared" si="60"/>
        <v>-1.4658931388747491E-2</v>
      </c>
      <c r="S516" s="66">
        <f t="shared" si="61"/>
        <v>-5.8474228853249252E-2</v>
      </c>
      <c r="T516" s="50" t="str">
        <f t="shared" si="62"/>
        <v/>
      </c>
      <c r="U516" s="50" t="str">
        <f t="shared" si="63"/>
        <v/>
      </c>
    </row>
    <row r="517" spans="1:21" x14ac:dyDescent="0.2">
      <c r="A517" s="38">
        <v>35502</v>
      </c>
      <c r="B517" s="4">
        <v>0.34</v>
      </c>
      <c r="C517" s="4">
        <v>0.36</v>
      </c>
      <c r="D517" s="4">
        <v>0.3</v>
      </c>
      <c r="E517" s="50">
        <v>1</v>
      </c>
      <c r="F517" s="50">
        <v>0.45500000000000002</v>
      </c>
      <c r="G517" s="50">
        <v>0.04</v>
      </c>
      <c r="H517" s="50">
        <v>0.38490743662900001</v>
      </c>
      <c r="I517" s="50">
        <v>0.48829287047999997</v>
      </c>
      <c r="J517" s="50">
        <v>0.28152200277799999</v>
      </c>
      <c r="K517" s="50">
        <v>814.9</v>
      </c>
      <c r="L517" s="50">
        <v>789.44</v>
      </c>
      <c r="M517" s="50">
        <v>793.17</v>
      </c>
      <c r="N517" s="66">
        <f t="shared" si="56"/>
        <v>-1.1435127400178949E-2</v>
      </c>
      <c r="O517" s="66">
        <f t="shared" si="57"/>
        <v>-6.9997604548835662E-2</v>
      </c>
      <c r="P517" s="4">
        <f t="shared" si="58"/>
        <v>4.0000000000000036E-2</v>
      </c>
      <c r="Q517" s="4">
        <f t="shared" si="59"/>
        <v>0.2475</v>
      </c>
      <c r="R517" s="66">
        <f t="shared" si="60"/>
        <v>-1.1435127400178949E-2</v>
      </c>
      <c r="S517" s="66">
        <f t="shared" si="61"/>
        <v>-6.9997604548835662E-2</v>
      </c>
      <c r="T517" s="50" t="str">
        <f t="shared" si="62"/>
        <v/>
      </c>
      <c r="U517" s="50" t="str">
        <f t="shared" si="63"/>
        <v/>
      </c>
    </row>
    <row r="518" spans="1:21" x14ac:dyDescent="0.2">
      <c r="A518" s="38">
        <v>35509</v>
      </c>
      <c r="B518" s="4">
        <v>0.36</v>
      </c>
      <c r="C518" s="4">
        <v>0.42</v>
      </c>
      <c r="D518" s="4">
        <v>0.22</v>
      </c>
      <c r="E518" s="50">
        <v>1</v>
      </c>
      <c r="F518" s="50">
        <v>0.45374999999999999</v>
      </c>
      <c r="G518" s="50">
        <v>0.14000000000000001</v>
      </c>
      <c r="H518" s="50">
        <v>0.38490743662900001</v>
      </c>
      <c r="I518" s="50">
        <v>0.48829287047999997</v>
      </c>
      <c r="J518" s="50">
        <v>0.28152200277799999</v>
      </c>
      <c r="K518" s="50">
        <v>797.18</v>
      </c>
      <c r="L518" s="50">
        <v>786.29</v>
      </c>
      <c r="M518" s="50">
        <v>784.1</v>
      </c>
      <c r="N518" s="66">
        <f t="shared" si="56"/>
        <v>-1.3034051779109842E-2</v>
      </c>
      <c r="O518" s="66">
        <f t="shared" si="57"/>
        <v>-2.2650172171916835E-2</v>
      </c>
      <c r="P518" s="4">
        <f t="shared" si="58"/>
        <v>0.13999999999999999</v>
      </c>
      <c r="Q518" s="4">
        <f t="shared" si="59"/>
        <v>0.2225</v>
      </c>
      <c r="R518" s="66">
        <f t="shared" si="60"/>
        <v>-1.3034051779109842E-2</v>
      </c>
      <c r="S518" s="66">
        <f t="shared" si="61"/>
        <v>-2.2650172171916835E-2</v>
      </c>
      <c r="T518" s="50" t="str">
        <f t="shared" si="62"/>
        <v/>
      </c>
      <c r="U518" s="50" t="str">
        <f t="shared" si="63"/>
        <v/>
      </c>
    </row>
    <row r="519" spans="1:21" x14ac:dyDescent="0.2">
      <c r="A519" s="38">
        <v>35516</v>
      </c>
      <c r="B519" s="4">
        <v>0.27</v>
      </c>
      <c r="C519" s="4">
        <v>0.4</v>
      </c>
      <c r="D519" s="4">
        <v>0.33</v>
      </c>
      <c r="E519" s="50">
        <v>1</v>
      </c>
      <c r="F519" s="50">
        <v>0.42375000000000002</v>
      </c>
      <c r="G519" s="50">
        <v>-0.06</v>
      </c>
      <c r="H519" s="50">
        <v>0.38490743662900001</v>
      </c>
      <c r="I519" s="50">
        <v>0.48829287047999997</v>
      </c>
      <c r="J519" s="50">
        <v>0.28152200277799999</v>
      </c>
      <c r="K519" s="50">
        <v>790.89</v>
      </c>
      <c r="L519" s="50">
        <v>773.88</v>
      </c>
      <c r="M519" s="50">
        <v>773.88</v>
      </c>
      <c r="N519" s="66">
        <f t="shared" si="56"/>
        <v>-2.0649196257817772E-2</v>
      </c>
      <c r="O519" s="66">
        <f t="shared" si="57"/>
        <v>-1.0996536930790292E-2</v>
      </c>
      <c r="P519" s="4">
        <f t="shared" si="58"/>
        <v>-0.06</v>
      </c>
      <c r="Q519" s="4">
        <f t="shared" si="59"/>
        <v>8.7500000000000008E-2</v>
      </c>
      <c r="R519" s="66">
        <f t="shared" si="60"/>
        <v>-2.0649196257817772E-2</v>
      </c>
      <c r="S519" s="66">
        <f t="shared" si="61"/>
        <v>-1.0996536930790292E-2</v>
      </c>
      <c r="T519" s="50" t="str">
        <f t="shared" si="62"/>
        <v/>
      </c>
      <c r="U519" s="50" t="str">
        <f t="shared" si="63"/>
        <v/>
      </c>
    </row>
    <row r="520" spans="1:21" x14ac:dyDescent="0.2">
      <c r="A520" s="38">
        <v>35523</v>
      </c>
      <c r="B520" s="4">
        <v>0.28999999999999998</v>
      </c>
      <c r="C520" s="4">
        <v>0.4</v>
      </c>
      <c r="D520" s="4">
        <v>0.31</v>
      </c>
      <c r="E520" s="50">
        <v>1</v>
      </c>
      <c r="F520" s="50">
        <v>0.40125</v>
      </c>
      <c r="G520" s="50">
        <v>-0.02</v>
      </c>
      <c r="H520" s="50">
        <v>0.38490743662900001</v>
      </c>
      <c r="I520" s="50">
        <v>0.48829287047999997</v>
      </c>
      <c r="J520" s="50">
        <v>0.28152200277799999</v>
      </c>
      <c r="K520" s="50">
        <v>759.64</v>
      </c>
      <c r="L520" s="50">
        <v>750.32</v>
      </c>
      <c r="M520" s="50">
        <v>757.9</v>
      </c>
      <c r="N520" s="66">
        <f t="shared" si="56"/>
        <v>-2.671856445441351E-2</v>
      </c>
      <c r="O520" s="66">
        <f t="shared" si="57"/>
        <v>7.2661300963187819E-2</v>
      </c>
      <c r="P520" s="4">
        <f t="shared" si="58"/>
        <v>-2.0000000000000018E-2</v>
      </c>
      <c r="Q520" s="4">
        <f t="shared" si="59"/>
        <v>2.5000000000000001E-2</v>
      </c>
      <c r="R520" s="66">
        <f t="shared" si="60"/>
        <v>-2.671856445441351E-2</v>
      </c>
      <c r="S520" s="66">
        <f t="shared" si="61"/>
        <v>7.2661300963187819E-2</v>
      </c>
      <c r="T520" s="50" t="str">
        <f t="shared" si="62"/>
        <v/>
      </c>
      <c r="U520" s="50">
        <f t="shared" si="63"/>
        <v>1</v>
      </c>
    </row>
    <row r="521" spans="1:21" x14ac:dyDescent="0.2">
      <c r="A521" s="38">
        <v>35530</v>
      </c>
      <c r="B521" s="4">
        <v>0.26</v>
      </c>
      <c r="C521" s="4">
        <v>0.37</v>
      </c>
      <c r="D521" s="4">
        <v>0.37</v>
      </c>
      <c r="E521" s="50">
        <v>1</v>
      </c>
      <c r="F521" s="50">
        <v>0.3775</v>
      </c>
      <c r="G521" s="50">
        <v>-0.11</v>
      </c>
      <c r="H521" s="50">
        <v>0.38490743662900001</v>
      </c>
      <c r="I521" s="50">
        <v>0.48829287047999997</v>
      </c>
      <c r="J521" s="50">
        <v>0.28152200277799999</v>
      </c>
      <c r="K521" s="50">
        <v>769.53</v>
      </c>
      <c r="L521" s="50">
        <v>737.64</v>
      </c>
      <c r="M521" s="50">
        <v>737.65</v>
      </c>
      <c r="N521" s="66">
        <f t="shared" si="56"/>
        <v>3.8893784315054643E-2</v>
      </c>
      <c r="O521" s="66">
        <f t="shared" si="57"/>
        <v>0.11811834881041144</v>
      </c>
      <c r="P521" s="4">
        <f t="shared" si="58"/>
        <v>-0.10999999999999999</v>
      </c>
      <c r="Q521" s="4">
        <f t="shared" si="59"/>
        <v>-1.2500000000000004E-2</v>
      </c>
      <c r="R521" s="66">
        <f t="shared" si="60"/>
        <v>3.8893784315054643E-2</v>
      </c>
      <c r="S521" s="66">
        <f t="shared" si="61"/>
        <v>0.11811834881041144</v>
      </c>
      <c r="T521" s="50">
        <f t="shared" si="62"/>
        <v>1</v>
      </c>
      <c r="U521" s="50">
        <f t="shared" si="63"/>
        <v>1</v>
      </c>
    </row>
    <row r="522" spans="1:21" x14ac:dyDescent="0.2">
      <c r="A522" s="38">
        <v>35537</v>
      </c>
      <c r="B522" s="4">
        <v>0.31</v>
      </c>
      <c r="C522" s="4">
        <v>0.41</v>
      </c>
      <c r="D522" s="4">
        <v>0.28000000000000003</v>
      </c>
      <c r="E522" s="50">
        <v>1</v>
      </c>
      <c r="F522" s="50">
        <v>0.36125000000000002</v>
      </c>
      <c r="G522" s="50">
        <v>0.03</v>
      </c>
      <c r="H522" s="50">
        <v>0.38490743662900001</v>
      </c>
      <c r="I522" s="50">
        <v>0.48829287047999997</v>
      </c>
      <c r="J522" s="50">
        <v>0.28152200277799999</v>
      </c>
      <c r="K522" s="50">
        <v>768.55</v>
      </c>
      <c r="L522" s="50">
        <v>733.54</v>
      </c>
      <c r="M522" s="50">
        <v>766.34</v>
      </c>
      <c r="N522" s="66">
        <f t="shared" si="56"/>
        <v>-1.2657567137302336E-3</v>
      </c>
      <c r="O522" s="66">
        <f t="shared" si="57"/>
        <v>8.2743951770754456E-2</v>
      </c>
      <c r="P522" s="4">
        <f t="shared" si="58"/>
        <v>2.9999999999999971E-2</v>
      </c>
      <c r="Q522" s="4">
        <f t="shared" si="59"/>
        <v>-4.0000000000000008E-2</v>
      </c>
      <c r="R522" s="66">
        <f t="shared" si="60"/>
        <v>-1.2657567137302336E-3</v>
      </c>
      <c r="S522" s="66">
        <f t="shared" si="61"/>
        <v>8.2743951770754456E-2</v>
      </c>
      <c r="T522" s="50" t="str">
        <f t="shared" si="62"/>
        <v/>
      </c>
      <c r="U522" s="50">
        <f t="shared" si="63"/>
        <v>1</v>
      </c>
    </row>
    <row r="523" spans="1:21" x14ac:dyDescent="0.2">
      <c r="A523" s="38">
        <v>35544</v>
      </c>
      <c r="B523" s="4">
        <v>0.28000000000000003</v>
      </c>
      <c r="C523" s="4">
        <v>0.4</v>
      </c>
      <c r="D523" s="4">
        <v>0.32</v>
      </c>
      <c r="E523" s="50">
        <v>1</v>
      </c>
      <c r="F523" s="50">
        <v>0.3175</v>
      </c>
      <c r="G523" s="50">
        <v>-0.04</v>
      </c>
      <c r="H523" s="50">
        <v>0.38490743662900001</v>
      </c>
      <c r="I523" s="50">
        <v>0.48829287047999997</v>
      </c>
      <c r="J523" s="50">
        <v>0.28152200277799999</v>
      </c>
      <c r="K523" s="50">
        <v>779.89</v>
      </c>
      <c r="L523" s="50">
        <v>756.38</v>
      </c>
      <c r="M523" s="50">
        <v>765.37</v>
      </c>
      <c r="N523" s="66">
        <f t="shared" si="56"/>
        <v>6.2192142362517508E-2</v>
      </c>
      <c r="O523" s="66">
        <f t="shared" si="57"/>
        <v>0.10669349464964653</v>
      </c>
      <c r="P523" s="4">
        <f t="shared" si="58"/>
        <v>-3.999999999999998E-2</v>
      </c>
      <c r="Q523" s="4">
        <f t="shared" si="59"/>
        <v>-3.5000000000000003E-2</v>
      </c>
      <c r="R523" s="66">
        <f t="shared" si="60"/>
        <v>6.2192142362517508E-2</v>
      </c>
      <c r="S523" s="66">
        <f t="shared" si="61"/>
        <v>0.10669349464964653</v>
      </c>
      <c r="T523" s="50">
        <f t="shared" si="62"/>
        <v>1</v>
      </c>
      <c r="U523" s="50">
        <f t="shared" si="63"/>
        <v>1</v>
      </c>
    </row>
    <row r="524" spans="1:21" x14ac:dyDescent="0.2">
      <c r="A524" s="38">
        <v>35551</v>
      </c>
      <c r="B524" s="4">
        <v>0.27</v>
      </c>
      <c r="C524" s="4">
        <v>0.44</v>
      </c>
      <c r="D524" s="4">
        <v>0.28999999999999998</v>
      </c>
      <c r="E524" s="50">
        <v>1</v>
      </c>
      <c r="F524" s="50">
        <v>0.29749999999999999</v>
      </c>
      <c r="G524" s="50">
        <v>-0.02</v>
      </c>
      <c r="H524" s="50">
        <v>0.38490743662900001</v>
      </c>
      <c r="I524" s="50">
        <v>0.48829287047999997</v>
      </c>
      <c r="J524" s="50">
        <v>0.28152200277799999</v>
      </c>
      <c r="K524" s="50">
        <v>812.99</v>
      </c>
      <c r="L524" s="50">
        <v>763.3</v>
      </c>
      <c r="M524" s="50">
        <v>812.97</v>
      </c>
      <c r="N524" s="66">
        <f t="shared" si="56"/>
        <v>1.4526981315423626E-2</v>
      </c>
      <c r="O524" s="66">
        <f t="shared" si="57"/>
        <v>4.3433337023506331E-2</v>
      </c>
      <c r="P524" s="4">
        <f t="shared" si="58"/>
        <v>-1.9999999999999962E-2</v>
      </c>
      <c r="Q524" s="4">
        <f t="shared" si="59"/>
        <v>-3.4999999999999989E-2</v>
      </c>
      <c r="R524" s="66">
        <f t="shared" si="60"/>
        <v>1.4526981315423626E-2</v>
      </c>
      <c r="S524" s="66">
        <f t="shared" si="61"/>
        <v>4.3433337023506331E-2</v>
      </c>
      <c r="T524" s="50">
        <f t="shared" si="62"/>
        <v>1</v>
      </c>
      <c r="U524" s="50">
        <f t="shared" si="63"/>
        <v>1</v>
      </c>
    </row>
    <row r="525" spans="1:21" x14ac:dyDescent="0.2">
      <c r="A525" s="38">
        <v>35558</v>
      </c>
      <c r="B525" s="4">
        <v>0.3</v>
      </c>
      <c r="C525" s="4">
        <v>0.44</v>
      </c>
      <c r="D525" s="4">
        <v>0.26</v>
      </c>
      <c r="E525" s="50">
        <v>1</v>
      </c>
      <c r="F525" s="50">
        <v>0.29249999999999998</v>
      </c>
      <c r="G525" s="50">
        <v>0.04</v>
      </c>
      <c r="H525" s="50">
        <v>0.38490743662900001</v>
      </c>
      <c r="I525" s="50">
        <v>0.48829287047999997</v>
      </c>
      <c r="J525" s="50">
        <v>0.28152200277799999</v>
      </c>
      <c r="K525" s="50">
        <v>832.29</v>
      </c>
      <c r="L525" s="50">
        <v>811.8</v>
      </c>
      <c r="M525" s="50">
        <v>824.78</v>
      </c>
      <c r="N525" s="66">
        <f t="shared" ref="N525:N588" si="64">(M526-M525)/M525</f>
        <v>6.0258493173937621E-3</v>
      </c>
      <c r="O525" s="66">
        <f t="shared" ref="O525:O588" si="65">(M529-M525)/M525</f>
        <v>4.0289531753922282E-2</v>
      </c>
      <c r="P525" s="4">
        <f t="shared" si="58"/>
        <v>3.999999999999998E-2</v>
      </c>
      <c r="Q525" s="4">
        <f t="shared" si="59"/>
        <v>2.5000000000000022E-3</v>
      </c>
      <c r="R525" s="66">
        <f t="shared" si="60"/>
        <v>6.0258493173937621E-3</v>
      </c>
      <c r="S525" s="66">
        <f t="shared" si="61"/>
        <v>4.0289531753922282E-2</v>
      </c>
      <c r="T525" s="50">
        <f t="shared" si="62"/>
        <v>1</v>
      </c>
      <c r="U525" s="50">
        <f t="shared" si="63"/>
        <v>1</v>
      </c>
    </row>
    <row r="526" spans="1:21" x14ac:dyDescent="0.2">
      <c r="A526" s="38">
        <v>35565</v>
      </c>
      <c r="B526" s="4">
        <v>0.41</v>
      </c>
      <c r="C526" s="4">
        <v>0.36</v>
      </c>
      <c r="D526" s="4">
        <v>0.23</v>
      </c>
      <c r="E526" s="50">
        <v>1</v>
      </c>
      <c r="F526" s="50">
        <v>0.29875000000000002</v>
      </c>
      <c r="G526" s="50">
        <v>0.18</v>
      </c>
      <c r="H526" s="50">
        <v>0.38490743662900001</v>
      </c>
      <c r="I526" s="50">
        <v>0.48829287047999997</v>
      </c>
      <c r="J526" s="50">
        <v>0.28152200277799999</v>
      </c>
      <c r="K526" s="50">
        <v>842.45</v>
      </c>
      <c r="L526" s="50">
        <v>824.78</v>
      </c>
      <c r="M526" s="50">
        <v>829.75</v>
      </c>
      <c r="N526" s="66">
        <f t="shared" si="64"/>
        <v>2.082554986441696E-2</v>
      </c>
      <c r="O526" s="66">
        <f t="shared" si="65"/>
        <v>7.6553178668273561E-2</v>
      </c>
      <c r="P526" s="4">
        <f t="shared" ref="P526:P589" si="66">B526-D526</f>
        <v>0.17999999999999997</v>
      </c>
      <c r="Q526" s="4">
        <f t="shared" si="59"/>
        <v>0.04</v>
      </c>
      <c r="R526" s="66">
        <f t="shared" si="60"/>
        <v>2.082554986441696E-2</v>
      </c>
      <c r="S526" s="66">
        <f t="shared" si="61"/>
        <v>7.6553178668273561E-2</v>
      </c>
      <c r="T526" s="50">
        <f t="shared" si="62"/>
        <v>1</v>
      </c>
      <c r="U526" s="50">
        <f t="shared" si="63"/>
        <v>1</v>
      </c>
    </row>
    <row r="527" spans="1:21" x14ac:dyDescent="0.2">
      <c r="A527" s="38">
        <v>35572</v>
      </c>
      <c r="B527" s="4">
        <v>0.4</v>
      </c>
      <c r="C527" s="4">
        <v>0.35</v>
      </c>
      <c r="D527" s="4">
        <v>0.25</v>
      </c>
      <c r="E527" s="50">
        <v>1</v>
      </c>
      <c r="F527" s="50">
        <v>0.315</v>
      </c>
      <c r="G527" s="50">
        <v>0.15</v>
      </c>
      <c r="H527" s="50">
        <v>0.38490743662900001</v>
      </c>
      <c r="I527" s="50">
        <v>0.48829287047999997</v>
      </c>
      <c r="J527" s="50">
        <v>0.28152200277799999</v>
      </c>
      <c r="K527" s="50">
        <v>848.49</v>
      </c>
      <c r="L527" s="50">
        <v>826.41</v>
      </c>
      <c r="M527" s="50">
        <v>847.03</v>
      </c>
      <c r="N527" s="66">
        <f t="shared" si="64"/>
        <v>1.4757446607558174E-3</v>
      </c>
      <c r="O527" s="66">
        <f t="shared" si="65"/>
        <v>6.1001381297002555E-2</v>
      </c>
      <c r="P527" s="4">
        <f t="shared" si="66"/>
        <v>0.15000000000000002</v>
      </c>
      <c r="Q527" s="4">
        <f t="shared" si="59"/>
        <v>8.7499999999999994E-2</v>
      </c>
      <c r="R527" s="66">
        <f t="shared" si="60"/>
        <v>1.4757446607558174E-3</v>
      </c>
      <c r="S527" s="66">
        <f t="shared" si="61"/>
        <v>6.1001381297002555E-2</v>
      </c>
      <c r="T527" s="50">
        <f t="shared" si="62"/>
        <v>1</v>
      </c>
      <c r="U527" s="50">
        <f t="shared" si="63"/>
        <v>1</v>
      </c>
    </row>
    <row r="528" spans="1:21" x14ac:dyDescent="0.2">
      <c r="A528" s="38">
        <v>35579</v>
      </c>
      <c r="B528" s="4">
        <v>0.4</v>
      </c>
      <c r="C528" s="4">
        <v>0.4</v>
      </c>
      <c r="D528" s="4">
        <v>0.2</v>
      </c>
      <c r="E528" s="50">
        <v>1</v>
      </c>
      <c r="F528" s="50">
        <v>0.32874999999999999</v>
      </c>
      <c r="G528" s="50">
        <v>0.2</v>
      </c>
      <c r="H528" s="50">
        <v>0.38490743662900001</v>
      </c>
      <c r="I528" s="50">
        <v>0.48829287047999997</v>
      </c>
      <c r="J528" s="50">
        <v>0.28152200277799999</v>
      </c>
      <c r="K528" s="50">
        <v>851.87</v>
      </c>
      <c r="L528" s="50">
        <v>831.87</v>
      </c>
      <c r="M528" s="50">
        <v>848.28</v>
      </c>
      <c r="N528" s="66">
        <f t="shared" si="64"/>
        <v>1.1470269250719124E-2</v>
      </c>
      <c r="O528" s="66">
        <f t="shared" si="65"/>
        <v>4.5998962606686448E-2</v>
      </c>
      <c r="P528" s="4">
        <f t="shared" si="66"/>
        <v>0.2</v>
      </c>
      <c r="Q528" s="4">
        <f t="shared" si="59"/>
        <v>0.14250000000000002</v>
      </c>
      <c r="R528" s="66">
        <f t="shared" si="60"/>
        <v>1.1470269250719124E-2</v>
      </c>
      <c r="S528" s="66">
        <f t="shared" si="61"/>
        <v>4.5998962606686448E-2</v>
      </c>
      <c r="T528" s="50">
        <f t="shared" si="62"/>
        <v>1</v>
      </c>
      <c r="U528" s="50">
        <f t="shared" si="63"/>
        <v>1</v>
      </c>
    </row>
    <row r="529" spans="1:21" x14ac:dyDescent="0.2">
      <c r="A529" s="38">
        <v>35586</v>
      </c>
      <c r="B529" s="4">
        <v>0.52</v>
      </c>
      <c r="C529" s="4">
        <v>0.33</v>
      </c>
      <c r="D529" s="4">
        <v>0.15</v>
      </c>
      <c r="E529" s="50">
        <v>1</v>
      </c>
      <c r="F529" s="50">
        <v>0.36125000000000002</v>
      </c>
      <c r="G529" s="50">
        <v>0.37</v>
      </c>
      <c r="H529" s="50">
        <v>0.38490743662900001</v>
      </c>
      <c r="I529" s="50">
        <v>0.48829287047999997</v>
      </c>
      <c r="J529" s="50">
        <v>0.28152200277799999</v>
      </c>
      <c r="K529" s="50">
        <v>859.24</v>
      </c>
      <c r="L529" s="50">
        <v>838.82</v>
      </c>
      <c r="M529" s="50">
        <v>858.01</v>
      </c>
      <c r="N529" s="66">
        <f t="shared" si="64"/>
        <v>4.1095092131793326E-2</v>
      </c>
      <c r="O529" s="66">
        <f t="shared" si="65"/>
        <v>6.8658873439703463E-2</v>
      </c>
      <c r="P529" s="4">
        <f t="shared" si="66"/>
        <v>0.37</v>
      </c>
      <c r="Q529" s="4">
        <f t="shared" ref="Q529:Q592" si="67">AVERAGE(P526:P529)</f>
        <v>0.22500000000000001</v>
      </c>
      <c r="R529" s="66">
        <f t="shared" ref="R529:R592" si="68">(M530-M529)/M529</f>
        <v>4.1095092131793326E-2</v>
      </c>
      <c r="S529" s="66">
        <f t="shared" ref="S529:S592" si="69">(M533-M529)/M529</f>
        <v>6.8658873439703463E-2</v>
      </c>
      <c r="T529" s="50">
        <f t="shared" ref="T529:T592" si="70">IF(R529&gt;0,1,"")</f>
        <v>1</v>
      </c>
      <c r="U529" s="50">
        <f t="shared" ref="U529:U592" si="71">IF(S529&gt;0,1,"")</f>
        <v>1</v>
      </c>
    </row>
    <row r="530" spans="1:21" x14ac:dyDescent="0.2">
      <c r="A530" s="38">
        <v>35593</v>
      </c>
      <c r="B530" s="4">
        <v>0.49</v>
      </c>
      <c r="C530" s="4">
        <v>0.35</v>
      </c>
      <c r="D530" s="4">
        <v>0.16</v>
      </c>
      <c r="E530" s="50">
        <v>1</v>
      </c>
      <c r="F530" s="50">
        <v>0.38374999999999998</v>
      </c>
      <c r="G530" s="50">
        <v>0.33</v>
      </c>
      <c r="H530" s="50">
        <v>0.38490743662900001</v>
      </c>
      <c r="I530" s="50">
        <v>0.48829287047999997</v>
      </c>
      <c r="J530" s="50">
        <v>0.28152200277799999</v>
      </c>
      <c r="K530" s="50">
        <v>894.69</v>
      </c>
      <c r="L530" s="50">
        <v>858.01</v>
      </c>
      <c r="M530" s="50">
        <v>893.27</v>
      </c>
      <c r="N530" s="66">
        <f t="shared" si="64"/>
        <v>6.0787891678888394E-3</v>
      </c>
      <c r="O530" s="66">
        <f t="shared" si="65"/>
        <v>2.6207081845354672E-2</v>
      </c>
      <c r="P530" s="4">
        <f t="shared" si="66"/>
        <v>0.32999999999999996</v>
      </c>
      <c r="Q530" s="4">
        <f t="shared" si="67"/>
        <v>0.26249999999999996</v>
      </c>
      <c r="R530" s="66">
        <f t="shared" si="68"/>
        <v>6.0787891678888394E-3</v>
      </c>
      <c r="S530" s="66">
        <f t="shared" si="69"/>
        <v>2.6207081845354672E-2</v>
      </c>
      <c r="T530" s="50">
        <f t="shared" si="70"/>
        <v>1</v>
      </c>
      <c r="U530" s="50">
        <f t="shared" si="71"/>
        <v>1</v>
      </c>
    </row>
    <row r="531" spans="1:21" x14ac:dyDescent="0.2">
      <c r="A531" s="38">
        <v>35600</v>
      </c>
      <c r="B531" s="4">
        <v>0.59</v>
      </c>
      <c r="C531" s="4">
        <v>0.26</v>
      </c>
      <c r="D531" s="4">
        <v>0.15</v>
      </c>
      <c r="E531" s="50">
        <v>1</v>
      </c>
      <c r="F531" s="50">
        <v>0.42249999999999999</v>
      </c>
      <c r="G531" s="50">
        <v>0.44</v>
      </c>
      <c r="H531" s="50">
        <v>0.38490743662900001</v>
      </c>
      <c r="I531" s="50">
        <v>0.48829287047999997</v>
      </c>
      <c r="J531" s="50">
        <v>0.28152200277799999</v>
      </c>
      <c r="K531" s="50">
        <v>901.77</v>
      </c>
      <c r="L531" s="50">
        <v>886.19</v>
      </c>
      <c r="M531" s="50">
        <v>898.7</v>
      </c>
      <c r="N531" s="66">
        <f t="shared" si="64"/>
        <v>-1.2684989429175576E-2</v>
      </c>
      <c r="O531" s="66">
        <f t="shared" si="65"/>
        <v>1.8471124958272959E-2</v>
      </c>
      <c r="P531" s="4">
        <f t="shared" si="66"/>
        <v>0.43999999999999995</v>
      </c>
      <c r="Q531" s="4">
        <f t="shared" si="67"/>
        <v>0.33499999999999996</v>
      </c>
      <c r="R531" s="66">
        <f t="shared" si="68"/>
        <v>-1.2684989429175576E-2</v>
      </c>
      <c r="S531" s="66">
        <f t="shared" si="69"/>
        <v>1.8471124958272959E-2</v>
      </c>
      <c r="T531" s="50" t="str">
        <f t="shared" si="70"/>
        <v/>
      </c>
      <c r="U531" s="50">
        <f t="shared" si="71"/>
        <v>1</v>
      </c>
    </row>
    <row r="532" spans="1:21" x14ac:dyDescent="0.2">
      <c r="A532" s="38">
        <v>35607</v>
      </c>
      <c r="B532" s="4">
        <v>0.52</v>
      </c>
      <c r="C532" s="4">
        <v>0.25</v>
      </c>
      <c r="D532" s="4">
        <v>0.23</v>
      </c>
      <c r="E532" s="50">
        <v>1</v>
      </c>
      <c r="F532" s="50">
        <v>0.45374999999999999</v>
      </c>
      <c r="G532" s="50">
        <v>0.28999999999999998</v>
      </c>
      <c r="H532" s="50">
        <v>0.38490743662900001</v>
      </c>
      <c r="I532" s="50">
        <v>0.48829287047999997</v>
      </c>
      <c r="J532" s="50">
        <v>0.28152200277799999</v>
      </c>
      <c r="K532" s="50">
        <v>902.09</v>
      </c>
      <c r="L532" s="50">
        <v>878.43</v>
      </c>
      <c r="M532" s="50">
        <v>887.3</v>
      </c>
      <c r="N532" s="66">
        <f t="shared" si="64"/>
        <v>3.3382170630001137E-2</v>
      </c>
      <c r="O532" s="66">
        <f t="shared" si="65"/>
        <v>5.8029978586723784E-2</v>
      </c>
      <c r="P532" s="4">
        <f t="shared" si="66"/>
        <v>0.29000000000000004</v>
      </c>
      <c r="Q532" s="4">
        <f t="shared" si="67"/>
        <v>0.35749999999999998</v>
      </c>
      <c r="R532" s="66">
        <f t="shared" si="68"/>
        <v>3.3382170630001137E-2</v>
      </c>
      <c r="S532" s="66">
        <f t="shared" si="69"/>
        <v>5.8029978586723784E-2</v>
      </c>
      <c r="T532" s="50">
        <f t="shared" si="70"/>
        <v>1</v>
      </c>
      <c r="U532" s="50">
        <f t="shared" si="71"/>
        <v>1</v>
      </c>
    </row>
    <row r="533" spans="1:21" x14ac:dyDescent="0.2">
      <c r="A533" s="38">
        <v>35614</v>
      </c>
      <c r="B533" s="4">
        <v>0.45</v>
      </c>
      <c r="C533" s="4">
        <v>0.3</v>
      </c>
      <c r="D533" s="4">
        <v>0.25</v>
      </c>
      <c r="E533" s="50">
        <v>1</v>
      </c>
      <c r="F533" s="50">
        <v>0.47249999999999998</v>
      </c>
      <c r="G533" s="50">
        <v>0.2</v>
      </c>
      <c r="H533" s="50">
        <v>0.38490743662900001</v>
      </c>
      <c r="I533" s="50">
        <v>0.48829287047999997</v>
      </c>
      <c r="J533" s="50">
        <v>0.28152200277799999</v>
      </c>
      <c r="K533" s="50">
        <v>917.82</v>
      </c>
      <c r="L533" s="50">
        <v>879.82</v>
      </c>
      <c r="M533" s="50">
        <v>916.92</v>
      </c>
      <c r="N533" s="66">
        <f t="shared" si="64"/>
        <v>-2.6174584478472397E-4</v>
      </c>
      <c r="O533" s="66">
        <f t="shared" si="65"/>
        <v>3.2958164289141938E-2</v>
      </c>
      <c r="P533" s="4">
        <f t="shared" si="66"/>
        <v>0.2</v>
      </c>
      <c r="Q533" s="4">
        <f t="shared" si="67"/>
        <v>0.315</v>
      </c>
      <c r="R533" s="66">
        <f t="shared" si="68"/>
        <v>-2.6174584478472397E-4</v>
      </c>
      <c r="S533" s="66">
        <f t="shared" si="69"/>
        <v>3.2958164289141938E-2</v>
      </c>
      <c r="T533" s="50" t="str">
        <f t="shared" si="70"/>
        <v/>
      </c>
      <c r="U533" s="50">
        <f t="shared" si="71"/>
        <v>1</v>
      </c>
    </row>
    <row r="534" spans="1:21" x14ac:dyDescent="0.2">
      <c r="A534" s="38">
        <v>35621</v>
      </c>
      <c r="B534" s="4">
        <v>0.49</v>
      </c>
      <c r="C534" s="4">
        <v>0.33</v>
      </c>
      <c r="D534" s="4">
        <v>0.18</v>
      </c>
      <c r="E534" s="50">
        <v>1</v>
      </c>
      <c r="F534" s="50">
        <v>0.48249999999999998</v>
      </c>
      <c r="G534" s="50">
        <v>0.31</v>
      </c>
      <c r="H534" s="50">
        <v>0.38490743662900001</v>
      </c>
      <c r="I534" s="50">
        <v>0.48829287047999997</v>
      </c>
      <c r="J534" s="50">
        <v>0.28152200277799999</v>
      </c>
      <c r="K534" s="50">
        <v>923.26</v>
      </c>
      <c r="L534" s="50">
        <v>902.48</v>
      </c>
      <c r="M534" s="50">
        <v>916.68</v>
      </c>
      <c r="N534" s="66">
        <f t="shared" si="64"/>
        <v>-1.5054326482523842E-3</v>
      </c>
      <c r="O534" s="66">
        <f t="shared" si="65"/>
        <v>1.8392459746040073E-2</v>
      </c>
      <c r="P534" s="4">
        <f t="shared" si="66"/>
        <v>0.31</v>
      </c>
      <c r="Q534" s="4">
        <f t="shared" si="67"/>
        <v>0.31</v>
      </c>
      <c r="R534" s="66">
        <f t="shared" si="68"/>
        <v>-1.5054326482523842E-3</v>
      </c>
      <c r="S534" s="66">
        <f t="shared" si="69"/>
        <v>1.8392459746040073E-2</v>
      </c>
      <c r="T534" s="50" t="str">
        <f t="shared" si="70"/>
        <v/>
      </c>
      <c r="U534" s="50">
        <f t="shared" si="71"/>
        <v>1</v>
      </c>
    </row>
    <row r="535" spans="1:21" x14ac:dyDescent="0.2">
      <c r="A535" s="38">
        <v>35628</v>
      </c>
      <c r="B535" s="4">
        <v>0.54</v>
      </c>
      <c r="C535" s="4">
        <v>0.3</v>
      </c>
      <c r="D535" s="4">
        <v>0.16</v>
      </c>
      <c r="E535" s="50">
        <v>1</v>
      </c>
      <c r="F535" s="50">
        <v>0.5</v>
      </c>
      <c r="G535" s="50">
        <v>0.38</v>
      </c>
      <c r="H535" s="50">
        <v>0.38490743662900001</v>
      </c>
      <c r="I535" s="50">
        <v>0.48829287047999997</v>
      </c>
      <c r="J535" s="50">
        <v>0.28152200277799999</v>
      </c>
      <c r="K535" s="50">
        <v>939.32</v>
      </c>
      <c r="L535" s="50">
        <v>912.02</v>
      </c>
      <c r="M535" s="50">
        <v>915.3</v>
      </c>
      <c r="N535" s="66">
        <f t="shared" si="64"/>
        <v>2.5663716814159302E-2</v>
      </c>
      <c r="O535" s="66">
        <f t="shared" si="65"/>
        <v>-1.583087512291053E-2</v>
      </c>
      <c r="P535" s="4">
        <f t="shared" si="66"/>
        <v>0.38</v>
      </c>
      <c r="Q535" s="4">
        <f t="shared" si="67"/>
        <v>0.29500000000000004</v>
      </c>
      <c r="R535" s="66">
        <f t="shared" si="68"/>
        <v>2.5663716814159302E-2</v>
      </c>
      <c r="S535" s="66">
        <f t="shared" si="69"/>
        <v>-1.583087512291053E-2</v>
      </c>
      <c r="T535" s="50">
        <f t="shared" si="70"/>
        <v>1</v>
      </c>
      <c r="U535" s="50" t="str">
        <f t="shared" si="71"/>
        <v/>
      </c>
    </row>
    <row r="536" spans="1:21" x14ac:dyDescent="0.2">
      <c r="A536" s="38">
        <v>35635</v>
      </c>
      <c r="B536" s="4">
        <v>0.53</v>
      </c>
      <c r="C536" s="4">
        <v>0.25</v>
      </c>
      <c r="D536" s="4">
        <v>0.22</v>
      </c>
      <c r="E536" s="50">
        <v>1</v>
      </c>
      <c r="F536" s="50">
        <v>0.51624999999999999</v>
      </c>
      <c r="G536" s="50">
        <v>0.31</v>
      </c>
      <c r="H536" s="50">
        <v>0.38490743662900001</v>
      </c>
      <c r="I536" s="50">
        <v>0.48829287047999997</v>
      </c>
      <c r="J536" s="50">
        <v>0.28152200277799999</v>
      </c>
      <c r="K536" s="50">
        <v>945.65</v>
      </c>
      <c r="L536" s="50">
        <v>907.12</v>
      </c>
      <c r="M536" s="50">
        <v>938.79</v>
      </c>
      <c r="N536" s="66">
        <f t="shared" si="64"/>
        <v>8.8944279338297409E-3</v>
      </c>
      <c r="O536" s="66">
        <f t="shared" si="65"/>
        <v>-1.6233662480426944E-2</v>
      </c>
      <c r="P536" s="4">
        <f t="shared" si="66"/>
        <v>0.31000000000000005</v>
      </c>
      <c r="Q536" s="4">
        <f t="shared" si="67"/>
        <v>0.30000000000000004</v>
      </c>
      <c r="R536" s="66">
        <f t="shared" si="68"/>
        <v>8.8944279338297409E-3</v>
      </c>
      <c r="S536" s="66">
        <f t="shared" si="69"/>
        <v>-1.6233662480426944E-2</v>
      </c>
      <c r="T536" s="50">
        <f t="shared" si="70"/>
        <v>1</v>
      </c>
      <c r="U536" s="50" t="str">
        <f t="shared" si="71"/>
        <v/>
      </c>
    </row>
    <row r="537" spans="1:21" x14ac:dyDescent="0.2">
      <c r="A537" s="38">
        <v>35642</v>
      </c>
      <c r="B537" s="4">
        <v>0.48</v>
      </c>
      <c r="C537" s="4">
        <v>0.26</v>
      </c>
      <c r="D537" s="4">
        <v>0.26</v>
      </c>
      <c r="E537" s="50">
        <v>1</v>
      </c>
      <c r="F537" s="50">
        <v>0.51124999999999998</v>
      </c>
      <c r="G537" s="50">
        <v>0.22</v>
      </c>
      <c r="H537" s="50">
        <v>0.38490743662900001</v>
      </c>
      <c r="I537" s="50">
        <v>0.48829287047999997</v>
      </c>
      <c r="J537" s="50">
        <v>0.28152200277799999</v>
      </c>
      <c r="K537" s="50">
        <v>955.35</v>
      </c>
      <c r="L537" s="50">
        <v>932.56</v>
      </c>
      <c r="M537" s="50">
        <v>947.14</v>
      </c>
      <c r="N537" s="66">
        <f t="shared" si="64"/>
        <v>-1.4359017674261485E-2</v>
      </c>
      <c r="O537" s="66">
        <f t="shared" si="65"/>
        <v>-5.0330468568532592E-2</v>
      </c>
      <c r="P537" s="4">
        <f t="shared" si="66"/>
        <v>0.21999999999999997</v>
      </c>
      <c r="Q537" s="4">
        <f t="shared" si="67"/>
        <v>0.30499999999999999</v>
      </c>
      <c r="R537" s="66">
        <f t="shared" si="68"/>
        <v>-1.4359017674261485E-2</v>
      </c>
      <c r="S537" s="66">
        <f t="shared" si="69"/>
        <v>-5.0330468568532592E-2</v>
      </c>
      <c r="T537" s="50" t="str">
        <f t="shared" si="70"/>
        <v/>
      </c>
      <c r="U537" s="50" t="str">
        <f t="shared" si="71"/>
        <v/>
      </c>
    </row>
    <row r="538" spans="1:21" x14ac:dyDescent="0.2">
      <c r="A538" s="38">
        <v>35649</v>
      </c>
      <c r="B538" s="4">
        <v>0.49</v>
      </c>
      <c r="C538" s="4">
        <v>0.28000000000000003</v>
      </c>
      <c r="D538" s="4">
        <v>0.23</v>
      </c>
      <c r="E538" s="50">
        <v>1</v>
      </c>
      <c r="F538" s="50">
        <v>0.51124999999999998</v>
      </c>
      <c r="G538" s="50">
        <v>0.26</v>
      </c>
      <c r="H538" s="50">
        <v>0.38490743662900001</v>
      </c>
      <c r="I538" s="50">
        <v>0.48829287047999997</v>
      </c>
      <c r="J538" s="50">
        <v>0.28152200277799999</v>
      </c>
      <c r="K538" s="50">
        <v>964.17</v>
      </c>
      <c r="L538" s="50">
        <v>925.74</v>
      </c>
      <c r="M538" s="50">
        <v>933.54</v>
      </c>
      <c r="N538" s="66">
        <f t="shared" si="64"/>
        <v>-3.5060093836364825E-2</v>
      </c>
      <c r="O538" s="66">
        <f t="shared" si="65"/>
        <v>-4.8096492919425084E-3</v>
      </c>
      <c r="P538" s="4">
        <f t="shared" si="66"/>
        <v>0.26</v>
      </c>
      <c r="Q538" s="4">
        <f t="shared" si="67"/>
        <v>0.29249999999999998</v>
      </c>
      <c r="R538" s="66">
        <f t="shared" si="68"/>
        <v>-3.5060093836364825E-2</v>
      </c>
      <c r="S538" s="66">
        <f t="shared" si="69"/>
        <v>-4.8096492919425084E-3</v>
      </c>
      <c r="T538" s="50" t="str">
        <f t="shared" si="70"/>
        <v/>
      </c>
      <c r="U538" s="50" t="str">
        <f t="shared" si="71"/>
        <v/>
      </c>
    </row>
    <row r="539" spans="1:21" x14ac:dyDescent="0.2">
      <c r="A539" s="38">
        <v>35656</v>
      </c>
      <c r="B539" s="4">
        <v>0.49</v>
      </c>
      <c r="C539" s="4">
        <v>0.3</v>
      </c>
      <c r="D539" s="4">
        <v>0.21</v>
      </c>
      <c r="E539" s="50">
        <v>1</v>
      </c>
      <c r="F539" s="50">
        <v>0.49875000000000003</v>
      </c>
      <c r="G539" s="50">
        <v>0.28000000000000003</v>
      </c>
      <c r="H539" s="50">
        <v>0.38490743662900001</v>
      </c>
      <c r="I539" s="50">
        <v>0.48829287047999997</v>
      </c>
      <c r="J539" s="50">
        <v>0.28152200277799999</v>
      </c>
      <c r="K539" s="50">
        <v>942.99</v>
      </c>
      <c r="L539" s="50">
        <v>900.81</v>
      </c>
      <c r="M539" s="50">
        <v>900.81</v>
      </c>
      <c r="N539" s="66">
        <f t="shared" si="64"/>
        <v>2.5243947114263841E-2</v>
      </c>
      <c r="O539" s="66">
        <f t="shared" si="65"/>
        <v>2.5643587437972518E-2</v>
      </c>
      <c r="P539" s="4">
        <f t="shared" si="66"/>
        <v>0.28000000000000003</v>
      </c>
      <c r="Q539" s="4">
        <f t="shared" si="67"/>
        <v>0.26750000000000002</v>
      </c>
      <c r="R539" s="66">
        <f t="shared" si="68"/>
        <v>2.5243947114263841E-2</v>
      </c>
      <c r="S539" s="66">
        <f t="shared" si="69"/>
        <v>2.5643587437972518E-2</v>
      </c>
      <c r="T539" s="50">
        <f t="shared" si="70"/>
        <v>1</v>
      </c>
      <c r="U539" s="50">
        <f t="shared" si="71"/>
        <v>1</v>
      </c>
    </row>
    <row r="540" spans="1:21" x14ac:dyDescent="0.2">
      <c r="A540" s="38">
        <v>35663</v>
      </c>
      <c r="B540" s="4">
        <v>0.47</v>
      </c>
      <c r="C540" s="4">
        <v>0.33</v>
      </c>
      <c r="D540" s="4">
        <v>0.2</v>
      </c>
      <c r="E540" s="50">
        <v>1</v>
      </c>
      <c r="F540" s="50">
        <v>0.49249999999999999</v>
      </c>
      <c r="G540" s="50">
        <v>0.27</v>
      </c>
      <c r="H540" s="50">
        <v>0.38490743662900001</v>
      </c>
      <c r="I540" s="50">
        <v>0.48829287047999997</v>
      </c>
      <c r="J540" s="50">
        <v>0.28152200277799999</v>
      </c>
      <c r="K540" s="50">
        <v>939.47</v>
      </c>
      <c r="L540" s="50">
        <v>905.52</v>
      </c>
      <c r="M540" s="50">
        <v>923.55</v>
      </c>
      <c r="N540" s="66">
        <f t="shared" si="64"/>
        <v>-2.6073304098316201E-2</v>
      </c>
      <c r="O540" s="66">
        <f t="shared" si="65"/>
        <v>2.9191705917384049E-2</v>
      </c>
      <c r="P540" s="4">
        <f t="shared" si="66"/>
        <v>0.26999999999999996</v>
      </c>
      <c r="Q540" s="4">
        <f t="shared" si="67"/>
        <v>0.25750000000000001</v>
      </c>
      <c r="R540" s="66">
        <f t="shared" si="68"/>
        <v>-2.6073304098316201E-2</v>
      </c>
      <c r="S540" s="66">
        <f t="shared" si="69"/>
        <v>2.9191705917384049E-2</v>
      </c>
      <c r="T540" s="50" t="str">
        <f t="shared" si="70"/>
        <v/>
      </c>
      <c r="U540" s="50">
        <f t="shared" si="71"/>
        <v>1</v>
      </c>
    </row>
    <row r="541" spans="1:21" x14ac:dyDescent="0.2">
      <c r="A541" s="38">
        <v>35670</v>
      </c>
      <c r="B541" s="4">
        <v>0.5</v>
      </c>
      <c r="C541" s="4">
        <v>0.28000000000000003</v>
      </c>
      <c r="D541" s="4">
        <v>0.22</v>
      </c>
      <c r="E541" s="50">
        <v>1</v>
      </c>
      <c r="F541" s="50">
        <v>0.49875000000000003</v>
      </c>
      <c r="G541" s="50">
        <v>0.28000000000000003</v>
      </c>
      <c r="H541" s="50">
        <v>0.38490743662900001</v>
      </c>
      <c r="I541" s="50">
        <v>0.48829287047999997</v>
      </c>
      <c r="J541" s="50">
        <v>0.28152200277799999</v>
      </c>
      <c r="K541" s="50">
        <v>920.16</v>
      </c>
      <c r="L541" s="50">
        <v>899.47</v>
      </c>
      <c r="M541" s="50">
        <v>899.47</v>
      </c>
      <c r="N541" s="66">
        <f t="shared" si="64"/>
        <v>3.2886032886032805E-2</v>
      </c>
      <c r="O541" s="66">
        <f t="shared" si="65"/>
        <v>5.0863286157403806E-2</v>
      </c>
      <c r="P541" s="4">
        <f t="shared" si="66"/>
        <v>0.28000000000000003</v>
      </c>
      <c r="Q541" s="4">
        <f t="shared" si="67"/>
        <v>0.27250000000000002</v>
      </c>
      <c r="R541" s="66">
        <f t="shared" si="68"/>
        <v>3.2886032886032805E-2</v>
      </c>
      <c r="S541" s="66">
        <f t="shared" si="69"/>
        <v>5.0863286157403806E-2</v>
      </c>
      <c r="T541" s="50">
        <f t="shared" si="70"/>
        <v>1</v>
      </c>
      <c r="U541" s="50">
        <f t="shared" si="71"/>
        <v>1</v>
      </c>
    </row>
    <row r="542" spans="1:21" x14ac:dyDescent="0.2">
      <c r="A542" s="38">
        <v>35677</v>
      </c>
      <c r="B542" s="4">
        <v>0.37</v>
      </c>
      <c r="C542" s="4">
        <v>0.38</v>
      </c>
      <c r="D542" s="4">
        <v>0.25</v>
      </c>
      <c r="E542" s="50">
        <v>1</v>
      </c>
      <c r="F542" s="50">
        <v>0.48375000000000001</v>
      </c>
      <c r="G542" s="50">
        <v>0.12</v>
      </c>
      <c r="H542" s="50">
        <v>0.38490743662900001</v>
      </c>
      <c r="I542" s="50">
        <v>0.48829287047999997</v>
      </c>
      <c r="J542" s="50">
        <v>0.28152200277799999</v>
      </c>
      <c r="K542" s="50">
        <v>940.37</v>
      </c>
      <c r="L542" s="50">
        <v>899.47</v>
      </c>
      <c r="M542" s="50">
        <v>929.05</v>
      </c>
      <c r="N542" s="66">
        <f t="shared" si="64"/>
        <v>-5.5325332328722745E-3</v>
      </c>
      <c r="O542" s="66">
        <f t="shared" si="65"/>
        <v>3.8727732630106045E-2</v>
      </c>
      <c r="P542" s="4">
        <f t="shared" si="66"/>
        <v>0.12</v>
      </c>
      <c r="Q542" s="4">
        <f t="shared" si="67"/>
        <v>0.23750000000000002</v>
      </c>
      <c r="R542" s="66">
        <f t="shared" si="68"/>
        <v>-5.5325332328722745E-3</v>
      </c>
      <c r="S542" s="66">
        <f t="shared" si="69"/>
        <v>3.8727732630106045E-2</v>
      </c>
      <c r="T542" s="50" t="str">
        <f t="shared" si="70"/>
        <v/>
      </c>
      <c r="U542" s="50">
        <f t="shared" si="71"/>
        <v>1</v>
      </c>
    </row>
    <row r="543" spans="1:21" x14ac:dyDescent="0.2">
      <c r="A543" s="38">
        <v>35684</v>
      </c>
      <c r="B543" s="4">
        <v>0.42</v>
      </c>
      <c r="C543" s="4">
        <v>0.36</v>
      </c>
      <c r="D543" s="4">
        <v>0.22</v>
      </c>
      <c r="E543" s="50">
        <v>1</v>
      </c>
      <c r="F543" s="50">
        <v>0.46875</v>
      </c>
      <c r="G543" s="50">
        <v>0.2</v>
      </c>
      <c r="H543" s="50">
        <v>0.38490743662900001</v>
      </c>
      <c r="I543" s="50">
        <v>0.48829287047999997</v>
      </c>
      <c r="J543" s="50">
        <v>0.28152200277799999</v>
      </c>
      <c r="K543" s="50">
        <v>938.9</v>
      </c>
      <c r="L543" s="50">
        <v>902.56</v>
      </c>
      <c r="M543" s="50">
        <v>923.91</v>
      </c>
      <c r="N543" s="66">
        <f t="shared" si="64"/>
        <v>2.8790683075191333E-2</v>
      </c>
      <c r="O543" s="66">
        <f t="shared" si="65"/>
        <v>4.6617094738665078E-2</v>
      </c>
      <c r="P543" s="4">
        <f t="shared" si="66"/>
        <v>0.19999999999999998</v>
      </c>
      <c r="Q543" s="4">
        <f t="shared" si="67"/>
        <v>0.2175</v>
      </c>
      <c r="R543" s="66">
        <f t="shared" si="68"/>
        <v>2.8790683075191333E-2</v>
      </c>
      <c r="S543" s="66">
        <f t="shared" si="69"/>
        <v>4.6617094738665078E-2</v>
      </c>
      <c r="T543" s="50">
        <f t="shared" si="70"/>
        <v>1</v>
      </c>
      <c r="U543" s="50">
        <f t="shared" si="71"/>
        <v>1</v>
      </c>
    </row>
    <row r="544" spans="1:21" x14ac:dyDescent="0.2">
      <c r="A544" s="38">
        <v>35691</v>
      </c>
      <c r="B544" s="4">
        <v>0.4</v>
      </c>
      <c r="C544" s="4">
        <v>0.44</v>
      </c>
      <c r="D544" s="4">
        <v>0.16</v>
      </c>
      <c r="E544" s="50">
        <v>1</v>
      </c>
      <c r="F544" s="50">
        <v>0.45250000000000001</v>
      </c>
      <c r="G544" s="50">
        <v>0.24</v>
      </c>
      <c r="H544" s="50">
        <v>0.38490743662900001</v>
      </c>
      <c r="I544" s="50">
        <v>0.48829287047999997</v>
      </c>
      <c r="J544" s="50">
        <v>0.28152200277799999</v>
      </c>
      <c r="K544" s="50">
        <v>952.35</v>
      </c>
      <c r="L544" s="50">
        <v>919.41</v>
      </c>
      <c r="M544" s="50">
        <v>950.51</v>
      </c>
      <c r="N544" s="66">
        <f t="shared" si="64"/>
        <v>-5.5654332937054461E-3</v>
      </c>
      <c r="O544" s="66">
        <f t="shared" si="65"/>
        <v>-6.6806240860170047E-3</v>
      </c>
      <c r="P544" s="4">
        <f t="shared" si="66"/>
        <v>0.24000000000000002</v>
      </c>
      <c r="Q544" s="4">
        <f t="shared" si="67"/>
        <v>0.21</v>
      </c>
      <c r="R544" s="66">
        <f t="shared" si="68"/>
        <v>-5.5654332937054461E-3</v>
      </c>
      <c r="S544" s="66">
        <f t="shared" si="69"/>
        <v>-6.6806240860170047E-3</v>
      </c>
      <c r="T544" s="50" t="str">
        <f t="shared" si="70"/>
        <v/>
      </c>
      <c r="U544" s="50" t="str">
        <f t="shared" si="71"/>
        <v/>
      </c>
    </row>
    <row r="545" spans="1:21" x14ac:dyDescent="0.2">
      <c r="A545" s="38">
        <v>35698</v>
      </c>
      <c r="B545" s="4">
        <v>0.39</v>
      </c>
      <c r="C545" s="4">
        <v>0.42</v>
      </c>
      <c r="D545" s="4">
        <v>0.19</v>
      </c>
      <c r="E545" s="50">
        <v>1</v>
      </c>
      <c r="F545" s="50">
        <v>0.44124999999999998</v>
      </c>
      <c r="G545" s="50">
        <v>0.2</v>
      </c>
      <c r="H545" s="50">
        <v>0.38490743662900001</v>
      </c>
      <c r="I545" s="50">
        <v>0.48829287047999997</v>
      </c>
      <c r="J545" s="50">
        <v>0.28152200277799999</v>
      </c>
      <c r="K545" s="50">
        <v>960.59</v>
      </c>
      <c r="L545" s="50">
        <v>937.38</v>
      </c>
      <c r="M545" s="50">
        <v>945.22</v>
      </c>
      <c r="N545" s="66">
        <f t="shared" si="64"/>
        <v>2.0958083832335273E-2</v>
      </c>
      <c r="O545" s="66">
        <f t="shared" si="65"/>
        <v>-3.7874780474387347E-3</v>
      </c>
      <c r="P545" s="4">
        <f t="shared" si="66"/>
        <v>0.2</v>
      </c>
      <c r="Q545" s="4">
        <f t="shared" si="67"/>
        <v>0.19</v>
      </c>
      <c r="R545" s="66">
        <f t="shared" si="68"/>
        <v>2.0958083832335273E-2</v>
      </c>
      <c r="S545" s="66">
        <f t="shared" si="69"/>
        <v>-3.7874780474387347E-3</v>
      </c>
      <c r="T545" s="50">
        <f t="shared" si="70"/>
        <v>1</v>
      </c>
      <c r="U545" s="50" t="str">
        <f t="shared" si="71"/>
        <v/>
      </c>
    </row>
    <row r="546" spans="1:21" x14ac:dyDescent="0.2">
      <c r="A546" s="38">
        <v>35705</v>
      </c>
      <c r="B546" s="4">
        <v>0.38</v>
      </c>
      <c r="C546" s="4">
        <v>0.43</v>
      </c>
      <c r="D546" s="4">
        <v>0.19</v>
      </c>
      <c r="E546" s="50">
        <v>1</v>
      </c>
      <c r="F546" s="50">
        <v>0.42749999999999999</v>
      </c>
      <c r="G546" s="50">
        <v>0.19</v>
      </c>
      <c r="H546" s="50">
        <v>0.38490743662900001</v>
      </c>
      <c r="I546" s="50">
        <v>0.48829287047999997</v>
      </c>
      <c r="J546" s="50">
        <v>0.28152200277799999</v>
      </c>
      <c r="K546" s="50">
        <v>975.47</v>
      </c>
      <c r="L546" s="50">
        <v>941.94</v>
      </c>
      <c r="M546" s="50">
        <v>965.03</v>
      </c>
      <c r="N546" s="66">
        <f t="shared" si="64"/>
        <v>2.0206625700755891E-3</v>
      </c>
      <c r="O546" s="66">
        <f t="shared" si="65"/>
        <v>-5.2236718029491279E-2</v>
      </c>
      <c r="P546" s="4">
        <f t="shared" si="66"/>
        <v>0.19</v>
      </c>
      <c r="Q546" s="4">
        <f t="shared" si="67"/>
        <v>0.20750000000000002</v>
      </c>
      <c r="R546" s="66">
        <f t="shared" si="68"/>
        <v>2.0206625700755891E-3</v>
      </c>
      <c r="S546" s="66">
        <f t="shared" si="69"/>
        <v>-5.2236718029491279E-2</v>
      </c>
      <c r="T546" s="50">
        <f t="shared" si="70"/>
        <v>1</v>
      </c>
      <c r="U546" s="50" t="str">
        <f t="shared" si="71"/>
        <v/>
      </c>
    </row>
    <row r="547" spans="1:21" x14ac:dyDescent="0.2">
      <c r="A547" s="38">
        <v>35712</v>
      </c>
      <c r="B547" s="4">
        <v>0.43</v>
      </c>
      <c r="C547" s="4">
        <v>0.43</v>
      </c>
      <c r="D547" s="4">
        <v>0.14000000000000001</v>
      </c>
      <c r="E547" s="50">
        <v>1</v>
      </c>
      <c r="F547" s="50">
        <v>0.42</v>
      </c>
      <c r="G547" s="50">
        <v>0.28999999999999998</v>
      </c>
      <c r="H547" s="50">
        <v>0.38490743662900001</v>
      </c>
      <c r="I547" s="50">
        <v>0.48829287047999997</v>
      </c>
      <c r="J547" s="50">
        <v>0.28152200277799999</v>
      </c>
      <c r="K547" s="50">
        <v>983.12</v>
      </c>
      <c r="L547" s="50">
        <v>963.34</v>
      </c>
      <c r="M547" s="50">
        <v>966.98</v>
      </c>
      <c r="N547" s="66">
        <f t="shared" si="64"/>
        <v>-2.3599247140582071E-2</v>
      </c>
      <c r="O547" s="66">
        <f t="shared" si="65"/>
        <v>-4.0817803884258236E-2</v>
      </c>
      <c r="P547" s="4">
        <f t="shared" si="66"/>
        <v>0.28999999999999998</v>
      </c>
      <c r="Q547" s="4">
        <f t="shared" si="67"/>
        <v>0.23000000000000004</v>
      </c>
      <c r="R547" s="66">
        <f t="shared" si="68"/>
        <v>-2.3599247140582071E-2</v>
      </c>
      <c r="S547" s="66">
        <f t="shared" si="69"/>
        <v>-4.0817803884258236E-2</v>
      </c>
      <c r="T547" s="50" t="str">
        <f t="shared" si="70"/>
        <v/>
      </c>
      <c r="U547" s="50" t="str">
        <f t="shared" si="71"/>
        <v/>
      </c>
    </row>
    <row r="548" spans="1:21" x14ac:dyDescent="0.2">
      <c r="A548" s="38">
        <v>35719</v>
      </c>
      <c r="B548" s="4">
        <v>0.43</v>
      </c>
      <c r="C548" s="4">
        <v>0.36</v>
      </c>
      <c r="D548" s="4">
        <v>0.21</v>
      </c>
      <c r="E548" s="50">
        <v>1</v>
      </c>
      <c r="F548" s="50">
        <v>0.41499999999999998</v>
      </c>
      <c r="G548" s="50">
        <v>0.22</v>
      </c>
      <c r="H548" s="50">
        <v>0.38490743662900001</v>
      </c>
      <c r="I548" s="50">
        <v>0.48829287047999997</v>
      </c>
      <c r="J548" s="50">
        <v>0.28152200277799999</v>
      </c>
      <c r="K548" s="50">
        <v>973.46</v>
      </c>
      <c r="L548" s="50">
        <v>931.58</v>
      </c>
      <c r="M548" s="50">
        <v>944.16</v>
      </c>
      <c r="N548" s="66">
        <f t="shared" si="64"/>
        <v>-2.6690391459074543E-3</v>
      </c>
      <c r="O548" s="66">
        <f t="shared" si="65"/>
        <v>-1.6745043213014687E-2</v>
      </c>
      <c r="P548" s="4">
        <f t="shared" si="66"/>
        <v>0.22</v>
      </c>
      <c r="Q548" s="4">
        <f t="shared" si="67"/>
        <v>0.22499999999999998</v>
      </c>
      <c r="R548" s="66">
        <f t="shared" si="68"/>
        <v>-2.6690391459074543E-3</v>
      </c>
      <c r="S548" s="66">
        <f t="shared" si="69"/>
        <v>-1.6745043213014687E-2</v>
      </c>
      <c r="T548" s="50" t="str">
        <f t="shared" si="70"/>
        <v/>
      </c>
      <c r="U548" s="50" t="str">
        <f t="shared" si="71"/>
        <v/>
      </c>
    </row>
    <row r="549" spans="1:21" x14ac:dyDescent="0.2">
      <c r="A549" s="38">
        <v>35726</v>
      </c>
      <c r="B549" s="4">
        <v>0.4</v>
      </c>
      <c r="C549" s="4">
        <v>0.46</v>
      </c>
      <c r="D549" s="4">
        <v>0.14000000000000001</v>
      </c>
      <c r="E549" s="50">
        <v>1</v>
      </c>
      <c r="F549" s="50">
        <v>0.40250000000000002</v>
      </c>
      <c r="G549" s="50">
        <v>0.26</v>
      </c>
      <c r="H549" s="50">
        <v>0.38490743662900001</v>
      </c>
      <c r="I549" s="50">
        <v>0.48829287047999997</v>
      </c>
      <c r="J549" s="50">
        <v>0.28152200277799999</v>
      </c>
      <c r="K549" s="50">
        <v>972.61</v>
      </c>
      <c r="L549" s="50">
        <v>937.55</v>
      </c>
      <c r="M549" s="50">
        <v>941.64</v>
      </c>
      <c r="N549" s="66">
        <f t="shared" si="64"/>
        <v>-2.8694617900683894E-2</v>
      </c>
      <c r="O549" s="66">
        <f t="shared" si="65"/>
        <v>2.2779406142474881E-2</v>
      </c>
      <c r="P549" s="4">
        <f t="shared" si="66"/>
        <v>0.26</v>
      </c>
      <c r="Q549" s="4">
        <f t="shared" si="67"/>
        <v>0.24</v>
      </c>
      <c r="R549" s="66">
        <f t="shared" si="68"/>
        <v>-2.8694617900683894E-2</v>
      </c>
      <c r="S549" s="66">
        <f t="shared" si="69"/>
        <v>2.2779406142474881E-2</v>
      </c>
      <c r="T549" s="50" t="str">
        <f t="shared" si="70"/>
        <v/>
      </c>
      <c r="U549" s="50">
        <f t="shared" si="71"/>
        <v>1</v>
      </c>
    </row>
    <row r="550" spans="1:21" x14ac:dyDescent="0.2">
      <c r="A550" s="38">
        <v>35733</v>
      </c>
      <c r="B550" s="4">
        <v>0.41</v>
      </c>
      <c r="C550" s="4">
        <v>0.36</v>
      </c>
      <c r="D550" s="4">
        <v>0.23</v>
      </c>
      <c r="E550" s="50">
        <v>1</v>
      </c>
      <c r="F550" s="50">
        <v>0.40749999999999997</v>
      </c>
      <c r="G550" s="50">
        <v>0.18</v>
      </c>
      <c r="H550" s="50">
        <v>0.38490743662900001</v>
      </c>
      <c r="I550" s="50">
        <v>0.48829287047999997</v>
      </c>
      <c r="J550" s="50">
        <v>0.28152200277799999</v>
      </c>
      <c r="K550" s="50">
        <v>941.64</v>
      </c>
      <c r="L550" s="50">
        <v>855.27</v>
      </c>
      <c r="M550" s="50">
        <v>914.62</v>
      </c>
      <c r="N550" s="66">
        <f t="shared" si="64"/>
        <v>1.409328464280246E-2</v>
      </c>
      <c r="O550" s="66">
        <f t="shared" si="65"/>
        <v>4.4586822942861488E-2</v>
      </c>
      <c r="P550" s="4">
        <f t="shared" si="66"/>
        <v>0.17999999999999997</v>
      </c>
      <c r="Q550" s="4">
        <f t="shared" si="67"/>
        <v>0.23749999999999999</v>
      </c>
      <c r="R550" s="66">
        <f t="shared" si="68"/>
        <v>1.409328464280246E-2</v>
      </c>
      <c r="S550" s="66">
        <f t="shared" si="69"/>
        <v>4.4586822942861488E-2</v>
      </c>
      <c r="T550" s="50">
        <f t="shared" si="70"/>
        <v>1</v>
      </c>
      <c r="U550" s="50">
        <f t="shared" si="71"/>
        <v>1</v>
      </c>
    </row>
    <row r="551" spans="1:21" x14ac:dyDescent="0.2">
      <c r="A551" s="38">
        <v>35740</v>
      </c>
      <c r="B551" s="4">
        <v>0.38</v>
      </c>
      <c r="C551" s="4">
        <v>0.37</v>
      </c>
      <c r="D551" s="4">
        <v>0.25</v>
      </c>
      <c r="E551" s="50">
        <v>1</v>
      </c>
      <c r="F551" s="50">
        <v>0.40250000000000002</v>
      </c>
      <c r="G551" s="50">
        <v>0.13</v>
      </c>
      <c r="H551" s="50">
        <v>0.38490743662900001</v>
      </c>
      <c r="I551" s="50">
        <v>0.48829287047999997</v>
      </c>
      <c r="J551" s="50">
        <v>0.28152200277799999</v>
      </c>
      <c r="K551" s="50">
        <v>949.62</v>
      </c>
      <c r="L551" s="50">
        <v>914.62</v>
      </c>
      <c r="M551" s="50">
        <v>927.51</v>
      </c>
      <c r="N551" s="66">
        <f t="shared" si="64"/>
        <v>9.0565061293143134E-4</v>
      </c>
      <c r="O551" s="66">
        <f t="shared" si="65"/>
        <v>6.0678591066403567E-2</v>
      </c>
      <c r="P551" s="4">
        <f t="shared" si="66"/>
        <v>0.13</v>
      </c>
      <c r="Q551" s="4">
        <f t="shared" si="67"/>
        <v>0.19749999999999998</v>
      </c>
      <c r="R551" s="66">
        <f t="shared" si="68"/>
        <v>9.0565061293143134E-4</v>
      </c>
      <c r="S551" s="66">
        <f t="shared" si="69"/>
        <v>6.0678591066403567E-2</v>
      </c>
      <c r="T551" s="50">
        <f t="shared" si="70"/>
        <v>1</v>
      </c>
      <c r="U551" s="50">
        <f t="shared" si="71"/>
        <v>1</v>
      </c>
    </row>
    <row r="552" spans="1:21" x14ac:dyDescent="0.2">
      <c r="A552" s="38">
        <v>35747</v>
      </c>
      <c r="B552" s="4">
        <v>0.45</v>
      </c>
      <c r="C552" s="4">
        <v>0.38</v>
      </c>
      <c r="D552" s="4">
        <v>0.17</v>
      </c>
      <c r="E552" s="50">
        <v>1</v>
      </c>
      <c r="F552" s="50">
        <v>0.40875</v>
      </c>
      <c r="G552" s="50">
        <v>0.28000000000000003</v>
      </c>
      <c r="H552" s="50">
        <v>0.38490743662900001</v>
      </c>
      <c r="I552" s="50">
        <v>0.48829287047999997</v>
      </c>
      <c r="J552" s="50">
        <v>0.28152200277799999</v>
      </c>
      <c r="K552" s="50">
        <v>935.9</v>
      </c>
      <c r="L552" s="50">
        <v>900.16</v>
      </c>
      <c r="M552" s="50">
        <v>928.35</v>
      </c>
      <c r="N552" s="66">
        <f t="shared" si="64"/>
        <v>3.7421231216674754E-2</v>
      </c>
      <c r="O552" s="66">
        <f t="shared" si="65"/>
        <v>2.6972585770452914E-2</v>
      </c>
      <c r="P552" s="4">
        <f t="shared" si="66"/>
        <v>0.28000000000000003</v>
      </c>
      <c r="Q552" s="4">
        <f t="shared" si="67"/>
        <v>0.21249999999999999</v>
      </c>
      <c r="R552" s="66">
        <f t="shared" si="68"/>
        <v>3.7421231216674754E-2</v>
      </c>
      <c r="S552" s="66">
        <f t="shared" si="69"/>
        <v>2.6972585770452914E-2</v>
      </c>
      <c r="T552" s="50">
        <f t="shared" si="70"/>
        <v>1</v>
      </c>
      <c r="U552" s="50">
        <f t="shared" si="71"/>
        <v>1</v>
      </c>
    </row>
    <row r="553" spans="1:21" x14ac:dyDescent="0.2">
      <c r="A553" s="38">
        <v>35754</v>
      </c>
      <c r="B553" s="4">
        <v>0.4</v>
      </c>
      <c r="C553" s="4">
        <v>0.38</v>
      </c>
      <c r="D553" s="4">
        <v>0.22</v>
      </c>
      <c r="E553" s="50">
        <v>1</v>
      </c>
      <c r="F553" s="50">
        <v>0.41</v>
      </c>
      <c r="G553" s="50">
        <v>0.18</v>
      </c>
      <c r="H553" s="50">
        <v>0.38490743662900001</v>
      </c>
      <c r="I553" s="50">
        <v>0.48829287047999997</v>
      </c>
      <c r="J553" s="50">
        <v>0.28152200277799999</v>
      </c>
      <c r="K553" s="50">
        <v>963.09</v>
      </c>
      <c r="L553" s="50">
        <v>938.23</v>
      </c>
      <c r="M553" s="50">
        <v>963.09</v>
      </c>
      <c r="N553" s="66">
        <f t="shared" si="64"/>
        <v>-7.9847158624843512E-3</v>
      </c>
      <c r="O553" s="66">
        <f t="shared" si="65"/>
        <v>-1.6935073565295101E-2</v>
      </c>
      <c r="P553" s="4">
        <f t="shared" si="66"/>
        <v>0.18000000000000002</v>
      </c>
      <c r="Q553" s="4">
        <f t="shared" si="67"/>
        <v>0.1925</v>
      </c>
      <c r="R553" s="66">
        <f t="shared" si="68"/>
        <v>-7.9847158624843512E-3</v>
      </c>
      <c r="S553" s="66">
        <f t="shared" si="69"/>
        <v>-1.6935073565295101E-2</v>
      </c>
      <c r="T553" s="50" t="str">
        <f t="shared" si="70"/>
        <v/>
      </c>
      <c r="U553" s="50" t="str">
        <f t="shared" si="71"/>
        <v/>
      </c>
    </row>
    <row r="554" spans="1:21" x14ac:dyDescent="0.2">
      <c r="A554" s="38">
        <v>35760</v>
      </c>
      <c r="B554" s="4">
        <v>0.4</v>
      </c>
      <c r="C554" s="4">
        <v>0.4</v>
      </c>
      <c r="D554" s="4">
        <v>0.2</v>
      </c>
      <c r="E554" s="50">
        <v>1</v>
      </c>
      <c r="F554" s="50">
        <v>0.41249999999999998</v>
      </c>
      <c r="G554" s="50">
        <v>0.2</v>
      </c>
      <c r="H554" s="50">
        <v>0.38490743662900001</v>
      </c>
      <c r="I554" s="50">
        <v>0.48829287047999997</v>
      </c>
      <c r="J554" s="50">
        <v>0.28152200277799999</v>
      </c>
      <c r="K554" s="50">
        <v>963.09</v>
      </c>
      <c r="L554" s="50">
        <v>944.71</v>
      </c>
      <c r="M554" s="50">
        <v>955.4</v>
      </c>
      <c r="N554" s="66">
        <f t="shared" si="64"/>
        <v>2.9715302491103188E-2</v>
      </c>
      <c r="O554" s="66">
        <f t="shared" si="65"/>
        <v>-1.9824157420975447E-2</v>
      </c>
      <c r="P554" s="4">
        <f t="shared" si="66"/>
        <v>0.2</v>
      </c>
      <c r="Q554" s="4">
        <f t="shared" si="67"/>
        <v>0.19750000000000001</v>
      </c>
      <c r="R554" s="66">
        <f t="shared" si="68"/>
        <v>2.9715302491103188E-2</v>
      </c>
      <c r="S554" s="66">
        <f t="shared" si="69"/>
        <v>-1.9824157420975447E-2</v>
      </c>
      <c r="T554" s="50">
        <f t="shared" si="70"/>
        <v>1</v>
      </c>
      <c r="U554" s="50" t="str">
        <f t="shared" si="71"/>
        <v/>
      </c>
    </row>
    <row r="555" spans="1:21" x14ac:dyDescent="0.2">
      <c r="A555" s="38">
        <v>35768</v>
      </c>
      <c r="B555" s="4">
        <v>0.49</v>
      </c>
      <c r="C555" s="4">
        <v>0.33</v>
      </c>
      <c r="D555" s="4">
        <v>0.18</v>
      </c>
      <c r="E555" s="50">
        <v>1</v>
      </c>
      <c r="F555" s="50">
        <v>0.42</v>
      </c>
      <c r="G555" s="50">
        <v>0.31</v>
      </c>
      <c r="H555" s="50">
        <v>0.38490743662900001</v>
      </c>
      <c r="I555" s="50">
        <v>0.48829287047999997</v>
      </c>
      <c r="J555" s="50">
        <v>0.28152200277799999</v>
      </c>
      <c r="K555" s="50">
        <v>986.25</v>
      </c>
      <c r="L555" s="50">
        <v>966.16</v>
      </c>
      <c r="M555" s="50">
        <v>983.79</v>
      </c>
      <c r="N555" s="66">
        <f t="shared" si="64"/>
        <v>-3.0900903648136267E-2</v>
      </c>
      <c r="O555" s="66">
        <f t="shared" si="65"/>
        <v>-8.8941745697760696E-3</v>
      </c>
      <c r="P555" s="4">
        <f t="shared" si="66"/>
        <v>0.31</v>
      </c>
      <c r="Q555" s="4">
        <f t="shared" si="67"/>
        <v>0.24250000000000005</v>
      </c>
      <c r="R555" s="66">
        <f t="shared" si="68"/>
        <v>-3.0900903648136267E-2</v>
      </c>
      <c r="S555" s="66">
        <f t="shared" si="69"/>
        <v>-8.8941745697760696E-3</v>
      </c>
      <c r="T555" s="50" t="str">
        <f t="shared" si="70"/>
        <v/>
      </c>
      <c r="U555" s="50" t="str">
        <f t="shared" si="71"/>
        <v/>
      </c>
    </row>
    <row r="556" spans="1:21" x14ac:dyDescent="0.2">
      <c r="A556" s="38">
        <v>35775</v>
      </c>
      <c r="B556" s="4">
        <v>0.46</v>
      </c>
      <c r="C556" s="4">
        <v>0.37</v>
      </c>
      <c r="D556" s="4">
        <v>0.17</v>
      </c>
      <c r="E556" s="50">
        <v>1</v>
      </c>
      <c r="F556" s="50">
        <v>0.42375000000000002</v>
      </c>
      <c r="G556" s="50">
        <v>0.28999999999999998</v>
      </c>
      <c r="H556" s="50">
        <v>0.38490743662900001</v>
      </c>
      <c r="I556" s="50">
        <v>0.48829287047999997</v>
      </c>
      <c r="J556" s="50">
        <v>0.28152200277799999</v>
      </c>
      <c r="K556" s="50">
        <v>985.67</v>
      </c>
      <c r="L556" s="50">
        <v>947</v>
      </c>
      <c r="M556" s="50">
        <v>953.39</v>
      </c>
      <c r="N556" s="66">
        <f t="shared" si="64"/>
        <v>-6.9331543229948014E-3</v>
      </c>
      <c r="O556" s="66">
        <f t="shared" si="65"/>
        <v>-2.6956439652188434E-2</v>
      </c>
      <c r="P556" s="4">
        <f t="shared" si="66"/>
        <v>0.29000000000000004</v>
      </c>
      <c r="Q556" s="4">
        <f t="shared" si="67"/>
        <v>0.245</v>
      </c>
      <c r="R556" s="66">
        <f t="shared" si="68"/>
        <v>-6.9331543229948014E-3</v>
      </c>
      <c r="S556" s="66">
        <f t="shared" si="69"/>
        <v>-2.6956439652188434E-2</v>
      </c>
      <c r="T556" s="50" t="str">
        <f t="shared" si="70"/>
        <v/>
      </c>
      <c r="U556" s="50" t="str">
        <f t="shared" si="71"/>
        <v/>
      </c>
    </row>
    <row r="557" spans="1:21" x14ac:dyDescent="0.2">
      <c r="A557" s="38">
        <v>35782</v>
      </c>
      <c r="B557" s="4">
        <v>0.4</v>
      </c>
      <c r="C557" s="4">
        <v>0.41</v>
      </c>
      <c r="D557" s="4">
        <v>0.19</v>
      </c>
      <c r="E557" s="50">
        <v>1</v>
      </c>
      <c r="F557" s="50">
        <v>0.42375000000000002</v>
      </c>
      <c r="G557" s="50">
        <v>0.21</v>
      </c>
      <c r="H557" s="50">
        <v>0.38490743662900001</v>
      </c>
      <c r="I557" s="50">
        <v>0.48829287047999997</v>
      </c>
      <c r="J557" s="50">
        <v>0.28152200277799999</v>
      </c>
      <c r="K557" s="50">
        <v>974.3</v>
      </c>
      <c r="L557" s="50">
        <v>924.92</v>
      </c>
      <c r="M557" s="50">
        <v>946.78</v>
      </c>
      <c r="N557" s="66">
        <f t="shared" si="64"/>
        <v>-1.0900103508734802E-2</v>
      </c>
      <c r="O557" s="66">
        <f t="shared" si="65"/>
        <v>1.5557996577874499E-2</v>
      </c>
      <c r="P557" s="4">
        <f t="shared" si="66"/>
        <v>0.21000000000000002</v>
      </c>
      <c r="Q557" s="4">
        <f t="shared" si="67"/>
        <v>0.2525</v>
      </c>
      <c r="R557" s="66">
        <f t="shared" si="68"/>
        <v>-1.0900103508734802E-2</v>
      </c>
      <c r="S557" s="66">
        <f t="shared" si="69"/>
        <v>1.5557996577874499E-2</v>
      </c>
      <c r="T557" s="50" t="str">
        <f t="shared" si="70"/>
        <v/>
      </c>
      <c r="U557" s="50">
        <f t="shared" si="71"/>
        <v>1</v>
      </c>
    </row>
    <row r="558" spans="1:21" x14ac:dyDescent="0.2">
      <c r="A558" s="38">
        <v>35788</v>
      </c>
      <c r="B558" s="4">
        <v>0.41</v>
      </c>
      <c r="C558" s="4">
        <v>0.36</v>
      </c>
      <c r="D558" s="4">
        <v>0.23</v>
      </c>
      <c r="E558" s="50">
        <v>1</v>
      </c>
      <c r="F558" s="50">
        <v>0.42375000000000002</v>
      </c>
      <c r="G558" s="50">
        <v>0.18</v>
      </c>
      <c r="H558" s="50">
        <v>0.38490743662900001</v>
      </c>
      <c r="I558" s="50">
        <v>0.48829287047999997</v>
      </c>
      <c r="J558" s="50">
        <v>0.28152200277799999</v>
      </c>
      <c r="K558" s="50">
        <v>956.73</v>
      </c>
      <c r="L558" s="50">
        <v>932.7</v>
      </c>
      <c r="M558" s="50">
        <v>936.46</v>
      </c>
      <c r="N558" s="66">
        <f t="shared" si="64"/>
        <v>4.1197701984067581E-2</v>
      </c>
      <c r="O558" s="66">
        <f t="shared" si="65"/>
        <v>2.2563697328236116E-2</v>
      </c>
      <c r="P558" s="4">
        <f t="shared" si="66"/>
        <v>0.17999999999999997</v>
      </c>
      <c r="Q558" s="4">
        <f t="shared" si="67"/>
        <v>0.2475</v>
      </c>
      <c r="R558" s="66">
        <f t="shared" si="68"/>
        <v>4.1197701984067581E-2</v>
      </c>
      <c r="S558" s="66">
        <f t="shared" si="69"/>
        <v>2.2563697328236116E-2</v>
      </c>
      <c r="T558" s="50">
        <f t="shared" si="70"/>
        <v>1</v>
      </c>
      <c r="U558" s="50">
        <f t="shared" si="71"/>
        <v>1</v>
      </c>
    </row>
    <row r="559" spans="1:21" x14ac:dyDescent="0.2">
      <c r="A559" s="38">
        <v>35795</v>
      </c>
      <c r="B559" s="4">
        <v>0.34</v>
      </c>
      <c r="C559" s="4">
        <v>0.35</v>
      </c>
      <c r="D559" s="4">
        <v>0.31</v>
      </c>
      <c r="E559" s="50">
        <v>1</v>
      </c>
      <c r="F559" s="50">
        <v>0.41875000000000001</v>
      </c>
      <c r="G559" s="50">
        <v>0.03</v>
      </c>
      <c r="H559" s="50">
        <v>0.38490743662900001</v>
      </c>
      <c r="I559" s="50">
        <v>0.48829287047999997</v>
      </c>
      <c r="J559" s="50">
        <v>0.28152200277799999</v>
      </c>
      <c r="K559" s="50">
        <v>975.02</v>
      </c>
      <c r="L559" s="50">
        <v>936.46</v>
      </c>
      <c r="M559" s="50">
        <v>975.04</v>
      </c>
      <c r="N559" s="66">
        <f t="shared" si="64"/>
        <v>-4.8562110272398991E-2</v>
      </c>
      <c r="O559" s="66">
        <f t="shared" si="65"/>
        <v>5.3741384968821887E-3</v>
      </c>
      <c r="P559" s="4">
        <f t="shared" si="66"/>
        <v>3.0000000000000027E-2</v>
      </c>
      <c r="Q559" s="4">
        <f t="shared" si="67"/>
        <v>0.17749999999999999</v>
      </c>
      <c r="R559" s="66">
        <f t="shared" si="68"/>
        <v>-4.8562110272398991E-2</v>
      </c>
      <c r="S559" s="66">
        <f t="shared" si="69"/>
        <v>5.3741384968821887E-3</v>
      </c>
      <c r="T559" s="50" t="str">
        <f t="shared" si="70"/>
        <v/>
      </c>
      <c r="U559" s="50">
        <f t="shared" si="71"/>
        <v>1</v>
      </c>
    </row>
    <row r="560" spans="1:21" x14ac:dyDescent="0.2">
      <c r="A560" s="38">
        <v>35803</v>
      </c>
      <c r="B560" s="4">
        <v>0.42</v>
      </c>
      <c r="C560" s="4">
        <v>0.4</v>
      </c>
      <c r="D560" s="4">
        <v>0.18</v>
      </c>
      <c r="E560" s="50">
        <v>1</v>
      </c>
      <c r="F560" s="50">
        <v>0.41499999999999998</v>
      </c>
      <c r="G560" s="50">
        <v>0.24</v>
      </c>
      <c r="H560" s="50">
        <v>0.38490743662900001</v>
      </c>
      <c r="I560" s="50">
        <v>0.48829287047999997</v>
      </c>
      <c r="J560" s="50">
        <v>0.28152200277799999</v>
      </c>
      <c r="K560" s="50">
        <v>982.63</v>
      </c>
      <c r="L560" s="50">
        <v>921.72</v>
      </c>
      <c r="M560" s="50">
        <v>927.69</v>
      </c>
      <c r="N560" s="66">
        <f t="shared" si="64"/>
        <v>3.6456143754918062E-2</v>
      </c>
      <c r="O560" s="66">
        <f t="shared" si="65"/>
        <v>9.1377507572572708E-2</v>
      </c>
      <c r="P560" s="4">
        <f t="shared" si="66"/>
        <v>0.24</v>
      </c>
      <c r="Q560" s="4">
        <f t="shared" si="67"/>
        <v>0.16500000000000001</v>
      </c>
      <c r="R560" s="66">
        <f t="shared" si="68"/>
        <v>3.6456143754918062E-2</v>
      </c>
      <c r="S560" s="66">
        <f t="shared" si="69"/>
        <v>9.1377507572572708E-2</v>
      </c>
      <c r="T560" s="50">
        <f t="shared" si="70"/>
        <v>1</v>
      </c>
      <c r="U560" s="50">
        <f t="shared" si="71"/>
        <v>1</v>
      </c>
    </row>
    <row r="561" spans="1:21" x14ac:dyDescent="0.2">
      <c r="A561" s="38">
        <v>35811</v>
      </c>
      <c r="B561" s="4">
        <v>0.38</v>
      </c>
      <c r="C561" s="4">
        <v>0.45</v>
      </c>
      <c r="D561" s="4">
        <v>0.17</v>
      </c>
      <c r="E561" s="50">
        <v>1</v>
      </c>
      <c r="F561" s="50">
        <v>0.41249999999999998</v>
      </c>
      <c r="G561" s="50">
        <v>0.21</v>
      </c>
      <c r="H561" s="50">
        <v>0.38490743662900001</v>
      </c>
      <c r="I561" s="50">
        <v>0.48829287047999997</v>
      </c>
      <c r="J561" s="50">
        <v>0.28152200277799999</v>
      </c>
      <c r="K561" s="50">
        <v>965.12</v>
      </c>
      <c r="L561" s="50">
        <v>912.83</v>
      </c>
      <c r="M561" s="50">
        <v>961.51</v>
      </c>
      <c r="N561" s="66">
        <f t="shared" si="64"/>
        <v>-4.0769206768519924E-3</v>
      </c>
      <c r="O561" s="66">
        <f t="shared" si="65"/>
        <v>6.0925003380100096E-2</v>
      </c>
      <c r="P561" s="4">
        <f t="shared" si="66"/>
        <v>0.21</v>
      </c>
      <c r="Q561" s="4">
        <f t="shared" si="67"/>
        <v>0.16499999999999998</v>
      </c>
      <c r="R561" s="66">
        <f t="shared" si="68"/>
        <v>-4.0769206768519924E-3</v>
      </c>
      <c r="S561" s="66">
        <f t="shared" si="69"/>
        <v>6.0925003380100096E-2</v>
      </c>
      <c r="T561" s="50" t="str">
        <f t="shared" si="70"/>
        <v/>
      </c>
      <c r="U561" s="50">
        <f t="shared" si="71"/>
        <v>1</v>
      </c>
    </row>
    <row r="562" spans="1:21" x14ac:dyDescent="0.2">
      <c r="A562" s="38">
        <v>35818</v>
      </c>
      <c r="B562" s="4">
        <v>0.31</v>
      </c>
      <c r="C562" s="4">
        <v>0.39</v>
      </c>
      <c r="D562" s="4">
        <v>0.3</v>
      </c>
      <c r="E562" s="50">
        <v>1</v>
      </c>
      <c r="F562" s="50">
        <v>0.40125</v>
      </c>
      <c r="G562" s="50">
        <v>0.01</v>
      </c>
      <c r="H562" s="50">
        <v>0.38490743662900001</v>
      </c>
      <c r="I562" s="50">
        <v>0.48829287047999997</v>
      </c>
      <c r="J562" s="50">
        <v>0.28152200277799999</v>
      </c>
      <c r="K562" s="50">
        <v>978.6</v>
      </c>
      <c r="L562" s="50">
        <v>950.86</v>
      </c>
      <c r="M562" s="50">
        <v>957.59</v>
      </c>
      <c r="N562" s="66">
        <f t="shared" si="64"/>
        <v>2.3694900740400319E-2</v>
      </c>
      <c r="O562" s="66">
        <f t="shared" si="65"/>
        <v>8.0013366889796267E-2</v>
      </c>
      <c r="P562" s="4">
        <f t="shared" si="66"/>
        <v>1.0000000000000009E-2</v>
      </c>
      <c r="Q562" s="4">
        <f t="shared" si="67"/>
        <v>0.1225</v>
      </c>
      <c r="R562" s="66">
        <f t="shared" si="68"/>
        <v>2.3694900740400319E-2</v>
      </c>
      <c r="S562" s="66">
        <f t="shared" si="69"/>
        <v>8.0013366889796267E-2</v>
      </c>
      <c r="T562" s="50">
        <f t="shared" si="70"/>
        <v>1</v>
      </c>
      <c r="U562" s="50">
        <f t="shared" si="71"/>
        <v>1</v>
      </c>
    </row>
    <row r="563" spans="1:21" x14ac:dyDescent="0.2">
      <c r="A563" s="38">
        <v>35825</v>
      </c>
      <c r="B563" s="4">
        <v>0.38</v>
      </c>
      <c r="C563" s="4">
        <v>0.42</v>
      </c>
      <c r="D563" s="4">
        <v>0.2</v>
      </c>
      <c r="E563" s="50">
        <v>1</v>
      </c>
      <c r="F563" s="50">
        <v>0.38750000000000001</v>
      </c>
      <c r="G563" s="50">
        <v>0.18</v>
      </c>
      <c r="H563" s="50">
        <v>0.38490743662900001</v>
      </c>
      <c r="I563" s="50">
        <v>0.48829287047999997</v>
      </c>
      <c r="J563" s="50">
        <v>0.28152200277799999</v>
      </c>
      <c r="K563" s="50">
        <v>992.65</v>
      </c>
      <c r="L563" s="50">
        <v>954.24</v>
      </c>
      <c r="M563" s="50">
        <v>980.28</v>
      </c>
      <c r="N563" s="66">
        <f t="shared" si="64"/>
        <v>3.2827355449463483E-2</v>
      </c>
      <c r="O563" s="66">
        <f t="shared" si="65"/>
        <v>7.0449259395274771E-2</v>
      </c>
      <c r="P563" s="4">
        <f t="shared" si="66"/>
        <v>0.18</v>
      </c>
      <c r="Q563" s="4">
        <f t="shared" si="67"/>
        <v>0.15999999999999998</v>
      </c>
      <c r="R563" s="66">
        <f t="shared" si="68"/>
        <v>3.2827355449463483E-2</v>
      </c>
      <c r="S563" s="66">
        <f t="shared" si="69"/>
        <v>7.0449259395274771E-2</v>
      </c>
      <c r="T563" s="50">
        <f t="shared" si="70"/>
        <v>1</v>
      </c>
      <c r="U563" s="50">
        <f t="shared" si="71"/>
        <v>1</v>
      </c>
    </row>
    <row r="564" spans="1:21" x14ac:dyDescent="0.2">
      <c r="A564" s="38">
        <v>35831</v>
      </c>
      <c r="B564" s="4">
        <v>0.3</v>
      </c>
      <c r="C564" s="4">
        <v>0.45</v>
      </c>
      <c r="D564" s="4">
        <v>0.25</v>
      </c>
      <c r="E564" s="50">
        <v>1</v>
      </c>
      <c r="F564" s="50">
        <v>0.36749999999999999</v>
      </c>
      <c r="G564" s="50">
        <v>0.05</v>
      </c>
      <c r="H564" s="50">
        <v>0.38490743662900001</v>
      </c>
      <c r="I564" s="50">
        <v>0.48829287047999997</v>
      </c>
      <c r="J564" s="50">
        <v>0.28152200277799999</v>
      </c>
      <c r="K564" s="50">
        <v>1013.51</v>
      </c>
      <c r="L564" s="50">
        <v>980.28</v>
      </c>
      <c r="M564" s="50">
        <v>1012.46</v>
      </c>
      <c r="N564" s="66">
        <f t="shared" si="64"/>
        <v>7.5361001916125032E-3</v>
      </c>
      <c r="O564" s="66">
        <f t="shared" si="65"/>
        <v>4.269798313019775E-2</v>
      </c>
      <c r="P564" s="4">
        <f t="shared" si="66"/>
        <v>4.9999999999999989E-2</v>
      </c>
      <c r="Q564" s="4">
        <f t="shared" si="67"/>
        <v>0.1125</v>
      </c>
      <c r="R564" s="66">
        <f t="shared" si="68"/>
        <v>7.5361001916125032E-3</v>
      </c>
      <c r="S564" s="66">
        <f t="shared" si="69"/>
        <v>4.269798313019775E-2</v>
      </c>
      <c r="T564" s="50">
        <f t="shared" si="70"/>
        <v>1</v>
      </c>
      <c r="U564" s="50">
        <f t="shared" si="71"/>
        <v>1</v>
      </c>
    </row>
    <row r="565" spans="1:21" x14ac:dyDescent="0.2">
      <c r="A565" s="38">
        <v>35838</v>
      </c>
      <c r="B565" s="4">
        <v>0.45</v>
      </c>
      <c r="C565" s="4">
        <v>0.36</v>
      </c>
      <c r="D565" s="4">
        <v>0.19</v>
      </c>
      <c r="E565" s="50">
        <v>1</v>
      </c>
      <c r="F565" s="50">
        <v>0.37375000000000003</v>
      </c>
      <c r="G565" s="50">
        <v>0.26</v>
      </c>
      <c r="H565" s="50">
        <v>0.38490743662900001</v>
      </c>
      <c r="I565" s="50">
        <v>0.48829287047999997</v>
      </c>
      <c r="J565" s="50">
        <v>0.28152200277799999</v>
      </c>
      <c r="K565" s="50">
        <v>1026.3</v>
      </c>
      <c r="L565" s="50">
        <v>1006.28</v>
      </c>
      <c r="M565" s="50">
        <v>1020.09</v>
      </c>
      <c r="N565" s="66">
        <f t="shared" si="64"/>
        <v>1.3841915909380548E-2</v>
      </c>
      <c r="O565" s="66">
        <f t="shared" si="65"/>
        <v>4.7564430589457661E-2</v>
      </c>
      <c r="P565" s="4">
        <f t="shared" si="66"/>
        <v>0.26</v>
      </c>
      <c r="Q565" s="4">
        <f t="shared" si="67"/>
        <v>0.125</v>
      </c>
      <c r="R565" s="66">
        <f t="shared" si="68"/>
        <v>1.3841915909380548E-2</v>
      </c>
      <c r="S565" s="66">
        <f t="shared" si="69"/>
        <v>4.7564430589457661E-2</v>
      </c>
      <c r="T565" s="50">
        <f t="shared" si="70"/>
        <v>1</v>
      </c>
      <c r="U565" s="50">
        <f t="shared" si="71"/>
        <v>1</v>
      </c>
    </row>
    <row r="566" spans="1:21" x14ac:dyDescent="0.2">
      <c r="A566" s="38">
        <v>35845</v>
      </c>
      <c r="B566" s="4">
        <v>0.42</v>
      </c>
      <c r="C566" s="4">
        <v>0.43</v>
      </c>
      <c r="D566" s="4">
        <v>0.15</v>
      </c>
      <c r="E566" s="50">
        <v>1</v>
      </c>
      <c r="F566" s="50">
        <v>0.375</v>
      </c>
      <c r="G566" s="50">
        <v>0.27</v>
      </c>
      <c r="H566" s="50">
        <v>0.38490743662900001</v>
      </c>
      <c r="I566" s="50">
        <v>0.48829287047999997</v>
      </c>
      <c r="J566" s="50">
        <v>0.28152200277799999</v>
      </c>
      <c r="K566" s="50">
        <v>1034.21</v>
      </c>
      <c r="L566" s="50">
        <v>1020.09</v>
      </c>
      <c r="M566" s="50">
        <v>1034.21</v>
      </c>
      <c r="N566" s="66">
        <f t="shared" si="64"/>
        <v>1.4629523984490463E-2</v>
      </c>
      <c r="O566" s="66">
        <f t="shared" si="65"/>
        <v>6.280155867763805E-2</v>
      </c>
      <c r="P566" s="4">
        <f t="shared" si="66"/>
        <v>0.27</v>
      </c>
      <c r="Q566" s="4">
        <f t="shared" si="67"/>
        <v>0.19</v>
      </c>
      <c r="R566" s="66">
        <f t="shared" si="68"/>
        <v>1.4629523984490463E-2</v>
      </c>
      <c r="S566" s="66">
        <f t="shared" si="69"/>
        <v>6.280155867763805E-2</v>
      </c>
      <c r="T566" s="50">
        <f t="shared" si="70"/>
        <v>1</v>
      </c>
      <c r="U566" s="50">
        <f t="shared" si="71"/>
        <v>1</v>
      </c>
    </row>
    <row r="567" spans="1:21" x14ac:dyDescent="0.2">
      <c r="A567" s="38">
        <v>35852</v>
      </c>
      <c r="B567" s="4">
        <v>0.53</v>
      </c>
      <c r="C567" s="4">
        <v>0.33</v>
      </c>
      <c r="D567" s="4">
        <v>0.14000000000000001</v>
      </c>
      <c r="E567" s="50">
        <v>1</v>
      </c>
      <c r="F567" s="50">
        <v>0.39874999999999999</v>
      </c>
      <c r="G567" s="50">
        <v>0.39</v>
      </c>
      <c r="H567" s="50">
        <v>0.38490743662900001</v>
      </c>
      <c r="I567" s="50">
        <v>0.48829287047999997</v>
      </c>
      <c r="J567" s="50">
        <v>0.28152200277799999</v>
      </c>
      <c r="K567" s="50">
        <v>1051.6600000000001</v>
      </c>
      <c r="L567" s="50">
        <v>1028.8900000000001</v>
      </c>
      <c r="M567" s="50">
        <v>1049.3399999999999</v>
      </c>
      <c r="N567" s="66">
        <f t="shared" si="64"/>
        <v>6.0514227990928933E-3</v>
      </c>
      <c r="O567" s="66">
        <f t="shared" si="65"/>
        <v>4.2131244401242725E-2</v>
      </c>
      <c r="P567" s="4">
        <f t="shared" si="66"/>
        <v>0.39</v>
      </c>
      <c r="Q567" s="4">
        <f t="shared" si="67"/>
        <v>0.24250000000000002</v>
      </c>
      <c r="R567" s="66">
        <f t="shared" si="68"/>
        <v>6.0514227990928933E-3</v>
      </c>
      <c r="S567" s="66">
        <f t="shared" si="69"/>
        <v>4.2131244401242725E-2</v>
      </c>
      <c r="T567" s="50">
        <f t="shared" si="70"/>
        <v>1</v>
      </c>
      <c r="U567" s="50">
        <f t="shared" si="71"/>
        <v>1</v>
      </c>
    </row>
    <row r="568" spans="1:21" x14ac:dyDescent="0.2">
      <c r="A568" s="38">
        <v>35859</v>
      </c>
      <c r="B568" s="4">
        <v>0.53</v>
      </c>
      <c r="C568" s="4">
        <v>0.34</v>
      </c>
      <c r="D568" s="4">
        <v>0.13</v>
      </c>
      <c r="E568" s="50">
        <v>1</v>
      </c>
      <c r="F568" s="50">
        <v>0.41249999999999998</v>
      </c>
      <c r="G568" s="50">
        <v>0.4</v>
      </c>
      <c r="H568" s="50">
        <v>0.38490743662900001</v>
      </c>
      <c r="I568" s="50">
        <v>0.48829287047999997</v>
      </c>
      <c r="J568" s="50">
        <v>0.28152200277799999</v>
      </c>
      <c r="K568" s="50">
        <v>1055.69</v>
      </c>
      <c r="L568" s="50">
        <v>1044.7</v>
      </c>
      <c r="M568" s="50">
        <v>1055.69</v>
      </c>
      <c r="N568" s="66">
        <f t="shared" si="64"/>
        <v>1.2238441209066909E-2</v>
      </c>
      <c r="O568" s="66">
        <f t="shared" si="65"/>
        <v>4.9692618098115954E-2</v>
      </c>
      <c r="P568" s="4">
        <f t="shared" si="66"/>
        <v>0.4</v>
      </c>
      <c r="Q568" s="4">
        <f t="shared" si="67"/>
        <v>0.33</v>
      </c>
      <c r="R568" s="66">
        <f t="shared" si="68"/>
        <v>1.2238441209066909E-2</v>
      </c>
      <c r="S568" s="66">
        <f t="shared" si="69"/>
        <v>4.9692618098115954E-2</v>
      </c>
      <c r="T568" s="50">
        <f t="shared" si="70"/>
        <v>1</v>
      </c>
      <c r="U568" s="50">
        <f t="shared" si="71"/>
        <v>1</v>
      </c>
    </row>
    <row r="569" spans="1:21" x14ac:dyDescent="0.2">
      <c r="A569" s="38">
        <v>35866</v>
      </c>
      <c r="B569" s="4">
        <v>0.44</v>
      </c>
      <c r="C569" s="4">
        <v>0.36</v>
      </c>
      <c r="D569" s="4">
        <v>0.2</v>
      </c>
      <c r="E569" s="50">
        <v>1</v>
      </c>
      <c r="F569" s="50">
        <v>0.42</v>
      </c>
      <c r="G569" s="50">
        <v>0.24</v>
      </c>
      <c r="H569" s="50">
        <v>0.38490743662900001</v>
      </c>
      <c r="I569" s="50">
        <v>0.48829287047999997</v>
      </c>
      <c r="J569" s="50">
        <v>0.28152200277799999</v>
      </c>
      <c r="K569" s="50">
        <v>1075.8599999999999</v>
      </c>
      <c r="L569" s="50">
        <v>1050.02</v>
      </c>
      <c r="M569" s="50">
        <v>1068.6099999999999</v>
      </c>
      <c r="N569" s="66">
        <f t="shared" si="64"/>
        <v>2.8588540253226328E-2</v>
      </c>
      <c r="O569" s="66">
        <f t="shared" si="65"/>
        <v>3.9359541834720034E-2</v>
      </c>
      <c r="P569" s="4">
        <f t="shared" si="66"/>
        <v>0.24</v>
      </c>
      <c r="Q569" s="4">
        <f t="shared" si="67"/>
        <v>0.32500000000000001</v>
      </c>
      <c r="R569" s="66">
        <f t="shared" si="68"/>
        <v>2.8588540253226328E-2</v>
      </c>
      <c r="S569" s="66">
        <f t="shared" si="69"/>
        <v>3.9359541834720034E-2</v>
      </c>
      <c r="T569" s="50">
        <f t="shared" si="70"/>
        <v>1</v>
      </c>
      <c r="U569" s="50">
        <f t="shared" si="71"/>
        <v>1</v>
      </c>
    </row>
    <row r="570" spans="1:21" x14ac:dyDescent="0.2">
      <c r="A570" s="38">
        <v>35873</v>
      </c>
      <c r="B570" s="4">
        <v>0.4</v>
      </c>
      <c r="C570" s="4">
        <v>0.38</v>
      </c>
      <c r="D570" s="4">
        <v>0.22</v>
      </c>
      <c r="E570" s="50">
        <v>1</v>
      </c>
      <c r="F570" s="50">
        <v>0.43125000000000002</v>
      </c>
      <c r="G570" s="50">
        <v>0.18</v>
      </c>
      <c r="H570" s="50">
        <v>0.38490743662900001</v>
      </c>
      <c r="I570" s="50">
        <v>0.48829287047999997</v>
      </c>
      <c r="J570" s="50">
        <v>0.28152200277799999</v>
      </c>
      <c r="K570" s="50">
        <v>1101.04</v>
      </c>
      <c r="L570" s="50">
        <v>1068.6099999999999</v>
      </c>
      <c r="M570" s="50">
        <v>1099.1600000000001</v>
      </c>
      <c r="N570" s="66">
        <f t="shared" si="64"/>
        <v>-5.1038975217439922E-3</v>
      </c>
      <c r="O570" s="66">
        <f t="shared" si="65"/>
        <v>2.1434550020015233E-2</v>
      </c>
      <c r="P570" s="4">
        <f t="shared" si="66"/>
        <v>0.18000000000000002</v>
      </c>
      <c r="Q570" s="4">
        <f t="shared" si="67"/>
        <v>0.30249999999999999</v>
      </c>
      <c r="R570" s="66">
        <f t="shared" si="68"/>
        <v>-5.1038975217439922E-3</v>
      </c>
      <c r="S570" s="66">
        <f t="shared" si="69"/>
        <v>2.1434550020015233E-2</v>
      </c>
      <c r="T570" s="50" t="str">
        <f t="shared" si="70"/>
        <v/>
      </c>
      <c r="U570" s="50">
        <f t="shared" si="71"/>
        <v>1</v>
      </c>
    </row>
    <row r="571" spans="1:21" x14ac:dyDescent="0.2">
      <c r="A571" s="38">
        <v>35880</v>
      </c>
      <c r="B571" s="4">
        <v>0.45</v>
      </c>
      <c r="C571" s="4">
        <v>0.35</v>
      </c>
      <c r="D571" s="4">
        <v>0.2</v>
      </c>
      <c r="E571" s="50">
        <v>1</v>
      </c>
      <c r="F571" s="50">
        <v>0.44</v>
      </c>
      <c r="G571" s="50">
        <v>0.25</v>
      </c>
      <c r="H571" s="50">
        <v>0.38490743662900001</v>
      </c>
      <c r="I571" s="50">
        <v>0.48829287047999997</v>
      </c>
      <c r="J571" s="50">
        <v>0.28152200277799999</v>
      </c>
      <c r="K571" s="50">
        <v>1113.07</v>
      </c>
      <c r="L571" s="50">
        <v>1090.02</v>
      </c>
      <c r="M571" s="50">
        <v>1093.55</v>
      </c>
      <c r="N571" s="66">
        <f t="shared" si="64"/>
        <v>1.3351012756618479E-2</v>
      </c>
      <c r="O571" s="66">
        <f t="shared" si="65"/>
        <v>1.3122399524484603E-2</v>
      </c>
      <c r="P571" s="4">
        <f t="shared" si="66"/>
        <v>0.25</v>
      </c>
      <c r="Q571" s="4">
        <f t="shared" si="67"/>
        <v>0.26750000000000002</v>
      </c>
      <c r="R571" s="66">
        <f t="shared" si="68"/>
        <v>1.3351012756618479E-2</v>
      </c>
      <c r="S571" s="66">
        <f t="shared" si="69"/>
        <v>1.3122399524484603E-2</v>
      </c>
      <c r="T571" s="50">
        <f t="shared" si="70"/>
        <v>1</v>
      </c>
      <c r="U571" s="50">
        <f t="shared" si="71"/>
        <v>1</v>
      </c>
    </row>
    <row r="572" spans="1:21" x14ac:dyDescent="0.2">
      <c r="A572" s="38">
        <v>35887</v>
      </c>
      <c r="B572" s="4">
        <v>0.46</v>
      </c>
      <c r="C572" s="4">
        <v>0.32</v>
      </c>
      <c r="D572" s="4">
        <v>0.22</v>
      </c>
      <c r="E572" s="50">
        <v>1</v>
      </c>
      <c r="F572" s="50">
        <v>0.46</v>
      </c>
      <c r="G572" s="50">
        <v>0.24</v>
      </c>
      <c r="H572" s="50">
        <v>0.38490743662900001</v>
      </c>
      <c r="I572" s="50">
        <v>0.48829287047999997</v>
      </c>
      <c r="J572" s="50">
        <v>0.28152200277799999</v>
      </c>
      <c r="K572" s="50">
        <v>1090.02</v>
      </c>
      <c r="L572" s="50">
        <v>1110.1300000000001</v>
      </c>
      <c r="M572" s="50">
        <v>1108.1500000000001</v>
      </c>
      <c r="N572" s="66">
        <f t="shared" si="64"/>
        <v>2.2740603708884012E-3</v>
      </c>
      <c r="O572" s="66">
        <f t="shared" si="65"/>
        <v>1.1595903081712681E-2</v>
      </c>
      <c r="P572" s="4">
        <f t="shared" si="66"/>
        <v>0.24000000000000002</v>
      </c>
      <c r="Q572" s="4">
        <f t="shared" si="67"/>
        <v>0.22750000000000001</v>
      </c>
      <c r="R572" s="66">
        <f t="shared" si="68"/>
        <v>2.2740603708884012E-3</v>
      </c>
      <c r="S572" s="66">
        <f t="shared" si="69"/>
        <v>1.1595903081712681E-2</v>
      </c>
      <c r="T572" s="50">
        <f t="shared" si="70"/>
        <v>1</v>
      </c>
      <c r="U572" s="50">
        <f t="shared" si="71"/>
        <v>1</v>
      </c>
    </row>
    <row r="573" spans="1:21" x14ac:dyDescent="0.2">
      <c r="A573" s="38">
        <v>35894</v>
      </c>
      <c r="B573" s="4">
        <v>0.41</v>
      </c>
      <c r="C573" s="4">
        <v>0.36</v>
      </c>
      <c r="D573" s="4">
        <v>0.23</v>
      </c>
      <c r="E573" s="50">
        <v>1</v>
      </c>
      <c r="F573" s="50">
        <v>0.45500000000000002</v>
      </c>
      <c r="G573" s="50">
        <v>0.18</v>
      </c>
      <c r="H573" s="50">
        <v>0.38490743662900001</v>
      </c>
      <c r="I573" s="50">
        <v>0.48829287047999997</v>
      </c>
      <c r="J573" s="50">
        <v>0.28152200277799999</v>
      </c>
      <c r="K573" s="50">
        <v>1131.99</v>
      </c>
      <c r="L573" s="50">
        <v>1098.21</v>
      </c>
      <c r="M573" s="50">
        <v>1110.67</v>
      </c>
      <c r="N573" s="66">
        <f t="shared" si="64"/>
        <v>1.0849307174948412E-2</v>
      </c>
      <c r="O573" s="66">
        <f t="shared" si="65"/>
        <v>-2.2779043280181984E-3</v>
      </c>
      <c r="P573" s="4">
        <f t="shared" si="66"/>
        <v>0.17999999999999997</v>
      </c>
      <c r="Q573" s="4">
        <f t="shared" si="67"/>
        <v>0.21249999999999999</v>
      </c>
      <c r="R573" s="66">
        <f t="shared" si="68"/>
        <v>1.0849307174948412E-2</v>
      </c>
      <c r="S573" s="66">
        <f t="shared" si="69"/>
        <v>-2.2779043280181984E-3</v>
      </c>
      <c r="T573" s="50">
        <f t="shared" si="70"/>
        <v>1</v>
      </c>
      <c r="U573" s="50" t="str">
        <f t="shared" si="71"/>
        <v/>
      </c>
    </row>
    <row r="574" spans="1:21" x14ac:dyDescent="0.2">
      <c r="A574" s="38">
        <v>35901</v>
      </c>
      <c r="B574" s="4">
        <v>0.53</v>
      </c>
      <c r="C574" s="4">
        <v>0.32</v>
      </c>
      <c r="D574" s="4">
        <v>0.15</v>
      </c>
      <c r="E574" s="50">
        <v>1</v>
      </c>
      <c r="F574" s="50">
        <v>0.46875</v>
      </c>
      <c r="G574" s="50">
        <v>0.38</v>
      </c>
      <c r="H574" s="50">
        <v>0.38490743662900001</v>
      </c>
      <c r="I574" s="50">
        <v>0.48829287047999997</v>
      </c>
      <c r="J574" s="50">
        <v>0.28152200277799999</v>
      </c>
      <c r="K574" s="50">
        <v>1122.72</v>
      </c>
      <c r="L574" s="50">
        <v>1100.5999999999999</v>
      </c>
      <c r="M574" s="50">
        <v>1122.72</v>
      </c>
      <c r="N574" s="66">
        <f t="shared" si="64"/>
        <v>-1.3200085506626706E-2</v>
      </c>
      <c r="O574" s="66">
        <f t="shared" si="65"/>
        <v>-1.246080946273337E-2</v>
      </c>
      <c r="P574" s="4">
        <f t="shared" si="66"/>
        <v>0.38</v>
      </c>
      <c r="Q574" s="4">
        <f t="shared" si="67"/>
        <v>0.26249999999999996</v>
      </c>
      <c r="R574" s="66">
        <f t="shared" si="68"/>
        <v>-1.3200085506626706E-2</v>
      </c>
      <c r="S574" s="66">
        <f t="shared" si="69"/>
        <v>-1.246080946273337E-2</v>
      </c>
      <c r="T574" s="50" t="str">
        <f t="shared" si="70"/>
        <v/>
      </c>
      <c r="U574" s="50" t="str">
        <f t="shared" si="71"/>
        <v/>
      </c>
    </row>
    <row r="575" spans="1:21" x14ac:dyDescent="0.2">
      <c r="A575" s="38">
        <v>35908</v>
      </c>
      <c r="B575" s="4">
        <v>0.4</v>
      </c>
      <c r="C575" s="4">
        <v>0.38</v>
      </c>
      <c r="D575" s="4">
        <v>0.22</v>
      </c>
      <c r="E575" s="50">
        <v>1</v>
      </c>
      <c r="F575" s="50">
        <v>0.45250000000000001</v>
      </c>
      <c r="G575" s="50">
        <v>0.18</v>
      </c>
      <c r="H575" s="50">
        <v>0.38490743662900001</v>
      </c>
      <c r="I575" s="50">
        <v>0.48829287047999997</v>
      </c>
      <c r="J575" s="50">
        <v>0.28152200277799999</v>
      </c>
      <c r="K575" s="50">
        <v>1132.98</v>
      </c>
      <c r="L575" s="50">
        <v>1104.77</v>
      </c>
      <c r="M575" s="50">
        <v>1107.9000000000001</v>
      </c>
      <c r="N575" s="66">
        <f t="shared" si="64"/>
        <v>1.1824171856665681E-2</v>
      </c>
      <c r="O575" s="66">
        <f t="shared" si="65"/>
        <v>2.3197039443992565E-3</v>
      </c>
      <c r="P575" s="4">
        <f t="shared" si="66"/>
        <v>0.18000000000000002</v>
      </c>
      <c r="Q575" s="4">
        <f t="shared" si="67"/>
        <v>0.24500000000000002</v>
      </c>
      <c r="R575" s="66">
        <f t="shared" si="68"/>
        <v>1.1824171856665681E-2</v>
      </c>
      <c r="S575" s="66">
        <f t="shared" si="69"/>
        <v>2.3197039443992565E-3</v>
      </c>
      <c r="T575" s="50">
        <f t="shared" si="70"/>
        <v>1</v>
      </c>
      <c r="U575" s="50">
        <f t="shared" si="71"/>
        <v>1</v>
      </c>
    </row>
    <row r="576" spans="1:21" x14ac:dyDescent="0.2">
      <c r="A576" s="38">
        <v>35915</v>
      </c>
      <c r="B576" s="4">
        <v>0.44</v>
      </c>
      <c r="C576" s="4">
        <v>0.31</v>
      </c>
      <c r="D576" s="4">
        <v>0.25</v>
      </c>
      <c r="E576" s="50">
        <v>1</v>
      </c>
      <c r="F576" s="50">
        <v>0.44124999999999998</v>
      </c>
      <c r="G576" s="50">
        <v>0.19</v>
      </c>
      <c r="H576" s="50">
        <v>0.38490743662900001</v>
      </c>
      <c r="I576" s="50">
        <v>0.48829287047999997</v>
      </c>
      <c r="J576" s="50">
        <v>0.28152200277799999</v>
      </c>
      <c r="K576" s="50">
        <v>1121.02</v>
      </c>
      <c r="L576" s="50">
        <v>1076.7</v>
      </c>
      <c r="M576" s="50">
        <v>1121</v>
      </c>
      <c r="N576" s="66">
        <f t="shared" si="64"/>
        <v>-1.1471900089205976E-2</v>
      </c>
      <c r="O576" s="66">
        <f t="shared" si="65"/>
        <v>-2.6922390722569193E-2</v>
      </c>
      <c r="P576" s="4">
        <f t="shared" si="66"/>
        <v>0.19</v>
      </c>
      <c r="Q576" s="4">
        <f t="shared" si="67"/>
        <v>0.23249999999999998</v>
      </c>
      <c r="R576" s="66">
        <f t="shared" si="68"/>
        <v>-1.1471900089205976E-2</v>
      </c>
      <c r="S576" s="66">
        <f t="shared" si="69"/>
        <v>-2.6922390722569193E-2</v>
      </c>
      <c r="T576" s="50" t="str">
        <f t="shared" si="70"/>
        <v/>
      </c>
      <c r="U576" s="50" t="str">
        <f t="shared" si="71"/>
        <v/>
      </c>
    </row>
    <row r="577" spans="1:21" x14ac:dyDescent="0.2">
      <c r="A577" s="38">
        <v>35922</v>
      </c>
      <c r="B577" s="4">
        <v>0.43</v>
      </c>
      <c r="C577" s="4">
        <v>0.34</v>
      </c>
      <c r="D577" s="4">
        <v>0.23</v>
      </c>
      <c r="E577" s="50">
        <v>1</v>
      </c>
      <c r="F577" s="50">
        <v>0.44</v>
      </c>
      <c r="G577" s="50">
        <v>0.2</v>
      </c>
      <c r="H577" s="50">
        <v>0.38490743662900001</v>
      </c>
      <c r="I577" s="50">
        <v>0.48829287047999997</v>
      </c>
      <c r="J577" s="50">
        <v>0.28152200277799999</v>
      </c>
      <c r="K577" s="50">
        <v>1130.52</v>
      </c>
      <c r="L577" s="50">
        <v>1094.53</v>
      </c>
      <c r="M577" s="50">
        <v>1108.1400000000001</v>
      </c>
      <c r="N577" s="66">
        <f t="shared" si="64"/>
        <v>5.3242370097633706E-4</v>
      </c>
      <c r="O577" s="66">
        <f t="shared" si="65"/>
        <v>5.1618026603134975E-3</v>
      </c>
      <c r="P577" s="4">
        <f t="shared" si="66"/>
        <v>0.19999999999999998</v>
      </c>
      <c r="Q577" s="4">
        <f t="shared" si="67"/>
        <v>0.23749999999999999</v>
      </c>
      <c r="R577" s="66">
        <f t="shared" si="68"/>
        <v>5.3242370097633706E-4</v>
      </c>
      <c r="S577" s="66">
        <f t="shared" si="69"/>
        <v>5.1618026603134975E-3</v>
      </c>
      <c r="T577" s="50">
        <f t="shared" si="70"/>
        <v>1</v>
      </c>
      <c r="U577" s="50">
        <f t="shared" si="71"/>
        <v>1</v>
      </c>
    </row>
    <row r="578" spans="1:21" x14ac:dyDescent="0.2">
      <c r="A578" s="38">
        <v>35929</v>
      </c>
      <c r="B578" s="4">
        <v>0.33</v>
      </c>
      <c r="C578" s="4">
        <v>0.41</v>
      </c>
      <c r="D578" s="4">
        <v>0.26</v>
      </c>
      <c r="E578" s="50">
        <v>1</v>
      </c>
      <c r="F578" s="50">
        <v>0.43125000000000002</v>
      </c>
      <c r="G578" s="50">
        <v>7.0000000000000007E-2</v>
      </c>
      <c r="H578" s="50">
        <v>0.38490743662900001</v>
      </c>
      <c r="I578" s="50">
        <v>0.48829287047999997</v>
      </c>
      <c r="J578" s="50">
        <v>0.28152200277799999</v>
      </c>
      <c r="K578" s="50">
        <v>1124.03</v>
      </c>
      <c r="L578" s="50">
        <v>1102.78</v>
      </c>
      <c r="M578" s="50">
        <v>1108.73</v>
      </c>
      <c r="N578" s="66">
        <f t="shared" si="64"/>
        <v>1.569363145220215E-3</v>
      </c>
      <c r="O578" s="66">
        <f t="shared" si="65"/>
        <v>-8.9201158081770125E-3</v>
      </c>
      <c r="P578" s="4">
        <f t="shared" si="66"/>
        <v>7.0000000000000007E-2</v>
      </c>
      <c r="Q578" s="4">
        <f t="shared" si="67"/>
        <v>0.15999999999999998</v>
      </c>
      <c r="R578" s="66">
        <f t="shared" si="68"/>
        <v>1.569363145220215E-3</v>
      </c>
      <c r="S578" s="66">
        <f t="shared" si="69"/>
        <v>-8.9201158081770125E-3</v>
      </c>
      <c r="T578" s="50">
        <f t="shared" si="70"/>
        <v>1</v>
      </c>
      <c r="U578" s="50" t="str">
        <f t="shared" si="71"/>
        <v/>
      </c>
    </row>
    <row r="579" spans="1:21" x14ac:dyDescent="0.2">
      <c r="A579" s="38">
        <v>35936</v>
      </c>
      <c r="B579" s="4">
        <v>0.38</v>
      </c>
      <c r="C579" s="4">
        <v>0.39</v>
      </c>
      <c r="D579" s="4">
        <v>0.23</v>
      </c>
      <c r="E579" s="50">
        <v>1</v>
      </c>
      <c r="F579" s="50">
        <v>0.42249999999999999</v>
      </c>
      <c r="G579" s="50">
        <v>0.15</v>
      </c>
      <c r="H579" s="50">
        <v>0.38490743662900001</v>
      </c>
      <c r="I579" s="50">
        <v>0.48829287047999997</v>
      </c>
      <c r="J579" s="50">
        <v>0.28152200277799999</v>
      </c>
      <c r="K579" s="50">
        <v>1124.45</v>
      </c>
      <c r="L579" s="50">
        <v>1097.99</v>
      </c>
      <c r="M579" s="50">
        <v>1110.47</v>
      </c>
      <c r="N579" s="66">
        <f t="shared" si="64"/>
        <v>-1.7695210136248696E-2</v>
      </c>
      <c r="O579" s="66">
        <f t="shared" si="65"/>
        <v>-8.8431024701252046E-3</v>
      </c>
      <c r="P579" s="4">
        <f t="shared" si="66"/>
        <v>0.15</v>
      </c>
      <c r="Q579" s="4">
        <f t="shared" si="67"/>
        <v>0.1525</v>
      </c>
      <c r="R579" s="66">
        <f t="shared" si="68"/>
        <v>-1.7695210136248696E-2</v>
      </c>
      <c r="S579" s="66">
        <f t="shared" si="69"/>
        <v>-8.8431024701252046E-3</v>
      </c>
      <c r="T579" s="50" t="str">
        <f t="shared" si="70"/>
        <v/>
      </c>
      <c r="U579" s="50" t="str">
        <f t="shared" si="71"/>
        <v/>
      </c>
    </row>
    <row r="580" spans="1:21" x14ac:dyDescent="0.2">
      <c r="A580" s="38">
        <v>35943</v>
      </c>
      <c r="B580" s="4">
        <v>0.34</v>
      </c>
      <c r="C580" s="4">
        <v>0.4</v>
      </c>
      <c r="D580" s="4">
        <v>0.26</v>
      </c>
      <c r="E580" s="50">
        <v>1</v>
      </c>
      <c r="F580" s="50">
        <v>0.40749999999999997</v>
      </c>
      <c r="G580" s="50">
        <v>0.08</v>
      </c>
      <c r="H580" s="50">
        <v>0.38490743662900001</v>
      </c>
      <c r="I580" s="50">
        <v>0.48829287047999997</v>
      </c>
      <c r="J580" s="50">
        <v>0.28152200277799999</v>
      </c>
      <c r="K580" s="50">
        <v>1116.79</v>
      </c>
      <c r="L580" s="50">
        <v>1074.3900000000001</v>
      </c>
      <c r="M580" s="50">
        <v>1090.82</v>
      </c>
      <c r="N580" s="66">
        <f t="shared" si="64"/>
        <v>2.112172494087014E-2</v>
      </c>
      <c r="O580" s="66">
        <f t="shared" si="65"/>
        <v>3.8851506206340286E-2</v>
      </c>
      <c r="P580" s="4">
        <f t="shared" si="66"/>
        <v>8.0000000000000016E-2</v>
      </c>
      <c r="Q580" s="4">
        <f t="shared" si="67"/>
        <v>0.125</v>
      </c>
      <c r="R580" s="66">
        <f t="shared" si="68"/>
        <v>2.112172494087014E-2</v>
      </c>
      <c r="S580" s="66">
        <f t="shared" si="69"/>
        <v>3.8851506206340286E-2</v>
      </c>
      <c r="T580" s="50">
        <f t="shared" si="70"/>
        <v>1</v>
      </c>
      <c r="U580" s="50">
        <f t="shared" si="71"/>
        <v>1</v>
      </c>
    </row>
    <row r="581" spans="1:21" x14ac:dyDescent="0.2">
      <c r="A581" s="38">
        <v>35950</v>
      </c>
      <c r="B581" s="4">
        <v>0.25</v>
      </c>
      <c r="C581" s="4">
        <v>0.44</v>
      </c>
      <c r="D581" s="4">
        <v>0.31</v>
      </c>
      <c r="E581" s="50">
        <v>1</v>
      </c>
      <c r="F581" s="50">
        <v>0.38750000000000001</v>
      </c>
      <c r="G581" s="50">
        <v>-0.06</v>
      </c>
      <c r="H581" s="50">
        <v>0.38490743662900001</v>
      </c>
      <c r="I581" s="50">
        <v>0.48829287047999997</v>
      </c>
      <c r="J581" s="50">
        <v>0.28152200277799999</v>
      </c>
      <c r="K581" s="50">
        <v>1113.8800000000001</v>
      </c>
      <c r="L581" s="50">
        <v>1078.0999999999999</v>
      </c>
      <c r="M581" s="50">
        <v>1113.8599999999999</v>
      </c>
      <c r="N581" s="66">
        <f t="shared" si="64"/>
        <v>-1.34846390031063E-2</v>
      </c>
      <c r="O581" s="66">
        <f t="shared" si="65"/>
        <v>2.9231680821647402E-2</v>
      </c>
      <c r="P581" s="4">
        <f t="shared" si="66"/>
        <v>-0.06</v>
      </c>
      <c r="Q581" s="4">
        <f t="shared" si="67"/>
        <v>6.0000000000000012E-2</v>
      </c>
      <c r="R581" s="66">
        <f t="shared" si="68"/>
        <v>-1.34846390031063E-2</v>
      </c>
      <c r="S581" s="66">
        <f t="shared" si="69"/>
        <v>2.9231680821647402E-2</v>
      </c>
      <c r="T581" s="50" t="str">
        <f t="shared" si="70"/>
        <v/>
      </c>
      <c r="U581" s="50">
        <f t="shared" si="71"/>
        <v>1</v>
      </c>
    </row>
    <row r="582" spans="1:21" x14ac:dyDescent="0.2">
      <c r="A582" s="38">
        <v>35957</v>
      </c>
      <c r="B582" s="4">
        <v>0.27</v>
      </c>
      <c r="C582" s="4">
        <v>0.49</v>
      </c>
      <c r="D582" s="4">
        <v>0.24</v>
      </c>
      <c r="E582" s="50">
        <v>1</v>
      </c>
      <c r="F582" s="50">
        <v>0.35499999999999998</v>
      </c>
      <c r="G582" s="50">
        <v>0.03</v>
      </c>
      <c r="H582" s="50">
        <v>0.38490743662900001</v>
      </c>
      <c r="I582" s="50">
        <v>0.48829287047999997</v>
      </c>
      <c r="J582" s="50">
        <v>0.28152200277799999</v>
      </c>
      <c r="K582" s="50">
        <v>1126</v>
      </c>
      <c r="L582" s="50">
        <v>1080.83</v>
      </c>
      <c r="M582" s="50">
        <v>1098.8399999999999</v>
      </c>
      <c r="N582" s="66">
        <f t="shared" si="64"/>
        <v>1.6471915838522195E-3</v>
      </c>
      <c r="O582" s="66">
        <f t="shared" si="65"/>
        <v>5.9599213716282635E-2</v>
      </c>
      <c r="P582" s="4">
        <f t="shared" si="66"/>
        <v>3.0000000000000027E-2</v>
      </c>
      <c r="Q582" s="4">
        <f t="shared" si="67"/>
        <v>5.000000000000001E-2</v>
      </c>
      <c r="R582" s="66">
        <f t="shared" si="68"/>
        <v>1.6471915838522195E-3</v>
      </c>
      <c r="S582" s="66">
        <f t="shared" si="69"/>
        <v>5.9599213716282635E-2</v>
      </c>
      <c r="T582" s="50">
        <f t="shared" si="70"/>
        <v>1</v>
      </c>
      <c r="U582" s="50">
        <f t="shared" si="71"/>
        <v>1</v>
      </c>
    </row>
    <row r="583" spans="1:21" x14ac:dyDescent="0.2">
      <c r="A583" s="38">
        <v>35964</v>
      </c>
      <c r="B583" s="4">
        <v>0.28999999999999998</v>
      </c>
      <c r="C583" s="4">
        <v>0.38</v>
      </c>
      <c r="D583" s="4">
        <v>0.33</v>
      </c>
      <c r="E583" s="50">
        <v>1</v>
      </c>
      <c r="F583" s="50">
        <v>0.34125</v>
      </c>
      <c r="G583" s="50">
        <v>-0.04</v>
      </c>
      <c r="H583" s="50">
        <v>0.38490743662900001</v>
      </c>
      <c r="I583" s="50">
        <v>0.48829287047999997</v>
      </c>
      <c r="J583" s="50">
        <v>0.28152200277799999</v>
      </c>
      <c r="K583" s="50">
        <v>1112.8699999999999</v>
      </c>
      <c r="L583" s="50">
        <v>1074.67</v>
      </c>
      <c r="M583" s="50">
        <v>1100.6500000000001</v>
      </c>
      <c r="N583" s="66">
        <f t="shared" si="64"/>
        <v>2.9573433879979967E-2</v>
      </c>
      <c r="O583" s="66">
        <f t="shared" si="65"/>
        <v>7.8226502521237362E-2</v>
      </c>
      <c r="P583" s="4">
        <f t="shared" si="66"/>
        <v>-4.0000000000000036E-2</v>
      </c>
      <c r="Q583" s="4">
        <f t="shared" si="67"/>
        <v>2.5000000000000022E-3</v>
      </c>
      <c r="R583" s="66">
        <f t="shared" si="68"/>
        <v>2.9573433879979967E-2</v>
      </c>
      <c r="S583" s="66">
        <f t="shared" si="69"/>
        <v>7.8226502521237362E-2</v>
      </c>
      <c r="T583" s="50">
        <f t="shared" si="70"/>
        <v>1</v>
      </c>
      <c r="U583" s="50">
        <f t="shared" si="71"/>
        <v>1</v>
      </c>
    </row>
    <row r="584" spans="1:21" x14ac:dyDescent="0.2">
      <c r="A584" s="38">
        <v>35971</v>
      </c>
      <c r="B584" s="4">
        <v>0.28000000000000003</v>
      </c>
      <c r="C584" s="4">
        <v>0.44</v>
      </c>
      <c r="D584" s="4">
        <v>0.28000000000000003</v>
      </c>
      <c r="E584" s="50">
        <v>1</v>
      </c>
      <c r="F584" s="50">
        <v>0.32124999999999998</v>
      </c>
      <c r="G584" s="50">
        <v>0</v>
      </c>
      <c r="H584" s="50">
        <v>0.38490743662900001</v>
      </c>
      <c r="I584" s="50">
        <v>0.48829287047999997</v>
      </c>
      <c r="J584" s="50">
        <v>0.28152200277799999</v>
      </c>
      <c r="K584" s="50">
        <v>1142.04</v>
      </c>
      <c r="L584" s="50">
        <v>1099.42</v>
      </c>
      <c r="M584" s="50">
        <v>1133.2</v>
      </c>
      <c r="N584" s="66">
        <f t="shared" si="64"/>
        <v>1.1666078362160277E-2</v>
      </c>
      <c r="O584" s="66">
        <f t="shared" si="65"/>
        <v>6.7066713731026373E-3</v>
      </c>
      <c r="P584" s="4">
        <f t="shared" si="66"/>
        <v>0</v>
      </c>
      <c r="Q584" s="4">
        <f t="shared" si="67"/>
        <v>-1.7500000000000002E-2</v>
      </c>
      <c r="R584" s="66">
        <f t="shared" si="68"/>
        <v>1.1666078362160277E-2</v>
      </c>
      <c r="S584" s="66">
        <f t="shared" si="69"/>
        <v>6.7066713731026373E-3</v>
      </c>
      <c r="T584" s="50">
        <f t="shared" si="70"/>
        <v>1</v>
      </c>
      <c r="U584" s="50">
        <f t="shared" si="71"/>
        <v>1</v>
      </c>
    </row>
    <row r="585" spans="1:21" x14ac:dyDescent="0.2">
      <c r="A585" s="38">
        <v>35978</v>
      </c>
      <c r="B585" s="4">
        <v>0.33</v>
      </c>
      <c r="C585" s="4">
        <v>0.48</v>
      </c>
      <c r="D585" s="4">
        <v>0.19</v>
      </c>
      <c r="E585" s="50">
        <v>1</v>
      </c>
      <c r="F585" s="50">
        <v>0.30875000000000002</v>
      </c>
      <c r="G585" s="50">
        <v>0.14000000000000001</v>
      </c>
      <c r="H585" s="50">
        <v>0.38490743662900001</v>
      </c>
      <c r="I585" s="50">
        <v>0.48829287047999997</v>
      </c>
      <c r="J585" s="50">
        <v>0.28152200277799999</v>
      </c>
      <c r="K585" s="50">
        <v>1148.56</v>
      </c>
      <c r="L585" s="50">
        <v>1131.9100000000001</v>
      </c>
      <c r="M585" s="50">
        <v>1146.42</v>
      </c>
      <c r="N585" s="66">
        <f t="shared" si="64"/>
        <v>1.5622546710629485E-2</v>
      </c>
      <c r="O585" s="66">
        <f t="shared" si="65"/>
        <v>-2.246122712443956E-2</v>
      </c>
      <c r="P585" s="4">
        <f t="shared" si="66"/>
        <v>0.14000000000000001</v>
      </c>
      <c r="Q585" s="4">
        <f t="shared" si="67"/>
        <v>3.2500000000000001E-2</v>
      </c>
      <c r="R585" s="66">
        <f t="shared" si="68"/>
        <v>1.5622546710629485E-2</v>
      </c>
      <c r="S585" s="66">
        <f t="shared" si="69"/>
        <v>-2.246122712443956E-2</v>
      </c>
      <c r="T585" s="50">
        <f t="shared" si="70"/>
        <v>1</v>
      </c>
      <c r="U585" s="50" t="str">
        <f t="shared" si="71"/>
        <v/>
      </c>
    </row>
    <row r="586" spans="1:21" x14ac:dyDescent="0.2">
      <c r="A586" s="38">
        <v>35985</v>
      </c>
      <c r="B586" s="4">
        <v>0.36</v>
      </c>
      <c r="C586" s="4">
        <v>0.44</v>
      </c>
      <c r="D586" s="4">
        <v>0.2</v>
      </c>
      <c r="E586" s="50">
        <v>1</v>
      </c>
      <c r="F586" s="50">
        <v>0.3125</v>
      </c>
      <c r="G586" s="50">
        <v>0.16</v>
      </c>
      <c r="H586" s="50">
        <v>0.38490743662900001</v>
      </c>
      <c r="I586" s="50">
        <v>0.48829287047999997</v>
      </c>
      <c r="J586" s="50">
        <v>0.28152200277799999</v>
      </c>
      <c r="K586" s="50">
        <v>1166.93</v>
      </c>
      <c r="L586" s="50">
        <v>1145.03</v>
      </c>
      <c r="M586" s="50">
        <v>1164.33</v>
      </c>
      <c r="N586" s="66">
        <f t="shared" si="64"/>
        <v>1.9255709292039264E-2</v>
      </c>
      <c r="O586" s="66">
        <f t="shared" si="65"/>
        <v>-6.4311664218906911E-2</v>
      </c>
      <c r="P586" s="4">
        <f t="shared" si="66"/>
        <v>0.15999999999999998</v>
      </c>
      <c r="Q586" s="4">
        <f t="shared" si="67"/>
        <v>6.4999999999999988E-2</v>
      </c>
      <c r="R586" s="66">
        <f t="shared" si="68"/>
        <v>1.9255709292039264E-2</v>
      </c>
      <c r="S586" s="66">
        <f t="shared" si="69"/>
        <v>-6.4311664218906911E-2</v>
      </c>
      <c r="T586" s="50">
        <f t="shared" si="70"/>
        <v>1</v>
      </c>
      <c r="U586" s="50" t="str">
        <f t="shared" si="71"/>
        <v/>
      </c>
    </row>
    <row r="587" spans="1:21" x14ac:dyDescent="0.2">
      <c r="A587" s="38">
        <v>35992</v>
      </c>
      <c r="B587" s="4">
        <v>0.35</v>
      </c>
      <c r="C587" s="4">
        <v>0.44</v>
      </c>
      <c r="D587" s="4">
        <v>0.21</v>
      </c>
      <c r="E587" s="50">
        <v>1</v>
      </c>
      <c r="F587" s="50">
        <v>0.30875000000000002</v>
      </c>
      <c r="G587" s="50">
        <v>0.14000000000000001</v>
      </c>
      <c r="H587" s="50">
        <v>0.38490743662900001</v>
      </c>
      <c r="I587" s="50">
        <v>0.48829287047999997</v>
      </c>
      <c r="J587" s="50">
        <v>0.28152200277799999</v>
      </c>
      <c r="K587" s="50">
        <v>1188.0999999999999</v>
      </c>
      <c r="L587" s="50">
        <v>1160.21</v>
      </c>
      <c r="M587" s="50">
        <v>1186.75</v>
      </c>
      <c r="N587" s="66">
        <f t="shared" si="64"/>
        <v>-3.8719191068043016E-2</v>
      </c>
      <c r="O587" s="66">
        <f t="shared" si="65"/>
        <v>-0.10448704444912577</v>
      </c>
      <c r="P587" s="4">
        <f t="shared" si="66"/>
        <v>0.13999999999999999</v>
      </c>
      <c r="Q587" s="4">
        <f t="shared" si="67"/>
        <v>0.10999999999999999</v>
      </c>
      <c r="R587" s="66">
        <f t="shared" si="68"/>
        <v>-3.8719191068043016E-2</v>
      </c>
      <c r="S587" s="66">
        <f t="shared" si="69"/>
        <v>-0.10448704444912577</v>
      </c>
      <c r="T587" s="50" t="str">
        <f t="shared" si="70"/>
        <v/>
      </c>
      <c r="U587" s="50" t="str">
        <f t="shared" si="71"/>
        <v/>
      </c>
    </row>
    <row r="588" spans="1:21" x14ac:dyDescent="0.2">
      <c r="A588" s="38">
        <v>35999</v>
      </c>
      <c r="B588" s="4">
        <v>0.37</v>
      </c>
      <c r="C588" s="4">
        <v>0.39</v>
      </c>
      <c r="D588" s="4">
        <v>0.24</v>
      </c>
      <c r="E588" s="50">
        <v>1</v>
      </c>
      <c r="F588" s="50">
        <v>0.3125</v>
      </c>
      <c r="G588" s="50">
        <v>0.13</v>
      </c>
      <c r="H588" s="50">
        <v>0.38490743662900001</v>
      </c>
      <c r="I588" s="50">
        <v>0.48829287047999997</v>
      </c>
      <c r="J588" s="50">
        <v>0.28152200277799999</v>
      </c>
      <c r="K588" s="50">
        <v>1190.58</v>
      </c>
      <c r="L588" s="50">
        <v>1129.1099999999999</v>
      </c>
      <c r="M588" s="50">
        <v>1140.8</v>
      </c>
      <c r="N588" s="66">
        <f t="shared" si="64"/>
        <v>-1.7645511921458523E-2</v>
      </c>
      <c r="O588" s="66">
        <f t="shared" si="65"/>
        <v>-5.2208976157082705E-2</v>
      </c>
      <c r="P588" s="4">
        <f t="shared" si="66"/>
        <v>0.13</v>
      </c>
      <c r="Q588" s="4">
        <f t="shared" si="67"/>
        <v>0.14249999999999999</v>
      </c>
      <c r="R588" s="66">
        <f t="shared" si="68"/>
        <v>-1.7645511921458523E-2</v>
      </c>
      <c r="S588" s="66">
        <f t="shared" si="69"/>
        <v>-5.2208976157082705E-2</v>
      </c>
      <c r="T588" s="50" t="str">
        <f t="shared" si="70"/>
        <v/>
      </c>
      <c r="U588" s="50" t="str">
        <f t="shared" si="71"/>
        <v/>
      </c>
    </row>
    <row r="589" spans="1:21" x14ac:dyDescent="0.2">
      <c r="A589" s="38">
        <v>36006</v>
      </c>
      <c r="B589" s="4">
        <v>0.44</v>
      </c>
      <c r="C589" s="4">
        <v>0.36</v>
      </c>
      <c r="D589" s="4">
        <v>0.2</v>
      </c>
      <c r="E589" s="50">
        <v>1</v>
      </c>
      <c r="F589" s="50">
        <v>0.33624999999999999</v>
      </c>
      <c r="G589" s="50">
        <v>0.24</v>
      </c>
      <c r="H589" s="50">
        <v>0.38490743662900001</v>
      </c>
      <c r="I589" s="50">
        <v>0.48829287047999997</v>
      </c>
      <c r="J589" s="50">
        <v>0.28152200277799999</v>
      </c>
      <c r="K589" s="50">
        <v>1147.27</v>
      </c>
      <c r="L589" s="50">
        <v>1114.3</v>
      </c>
      <c r="M589" s="50">
        <v>1120.67</v>
      </c>
      <c r="N589" s="66">
        <f t="shared" ref="N589:N652" si="72">(M590-M589)/M589</f>
        <v>-2.7858334746178649E-2</v>
      </c>
      <c r="O589" s="66">
        <f t="shared" ref="O589:O652" si="73">(M593-M589)/M589</f>
        <v>-8.3548234538267374E-2</v>
      </c>
      <c r="P589" s="4">
        <f t="shared" si="66"/>
        <v>0.24</v>
      </c>
      <c r="Q589" s="4">
        <f t="shared" si="67"/>
        <v>0.16749999999999998</v>
      </c>
      <c r="R589" s="66">
        <f t="shared" si="68"/>
        <v>-2.7858334746178649E-2</v>
      </c>
      <c r="S589" s="66">
        <f t="shared" si="69"/>
        <v>-8.3548234538267374E-2</v>
      </c>
      <c r="T589" s="50" t="str">
        <f t="shared" si="70"/>
        <v/>
      </c>
      <c r="U589" s="50" t="str">
        <f t="shared" si="71"/>
        <v/>
      </c>
    </row>
    <row r="590" spans="1:21" x14ac:dyDescent="0.2">
      <c r="A590" s="38">
        <v>36013</v>
      </c>
      <c r="B590" s="4">
        <v>0.3</v>
      </c>
      <c r="C590" s="4">
        <v>0.44</v>
      </c>
      <c r="D590" s="4">
        <v>0.26</v>
      </c>
      <c r="E590" s="50">
        <v>1</v>
      </c>
      <c r="F590" s="50">
        <v>0.34</v>
      </c>
      <c r="G590" s="50">
        <v>0.04</v>
      </c>
      <c r="H590" s="50">
        <v>0.38490743662900001</v>
      </c>
      <c r="I590" s="50">
        <v>0.48829287047999997</v>
      </c>
      <c r="J590" s="50">
        <v>0.28152200277799999</v>
      </c>
      <c r="K590" s="50">
        <v>1121.79</v>
      </c>
      <c r="L590" s="50">
        <v>1057.3499999999999</v>
      </c>
      <c r="M590" s="50">
        <v>1089.45</v>
      </c>
      <c r="N590" s="66">
        <f t="shared" si="72"/>
        <v>-2.4507779154619345E-2</v>
      </c>
      <c r="O590" s="66">
        <f t="shared" si="73"/>
        <v>-0.10607187112763326</v>
      </c>
      <c r="P590" s="4">
        <f t="shared" ref="P590:P653" si="74">B590-D590</f>
        <v>3.999999999999998E-2</v>
      </c>
      <c r="Q590" s="4">
        <f t="shared" si="67"/>
        <v>0.13750000000000001</v>
      </c>
      <c r="R590" s="66">
        <f t="shared" si="68"/>
        <v>-2.4507779154619345E-2</v>
      </c>
      <c r="S590" s="66">
        <f t="shared" si="69"/>
        <v>-0.10607187112763326</v>
      </c>
      <c r="T590" s="50" t="str">
        <f t="shared" si="70"/>
        <v/>
      </c>
      <c r="U590" s="50" t="str">
        <f t="shared" si="71"/>
        <v/>
      </c>
    </row>
    <row r="591" spans="1:21" x14ac:dyDescent="0.2">
      <c r="A591" s="38">
        <v>36020</v>
      </c>
      <c r="B591" s="4">
        <v>0.27</v>
      </c>
      <c r="C591" s="4">
        <v>0.38</v>
      </c>
      <c r="D591" s="4">
        <v>0.35</v>
      </c>
      <c r="E591" s="50">
        <v>1</v>
      </c>
      <c r="F591" s="50">
        <v>0.33750000000000002</v>
      </c>
      <c r="G591" s="50">
        <v>-0.08</v>
      </c>
      <c r="H591" s="50">
        <v>0.38490743662900001</v>
      </c>
      <c r="I591" s="50">
        <v>0.48829287047999997</v>
      </c>
      <c r="J591" s="50">
        <v>0.28152200277799999</v>
      </c>
      <c r="K591" s="50">
        <v>1092.82</v>
      </c>
      <c r="L591" s="50">
        <v>1054</v>
      </c>
      <c r="M591" s="50">
        <v>1062.75</v>
      </c>
      <c r="N591" s="66">
        <f t="shared" si="72"/>
        <v>1.7398259233121625E-2</v>
      </c>
      <c r="O591" s="66">
        <f t="shared" si="73"/>
        <v>-5.0519877675841027E-2</v>
      </c>
      <c r="P591" s="4">
        <f t="shared" si="74"/>
        <v>-7.999999999999996E-2</v>
      </c>
      <c r="Q591" s="4">
        <f t="shared" si="67"/>
        <v>8.2500000000000004E-2</v>
      </c>
      <c r="R591" s="66">
        <f t="shared" si="68"/>
        <v>1.7398259233121625E-2</v>
      </c>
      <c r="S591" s="66">
        <f t="shared" si="69"/>
        <v>-5.0519877675841027E-2</v>
      </c>
      <c r="T591" s="50">
        <f t="shared" si="70"/>
        <v>1</v>
      </c>
      <c r="U591" s="50" t="str">
        <f t="shared" si="71"/>
        <v/>
      </c>
    </row>
    <row r="592" spans="1:21" x14ac:dyDescent="0.2">
      <c r="A592" s="38">
        <v>36027</v>
      </c>
      <c r="B592" s="4">
        <v>0.25</v>
      </c>
      <c r="C592" s="4">
        <v>0.42</v>
      </c>
      <c r="D592" s="4">
        <v>0.33</v>
      </c>
      <c r="E592" s="50">
        <v>1</v>
      </c>
      <c r="F592" s="50">
        <v>0.33374999999999999</v>
      </c>
      <c r="G592" s="50">
        <v>-0.08</v>
      </c>
      <c r="H592" s="50">
        <v>0.38490743662900001</v>
      </c>
      <c r="I592" s="50">
        <v>0.48829287047999997</v>
      </c>
      <c r="J592" s="50">
        <v>0.28152200277799999</v>
      </c>
      <c r="K592" s="50">
        <v>1106.32</v>
      </c>
      <c r="L592" s="50">
        <v>1054.92</v>
      </c>
      <c r="M592" s="50">
        <v>1081.24</v>
      </c>
      <c r="N592" s="66">
        <f t="shared" si="72"/>
        <v>-5.0127631238208022E-2</v>
      </c>
      <c r="O592" s="66">
        <f t="shared" si="73"/>
        <v>-5.65554363508564E-2</v>
      </c>
      <c r="P592" s="4">
        <f t="shared" si="74"/>
        <v>-8.0000000000000016E-2</v>
      </c>
      <c r="Q592" s="4">
        <f t="shared" si="67"/>
        <v>0.03</v>
      </c>
      <c r="R592" s="66">
        <f t="shared" si="68"/>
        <v>-5.0127631238208022E-2</v>
      </c>
      <c r="S592" s="66">
        <f t="shared" si="69"/>
        <v>-5.65554363508564E-2</v>
      </c>
      <c r="T592" s="50" t="str">
        <f t="shared" si="70"/>
        <v/>
      </c>
      <c r="U592" s="50" t="str">
        <f t="shared" si="71"/>
        <v/>
      </c>
    </row>
    <row r="593" spans="1:21" x14ac:dyDescent="0.2">
      <c r="A593" s="38">
        <v>36034</v>
      </c>
      <c r="B593" s="4">
        <v>0.23</v>
      </c>
      <c r="C593" s="4">
        <v>0.32</v>
      </c>
      <c r="D593" s="4">
        <v>0.45</v>
      </c>
      <c r="E593" s="50">
        <v>1</v>
      </c>
      <c r="F593" s="50">
        <v>0.32124999999999998</v>
      </c>
      <c r="G593" s="50">
        <v>-0.22</v>
      </c>
      <c r="H593" s="50">
        <v>0.38490743662900001</v>
      </c>
      <c r="I593" s="50">
        <v>0.48829287047999997</v>
      </c>
      <c r="J593" s="50">
        <v>0.28152200277799999</v>
      </c>
      <c r="K593" s="50">
        <v>1106.6400000000001</v>
      </c>
      <c r="L593" s="50">
        <v>1021.04</v>
      </c>
      <c r="M593" s="50">
        <v>1027.04</v>
      </c>
      <c r="N593" s="66">
        <f t="shared" si="72"/>
        <v>-5.175066209689981E-2</v>
      </c>
      <c r="O593" s="66">
        <f t="shared" si="73"/>
        <v>1.7243729552889893E-2</v>
      </c>
      <c r="P593" s="4">
        <f t="shared" si="74"/>
        <v>-0.22</v>
      </c>
      <c r="Q593" s="4">
        <f t="shared" ref="Q593:Q656" si="75">AVERAGE(P590:P593)</f>
        <v>-8.4999999999999992E-2</v>
      </c>
      <c r="R593" s="66">
        <f t="shared" ref="R593:R656" si="76">(M594-M593)/M593</f>
        <v>-5.175066209689981E-2</v>
      </c>
      <c r="S593" s="66">
        <f t="shared" ref="S593:S656" si="77">(M597-M593)/M593</f>
        <v>1.7243729552889893E-2</v>
      </c>
      <c r="T593" s="50" t="str">
        <f t="shared" ref="T593:T656" si="78">IF(R593&gt;0,1,"")</f>
        <v/>
      </c>
      <c r="U593" s="50">
        <f t="shared" ref="U593:U656" si="79">IF(S593&gt;0,1,"")</f>
        <v>1</v>
      </c>
    </row>
    <row r="594" spans="1:21" x14ac:dyDescent="0.2">
      <c r="A594" s="38">
        <v>36041</v>
      </c>
      <c r="B594" s="4">
        <v>0.23</v>
      </c>
      <c r="C594" s="4">
        <v>0.37</v>
      </c>
      <c r="D594" s="4">
        <v>0.4</v>
      </c>
      <c r="E594" s="50">
        <v>1</v>
      </c>
      <c r="F594" s="50">
        <v>0.30499999999999999</v>
      </c>
      <c r="G594" s="50">
        <v>-0.17</v>
      </c>
      <c r="H594" s="50">
        <v>0.38490743662900001</v>
      </c>
      <c r="I594" s="50">
        <v>0.48829287047999997</v>
      </c>
      <c r="J594" s="50">
        <v>0.28152200277799999</v>
      </c>
      <c r="K594" s="50">
        <v>1033.47</v>
      </c>
      <c r="L594" s="50">
        <v>939.98</v>
      </c>
      <c r="M594" s="50">
        <v>973.89</v>
      </c>
      <c r="N594" s="66">
        <f t="shared" si="72"/>
        <v>3.6112908028627419E-2</v>
      </c>
      <c r="O594" s="66">
        <f t="shared" si="73"/>
        <v>2.9479715368265446E-2</v>
      </c>
      <c r="P594" s="4">
        <f t="shared" si="74"/>
        <v>-0.17</v>
      </c>
      <c r="Q594" s="4">
        <f t="shared" si="75"/>
        <v>-0.13750000000000001</v>
      </c>
      <c r="R594" s="66">
        <f t="shared" si="76"/>
        <v>3.6112908028627419E-2</v>
      </c>
      <c r="S594" s="66">
        <f t="shared" si="77"/>
        <v>2.9479715368265446E-2</v>
      </c>
      <c r="T594" s="50">
        <f t="shared" si="78"/>
        <v>1</v>
      </c>
      <c r="U594" s="50">
        <f t="shared" si="79"/>
        <v>1</v>
      </c>
    </row>
    <row r="595" spans="1:21" x14ac:dyDescent="0.2">
      <c r="A595" s="38">
        <v>36048</v>
      </c>
      <c r="B595" s="4">
        <v>0.28999999999999998</v>
      </c>
      <c r="C595" s="4">
        <v>0.31</v>
      </c>
      <c r="D595" s="4">
        <v>0.4</v>
      </c>
      <c r="E595" s="50">
        <v>1</v>
      </c>
      <c r="F595" s="50">
        <v>0.29749999999999999</v>
      </c>
      <c r="G595" s="50">
        <v>-0.11</v>
      </c>
      <c r="H595" s="50">
        <v>0.38490743662900001</v>
      </c>
      <c r="I595" s="50">
        <v>0.48829287047999997</v>
      </c>
      <c r="J595" s="50">
        <v>0.28152200277799999</v>
      </c>
      <c r="K595" s="50">
        <v>1027.72</v>
      </c>
      <c r="L595" s="50">
        <v>968.64</v>
      </c>
      <c r="M595" s="50">
        <v>1009.06</v>
      </c>
      <c r="N595" s="66">
        <f t="shared" si="72"/>
        <v>1.0930965452995944E-2</v>
      </c>
      <c r="O595" s="66">
        <f t="shared" si="73"/>
        <v>-2.4448496620617169E-2</v>
      </c>
      <c r="P595" s="4">
        <f t="shared" si="74"/>
        <v>-0.11000000000000004</v>
      </c>
      <c r="Q595" s="4">
        <f t="shared" si="75"/>
        <v>-0.14500000000000002</v>
      </c>
      <c r="R595" s="66">
        <f t="shared" si="76"/>
        <v>1.0930965452995944E-2</v>
      </c>
      <c r="S595" s="66">
        <f t="shared" si="77"/>
        <v>-2.4448496620617169E-2</v>
      </c>
      <c r="T595" s="50">
        <f t="shared" si="78"/>
        <v>1</v>
      </c>
      <c r="U595" s="50" t="str">
        <f t="shared" si="79"/>
        <v/>
      </c>
    </row>
    <row r="596" spans="1:21" x14ac:dyDescent="0.2">
      <c r="A596" s="38">
        <v>36055</v>
      </c>
      <c r="B596" s="4">
        <v>0.34</v>
      </c>
      <c r="C596" s="4">
        <v>0.35</v>
      </c>
      <c r="D596" s="4">
        <v>0.31</v>
      </c>
      <c r="E596" s="50">
        <v>1</v>
      </c>
      <c r="F596" s="50">
        <v>0.29375000000000001</v>
      </c>
      <c r="G596" s="50">
        <v>0.03</v>
      </c>
      <c r="H596" s="50">
        <v>0.38490743662900001</v>
      </c>
      <c r="I596" s="50">
        <v>0.48829287047999997</v>
      </c>
      <c r="J596" s="50">
        <v>0.28152200277799999</v>
      </c>
      <c r="K596" s="50">
        <v>1046.07</v>
      </c>
      <c r="L596" s="50">
        <v>1009.06</v>
      </c>
      <c r="M596" s="50">
        <v>1020.09</v>
      </c>
      <c r="N596" s="66">
        <f t="shared" si="72"/>
        <v>2.4174337558450693E-2</v>
      </c>
      <c r="O596" s="66">
        <f t="shared" si="73"/>
        <v>3.561450460253511E-2</v>
      </c>
      <c r="P596" s="4">
        <f t="shared" si="74"/>
        <v>3.0000000000000027E-2</v>
      </c>
      <c r="Q596" s="4">
        <f t="shared" si="75"/>
        <v>-0.11749999999999999</v>
      </c>
      <c r="R596" s="66">
        <f t="shared" si="76"/>
        <v>2.4174337558450693E-2</v>
      </c>
      <c r="S596" s="66">
        <f t="shared" si="77"/>
        <v>3.561450460253511E-2</v>
      </c>
      <c r="T596" s="50">
        <f t="shared" si="78"/>
        <v>1</v>
      </c>
      <c r="U596" s="50">
        <f t="shared" si="79"/>
        <v>1</v>
      </c>
    </row>
    <row r="597" spans="1:21" x14ac:dyDescent="0.2">
      <c r="A597" s="38">
        <v>36062</v>
      </c>
      <c r="B597" s="4">
        <v>0.34</v>
      </c>
      <c r="C597" s="4">
        <v>0.38</v>
      </c>
      <c r="D597" s="4">
        <v>0.28000000000000003</v>
      </c>
      <c r="E597" s="50">
        <v>1</v>
      </c>
      <c r="F597" s="50">
        <v>0.28125</v>
      </c>
      <c r="G597" s="50">
        <v>0.06</v>
      </c>
      <c r="H597" s="50">
        <v>0.38490743662900001</v>
      </c>
      <c r="I597" s="50">
        <v>0.48829287047999997</v>
      </c>
      <c r="J597" s="50">
        <v>0.28152200277799999</v>
      </c>
      <c r="K597" s="50">
        <v>1066.1099999999999</v>
      </c>
      <c r="L597" s="50">
        <v>993.82</v>
      </c>
      <c r="M597" s="50">
        <v>1044.75</v>
      </c>
      <c r="N597" s="66">
        <f t="shared" si="72"/>
        <v>-4.0344580043072481E-2</v>
      </c>
      <c r="O597" s="66">
        <f t="shared" si="73"/>
        <v>2.4809763101220458E-2</v>
      </c>
      <c r="P597" s="4">
        <f t="shared" si="74"/>
        <v>0.06</v>
      </c>
      <c r="Q597" s="4">
        <f t="shared" si="75"/>
        <v>-4.7500000000000001E-2</v>
      </c>
      <c r="R597" s="66">
        <f t="shared" si="76"/>
        <v>-4.0344580043072481E-2</v>
      </c>
      <c r="S597" s="66">
        <f t="shared" si="77"/>
        <v>2.4809763101220458E-2</v>
      </c>
      <c r="T597" s="50" t="str">
        <f t="shared" si="78"/>
        <v/>
      </c>
      <c r="U597" s="50">
        <f t="shared" si="79"/>
        <v>1</v>
      </c>
    </row>
    <row r="598" spans="1:21" x14ac:dyDescent="0.2">
      <c r="A598" s="38">
        <v>36069</v>
      </c>
      <c r="B598" s="4">
        <v>0.32</v>
      </c>
      <c r="C598" s="4">
        <v>0.35</v>
      </c>
      <c r="D598" s="4">
        <v>0.33</v>
      </c>
      <c r="E598" s="50">
        <v>1</v>
      </c>
      <c r="F598" s="50">
        <v>0.28375</v>
      </c>
      <c r="G598" s="50">
        <v>-0.01</v>
      </c>
      <c r="H598" s="50">
        <v>0.38490743662900001</v>
      </c>
      <c r="I598" s="50">
        <v>0.48829287047999997</v>
      </c>
      <c r="J598" s="50">
        <v>0.28152200277799999</v>
      </c>
      <c r="K598" s="50">
        <v>1061.46</v>
      </c>
      <c r="L598" s="50">
        <v>971.65</v>
      </c>
      <c r="M598" s="50">
        <v>1002.6</v>
      </c>
      <c r="N598" s="66">
        <f t="shared" si="72"/>
        <v>-1.8162776780371072E-2</v>
      </c>
      <c r="O598" s="66">
        <f t="shared" si="73"/>
        <v>9.5820865749052506E-2</v>
      </c>
      <c r="P598" s="4">
        <f t="shared" si="74"/>
        <v>-1.0000000000000009E-2</v>
      </c>
      <c r="Q598" s="4">
        <f t="shared" si="75"/>
        <v>-7.5000000000000067E-3</v>
      </c>
      <c r="R598" s="66">
        <f t="shared" si="76"/>
        <v>-1.8162776780371072E-2</v>
      </c>
      <c r="S598" s="66">
        <f t="shared" si="77"/>
        <v>9.5820865749052506E-2</v>
      </c>
      <c r="T598" s="50" t="str">
        <f t="shared" si="78"/>
        <v/>
      </c>
      <c r="U598" s="50">
        <f t="shared" si="79"/>
        <v>1</v>
      </c>
    </row>
    <row r="599" spans="1:21" x14ac:dyDescent="0.2">
      <c r="A599" s="38">
        <v>36076</v>
      </c>
      <c r="B599" s="4">
        <v>0.25</v>
      </c>
      <c r="C599" s="4">
        <v>0.43</v>
      </c>
      <c r="D599" s="4">
        <v>0.32</v>
      </c>
      <c r="E599" s="50">
        <v>1</v>
      </c>
      <c r="F599" s="50">
        <v>0.28125</v>
      </c>
      <c r="G599" s="50">
        <v>-7.0000000000000007E-2</v>
      </c>
      <c r="H599" s="50">
        <v>0.38490743662900001</v>
      </c>
      <c r="I599" s="50">
        <v>0.48829287047999997</v>
      </c>
      <c r="J599" s="50">
        <v>0.28152200277799999</v>
      </c>
      <c r="K599" s="50">
        <v>1008.77</v>
      </c>
      <c r="L599" s="50">
        <v>923.32</v>
      </c>
      <c r="M599" s="50">
        <v>984.39</v>
      </c>
      <c r="N599" s="66">
        <f t="shared" si="72"/>
        <v>7.3172218328101751E-2</v>
      </c>
      <c r="O599" s="66">
        <f t="shared" si="73"/>
        <v>0.15910360731011083</v>
      </c>
      <c r="P599" s="4">
        <f t="shared" si="74"/>
        <v>-7.0000000000000007E-2</v>
      </c>
      <c r="Q599" s="4">
        <f t="shared" si="75"/>
        <v>2.5000000000000022E-3</v>
      </c>
      <c r="R599" s="66">
        <f t="shared" si="76"/>
        <v>7.3172218328101751E-2</v>
      </c>
      <c r="S599" s="66">
        <f t="shared" si="77"/>
        <v>0.15910360731011083</v>
      </c>
      <c r="T599" s="50">
        <f t="shared" si="78"/>
        <v>1</v>
      </c>
      <c r="U599" s="50">
        <f t="shared" si="79"/>
        <v>1</v>
      </c>
    </row>
    <row r="600" spans="1:21" x14ac:dyDescent="0.2">
      <c r="A600" s="38">
        <v>36083</v>
      </c>
      <c r="B600" s="4">
        <v>0.25</v>
      </c>
      <c r="C600" s="4">
        <v>0.34</v>
      </c>
      <c r="D600" s="4">
        <v>0.41</v>
      </c>
      <c r="E600" s="50">
        <v>1</v>
      </c>
      <c r="F600" s="50">
        <v>0.28125</v>
      </c>
      <c r="G600" s="50">
        <v>-0.16</v>
      </c>
      <c r="H600" s="50">
        <v>0.38490743662900001</v>
      </c>
      <c r="I600" s="50">
        <v>0.48829287047999997</v>
      </c>
      <c r="J600" s="50">
        <v>0.28152200277799999</v>
      </c>
      <c r="K600" s="50">
        <v>1062.6500000000001</v>
      </c>
      <c r="L600" s="50">
        <v>984.39</v>
      </c>
      <c r="M600" s="50">
        <v>1056.42</v>
      </c>
      <c r="N600" s="66">
        <f t="shared" si="72"/>
        <v>1.3488953257227237E-2</v>
      </c>
      <c r="O600" s="66">
        <f t="shared" si="73"/>
        <v>6.5598909524620844E-2</v>
      </c>
      <c r="P600" s="4">
        <f t="shared" si="74"/>
        <v>-0.15999999999999998</v>
      </c>
      <c r="Q600" s="4">
        <f t="shared" si="75"/>
        <v>-4.4999999999999998E-2</v>
      </c>
      <c r="R600" s="66">
        <f t="shared" si="76"/>
        <v>1.3488953257227237E-2</v>
      </c>
      <c r="S600" s="66">
        <f t="shared" si="77"/>
        <v>6.5598909524620844E-2</v>
      </c>
      <c r="T600" s="50">
        <f t="shared" si="78"/>
        <v>1</v>
      </c>
      <c r="U600" s="50">
        <f t="shared" si="79"/>
        <v>1</v>
      </c>
    </row>
    <row r="601" spans="1:21" x14ac:dyDescent="0.2">
      <c r="A601" s="38">
        <v>36090</v>
      </c>
      <c r="B601" s="4">
        <v>0.32</v>
      </c>
      <c r="C601" s="4">
        <v>0.35</v>
      </c>
      <c r="D601" s="4">
        <v>0.33</v>
      </c>
      <c r="E601" s="50">
        <v>1</v>
      </c>
      <c r="F601" s="50">
        <v>0.29249999999999998</v>
      </c>
      <c r="G601" s="50">
        <v>-0.01</v>
      </c>
      <c r="H601" s="50">
        <v>0.38490743662900001</v>
      </c>
      <c r="I601" s="50">
        <v>0.48829287047999997</v>
      </c>
      <c r="J601" s="50">
        <v>0.28152200277799999</v>
      </c>
      <c r="K601" s="50">
        <v>1084.06</v>
      </c>
      <c r="L601" s="50">
        <v>1054.23</v>
      </c>
      <c r="M601" s="50">
        <v>1070.67</v>
      </c>
      <c r="N601" s="66">
        <f t="shared" si="72"/>
        <v>2.6151848842313689E-2</v>
      </c>
      <c r="O601" s="66">
        <f t="shared" si="73"/>
        <v>8.6749418588360439E-2</v>
      </c>
      <c r="P601" s="4">
        <f t="shared" si="74"/>
        <v>-1.0000000000000009E-2</v>
      </c>
      <c r="Q601" s="4">
        <f t="shared" si="75"/>
        <v>-6.25E-2</v>
      </c>
      <c r="R601" s="66">
        <f t="shared" si="76"/>
        <v>2.6151848842313689E-2</v>
      </c>
      <c r="S601" s="66">
        <f t="shared" si="77"/>
        <v>8.6749418588360439E-2</v>
      </c>
      <c r="T601" s="50">
        <f t="shared" si="78"/>
        <v>1</v>
      </c>
      <c r="U601" s="50">
        <f t="shared" si="79"/>
        <v>1</v>
      </c>
    </row>
    <row r="602" spans="1:21" x14ac:dyDescent="0.2">
      <c r="A602" s="38">
        <v>36097</v>
      </c>
      <c r="B602" s="4">
        <v>0.43</v>
      </c>
      <c r="C602" s="4">
        <v>0.36</v>
      </c>
      <c r="D602" s="4">
        <v>0.21</v>
      </c>
      <c r="E602" s="50">
        <v>1</v>
      </c>
      <c r="F602" s="50">
        <v>0.3175</v>
      </c>
      <c r="G602" s="50">
        <v>0.22</v>
      </c>
      <c r="H602" s="50">
        <v>0.38490743662900001</v>
      </c>
      <c r="I602" s="50">
        <v>0.48829287047999997</v>
      </c>
      <c r="J602" s="50">
        <v>0.28152200277799999</v>
      </c>
      <c r="K602" s="50">
        <v>1103.78</v>
      </c>
      <c r="L602" s="50">
        <v>1059.6600000000001</v>
      </c>
      <c r="M602" s="50">
        <v>1098.67</v>
      </c>
      <c r="N602" s="66">
        <f t="shared" si="72"/>
        <v>3.8537504437183061E-2</v>
      </c>
      <c r="O602" s="66">
        <f t="shared" si="73"/>
        <v>8.5248527765388923E-2</v>
      </c>
      <c r="P602" s="4">
        <f t="shared" si="74"/>
        <v>0.22</v>
      </c>
      <c r="Q602" s="4">
        <f t="shared" si="75"/>
        <v>-4.9999999999999975E-3</v>
      </c>
      <c r="R602" s="66">
        <f t="shared" si="76"/>
        <v>3.8537504437183061E-2</v>
      </c>
      <c r="S602" s="66">
        <f t="shared" si="77"/>
        <v>8.5248527765388923E-2</v>
      </c>
      <c r="T602" s="50">
        <f t="shared" si="78"/>
        <v>1</v>
      </c>
      <c r="U602" s="50">
        <f t="shared" si="79"/>
        <v>1</v>
      </c>
    </row>
    <row r="603" spans="1:21" x14ac:dyDescent="0.2">
      <c r="A603" s="38">
        <v>36104</v>
      </c>
      <c r="B603" s="4">
        <v>0.38</v>
      </c>
      <c r="C603" s="4">
        <v>0.42</v>
      </c>
      <c r="D603" s="4">
        <v>0.2</v>
      </c>
      <c r="E603" s="50">
        <v>1</v>
      </c>
      <c r="F603" s="50">
        <v>0.32874999999999999</v>
      </c>
      <c r="G603" s="50">
        <v>0.18</v>
      </c>
      <c r="H603" s="50">
        <v>0.38490743662900001</v>
      </c>
      <c r="I603" s="50">
        <v>0.48829287047999997</v>
      </c>
      <c r="J603" s="50">
        <v>0.28152200277799999</v>
      </c>
      <c r="K603" s="50">
        <v>1141.3</v>
      </c>
      <c r="L603" s="50">
        <v>1098.67</v>
      </c>
      <c r="M603" s="50">
        <v>1141.01</v>
      </c>
      <c r="N603" s="66">
        <f t="shared" si="72"/>
        <v>-1.340040841009278E-2</v>
      </c>
      <c r="O603" s="66">
        <f t="shared" si="73"/>
        <v>3.1314361837319581E-2</v>
      </c>
      <c r="P603" s="4">
        <f t="shared" si="74"/>
        <v>0.18</v>
      </c>
      <c r="Q603" s="4">
        <f t="shared" si="75"/>
        <v>5.7500000000000002E-2</v>
      </c>
      <c r="R603" s="66">
        <f t="shared" si="76"/>
        <v>-1.340040841009278E-2</v>
      </c>
      <c r="S603" s="66">
        <f t="shared" si="77"/>
        <v>3.1314361837319581E-2</v>
      </c>
      <c r="T603" s="50" t="str">
        <f t="shared" si="78"/>
        <v/>
      </c>
      <c r="U603" s="50">
        <f t="shared" si="79"/>
        <v>1</v>
      </c>
    </row>
    <row r="604" spans="1:21" x14ac:dyDescent="0.2">
      <c r="A604" s="38">
        <v>36111</v>
      </c>
      <c r="B604" s="4">
        <v>0.5</v>
      </c>
      <c r="C604" s="4">
        <v>0.36</v>
      </c>
      <c r="D604" s="4">
        <v>0.14000000000000001</v>
      </c>
      <c r="E604" s="50">
        <v>1</v>
      </c>
      <c r="F604" s="50">
        <v>0.34875</v>
      </c>
      <c r="G604" s="50">
        <v>0.36</v>
      </c>
      <c r="H604" s="50">
        <v>0.38490743662900001</v>
      </c>
      <c r="I604" s="50">
        <v>0.48829287047999997</v>
      </c>
      <c r="J604" s="50">
        <v>0.28152200277799999</v>
      </c>
      <c r="K604" s="50">
        <v>1141.01</v>
      </c>
      <c r="L604" s="50">
        <v>1115.55</v>
      </c>
      <c r="M604" s="50">
        <v>1125.72</v>
      </c>
      <c r="N604" s="66">
        <f t="shared" si="72"/>
        <v>3.3605159364673211E-2</v>
      </c>
      <c r="O604" s="66">
        <f t="shared" si="73"/>
        <v>3.6190171623494305E-2</v>
      </c>
      <c r="P604" s="4">
        <f t="shared" si="74"/>
        <v>0.36</v>
      </c>
      <c r="Q604" s="4">
        <f t="shared" si="75"/>
        <v>0.1875</v>
      </c>
      <c r="R604" s="66">
        <f t="shared" si="76"/>
        <v>3.3605159364673211E-2</v>
      </c>
      <c r="S604" s="66">
        <f t="shared" si="77"/>
        <v>3.6190171623494305E-2</v>
      </c>
      <c r="T604" s="50">
        <f t="shared" si="78"/>
        <v>1</v>
      </c>
      <c r="U604" s="50">
        <f t="shared" si="79"/>
        <v>1</v>
      </c>
    </row>
    <row r="605" spans="1:21" x14ac:dyDescent="0.2">
      <c r="A605" s="38">
        <v>36118</v>
      </c>
      <c r="B605" s="4">
        <v>0.4</v>
      </c>
      <c r="C605" s="4">
        <v>0.42</v>
      </c>
      <c r="D605" s="4">
        <v>0.18</v>
      </c>
      <c r="E605" s="50">
        <v>1</v>
      </c>
      <c r="F605" s="50">
        <v>0.35625000000000001</v>
      </c>
      <c r="G605" s="50">
        <v>0.22</v>
      </c>
      <c r="H605" s="50">
        <v>0.38490743662900001</v>
      </c>
      <c r="I605" s="50">
        <v>0.48829287047999997</v>
      </c>
      <c r="J605" s="50">
        <v>0.28152200277799999</v>
      </c>
      <c r="K605" s="50">
        <v>1163.55</v>
      </c>
      <c r="L605" s="50">
        <v>1125.72</v>
      </c>
      <c r="M605" s="50">
        <v>1163.55</v>
      </c>
      <c r="N605" s="66">
        <f t="shared" si="72"/>
        <v>2.4734648274676613E-2</v>
      </c>
      <c r="O605" s="66">
        <f t="shared" si="73"/>
        <v>2.103906149284519E-2</v>
      </c>
      <c r="P605" s="4">
        <f t="shared" si="74"/>
        <v>0.22000000000000003</v>
      </c>
      <c r="Q605" s="4">
        <f t="shared" si="75"/>
        <v>0.245</v>
      </c>
      <c r="R605" s="66">
        <f t="shared" si="76"/>
        <v>2.4734648274676613E-2</v>
      </c>
      <c r="S605" s="66">
        <f t="shared" si="77"/>
        <v>2.103906149284519E-2</v>
      </c>
      <c r="T605" s="50">
        <f t="shared" si="78"/>
        <v>1</v>
      </c>
      <c r="U605" s="50">
        <f t="shared" si="79"/>
        <v>1</v>
      </c>
    </row>
    <row r="606" spans="1:21" x14ac:dyDescent="0.2">
      <c r="A606" s="38">
        <v>36124</v>
      </c>
      <c r="B606" s="4">
        <v>0.48</v>
      </c>
      <c r="C606" s="4">
        <v>0.35</v>
      </c>
      <c r="D606" s="4">
        <v>0.17</v>
      </c>
      <c r="E606" s="50">
        <v>1</v>
      </c>
      <c r="F606" s="50">
        <v>0.37624999999999997</v>
      </c>
      <c r="G606" s="50">
        <v>0.31</v>
      </c>
      <c r="H606" s="50">
        <v>0.38490743662900001</v>
      </c>
      <c r="I606" s="50">
        <v>0.48829287047999997</v>
      </c>
      <c r="J606" s="50">
        <v>0.28152200277799999</v>
      </c>
      <c r="K606" s="50">
        <v>1192.97</v>
      </c>
      <c r="L606" s="50">
        <v>1163.55</v>
      </c>
      <c r="M606" s="50">
        <v>1192.33</v>
      </c>
      <c r="N606" s="66">
        <f t="shared" si="72"/>
        <v>-1.307523923745936E-2</v>
      </c>
      <c r="O606" s="66">
        <f t="shared" si="73"/>
        <v>2.8465273875521085E-2</v>
      </c>
      <c r="P606" s="4">
        <f t="shared" si="74"/>
        <v>0.30999999999999994</v>
      </c>
      <c r="Q606" s="4">
        <f t="shared" si="75"/>
        <v>0.26749999999999996</v>
      </c>
      <c r="R606" s="66">
        <f t="shared" si="76"/>
        <v>-1.307523923745936E-2</v>
      </c>
      <c r="S606" s="66">
        <f t="shared" si="77"/>
        <v>2.8465273875521085E-2</v>
      </c>
      <c r="T606" s="50" t="str">
        <f t="shared" si="78"/>
        <v/>
      </c>
      <c r="U606" s="50">
        <f t="shared" si="79"/>
        <v>1</v>
      </c>
    </row>
    <row r="607" spans="1:21" x14ac:dyDescent="0.2">
      <c r="A607" s="38">
        <v>36132</v>
      </c>
      <c r="B607" s="4">
        <v>0.49</v>
      </c>
      <c r="C607" s="4">
        <v>0.3</v>
      </c>
      <c r="D607" s="4">
        <v>0.21</v>
      </c>
      <c r="E607" s="50">
        <v>1</v>
      </c>
      <c r="F607" s="50">
        <v>0.40625</v>
      </c>
      <c r="G607" s="50">
        <v>0.28000000000000003</v>
      </c>
      <c r="H607" s="50">
        <v>0.38490743662900001</v>
      </c>
      <c r="I607" s="50">
        <v>0.48829287047999997</v>
      </c>
      <c r="J607" s="50">
        <v>0.28152200277799999</v>
      </c>
      <c r="K607" s="50">
        <v>1192.72</v>
      </c>
      <c r="L607" s="50">
        <v>1150.1400000000001</v>
      </c>
      <c r="M607" s="50">
        <v>1176.74</v>
      </c>
      <c r="N607" s="66">
        <f t="shared" si="72"/>
        <v>-8.7359994561245248E-3</v>
      </c>
      <c r="O607" s="66">
        <f t="shared" si="73"/>
        <v>4.4606285160698207E-2</v>
      </c>
      <c r="P607" s="4">
        <f t="shared" si="74"/>
        <v>0.28000000000000003</v>
      </c>
      <c r="Q607" s="4">
        <f t="shared" si="75"/>
        <v>0.29249999999999998</v>
      </c>
      <c r="R607" s="66">
        <f t="shared" si="76"/>
        <v>-8.7359994561245248E-3</v>
      </c>
      <c r="S607" s="66">
        <f t="shared" si="77"/>
        <v>4.4606285160698207E-2</v>
      </c>
      <c r="T607" s="50" t="str">
        <f t="shared" si="78"/>
        <v/>
      </c>
      <c r="U607" s="50">
        <f t="shared" si="79"/>
        <v>1</v>
      </c>
    </row>
    <row r="608" spans="1:21" x14ac:dyDescent="0.2">
      <c r="A608" s="38">
        <v>36139</v>
      </c>
      <c r="B608" s="4">
        <v>0.44</v>
      </c>
      <c r="C608" s="4">
        <v>0.3</v>
      </c>
      <c r="D608" s="4">
        <v>0.26</v>
      </c>
      <c r="E608" s="50">
        <v>1</v>
      </c>
      <c r="F608" s="50">
        <v>0.43</v>
      </c>
      <c r="G608" s="50">
        <v>0.18</v>
      </c>
      <c r="H608" s="50">
        <v>0.38490743662900001</v>
      </c>
      <c r="I608" s="50">
        <v>0.48829287047999997</v>
      </c>
      <c r="J608" s="50">
        <v>0.28152200277799999</v>
      </c>
      <c r="K608" s="50">
        <v>1193.53</v>
      </c>
      <c r="L608" s="50">
        <v>1153.19</v>
      </c>
      <c r="M608" s="50">
        <v>1166.46</v>
      </c>
      <c r="N608" s="66">
        <f t="shared" si="72"/>
        <v>1.8491847127205335E-2</v>
      </c>
      <c r="O608" s="66">
        <f t="shared" si="73"/>
        <v>9.3127925518234553E-2</v>
      </c>
      <c r="P608" s="4">
        <f t="shared" si="74"/>
        <v>0.18</v>
      </c>
      <c r="Q608" s="4">
        <f t="shared" si="75"/>
        <v>0.2475</v>
      </c>
      <c r="R608" s="66">
        <f t="shared" si="76"/>
        <v>1.8491847127205335E-2</v>
      </c>
      <c r="S608" s="66">
        <f t="shared" si="77"/>
        <v>9.3127925518234553E-2</v>
      </c>
      <c r="T608" s="50">
        <f t="shared" si="78"/>
        <v>1</v>
      </c>
      <c r="U608" s="50">
        <f t="shared" si="79"/>
        <v>1</v>
      </c>
    </row>
    <row r="609" spans="1:21" x14ac:dyDescent="0.2">
      <c r="A609" s="38">
        <v>36146</v>
      </c>
      <c r="B609" s="4">
        <v>0.41</v>
      </c>
      <c r="C609" s="4">
        <v>0.34</v>
      </c>
      <c r="D609" s="4">
        <v>0.25</v>
      </c>
      <c r="E609" s="50">
        <v>1</v>
      </c>
      <c r="F609" s="50">
        <v>0.44124999999999998</v>
      </c>
      <c r="G609" s="50">
        <v>0.16</v>
      </c>
      <c r="H609" s="50">
        <v>0.38490743662900001</v>
      </c>
      <c r="I609" s="50">
        <v>0.48829287047999997</v>
      </c>
      <c r="J609" s="50">
        <v>0.28152200277799999</v>
      </c>
      <c r="K609" s="50">
        <v>1188.8900000000001</v>
      </c>
      <c r="L609" s="50">
        <v>1136.8900000000001</v>
      </c>
      <c r="M609" s="50">
        <v>1188.03</v>
      </c>
      <c r="N609" s="66">
        <f t="shared" si="72"/>
        <v>3.2187739366851015E-2</v>
      </c>
      <c r="O609" s="66">
        <f t="shared" si="73"/>
        <v>4.6488725032196171E-2</v>
      </c>
      <c r="P609" s="4">
        <f t="shared" si="74"/>
        <v>0.15999999999999998</v>
      </c>
      <c r="Q609" s="4">
        <f t="shared" si="75"/>
        <v>0.23249999999999998</v>
      </c>
      <c r="R609" s="66">
        <f t="shared" si="76"/>
        <v>3.2187739366851015E-2</v>
      </c>
      <c r="S609" s="66">
        <f t="shared" si="77"/>
        <v>4.6488725032196171E-2</v>
      </c>
      <c r="T609" s="50">
        <f t="shared" si="78"/>
        <v>1</v>
      </c>
      <c r="U609" s="50">
        <f t="shared" si="79"/>
        <v>1</v>
      </c>
    </row>
    <row r="610" spans="1:21" x14ac:dyDescent="0.2">
      <c r="A610" s="38">
        <v>36152</v>
      </c>
      <c r="B610" s="4">
        <v>0.34</v>
      </c>
      <c r="C610" s="4">
        <v>0.34</v>
      </c>
      <c r="D610" s="4">
        <v>0.32</v>
      </c>
      <c r="E610" s="50">
        <v>1</v>
      </c>
      <c r="F610" s="50">
        <v>0.43</v>
      </c>
      <c r="G610" s="50">
        <v>0.02</v>
      </c>
      <c r="H610" s="50">
        <v>0.38490743662900001</v>
      </c>
      <c r="I610" s="50">
        <v>0.48829287047999997</v>
      </c>
      <c r="J610" s="50">
        <v>0.28152200277799999</v>
      </c>
      <c r="K610" s="50">
        <v>1229.8900000000001</v>
      </c>
      <c r="L610" s="50">
        <v>1188.03</v>
      </c>
      <c r="M610" s="50">
        <v>1226.27</v>
      </c>
      <c r="N610" s="66">
        <f t="shared" si="72"/>
        <v>2.4138240354897667E-3</v>
      </c>
      <c r="O610" s="66">
        <f t="shared" si="73"/>
        <v>-8.8071958051646635E-4</v>
      </c>
      <c r="P610" s="4">
        <f t="shared" si="74"/>
        <v>2.0000000000000018E-2</v>
      </c>
      <c r="Q610" s="4">
        <f t="shared" si="75"/>
        <v>0.16</v>
      </c>
      <c r="R610" s="66">
        <f t="shared" si="76"/>
        <v>2.4138240354897667E-3</v>
      </c>
      <c r="S610" s="66">
        <f t="shared" si="77"/>
        <v>-8.8071958051646635E-4</v>
      </c>
      <c r="T610" s="50">
        <f t="shared" si="78"/>
        <v>1</v>
      </c>
      <c r="U610" s="50" t="str">
        <f t="shared" si="79"/>
        <v/>
      </c>
    </row>
    <row r="611" spans="1:21" x14ac:dyDescent="0.2">
      <c r="A611" s="38">
        <v>36160</v>
      </c>
      <c r="B611" s="4">
        <v>0.41</v>
      </c>
      <c r="C611" s="4">
        <v>0.37</v>
      </c>
      <c r="D611" s="4">
        <v>0.22</v>
      </c>
      <c r="E611" s="50">
        <v>1</v>
      </c>
      <c r="F611" s="50">
        <v>0.43375000000000002</v>
      </c>
      <c r="G611" s="50">
        <v>0.19</v>
      </c>
      <c r="H611" s="50">
        <v>0.38490743662900001</v>
      </c>
      <c r="I611" s="50">
        <v>0.48829287047999997</v>
      </c>
      <c r="J611" s="50">
        <v>0.28152200277799999</v>
      </c>
      <c r="K611" s="50">
        <v>1244.93</v>
      </c>
      <c r="L611" s="50">
        <v>1200.78</v>
      </c>
      <c r="M611" s="50">
        <v>1229.23</v>
      </c>
      <c r="N611" s="66">
        <f t="shared" si="72"/>
        <v>3.7307908202695916E-2</v>
      </c>
      <c r="O611" s="66">
        <f t="shared" si="73"/>
        <v>4.1009412396378286E-2</v>
      </c>
      <c r="P611" s="4">
        <f t="shared" si="74"/>
        <v>0.18999999999999997</v>
      </c>
      <c r="Q611" s="4">
        <f t="shared" si="75"/>
        <v>0.13749999999999998</v>
      </c>
      <c r="R611" s="66">
        <f t="shared" si="76"/>
        <v>3.7307908202695916E-2</v>
      </c>
      <c r="S611" s="66">
        <f t="shared" si="77"/>
        <v>4.1009412396378286E-2</v>
      </c>
      <c r="T611" s="50">
        <f t="shared" si="78"/>
        <v>1</v>
      </c>
      <c r="U611" s="50">
        <f t="shared" si="79"/>
        <v>1</v>
      </c>
    </row>
    <row r="612" spans="1:21" x14ac:dyDescent="0.2">
      <c r="A612" s="38">
        <v>36167</v>
      </c>
      <c r="B612" s="4">
        <v>0.38</v>
      </c>
      <c r="C612" s="4">
        <v>0.39</v>
      </c>
      <c r="D612" s="4">
        <v>0.23</v>
      </c>
      <c r="E612" s="50">
        <v>1</v>
      </c>
      <c r="F612" s="50">
        <v>0.41875000000000001</v>
      </c>
      <c r="G612" s="50">
        <v>0.15</v>
      </c>
      <c r="H612" s="50">
        <v>0.38490743662900001</v>
      </c>
      <c r="I612" s="50">
        <v>0.48829287047999997</v>
      </c>
      <c r="J612" s="50">
        <v>0.28152200277799999</v>
      </c>
      <c r="K612" s="50">
        <v>1278.24</v>
      </c>
      <c r="L612" s="50">
        <v>1219.0999999999999</v>
      </c>
      <c r="M612" s="50">
        <v>1275.0899999999999</v>
      </c>
      <c r="N612" s="66">
        <f t="shared" si="72"/>
        <v>-2.4962943792202846E-2</v>
      </c>
      <c r="O612" s="66">
        <f t="shared" si="73"/>
        <v>-2.7990181085256593E-2</v>
      </c>
      <c r="P612" s="4">
        <f t="shared" si="74"/>
        <v>0.15</v>
      </c>
      <c r="Q612" s="4">
        <f t="shared" si="75"/>
        <v>0.13</v>
      </c>
      <c r="R612" s="66">
        <f t="shared" si="76"/>
        <v>-2.4962943792202846E-2</v>
      </c>
      <c r="S612" s="66">
        <f t="shared" si="77"/>
        <v>-2.7990181085256593E-2</v>
      </c>
      <c r="T612" s="50" t="str">
        <f t="shared" si="78"/>
        <v/>
      </c>
      <c r="U612" s="50" t="str">
        <f t="shared" si="79"/>
        <v/>
      </c>
    </row>
    <row r="613" spans="1:21" x14ac:dyDescent="0.2">
      <c r="A613" s="38">
        <v>36174</v>
      </c>
      <c r="B613" s="4">
        <v>0.51</v>
      </c>
      <c r="C613" s="4">
        <v>0.28000000000000003</v>
      </c>
      <c r="D613" s="4">
        <v>0.21</v>
      </c>
      <c r="E613" s="50">
        <v>1</v>
      </c>
      <c r="F613" s="50">
        <v>0.4325</v>
      </c>
      <c r="G613" s="50">
        <v>0.3</v>
      </c>
      <c r="H613" s="50">
        <v>0.38490743662900001</v>
      </c>
      <c r="I613" s="50">
        <v>0.48829287047999997</v>
      </c>
      <c r="J613" s="50">
        <v>0.28152200277799999</v>
      </c>
      <c r="K613" s="50">
        <v>1276.22</v>
      </c>
      <c r="L613" s="50">
        <v>1205.46</v>
      </c>
      <c r="M613" s="50">
        <v>1243.26</v>
      </c>
      <c r="N613" s="66">
        <f t="shared" si="72"/>
        <v>-1.4534369319369992E-2</v>
      </c>
      <c r="O613" s="66">
        <f t="shared" si="73"/>
        <v>-1.0560944613355116E-2</v>
      </c>
      <c r="P613" s="4">
        <f t="shared" si="74"/>
        <v>0.30000000000000004</v>
      </c>
      <c r="Q613" s="4">
        <f t="shared" si="75"/>
        <v>0.16500000000000001</v>
      </c>
      <c r="R613" s="66">
        <f t="shared" si="76"/>
        <v>-1.4534369319369992E-2</v>
      </c>
      <c r="S613" s="66">
        <f t="shared" si="77"/>
        <v>-1.0560944613355116E-2</v>
      </c>
      <c r="T613" s="50" t="str">
        <f t="shared" si="78"/>
        <v/>
      </c>
      <c r="U613" s="50" t="str">
        <f t="shared" si="79"/>
        <v/>
      </c>
    </row>
    <row r="614" spans="1:21" x14ac:dyDescent="0.2">
      <c r="A614" s="38">
        <v>36181</v>
      </c>
      <c r="B614" s="4">
        <v>0.56000000000000005</v>
      </c>
      <c r="C614" s="4">
        <v>0.24</v>
      </c>
      <c r="D614" s="4">
        <v>0.2</v>
      </c>
      <c r="E614" s="50">
        <v>1</v>
      </c>
      <c r="F614" s="50">
        <v>0.4425</v>
      </c>
      <c r="G614" s="50">
        <v>0.36</v>
      </c>
      <c r="H614" s="50">
        <v>0.38490743662900001</v>
      </c>
      <c r="I614" s="50">
        <v>0.48829287047999997</v>
      </c>
      <c r="J614" s="50">
        <v>0.28152200277799999</v>
      </c>
      <c r="K614" s="50">
        <v>1274.07</v>
      </c>
      <c r="L614" s="50">
        <v>1217.97</v>
      </c>
      <c r="M614" s="50">
        <v>1225.19</v>
      </c>
      <c r="N614" s="66">
        <f t="shared" si="72"/>
        <v>4.4442086533517285E-2</v>
      </c>
      <c r="O614" s="66">
        <f t="shared" si="73"/>
        <v>1.1451285106799739E-2</v>
      </c>
      <c r="P614" s="4">
        <f t="shared" si="74"/>
        <v>0.36000000000000004</v>
      </c>
      <c r="Q614" s="4">
        <f t="shared" si="75"/>
        <v>0.25</v>
      </c>
      <c r="R614" s="66">
        <f t="shared" si="76"/>
        <v>4.4442086533517285E-2</v>
      </c>
      <c r="S614" s="66">
        <f t="shared" si="77"/>
        <v>1.1451285106799739E-2</v>
      </c>
      <c r="T614" s="50">
        <f t="shared" si="78"/>
        <v>1</v>
      </c>
      <c r="U614" s="50">
        <f t="shared" si="79"/>
        <v>1</v>
      </c>
    </row>
    <row r="615" spans="1:21" x14ac:dyDescent="0.2">
      <c r="A615" s="38">
        <v>36188</v>
      </c>
      <c r="B615" s="4">
        <v>0.47</v>
      </c>
      <c r="C615" s="4">
        <v>0.33</v>
      </c>
      <c r="D615" s="4">
        <v>0.2</v>
      </c>
      <c r="E615" s="50">
        <v>1</v>
      </c>
      <c r="F615" s="50">
        <v>0.44</v>
      </c>
      <c r="G615" s="50">
        <v>0.27</v>
      </c>
      <c r="H615" s="50">
        <v>0.38490743662900001</v>
      </c>
      <c r="I615" s="50">
        <v>0.48829287047999997</v>
      </c>
      <c r="J615" s="50">
        <v>0.28152200277799999</v>
      </c>
      <c r="K615" s="50">
        <v>1280.3699999999999</v>
      </c>
      <c r="L615" s="50">
        <v>1219.4000000000001</v>
      </c>
      <c r="M615" s="50">
        <v>1279.6400000000001</v>
      </c>
      <c r="N615" s="66">
        <f t="shared" si="72"/>
        <v>-3.144634428432997E-2</v>
      </c>
      <c r="O615" s="66">
        <f t="shared" si="73"/>
        <v>-3.2282516957894539E-2</v>
      </c>
      <c r="P615" s="4">
        <f t="shared" si="74"/>
        <v>0.26999999999999996</v>
      </c>
      <c r="Q615" s="4">
        <f t="shared" si="75"/>
        <v>0.27</v>
      </c>
      <c r="R615" s="66">
        <f t="shared" si="76"/>
        <v>-3.144634428432997E-2</v>
      </c>
      <c r="S615" s="66">
        <f t="shared" si="77"/>
        <v>-3.2282516957894539E-2</v>
      </c>
      <c r="T615" s="50" t="str">
        <f t="shared" si="78"/>
        <v/>
      </c>
      <c r="U615" s="50" t="str">
        <f t="shared" si="79"/>
        <v/>
      </c>
    </row>
    <row r="616" spans="1:21" x14ac:dyDescent="0.2">
      <c r="A616" s="38">
        <v>36195</v>
      </c>
      <c r="B616" s="4">
        <v>0.48</v>
      </c>
      <c r="C616" s="4">
        <v>0.38</v>
      </c>
      <c r="D616" s="4">
        <v>0.14000000000000001</v>
      </c>
      <c r="E616" s="50">
        <v>1</v>
      </c>
      <c r="F616" s="50">
        <v>0.44500000000000001</v>
      </c>
      <c r="G616" s="50">
        <v>0.34</v>
      </c>
      <c r="H616" s="50">
        <v>0.38490743662900001</v>
      </c>
      <c r="I616" s="50">
        <v>0.48829287047999997</v>
      </c>
      <c r="J616" s="50">
        <v>0.28152200277799999</v>
      </c>
      <c r="K616" s="50">
        <v>1283.75</v>
      </c>
      <c r="L616" s="50">
        <v>1232.28</v>
      </c>
      <c r="M616" s="50">
        <v>1239.4000000000001</v>
      </c>
      <c r="N616" s="66">
        <f t="shared" si="72"/>
        <v>-7.4794255284815082E-3</v>
      </c>
      <c r="O616" s="66">
        <f t="shared" si="73"/>
        <v>2.9102791673390298E-2</v>
      </c>
      <c r="P616" s="4">
        <f t="shared" si="74"/>
        <v>0.33999999999999997</v>
      </c>
      <c r="Q616" s="4">
        <f t="shared" si="75"/>
        <v>0.3175</v>
      </c>
      <c r="R616" s="66">
        <f t="shared" si="76"/>
        <v>-7.4794255284815082E-3</v>
      </c>
      <c r="S616" s="66">
        <f t="shared" si="77"/>
        <v>2.9102791673390298E-2</v>
      </c>
      <c r="T616" s="50" t="str">
        <f t="shared" si="78"/>
        <v/>
      </c>
      <c r="U616" s="50">
        <f t="shared" si="79"/>
        <v>1</v>
      </c>
    </row>
    <row r="617" spans="1:21" x14ac:dyDescent="0.2">
      <c r="A617" s="38">
        <v>36202</v>
      </c>
      <c r="B617" s="4">
        <v>0.48</v>
      </c>
      <c r="C617" s="4">
        <v>0.35</v>
      </c>
      <c r="D617" s="4">
        <v>0.17</v>
      </c>
      <c r="E617" s="50">
        <v>1</v>
      </c>
      <c r="F617" s="50">
        <v>0.45374999999999999</v>
      </c>
      <c r="G617" s="50">
        <v>0.31</v>
      </c>
      <c r="H617" s="50">
        <v>0.38490743662900001</v>
      </c>
      <c r="I617" s="50">
        <v>0.48829287047999997</v>
      </c>
      <c r="J617" s="50">
        <v>0.28152200277799999</v>
      </c>
      <c r="K617" s="50">
        <v>1254.05</v>
      </c>
      <c r="L617" s="50">
        <v>1211.8900000000001</v>
      </c>
      <c r="M617" s="50">
        <v>1230.1300000000001</v>
      </c>
      <c r="N617" s="66">
        <f t="shared" si="72"/>
        <v>7.3894629022948121E-3</v>
      </c>
      <c r="O617" s="66">
        <f t="shared" si="73"/>
        <v>5.2400965751587071E-2</v>
      </c>
      <c r="P617" s="4">
        <f t="shared" si="74"/>
        <v>0.30999999999999994</v>
      </c>
      <c r="Q617" s="4">
        <f t="shared" si="75"/>
        <v>0.31999999999999995</v>
      </c>
      <c r="R617" s="66">
        <f t="shared" si="76"/>
        <v>7.3894629022948121E-3</v>
      </c>
      <c r="S617" s="66">
        <f t="shared" si="77"/>
        <v>5.2400965751587071E-2</v>
      </c>
      <c r="T617" s="50">
        <f t="shared" si="78"/>
        <v>1</v>
      </c>
      <c r="U617" s="50">
        <f t="shared" si="79"/>
        <v>1</v>
      </c>
    </row>
    <row r="618" spans="1:21" x14ac:dyDescent="0.2">
      <c r="A618" s="38">
        <v>36209</v>
      </c>
      <c r="B618" s="4">
        <v>0.37</v>
      </c>
      <c r="C618" s="4">
        <v>0.39</v>
      </c>
      <c r="D618" s="4">
        <v>0.24</v>
      </c>
      <c r="E618" s="50">
        <v>1</v>
      </c>
      <c r="F618" s="50">
        <v>0.45750000000000002</v>
      </c>
      <c r="G618" s="50">
        <v>0.13</v>
      </c>
      <c r="H618" s="50">
        <v>0.38490743662900001</v>
      </c>
      <c r="I618" s="50">
        <v>0.48829287047999997</v>
      </c>
      <c r="J618" s="50">
        <v>0.28152200277799999</v>
      </c>
      <c r="K618" s="50">
        <v>1252.17</v>
      </c>
      <c r="L618" s="50">
        <v>1220.7</v>
      </c>
      <c r="M618" s="50">
        <v>1239.22</v>
      </c>
      <c r="N618" s="66">
        <f t="shared" si="72"/>
        <v>-7.181937024903569E-4</v>
      </c>
      <c r="O618" s="66">
        <f t="shared" si="73"/>
        <v>4.8474040122012181E-2</v>
      </c>
      <c r="P618" s="4">
        <f t="shared" si="74"/>
        <v>0.13</v>
      </c>
      <c r="Q618" s="4">
        <f t="shared" si="75"/>
        <v>0.26249999999999996</v>
      </c>
      <c r="R618" s="66">
        <f t="shared" si="76"/>
        <v>-7.181937024903569E-4</v>
      </c>
      <c r="S618" s="66">
        <f t="shared" si="77"/>
        <v>4.8474040122012181E-2</v>
      </c>
      <c r="T618" s="50" t="str">
        <f t="shared" si="78"/>
        <v/>
      </c>
      <c r="U618" s="50">
        <f t="shared" si="79"/>
        <v>1</v>
      </c>
    </row>
    <row r="619" spans="1:21" x14ac:dyDescent="0.2">
      <c r="A619" s="38">
        <v>36216</v>
      </c>
      <c r="B619" s="4">
        <v>0.37</v>
      </c>
      <c r="C619" s="4">
        <v>0.39</v>
      </c>
      <c r="D619" s="4">
        <v>0.24</v>
      </c>
      <c r="E619" s="50">
        <v>1</v>
      </c>
      <c r="F619" s="50">
        <v>0.45250000000000001</v>
      </c>
      <c r="G619" s="50">
        <v>0.13</v>
      </c>
      <c r="H619" s="50">
        <v>0.38490743662900001</v>
      </c>
      <c r="I619" s="50">
        <v>0.48829287047999997</v>
      </c>
      <c r="J619" s="50">
        <v>0.28152200277799999</v>
      </c>
      <c r="K619" s="50">
        <v>1283.8399999999999</v>
      </c>
      <c r="L619" s="50">
        <v>1225.01</v>
      </c>
      <c r="M619" s="50">
        <v>1238.33</v>
      </c>
      <c r="N619" s="66">
        <f t="shared" si="72"/>
        <v>2.9992005362060276E-2</v>
      </c>
      <c r="O619" s="66">
        <f t="shared" si="73"/>
        <v>3.5911267594260034E-2</v>
      </c>
      <c r="P619" s="4">
        <f t="shared" si="74"/>
        <v>0.13</v>
      </c>
      <c r="Q619" s="4">
        <f t="shared" si="75"/>
        <v>0.22749999999999998</v>
      </c>
      <c r="R619" s="66">
        <f t="shared" si="76"/>
        <v>2.9992005362060276E-2</v>
      </c>
      <c r="S619" s="66">
        <f t="shared" si="77"/>
        <v>3.5911267594260034E-2</v>
      </c>
      <c r="T619" s="50">
        <f t="shared" si="78"/>
        <v>1</v>
      </c>
      <c r="U619" s="50">
        <f t="shared" si="79"/>
        <v>1</v>
      </c>
    </row>
    <row r="620" spans="1:21" x14ac:dyDescent="0.2">
      <c r="A620" s="38">
        <v>36223</v>
      </c>
      <c r="B620" s="4">
        <v>0.36</v>
      </c>
      <c r="C620" s="4">
        <v>0.45</v>
      </c>
      <c r="D620" s="4">
        <v>0.19</v>
      </c>
      <c r="E620" s="50">
        <v>1</v>
      </c>
      <c r="F620" s="50">
        <v>0.45</v>
      </c>
      <c r="G620" s="50">
        <v>0.17</v>
      </c>
      <c r="H620" s="50">
        <v>0.38490743662900001</v>
      </c>
      <c r="I620" s="50">
        <v>0.48829287047999997</v>
      </c>
      <c r="J620" s="50">
        <v>0.28152200277799999</v>
      </c>
      <c r="K620" s="50">
        <v>1275.73</v>
      </c>
      <c r="L620" s="50">
        <v>1216.03</v>
      </c>
      <c r="M620" s="50">
        <v>1275.47</v>
      </c>
      <c r="N620" s="66">
        <f t="shared" si="72"/>
        <v>1.4990552502214784E-2</v>
      </c>
      <c r="O620" s="66">
        <f t="shared" si="73"/>
        <v>1.4308451002375594E-2</v>
      </c>
      <c r="P620" s="4">
        <f t="shared" si="74"/>
        <v>0.16999999999999998</v>
      </c>
      <c r="Q620" s="4">
        <f t="shared" si="75"/>
        <v>0.185</v>
      </c>
      <c r="R620" s="66">
        <f t="shared" si="76"/>
        <v>1.4990552502214784E-2</v>
      </c>
      <c r="S620" s="66">
        <f t="shared" si="77"/>
        <v>1.4308451002375594E-2</v>
      </c>
      <c r="T620" s="50">
        <f t="shared" si="78"/>
        <v>1</v>
      </c>
      <c r="U620" s="50">
        <f t="shared" si="79"/>
        <v>1</v>
      </c>
    </row>
    <row r="621" spans="1:21" x14ac:dyDescent="0.2">
      <c r="A621" s="38">
        <v>36230</v>
      </c>
      <c r="B621" s="4">
        <v>0.37</v>
      </c>
      <c r="C621" s="4">
        <v>0.42</v>
      </c>
      <c r="D621" s="4">
        <v>0.21</v>
      </c>
      <c r="E621" s="50">
        <v>1</v>
      </c>
      <c r="F621" s="50">
        <v>0.4325</v>
      </c>
      <c r="G621" s="50">
        <v>0.16</v>
      </c>
      <c r="H621" s="50">
        <v>0.38490743662900001</v>
      </c>
      <c r="I621" s="50">
        <v>0.48829287047999997</v>
      </c>
      <c r="J621" s="50">
        <v>0.28152200277799999</v>
      </c>
      <c r="K621" s="50">
        <v>1306.43</v>
      </c>
      <c r="L621" s="50">
        <v>1271.58</v>
      </c>
      <c r="M621" s="50">
        <v>1294.5899999999999</v>
      </c>
      <c r="N621" s="66">
        <f t="shared" si="72"/>
        <v>3.6304930518542902E-3</v>
      </c>
      <c r="O621" s="66">
        <f t="shared" si="73"/>
        <v>4.1526660950571219E-2</v>
      </c>
      <c r="P621" s="4">
        <f t="shared" si="74"/>
        <v>0.16</v>
      </c>
      <c r="Q621" s="4">
        <f t="shared" si="75"/>
        <v>0.14749999999999999</v>
      </c>
      <c r="R621" s="66">
        <f t="shared" si="76"/>
        <v>3.6304930518542902E-3</v>
      </c>
      <c r="S621" s="66">
        <f t="shared" si="77"/>
        <v>4.1526660950571219E-2</v>
      </c>
      <c r="T621" s="50">
        <f t="shared" si="78"/>
        <v>1</v>
      </c>
      <c r="U621" s="50">
        <f t="shared" si="79"/>
        <v>1</v>
      </c>
    </row>
    <row r="622" spans="1:21" x14ac:dyDescent="0.2">
      <c r="A622" s="38">
        <v>36237</v>
      </c>
      <c r="B622" s="4">
        <v>0.48</v>
      </c>
      <c r="C622" s="4">
        <v>0.31</v>
      </c>
      <c r="D622" s="4">
        <v>0.21</v>
      </c>
      <c r="E622" s="50">
        <v>1</v>
      </c>
      <c r="F622" s="50">
        <v>0.42249999999999999</v>
      </c>
      <c r="G622" s="50">
        <v>0.27</v>
      </c>
      <c r="H622" s="50">
        <v>0.38490743662900001</v>
      </c>
      <c r="I622" s="50">
        <v>0.48829287047999997</v>
      </c>
      <c r="J622" s="50">
        <v>0.28152200277799999</v>
      </c>
      <c r="K622" s="50">
        <v>1323.82</v>
      </c>
      <c r="L622" s="50">
        <v>1291.03</v>
      </c>
      <c r="M622" s="50">
        <v>1299.29</v>
      </c>
      <c r="N622" s="66">
        <f t="shared" si="72"/>
        <v>-1.2691546921780364E-2</v>
      </c>
      <c r="O622" s="66">
        <f t="shared" si="73"/>
        <v>1.5169823518998865E-2</v>
      </c>
      <c r="P622" s="4">
        <f t="shared" si="74"/>
        <v>0.27</v>
      </c>
      <c r="Q622" s="4">
        <f t="shared" si="75"/>
        <v>0.1825</v>
      </c>
      <c r="R622" s="66">
        <f t="shared" si="76"/>
        <v>-1.2691546921780364E-2</v>
      </c>
      <c r="S622" s="66">
        <f t="shared" si="77"/>
        <v>1.5169823518998865E-2</v>
      </c>
      <c r="T622" s="50" t="str">
        <f t="shared" si="78"/>
        <v/>
      </c>
      <c r="U622" s="50">
        <f t="shared" si="79"/>
        <v>1</v>
      </c>
    </row>
    <row r="623" spans="1:21" x14ac:dyDescent="0.2">
      <c r="A623" s="38">
        <v>36244</v>
      </c>
      <c r="B623" s="4">
        <v>0.38</v>
      </c>
      <c r="C623" s="4">
        <v>0.33</v>
      </c>
      <c r="D623" s="4">
        <v>0.28999999999999998</v>
      </c>
      <c r="E623" s="50">
        <v>1</v>
      </c>
      <c r="F623" s="50">
        <v>0.41125</v>
      </c>
      <c r="G623" s="50">
        <v>0.09</v>
      </c>
      <c r="H623" s="50">
        <v>0.38490743662900001</v>
      </c>
      <c r="I623" s="50">
        <v>0.48829287047999997</v>
      </c>
      <c r="J623" s="50">
        <v>0.28152200277799999</v>
      </c>
      <c r="K623" s="50">
        <v>1303.8399999999999</v>
      </c>
      <c r="L623" s="50">
        <v>1256.43</v>
      </c>
      <c r="M623" s="50">
        <v>1282.8</v>
      </c>
      <c r="N623" s="66">
        <f t="shared" si="72"/>
        <v>8.5126286248831257E-3</v>
      </c>
      <c r="O623" s="66">
        <f t="shared" si="73"/>
        <v>5.7725288431555936E-2</v>
      </c>
      <c r="P623" s="4">
        <f t="shared" si="74"/>
        <v>9.0000000000000024E-2</v>
      </c>
      <c r="Q623" s="4">
        <f t="shared" si="75"/>
        <v>0.17249999999999999</v>
      </c>
      <c r="R623" s="66">
        <f t="shared" si="76"/>
        <v>8.5126286248831257E-3</v>
      </c>
      <c r="S623" s="66">
        <f t="shared" si="77"/>
        <v>5.7725288431555936E-2</v>
      </c>
      <c r="T623" s="50">
        <f t="shared" si="78"/>
        <v>1</v>
      </c>
      <c r="U623" s="50">
        <f t="shared" si="79"/>
        <v>1</v>
      </c>
    </row>
    <row r="624" spans="1:21" x14ac:dyDescent="0.2">
      <c r="A624" s="38">
        <v>36251</v>
      </c>
      <c r="B624" s="4">
        <v>0.4</v>
      </c>
      <c r="C624" s="4">
        <v>0.35</v>
      </c>
      <c r="D624" s="4">
        <v>0.25</v>
      </c>
      <c r="E624" s="50">
        <v>1</v>
      </c>
      <c r="F624" s="50">
        <v>0.40125</v>
      </c>
      <c r="G624" s="50">
        <v>0.15</v>
      </c>
      <c r="H624" s="50">
        <v>0.38490743662900001</v>
      </c>
      <c r="I624" s="50">
        <v>0.48829287047999997</v>
      </c>
      <c r="J624" s="50">
        <v>0.28152200277799999</v>
      </c>
      <c r="K624" s="50">
        <v>1313.6</v>
      </c>
      <c r="L624" s="50">
        <v>1282.56</v>
      </c>
      <c r="M624" s="50">
        <v>1293.72</v>
      </c>
      <c r="N624" s="66">
        <f t="shared" si="72"/>
        <v>4.2227066134866806E-2</v>
      </c>
      <c r="O624" s="66">
        <f t="shared" si="73"/>
        <v>3.2047119933215872E-2</v>
      </c>
      <c r="P624" s="4">
        <f t="shared" si="74"/>
        <v>0.15000000000000002</v>
      </c>
      <c r="Q624" s="4">
        <f t="shared" si="75"/>
        <v>0.16750000000000001</v>
      </c>
      <c r="R624" s="66">
        <f t="shared" si="76"/>
        <v>4.2227066134866806E-2</v>
      </c>
      <c r="S624" s="66">
        <f t="shared" si="77"/>
        <v>3.2047119933215872E-2</v>
      </c>
      <c r="T624" s="50">
        <f t="shared" si="78"/>
        <v>1</v>
      </c>
      <c r="U624" s="50">
        <f t="shared" si="79"/>
        <v>1</v>
      </c>
    </row>
    <row r="625" spans="1:21" x14ac:dyDescent="0.2">
      <c r="A625" s="38">
        <v>36258</v>
      </c>
      <c r="B625" s="4">
        <v>0.36</v>
      </c>
      <c r="C625" s="4">
        <v>0.38</v>
      </c>
      <c r="D625" s="4">
        <v>0.26</v>
      </c>
      <c r="E625" s="50">
        <v>1</v>
      </c>
      <c r="F625" s="50">
        <v>0.38624999999999998</v>
      </c>
      <c r="G625" s="50">
        <v>0.1</v>
      </c>
      <c r="H625" s="50">
        <v>0.38490743662900001</v>
      </c>
      <c r="I625" s="50">
        <v>0.48829287047999997</v>
      </c>
      <c r="J625" s="50">
        <v>0.28152200277799999</v>
      </c>
      <c r="K625" s="50">
        <v>1351.22</v>
      </c>
      <c r="L625" s="50">
        <v>1293.72</v>
      </c>
      <c r="M625" s="50">
        <v>1348.35</v>
      </c>
      <c r="N625" s="66">
        <f t="shared" si="72"/>
        <v>-2.1767345273853163E-2</v>
      </c>
      <c r="O625" s="66">
        <f t="shared" si="73"/>
        <v>-2.4845181147327543E-3</v>
      </c>
      <c r="P625" s="4">
        <f t="shared" si="74"/>
        <v>9.9999999999999978E-2</v>
      </c>
      <c r="Q625" s="4">
        <f t="shared" si="75"/>
        <v>0.1525</v>
      </c>
      <c r="R625" s="66">
        <f t="shared" si="76"/>
        <v>-2.1767345273853163E-2</v>
      </c>
      <c r="S625" s="66">
        <f t="shared" si="77"/>
        <v>-2.4845181147327543E-3</v>
      </c>
      <c r="T625" s="50" t="str">
        <f t="shared" si="78"/>
        <v/>
      </c>
      <c r="U625" s="50" t="str">
        <f t="shared" si="79"/>
        <v/>
      </c>
    </row>
    <row r="626" spans="1:21" x14ac:dyDescent="0.2">
      <c r="A626" s="38">
        <v>36265</v>
      </c>
      <c r="B626" s="4">
        <v>0.41</v>
      </c>
      <c r="C626" s="4">
        <v>0.31</v>
      </c>
      <c r="D626" s="4">
        <v>0.28000000000000003</v>
      </c>
      <c r="E626" s="50">
        <v>1</v>
      </c>
      <c r="F626" s="50">
        <v>0.39124999999999999</v>
      </c>
      <c r="G626" s="50">
        <v>0.13</v>
      </c>
      <c r="H626" s="50">
        <v>0.38490743662900001</v>
      </c>
      <c r="I626" s="50">
        <v>0.48829287047999997</v>
      </c>
      <c r="J626" s="50">
        <v>0.28152200277799999</v>
      </c>
      <c r="K626" s="50">
        <v>1362.1</v>
      </c>
      <c r="L626" s="50">
        <v>1308.3800000000001</v>
      </c>
      <c r="M626" s="50">
        <v>1319</v>
      </c>
      <c r="N626" s="66">
        <f t="shared" si="72"/>
        <v>2.8695981804397201E-2</v>
      </c>
      <c r="O626" s="66">
        <f t="shared" si="73"/>
        <v>1.4253222137983286E-2</v>
      </c>
      <c r="P626" s="4">
        <f t="shared" si="74"/>
        <v>0.12999999999999995</v>
      </c>
      <c r="Q626" s="4">
        <f t="shared" si="75"/>
        <v>0.11749999999999999</v>
      </c>
      <c r="R626" s="66">
        <f t="shared" si="76"/>
        <v>2.8695981804397201E-2</v>
      </c>
      <c r="S626" s="66">
        <f t="shared" si="77"/>
        <v>1.4253222137983286E-2</v>
      </c>
      <c r="T626" s="50">
        <f t="shared" si="78"/>
        <v>1</v>
      </c>
      <c r="U626" s="50">
        <f t="shared" si="79"/>
        <v>1</v>
      </c>
    </row>
    <row r="627" spans="1:21" x14ac:dyDescent="0.2">
      <c r="A627" s="38">
        <v>36272</v>
      </c>
      <c r="B627" s="4">
        <v>0.38</v>
      </c>
      <c r="C627" s="4">
        <v>0.32</v>
      </c>
      <c r="D627" s="4">
        <v>0.3</v>
      </c>
      <c r="E627" s="50">
        <v>1</v>
      </c>
      <c r="F627" s="50">
        <v>0.39250000000000002</v>
      </c>
      <c r="G627" s="50">
        <v>0.08</v>
      </c>
      <c r="H627" s="50">
        <v>0.38490743662900001</v>
      </c>
      <c r="I627" s="50">
        <v>0.48829287047999997</v>
      </c>
      <c r="J627" s="50">
        <v>0.28152200277799999</v>
      </c>
      <c r="K627" s="50">
        <v>1363.65</v>
      </c>
      <c r="L627" s="50">
        <v>1284.21</v>
      </c>
      <c r="M627" s="50">
        <v>1356.85</v>
      </c>
      <c r="N627" s="66">
        <f t="shared" si="72"/>
        <v>-1.5970814754762756E-2</v>
      </c>
      <c r="O627" s="66">
        <f t="shared" si="73"/>
        <v>-1.9574750340862989E-2</v>
      </c>
      <c r="P627" s="4">
        <f t="shared" si="74"/>
        <v>8.0000000000000016E-2</v>
      </c>
      <c r="Q627" s="4">
        <f t="shared" si="75"/>
        <v>0.11499999999999999</v>
      </c>
      <c r="R627" s="66">
        <f t="shared" si="76"/>
        <v>-1.5970814754762756E-2</v>
      </c>
      <c r="S627" s="66">
        <f t="shared" si="77"/>
        <v>-1.9574750340862989E-2</v>
      </c>
      <c r="T627" s="50" t="str">
        <f t="shared" si="78"/>
        <v/>
      </c>
      <c r="U627" s="50" t="str">
        <f t="shared" si="79"/>
        <v/>
      </c>
    </row>
    <row r="628" spans="1:21" x14ac:dyDescent="0.2">
      <c r="A628" s="38">
        <v>36279</v>
      </c>
      <c r="B628" s="4">
        <v>0.41</v>
      </c>
      <c r="C628" s="4">
        <v>0.32</v>
      </c>
      <c r="D628" s="4">
        <v>0.27</v>
      </c>
      <c r="E628" s="50">
        <v>1</v>
      </c>
      <c r="F628" s="50">
        <v>0.39874999999999999</v>
      </c>
      <c r="G628" s="50">
        <v>0.14000000000000001</v>
      </c>
      <c r="H628" s="50">
        <v>0.38490743662900001</v>
      </c>
      <c r="I628" s="50">
        <v>0.48829287047999997</v>
      </c>
      <c r="J628" s="50">
        <v>0.28152200277799999</v>
      </c>
      <c r="K628" s="50">
        <v>1371.56</v>
      </c>
      <c r="L628" s="50">
        <v>1314.58</v>
      </c>
      <c r="M628" s="50">
        <v>1335.18</v>
      </c>
      <c r="N628" s="66">
        <f t="shared" si="72"/>
        <v>7.3548135831872372E-3</v>
      </c>
      <c r="O628" s="66">
        <f t="shared" si="73"/>
        <v>-2.4970415973876288E-2</v>
      </c>
      <c r="P628" s="4">
        <f t="shared" si="74"/>
        <v>0.13999999999999996</v>
      </c>
      <c r="Q628" s="4">
        <f t="shared" si="75"/>
        <v>0.11249999999999998</v>
      </c>
      <c r="R628" s="66">
        <f t="shared" si="76"/>
        <v>7.3548135831872372E-3</v>
      </c>
      <c r="S628" s="66">
        <f t="shared" si="77"/>
        <v>-2.4970415973876288E-2</v>
      </c>
      <c r="T628" s="50">
        <f t="shared" si="78"/>
        <v>1</v>
      </c>
      <c r="U628" s="50" t="str">
        <f t="shared" si="79"/>
        <v/>
      </c>
    </row>
    <row r="629" spans="1:21" x14ac:dyDescent="0.2">
      <c r="A629" s="38">
        <v>36286</v>
      </c>
      <c r="B629" s="4">
        <v>0.54</v>
      </c>
      <c r="C629" s="4">
        <v>0.32</v>
      </c>
      <c r="D629" s="4">
        <v>0.14000000000000001</v>
      </c>
      <c r="E629" s="50">
        <v>1</v>
      </c>
      <c r="F629" s="50">
        <v>0.42</v>
      </c>
      <c r="G629" s="50">
        <v>0.4</v>
      </c>
      <c r="H629" s="50">
        <v>0.38490743662900001</v>
      </c>
      <c r="I629" s="50">
        <v>0.48829287047999997</v>
      </c>
      <c r="J629" s="50">
        <v>0.28152200277799999</v>
      </c>
      <c r="K629" s="50">
        <v>1354.64</v>
      </c>
      <c r="L629" s="50">
        <v>1317.44</v>
      </c>
      <c r="M629" s="50">
        <v>1345</v>
      </c>
      <c r="N629" s="66">
        <f t="shared" si="72"/>
        <v>-5.3531598513011491E-3</v>
      </c>
      <c r="O629" s="66">
        <f t="shared" si="73"/>
        <v>-1.2825278810408921E-2</v>
      </c>
      <c r="P629" s="4">
        <f t="shared" si="74"/>
        <v>0.4</v>
      </c>
      <c r="Q629" s="4">
        <f t="shared" si="75"/>
        <v>0.1875</v>
      </c>
      <c r="R629" s="66">
        <f t="shared" si="76"/>
        <v>-5.3531598513011491E-3</v>
      </c>
      <c r="S629" s="66">
        <f t="shared" si="77"/>
        <v>-1.2825278810408921E-2</v>
      </c>
      <c r="T629" s="50" t="str">
        <f t="shared" si="78"/>
        <v/>
      </c>
      <c r="U629" s="50" t="str">
        <f t="shared" si="79"/>
        <v/>
      </c>
    </row>
    <row r="630" spans="1:21" x14ac:dyDescent="0.2">
      <c r="A630" s="38">
        <v>36293</v>
      </c>
      <c r="B630" s="4">
        <v>0.43</v>
      </c>
      <c r="C630" s="4">
        <v>0.31</v>
      </c>
      <c r="D630" s="4">
        <v>0.26</v>
      </c>
      <c r="E630" s="50">
        <v>1</v>
      </c>
      <c r="F630" s="50">
        <v>0.41375000000000001</v>
      </c>
      <c r="G630" s="50">
        <v>0.17</v>
      </c>
      <c r="H630" s="50">
        <v>0.38490743662900001</v>
      </c>
      <c r="I630" s="50">
        <v>0.48829287047999997</v>
      </c>
      <c r="J630" s="50">
        <v>0.28152200277799999</v>
      </c>
      <c r="K630" s="50">
        <v>1375.98</v>
      </c>
      <c r="L630" s="50">
        <v>1332.63</v>
      </c>
      <c r="M630" s="50">
        <v>1337.8</v>
      </c>
      <c r="N630" s="66">
        <f t="shared" si="72"/>
        <v>-5.6136941246823077E-3</v>
      </c>
      <c r="O630" s="66">
        <f t="shared" si="73"/>
        <v>-3.3009418448198428E-2</v>
      </c>
      <c r="P630" s="4">
        <f t="shared" si="74"/>
        <v>0.16999999999999998</v>
      </c>
      <c r="Q630" s="4">
        <f t="shared" si="75"/>
        <v>0.19750000000000001</v>
      </c>
      <c r="R630" s="66">
        <f t="shared" si="76"/>
        <v>-5.6136941246823077E-3</v>
      </c>
      <c r="S630" s="66">
        <f t="shared" si="77"/>
        <v>-3.3009418448198428E-2</v>
      </c>
      <c r="T630" s="50" t="str">
        <f t="shared" si="78"/>
        <v/>
      </c>
      <c r="U630" s="50" t="str">
        <f t="shared" si="79"/>
        <v/>
      </c>
    </row>
    <row r="631" spans="1:21" x14ac:dyDescent="0.2">
      <c r="A631" s="38">
        <v>36300</v>
      </c>
      <c r="B631" s="4">
        <v>0.43</v>
      </c>
      <c r="C631" s="4">
        <v>0.31</v>
      </c>
      <c r="D631" s="4">
        <v>0.26</v>
      </c>
      <c r="E631" s="50">
        <v>1</v>
      </c>
      <c r="F631" s="50">
        <v>0.42</v>
      </c>
      <c r="G631" s="50">
        <v>0.17</v>
      </c>
      <c r="H631" s="50">
        <v>0.38490743662900001</v>
      </c>
      <c r="I631" s="50">
        <v>0.48829287047999997</v>
      </c>
      <c r="J631" s="50">
        <v>0.28152200277799999</v>
      </c>
      <c r="K631" s="50">
        <v>1350.49</v>
      </c>
      <c r="L631" s="50">
        <v>1321.19</v>
      </c>
      <c r="M631" s="50">
        <v>1330.29</v>
      </c>
      <c r="N631" s="66">
        <f t="shared" si="72"/>
        <v>-2.1386314262303745E-2</v>
      </c>
      <c r="O631" s="66">
        <f t="shared" si="73"/>
        <v>9.4340331807349943E-3</v>
      </c>
      <c r="P631" s="4">
        <f t="shared" si="74"/>
        <v>0.16999999999999998</v>
      </c>
      <c r="Q631" s="4">
        <f t="shared" si="75"/>
        <v>0.21999999999999997</v>
      </c>
      <c r="R631" s="66">
        <f t="shared" si="76"/>
        <v>-2.1386314262303745E-2</v>
      </c>
      <c r="S631" s="66">
        <f t="shared" si="77"/>
        <v>9.4340331807349943E-3</v>
      </c>
      <c r="T631" s="50" t="str">
        <f t="shared" si="78"/>
        <v/>
      </c>
      <c r="U631" s="50">
        <f t="shared" si="79"/>
        <v>1</v>
      </c>
    </row>
    <row r="632" spans="1:21" x14ac:dyDescent="0.2">
      <c r="A632" s="38">
        <v>36307</v>
      </c>
      <c r="B632" s="4">
        <v>0.38</v>
      </c>
      <c r="C632" s="4">
        <v>0.42</v>
      </c>
      <c r="D632" s="4">
        <v>0.2</v>
      </c>
      <c r="E632" s="50">
        <v>1</v>
      </c>
      <c r="F632" s="50">
        <v>0.41749999999999998</v>
      </c>
      <c r="G632" s="50">
        <v>0.18</v>
      </c>
      <c r="H632" s="50">
        <v>0.38490743662900001</v>
      </c>
      <c r="I632" s="50">
        <v>0.48829287047999997</v>
      </c>
      <c r="J632" s="50">
        <v>0.28152200277799999</v>
      </c>
      <c r="K632" s="50">
        <v>1333.02</v>
      </c>
      <c r="L632" s="50">
        <v>1277.31</v>
      </c>
      <c r="M632" s="50">
        <v>1301.8399999999999</v>
      </c>
      <c r="N632" s="66">
        <f t="shared" si="72"/>
        <v>1.9902599397775521E-2</v>
      </c>
      <c r="O632" s="66">
        <f t="shared" si="73"/>
        <v>1.0346893627481125E-2</v>
      </c>
      <c r="P632" s="4">
        <f t="shared" si="74"/>
        <v>0.18</v>
      </c>
      <c r="Q632" s="4">
        <f t="shared" si="75"/>
        <v>0.22999999999999998</v>
      </c>
      <c r="R632" s="66">
        <f t="shared" si="76"/>
        <v>1.9902599397775521E-2</v>
      </c>
      <c r="S632" s="66">
        <f t="shared" si="77"/>
        <v>1.0346893627481125E-2</v>
      </c>
      <c r="T632" s="50">
        <f t="shared" si="78"/>
        <v>1</v>
      </c>
      <c r="U632" s="50">
        <f t="shared" si="79"/>
        <v>1</v>
      </c>
    </row>
    <row r="633" spans="1:21" x14ac:dyDescent="0.2">
      <c r="A633" s="38">
        <v>36314</v>
      </c>
      <c r="B633" s="4">
        <v>0.32</v>
      </c>
      <c r="C633" s="4">
        <v>0.36</v>
      </c>
      <c r="D633" s="4">
        <v>0.32</v>
      </c>
      <c r="E633" s="50">
        <v>1</v>
      </c>
      <c r="F633" s="50">
        <v>0.41249999999999998</v>
      </c>
      <c r="G633" s="50">
        <v>0</v>
      </c>
      <c r="H633" s="50">
        <v>0.38490743662900001</v>
      </c>
      <c r="I633" s="50">
        <v>0.48829287047999997</v>
      </c>
      <c r="J633" s="50">
        <v>0.28152200277799999</v>
      </c>
      <c r="K633" s="50">
        <v>1327.75</v>
      </c>
      <c r="L633" s="50">
        <v>1277.47</v>
      </c>
      <c r="M633" s="50">
        <v>1327.75</v>
      </c>
      <c r="N633" s="66">
        <f t="shared" si="72"/>
        <v>-2.5690077198267672E-2</v>
      </c>
      <c r="O633" s="66">
        <f t="shared" si="73"/>
        <v>4.780267369610245E-2</v>
      </c>
      <c r="P633" s="4">
        <f t="shared" si="74"/>
        <v>0</v>
      </c>
      <c r="Q633" s="4">
        <f t="shared" si="75"/>
        <v>0.13</v>
      </c>
      <c r="R633" s="66">
        <f t="shared" si="76"/>
        <v>-2.5690077198267672E-2</v>
      </c>
      <c r="S633" s="66">
        <f t="shared" si="77"/>
        <v>4.780267369610245E-2</v>
      </c>
      <c r="T633" s="50" t="str">
        <f t="shared" si="78"/>
        <v/>
      </c>
      <c r="U633" s="50">
        <f t="shared" si="79"/>
        <v>1</v>
      </c>
    </row>
    <row r="634" spans="1:21" x14ac:dyDescent="0.2">
      <c r="A634" s="38">
        <v>36321</v>
      </c>
      <c r="B634" s="4">
        <v>0.32</v>
      </c>
      <c r="C634" s="4">
        <v>0.4</v>
      </c>
      <c r="D634" s="4">
        <v>0.28000000000000003</v>
      </c>
      <c r="E634" s="50">
        <v>1</v>
      </c>
      <c r="F634" s="50">
        <v>0.40125</v>
      </c>
      <c r="G634" s="50">
        <v>0.04</v>
      </c>
      <c r="H634" s="50">
        <v>0.38490743662900001</v>
      </c>
      <c r="I634" s="50">
        <v>0.48829287047999997</v>
      </c>
      <c r="J634" s="50">
        <v>0.28152200277799999</v>
      </c>
      <c r="K634" s="50">
        <v>1336.42</v>
      </c>
      <c r="L634" s="50">
        <v>1287.8800000000001</v>
      </c>
      <c r="M634" s="50">
        <v>1293.6400000000001</v>
      </c>
      <c r="N634" s="66">
        <f t="shared" si="72"/>
        <v>3.8032219164527856E-2</v>
      </c>
      <c r="O634" s="66">
        <f t="shared" si="73"/>
        <v>8.4753099780464317E-2</v>
      </c>
      <c r="P634" s="4">
        <f t="shared" si="74"/>
        <v>3.999999999999998E-2</v>
      </c>
      <c r="Q634" s="4">
        <f t="shared" si="75"/>
        <v>9.7499999999999989E-2</v>
      </c>
      <c r="R634" s="66">
        <f t="shared" si="76"/>
        <v>3.8032219164527856E-2</v>
      </c>
      <c r="S634" s="66">
        <f t="shared" si="77"/>
        <v>8.4753099780464317E-2</v>
      </c>
      <c r="T634" s="50">
        <f t="shared" si="78"/>
        <v>1</v>
      </c>
      <c r="U634" s="50">
        <f t="shared" si="79"/>
        <v>1</v>
      </c>
    </row>
    <row r="635" spans="1:21" x14ac:dyDescent="0.2">
      <c r="A635" s="38">
        <v>36328</v>
      </c>
      <c r="B635" s="4">
        <v>0.38</v>
      </c>
      <c r="C635" s="4">
        <v>0.35</v>
      </c>
      <c r="D635" s="4">
        <v>0.27</v>
      </c>
      <c r="E635" s="50">
        <v>1</v>
      </c>
      <c r="F635" s="50">
        <v>0.40125</v>
      </c>
      <c r="G635" s="50">
        <v>0.11</v>
      </c>
      <c r="H635" s="50">
        <v>0.38490743662900001</v>
      </c>
      <c r="I635" s="50">
        <v>0.48829287047999997</v>
      </c>
      <c r="J635" s="50">
        <v>0.28152200277799999</v>
      </c>
      <c r="K635" s="50">
        <v>1344.48</v>
      </c>
      <c r="L635" s="50">
        <v>1292.2</v>
      </c>
      <c r="M635" s="50">
        <v>1342.84</v>
      </c>
      <c r="N635" s="66">
        <f t="shared" si="72"/>
        <v>-2.0501325548836775E-2</v>
      </c>
      <c r="O635" s="66">
        <f t="shared" si="73"/>
        <v>5.6551785767477929E-2</v>
      </c>
      <c r="P635" s="4">
        <f t="shared" si="74"/>
        <v>0.10999999999999999</v>
      </c>
      <c r="Q635" s="4">
        <f t="shared" si="75"/>
        <v>8.249999999999999E-2</v>
      </c>
      <c r="R635" s="66">
        <f t="shared" si="76"/>
        <v>-2.0501325548836775E-2</v>
      </c>
      <c r="S635" s="66">
        <f t="shared" si="77"/>
        <v>5.6551785767477929E-2</v>
      </c>
      <c r="T635" s="50" t="str">
        <f t="shared" si="78"/>
        <v/>
      </c>
      <c r="U635" s="50">
        <f t="shared" si="79"/>
        <v>1</v>
      </c>
    </row>
    <row r="636" spans="1:21" x14ac:dyDescent="0.2">
      <c r="A636" s="38">
        <v>36335</v>
      </c>
      <c r="B636" s="4">
        <v>0.3</v>
      </c>
      <c r="C636" s="4">
        <v>0.39</v>
      </c>
      <c r="D636" s="4">
        <v>0.31</v>
      </c>
      <c r="E636" s="50">
        <v>1</v>
      </c>
      <c r="F636" s="50">
        <v>0.38750000000000001</v>
      </c>
      <c r="G636" s="50">
        <v>-0.01</v>
      </c>
      <c r="H636" s="50">
        <v>0.38490743662900001</v>
      </c>
      <c r="I636" s="50">
        <v>0.48829287047999997</v>
      </c>
      <c r="J636" s="50">
        <v>0.28152200277799999</v>
      </c>
      <c r="K636" s="50">
        <v>1351.12</v>
      </c>
      <c r="L636" s="50">
        <v>1308.47</v>
      </c>
      <c r="M636" s="50">
        <v>1315.31</v>
      </c>
      <c r="N636" s="66">
        <f t="shared" si="72"/>
        <v>5.7712630482547905E-2</v>
      </c>
      <c r="O636" s="66">
        <f t="shared" si="73"/>
        <v>3.1650333381484298E-2</v>
      </c>
      <c r="P636" s="4">
        <f t="shared" si="74"/>
        <v>-1.0000000000000009E-2</v>
      </c>
      <c r="Q636" s="4">
        <f t="shared" si="75"/>
        <v>3.4999999999999989E-2</v>
      </c>
      <c r="R636" s="66">
        <f t="shared" si="76"/>
        <v>5.7712630482547905E-2</v>
      </c>
      <c r="S636" s="66">
        <f t="shared" si="77"/>
        <v>3.1650333381484298E-2</v>
      </c>
      <c r="T636" s="50">
        <f t="shared" si="78"/>
        <v>1</v>
      </c>
      <c r="U636" s="50">
        <f t="shared" si="79"/>
        <v>1</v>
      </c>
    </row>
    <row r="637" spans="1:21" x14ac:dyDescent="0.2">
      <c r="A637" s="38">
        <v>36342</v>
      </c>
      <c r="B637" s="4">
        <v>0.35</v>
      </c>
      <c r="C637" s="4">
        <v>0.38</v>
      </c>
      <c r="D637" s="4">
        <v>0.27</v>
      </c>
      <c r="E637" s="50">
        <v>1</v>
      </c>
      <c r="F637" s="50">
        <v>0.36375000000000002</v>
      </c>
      <c r="G637" s="50">
        <v>0.08</v>
      </c>
      <c r="H637" s="50">
        <v>0.38490743662900001</v>
      </c>
      <c r="I637" s="50">
        <v>0.48829287047999997</v>
      </c>
      <c r="J637" s="50">
        <v>0.28152200277799999</v>
      </c>
      <c r="K637" s="50">
        <v>1391.22</v>
      </c>
      <c r="L637" s="50">
        <v>1315.31</v>
      </c>
      <c r="M637" s="50">
        <v>1391.22</v>
      </c>
      <c r="N637" s="66">
        <f t="shared" si="72"/>
        <v>8.6686505369387625E-3</v>
      </c>
      <c r="O637" s="66">
        <f t="shared" si="73"/>
        <v>-4.4924598553787325E-2</v>
      </c>
      <c r="P637" s="4">
        <f t="shared" si="74"/>
        <v>7.999999999999996E-2</v>
      </c>
      <c r="Q637" s="4">
        <f t="shared" si="75"/>
        <v>5.4999999999999979E-2</v>
      </c>
      <c r="R637" s="66">
        <f t="shared" si="76"/>
        <v>8.6686505369387625E-3</v>
      </c>
      <c r="S637" s="66">
        <f t="shared" si="77"/>
        <v>-4.4924598553787325E-2</v>
      </c>
      <c r="T637" s="50">
        <f t="shared" si="78"/>
        <v>1</v>
      </c>
      <c r="U637" s="50" t="str">
        <f t="shared" si="79"/>
        <v/>
      </c>
    </row>
    <row r="638" spans="1:21" x14ac:dyDescent="0.2">
      <c r="A638" s="38">
        <v>36349</v>
      </c>
      <c r="B638" s="4">
        <v>0.43</v>
      </c>
      <c r="C638" s="4">
        <v>0.36</v>
      </c>
      <c r="D638" s="4">
        <v>0.21</v>
      </c>
      <c r="E638" s="50">
        <v>1</v>
      </c>
      <c r="F638" s="50">
        <v>0.36375000000000002</v>
      </c>
      <c r="G638" s="50">
        <v>0.22</v>
      </c>
      <c r="H638" s="50">
        <v>0.38490743662900001</v>
      </c>
      <c r="I638" s="50">
        <v>0.48829287047999997</v>
      </c>
      <c r="J638" s="50">
        <v>0.28152200277799999</v>
      </c>
      <c r="K638" s="50">
        <v>1405.29</v>
      </c>
      <c r="L638" s="50">
        <v>1384.95</v>
      </c>
      <c r="M638" s="50">
        <v>1403.28</v>
      </c>
      <c r="N638" s="66">
        <f t="shared" si="72"/>
        <v>1.104555042471923E-2</v>
      </c>
      <c r="O638" s="66">
        <f t="shared" si="73"/>
        <v>-7.3392337951086031E-2</v>
      </c>
      <c r="P638" s="4">
        <f t="shared" si="74"/>
        <v>0.22</v>
      </c>
      <c r="Q638" s="4">
        <f t="shared" si="75"/>
        <v>9.9999999999999978E-2</v>
      </c>
      <c r="R638" s="66">
        <f t="shared" si="76"/>
        <v>1.104555042471923E-2</v>
      </c>
      <c r="S638" s="66">
        <f t="shared" si="77"/>
        <v>-7.3392337951086031E-2</v>
      </c>
      <c r="T638" s="50">
        <f t="shared" si="78"/>
        <v>1</v>
      </c>
      <c r="U638" s="50" t="str">
        <f t="shared" si="79"/>
        <v/>
      </c>
    </row>
    <row r="639" spans="1:21" x14ac:dyDescent="0.2">
      <c r="A639" s="38">
        <v>36356</v>
      </c>
      <c r="B639" s="4">
        <v>0.54</v>
      </c>
      <c r="C639" s="4">
        <v>0.28000000000000003</v>
      </c>
      <c r="D639" s="4">
        <v>0.18</v>
      </c>
      <c r="E639" s="50">
        <v>1</v>
      </c>
      <c r="F639" s="50">
        <v>0.3775</v>
      </c>
      <c r="G639" s="50">
        <v>0.36</v>
      </c>
      <c r="H639" s="50">
        <v>0.38490743662900001</v>
      </c>
      <c r="I639" s="50">
        <v>0.48829287047999997</v>
      </c>
      <c r="J639" s="50">
        <v>0.28152200277799999</v>
      </c>
      <c r="K639" s="50">
        <v>1418.78</v>
      </c>
      <c r="L639" s="50">
        <v>1386.51</v>
      </c>
      <c r="M639" s="50">
        <v>1418.78</v>
      </c>
      <c r="N639" s="66">
        <f t="shared" si="72"/>
        <v>-4.358674354022464E-2</v>
      </c>
      <c r="O639" s="66">
        <f t="shared" si="73"/>
        <v>-6.4210095997970021E-2</v>
      </c>
      <c r="P639" s="4">
        <f t="shared" si="74"/>
        <v>0.36000000000000004</v>
      </c>
      <c r="Q639" s="4">
        <f t="shared" si="75"/>
        <v>0.16249999999999998</v>
      </c>
      <c r="R639" s="66">
        <f t="shared" si="76"/>
        <v>-4.358674354022464E-2</v>
      </c>
      <c r="S639" s="66">
        <f t="shared" si="77"/>
        <v>-6.4210095997970021E-2</v>
      </c>
      <c r="T639" s="50" t="str">
        <f t="shared" si="78"/>
        <v/>
      </c>
      <c r="U639" s="50" t="str">
        <f t="shared" si="79"/>
        <v/>
      </c>
    </row>
    <row r="640" spans="1:21" x14ac:dyDescent="0.2">
      <c r="A640" s="38">
        <v>36363</v>
      </c>
      <c r="B640" s="4">
        <v>0.55000000000000004</v>
      </c>
      <c r="C640" s="4">
        <v>0.23</v>
      </c>
      <c r="D640" s="4">
        <v>0.22</v>
      </c>
      <c r="E640" s="50">
        <v>1</v>
      </c>
      <c r="F640" s="50">
        <v>0.39874999999999999</v>
      </c>
      <c r="G640" s="50">
        <v>0.33</v>
      </c>
      <c r="H640" s="50">
        <v>0.38490743662900001</v>
      </c>
      <c r="I640" s="50">
        <v>0.48829287047999997</v>
      </c>
      <c r="J640" s="50">
        <v>0.28152200277799999</v>
      </c>
      <c r="K640" s="50">
        <v>1420.33</v>
      </c>
      <c r="L640" s="50">
        <v>1349.91</v>
      </c>
      <c r="M640" s="50">
        <v>1356.94</v>
      </c>
      <c r="N640" s="66">
        <f t="shared" si="72"/>
        <v>-2.0796792783763486E-2</v>
      </c>
      <c r="O640" s="66">
        <f t="shared" si="73"/>
        <v>-1.4982239450528508E-2</v>
      </c>
      <c r="P640" s="4">
        <f t="shared" si="74"/>
        <v>0.33000000000000007</v>
      </c>
      <c r="Q640" s="4">
        <f t="shared" si="75"/>
        <v>0.2475</v>
      </c>
      <c r="R640" s="66">
        <f t="shared" si="76"/>
        <v>-2.0796792783763486E-2</v>
      </c>
      <c r="S640" s="66">
        <f t="shared" si="77"/>
        <v>-1.4982239450528508E-2</v>
      </c>
      <c r="T640" s="50" t="str">
        <f t="shared" si="78"/>
        <v/>
      </c>
      <c r="U640" s="50" t="str">
        <f t="shared" si="79"/>
        <v/>
      </c>
    </row>
    <row r="641" spans="1:21" x14ac:dyDescent="0.2">
      <c r="A641" s="38">
        <v>36370</v>
      </c>
      <c r="B641" s="4">
        <v>0.42</v>
      </c>
      <c r="C641" s="4">
        <v>0.38</v>
      </c>
      <c r="D641" s="4">
        <v>0.2</v>
      </c>
      <c r="E641" s="50">
        <v>1</v>
      </c>
      <c r="F641" s="50">
        <v>0.41125</v>
      </c>
      <c r="G641" s="50">
        <v>0.22</v>
      </c>
      <c r="H641" s="50">
        <v>0.38490743662900001</v>
      </c>
      <c r="I641" s="50">
        <v>0.48829287047999997</v>
      </c>
      <c r="J641" s="50">
        <v>0.28152200277799999</v>
      </c>
      <c r="K641" s="50">
        <v>1370.39</v>
      </c>
      <c r="L641" s="50">
        <v>1328.49</v>
      </c>
      <c r="M641" s="50">
        <v>1328.72</v>
      </c>
      <c r="N641" s="66">
        <f t="shared" si="72"/>
        <v>-2.1396532000722546E-2</v>
      </c>
      <c r="O641" s="66">
        <f t="shared" si="73"/>
        <v>1.4713408393039884E-2</v>
      </c>
      <c r="P641" s="4">
        <f t="shared" si="74"/>
        <v>0.21999999999999997</v>
      </c>
      <c r="Q641" s="4">
        <f t="shared" si="75"/>
        <v>0.28250000000000003</v>
      </c>
      <c r="R641" s="66">
        <f t="shared" si="76"/>
        <v>-2.1396532000722546E-2</v>
      </c>
      <c r="S641" s="66">
        <f t="shared" si="77"/>
        <v>1.4713408393039884E-2</v>
      </c>
      <c r="T641" s="50" t="str">
        <f t="shared" si="78"/>
        <v/>
      </c>
      <c r="U641" s="50">
        <f t="shared" si="79"/>
        <v>1</v>
      </c>
    </row>
    <row r="642" spans="1:21" x14ac:dyDescent="0.2">
      <c r="A642" s="38">
        <v>36377</v>
      </c>
      <c r="B642" s="4">
        <v>0.3</v>
      </c>
      <c r="C642" s="4">
        <v>0.46</v>
      </c>
      <c r="D642" s="4">
        <v>0.24</v>
      </c>
      <c r="E642" s="50">
        <v>1</v>
      </c>
      <c r="F642" s="50">
        <v>0.40875</v>
      </c>
      <c r="G642" s="50">
        <v>0.06</v>
      </c>
      <c r="H642" s="50">
        <v>0.38490743662900001</v>
      </c>
      <c r="I642" s="50">
        <v>0.48829287047999997</v>
      </c>
      <c r="J642" s="50">
        <v>0.28152200277799999</v>
      </c>
      <c r="K642" s="50">
        <v>1344.69</v>
      </c>
      <c r="L642" s="50">
        <v>1287.23</v>
      </c>
      <c r="M642" s="50">
        <v>1300.29</v>
      </c>
      <c r="N642" s="66">
        <f t="shared" si="72"/>
        <v>2.1064531758300149E-2</v>
      </c>
      <c r="O642" s="66">
        <f t="shared" si="73"/>
        <v>4.3797922002014975E-2</v>
      </c>
      <c r="P642" s="4">
        <f t="shared" si="74"/>
        <v>0.06</v>
      </c>
      <c r="Q642" s="4">
        <f t="shared" si="75"/>
        <v>0.24250000000000005</v>
      </c>
      <c r="R642" s="66">
        <f t="shared" si="76"/>
        <v>2.1064531758300149E-2</v>
      </c>
      <c r="S642" s="66">
        <f t="shared" si="77"/>
        <v>4.3797922002014975E-2</v>
      </c>
      <c r="T642" s="50">
        <f t="shared" si="78"/>
        <v>1</v>
      </c>
      <c r="U642" s="50">
        <f t="shared" si="79"/>
        <v>1</v>
      </c>
    </row>
    <row r="643" spans="1:21" x14ac:dyDescent="0.2">
      <c r="A643" s="38">
        <v>36384</v>
      </c>
      <c r="B643" s="4">
        <v>0.3</v>
      </c>
      <c r="C643" s="4">
        <v>0.4</v>
      </c>
      <c r="D643" s="4">
        <v>0.3</v>
      </c>
      <c r="E643" s="50">
        <v>1</v>
      </c>
      <c r="F643" s="50">
        <v>0.39874999999999999</v>
      </c>
      <c r="G643" s="50">
        <v>0</v>
      </c>
      <c r="H643" s="50">
        <v>0.38490743662900001</v>
      </c>
      <c r="I643" s="50">
        <v>0.48829287047999997</v>
      </c>
      <c r="J643" s="50">
        <v>0.28152200277799999</v>
      </c>
      <c r="K643" s="50">
        <v>1327.72</v>
      </c>
      <c r="L643" s="50">
        <v>1267.73</v>
      </c>
      <c r="M643" s="50">
        <v>1327.68</v>
      </c>
      <c r="N643" s="66">
        <f t="shared" si="72"/>
        <v>6.7260183176667838E-3</v>
      </c>
      <c r="O643" s="66">
        <f t="shared" si="73"/>
        <v>1.8061581103880467E-2</v>
      </c>
      <c r="P643" s="4">
        <f t="shared" si="74"/>
        <v>0</v>
      </c>
      <c r="Q643" s="4">
        <f t="shared" si="75"/>
        <v>0.15250000000000002</v>
      </c>
      <c r="R643" s="66">
        <f t="shared" si="76"/>
        <v>6.7260183176667838E-3</v>
      </c>
      <c r="S643" s="66">
        <f t="shared" si="77"/>
        <v>1.8061581103880467E-2</v>
      </c>
      <c r="T643" s="50">
        <f t="shared" si="78"/>
        <v>1</v>
      </c>
      <c r="U643" s="50">
        <f t="shared" si="79"/>
        <v>1</v>
      </c>
    </row>
    <row r="644" spans="1:21" x14ac:dyDescent="0.2">
      <c r="A644" s="38">
        <v>36391</v>
      </c>
      <c r="B644" s="4">
        <v>0.31</v>
      </c>
      <c r="C644" s="4">
        <v>0.46</v>
      </c>
      <c r="D644" s="4">
        <v>0.23</v>
      </c>
      <c r="E644" s="50">
        <v>1</v>
      </c>
      <c r="F644" s="50">
        <v>0.4</v>
      </c>
      <c r="G644" s="50">
        <v>0.08</v>
      </c>
      <c r="H644" s="50">
        <v>0.38490743662900001</v>
      </c>
      <c r="I644" s="50">
        <v>0.48829287047999997</v>
      </c>
      <c r="J644" s="50">
        <v>0.28152200277799999</v>
      </c>
      <c r="K644" s="50">
        <v>1344.16</v>
      </c>
      <c r="L644" s="50">
        <v>1315.35</v>
      </c>
      <c r="M644" s="50">
        <v>1336.61</v>
      </c>
      <c r="N644" s="66">
        <f t="shared" si="72"/>
        <v>8.7235618467616446E-3</v>
      </c>
      <c r="O644" s="66">
        <f t="shared" si="73"/>
        <v>-8.9031205811704783E-4</v>
      </c>
      <c r="P644" s="4">
        <f t="shared" si="74"/>
        <v>7.9999999999999988E-2</v>
      </c>
      <c r="Q644" s="4">
        <f t="shared" si="75"/>
        <v>0.09</v>
      </c>
      <c r="R644" s="66">
        <f t="shared" si="76"/>
        <v>8.7235618467616446E-3</v>
      </c>
      <c r="S644" s="66">
        <f t="shared" si="77"/>
        <v>-8.9031205811704783E-4</v>
      </c>
      <c r="T644" s="50">
        <f t="shared" si="78"/>
        <v>1</v>
      </c>
      <c r="U644" s="50" t="str">
        <f t="shared" si="79"/>
        <v/>
      </c>
    </row>
    <row r="645" spans="1:21" x14ac:dyDescent="0.2">
      <c r="A645" s="38">
        <v>36398</v>
      </c>
      <c r="B645" s="4">
        <v>0.35</v>
      </c>
      <c r="C645" s="4">
        <v>0.4</v>
      </c>
      <c r="D645" s="4">
        <v>0.25</v>
      </c>
      <c r="E645" s="50">
        <v>1</v>
      </c>
      <c r="F645" s="50">
        <v>0.4</v>
      </c>
      <c r="G645" s="50">
        <v>0.1</v>
      </c>
      <c r="H645" s="50">
        <v>0.38490743662900001</v>
      </c>
      <c r="I645" s="50">
        <v>0.48829287047999997</v>
      </c>
      <c r="J645" s="50">
        <v>0.28152200277799999</v>
      </c>
      <c r="K645" s="50">
        <v>1382.84</v>
      </c>
      <c r="L645" s="50">
        <v>1336.61</v>
      </c>
      <c r="M645" s="50">
        <v>1348.27</v>
      </c>
      <c r="N645" s="66">
        <f t="shared" si="72"/>
        <v>6.6529701024275753E-3</v>
      </c>
      <c r="O645" s="66">
        <f t="shared" si="73"/>
        <v>-5.25933232957791E-2</v>
      </c>
      <c r="P645" s="4">
        <f t="shared" si="74"/>
        <v>9.9999999999999978E-2</v>
      </c>
      <c r="Q645" s="4">
        <f t="shared" si="75"/>
        <v>5.9999999999999991E-2</v>
      </c>
      <c r="R645" s="66">
        <f t="shared" si="76"/>
        <v>6.6529701024275753E-3</v>
      </c>
      <c r="S645" s="66">
        <f t="shared" si="77"/>
        <v>-5.25933232957791E-2</v>
      </c>
      <c r="T645" s="50">
        <f t="shared" si="78"/>
        <v>1</v>
      </c>
      <c r="U645" s="50" t="str">
        <f t="shared" si="79"/>
        <v/>
      </c>
    </row>
    <row r="646" spans="1:21" x14ac:dyDescent="0.2">
      <c r="A646" s="38">
        <v>36405</v>
      </c>
      <c r="B646" s="4">
        <v>0.44</v>
      </c>
      <c r="C646" s="4">
        <v>0.38</v>
      </c>
      <c r="D646" s="4">
        <v>0.18</v>
      </c>
      <c r="E646" s="50">
        <v>1</v>
      </c>
      <c r="F646" s="50">
        <v>0.40125</v>
      </c>
      <c r="G646" s="50">
        <v>0.26</v>
      </c>
      <c r="H646" s="50">
        <v>0.38490743662900001</v>
      </c>
      <c r="I646" s="50">
        <v>0.48829287047999997</v>
      </c>
      <c r="J646" s="50">
        <v>0.28152200277799999</v>
      </c>
      <c r="K646" s="50">
        <v>1357.74</v>
      </c>
      <c r="L646" s="50">
        <v>1304.8800000000001</v>
      </c>
      <c r="M646" s="50">
        <v>1357.24</v>
      </c>
      <c r="N646" s="66">
        <f t="shared" si="72"/>
        <v>-4.1112846659396478E-3</v>
      </c>
      <c r="O646" s="66">
        <f t="shared" si="73"/>
        <v>-5.4839232560195739E-2</v>
      </c>
      <c r="P646" s="4">
        <f t="shared" si="74"/>
        <v>0.26</v>
      </c>
      <c r="Q646" s="4">
        <f t="shared" si="75"/>
        <v>0.10999999999999999</v>
      </c>
      <c r="R646" s="66">
        <f t="shared" si="76"/>
        <v>-4.1112846659396478E-3</v>
      </c>
      <c r="S646" s="66">
        <f t="shared" si="77"/>
        <v>-5.4839232560195739E-2</v>
      </c>
      <c r="T646" s="50" t="str">
        <f t="shared" si="78"/>
        <v/>
      </c>
      <c r="U646" s="50" t="str">
        <f t="shared" si="79"/>
        <v/>
      </c>
    </row>
    <row r="647" spans="1:21" x14ac:dyDescent="0.2">
      <c r="A647" s="38">
        <v>36412</v>
      </c>
      <c r="B647" s="4">
        <v>0.37</v>
      </c>
      <c r="C647" s="4">
        <v>0.38</v>
      </c>
      <c r="D647" s="4">
        <v>0.25</v>
      </c>
      <c r="E647" s="50">
        <v>1</v>
      </c>
      <c r="F647" s="50">
        <v>0.38</v>
      </c>
      <c r="G647" s="50">
        <v>0.12</v>
      </c>
      <c r="H647" s="50">
        <v>0.38490743662900001</v>
      </c>
      <c r="I647" s="50">
        <v>0.48829287047999997</v>
      </c>
      <c r="J647" s="50">
        <v>0.28152200277799999</v>
      </c>
      <c r="K647" s="50">
        <v>1361.35</v>
      </c>
      <c r="L647" s="50">
        <v>1333.94</v>
      </c>
      <c r="M647" s="50">
        <v>1351.66</v>
      </c>
      <c r="N647" s="66">
        <f t="shared" si="72"/>
        <v>-1.2014855806933702E-2</v>
      </c>
      <c r="O647" s="66">
        <f t="shared" si="73"/>
        <v>-1.1570957193377106E-2</v>
      </c>
      <c r="P647" s="4">
        <f t="shared" si="74"/>
        <v>0.12</v>
      </c>
      <c r="Q647" s="4">
        <f t="shared" si="75"/>
        <v>0.13999999999999999</v>
      </c>
      <c r="R647" s="66">
        <f t="shared" si="76"/>
        <v>-1.2014855806933702E-2</v>
      </c>
      <c r="S647" s="66">
        <f t="shared" si="77"/>
        <v>-1.1570957193377106E-2</v>
      </c>
      <c r="T647" s="50" t="str">
        <f t="shared" si="78"/>
        <v/>
      </c>
      <c r="U647" s="50" t="str">
        <f t="shared" si="79"/>
        <v/>
      </c>
    </row>
    <row r="648" spans="1:21" x14ac:dyDescent="0.2">
      <c r="A648" s="38">
        <v>36419</v>
      </c>
      <c r="B648" s="4">
        <v>0.36</v>
      </c>
      <c r="C648" s="4">
        <v>0.43</v>
      </c>
      <c r="D648" s="4">
        <v>0.21</v>
      </c>
      <c r="E648" s="50">
        <v>1</v>
      </c>
      <c r="F648" s="50">
        <v>0.35625000000000001</v>
      </c>
      <c r="G648" s="50">
        <v>0.15</v>
      </c>
      <c r="H648" s="50">
        <v>0.38490743662900001</v>
      </c>
      <c r="I648" s="50">
        <v>0.48829287047999997</v>
      </c>
      <c r="J648" s="50">
        <v>0.28152200277799999</v>
      </c>
      <c r="K648" s="50">
        <v>1351.66</v>
      </c>
      <c r="L648" s="50">
        <v>1317.97</v>
      </c>
      <c r="M648" s="50">
        <v>1335.42</v>
      </c>
      <c r="N648" s="66">
        <f t="shared" si="72"/>
        <v>-4.3476958559853958E-2</v>
      </c>
      <c r="O648" s="66">
        <f t="shared" si="73"/>
        <v>-6.5904359677105326E-2</v>
      </c>
      <c r="P648" s="4">
        <f t="shared" si="74"/>
        <v>0.15</v>
      </c>
      <c r="Q648" s="4">
        <f t="shared" si="75"/>
        <v>0.1575</v>
      </c>
      <c r="R648" s="66">
        <f t="shared" si="76"/>
        <v>-4.3476958559853958E-2</v>
      </c>
      <c r="S648" s="66">
        <f t="shared" si="77"/>
        <v>-6.5904359677105326E-2</v>
      </c>
      <c r="T648" s="50" t="str">
        <f t="shared" si="78"/>
        <v/>
      </c>
      <c r="U648" s="50" t="str">
        <f t="shared" si="79"/>
        <v/>
      </c>
    </row>
    <row r="649" spans="1:21" x14ac:dyDescent="0.2">
      <c r="A649" s="38">
        <v>36426</v>
      </c>
      <c r="B649" s="4">
        <v>0.36</v>
      </c>
      <c r="C649" s="4">
        <v>0.36</v>
      </c>
      <c r="D649" s="4">
        <v>0.28000000000000003</v>
      </c>
      <c r="E649" s="50">
        <v>1</v>
      </c>
      <c r="F649" s="50">
        <v>0.34875</v>
      </c>
      <c r="G649" s="50">
        <v>0.08</v>
      </c>
      <c r="H649" s="50">
        <v>0.38490743662900001</v>
      </c>
      <c r="I649" s="50">
        <v>0.48829287047999997</v>
      </c>
      <c r="J649" s="50">
        <v>0.28152200277799999</v>
      </c>
      <c r="K649" s="50">
        <v>1338.38</v>
      </c>
      <c r="L649" s="50">
        <v>1263.8399999999999</v>
      </c>
      <c r="M649" s="50">
        <v>1277.3599999999999</v>
      </c>
      <c r="N649" s="66">
        <f t="shared" si="72"/>
        <v>4.2666123880503899E-3</v>
      </c>
      <c r="O649" s="66">
        <f t="shared" si="73"/>
        <v>1.9015782551512646E-2</v>
      </c>
      <c r="P649" s="4">
        <f t="shared" si="74"/>
        <v>7.999999999999996E-2</v>
      </c>
      <c r="Q649" s="4">
        <f t="shared" si="75"/>
        <v>0.1525</v>
      </c>
      <c r="R649" s="66">
        <f t="shared" si="76"/>
        <v>4.2666123880503899E-3</v>
      </c>
      <c r="S649" s="66">
        <f t="shared" si="77"/>
        <v>1.9015782551512646E-2</v>
      </c>
      <c r="T649" s="50">
        <f t="shared" si="78"/>
        <v>1</v>
      </c>
      <c r="U649" s="50">
        <f t="shared" si="79"/>
        <v>1</v>
      </c>
    </row>
    <row r="650" spans="1:21" x14ac:dyDescent="0.2">
      <c r="A650" s="38">
        <v>36433</v>
      </c>
      <c r="B650" s="4">
        <v>0.35</v>
      </c>
      <c r="C650" s="4">
        <v>0.42</v>
      </c>
      <c r="D650" s="4">
        <v>0.23</v>
      </c>
      <c r="E650" s="50">
        <v>1</v>
      </c>
      <c r="F650" s="50">
        <v>0.35499999999999998</v>
      </c>
      <c r="G650" s="50">
        <v>0.12</v>
      </c>
      <c r="H650" s="50">
        <v>0.38490743662900001</v>
      </c>
      <c r="I650" s="50">
        <v>0.48829287047999997</v>
      </c>
      <c r="J650" s="50">
        <v>0.28152200277799999</v>
      </c>
      <c r="K650" s="50">
        <v>1295.03</v>
      </c>
      <c r="L650" s="50">
        <v>1256.26</v>
      </c>
      <c r="M650" s="50">
        <v>1282.81</v>
      </c>
      <c r="N650" s="66">
        <f t="shared" si="72"/>
        <v>4.1479252578324174E-2</v>
      </c>
      <c r="O650" s="66">
        <f t="shared" si="73"/>
        <v>6.2456638161536099E-2</v>
      </c>
      <c r="P650" s="4">
        <f t="shared" si="74"/>
        <v>0.11999999999999997</v>
      </c>
      <c r="Q650" s="4">
        <f t="shared" si="75"/>
        <v>0.11749999999999999</v>
      </c>
      <c r="R650" s="66">
        <f t="shared" si="76"/>
        <v>4.1479252578324174E-2</v>
      </c>
      <c r="S650" s="66">
        <f t="shared" si="77"/>
        <v>6.2456638161536099E-2</v>
      </c>
      <c r="T650" s="50">
        <f t="shared" si="78"/>
        <v>1</v>
      </c>
      <c r="U650" s="50">
        <f t="shared" si="79"/>
        <v>1</v>
      </c>
    </row>
    <row r="651" spans="1:21" x14ac:dyDescent="0.2">
      <c r="A651" s="38">
        <v>36440</v>
      </c>
      <c r="B651" s="4">
        <v>0.34</v>
      </c>
      <c r="C651" s="4">
        <v>0.38</v>
      </c>
      <c r="D651" s="4">
        <v>0.28000000000000003</v>
      </c>
      <c r="E651" s="50">
        <v>1</v>
      </c>
      <c r="F651" s="50">
        <v>0.36</v>
      </c>
      <c r="G651" s="50">
        <v>0.06</v>
      </c>
      <c r="H651" s="50">
        <v>0.38490743662900001</v>
      </c>
      <c r="I651" s="50">
        <v>0.48829287047999997</v>
      </c>
      <c r="J651" s="50">
        <v>0.28152200277799999</v>
      </c>
      <c r="K651" s="50">
        <v>1336.61</v>
      </c>
      <c r="L651" s="50">
        <v>1282.81</v>
      </c>
      <c r="M651" s="50">
        <v>1336.02</v>
      </c>
      <c r="N651" s="66">
        <f t="shared" si="72"/>
        <v>-6.6323857427283944E-2</v>
      </c>
      <c r="O651" s="66">
        <f t="shared" si="73"/>
        <v>2.5605904103232015E-2</v>
      </c>
      <c r="P651" s="4">
        <f t="shared" si="74"/>
        <v>0.06</v>
      </c>
      <c r="Q651" s="4">
        <f t="shared" si="75"/>
        <v>0.10249999999999998</v>
      </c>
      <c r="R651" s="66">
        <f t="shared" si="76"/>
        <v>-6.6323857427283944E-2</v>
      </c>
      <c r="S651" s="66">
        <f t="shared" si="77"/>
        <v>2.5605904103232015E-2</v>
      </c>
      <c r="T651" s="50" t="str">
        <f t="shared" si="78"/>
        <v/>
      </c>
      <c r="U651" s="50">
        <f t="shared" si="79"/>
        <v>1</v>
      </c>
    </row>
    <row r="652" spans="1:21" x14ac:dyDescent="0.2">
      <c r="A652" s="38">
        <v>36447</v>
      </c>
      <c r="B652" s="4">
        <v>0.42</v>
      </c>
      <c r="C652" s="4">
        <v>0.39</v>
      </c>
      <c r="D652" s="4">
        <v>0.19</v>
      </c>
      <c r="E652" s="50">
        <v>1</v>
      </c>
      <c r="F652" s="50">
        <v>0.37375000000000003</v>
      </c>
      <c r="G652" s="50">
        <v>0.23</v>
      </c>
      <c r="H652" s="50">
        <v>0.38490743662900001</v>
      </c>
      <c r="I652" s="50">
        <v>0.48829287047999997</v>
      </c>
      <c r="J652" s="50">
        <v>0.28152200277799999</v>
      </c>
      <c r="K652" s="50">
        <v>1344.26</v>
      </c>
      <c r="L652" s="50">
        <v>1245.44</v>
      </c>
      <c r="M652" s="50">
        <v>1247.4100000000001</v>
      </c>
      <c r="N652" s="66">
        <f t="shared" si="72"/>
        <v>4.3482094900634122E-2</v>
      </c>
      <c r="O652" s="66">
        <f t="shared" si="73"/>
        <v>0.11916691384548773</v>
      </c>
      <c r="P652" s="4">
        <f t="shared" si="74"/>
        <v>0.22999999999999998</v>
      </c>
      <c r="Q652" s="4">
        <f t="shared" si="75"/>
        <v>0.12249999999999997</v>
      </c>
      <c r="R652" s="66">
        <f t="shared" si="76"/>
        <v>4.3482094900634122E-2</v>
      </c>
      <c r="S652" s="66">
        <f t="shared" si="77"/>
        <v>0.11916691384548773</v>
      </c>
      <c r="T652" s="50">
        <f t="shared" si="78"/>
        <v>1</v>
      </c>
      <c r="U652" s="50">
        <f t="shared" si="79"/>
        <v>1</v>
      </c>
    </row>
    <row r="653" spans="1:21" x14ac:dyDescent="0.2">
      <c r="A653" s="38">
        <v>36454</v>
      </c>
      <c r="B653" s="4">
        <v>0.38</v>
      </c>
      <c r="C653" s="4">
        <v>0.37</v>
      </c>
      <c r="D653" s="4">
        <v>0.25</v>
      </c>
      <c r="E653" s="50">
        <v>1</v>
      </c>
      <c r="F653" s="50">
        <v>0.3775</v>
      </c>
      <c r="G653" s="50">
        <v>0.13</v>
      </c>
      <c r="H653" s="50">
        <v>0.38490743662900001</v>
      </c>
      <c r="I653" s="50">
        <v>0.48829287047999997</v>
      </c>
      <c r="J653" s="50">
        <v>0.28152200277799999</v>
      </c>
      <c r="K653" s="50">
        <v>1303.81</v>
      </c>
      <c r="L653" s="50">
        <v>1233.7</v>
      </c>
      <c r="M653" s="50">
        <v>1301.6500000000001</v>
      </c>
      <c r="N653" s="66">
        <f t="shared" ref="N653:N716" si="80">(M654-M653)/M653</f>
        <v>4.7078707793953803E-2</v>
      </c>
      <c r="O653" s="66">
        <f t="shared" ref="O653:O716" si="81">(M657-M653)/M653</f>
        <v>9.2459570545077321E-2</v>
      </c>
      <c r="P653" s="4">
        <f t="shared" si="74"/>
        <v>0.13</v>
      </c>
      <c r="Q653" s="4">
        <f t="shared" si="75"/>
        <v>0.13499999999999998</v>
      </c>
      <c r="R653" s="66">
        <f t="shared" si="76"/>
        <v>4.7078707793953803E-2</v>
      </c>
      <c r="S653" s="66">
        <f t="shared" si="77"/>
        <v>9.2459570545077321E-2</v>
      </c>
      <c r="T653" s="50">
        <f t="shared" si="78"/>
        <v>1</v>
      </c>
      <c r="U653" s="50">
        <f t="shared" si="79"/>
        <v>1</v>
      </c>
    </row>
    <row r="654" spans="1:21" x14ac:dyDescent="0.2">
      <c r="A654" s="38">
        <v>36461</v>
      </c>
      <c r="B654" s="4">
        <v>0.38</v>
      </c>
      <c r="C654" s="4">
        <v>0.38</v>
      </c>
      <c r="D654" s="4">
        <v>0.24</v>
      </c>
      <c r="E654" s="50">
        <v>1</v>
      </c>
      <c r="F654" s="50">
        <v>0.37</v>
      </c>
      <c r="G654" s="50">
        <v>0.14000000000000001</v>
      </c>
      <c r="H654" s="50">
        <v>0.38490743662900001</v>
      </c>
      <c r="I654" s="50">
        <v>0.48829287047999997</v>
      </c>
      <c r="J654" s="50">
        <v>0.28152200277799999</v>
      </c>
      <c r="K654" s="50">
        <v>1373.17</v>
      </c>
      <c r="L654" s="50">
        <v>1280.48</v>
      </c>
      <c r="M654" s="50">
        <v>1362.93</v>
      </c>
      <c r="N654" s="66">
        <f t="shared" si="80"/>
        <v>5.356107797172235E-3</v>
      </c>
      <c r="O654" s="66">
        <f t="shared" si="81"/>
        <v>3.9393072278106595E-2</v>
      </c>
      <c r="P654" s="4">
        <f t="shared" ref="P654:P717" si="82">B654-D654</f>
        <v>0.14000000000000001</v>
      </c>
      <c r="Q654" s="4">
        <f t="shared" si="75"/>
        <v>0.14000000000000001</v>
      </c>
      <c r="R654" s="66">
        <f t="shared" si="76"/>
        <v>5.356107797172235E-3</v>
      </c>
      <c r="S654" s="66">
        <f t="shared" si="77"/>
        <v>3.9393072278106595E-2</v>
      </c>
      <c r="T654" s="50">
        <f t="shared" si="78"/>
        <v>1</v>
      </c>
      <c r="U654" s="50">
        <f t="shared" si="79"/>
        <v>1</v>
      </c>
    </row>
    <row r="655" spans="1:21" x14ac:dyDescent="0.2">
      <c r="A655" s="38">
        <v>36468</v>
      </c>
      <c r="B655" s="4">
        <v>0.43</v>
      </c>
      <c r="C655" s="4">
        <v>0.35</v>
      </c>
      <c r="D655" s="4">
        <v>0.22</v>
      </c>
      <c r="E655" s="50">
        <v>1</v>
      </c>
      <c r="F655" s="50">
        <v>0.3775</v>
      </c>
      <c r="G655" s="50">
        <v>0.21</v>
      </c>
      <c r="H655" s="50">
        <v>0.38490743662900001</v>
      </c>
      <c r="I655" s="50">
        <v>0.48829287047999997</v>
      </c>
      <c r="J655" s="50">
        <v>0.28152200277799999</v>
      </c>
      <c r="K655" s="50">
        <v>1387.48</v>
      </c>
      <c r="L655" s="50">
        <v>1346.41</v>
      </c>
      <c r="M655" s="50">
        <v>1370.23</v>
      </c>
      <c r="N655" s="66">
        <f t="shared" si="80"/>
        <v>1.885084985732317E-2</v>
      </c>
      <c r="O655" s="66">
        <f t="shared" si="81"/>
        <v>4.6028768892813571E-2</v>
      </c>
      <c r="P655" s="4">
        <f t="shared" si="82"/>
        <v>0.21</v>
      </c>
      <c r="Q655" s="4">
        <f t="shared" si="75"/>
        <v>0.17749999999999999</v>
      </c>
      <c r="R655" s="66">
        <f t="shared" si="76"/>
        <v>1.885084985732317E-2</v>
      </c>
      <c r="S655" s="66">
        <f t="shared" si="77"/>
        <v>4.6028768892813571E-2</v>
      </c>
      <c r="T655" s="50">
        <f t="shared" si="78"/>
        <v>1</v>
      </c>
      <c r="U655" s="50">
        <f t="shared" si="79"/>
        <v>1</v>
      </c>
    </row>
    <row r="656" spans="1:21" x14ac:dyDescent="0.2">
      <c r="A656" s="38">
        <v>36475</v>
      </c>
      <c r="B656" s="4">
        <v>0.48</v>
      </c>
      <c r="C656" s="4">
        <v>0.26</v>
      </c>
      <c r="D656" s="4">
        <v>0.26</v>
      </c>
      <c r="E656" s="50">
        <v>1</v>
      </c>
      <c r="F656" s="50">
        <v>0.39250000000000002</v>
      </c>
      <c r="G656" s="50">
        <v>0.22</v>
      </c>
      <c r="H656" s="50">
        <v>0.38490743662900001</v>
      </c>
      <c r="I656" s="50">
        <v>0.48829287047999997</v>
      </c>
      <c r="J656" s="50">
        <v>0.28152200277799999</v>
      </c>
      <c r="K656" s="50">
        <v>1396.12</v>
      </c>
      <c r="L656" s="50">
        <v>1359.98</v>
      </c>
      <c r="M656" s="50">
        <v>1396.06</v>
      </c>
      <c r="N656" s="66">
        <f t="shared" si="80"/>
        <v>1.8580863286678264E-2</v>
      </c>
      <c r="O656" s="66">
        <f t="shared" si="81"/>
        <v>1.5028007392232439E-2</v>
      </c>
      <c r="P656" s="4">
        <f t="shared" si="82"/>
        <v>0.21999999999999997</v>
      </c>
      <c r="Q656" s="4">
        <f t="shared" si="75"/>
        <v>0.17499999999999999</v>
      </c>
      <c r="R656" s="66">
        <f t="shared" si="76"/>
        <v>1.8580863286678264E-2</v>
      </c>
      <c r="S656" s="66">
        <f t="shared" si="77"/>
        <v>1.5028007392232439E-2</v>
      </c>
      <c r="T656" s="50">
        <f t="shared" si="78"/>
        <v>1</v>
      </c>
      <c r="U656" s="50">
        <f t="shared" si="79"/>
        <v>1</v>
      </c>
    </row>
    <row r="657" spans="1:21" x14ac:dyDescent="0.2">
      <c r="A657" s="38">
        <v>36482</v>
      </c>
      <c r="B657" s="4">
        <v>0.46</v>
      </c>
      <c r="C657" s="4">
        <v>0.32</v>
      </c>
      <c r="D657" s="4">
        <v>0.22</v>
      </c>
      <c r="E657" s="50">
        <v>1</v>
      </c>
      <c r="F657" s="50">
        <v>0.40500000000000003</v>
      </c>
      <c r="G657" s="50">
        <v>0.24</v>
      </c>
      <c r="H657" s="50">
        <v>0.38490743662900001</v>
      </c>
      <c r="I657" s="50">
        <v>0.48829287047999997</v>
      </c>
      <c r="J657" s="50">
        <v>0.28152200277799999</v>
      </c>
      <c r="K657" s="50">
        <v>1425.31</v>
      </c>
      <c r="L657" s="50">
        <v>1392.28</v>
      </c>
      <c r="M657" s="50">
        <v>1422</v>
      </c>
      <c r="N657" s="66">
        <f t="shared" si="80"/>
        <v>-3.7834036568214552E-3</v>
      </c>
      <c r="O657" s="66">
        <f t="shared" si="81"/>
        <v>-6.8213783403658738E-4</v>
      </c>
      <c r="P657" s="4">
        <f t="shared" si="82"/>
        <v>0.24000000000000002</v>
      </c>
      <c r="Q657" s="4">
        <f t="shared" ref="Q657:Q720" si="83">AVERAGE(P654:P657)</f>
        <v>0.20249999999999999</v>
      </c>
      <c r="R657" s="66">
        <f t="shared" ref="R657:R720" si="84">(M658-M657)/M657</f>
        <v>-3.7834036568214552E-3</v>
      </c>
      <c r="S657" s="66">
        <f t="shared" ref="S657:S720" si="85">(M661-M657)/M657</f>
        <v>-6.8213783403658738E-4</v>
      </c>
      <c r="T657" s="50" t="str">
        <f t="shared" ref="T657:T720" si="86">IF(R657&gt;0,1,"")</f>
        <v/>
      </c>
      <c r="U657" s="50" t="str">
        <f t="shared" ref="U657:U720" si="87">IF(S657&gt;0,1,"")</f>
        <v/>
      </c>
    </row>
    <row r="658" spans="1:21" x14ac:dyDescent="0.2">
      <c r="A658" s="38">
        <v>36488</v>
      </c>
      <c r="B658" s="4">
        <v>0.55000000000000004</v>
      </c>
      <c r="C658" s="4">
        <v>0.28000000000000003</v>
      </c>
      <c r="D658" s="4">
        <v>0.17</v>
      </c>
      <c r="E658" s="50">
        <v>1</v>
      </c>
      <c r="F658" s="50">
        <v>0.43</v>
      </c>
      <c r="G658" s="50">
        <v>0.38</v>
      </c>
      <c r="H658" s="50">
        <v>0.38490743662900001</v>
      </c>
      <c r="I658" s="50">
        <v>0.48829287047999997</v>
      </c>
      <c r="J658" s="50">
        <v>0.28152200277799999</v>
      </c>
      <c r="K658" s="50">
        <v>1425.25</v>
      </c>
      <c r="L658" s="50">
        <v>1399.18</v>
      </c>
      <c r="M658" s="50">
        <v>1416.62</v>
      </c>
      <c r="N658" s="66">
        <f t="shared" si="80"/>
        <v>1.1774505513122832E-2</v>
      </c>
      <c r="O658" s="66">
        <f t="shared" si="81"/>
        <v>2.9450381894933032E-2</v>
      </c>
      <c r="P658" s="4">
        <f t="shared" si="82"/>
        <v>0.38</v>
      </c>
      <c r="Q658" s="4">
        <f t="shared" si="83"/>
        <v>0.26249999999999996</v>
      </c>
      <c r="R658" s="66">
        <f t="shared" si="84"/>
        <v>1.1774505513122832E-2</v>
      </c>
      <c r="S658" s="66">
        <f t="shared" si="85"/>
        <v>2.9450381894933032E-2</v>
      </c>
      <c r="T658" s="50">
        <f t="shared" si="86"/>
        <v>1</v>
      </c>
      <c r="U658" s="50">
        <f t="shared" si="87"/>
        <v>1</v>
      </c>
    </row>
    <row r="659" spans="1:21" x14ac:dyDescent="0.2">
      <c r="A659" s="38">
        <v>36496</v>
      </c>
      <c r="B659" s="4">
        <v>0.62</v>
      </c>
      <c r="C659" s="4">
        <v>0.25</v>
      </c>
      <c r="D659" s="4">
        <v>0.13</v>
      </c>
      <c r="E659" s="50">
        <v>1</v>
      </c>
      <c r="F659" s="50">
        <v>0.46500000000000002</v>
      </c>
      <c r="G659" s="50">
        <v>0.49</v>
      </c>
      <c r="H659" s="50">
        <v>0.38490743662900001</v>
      </c>
      <c r="I659" s="50">
        <v>0.48829287047999997</v>
      </c>
      <c r="J659" s="50">
        <v>0.28152200277799999</v>
      </c>
      <c r="K659" s="50">
        <v>1447.54</v>
      </c>
      <c r="L659" s="50">
        <v>1386.95</v>
      </c>
      <c r="M659" s="50">
        <v>1433.3</v>
      </c>
      <c r="N659" s="66">
        <f t="shared" si="80"/>
        <v>-1.1344449870927226E-2</v>
      </c>
      <c r="O659" s="66">
        <f t="shared" si="81"/>
        <v>2.5081978650666328E-2</v>
      </c>
      <c r="P659" s="4">
        <f t="shared" si="82"/>
        <v>0.49</v>
      </c>
      <c r="Q659" s="4">
        <f t="shared" si="83"/>
        <v>0.33250000000000002</v>
      </c>
      <c r="R659" s="66">
        <f t="shared" si="84"/>
        <v>-1.1344449870927226E-2</v>
      </c>
      <c r="S659" s="66">
        <f t="shared" si="85"/>
        <v>2.5081978650666328E-2</v>
      </c>
      <c r="T659" s="50" t="str">
        <f t="shared" si="86"/>
        <v/>
      </c>
      <c r="U659" s="50">
        <f t="shared" si="87"/>
        <v>1</v>
      </c>
    </row>
    <row r="660" spans="1:21" x14ac:dyDescent="0.2">
      <c r="A660" s="38">
        <v>36503</v>
      </c>
      <c r="B660" s="4">
        <v>0.62</v>
      </c>
      <c r="C660" s="4">
        <v>0.27</v>
      </c>
      <c r="D660" s="4">
        <v>0.11</v>
      </c>
      <c r="E660" s="50">
        <v>1</v>
      </c>
      <c r="F660" s="50">
        <v>0.49</v>
      </c>
      <c r="G660" s="50">
        <v>0.51</v>
      </c>
      <c r="H660" s="50">
        <v>0.38490743662900001</v>
      </c>
      <c r="I660" s="50">
        <v>0.48829287047999997</v>
      </c>
      <c r="J660" s="50">
        <v>0.28152200277799999</v>
      </c>
      <c r="K660" s="50">
        <v>1434.19</v>
      </c>
      <c r="L660" s="50">
        <v>1391.47</v>
      </c>
      <c r="M660" s="50">
        <v>1417.04</v>
      </c>
      <c r="N660" s="66">
        <f t="shared" si="80"/>
        <v>2.8157285609439458E-3</v>
      </c>
      <c r="O660" s="66">
        <f t="shared" si="81"/>
        <v>1.7240162592446272E-2</v>
      </c>
      <c r="P660" s="4">
        <f t="shared" si="82"/>
        <v>0.51</v>
      </c>
      <c r="Q660" s="4">
        <f t="shared" si="83"/>
        <v>0.40499999999999997</v>
      </c>
      <c r="R660" s="66">
        <f t="shared" si="84"/>
        <v>2.8157285609439458E-3</v>
      </c>
      <c r="S660" s="66">
        <f t="shared" si="85"/>
        <v>1.7240162592446272E-2</v>
      </c>
      <c r="T660" s="50">
        <f t="shared" si="86"/>
        <v>1</v>
      </c>
      <c r="U660" s="50">
        <f t="shared" si="87"/>
        <v>1</v>
      </c>
    </row>
    <row r="661" spans="1:21" x14ac:dyDescent="0.2">
      <c r="A661" s="38">
        <v>36510</v>
      </c>
      <c r="B661" s="4">
        <v>0.54</v>
      </c>
      <c r="C661" s="4">
        <v>0.26</v>
      </c>
      <c r="D661" s="4">
        <v>0.2</v>
      </c>
      <c r="E661" s="50">
        <v>1</v>
      </c>
      <c r="F661" s="50">
        <v>0.51</v>
      </c>
      <c r="G661" s="50">
        <v>0.34</v>
      </c>
      <c r="H661" s="50">
        <v>0.38490743662900001</v>
      </c>
      <c r="I661" s="50">
        <v>0.48829287047999997</v>
      </c>
      <c r="J661" s="50">
        <v>0.28152200277799999</v>
      </c>
      <c r="K661" s="50">
        <v>1431.13</v>
      </c>
      <c r="L661" s="50">
        <v>1396.2</v>
      </c>
      <c r="M661" s="50">
        <v>1421.03</v>
      </c>
      <c r="N661" s="66">
        <f t="shared" si="80"/>
        <v>2.6255603329978922E-2</v>
      </c>
      <c r="O661" s="66">
        <f t="shared" si="81"/>
        <v>3.1047901873992891E-2</v>
      </c>
      <c r="P661" s="4">
        <f t="shared" si="82"/>
        <v>0.34</v>
      </c>
      <c r="Q661" s="4">
        <f t="shared" si="83"/>
        <v>0.43</v>
      </c>
      <c r="R661" s="66">
        <f t="shared" si="84"/>
        <v>2.6255603329978922E-2</v>
      </c>
      <c r="S661" s="66">
        <f t="shared" si="85"/>
        <v>3.1047901873992891E-2</v>
      </c>
      <c r="T661" s="50">
        <f t="shared" si="86"/>
        <v>1</v>
      </c>
      <c r="U661" s="50">
        <f t="shared" si="87"/>
        <v>1</v>
      </c>
    </row>
    <row r="662" spans="1:21" x14ac:dyDescent="0.2">
      <c r="A662" s="38">
        <v>36517</v>
      </c>
      <c r="B662" s="4">
        <v>0.52</v>
      </c>
      <c r="C662" s="4">
        <v>0.31</v>
      </c>
      <c r="D662" s="4">
        <v>0.17</v>
      </c>
      <c r="E662" s="50">
        <v>1</v>
      </c>
      <c r="F662" s="50">
        <v>0.52749999999999997</v>
      </c>
      <c r="G662" s="50">
        <v>0.35</v>
      </c>
      <c r="H662" s="50">
        <v>0.38490743662900001</v>
      </c>
      <c r="I662" s="50">
        <v>0.48829287047999997</v>
      </c>
      <c r="J662" s="50">
        <v>0.28152200277799999</v>
      </c>
      <c r="K662" s="50">
        <v>1461.44</v>
      </c>
      <c r="L662" s="50">
        <v>1410.97</v>
      </c>
      <c r="M662" s="50">
        <v>1458.34</v>
      </c>
      <c r="N662" s="66">
        <f t="shared" si="80"/>
        <v>7.4811086577890491E-3</v>
      </c>
      <c r="O662" s="66">
        <f t="shared" si="81"/>
        <v>-1.1643375344569867E-2</v>
      </c>
      <c r="P662" s="4">
        <f t="shared" si="82"/>
        <v>0.35</v>
      </c>
      <c r="Q662" s="4">
        <f t="shared" si="83"/>
        <v>0.42249999999999999</v>
      </c>
      <c r="R662" s="66">
        <f t="shared" si="84"/>
        <v>7.4811086577890491E-3</v>
      </c>
      <c r="S662" s="66">
        <f t="shared" si="85"/>
        <v>-1.1643375344569867E-2</v>
      </c>
      <c r="T662" s="50">
        <f t="shared" si="86"/>
        <v>1</v>
      </c>
      <c r="U662" s="50" t="str">
        <f t="shared" si="87"/>
        <v/>
      </c>
    </row>
    <row r="663" spans="1:21" x14ac:dyDescent="0.2">
      <c r="A663" s="38">
        <v>36524</v>
      </c>
      <c r="B663" s="4">
        <v>0.6</v>
      </c>
      <c r="C663" s="4">
        <v>0.25</v>
      </c>
      <c r="D663" s="4">
        <v>0.15</v>
      </c>
      <c r="E663" s="50">
        <v>1</v>
      </c>
      <c r="F663" s="50">
        <v>0.54874999999999996</v>
      </c>
      <c r="G663" s="50">
        <v>0.45</v>
      </c>
      <c r="H663" s="50">
        <v>0.38490743662900001</v>
      </c>
      <c r="I663" s="50">
        <v>0.48829287047999997</v>
      </c>
      <c r="J663" s="50">
        <v>0.28152200277799999</v>
      </c>
      <c r="K663" s="50">
        <v>1473.1</v>
      </c>
      <c r="L663" s="50">
        <v>1450.83</v>
      </c>
      <c r="M663" s="50">
        <v>1469.25</v>
      </c>
      <c r="N663" s="66">
        <f t="shared" si="80"/>
        <v>-1.8907605921388446E-2</v>
      </c>
      <c r="O663" s="66">
        <f t="shared" si="81"/>
        <v>-7.424876637740338E-2</v>
      </c>
      <c r="P663" s="4">
        <f t="shared" si="82"/>
        <v>0.44999999999999996</v>
      </c>
      <c r="Q663" s="4">
        <f t="shared" si="83"/>
        <v>0.41250000000000003</v>
      </c>
      <c r="R663" s="66">
        <f t="shared" si="84"/>
        <v>-1.8907605921388446E-2</v>
      </c>
      <c r="S663" s="66">
        <f t="shared" si="85"/>
        <v>-7.424876637740338E-2</v>
      </c>
      <c r="T663" s="50" t="str">
        <f t="shared" si="86"/>
        <v/>
      </c>
      <c r="U663" s="50" t="str">
        <f t="shared" si="87"/>
        <v/>
      </c>
    </row>
    <row r="664" spans="1:21" x14ac:dyDescent="0.2">
      <c r="A664" s="38">
        <v>36531</v>
      </c>
      <c r="B664" s="4">
        <v>0.75</v>
      </c>
      <c r="C664" s="4">
        <v>0.1166</v>
      </c>
      <c r="D664" s="4">
        <v>0.1333</v>
      </c>
      <c r="E664" s="50">
        <v>0.99990000000000001</v>
      </c>
      <c r="F664" s="50">
        <v>0.58250000000000002</v>
      </c>
      <c r="G664" s="50">
        <v>0.61670000000000003</v>
      </c>
      <c r="H664" s="50">
        <v>0.38490743662900001</v>
      </c>
      <c r="I664" s="50">
        <v>0.48829287047999997</v>
      </c>
      <c r="J664" s="50">
        <v>0.28152200277799999</v>
      </c>
      <c r="K664" s="50">
        <v>1478</v>
      </c>
      <c r="L664" s="50">
        <v>1377.68</v>
      </c>
      <c r="M664" s="50">
        <v>1441.47</v>
      </c>
      <c r="N664" s="66">
        <f t="shared" si="80"/>
        <v>1.6427674526698483E-2</v>
      </c>
      <c r="O664" s="66">
        <f t="shared" si="81"/>
        <v>-1.1862889966492634E-2</v>
      </c>
      <c r="P664" s="4">
        <f t="shared" si="82"/>
        <v>0.61670000000000003</v>
      </c>
      <c r="Q664" s="4">
        <f t="shared" si="83"/>
        <v>0.43917499999999998</v>
      </c>
      <c r="R664" s="66">
        <f t="shared" si="84"/>
        <v>1.6427674526698483E-2</v>
      </c>
      <c r="S664" s="66">
        <f t="shared" si="85"/>
        <v>-1.1862889966492634E-2</v>
      </c>
      <c r="T664" s="50">
        <f t="shared" si="86"/>
        <v>1</v>
      </c>
      <c r="U664" s="50" t="str">
        <f t="shared" si="87"/>
        <v/>
      </c>
    </row>
    <row r="665" spans="1:21" x14ac:dyDescent="0.2">
      <c r="A665" s="38">
        <v>36538</v>
      </c>
      <c r="B665" s="4">
        <v>0.59260000000000002</v>
      </c>
      <c r="C665" s="4">
        <v>0.22220000000000001</v>
      </c>
      <c r="D665" s="4">
        <v>0.1852</v>
      </c>
      <c r="E665" s="50">
        <v>1</v>
      </c>
      <c r="F665" s="50">
        <v>0.59907500000000002</v>
      </c>
      <c r="G665" s="50">
        <v>0.40739999999999998</v>
      </c>
      <c r="H665" s="50">
        <v>0.38490743662900001</v>
      </c>
      <c r="I665" s="50">
        <v>0.48829287047999997</v>
      </c>
      <c r="J665" s="50">
        <v>0.28152200277799999</v>
      </c>
      <c r="K665" s="50">
        <v>1473</v>
      </c>
      <c r="L665" s="50">
        <v>1427.08</v>
      </c>
      <c r="M665" s="50">
        <v>1465.15</v>
      </c>
      <c r="N665" s="66">
        <f t="shared" si="80"/>
        <v>-1.6237245333242459E-2</v>
      </c>
      <c r="O665" s="66">
        <f t="shared" si="81"/>
        <v>-5.3257345664266591E-2</v>
      </c>
      <c r="P665" s="4">
        <f t="shared" si="82"/>
        <v>0.40739999999999998</v>
      </c>
      <c r="Q665" s="4">
        <f t="shared" si="83"/>
        <v>0.45602500000000001</v>
      </c>
      <c r="R665" s="66">
        <f t="shared" si="84"/>
        <v>-1.6237245333242459E-2</v>
      </c>
      <c r="S665" s="66">
        <f t="shared" si="85"/>
        <v>-5.3257345664266591E-2</v>
      </c>
      <c r="T665" s="50" t="str">
        <f t="shared" si="86"/>
        <v/>
      </c>
      <c r="U665" s="50" t="str">
        <f t="shared" si="87"/>
        <v/>
      </c>
    </row>
    <row r="666" spans="1:21" x14ac:dyDescent="0.2">
      <c r="A666" s="38">
        <v>36545</v>
      </c>
      <c r="B666" s="4">
        <v>0.57140000000000002</v>
      </c>
      <c r="C666" s="4">
        <v>0.25</v>
      </c>
      <c r="D666" s="4">
        <v>0.17860000000000001</v>
      </c>
      <c r="E666" s="50">
        <v>1</v>
      </c>
      <c r="F666" s="50">
        <v>0.60175000000000001</v>
      </c>
      <c r="G666" s="50">
        <v>0.39279999999999998</v>
      </c>
      <c r="H666" s="50">
        <v>0.38490743662900001</v>
      </c>
      <c r="I666" s="50">
        <v>0.48829287047999997</v>
      </c>
      <c r="J666" s="50">
        <v>0.28152200277799999</v>
      </c>
      <c r="K666" s="50">
        <v>1465.71</v>
      </c>
      <c r="L666" s="50">
        <v>1438.54</v>
      </c>
      <c r="M666" s="50">
        <v>1441.36</v>
      </c>
      <c r="N666" s="66">
        <f t="shared" si="80"/>
        <v>-5.6335682966087465E-2</v>
      </c>
      <c r="O666" s="66">
        <f t="shared" si="81"/>
        <v>-6.6097296997280341E-2</v>
      </c>
      <c r="P666" s="4">
        <f t="shared" si="82"/>
        <v>0.39280000000000004</v>
      </c>
      <c r="Q666" s="4">
        <f t="shared" si="83"/>
        <v>0.466725</v>
      </c>
      <c r="R666" s="66">
        <f t="shared" si="84"/>
        <v>-5.6335682966087465E-2</v>
      </c>
      <c r="S666" s="66">
        <f t="shared" si="85"/>
        <v>-6.6097296997280341E-2</v>
      </c>
      <c r="T666" s="50" t="str">
        <f t="shared" si="86"/>
        <v/>
      </c>
      <c r="U666" s="50" t="str">
        <f t="shared" si="87"/>
        <v/>
      </c>
    </row>
    <row r="667" spans="1:21" x14ac:dyDescent="0.2">
      <c r="A667" s="38">
        <v>36552</v>
      </c>
      <c r="B667" s="4">
        <v>0.53700000000000003</v>
      </c>
      <c r="C667" s="4">
        <v>0.25929999999999997</v>
      </c>
      <c r="D667" s="4">
        <v>0.20369999999999999</v>
      </c>
      <c r="E667" s="50">
        <v>1</v>
      </c>
      <c r="F667" s="50">
        <v>0.59137499999999998</v>
      </c>
      <c r="G667" s="50">
        <v>0.33329999999999999</v>
      </c>
      <c r="H667" s="50">
        <v>0.38490743662900001</v>
      </c>
      <c r="I667" s="50">
        <v>0.48829287047999997</v>
      </c>
      <c r="J667" s="50">
        <v>0.28152200277799999</v>
      </c>
      <c r="K667" s="50">
        <v>1454.09</v>
      </c>
      <c r="L667" s="50">
        <v>1356.2</v>
      </c>
      <c r="M667" s="50">
        <v>1360.16</v>
      </c>
      <c r="N667" s="66">
        <f t="shared" si="80"/>
        <v>4.7207681449241125E-2</v>
      </c>
      <c r="O667" s="66">
        <f t="shared" si="81"/>
        <v>-1.9703564286554655E-2</v>
      </c>
      <c r="P667" s="4">
        <f t="shared" si="82"/>
        <v>0.33330000000000004</v>
      </c>
      <c r="Q667" s="4">
        <f t="shared" si="83"/>
        <v>0.43754999999999999</v>
      </c>
      <c r="R667" s="66">
        <f t="shared" si="84"/>
        <v>4.7207681449241125E-2</v>
      </c>
      <c r="S667" s="66">
        <f t="shared" si="85"/>
        <v>-1.9703564286554655E-2</v>
      </c>
      <c r="T667" s="50">
        <f t="shared" si="86"/>
        <v>1</v>
      </c>
      <c r="U667" s="50" t="str">
        <f t="shared" si="87"/>
        <v/>
      </c>
    </row>
    <row r="668" spans="1:21" x14ac:dyDescent="0.2">
      <c r="A668" s="38">
        <v>36559</v>
      </c>
      <c r="B668" s="4">
        <v>0.5111</v>
      </c>
      <c r="C668" s="4">
        <v>0.24440000000000001</v>
      </c>
      <c r="D668" s="4">
        <v>0.24440000000000001</v>
      </c>
      <c r="E668" s="50">
        <v>0.99990000000000001</v>
      </c>
      <c r="F668" s="50">
        <v>0.57776249999999996</v>
      </c>
      <c r="G668" s="50">
        <v>0.26669999999999999</v>
      </c>
      <c r="H668" s="50">
        <v>0.38490743662900001</v>
      </c>
      <c r="I668" s="50">
        <v>0.48829287047999997</v>
      </c>
      <c r="J668" s="50">
        <v>0.28152200277799999</v>
      </c>
      <c r="K668" s="50">
        <v>1435.91</v>
      </c>
      <c r="L668" s="50">
        <v>1350.14</v>
      </c>
      <c r="M668" s="50">
        <v>1424.37</v>
      </c>
      <c r="N668" s="66">
        <f t="shared" si="80"/>
        <v>-2.6151912775472668E-2</v>
      </c>
      <c r="O668" s="66">
        <f t="shared" si="81"/>
        <v>-1.0671384541937712E-2</v>
      </c>
      <c r="P668" s="4">
        <f t="shared" si="82"/>
        <v>0.26669999999999999</v>
      </c>
      <c r="Q668" s="4">
        <f t="shared" si="83"/>
        <v>0.35005000000000003</v>
      </c>
      <c r="R668" s="66">
        <f t="shared" si="84"/>
        <v>-2.6151912775472668E-2</v>
      </c>
      <c r="S668" s="66">
        <f t="shared" si="85"/>
        <v>-1.0671384541937712E-2</v>
      </c>
      <c r="T668" s="50" t="str">
        <f t="shared" si="86"/>
        <v/>
      </c>
      <c r="U668" s="50" t="str">
        <f t="shared" si="87"/>
        <v/>
      </c>
    </row>
    <row r="669" spans="1:21" x14ac:dyDescent="0.2">
      <c r="A669" s="38">
        <v>36566</v>
      </c>
      <c r="B669" s="4">
        <v>0.41860000000000003</v>
      </c>
      <c r="C669" s="4">
        <v>0.30230000000000001</v>
      </c>
      <c r="D669" s="4">
        <v>0.27910000000000001</v>
      </c>
      <c r="E669" s="50">
        <v>1</v>
      </c>
      <c r="F669" s="50">
        <v>0.56258750000000002</v>
      </c>
      <c r="G669" s="50">
        <v>0.13950000000000001</v>
      </c>
      <c r="H669" s="50">
        <v>0.38490743662900001</v>
      </c>
      <c r="I669" s="50">
        <v>0.48829287047999997</v>
      </c>
      <c r="J669" s="50">
        <v>0.28152200277799999</v>
      </c>
      <c r="K669" s="50">
        <v>1444.55</v>
      </c>
      <c r="L669" s="50">
        <v>1378.89</v>
      </c>
      <c r="M669" s="50">
        <v>1387.12</v>
      </c>
      <c r="N669" s="66">
        <f t="shared" si="80"/>
        <v>-2.9579272161024264E-2</v>
      </c>
      <c r="O669" s="66">
        <f t="shared" si="81"/>
        <v>5.7312993828940867E-3</v>
      </c>
      <c r="P669" s="4">
        <f t="shared" si="82"/>
        <v>0.13950000000000001</v>
      </c>
      <c r="Q669" s="4">
        <f t="shared" si="83"/>
        <v>0.28307500000000002</v>
      </c>
      <c r="R669" s="66">
        <f t="shared" si="84"/>
        <v>-2.9579272161024264E-2</v>
      </c>
      <c r="S669" s="66">
        <f t="shared" si="85"/>
        <v>5.7312993828940867E-3</v>
      </c>
      <c r="T669" s="50" t="str">
        <f t="shared" si="86"/>
        <v/>
      </c>
      <c r="U669" s="50">
        <f t="shared" si="87"/>
        <v>1</v>
      </c>
    </row>
    <row r="670" spans="1:21" x14ac:dyDescent="0.2">
      <c r="A670" s="38">
        <v>36573</v>
      </c>
      <c r="B670" s="4">
        <v>0.2727</v>
      </c>
      <c r="C670" s="4">
        <v>0.48480000000000001</v>
      </c>
      <c r="D670" s="4">
        <v>0.2424</v>
      </c>
      <c r="E670" s="50">
        <v>0.99990000000000001</v>
      </c>
      <c r="F670" s="50">
        <v>0.53167500000000001</v>
      </c>
      <c r="G670" s="50">
        <v>3.0300000000000001E-2</v>
      </c>
      <c r="H670" s="50">
        <v>0.38490743662900001</v>
      </c>
      <c r="I670" s="50">
        <v>0.48829287047999997</v>
      </c>
      <c r="J670" s="50">
        <v>0.28152200277799999</v>
      </c>
      <c r="K670" s="50">
        <v>1407.72</v>
      </c>
      <c r="L670" s="50">
        <v>1345.32</v>
      </c>
      <c r="M670" s="50">
        <v>1346.09</v>
      </c>
      <c r="N670" s="66">
        <f t="shared" si="80"/>
        <v>-9.4570199615181885E-3</v>
      </c>
      <c r="O670" s="66">
        <f t="shared" si="81"/>
        <v>8.7943599610724482E-2</v>
      </c>
      <c r="P670" s="4">
        <f t="shared" si="82"/>
        <v>3.0299999999999994E-2</v>
      </c>
      <c r="Q670" s="4">
        <f t="shared" si="83"/>
        <v>0.19245000000000001</v>
      </c>
      <c r="R670" s="66">
        <f t="shared" si="84"/>
        <v>-9.4570199615181885E-3</v>
      </c>
      <c r="S670" s="66">
        <f t="shared" si="85"/>
        <v>8.7943599610724482E-2</v>
      </c>
      <c r="T670" s="50" t="str">
        <f t="shared" si="86"/>
        <v/>
      </c>
      <c r="U670" s="50">
        <f t="shared" si="87"/>
        <v>1</v>
      </c>
    </row>
    <row r="671" spans="1:21" x14ac:dyDescent="0.2">
      <c r="A671" s="38">
        <v>36580</v>
      </c>
      <c r="B671" s="4">
        <v>0.4138</v>
      </c>
      <c r="C671" s="4">
        <v>0.27589999999999998</v>
      </c>
      <c r="D671" s="4">
        <v>0.31030000000000002</v>
      </c>
      <c r="E671" s="50">
        <v>1</v>
      </c>
      <c r="F671" s="50">
        <v>0.50839999999999996</v>
      </c>
      <c r="G671" s="50">
        <v>0.10349999999999999</v>
      </c>
      <c r="H671" s="50">
        <v>0.38490743662900001</v>
      </c>
      <c r="I671" s="50">
        <v>0.48829287047999997</v>
      </c>
      <c r="J671" s="50">
        <v>0.28152200277799999</v>
      </c>
      <c r="K671" s="50">
        <v>1370.11</v>
      </c>
      <c r="L671" s="50">
        <v>1329.15</v>
      </c>
      <c r="M671" s="50">
        <v>1333.36</v>
      </c>
      <c r="N671" s="66">
        <f t="shared" si="80"/>
        <v>5.6856362872742677E-2</v>
      </c>
      <c r="O671" s="66">
        <f t="shared" si="81"/>
        <v>0.14557208855822895</v>
      </c>
      <c r="P671" s="4">
        <f t="shared" si="82"/>
        <v>0.10349999999999998</v>
      </c>
      <c r="Q671" s="4">
        <f t="shared" si="83"/>
        <v>0.13500000000000001</v>
      </c>
      <c r="R671" s="66">
        <f t="shared" si="84"/>
        <v>5.6856362872742677E-2</v>
      </c>
      <c r="S671" s="66">
        <f t="shared" si="85"/>
        <v>0.14557208855822895</v>
      </c>
      <c r="T671" s="50">
        <f t="shared" si="86"/>
        <v>1</v>
      </c>
      <c r="U671" s="50">
        <f t="shared" si="87"/>
        <v>1</v>
      </c>
    </row>
    <row r="672" spans="1:21" x14ac:dyDescent="0.2">
      <c r="A672" s="38">
        <v>36587</v>
      </c>
      <c r="B672" s="4">
        <v>0.36670000000000003</v>
      </c>
      <c r="C672" s="4">
        <v>0.4</v>
      </c>
      <c r="D672" s="4">
        <v>0.23330000000000001</v>
      </c>
      <c r="E672" s="50">
        <v>1</v>
      </c>
      <c r="F672" s="50">
        <v>0.46048749999999999</v>
      </c>
      <c r="G672" s="50">
        <v>0.13339999999999999</v>
      </c>
      <c r="H672" s="50">
        <v>0.38490743662900001</v>
      </c>
      <c r="I672" s="50">
        <v>0.48829287047999997</v>
      </c>
      <c r="J672" s="50">
        <v>0.28152200277799999</v>
      </c>
      <c r="K672" s="50">
        <v>1410.88</v>
      </c>
      <c r="L672" s="50">
        <v>1325.07</v>
      </c>
      <c r="M672" s="50">
        <v>1409.17</v>
      </c>
      <c r="N672" s="66">
        <f t="shared" si="80"/>
        <v>-1.0005889991981192E-2</v>
      </c>
      <c r="O672" s="66">
        <f t="shared" si="81"/>
        <v>6.3448696750569383E-2</v>
      </c>
      <c r="P672" s="4">
        <f t="shared" si="82"/>
        <v>0.13340000000000002</v>
      </c>
      <c r="Q672" s="4">
        <f t="shared" si="83"/>
        <v>0.101675</v>
      </c>
      <c r="R672" s="66">
        <f t="shared" si="84"/>
        <v>-1.0005889991981192E-2</v>
      </c>
      <c r="S672" s="66">
        <f t="shared" si="85"/>
        <v>6.3448696750569383E-2</v>
      </c>
      <c r="T672" s="50" t="str">
        <f t="shared" si="86"/>
        <v/>
      </c>
      <c r="U672" s="50">
        <f t="shared" si="87"/>
        <v>1</v>
      </c>
    </row>
    <row r="673" spans="1:21" x14ac:dyDescent="0.2">
      <c r="A673" s="38">
        <v>36593</v>
      </c>
      <c r="B673" s="4">
        <v>0.58330000000000004</v>
      </c>
      <c r="C673" s="4">
        <v>0.25</v>
      </c>
      <c r="D673" s="4">
        <v>0.16669999999999999</v>
      </c>
      <c r="E673" s="50">
        <v>1</v>
      </c>
      <c r="F673" s="50">
        <v>0.45932499999999998</v>
      </c>
      <c r="G673" s="50">
        <v>0.41660000000000003</v>
      </c>
      <c r="H673" s="50">
        <v>0.38490743662900001</v>
      </c>
      <c r="I673" s="50">
        <v>0.48829287047999997</v>
      </c>
      <c r="J673" s="50">
        <v>0.28152200277799999</v>
      </c>
      <c r="K673" s="50">
        <v>1413.46</v>
      </c>
      <c r="L673" s="50">
        <v>1346.62</v>
      </c>
      <c r="M673" s="50">
        <v>1395.07</v>
      </c>
      <c r="N673" s="66">
        <f t="shared" si="80"/>
        <v>4.9746607697104872E-2</v>
      </c>
      <c r="O673" s="66">
        <f t="shared" si="81"/>
        <v>8.6934705785372768E-2</v>
      </c>
      <c r="P673" s="4">
        <f t="shared" si="82"/>
        <v>0.41660000000000008</v>
      </c>
      <c r="Q673" s="4">
        <f t="shared" si="83"/>
        <v>0.17095000000000002</v>
      </c>
      <c r="R673" s="66">
        <f t="shared" si="84"/>
        <v>4.9746607697104872E-2</v>
      </c>
      <c r="S673" s="66">
        <f t="shared" si="85"/>
        <v>8.6934705785372768E-2</v>
      </c>
      <c r="T673" s="50">
        <f t="shared" si="86"/>
        <v>1</v>
      </c>
      <c r="U673" s="50">
        <f t="shared" si="87"/>
        <v>1</v>
      </c>
    </row>
    <row r="674" spans="1:21" x14ac:dyDescent="0.2">
      <c r="A674" s="38">
        <v>36601</v>
      </c>
      <c r="B674" s="4">
        <v>0.5</v>
      </c>
      <c r="C674" s="4">
        <v>0.23330000000000001</v>
      </c>
      <c r="D674" s="4">
        <v>0.26669999999999999</v>
      </c>
      <c r="E674" s="50">
        <v>1</v>
      </c>
      <c r="F674" s="50">
        <v>0.45040000000000002</v>
      </c>
      <c r="G674" s="50">
        <v>0.23330000000000001</v>
      </c>
      <c r="H674" s="50">
        <v>0.38490743662900001</v>
      </c>
      <c r="I674" s="50">
        <v>0.48829287047999997</v>
      </c>
      <c r="J674" s="50">
        <v>0.28152200277799999</v>
      </c>
      <c r="K674" s="50">
        <v>1477.33</v>
      </c>
      <c r="L674" s="50">
        <v>1356.99</v>
      </c>
      <c r="M674" s="50">
        <v>1464.47</v>
      </c>
      <c r="N674" s="66">
        <f t="shared" si="80"/>
        <v>4.3012147739455234E-2</v>
      </c>
      <c r="O674" s="66">
        <f t="shared" si="81"/>
        <v>-7.3685360574132677E-2</v>
      </c>
      <c r="P674" s="4">
        <f t="shared" si="82"/>
        <v>0.23330000000000001</v>
      </c>
      <c r="Q674" s="4">
        <f t="shared" si="83"/>
        <v>0.22170000000000001</v>
      </c>
      <c r="R674" s="66">
        <f t="shared" si="84"/>
        <v>4.3012147739455234E-2</v>
      </c>
      <c r="S674" s="66">
        <f t="shared" si="85"/>
        <v>-7.3685360574132677E-2</v>
      </c>
      <c r="T674" s="50">
        <f t="shared" si="86"/>
        <v>1</v>
      </c>
      <c r="U674" s="50" t="str">
        <f t="shared" si="87"/>
        <v/>
      </c>
    </row>
    <row r="675" spans="1:21" x14ac:dyDescent="0.2">
      <c r="A675" s="38">
        <v>36608</v>
      </c>
      <c r="B675" s="4">
        <v>0.65710000000000002</v>
      </c>
      <c r="C675" s="4">
        <v>0.1429</v>
      </c>
      <c r="D675" s="4">
        <v>0.2</v>
      </c>
      <c r="E675" s="50">
        <v>1</v>
      </c>
      <c r="F675" s="50">
        <v>0.46541250000000001</v>
      </c>
      <c r="G675" s="50">
        <v>0.45710000000000001</v>
      </c>
      <c r="H675" s="50">
        <v>0.38490743662900001</v>
      </c>
      <c r="I675" s="50">
        <v>0.48829287047999997</v>
      </c>
      <c r="J675" s="50">
        <v>0.28152200277799999</v>
      </c>
      <c r="K675" s="50">
        <v>1552.87</v>
      </c>
      <c r="L675" s="50">
        <v>1446.06</v>
      </c>
      <c r="M675" s="50">
        <v>1527.46</v>
      </c>
      <c r="N675" s="66">
        <f t="shared" si="80"/>
        <v>-1.8907205426001408E-2</v>
      </c>
      <c r="O675" s="66">
        <f t="shared" si="81"/>
        <v>-6.083301690387969E-2</v>
      </c>
      <c r="P675" s="4">
        <f t="shared" si="82"/>
        <v>0.45710000000000001</v>
      </c>
      <c r="Q675" s="4">
        <f t="shared" si="83"/>
        <v>0.31010000000000004</v>
      </c>
      <c r="R675" s="66">
        <f t="shared" si="84"/>
        <v>-1.8907205426001408E-2</v>
      </c>
      <c r="S675" s="66">
        <f t="shared" si="85"/>
        <v>-6.083301690387969E-2</v>
      </c>
      <c r="T675" s="50" t="str">
        <f t="shared" si="86"/>
        <v/>
      </c>
      <c r="U675" s="50" t="str">
        <f t="shared" si="87"/>
        <v/>
      </c>
    </row>
    <row r="676" spans="1:21" x14ac:dyDescent="0.2">
      <c r="A676" s="38">
        <v>36615</v>
      </c>
      <c r="B676" s="4">
        <v>0.38890000000000002</v>
      </c>
      <c r="C676" s="4">
        <v>0.1111</v>
      </c>
      <c r="D676" s="4">
        <v>0.5</v>
      </c>
      <c r="E676" s="50">
        <v>1</v>
      </c>
      <c r="F676" s="50">
        <v>0.45013750000000002</v>
      </c>
      <c r="G676" s="50">
        <v>-0.1111</v>
      </c>
      <c r="H676" s="50">
        <v>0.38490743662900001</v>
      </c>
      <c r="I676" s="50">
        <v>0.48829287047999997</v>
      </c>
      <c r="J676" s="50">
        <v>0.28152200277799999</v>
      </c>
      <c r="K676" s="50">
        <v>1534.63</v>
      </c>
      <c r="L676" s="50">
        <v>1474.63</v>
      </c>
      <c r="M676" s="50">
        <v>1498.58</v>
      </c>
      <c r="N676" s="66">
        <f t="shared" si="80"/>
        <v>1.1857892137890525E-2</v>
      </c>
      <c r="O676" s="66">
        <f t="shared" si="81"/>
        <v>-3.0795820042973925E-2</v>
      </c>
      <c r="P676" s="4">
        <f t="shared" si="82"/>
        <v>-0.11109999999999998</v>
      </c>
      <c r="Q676" s="4">
        <f t="shared" si="83"/>
        <v>0.24897500000000006</v>
      </c>
      <c r="R676" s="66">
        <f t="shared" si="84"/>
        <v>1.1857892137890525E-2</v>
      </c>
      <c r="S676" s="66">
        <f t="shared" si="85"/>
        <v>-3.0795820042973925E-2</v>
      </c>
      <c r="T676" s="50">
        <f t="shared" si="86"/>
        <v>1</v>
      </c>
      <c r="U676" s="50" t="str">
        <f t="shared" si="87"/>
        <v/>
      </c>
    </row>
    <row r="677" spans="1:21" x14ac:dyDescent="0.2">
      <c r="A677" s="38">
        <v>36622</v>
      </c>
      <c r="B677" s="4">
        <v>0.45829999999999999</v>
      </c>
      <c r="C677" s="4">
        <v>0.33329999999999999</v>
      </c>
      <c r="D677" s="4">
        <v>0.20830000000000001</v>
      </c>
      <c r="E677" s="50">
        <v>0.99990000000000001</v>
      </c>
      <c r="F677" s="50">
        <v>0.4551</v>
      </c>
      <c r="G677" s="50">
        <v>0.25</v>
      </c>
      <c r="H677" s="50">
        <v>0.38490743662900001</v>
      </c>
      <c r="I677" s="50">
        <v>0.48829287047999997</v>
      </c>
      <c r="J677" s="50">
        <v>0.28152200277799999</v>
      </c>
      <c r="K677" s="50">
        <v>1526.45</v>
      </c>
      <c r="L677" s="50">
        <v>1416.41</v>
      </c>
      <c r="M677" s="50">
        <v>1516.35</v>
      </c>
      <c r="N677" s="66">
        <f t="shared" si="80"/>
        <v>-0.10537804596564115</v>
      </c>
      <c r="O677" s="66">
        <f t="shared" si="81"/>
        <v>-5.5211527681603721E-2</v>
      </c>
      <c r="P677" s="4">
        <f t="shared" si="82"/>
        <v>0.24999999999999997</v>
      </c>
      <c r="Q677" s="4">
        <f t="shared" si="83"/>
        <v>0.20732500000000001</v>
      </c>
      <c r="R677" s="66">
        <f t="shared" si="84"/>
        <v>-0.10537804596564115</v>
      </c>
      <c r="S677" s="66">
        <f t="shared" si="85"/>
        <v>-5.5211527681603721E-2</v>
      </c>
      <c r="T677" s="50" t="str">
        <f t="shared" si="86"/>
        <v/>
      </c>
      <c r="U677" s="50" t="str">
        <f t="shared" si="87"/>
        <v/>
      </c>
    </row>
    <row r="678" spans="1:21" x14ac:dyDescent="0.2">
      <c r="A678" s="38">
        <v>36629</v>
      </c>
      <c r="B678" s="4">
        <v>0.51849999999999996</v>
      </c>
      <c r="C678" s="4">
        <v>0.1852</v>
      </c>
      <c r="D678" s="4">
        <v>0.29630000000000001</v>
      </c>
      <c r="E678" s="50">
        <v>1</v>
      </c>
      <c r="F678" s="50">
        <v>0.48582500000000001</v>
      </c>
      <c r="G678" s="50">
        <v>0.22220000000000001</v>
      </c>
      <c r="H678" s="50">
        <v>0.38490743662900001</v>
      </c>
      <c r="I678" s="50">
        <v>0.48829287047999997</v>
      </c>
      <c r="J678" s="50">
        <v>0.28152200277799999</v>
      </c>
      <c r="K678" s="50">
        <v>1527.19</v>
      </c>
      <c r="L678" s="50">
        <v>1339.4</v>
      </c>
      <c r="M678" s="50">
        <v>1356.56</v>
      </c>
      <c r="N678" s="66">
        <f t="shared" si="80"/>
        <v>5.7483635076959382E-2</v>
      </c>
      <c r="O678" s="66">
        <f t="shared" si="81"/>
        <v>4.7473019991743894E-2</v>
      </c>
      <c r="P678" s="4">
        <f t="shared" si="82"/>
        <v>0.22219999999999995</v>
      </c>
      <c r="Q678" s="4">
        <f t="shared" si="83"/>
        <v>0.20454999999999998</v>
      </c>
      <c r="R678" s="66">
        <f t="shared" si="84"/>
        <v>5.7483635076959382E-2</v>
      </c>
      <c r="S678" s="66">
        <f t="shared" si="85"/>
        <v>4.7473019991743894E-2</v>
      </c>
      <c r="T678" s="50">
        <f t="shared" si="86"/>
        <v>1</v>
      </c>
      <c r="U678" s="50">
        <f t="shared" si="87"/>
        <v>1</v>
      </c>
    </row>
    <row r="679" spans="1:21" x14ac:dyDescent="0.2">
      <c r="A679" s="38">
        <v>36636</v>
      </c>
      <c r="B679" s="4">
        <v>0.63729999999999998</v>
      </c>
      <c r="C679" s="4">
        <v>0.13730000000000001</v>
      </c>
      <c r="D679" s="4">
        <v>0.22550000000000001</v>
      </c>
      <c r="E679" s="50">
        <v>1.0001</v>
      </c>
      <c r="F679" s="50">
        <v>0.51376250000000001</v>
      </c>
      <c r="G679" s="50">
        <v>0.4118</v>
      </c>
      <c r="H679" s="50">
        <v>0.38490743662900001</v>
      </c>
      <c r="I679" s="50">
        <v>0.48829287047999997</v>
      </c>
      <c r="J679" s="50">
        <v>0.28152200277799999</v>
      </c>
      <c r="K679" s="50">
        <v>1447.69</v>
      </c>
      <c r="L679" s="50">
        <v>1346.5</v>
      </c>
      <c r="M679" s="50">
        <v>1434.54</v>
      </c>
      <c r="N679" s="66">
        <f t="shared" si="80"/>
        <v>1.2470896594030213E-2</v>
      </c>
      <c r="O679" s="66">
        <f t="shared" si="81"/>
        <v>-1.923264600499109E-2</v>
      </c>
      <c r="P679" s="4">
        <f t="shared" si="82"/>
        <v>0.41179999999999994</v>
      </c>
      <c r="Q679" s="4">
        <f t="shared" si="83"/>
        <v>0.19322499999999998</v>
      </c>
      <c r="R679" s="66">
        <f t="shared" si="84"/>
        <v>1.2470896594030213E-2</v>
      </c>
      <c r="S679" s="66">
        <f t="shared" si="85"/>
        <v>-1.923264600499109E-2</v>
      </c>
      <c r="T679" s="50">
        <f t="shared" si="86"/>
        <v>1</v>
      </c>
      <c r="U679" s="50" t="str">
        <f t="shared" si="87"/>
        <v/>
      </c>
    </row>
    <row r="680" spans="1:21" x14ac:dyDescent="0.2">
      <c r="A680" s="38">
        <v>36643</v>
      </c>
      <c r="B680" s="4">
        <v>0.6129</v>
      </c>
      <c r="C680" s="4">
        <v>0.2419</v>
      </c>
      <c r="D680" s="4">
        <v>0.1452</v>
      </c>
      <c r="E680" s="50">
        <v>1</v>
      </c>
      <c r="F680" s="50">
        <v>0.54453750000000001</v>
      </c>
      <c r="G680" s="50">
        <v>0.4677</v>
      </c>
      <c r="H680" s="50">
        <v>0.38490743662900001</v>
      </c>
      <c r="I680" s="50">
        <v>0.48829287047999997</v>
      </c>
      <c r="J680" s="50">
        <v>0.28152200277799999</v>
      </c>
      <c r="K680" s="50">
        <v>1482.94</v>
      </c>
      <c r="L680" s="50">
        <v>1407.13</v>
      </c>
      <c r="M680" s="50">
        <v>1452.43</v>
      </c>
      <c r="N680" s="66">
        <f t="shared" si="80"/>
        <v>-1.363232651487504E-2</v>
      </c>
      <c r="O680" s="66">
        <f t="shared" si="81"/>
        <v>-5.123138464504319E-2</v>
      </c>
      <c r="P680" s="4">
        <f t="shared" si="82"/>
        <v>0.4677</v>
      </c>
      <c r="Q680" s="4">
        <f t="shared" si="83"/>
        <v>0.33792499999999998</v>
      </c>
      <c r="R680" s="66">
        <f t="shared" si="84"/>
        <v>-1.363232651487504E-2</v>
      </c>
      <c r="S680" s="66">
        <f t="shared" si="85"/>
        <v>-5.123138464504319E-2</v>
      </c>
      <c r="T680" s="50" t="str">
        <f t="shared" si="86"/>
        <v/>
      </c>
      <c r="U680" s="50" t="str">
        <f t="shared" si="87"/>
        <v/>
      </c>
    </row>
    <row r="681" spans="1:21" x14ac:dyDescent="0.2">
      <c r="A681" s="38">
        <v>36650</v>
      </c>
      <c r="B681" s="4">
        <v>0.3478</v>
      </c>
      <c r="C681" s="4">
        <v>0.30430000000000001</v>
      </c>
      <c r="D681" s="4">
        <v>0.3478</v>
      </c>
      <c r="E681" s="50">
        <v>0.99990000000000001</v>
      </c>
      <c r="F681" s="50">
        <v>0.5151</v>
      </c>
      <c r="G681" s="50">
        <v>0</v>
      </c>
      <c r="H681" s="50">
        <v>0.38490743662900001</v>
      </c>
      <c r="I681" s="50">
        <v>0.48829287047999997</v>
      </c>
      <c r="J681" s="50">
        <v>0.28152200277799999</v>
      </c>
      <c r="K681" s="50">
        <v>1481.51</v>
      </c>
      <c r="L681" s="50">
        <v>1398.36</v>
      </c>
      <c r="M681" s="50">
        <v>1432.63</v>
      </c>
      <c r="N681" s="66">
        <f t="shared" si="80"/>
        <v>-8.1458576185058744E-3</v>
      </c>
      <c r="O681" s="66">
        <f t="shared" si="81"/>
        <v>3.1152495759547042E-2</v>
      </c>
      <c r="P681" s="4">
        <f t="shared" si="82"/>
        <v>0</v>
      </c>
      <c r="Q681" s="4">
        <f t="shared" si="83"/>
        <v>0.27542499999999998</v>
      </c>
      <c r="R681" s="66">
        <f t="shared" si="84"/>
        <v>-8.1458576185058744E-3</v>
      </c>
      <c r="S681" s="66">
        <f t="shared" si="85"/>
        <v>3.1152495759547042E-2</v>
      </c>
      <c r="T681" s="50" t="str">
        <f t="shared" si="86"/>
        <v/>
      </c>
      <c r="U681" s="50">
        <f t="shared" si="87"/>
        <v>1</v>
      </c>
    </row>
    <row r="682" spans="1:21" x14ac:dyDescent="0.2">
      <c r="A682" s="38">
        <v>36657</v>
      </c>
      <c r="B682" s="4">
        <v>0.30230000000000001</v>
      </c>
      <c r="C682" s="4">
        <v>0.44190000000000002</v>
      </c>
      <c r="D682" s="4">
        <v>0.25580000000000003</v>
      </c>
      <c r="E682" s="50">
        <v>1</v>
      </c>
      <c r="F682" s="50">
        <v>0.49038749999999998</v>
      </c>
      <c r="G682" s="50">
        <v>4.65E-2</v>
      </c>
      <c r="H682" s="50">
        <v>0.38490743662900001</v>
      </c>
      <c r="I682" s="50">
        <v>0.48829287047999997</v>
      </c>
      <c r="J682" s="50">
        <v>0.28152200277799999</v>
      </c>
      <c r="K682" s="50">
        <v>1432.63</v>
      </c>
      <c r="L682" s="50">
        <v>1375.14</v>
      </c>
      <c r="M682" s="50">
        <v>1420.96</v>
      </c>
      <c r="N682" s="66">
        <f t="shared" si="80"/>
        <v>-9.8595315842810432E-3</v>
      </c>
      <c r="O682" s="66">
        <f t="shared" si="81"/>
        <v>2.5327947303231624E-2</v>
      </c>
      <c r="P682" s="4">
        <f t="shared" si="82"/>
        <v>4.6499999999999986E-2</v>
      </c>
      <c r="Q682" s="4">
        <f t="shared" si="83"/>
        <v>0.23149999999999998</v>
      </c>
      <c r="R682" s="66">
        <f t="shared" si="84"/>
        <v>-9.8595315842810432E-3</v>
      </c>
      <c r="S682" s="66">
        <f t="shared" si="85"/>
        <v>2.5327947303231624E-2</v>
      </c>
      <c r="T682" s="50" t="str">
        <f t="shared" si="86"/>
        <v/>
      </c>
      <c r="U682" s="50">
        <f t="shared" si="87"/>
        <v>1</v>
      </c>
    </row>
    <row r="683" spans="1:21" x14ac:dyDescent="0.2">
      <c r="A683" s="38">
        <v>36664</v>
      </c>
      <c r="B683" s="4">
        <v>0.35289999999999999</v>
      </c>
      <c r="C683" s="4">
        <v>0.23530000000000001</v>
      </c>
      <c r="D683" s="4">
        <v>0.4118</v>
      </c>
      <c r="E683" s="50">
        <v>1</v>
      </c>
      <c r="F683" s="50">
        <v>0.4523625</v>
      </c>
      <c r="G683" s="50">
        <v>-5.8900000000000001E-2</v>
      </c>
      <c r="H683" s="50">
        <v>0.38490743662900001</v>
      </c>
      <c r="I683" s="50">
        <v>0.48829287047999997</v>
      </c>
      <c r="J683" s="50">
        <v>0.28152200277799999</v>
      </c>
      <c r="K683" s="50">
        <v>1470.4</v>
      </c>
      <c r="L683" s="50">
        <v>1401.74</v>
      </c>
      <c r="M683" s="50">
        <v>1406.95</v>
      </c>
      <c r="N683" s="66">
        <f t="shared" si="80"/>
        <v>-2.0562209033725479E-2</v>
      </c>
      <c r="O683" s="66">
        <f t="shared" si="81"/>
        <v>4.0875653008280312E-2</v>
      </c>
      <c r="P683" s="4">
        <f t="shared" si="82"/>
        <v>-5.8900000000000008E-2</v>
      </c>
      <c r="Q683" s="4">
        <f t="shared" si="83"/>
        <v>0.113825</v>
      </c>
      <c r="R683" s="66">
        <f t="shared" si="84"/>
        <v>-2.0562209033725479E-2</v>
      </c>
      <c r="S683" s="66">
        <f t="shared" si="85"/>
        <v>4.0875653008280312E-2</v>
      </c>
      <c r="T683" s="50" t="str">
        <f t="shared" si="86"/>
        <v/>
      </c>
      <c r="U683" s="50">
        <f t="shared" si="87"/>
        <v>1</v>
      </c>
    </row>
    <row r="684" spans="1:21" x14ac:dyDescent="0.2">
      <c r="A684" s="38">
        <v>36671</v>
      </c>
      <c r="B684" s="4">
        <v>0.34920000000000001</v>
      </c>
      <c r="C684" s="4">
        <v>0.28570000000000001</v>
      </c>
      <c r="D684" s="4">
        <v>0.36509999999999998</v>
      </c>
      <c r="E684" s="50">
        <v>1</v>
      </c>
      <c r="F684" s="50">
        <v>0.44740000000000002</v>
      </c>
      <c r="G684" s="50">
        <v>-1.5900000000000001E-2</v>
      </c>
      <c r="H684" s="50">
        <v>0.38490743662900001</v>
      </c>
      <c r="I684" s="50">
        <v>0.48829287047999997</v>
      </c>
      <c r="J684" s="50">
        <v>0.28152200277799999</v>
      </c>
      <c r="K684" s="50">
        <v>1411.65</v>
      </c>
      <c r="L684" s="50">
        <v>1361.09</v>
      </c>
      <c r="M684" s="50">
        <v>1378.02</v>
      </c>
      <c r="N684" s="66">
        <f t="shared" si="80"/>
        <v>7.2016371315365535E-2</v>
      </c>
      <c r="O684" s="66">
        <f t="shared" si="81"/>
        <v>4.6051581254263389E-2</v>
      </c>
      <c r="P684" s="4">
        <f t="shared" si="82"/>
        <v>-1.589999999999997E-2</v>
      </c>
      <c r="Q684" s="4">
        <f t="shared" si="83"/>
        <v>-7.074999999999998E-3</v>
      </c>
      <c r="R684" s="66">
        <f t="shared" si="84"/>
        <v>7.2016371315365535E-2</v>
      </c>
      <c r="S684" s="66">
        <f t="shared" si="85"/>
        <v>4.6051581254263389E-2</v>
      </c>
      <c r="T684" s="50">
        <f t="shared" si="86"/>
        <v>1</v>
      </c>
      <c r="U684" s="50">
        <f t="shared" si="87"/>
        <v>1</v>
      </c>
    </row>
    <row r="685" spans="1:21" x14ac:dyDescent="0.2">
      <c r="A685" s="38">
        <v>36678</v>
      </c>
      <c r="B685" s="4">
        <v>0.41670000000000001</v>
      </c>
      <c r="C685" s="4">
        <v>0.20830000000000001</v>
      </c>
      <c r="D685" s="4">
        <v>0.375</v>
      </c>
      <c r="E685" s="50">
        <v>1</v>
      </c>
      <c r="F685" s="50">
        <v>0.44219999999999998</v>
      </c>
      <c r="G685" s="50">
        <v>4.1700000000000001E-2</v>
      </c>
      <c r="H685" s="50">
        <v>0.38490743662900001</v>
      </c>
      <c r="I685" s="50">
        <v>0.48829287047999997</v>
      </c>
      <c r="J685" s="50">
        <v>0.28152200277799999</v>
      </c>
      <c r="K685" s="50">
        <v>1483.23</v>
      </c>
      <c r="L685" s="50">
        <v>1378.02</v>
      </c>
      <c r="M685" s="50">
        <v>1477.26</v>
      </c>
      <c r="N685" s="66">
        <f t="shared" si="80"/>
        <v>-1.374842614028671E-2</v>
      </c>
      <c r="O685" s="66">
        <f t="shared" si="81"/>
        <v>-1.5339209076262867E-2</v>
      </c>
      <c r="P685" s="4">
        <f t="shared" si="82"/>
        <v>4.1700000000000015E-2</v>
      </c>
      <c r="Q685" s="4">
        <f t="shared" si="83"/>
        <v>3.3500000000000058E-3</v>
      </c>
      <c r="R685" s="66">
        <f t="shared" si="84"/>
        <v>-1.374842614028671E-2</v>
      </c>
      <c r="S685" s="66">
        <f t="shared" si="85"/>
        <v>-1.5339209076262867E-2</v>
      </c>
      <c r="T685" s="50" t="str">
        <f t="shared" si="86"/>
        <v/>
      </c>
      <c r="U685" s="50" t="str">
        <f t="shared" si="87"/>
        <v/>
      </c>
    </row>
    <row r="686" spans="1:21" x14ac:dyDescent="0.2">
      <c r="A686" s="38">
        <v>36685</v>
      </c>
      <c r="B686" s="4">
        <v>0.61539999999999995</v>
      </c>
      <c r="C686" s="4">
        <v>0.15379999999999999</v>
      </c>
      <c r="D686" s="4">
        <v>0.23080000000000001</v>
      </c>
      <c r="E686" s="50">
        <v>1</v>
      </c>
      <c r="F686" s="50">
        <v>0.45431250000000001</v>
      </c>
      <c r="G686" s="50">
        <v>0.3846</v>
      </c>
      <c r="H686" s="50">
        <v>0.38490743662900001</v>
      </c>
      <c r="I686" s="50">
        <v>0.48829287047999997</v>
      </c>
      <c r="J686" s="50">
        <v>0.28152200277799999</v>
      </c>
      <c r="K686" s="50">
        <v>1477.28</v>
      </c>
      <c r="L686" s="50">
        <v>1454.74</v>
      </c>
      <c r="M686" s="50">
        <v>1456.95</v>
      </c>
      <c r="N686" s="66">
        <f t="shared" si="80"/>
        <v>5.1546037956003918E-3</v>
      </c>
      <c r="O686" s="66">
        <f t="shared" si="81"/>
        <v>1.5065719482480555E-2</v>
      </c>
      <c r="P686" s="4">
        <f t="shared" si="82"/>
        <v>0.38459999999999994</v>
      </c>
      <c r="Q686" s="4">
        <f t="shared" si="83"/>
        <v>8.7874999999999995E-2</v>
      </c>
      <c r="R686" s="66">
        <f t="shared" si="84"/>
        <v>5.1546037956003918E-3</v>
      </c>
      <c r="S686" s="66">
        <f t="shared" si="85"/>
        <v>1.5065719482480555E-2</v>
      </c>
      <c r="T686" s="50">
        <f t="shared" si="86"/>
        <v>1</v>
      </c>
      <c r="U686" s="50">
        <f t="shared" si="87"/>
        <v>1</v>
      </c>
    </row>
    <row r="687" spans="1:21" x14ac:dyDescent="0.2">
      <c r="A687" s="38">
        <v>36692</v>
      </c>
      <c r="B687" s="4">
        <v>0.4375</v>
      </c>
      <c r="C687" s="4">
        <v>0.375</v>
      </c>
      <c r="D687" s="4">
        <v>0.1875</v>
      </c>
      <c r="E687" s="50">
        <v>1</v>
      </c>
      <c r="F687" s="50">
        <v>0.42933749999999998</v>
      </c>
      <c r="G687" s="50">
        <v>0.25</v>
      </c>
      <c r="H687" s="50">
        <v>0.38490743662900001</v>
      </c>
      <c r="I687" s="50">
        <v>0.48829287047999997</v>
      </c>
      <c r="J687" s="50">
        <v>0.28152200277799999</v>
      </c>
      <c r="K687" s="50">
        <v>1483.62</v>
      </c>
      <c r="L687" s="50">
        <v>1442.38</v>
      </c>
      <c r="M687" s="50">
        <v>1464.46</v>
      </c>
      <c r="N687" s="66">
        <f t="shared" si="80"/>
        <v>-1.5691790830749914E-2</v>
      </c>
      <c r="O687" s="66">
        <f t="shared" si="81"/>
        <v>3.1083129617743045E-2</v>
      </c>
      <c r="P687" s="4">
        <f t="shared" si="82"/>
        <v>0.25</v>
      </c>
      <c r="Q687" s="4">
        <f t="shared" si="83"/>
        <v>0.1651</v>
      </c>
      <c r="R687" s="66">
        <f t="shared" si="84"/>
        <v>-1.5691790830749914E-2</v>
      </c>
      <c r="S687" s="66">
        <f t="shared" si="85"/>
        <v>3.1083129617743045E-2</v>
      </c>
      <c r="T687" s="50" t="str">
        <f t="shared" si="86"/>
        <v/>
      </c>
      <c r="U687" s="50">
        <f t="shared" si="87"/>
        <v>1</v>
      </c>
    </row>
    <row r="688" spans="1:21" x14ac:dyDescent="0.2">
      <c r="A688" s="38">
        <v>36699</v>
      </c>
      <c r="B688" s="4">
        <v>0.26669999999999999</v>
      </c>
      <c r="C688" s="4">
        <v>0.33329999999999999</v>
      </c>
      <c r="D688" s="4">
        <v>0.4</v>
      </c>
      <c r="E688" s="50">
        <v>1</v>
      </c>
      <c r="F688" s="50">
        <v>0.38606249999999998</v>
      </c>
      <c r="G688" s="50">
        <v>-0.1333</v>
      </c>
      <c r="H688" s="50">
        <v>0.38490743662900001</v>
      </c>
      <c r="I688" s="50">
        <v>0.48829287047999997</v>
      </c>
      <c r="J688" s="50">
        <v>0.28152200277799999</v>
      </c>
      <c r="K688" s="50">
        <v>1488.93</v>
      </c>
      <c r="L688" s="50">
        <v>1438.31</v>
      </c>
      <c r="M688" s="50">
        <v>1441.48</v>
      </c>
      <c r="N688" s="66">
        <f t="shared" si="80"/>
        <v>9.1017565280127992E-3</v>
      </c>
      <c r="O688" s="66">
        <f t="shared" si="81"/>
        <v>2.6854344146294111E-2</v>
      </c>
      <c r="P688" s="4">
        <f t="shared" si="82"/>
        <v>-0.13330000000000003</v>
      </c>
      <c r="Q688" s="4">
        <f t="shared" si="83"/>
        <v>0.13574999999999998</v>
      </c>
      <c r="R688" s="66">
        <f t="shared" si="84"/>
        <v>9.1017565280127992E-3</v>
      </c>
      <c r="S688" s="66">
        <f t="shared" si="85"/>
        <v>2.6854344146294111E-2</v>
      </c>
      <c r="T688" s="50">
        <f t="shared" si="86"/>
        <v>1</v>
      </c>
      <c r="U688" s="50">
        <f t="shared" si="87"/>
        <v>1</v>
      </c>
    </row>
    <row r="689" spans="1:21" x14ac:dyDescent="0.2">
      <c r="A689" s="38">
        <v>36713</v>
      </c>
      <c r="B689" s="4">
        <v>0.56100000000000005</v>
      </c>
      <c r="C689" s="4">
        <v>0.28050000000000003</v>
      </c>
      <c r="D689" s="4">
        <v>0.1585</v>
      </c>
      <c r="E689" s="50">
        <v>1</v>
      </c>
      <c r="F689" s="50">
        <v>0.41271249999999998</v>
      </c>
      <c r="G689" s="50">
        <v>0.40250000000000002</v>
      </c>
      <c r="H689" s="50">
        <v>0.38490743662900001</v>
      </c>
      <c r="I689" s="50">
        <v>0.48829287047999997</v>
      </c>
      <c r="J689" s="50">
        <v>0.28152200277799999</v>
      </c>
      <c r="K689" s="50">
        <v>1467.63</v>
      </c>
      <c r="L689" s="50">
        <v>1434.63</v>
      </c>
      <c r="M689" s="50">
        <v>1454.6</v>
      </c>
      <c r="N689" s="66">
        <f t="shared" si="80"/>
        <v>1.670562353911741E-2</v>
      </c>
      <c r="O689" s="66">
        <f t="shared" si="81"/>
        <v>-2.3862230166368632E-2</v>
      </c>
      <c r="P689" s="4">
        <f t="shared" si="82"/>
        <v>0.40250000000000008</v>
      </c>
      <c r="Q689" s="4">
        <f t="shared" si="83"/>
        <v>0.22594999999999998</v>
      </c>
      <c r="R689" s="66">
        <f t="shared" si="84"/>
        <v>1.670562353911741E-2</v>
      </c>
      <c r="S689" s="66">
        <f t="shared" si="85"/>
        <v>-2.3862230166368632E-2</v>
      </c>
      <c r="T689" s="50">
        <f t="shared" si="86"/>
        <v>1</v>
      </c>
      <c r="U689" s="50" t="str">
        <f t="shared" si="87"/>
        <v/>
      </c>
    </row>
    <row r="690" spans="1:21" x14ac:dyDescent="0.2">
      <c r="A690" s="38">
        <v>36720</v>
      </c>
      <c r="B690" s="4">
        <v>0.65</v>
      </c>
      <c r="C690" s="4">
        <v>0.15</v>
      </c>
      <c r="D690" s="4">
        <v>0.2</v>
      </c>
      <c r="E690" s="50">
        <v>1</v>
      </c>
      <c r="F690" s="50">
        <v>0.456175</v>
      </c>
      <c r="G690" s="50">
        <v>0.45</v>
      </c>
      <c r="H690" s="50">
        <v>0.38490743662900001</v>
      </c>
      <c r="I690" s="50">
        <v>0.48829287047999997</v>
      </c>
      <c r="J690" s="50">
        <v>0.28152200277799999</v>
      </c>
      <c r="K690" s="50">
        <v>1484.12</v>
      </c>
      <c r="L690" s="50">
        <v>1439.56</v>
      </c>
      <c r="M690" s="50">
        <v>1478.9</v>
      </c>
      <c r="N690" s="66">
        <f t="shared" si="80"/>
        <v>2.1015619717357444E-2</v>
      </c>
      <c r="O690" s="66">
        <f t="shared" si="81"/>
        <v>-1.0798566502129979E-2</v>
      </c>
      <c r="P690" s="4">
        <f t="shared" si="82"/>
        <v>0.45</v>
      </c>
      <c r="Q690" s="4">
        <f t="shared" si="83"/>
        <v>0.24230000000000002</v>
      </c>
      <c r="R690" s="66">
        <f t="shared" si="84"/>
        <v>2.1015619717357444E-2</v>
      </c>
      <c r="S690" s="66">
        <f t="shared" si="85"/>
        <v>-1.0798566502129979E-2</v>
      </c>
      <c r="T690" s="50">
        <f t="shared" si="86"/>
        <v>1</v>
      </c>
      <c r="U690" s="50" t="str">
        <f t="shared" si="87"/>
        <v/>
      </c>
    </row>
    <row r="691" spans="1:21" x14ac:dyDescent="0.2">
      <c r="A691" s="38">
        <v>36727</v>
      </c>
      <c r="B691" s="4">
        <v>0.66669999999999996</v>
      </c>
      <c r="C691" s="4">
        <v>0.21329999999999999</v>
      </c>
      <c r="D691" s="4">
        <v>0.12</v>
      </c>
      <c r="E691" s="50">
        <v>1</v>
      </c>
      <c r="F691" s="50">
        <v>0.49540000000000001</v>
      </c>
      <c r="G691" s="50">
        <v>0.54669999999999996</v>
      </c>
      <c r="H691" s="50">
        <v>0.38490743662900001</v>
      </c>
      <c r="I691" s="50">
        <v>0.48829287047999997</v>
      </c>
      <c r="J691" s="50">
        <v>0.28152200277799999</v>
      </c>
      <c r="K691" s="50">
        <v>1509.99</v>
      </c>
      <c r="L691" s="50">
        <v>1470.48</v>
      </c>
      <c r="M691" s="50">
        <v>1509.98</v>
      </c>
      <c r="N691" s="66">
        <f t="shared" si="80"/>
        <v>-1.9728738128981817E-2</v>
      </c>
      <c r="O691" s="66">
        <f t="shared" si="81"/>
        <v>-2.5258612696856978E-2</v>
      </c>
      <c r="P691" s="4">
        <f t="shared" si="82"/>
        <v>0.54669999999999996</v>
      </c>
      <c r="Q691" s="4">
        <f t="shared" si="83"/>
        <v>0.31647500000000001</v>
      </c>
      <c r="R691" s="66">
        <f t="shared" si="84"/>
        <v>-1.9728738128981817E-2</v>
      </c>
      <c r="S691" s="66">
        <f t="shared" si="85"/>
        <v>-2.5258612696856978E-2</v>
      </c>
      <c r="T691" s="50" t="str">
        <f t="shared" si="86"/>
        <v/>
      </c>
      <c r="U691" s="50" t="str">
        <f t="shared" si="87"/>
        <v/>
      </c>
    </row>
    <row r="692" spans="1:21" x14ac:dyDescent="0.2">
      <c r="A692" s="38">
        <v>36734</v>
      </c>
      <c r="B692" s="4">
        <v>0.42859999999999998</v>
      </c>
      <c r="C692" s="4">
        <v>0.37140000000000001</v>
      </c>
      <c r="D692" s="4">
        <v>0.2</v>
      </c>
      <c r="E692" s="50">
        <v>1</v>
      </c>
      <c r="F692" s="50">
        <v>0.50532500000000002</v>
      </c>
      <c r="G692" s="50">
        <v>0.2286</v>
      </c>
      <c r="H692" s="50">
        <v>0.38490743662900001</v>
      </c>
      <c r="I692" s="50">
        <v>0.48829287047999997</v>
      </c>
      <c r="J692" s="50">
        <v>0.28152200277799999</v>
      </c>
      <c r="K692" s="50">
        <v>1517.32</v>
      </c>
      <c r="L692" s="50">
        <v>1477.91</v>
      </c>
      <c r="M692" s="50">
        <v>1480.19</v>
      </c>
      <c r="N692" s="66">
        <f t="shared" si="80"/>
        <v>-4.0738013363149292E-2</v>
      </c>
      <c r="O692" s="66">
        <f t="shared" si="81"/>
        <v>7.789540531958716E-3</v>
      </c>
      <c r="P692" s="4">
        <f t="shared" si="82"/>
        <v>0.22859999999999997</v>
      </c>
      <c r="Q692" s="4">
        <f t="shared" si="83"/>
        <v>0.40694999999999998</v>
      </c>
      <c r="R692" s="66">
        <f t="shared" si="84"/>
        <v>-4.0738013363149292E-2</v>
      </c>
      <c r="S692" s="66">
        <f t="shared" si="85"/>
        <v>7.789540531958716E-3</v>
      </c>
      <c r="T692" s="50" t="str">
        <f t="shared" si="86"/>
        <v/>
      </c>
      <c r="U692" s="50">
        <f t="shared" si="87"/>
        <v>1</v>
      </c>
    </row>
    <row r="693" spans="1:21" x14ac:dyDescent="0.2">
      <c r="A693" s="38">
        <v>36741</v>
      </c>
      <c r="B693" s="4">
        <v>0.41299999999999998</v>
      </c>
      <c r="C693" s="4">
        <v>0.3478</v>
      </c>
      <c r="D693" s="4">
        <v>0.23910000000000001</v>
      </c>
      <c r="E693" s="50">
        <v>0.99990000000000001</v>
      </c>
      <c r="F693" s="50">
        <v>0.50486249999999999</v>
      </c>
      <c r="G693" s="50">
        <v>0.1739</v>
      </c>
      <c r="H693" s="50">
        <v>0.38490743662900001</v>
      </c>
      <c r="I693" s="50">
        <v>0.48829287047999997</v>
      </c>
      <c r="J693" s="50">
        <v>0.28152200277799999</v>
      </c>
      <c r="K693" s="50">
        <v>1485.88</v>
      </c>
      <c r="L693" s="50">
        <v>1413.89</v>
      </c>
      <c r="M693" s="50">
        <v>1419.89</v>
      </c>
      <c r="N693" s="66">
        <f t="shared" si="80"/>
        <v>3.0312207283662792E-2</v>
      </c>
      <c r="O693" s="66">
        <f t="shared" si="81"/>
        <v>6.0962468923648976E-2</v>
      </c>
      <c r="P693" s="4">
        <f t="shared" si="82"/>
        <v>0.17389999999999997</v>
      </c>
      <c r="Q693" s="4">
        <f t="shared" si="83"/>
        <v>0.34979999999999994</v>
      </c>
      <c r="R693" s="66">
        <f t="shared" si="84"/>
        <v>3.0312207283662792E-2</v>
      </c>
      <c r="S693" s="66">
        <f t="shared" si="85"/>
        <v>6.0962468923648976E-2</v>
      </c>
      <c r="T693" s="50">
        <f t="shared" si="86"/>
        <v>1</v>
      </c>
      <c r="U693" s="50">
        <f t="shared" si="87"/>
        <v>1</v>
      </c>
    </row>
    <row r="694" spans="1:21" x14ac:dyDescent="0.2">
      <c r="A694" s="38">
        <v>36748</v>
      </c>
      <c r="B694" s="4">
        <v>0.54100000000000004</v>
      </c>
      <c r="C694" s="4">
        <v>0.34429999999999999</v>
      </c>
      <c r="D694" s="4">
        <v>0.1148</v>
      </c>
      <c r="E694" s="50">
        <v>1.0001</v>
      </c>
      <c r="F694" s="50">
        <v>0.49556250000000002</v>
      </c>
      <c r="G694" s="50">
        <v>0.42620000000000002</v>
      </c>
      <c r="H694" s="50">
        <v>0.38490743662900001</v>
      </c>
      <c r="I694" s="50">
        <v>0.48829287047999997</v>
      </c>
      <c r="J694" s="50">
        <v>0.28152200277799999</v>
      </c>
      <c r="K694" s="50">
        <v>1462.93</v>
      </c>
      <c r="L694" s="50">
        <v>1418.71</v>
      </c>
      <c r="M694" s="50">
        <v>1462.93</v>
      </c>
      <c r="N694" s="66">
        <f t="shared" si="80"/>
        <v>6.0905169762051868E-3</v>
      </c>
      <c r="O694" s="66">
        <f t="shared" si="81"/>
        <v>3.9537093367420117E-2</v>
      </c>
      <c r="P694" s="4">
        <f t="shared" si="82"/>
        <v>0.42620000000000002</v>
      </c>
      <c r="Q694" s="4">
        <f t="shared" si="83"/>
        <v>0.34384999999999999</v>
      </c>
      <c r="R694" s="66">
        <f t="shared" si="84"/>
        <v>6.0905169762051868E-3</v>
      </c>
      <c r="S694" s="66">
        <f t="shared" si="85"/>
        <v>3.9537093367420117E-2</v>
      </c>
      <c r="T694" s="50">
        <f t="shared" si="86"/>
        <v>1</v>
      </c>
      <c r="U694" s="50">
        <f t="shared" si="87"/>
        <v>1</v>
      </c>
    </row>
    <row r="695" spans="1:21" x14ac:dyDescent="0.2">
      <c r="A695" s="38">
        <v>36755</v>
      </c>
      <c r="B695" s="4">
        <v>0.59379999999999999</v>
      </c>
      <c r="C695" s="4">
        <v>0.21879999999999999</v>
      </c>
      <c r="D695" s="4">
        <v>0.1875</v>
      </c>
      <c r="E695" s="50">
        <v>1.0001</v>
      </c>
      <c r="F695" s="50">
        <v>0.5151</v>
      </c>
      <c r="G695" s="50">
        <v>0.40629999999999999</v>
      </c>
      <c r="H695" s="50">
        <v>0.38490743662900001</v>
      </c>
      <c r="I695" s="50">
        <v>0.48829287047999997</v>
      </c>
      <c r="J695" s="50">
        <v>0.28152200277799999</v>
      </c>
      <c r="K695" s="50">
        <v>1490.33</v>
      </c>
      <c r="L695" s="50">
        <v>1453.06</v>
      </c>
      <c r="M695" s="50">
        <v>1471.84</v>
      </c>
      <c r="N695" s="66">
        <f t="shared" si="80"/>
        <v>1.3506902924230969E-2</v>
      </c>
      <c r="O695" s="66">
        <f t="shared" si="81"/>
        <v>1.5395695184259215E-2</v>
      </c>
      <c r="P695" s="4">
        <f t="shared" si="82"/>
        <v>0.40629999999999999</v>
      </c>
      <c r="Q695" s="4">
        <f t="shared" si="83"/>
        <v>0.30874999999999997</v>
      </c>
      <c r="R695" s="66">
        <f t="shared" si="84"/>
        <v>1.3506902924230969E-2</v>
      </c>
      <c r="S695" s="66">
        <f t="shared" si="85"/>
        <v>1.5395695184259215E-2</v>
      </c>
      <c r="T695" s="50">
        <f t="shared" si="86"/>
        <v>1</v>
      </c>
      <c r="U695" s="50">
        <f t="shared" si="87"/>
        <v>1</v>
      </c>
    </row>
    <row r="696" spans="1:21" x14ac:dyDescent="0.2">
      <c r="A696" s="38">
        <v>36761</v>
      </c>
      <c r="B696" s="4">
        <v>0.57689999999999997</v>
      </c>
      <c r="C696" s="4">
        <v>0.1923</v>
      </c>
      <c r="D696" s="4">
        <v>0.23080000000000001</v>
      </c>
      <c r="E696" s="50">
        <v>1</v>
      </c>
      <c r="F696" s="50">
        <v>0.55387500000000001</v>
      </c>
      <c r="G696" s="50">
        <v>0.34610000000000002</v>
      </c>
      <c r="H696" s="50">
        <v>0.38490743662900001</v>
      </c>
      <c r="I696" s="50">
        <v>0.48829287047999997</v>
      </c>
      <c r="J696" s="50">
        <v>0.28152200277799999</v>
      </c>
      <c r="K696" s="50">
        <v>1499.47</v>
      </c>
      <c r="L696" s="50">
        <v>1468.56</v>
      </c>
      <c r="M696" s="50">
        <v>1491.72</v>
      </c>
      <c r="N696" s="66">
        <f t="shared" si="80"/>
        <v>9.8745072801866424E-3</v>
      </c>
      <c r="O696" s="66">
        <f t="shared" si="81"/>
        <v>-1.7369211380151826E-2</v>
      </c>
      <c r="P696" s="4">
        <f t="shared" si="82"/>
        <v>0.34609999999999996</v>
      </c>
      <c r="Q696" s="4">
        <f t="shared" si="83"/>
        <v>0.33812500000000001</v>
      </c>
      <c r="R696" s="66">
        <f t="shared" si="84"/>
        <v>9.8745072801866424E-3</v>
      </c>
      <c r="S696" s="66">
        <f t="shared" si="85"/>
        <v>-1.7369211380151826E-2</v>
      </c>
      <c r="T696" s="50">
        <f t="shared" si="86"/>
        <v>1</v>
      </c>
      <c r="U696" s="50" t="str">
        <f t="shared" si="87"/>
        <v/>
      </c>
    </row>
    <row r="697" spans="1:21" x14ac:dyDescent="0.2">
      <c r="A697" s="38">
        <v>36769</v>
      </c>
      <c r="B697" s="4">
        <v>0.55879999999999996</v>
      </c>
      <c r="C697" s="4">
        <v>0.26469999999999999</v>
      </c>
      <c r="D697" s="4">
        <v>0.17649999999999999</v>
      </c>
      <c r="E697" s="50">
        <v>1</v>
      </c>
      <c r="F697" s="50">
        <v>0.55359999999999998</v>
      </c>
      <c r="G697" s="50">
        <v>0.38229999999999997</v>
      </c>
      <c r="H697" s="50">
        <v>0.38490743662900001</v>
      </c>
      <c r="I697" s="50">
        <v>0.48829287047999997</v>
      </c>
      <c r="J697" s="50">
        <v>0.28152200277799999</v>
      </c>
      <c r="K697" s="50">
        <v>1513.47</v>
      </c>
      <c r="L697" s="50">
        <v>1489.52</v>
      </c>
      <c r="M697" s="50">
        <v>1506.45</v>
      </c>
      <c r="N697" s="66">
        <f t="shared" si="80"/>
        <v>9.5057917620896392E-3</v>
      </c>
      <c r="O697" s="66">
        <f t="shared" si="81"/>
        <v>-3.8321882571608762E-2</v>
      </c>
      <c r="P697" s="4">
        <f t="shared" si="82"/>
        <v>0.38229999999999997</v>
      </c>
      <c r="Q697" s="4">
        <f t="shared" si="83"/>
        <v>0.39022499999999993</v>
      </c>
      <c r="R697" s="66">
        <f t="shared" si="84"/>
        <v>9.5057917620896392E-3</v>
      </c>
      <c r="S697" s="66">
        <f t="shared" si="85"/>
        <v>-3.8321882571608762E-2</v>
      </c>
      <c r="T697" s="50">
        <f t="shared" si="86"/>
        <v>1</v>
      </c>
      <c r="U697" s="50" t="str">
        <f t="shared" si="87"/>
        <v/>
      </c>
    </row>
    <row r="698" spans="1:21" x14ac:dyDescent="0.2">
      <c r="A698" s="38">
        <v>36776</v>
      </c>
      <c r="B698" s="4">
        <v>0.625</v>
      </c>
      <c r="C698" s="4">
        <v>0.29170000000000001</v>
      </c>
      <c r="D698" s="4">
        <v>8.3299999999999999E-2</v>
      </c>
      <c r="E698" s="50">
        <v>1</v>
      </c>
      <c r="F698" s="50">
        <v>0.55047500000000005</v>
      </c>
      <c r="G698" s="50">
        <v>0.54169999999999996</v>
      </c>
      <c r="H698" s="50">
        <v>0.38490743662900001</v>
      </c>
      <c r="I698" s="50">
        <v>0.48829287047999997</v>
      </c>
      <c r="J698" s="50">
        <v>0.28152200277799999</v>
      </c>
      <c r="K698" s="50">
        <v>1530.09</v>
      </c>
      <c r="L698" s="50">
        <v>1500.09</v>
      </c>
      <c r="M698" s="50">
        <v>1520.77</v>
      </c>
      <c r="N698" s="66">
        <f t="shared" si="80"/>
        <v>-1.7274144019148181E-2</v>
      </c>
      <c r="O698" s="66">
        <f t="shared" si="81"/>
        <v>-5.5406142940747118E-2</v>
      </c>
      <c r="P698" s="4">
        <f t="shared" si="82"/>
        <v>0.54169999999999996</v>
      </c>
      <c r="Q698" s="4">
        <f t="shared" si="83"/>
        <v>0.41910000000000003</v>
      </c>
      <c r="R698" s="66">
        <f t="shared" si="84"/>
        <v>-1.7274144019148181E-2</v>
      </c>
      <c r="S698" s="66">
        <f t="shared" si="85"/>
        <v>-5.5406142940747118E-2</v>
      </c>
      <c r="T698" s="50" t="str">
        <f t="shared" si="86"/>
        <v/>
      </c>
      <c r="U698" s="50" t="str">
        <f t="shared" si="87"/>
        <v/>
      </c>
    </row>
    <row r="699" spans="1:21" x14ac:dyDescent="0.2">
      <c r="A699" s="38">
        <v>36783</v>
      </c>
      <c r="B699" s="4">
        <v>0.4118</v>
      </c>
      <c r="C699" s="4">
        <v>0.35289999999999999</v>
      </c>
      <c r="D699" s="4">
        <v>0.23530000000000001</v>
      </c>
      <c r="E699" s="50">
        <v>1</v>
      </c>
      <c r="F699" s="50">
        <v>0.51861250000000003</v>
      </c>
      <c r="G699" s="50">
        <v>0.17649999999999999</v>
      </c>
      <c r="H699" s="50">
        <v>0.38490743662900001</v>
      </c>
      <c r="I699" s="50">
        <v>0.48829287047999997</v>
      </c>
      <c r="J699" s="50">
        <v>0.28152200277799999</v>
      </c>
      <c r="K699" s="50">
        <v>1520.77</v>
      </c>
      <c r="L699" s="50">
        <v>1489.88</v>
      </c>
      <c r="M699" s="50">
        <v>1494.5</v>
      </c>
      <c r="N699" s="66">
        <f t="shared" si="80"/>
        <v>-1.9197055871528975E-2</v>
      </c>
      <c r="O699" s="66">
        <f t="shared" si="81"/>
        <v>-5.7216460354633653E-2</v>
      </c>
      <c r="P699" s="4">
        <f t="shared" si="82"/>
        <v>0.17649999999999999</v>
      </c>
      <c r="Q699" s="4">
        <f t="shared" si="83"/>
        <v>0.36164999999999992</v>
      </c>
      <c r="R699" s="66">
        <f t="shared" si="84"/>
        <v>-1.9197055871528975E-2</v>
      </c>
      <c r="S699" s="66">
        <f t="shared" si="85"/>
        <v>-5.7216460354633653E-2</v>
      </c>
      <c r="T699" s="50" t="str">
        <f t="shared" si="86"/>
        <v/>
      </c>
      <c r="U699" s="50" t="str">
        <f t="shared" si="87"/>
        <v/>
      </c>
    </row>
    <row r="700" spans="1:21" x14ac:dyDescent="0.2">
      <c r="A700" s="38">
        <v>36790</v>
      </c>
      <c r="B700" s="4">
        <v>0.4375</v>
      </c>
      <c r="C700" s="4">
        <v>0.375</v>
      </c>
      <c r="D700" s="4">
        <v>0.1875</v>
      </c>
      <c r="E700" s="50">
        <v>1</v>
      </c>
      <c r="F700" s="50">
        <v>0.51972499999999999</v>
      </c>
      <c r="G700" s="50">
        <v>0.25</v>
      </c>
      <c r="H700" s="50">
        <v>0.38490743662900001</v>
      </c>
      <c r="I700" s="50">
        <v>0.48829287047999997</v>
      </c>
      <c r="J700" s="50">
        <v>0.28152200277799999</v>
      </c>
      <c r="K700" s="50">
        <v>1506.76</v>
      </c>
      <c r="L700" s="50">
        <v>1460.22</v>
      </c>
      <c r="M700" s="50">
        <v>1465.81</v>
      </c>
      <c r="N700" s="66">
        <f t="shared" si="80"/>
        <v>-1.1659082691481104E-2</v>
      </c>
      <c r="O700" s="66">
        <f t="shared" si="81"/>
        <v>-6.2518334572693512E-2</v>
      </c>
      <c r="P700" s="4">
        <f t="shared" si="82"/>
        <v>0.25</v>
      </c>
      <c r="Q700" s="4">
        <f t="shared" si="83"/>
        <v>0.33762499999999995</v>
      </c>
      <c r="R700" s="66">
        <f t="shared" si="84"/>
        <v>-1.1659082691481104E-2</v>
      </c>
      <c r="S700" s="66">
        <f t="shared" si="85"/>
        <v>-6.2518334572693512E-2</v>
      </c>
      <c r="T700" s="50" t="str">
        <f t="shared" si="86"/>
        <v/>
      </c>
      <c r="U700" s="50" t="str">
        <f t="shared" si="87"/>
        <v/>
      </c>
    </row>
    <row r="701" spans="1:21" x14ac:dyDescent="0.2">
      <c r="A701" s="38">
        <v>36797</v>
      </c>
      <c r="B701" s="4">
        <v>0.5333</v>
      </c>
      <c r="C701" s="4">
        <v>0.4</v>
      </c>
      <c r="D701" s="4">
        <v>6.6699999999999995E-2</v>
      </c>
      <c r="E701" s="50">
        <v>1</v>
      </c>
      <c r="F701" s="50">
        <v>0.53476250000000003</v>
      </c>
      <c r="G701" s="50">
        <v>0.46660000000000001</v>
      </c>
      <c r="H701" s="50">
        <v>0.38490743662900001</v>
      </c>
      <c r="I701" s="50">
        <v>0.48829287047999997</v>
      </c>
      <c r="J701" s="50">
        <v>0.28152200277799999</v>
      </c>
      <c r="K701" s="50">
        <v>1467.77</v>
      </c>
      <c r="L701" s="50">
        <v>1421.88</v>
      </c>
      <c r="M701" s="50">
        <v>1448.72</v>
      </c>
      <c r="N701" s="66">
        <f t="shared" si="80"/>
        <v>-8.4281296592854625E-3</v>
      </c>
      <c r="O701" s="66">
        <f t="shared" si="81"/>
        <v>-3.574879893975369E-2</v>
      </c>
      <c r="P701" s="4">
        <f t="shared" si="82"/>
        <v>0.46660000000000001</v>
      </c>
      <c r="Q701" s="4">
        <f t="shared" si="83"/>
        <v>0.35870000000000002</v>
      </c>
      <c r="R701" s="66">
        <f t="shared" si="84"/>
        <v>-8.4281296592854625E-3</v>
      </c>
      <c r="S701" s="66">
        <f t="shared" si="85"/>
        <v>-3.574879893975369E-2</v>
      </c>
      <c r="T701" s="50" t="str">
        <f t="shared" si="86"/>
        <v/>
      </c>
      <c r="U701" s="50" t="str">
        <f t="shared" si="87"/>
        <v/>
      </c>
    </row>
    <row r="702" spans="1:21" x14ac:dyDescent="0.2">
      <c r="A702" s="38">
        <v>36804</v>
      </c>
      <c r="B702" s="4">
        <v>0.4194</v>
      </c>
      <c r="C702" s="4">
        <v>0.3226</v>
      </c>
      <c r="D702" s="4">
        <v>0.2581</v>
      </c>
      <c r="E702" s="50">
        <v>1.0001</v>
      </c>
      <c r="F702" s="50">
        <v>0.51956250000000004</v>
      </c>
      <c r="G702" s="50">
        <v>0.1613</v>
      </c>
      <c r="H702" s="50">
        <v>0.38490743662900001</v>
      </c>
      <c r="I702" s="50">
        <v>0.48829287047999997</v>
      </c>
      <c r="J702" s="50">
        <v>0.28152200277799999</v>
      </c>
      <c r="K702" s="50">
        <v>1461.69</v>
      </c>
      <c r="L702" s="50">
        <v>1419.44</v>
      </c>
      <c r="M702" s="50">
        <v>1436.51</v>
      </c>
      <c r="N702" s="66">
        <f t="shared" si="80"/>
        <v>-1.9157541541653021E-2</v>
      </c>
      <c r="O702" s="66">
        <f t="shared" si="81"/>
        <v>-3.9630771801101326E-2</v>
      </c>
      <c r="P702" s="4">
        <f t="shared" si="82"/>
        <v>0.1613</v>
      </c>
      <c r="Q702" s="4">
        <f t="shared" si="83"/>
        <v>0.2636</v>
      </c>
      <c r="R702" s="66">
        <f t="shared" si="84"/>
        <v>-1.9157541541653021E-2</v>
      </c>
      <c r="S702" s="66">
        <f t="shared" si="85"/>
        <v>-3.9630771801101326E-2</v>
      </c>
      <c r="T702" s="50" t="str">
        <f t="shared" si="86"/>
        <v/>
      </c>
      <c r="U702" s="50" t="str">
        <f t="shared" si="87"/>
        <v/>
      </c>
    </row>
    <row r="703" spans="1:21" x14ac:dyDescent="0.2">
      <c r="A703" s="38">
        <v>36811</v>
      </c>
      <c r="B703" s="4">
        <v>0.41460000000000002</v>
      </c>
      <c r="C703" s="4">
        <v>0.26829999999999998</v>
      </c>
      <c r="D703" s="4">
        <v>0.31709999999999999</v>
      </c>
      <c r="E703" s="50">
        <v>1</v>
      </c>
      <c r="F703" s="50">
        <v>0.49716250000000001</v>
      </c>
      <c r="G703" s="50">
        <v>9.7500000000000003E-2</v>
      </c>
      <c r="H703" s="50">
        <v>0.38490743662900001</v>
      </c>
      <c r="I703" s="50">
        <v>0.48829287047999997</v>
      </c>
      <c r="J703" s="50">
        <v>0.28152200277799999</v>
      </c>
      <c r="K703" s="50">
        <v>1454.82</v>
      </c>
      <c r="L703" s="50">
        <v>1397.06</v>
      </c>
      <c r="M703" s="50">
        <v>1408.99</v>
      </c>
      <c r="N703" s="66">
        <f t="shared" si="80"/>
        <v>-2.4712737492813955E-2</v>
      </c>
      <c r="O703" s="66">
        <f t="shared" si="81"/>
        <v>1.2562189937472974E-2</v>
      </c>
      <c r="P703" s="4">
        <f t="shared" si="82"/>
        <v>9.7500000000000031E-2</v>
      </c>
      <c r="Q703" s="4">
        <f t="shared" si="83"/>
        <v>0.24385000000000001</v>
      </c>
      <c r="R703" s="66">
        <f t="shared" si="84"/>
        <v>-2.4712737492813955E-2</v>
      </c>
      <c r="S703" s="66">
        <f t="shared" si="85"/>
        <v>1.2562189937472974E-2</v>
      </c>
      <c r="T703" s="50" t="str">
        <f t="shared" si="86"/>
        <v/>
      </c>
      <c r="U703" s="50">
        <f t="shared" si="87"/>
        <v>1</v>
      </c>
    </row>
    <row r="704" spans="1:21" x14ac:dyDescent="0.2">
      <c r="A704" s="38">
        <v>36818</v>
      </c>
      <c r="B704" s="4">
        <v>0.4889</v>
      </c>
      <c r="C704" s="4">
        <v>0.26669999999999999</v>
      </c>
      <c r="D704" s="4">
        <v>0.24440000000000001</v>
      </c>
      <c r="E704" s="50">
        <v>1</v>
      </c>
      <c r="F704" s="50">
        <v>0.4861625</v>
      </c>
      <c r="G704" s="50">
        <v>0.2445</v>
      </c>
      <c r="H704" s="50">
        <v>0.38490743662900001</v>
      </c>
      <c r="I704" s="50">
        <v>0.48829287047999997</v>
      </c>
      <c r="J704" s="50">
        <v>0.28152200277799999</v>
      </c>
      <c r="K704" s="50">
        <v>1409.69</v>
      </c>
      <c r="L704" s="50">
        <v>1327.08</v>
      </c>
      <c r="M704" s="50">
        <v>1374.17</v>
      </c>
      <c r="N704" s="66">
        <f t="shared" si="80"/>
        <v>1.6562725135900208E-2</v>
      </c>
      <c r="O704" s="66">
        <f t="shared" si="81"/>
        <v>-5.9599612857216024E-3</v>
      </c>
      <c r="P704" s="4">
        <f t="shared" si="82"/>
        <v>0.2445</v>
      </c>
      <c r="Q704" s="4">
        <f t="shared" si="83"/>
        <v>0.242475</v>
      </c>
      <c r="R704" s="66">
        <f t="shared" si="84"/>
        <v>1.6562725135900208E-2</v>
      </c>
      <c r="S704" s="66">
        <f t="shared" si="85"/>
        <v>-5.9599612857216024E-3</v>
      </c>
      <c r="T704" s="50">
        <f t="shared" si="86"/>
        <v>1</v>
      </c>
      <c r="U704" s="50" t="str">
        <f t="shared" si="87"/>
        <v/>
      </c>
    </row>
    <row r="705" spans="1:21" x14ac:dyDescent="0.2">
      <c r="A705" s="38">
        <v>36825</v>
      </c>
      <c r="B705" s="4">
        <v>0.64100000000000001</v>
      </c>
      <c r="C705" s="4">
        <v>0.17949999999999999</v>
      </c>
      <c r="D705" s="4">
        <v>0.17949999999999999</v>
      </c>
      <c r="E705" s="50">
        <v>1</v>
      </c>
      <c r="F705" s="50">
        <v>0.49643749999999998</v>
      </c>
      <c r="G705" s="50">
        <v>0.46150000000000002</v>
      </c>
      <c r="H705" s="50">
        <v>0.38490743662900001</v>
      </c>
      <c r="I705" s="50">
        <v>0.48829287047999997</v>
      </c>
      <c r="J705" s="50">
        <v>0.28152200277799999</v>
      </c>
      <c r="K705" s="50">
        <v>1408.47</v>
      </c>
      <c r="L705" s="50">
        <v>1305.79</v>
      </c>
      <c r="M705" s="50">
        <v>1396.93</v>
      </c>
      <c r="N705" s="66">
        <f t="shared" si="80"/>
        <v>-1.242009263169961E-2</v>
      </c>
      <c r="O705" s="66">
        <f t="shared" si="81"/>
        <v>-2.0910138661207101E-2</v>
      </c>
      <c r="P705" s="4">
        <f t="shared" si="82"/>
        <v>0.46150000000000002</v>
      </c>
      <c r="Q705" s="4">
        <f t="shared" si="83"/>
        <v>0.24120000000000003</v>
      </c>
      <c r="R705" s="66">
        <f t="shared" si="84"/>
        <v>-1.242009263169961E-2</v>
      </c>
      <c r="S705" s="66">
        <f t="shared" si="85"/>
        <v>-2.0910138661207101E-2</v>
      </c>
      <c r="T705" s="50" t="str">
        <f t="shared" si="86"/>
        <v/>
      </c>
      <c r="U705" s="50" t="str">
        <f t="shared" si="87"/>
        <v/>
      </c>
    </row>
    <row r="706" spans="1:21" x14ac:dyDescent="0.2">
      <c r="A706" s="38">
        <v>36832</v>
      </c>
      <c r="B706" s="4">
        <v>0.5161</v>
      </c>
      <c r="C706" s="4">
        <v>0.2581</v>
      </c>
      <c r="D706" s="4">
        <v>0.2258</v>
      </c>
      <c r="E706" s="50">
        <v>1</v>
      </c>
      <c r="F706" s="50">
        <v>0.482825</v>
      </c>
      <c r="G706" s="50">
        <v>0.2903</v>
      </c>
      <c r="H706" s="50">
        <v>0.38490743662900001</v>
      </c>
      <c r="I706" s="50">
        <v>0.48829287047999997</v>
      </c>
      <c r="J706" s="50">
        <v>0.28152200277799999</v>
      </c>
      <c r="K706" s="50">
        <v>1415.64</v>
      </c>
      <c r="L706" s="50">
        <v>1337.81</v>
      </c>
      <c r="M706" s="50">
        <v>1379.58</v>
      </c>
      <c r="N706" s="66">
        <f t="shared" si="80"/>
        <v>3.4148074051523022E-2</v>
      </c>
      <c r="O706" s="66">
        <f t="shared" si="81"/>
        <v>-2.7406891952623223E-2</v>
      </c>
      <c r="P706" s="4">
        <f t="shared" si="82"/>
        <v>0.2903</v>
      </c>
      <c r="Q706" s="4">
        <f t="shared" si="83"/>
        <v>0.27345000000000003</v>
      </c>
      <c r="R706" s="66">
        <f t="shared" si="84"/>
        <v>3.4148074051523022E-2</v>
      </c>
      <c r="S706" s="66">
        <f t="shared" si="85"/>
        <v>-2.7406891952623223E-2</v>
      </c>
      <c r="T706" s="50">
        <f t="shared" si="86"/>
        <v>1</v>
      </c>
      <c r="U706" s="50" t="str">
        <f t="shared" si="87"/>
        <v/>
      </c>
    </row>
    <row r="707" spans="1:21" x14ac:dyDescent="0.2">
      <c r="A707" s="38">
        <v>36839</v>
      </c>
      <c r="B707" s="4">
        <v>0.62860000000000005</v>
      </c>
      <c r="C707" s="4">
        <v>0.28570000000000001</v>
      </c>
      <c r="D707" s="4">
        <v>8.5699999999999998E-2</v>
      </c>
      <c r="E707" s="50">
        <v>1</v>
      </c>
      <c r="F707" s="50">
        <v>0.50992499999999996</v>
      </c>
      <c r="G707" s="50">
        <v>0.54290000000000005</v>
      </c>
      <c r="H707" s="50">
        <v>0.38490743662900001</v>
      </c>
      <c r="I707" s="50">
        <v>0.48829287047999997</v>
      </c>
      <c r="J707" s="50">
        <v>0.28152200277799999</v>
      </c>
      <c r="K707" s="50">
        <v>1433.4</v>
      </c>
      <c r="L707" s="50">
        <v>1376.86</v>
      </c>
      <c r="M707" s="50">
        <v>1426.69</v>
      </c>
      <c r="N707" s="66">
        <f t="shared" si="80"/>
        <v>-4.2553042356783907E-2</v>
      </c>
      <c r="O707" s="66">
        <f t="shared" si="81"/>
        <v>-7.8124890480763182E-2</v>
      </c>
      <c r="P707" s="4">
        <f t="shared" si="82"/>
        <v>0.54290000000000005</v>
      </c>
      <c r="Q707" s="4">
        <f t="shared" si="83"/>
        <v>0.38480000000000003</v>
      </c>
      <c r="R707" s="66">
        <f t="shared" si="84"/>
        <v>-4.2553042356783907E-2</v>
      </c>
      <c r="S707" s="66">
        <f t="shared" si="85"/>
        <v>-7.8124890480763182E-2</v>
      </c>
      <c r="T707" s="50" t="str">
        <f t="shared" si="86"/>
        <v/>
      </c>
      <c r="U707" s="50" t="str">
        <f t="shared" si="87"/>
        <v/>
      </c>
    </row>
    <row r="708" spans="1:21" x14ac:dyDescent="0.2">
      <c r="A708" s="38">
        <v>36846</v>
      </c>
      <c r="B708" s="4">
        <v>0.45829999999999999</v>
      </c>
      <c r="C708" s="4">
        <v>0.375</v>
      </c>
      <c r="D708" s="4">
        <v>0.16669999999999999</v>
      </c>
      <c r="E708" s="50">
        <v>1</v>
      </c>
      <c r="F708" s="50">
        <v>0.51252500000000001</v>
      </c>
      <c r="G708" s="50">
        <v>0.29160000000000003</v>
      </c>
      <c r="H708" s="50">
        <v>0.38490743662900001</v>
      </c>
      <c r="I708" s="50">
        <v>0.48829287047999997</v>
      </c>
      <c r="J708" s="50">
        <v>0.28152200277799999</v>
      </c>
      <c r="K708" s="50">
        <v>1438.46</v>
      </c>
      <c r="L708" s="50">
        <v>1365.97</v>
      </c>
      <c r="M708" s="50">
        <v>1365.98</v>
      </c>
      <c r="N708" s="66">
        <f t="shared" si="80"/>
        <v>1.2738107439347641E-3</v>
      </c>
      <c r="O708" s="66">
        <f t="shared" si="81"/>
        <v>2.8624137981523023E-3</v>
      </c>
      <c r="P708" s="4">
        <f t="shared" si="82"/>
        <v>0.29159999999999997</v>
      </c>
      <c r="Q708" s="4">
        <f t="shared" si="83"/>
        <v>0.39657500000000001</v>
      </c>
      <c r="R708" s="66">
        <f t="shared" si="84"/>
        <v>1.2738107439347641E-3</v>
      </c>
      <c r="S708" s="66">
        <f t="shared" si="85"/>
        <v>2.8624137981523023E-3</v>
      </c>
      <c r="T708" s="50">
        <f t="shared" si="86"/>
        <v>1</v>
      </c>
      <c r="U708" s="50">
        <f t="shared" si="87"/>
        <v>1</v>
      </c>
    </row>
    <row r="709" spans="1:21" x14ac:dyDescent="0.2">
      <c r="A709" s="38">
        <v>36853</v>
      </c>
      <c r="B709" s="4">
        <v>0.36509999999999998</v>
      </c>
      <c r="C709" s="4">
        <v>0.26979999999999998</v>
      </c>
      <c r="D709" s="4">
        <v>0.36509999999999998</v>
      </c>
      <c r="E709" s="50">
        <v>1</v>
      </c>
      <c r="F709" s="50">
        <v>0.49149999999999999</v>
      </c>
      <c r="G709" s="50">
        <v>0</v>
      </c>
      <c r="H709" s="50">
        <v>0.38490743662900001</v>
      </c>
      <c r="I709" s="50">
        <v>0.48829287047999997</v>
      </c>
      <c r="J709" s="50">
        <v>0.28152200277799999</v>
      </c>
      <c r="K709" s="50">
        <v>1395.96</v>
      </c>
      <c r="L709" s="50">
        <v>1328.62</v>
      </c>
      <c r="M709" s="50">
        <v>1367.72</v>
      </c>
      <c r="N709" s="66">
        <f t="shared" si="80"/>
        <v>-1.8973181645366044E-2</v>
      </c>
      <c r="O709" s="66">
        <f t="shared" si="81"/>
        <v>-4.0629661041733642E-2</v>
      </c>
      <c r="P709" s="4">
        <f t="shared" si="82"/>
        <v>0</v>
      </c>
      <c r="Q709" s="4">
        <f t="shared" si="83"/>
        <v>0.28120000000000001</v>
      </c>
      <c r="R709" s="66">
        <f t="shared" si="84"/>
        <v>-1.8973181645366044E-2</v>
      </c>
      <c r="S709" s="66">
        <f t="shared" si="85"/>
        <v>-4.0629661041733642E-2</v>
      </c>
      <c r="T709" s="50" t="str">
        <f t="shared" si="86"/>
        <v/>
      </c>
      <c r="U709" s="50" t="str">
        <f t="shared" si="87"/>
        <v/>
      </c>
    </row>
    <row r="710" spans="1:21" x14ac:dyDescent="0.2">
      <c r="A710" s="38">
        <v>36860</v>
      </c>
      <c r="B710" s="4">
        <v>0.60419999999999996</v>
      </c>
      <c r="C710" s="4">
        <v>0.22919999999999999</v>
      </c>
      <c r="D710" s="4">
        <v>0.16669999999999999</v>
      </c>
      <c r="E710" s="50">
        <v>1.0001</v>
      </c>
      <c r="F710" s="50">
        <v>0.51459999999999995</v>
      </c>
      <c r="G710" s="50">
        <v>0.4375</v>
      </c>
      <c r="H710" s="50">
        <v>0.38490743662900001</v>
      </c>
      <c r="I710" s="50">
        <v>0.48829287047999997</v>
      </c>
      <c r="J710" s="50">
        <v>0.28152200277799999</v>
      </c>
      <c r="K710" s="50">
        <v>1367.72</v>
      </c>
      <c r="L710" s="50">
        <v>1321.89</v>
      </c>
      <c r="M710" s="50">
        <v>1341.77</v>
      </c>
      <c r="N710" s="66">
        <f t="shared" si="80"/>
        <v>-1.9779843043144476E-2</v>
      </c>
      <c r="O710" s="66">
        <f t="shared" si="81"/>
        <v>-2.6696080550317816E-2</v>
      </c>
      <c r="P710" s="4">
        <f t="shared" si="82"/>
        <v>0.4375</v>
      </c>
      <c r="Q710" s="4">
        <f t="shared" si="83"/>
        <v>0.318</v>
      </c>
      <c r="R710" s="66">
        <f t="shared" si="84"/>
        <v>-1.9779843043144476E-2</v>
      </c>
      <c r="S710" s="66">
        <f t="shared" si="85"/>
        <v>-2.6696080550317816E-2</v>
      </c>
      <c r="T710" s="50" t="str">
        <f t="shared" si="86"/>
        <v/>
      </c>
      <c r="U710" s="50" t="str">
        <f t="shared" si="87"/>
        <v/>
      </c>
    </row>
    <row r="711" spans="1:21" x14ac:dyDescent="0.2">
      <c r="A711" s="38">
        <v>36867</v>
      </c>
      <c r="B711" s="4">
        <v>0.47060000000000002</v>
      </c>
      <c r="C711" s="4">
        <v>0.15690000000000001</v>
      </c>
      <c r="D711" s="4">
        <v>0.3725</v>
      </c>
      <c r="E711" s="50">
        <v>1</v>
      </c>
      <c r="F711" s="50">
        <v>0.52159999999999995</v>
      </c>
      <c r="G711" s="50">
        <v>9.8100000000000007E-2</v>
      </c>
      <c r="H711" s="50">
        <v>0.38490743662900001</v>
      </c>
      <c r="I711" s="50">
        <v>0.48829287047999997</v>
      </c>
      <c r="J711" s="50">
        <v>0.28152200277799999</v>
      </c>
      <c r="K711" s="50">
        <v>1362.5</v>
      </c>
      <c r="L711" s="50">
        <v>1294.9000000000001</v>
      </c>
      <c r="M711" s="50">
        <v>1315.23</v>
      </c>
      <c r="N711" s="66">
        <f t="shared" si="80"/>
        <v>4.1559271002030128E-2</v>
      </c>
      <c r="O711" s="66">
        <f t="shared" si="81"/>
        <v>3.8396326117864968E-3</v>
      </c>
      <c r="P711" s="4">
        <f t="shared" si="82"/>
        <v>9.8100000000000021E-2</v>
      </c>
      <c r="Q711" s="4">
        <f t="shared" si="83"/>
        <v>0.20679999999999998</v>
      </c>
      <c r="R711" s="66">
        <f t="shared" si="84"/>
        <v>4.1559271002030128E-2</v>
      </c>
      <c r="S711" s="66">
        <f t="shared" si="85"/>
        <v>3.8396326117864968E-3</v>
      </c>
      <c r="T711" s="50">
        <f t="shared" si="86"/>
        <v>1</v>
      </c>
      <c r="U711" s="50">
        <f t="shared" si="87"/>
        <v>1</v>
      </c>
    </row>
    <row r="712" spans="1:21" x14ac:dyDescent="0.2">
      <c r="A712" s="38">
        <v>36874</v>
      </c>
      <c r="B712" s="4">
        <v>0.59619999999999995</v>
      </c>
      <c r="C712" s="4">
        <v>7.6899999999999996E-2</v>
      </c>
      <c r="D712" s="4">
        <v>0.32690000000000002</v>
      </c>
      <c r="E712" s="50">
        <v>1</v>
      </c>
      <c r="F712" s="50">
        <v>0.5350125</v>
      </c>
      <c r="G712" s="50">
        <v>0.26929999999999998</v>
      </c>
      <c r="H712" s="50">
        <v>0.38490743662900001</v>
      </c>
      <c r="I712" s="50">
        <v>0.48829287047999997</v>
      </c>
      <c r="J712" s="50">
        <v>0.28152200277799999</v>
      </c>
      <c r="K712" s="50">
        <v>1380.33</v>
      </c>
      <c r="L712" s="50">
        <v>1310.23</v>
      </c>
      <c r="M712" s="50">
        <v>1369.89</v>
      </c>
      <c r="N712" s="66">
        <f t="shared" si="80"/>
        <v>-4.2149369657417751E-2</v>
      </c>
      <c r="O712" s="66">
        <f t="shared" si="81"/>
        <v>-5.2223171203527423E-2</v>
      </c>
      <c r="P712" s="4">
        <f t="shared" si="82"/>
        <v>0.26929999999999993</v>
      </c>
      <c r="Q712" s="4">
        <f t="shared" si="83"/>
        <v>0.20122499999999999</v>
      </c>
      <c r="R712" s="66">
        <f t="shared" si="84"/>
        <v>-4.2149369657417751E-2</v>
      </c>
      <c r="S712" s="66">
        <f t="shared" si="85"/>
        <v>-5.2223171203527423E-2</v>
      </c>
      <c r="T712" s="50" t="str">
        <f t="shared" si="86"/>
        <v/>
      </c>
      <c r="U712" s="50" t="str">
        <f t="shared" si="87"/>
        <v/>
      </c>
    </row>
    <row r="713" spans="1:21" x14ac:dyDescent="0.2">
      <c r="A713" s="38">
        <v>36881</v>
      </c>
      <c r="B713" s="4">
        <v>0.31109999999999999</v>
      </c>
      <c r="C713" s="4">
        <v>0.17780000000000001</v>
      </c>
      <c r="D713" s="4">
        <v>0.5111</v>
      </c>
      <c r="E713" s="50">
        <v>1</v>
      </c>
      <c r="F713" s="50">
        <v>0.49377500000000002</v>
      </c>
      <c r="G713" s="50">
        <v>-0.2</v>
      </c>
      <c r="H713" s="50">
        <v>0.38490743662900001</v>
      </c>
      <c r="I713" s="50">
        <v>0.48829287047999997</v>
      </c>
      <c r="J713" s="50">
        <v>0.28152200277799999</v>
      </c>
      <c r="K713" s="50">
        <v>1389.05</v>
      </c>
      <c r="L713" s="50">
        <v>1305.3800000000001</v>
      </c>
      <c r="M713" s="50">
        <v>1312.15</v>
      </c>
      <c r="N713" s="66">
        <f t="shared" si="80"/>
        <v>-4.725069542354186E-3</v>
      </c>
      <c r="O713" s="66">
        <f t="shared" si="81"/>
        <v>4.8774911404945035E-3</v>
      </c>
      <c r="P713" s="4">
        <f t="shared" si="82"/>
        <v>-0.2</v>
      </c>
      <c r="Q713" s="4">
        <f t="shared" si="83"/>
        <v>0.151225</v>
      </c>
      <c r="R713" s="66">
        <f t="shared" si="84"/>
        <v>-4.725069542354186E-3</v>
      </c>
      <c r="S713" s="66">
        <f t="shared" si="85"/>
        <v>4.8774911404945035E-3</v>
      </c>
      <c r="T713" s="50" t="str">
        <f t="shared" si="86"/>
        <v/>
      </c>
      <c r="U713" s="50">
        <f t="shared" si="87"/>
        <v>1</v>
      </c>
    </row>
    <row r="714" spans="1:21" x14ac:dyDescent="0.2">
      <c r="A714" s="38">
        <v>36888</v>
      </c>
      <c r="B714" s="4">
        <v>0.4</v>
      </c>
      <c r="C714" s="4">
        <v>0.28000000000000003</v>
      </c>
      <c r="D714" s="4">
        <v>0.32</v>
      </c>
      <c r="E714" s="50">
        <v>1</v>
      </c>
      <c r="F714" s="50">
        <v>0.47926249999999998</v>
      </c>
      <c r="G714" s="50">
        <v>0.08</v>
      </c>
      <c r="H714" s="50">
        <v>0.38490743662900001</v>
      </c>
      <c r="I714" s="50">
        <v>0.48829287047999997</v>
      </c>
      <c r="J714" s="50">
        <v>0.28152200277799999</v>
      </c>
      <c r="K714" s="50">
        <v>1346.44</v>
      </c>
      <c r="L714" s="50">
        <v>1254.07</v>
      </c>
      <c r="M714" s="50">
        <v>1305.95</v>
      </c>
      <c r="N714" s="66">
        <f t="shared" si="80"/>
        <v>1.0972855009762951E-2</v>
      </c>
      <c r="O714" s="66">
        <f t="shared" si="81"/>
        <v>2.801791799073465E-2</v>
      </c>
      <c r="P714" s="4">
        <f t="shared" si="82"/>
        <v>8.0000000000000016E-2</v>
      </c>
      <c r="Q714" s="4">
        <f t="shared" si="83"/>
        <v>6.1849999999999988E-2</v>
      </c>
      <c r="R714" s="66">
        <f t="shared" si="84"/>
        <v>1.0972855009762951E-2</v>
      </c>
      <c r="S714" s="66">
        <f t="shared" si="85"/>
        <v>2.801791799073465E-2</v>
      </c>
      <c r="T714" s="50">
        <f t="shared" si="86"/>
        <v>1</v>
      </c>
      <c r="U714" s="50">
        <f t="shared" si="87"/>
        <v>1</v>
      </c>
    </row>
    <row r="715" spans="1:21" x14ac:dyDescent="0.2">
      <c r="A715" s="38">
        <v>36895</v>
      </c>
      <c r="B715" s="4">
        <v>0.4259</v>
      </c>
      <c r="C715" s="4">
        <v>0.33329999999999999</v>
      </c>
      <c r="D715" s="4">
        <v>0.2407</v>
      </c>
      <c r="E715" s="50">
        <v>0.99990000000000001</v>
      </c>
      <c r="F715" s="50">
        <v>0.45392500000000002</v>
      </c>
      <c r="G715" s="50">
        <v>0.1852</v>
      </c>
      <c r="H715" s="50">
        <v>0.38490743662900001</v>
      </c>
      <c r="I715" s="50">
        <v>0.48829287047999997</v>
      </c>
      <c r="J715" s="50">
        <v>0.28152200277799999</v>
      </c>
      <c r="K715" s="50">
        <v>1340.1</v>
      </c>
      <c r="L715" s="50">
        <v>1301.6400000000001</v>
      </c>
      <c r="M715" s="50">
        <v>1320.28</v>
      </c>
      <c r="N715" s="66">
        <f t="shared" si="80"/>
        <v>-1.6610113006332038E-2</v>
      </c>
      <c r="O715" s="66">
        <f t="shared" si="81"/>
        <v>2.6259581300936221E-2</v>
      </c>
      <c r="P715" s="4">
        <f t="shared" si="82"/>
        <v>0.1852</v>
      </c>
      <c r="Q715" s="4">
        <f t="shared" si="83"/>
        <v>8.3624999999999977E-2</v>
      </c>
      <c r="R715" s="66">
        <f t="shared" si="84"/>
        <v>-1.6610113006332038E-2</v>
      </c>
      <c r="S715" s="66">
        <f t="shared" si="85"/>
        <v>2.6259581300936221E-2</v>
      </c>
      <c r="T715" s="50" t="str">
        <f t="shared" si="86"/>
        <v/>
      </c>
      <c r="U715" s="50">
        <f t="shared" si="87"/>
        <v>1</v>
      </c>
    </row>
    <row r="716" spans="1:21" x14ac:dyDescent="0.2">
      <c r="A716" s="38">
        <v>36902</v>
      </c>
      <c r="B716" s="4">
        <v>0.35709999999999997</v>
      </c>
      <c r="C716" s="4">
        <v>0.21429999999999999</v>
      </c>
      <c r="D716" s="4">
        <v>0.42859999999999998</v>
      </c>
      <c r="E716" s="50">
        <v>1</v>
      </c>
      <c r="F716" s="50">
        <v>0.44127499999999997</v>
      </c>
      <c r="G716" s="50">
        <v>-7.1499999999999994E-2</v>
      </c>
      <c r="H716" s="50">
        <v>0.38490743662900001</v>
      </c>
      <c r="I716" s="50">
        <v>0.48829287047999997</v>
      </c>
      <c r="J716" s="50">
        <v>0.28152200277799999</v>
      </c>
      <c r="K716" s="50">
        <v>1350.24</v>
      </c>
      <c r="L716" s="50">
        <v>1274.6199999999999</v>
      </c>
      <c r="M716" s="50">
        <v>1298.3499999999999</v>
      </c>
      <c r="N716" s="66">
        <f t="shared" si="80"/>
        <v>1.5558208495398041E-2</v>
      </c>
      <c r="O716" s="66">
        <f t="shared" si="81"/>
        <v>3.9373050410136036E-2</v>
      </c>
      <c r="P716" s="4">
        <f t="shared" si="82"/>
        <v>-7.1500000000000008E-2</v>
      </c>
      <c r="Q716" s="4">
        <f t="shared" si="83"/>
        <v>-1.575E-3</v>
      </c>
      <c r="R716" s="66">
        <f t="shared" si="84"/>
        <v>1.5558208495398041E-2</v>
      </c>
      <c r="S716" s="66">
        <f t="shared" si="85"/>
        <v>3.9373050410136036E-2</v>
      </c>
      <c r="T716" s="50">
        <f t="shared" si="86"/>
        <v>1</v>
      </c>
      <c r="U716" s="50">
        <f t="shared" si="87"/>
        <v>1</v>
      </c>
    </row>
    <row r="717" spans="1:21" x14ac:dyDescent="0.2">
      <c r="A717" s="38">
        <v>36909</v>
      </c>
      <c r="B717" s="4">
        <v>0.3659</v>
      </c>
      <c r="C717" s="4">
        <v>0.39019999999999999</v>
      </c>
      <c r="D717" s="4">
        <v>0.24390000000000001</v>
      </c>
      <c r="E717" s="50">
        <v>1</v>
      </c>
      <c r="F717" s="50">
        <v>0.44137500000000002</v>
      </c>
      <c r="G717" s="50">
        <v>0.122</v>
      </c>
      <c r="H717" s="50">
        <v>0.38490743662900001</v>
      </c>
      <c r="I717" s="50">
        <v>0.48829287047999997</v>
      </c>
      <c r="J717" s="50">
        <v>0.28152200277799999</v>
      </c>
      <c r="K717" s="50">
        <v>1333.21</v>
      </c>
      <c r="L717" s="50">
        <v>1276.29</v>
      </c>
      <c r="M717" s="50">
        <v>1318.55</v>
      </c>
      <c r="N717" s="66">
        <f t="shared" ref="N717:N780" si="88">(M718-M717)/M717</f>
        <v>1.8194228508588987E-2</v>
      </c>
      <c r="O717" s="66">
        <f t="shared" ref="O717:O780" si="89">(M721-M717)/M717</f>
        <v>-2.8743695726365808E-3</v>
      </c>
      <c r="P717" s="4">
        <f t="shared" si="82"/>
        <v>0.122</v>
      </c>
      <c r="Q717" s="4">
        <f t="shared" si="83"/>
        <v>7.8924999999999995E-2</v>
      </c>
      <c r="R717" s="66">
        <f t="shared" si="84"/>
        <v>1.8194228508588987E-2</v>
      </c>
      <c r="S717" s="66">
        <f t="shared" si="85"/>
        <v>-2.8743695726365808E-3</v>
      </c>
      <c r="T717" s="50">
        <f t="shared" si="86"/>
        <v>1</v>
      </c>
      <c r="U717" s="50" t="str">
        <f t="shared" si="87"/>
        <v/>
      </c>
    </row>
    <row r="718" spans="1:21" x14ac:dyDescent="0.2">
      <c r="A718" s="38">
        <v>36916</v>
      </c>
      <c r="B718" s="4">
        <v>0.49230000000000002</v>
      </c>
      <c r="C718" s="4">
        <v>0.2462</v>
      </c>
      <c r="D718" s="4">
        <v>0.26150000000000001</v>
      </c>
      <c r="E718" s="50">
        <v>1</v>
      </c>
      <c r="F718" s="50">
        <v>0.42738749999999998</v>
      </c>
      <c r="G718" s="50">
        <v>0.23080000000000001</v>
      </c>
      <c r="H718" s="50">
        <v>0.38490743662900001</v>
      </c>
      <c r="I718" s="50">
        <v>0.48829287047999997</v>
      </c>
      <c r="J718" s="50">
        <v>0.28152200277799999</v>
      </c>
      <c r="K718" s="50">
        <v>1354.55</v>
      </c>
      <c r="L718" s="50">
        <v>1313.33</v>
      </c>
      <c r="M718" s="50">
        <v>1342.54</v>
      </c>
      <c r="N718" s="66">
        <f t="shared" si="88"/>
        <v>9.2436724417895057E-3</v>
      </c>
      <c r="O718" s="66">
        <f t="shared" si="89"/>
        <v>-3.0546575893455684E-2</v>
      </c>
      <c r="P718" s="4">
        <f t="shared" ref="P718:P781" si="90">B718-D718</f>
        <v>0.23080000000000001</v>
      </c>
      <c r="Q718" s="4">
        <f t="shared" si="83"/>
        <v>0.11662500000000001</v>
      </c>
      <c r="R718" s="66">
        <f t="shared" si="84"/>
        <v>9.2436724417895057E-3</v>
      </c>
      <c r="S718" s="66">
        <f t="shared" si="85"/>
        <v>-3.0546575893455684E-2</v>
      </c>
      <c r="T718" s="50">
        <f t="shared" si="86"/>
        <v>1</v>
      </c>
      <c r="U718" s="50" t="str">
        <f t="shared" si="87"/>
        <v/>
      </c>
    </row>
    <row r="719" spans="1:21" x14ac:dyDescent="0.2">
      <c r="A719" s="38">
        <v>36923</v>
      </c>
      <c r="B719" s="4">
        <v>0.5</v>
      </c>
      <c r="C719" s="4">
        <v>0.30769999999999997</v>
      </c>
      <c r="D719" s="4">
        <v>0.1923</v>
      </c>
      <c r="E719" s="50">
        <v>1</v>
      </c>
      <c r="F719" s="50">
        <v>0.43106250000000002</v>
      </c>
      <c r="G719" s="50">
        <v>0.30769999999999997</v>
      </c>
      <c r="H719" s="50">
        <v>0.38490743662900001</v>
      </c>
      <c r="I719" s="50">
        <v>0.48829287047999997</v>
      </c>
      <c r="J719" s="50">
        <v>0.28152200277799999</v>
      </c>
      <c r="K719" s="50">
        <v>1369.75</v>
      </c>
      <c r="L719" s="50">
        <v>1333.84</v>
      </c>
      <c r="M719" s="50">
        <v>1354.95</v>
      </c>
      <c r="N719" s="66">
        <f t="shared" si="88"/>
        <v>-4.0444296837521812E-3</v>
      </c>
      <c r="O719" s="66">
        <f t="shared" si="89"/>
        <v>-8.9132440311450595E-2</v>
      </c>
      <c r="P719" s="4">
        <f t="shared" si="90"/>
        <v>0.30769999999999997</v>
      </c>
      <c r="Q719" s="4">
        <f t="shared" si="83"/>
        <v>0.14724999999999999</v>
      </c>
      <c r="R719" s="66">
        <f t="shared" si="84"/>
        <v>-4.0444296837521812E-3</v>
      </c>
      <c r="S719" s="66">
        <f t="shared" si="85"/>
        <v>-8.9132440311450595E-2</v>
      </c>
      <c r="T719" s="50" t="str">
        <f t="shared" si="86"/>
        <v/>
      </c>
      <c r="U719" s="50" t="str">
        <f t="shared" si="87"/>
        <v/>
      </c>
    </row>
    <row r="720" spans="1:21" x14ac:dyDescent="0.2">
      <c r="A720" s="38">
        <v>36930</v>
      </c>
      <c r="B720" s="4">
        <v>0.55559999999999998</v>
      </c>
      <c r="C720" s="4">
        <v>0.3</v>
      </c>
      <c r="D720" s="4">
        <v>0.1444</v>
      </c>
      <c r="E720" s="50">
        <v>1</v>
      </c>
      <c r="F720" s="50">
        <v>0.42598750000000002</v>
      </c>
      <c r="G720" s="50">
        <v>0.41120000000000001</v>
      </c>
      <c r="H720" s="50">
        <v>0.38490743662900001</v>
      </c>
      <c r="I720" s="50">
        <v>0.48829287047999997</v>
      </c>
      <c r="J720" s="50">
        <v>0.28152200277799999</v>
      </c>
      <c r="K720" s="50">
        <v>1383.37</v>
      </c>
      <c r="L720" s="50">
        <v>1348.72</v>
      </c>
      <c r="M720" s="50">
        <v>1349.47</v>
      </c>
      <c r="N720" s="66">
        <f t="shared" si="88"/>
        <v>-2.5721209067263471E-2</v>
      </c>
      <c r="O720" s="66">
        <f t="shared" si="89"/>
        <v>-8.5996724640043834E-2</v>
      </c>
      <c r="P720" s="4">
        <f t="shared" si="90"/>
        <v>0.41120000000000001</v>
      </c>
      <c r="Q720" s="4">
        <f t="shared" si="83"/>
        <v>0.26792499999999997</v>
      </c>
      <c r="R720" s="66">
        <f t="shared" si="84"/>
        <v>-2.5721209067263471E-2</v>
      </c>
      <c r="S720" s="66">
        <f t="shared" si="85"/>
        <v>-8.5996724640043834E-2</v>
      </c>
      <c r="T720" s="50" t="str">
        <f t="shared" si="86"/>
        <v/>
      </c>
      <c r="U720" s="50" t="str">
        <f t="shared" si="87"/>
        <v/>
      </c>
    </row>
    <row r="721" spans="1:21" x14ac:dyDescent="0.2">
      <c r="A721" s="38">
        <v>36937</v>
      </c>
      <c r="B721" s="4">
        <v>0.30430000000000001</v>
      </c>
      <c r="C721" s="4">
        <v>0.4783</v>
      </c>
      <c r="D721" s="4">
        <v>0.21740000000000001</v>
      </c>
      <c r="E721" s="50">
        <v>1</v>
      </c>
      <c r="F721" s="50">
        <v>0.4251375</v>
      </c>
      <c r="G721" s="50">
        <v>8.6900000000000005E-2</v>
      </c>
      <c r="H721" s="50">
        <v>0.38490743662900001</v>
      </c>
      <c r="I721" s="50">
        <v>0.48829287047999997</v>
      </c>
      <c r="J721" s="50">
        <v>0.28152200277799999</v>
      </c>
      <c r="K721" s="50">
        <v>1363.55</v>
      </c>
      <c r="L721" s="50">
        <v>1309.98</v>
      </c>
      <c r="M721" s="50">
        <v>1314.76</v>
      </c>
      <c r="N721" s="66">
        <f t="shared" si="88"/>
        <v>-1.0062673035382897E-2</v>
      </c>
      <c r="O721" s="66">
        <f t="shared" si="89"/>
        <v>-0.12491253156469623</v>
      </c>
      <c r="P721" s="4">
        <f t="shared" si="90"/>
        <v>8.6900000000000005E-2</v>
      </c>
      <c r="Q721" s="4">
        <f t="shared" ref="Q721:Q784" si="91">AVERAGE(P718:P721)</f>
        <v>0.25914999999999999</v>
      </c>
      <c r="R721" s="66">
        <f t="shared" ref="R721:R784" si="92">(M722-M721)/M721</f>
        <v>-1.0062673035382897E-2</v>
      </c>
      <c r="S721" s="66">
        <f t="shared" ref="S721:S784" si="93">(M725-M721)/M721</f>
        <v>-0.12491253156469623</v>
      </c>
      <c r="T721" s="50" t="str">
        <f t="shared" ref="T721:T784" si="94">IF(R721&gt;0,1,"")</f>
        <v/>
      </c>
      <c r="U721" s="50" t="str">
        <f t="shared" ref="U721:U784" si="95">IF(S721&gt;0,1,"")</f>
        <v/>
      </c>
    </row>
    <row r="722" spans="1:21" x14ac:dyDescent="0.2">
      <c r="A722" s="38">
        <v>36944</v>
      </c>
      <c r="B722" s="4">
        <v>0.26319999999999999</v>
      </c>
      <c r="C722" s="4">
        <v>0.35089999999999999</v>
      </c>
      <c r="D722" s="4">
        <v>0.38600000000000001</v>
      </c>
      <c r="E722" s="50">
        <v>1.0001</v>
      </c>
      <c r="F722" s="50">
        <v>0.4080375</v>
      </c>
      <c r="G722" s="50">
        <v>-0.12280000000000001</v>
      </c>
      <c r="H722" s="50">
        <v>0.38490743662900001</v>
      </c>
      <c r="I722" s="50">
        <v>0.48829287047999997</v>
      </c>
      <c r="J722" s="50">
        <v>0.28152200277799999</v>
      </c>
      <c r="K722" s="50">
        <v>1336.62</v>
      </c>
      <c r="L722" s="50">
        <v>1293.18</v>
      </c>
      <c r="M722" s="50">
        <v>1301.53</v>
      </c>
      <c r="N722" s="66">
        <f t="shared" si="88"/>
        <v>-5.1746790316012627E-2</v>
      </c>
      <c r="O722" s="66">
        <f t="shared" si="89"/>
        <v>-0.12423839634891247</v>
      </c>
      <c r="P722" s="4">
        <f t="shared" si="90"/>
        <v>-0.12280000000000002</v>
      </c>
      <c r="Q722" s="4">
        <f t="shared" si="91"/>
        <v>0.17074999999999999</v>
      </c>
      <c r="R722" s="66">
        <f t="shared" si="92"/>
        <v>-5.1746790316012627E-2</v>
      </c>
      <c r="S722" s="66">
        <f t="shared" si="93"/>
        <v>-0.12423839634891247</v>
      </c>
      <c r="T722" s="50" t="str">
        <f t="shared" si="94"/>
        <v/>
      </c>
      <c r="U722" s="50" t="str">
        <f t="shared" si="95"/>
        <v/>
      </c>
    </row>
    <row r="723" spans="1:21" x14ac:dyDescent="0.2">
      <c r="A723" s="38">
        <v>36951</v>
      </c>
      <c r="B723" s="4">
        <v>0.45950000000000002</v>
      </c>
      <c r="C723" s="4">
        <v>0.20269999999999999</v>
      </c>
      <c r="D723" s="4">
        <v>0.33779999999999999</v>
      </c>
      <c r="E723" s="50">
        <v>1</v>
      </c>
      <c r="F723" s="50">
        <v>0.41223749999999998</v>
      </c>
      <c r="G723" s="50">
        <v>0.1217</v>
      </c>
      <c r="H723" s="50">
        <v>0.38490743662900001</v>
      </c>
      <c r="I723" s="50">
        <v>0.48829287047999997</v>
      </c>
      <c r="J723" s="50">
        <v>0.28152200277799999</v>
      </c>
      <c r="K723" s="50">
        <v>1272.76</v>
      </c>
      <c r="L723" s="50">
        <v>1214.5</v>
      </c>
      <c r="M723" s="50">
        <v>1234.18</v>
      </c>
      <c r="N723" s="66">
        <f t="shared" si="88"/>
        <v>-6.1579348231213511E-4</v>
      </c>
      <c r="O723" s="66">
        <f t="shared" si="89"/>
        <v>-5.9837300879936585E-2</v>
      </c>
      <c r="P723" s="4">
        <f t="shared" si="90"/>
        <v>0.12170000000000003</v>
      </c>
      <c r="Q723" s="4">
        <f t="shared" si="91"/>
        <v>0.12425</v>
      </c>
      <c r="R723" s="66">
        <f t="shared" si="92"/>
        <v>-6.1579348231213511E-4</v>
      </c>
      <c r="S723" s="66">
        <f t="shared" si="93"/>
        <v>-5.9837300879936585E-2</v>
      </c>
      <c r="T723" s="50" t="str">
        <f t="shared" si="94"/>
        <v/>
      </c>
      <c r="U723" s="50" t="str">
        <f t="shared" si="95"/>
        <v/>
      </c>
    </row>
    <row r="724" spans="1:21" x14ac:dyDescent="0.2">
      <c r="A724" s="38">
        <v>36958</v>
      </c>
      <c r="B724" s="4">
        <v>0.31630000000000003</v>
      </c>
      <c r="C724" s="4">
        <v>0.36730000000000002</v>
      </c>
      <c r="D724" s="4">
        <v>0.31630000000000003</v>
      </c>
      <c r="E724" s="50">
        <v>0.99990000000000001</v>
      </c>
      <c r="F724" s="50">
        <v>0.40713749999999999</v>
      </c>
      <c r="G724" s="50">
        <v>0</v>
      </c>
      <c r="H724" s="50">
        <v>0.38490743662900001</v>
      </c>
      <c r="I724" s="50">
        <v>0.48829287047999997</v>
      </c>
      <c r="J724" s="50">
        <v>0.28152200277799999</v>
      </c>
      <c r="K724" s="50">
        <v>1267.42</v>
      </c>
      <c r="L724" s="50">
        <v>1228.42</v>
      </c>
      <c r="M724" s="50">
        <v>1233.42</v>
      </c>
      <c r="N724" s="66">
        <f t="shared" si="88"/>
        <v>-6.7203385708031402E-2</v>
      </c>
      <c r="O724" s="66">
        <f t="shared" si="89"/>
        <v>-8.512104554815067E-2</v>
      </c>
      <c r="P724" s="4">
        <f t="shared" si="90"/>
        <v>0</v>
      </c>
      <c r="Q724" s="4">
        <f t="shared" si="91"/>
        <v>2.1450000000000004E-2</v>
      </c>
      <c r="R724" s="66">
        <f t="shared" si="92"/>
        <v>-6.7203385708031402E-2</v>
      </c>
      <c r="S724" s="66">
        <f t="shared" si="93"/>
        <v>-8.512104554815067E-2</v>
      </c>
      <c r="T724" s="50" t="str">
        <f t="shared" si="94"/>
        <v/>
      </c>
      <c r="U724" s="50" t="str">
        <f t="shared" si="95"/>
        <v/>
      </c>
    </row>
    <row r="725" spans="1:21" x14ac:dyDescent="0.2">
      <c r="A725" s="38">
        <v>36965</v>
      </c>
      <c r="B725" s="4">
        <v>0.30909999999999999</v>
      </c>
      <c r="C725" s="4">
        <v>0.32729999999999998</v>
      </c>
      <c r="D725" s="4">
        <v>0.36359999999999998</v>
      </c>
      <c r="E725" s="50">
        <v>1</v>
      </c>
      <c r="F725" s="50">
        <v>0.40003749999999999</v>
      </c>
      <c r="G725" s="50">
        <v>-5.45E-2</v>
      </c>
      <c r="H725" s="50">
        <v>0.38490743662900001</v>
      </c>
      <c r="I725" s="50">
        <v>0.48829287047999997</v>
      </c>
      <c r="J725" s="50">
        <v>0.28152200277799999</v>
      </c>
      <c r="K725" s="50">
        <v>1233.42</v>
      </c>
      <c r="L725" s="50">
        <v>1148.6400000000001</v>
      </c>
      <c r="M725" s="50">
        <v>1150.53</v>
      </c>
      <c r="N725" s="66">
        <f t="shared" si="88"/>
        <v>-9.3000617106898959E-3</v>
      </c>
      <c r="O725" s="66">
        <f t="shared" si="89"/>
        <v>2.8656358373966805E-2</v>
      </c>
      <c r="P725" s="4">
        <f t="shared" si="90"/>
        <v>-5.4499999999999993E-2</v>
      </c>
      <c r="Q725" s="4">
        <f t="shared" si="91"/>
        <v>-1.3899999999999996E-2</v>
      </c>
      <c r="R725" s="66">
        <f t="shared" si="92"/>
        <v>-9.3000617106898959E-3</v>
      </c>
      <c r="S725" s="66">
        <f t="shared" si="93"/>
        <v>2.8656358373966805E-2</v>
      </c>
      <c r="T725" s="50" t="str">
        <f t="shared" si="94"/>
        <v/>
      </c>
      <c r="U725" s="50">
        <f t="shared" si="95"/>
        <v>1</v>
      </c>
    </row>
    <row r="726" spans="1:21" x14ac:dyDescent="0.2">
      <c r="A726" s="38">
        <v>36972</v>
      </c>
      <c r="B726" s="4">
        <v>0.27779999999999999</v>
      </c>
      <c r="C726" s="4">
        <v>0.25</v>
      </c>
      <c r="D726" s="4">
        <v>0.47220000000000001</v>
      </c>
      <c r="E726" s="50">
        <v>1</v>
      </c>
      <c r="F726" s="50">
        <v>0.37322499999999997</v>
      </c>
      <c r="G726" s="50">
        <v>-0.19439999999999999</v>
      </c>
      <c r="H726" s="50">
        <v>0.38490743662900001</v>
      </c>
      <c r="I726" s="50">
        <v>0.48829287047999997</v>
      </c>
      <c r="J726" s="50">
        <v>0.28152200277799999</v>
      </c>
      <c r="K726" s="50">
        <v>1180.56</v>
      </c>
      <c r="L726" s="50">
        <v>1081.19</v>
      </c>
      <c r="M726" s="50">
        <v>1139.83</v>
      </c>
      <c r="N726" s="66">
        <f t="shared" si="88"/>
        <v>1.7985138134634114E-2</v>
      </c>
      <c r="O726" s="66">
        <f t="shared" si="89"/>
        <v>9.0495951150610265E-2</v>
      </c>
      <c r="P726" s="4">
        <f t="shared" si="90"/>
        <v>-0.19440000000000002</v>
      </c>
      <c r="Q726" s="4">
        <f t="shared" si="91"/>
        <v>-3.1799999999999995E-2</v>
      </c>
      <c r="R726" s="66">
        <f t="shared" si="92"/>
        <v>1.7985138134634114E-2</v>
      </c>
      <c r="S726" s="66">
        <f t="shared" si="93"/>
        <v>9.0495951150610265E-2</v>
      </c>
      <c r="T726" s="50">
        <f t="shared" si="94"/>
        <v>1</v>
      </c>
      <c r="U726" s="50">
        <f t="shared" si="95"/>
        <v>1</v>
      </c>
    </row>
    <row r="727" spans="1:21" x14ac:dyDescent="0.2">
      <c r="A727" s="38">
        <v>36979</v>
      </c>
      <c r="B727" s="4">
        <v>0.3725</v>
      </c>
      <c r="C727" s="4">
        <v>0.35289999999999999</v>
      </c>
      <c r="D727" s="4">
        <v>0.27450000000000002</v>
      </c>
      <c r="E727" s="50">
        <v>0.99990000000000001</v>
      </c>
      <c r="F727" s="50">
        <v>0.35728749999999998</v>
      </c>
      <c r="G727" s="50">
        <v>9.8000000000000004E-2</v>
      </c>
      <c r="H727" s="50">
        <v>0.38490743662900001</v>
      </c>
      <c r="I727" s="50">
        <v>0.48829287047999997</v>
      </c>
      <c r="J727" s="50">
        <v>0.28152200277799999</v>
      </c>
      <c r="K727" s="50">
        <v>1183.3499999999999</v>
      </c>
      <c r="L727" s="50">
        <v>1136.26</v>
      </c>
      <c r="M727" s="50">
        <v>1160.33</v>
      </c>
      <c r="N727" s="66">
        <f t="shared" si="88"/>
        <v>-2.7492178949091953E-2</v>
      </c>
      <c r="O727" s="66">
        <f t="shared" si="89"/>
        <v>7.9908301948583615E-2</v>
      </c>
      <c r="P727" s="4">
        <f t="shared" si="90"/>
        <v>9.7999999999999976E-2</v>
      </c>
      <c r="Q727" s="4">
        <f t="shared" si="91"/>
        <v>-3.7725000000000009E-2</v>
      </c>
      <c r="R727" s="66">
        <f t="shared" si="92"/>
        <v>-2.7492178949091953E-2</v>
      </c>
      <c r="S727" s="66">
        <f t="shared" si="93"/>
        <v>7.9908301948583615E-2</v>
      </c>
      <c r="T727" s="50" t="str">
        <f t="shared" si="94"/>
        <v/>
      </c>
      <c r="U727" s="50">
        <f t="shared" si="95"/>
        <v>1</v>
      </c>
    </row>
    <row r="728" spans="1:21" x14ac:dyDescent="0.2">
      <c r="A728" s="38">
        <v>36986</v>
      </c>
      <c r="B728" s="4">
        <v>0.35139999999999999</v>
      </c>
      <c r="C728" s="4">
        <v>0.26129999999999998</v>
      </c>
      <c r="D728" s="4">
        <v>0.38740000000000002</v>
      </c>
      <c r="E728" s="50">
        <v>1.0001</v>
      </c>
      <c r="F728" s="50">
        <v>0.33176250000000002</v>
      </c>
      <c r="G728" s="50">
        <v>-3.5999999999999997E-2</v>
      </c>
      <c r="H728" s="50">
        <v>0.38490743662900001</v>
      </c>
      <c r="I728" s="50">
        <v>0.48829287047999997</v>
      </c>
      <c r="J728" s="50">
        <v>0.28152200277799999</v>
      </c>
      <c r="K728" s="50">
        <v>1169.51</v>
      </c>
      <c r="L728" s="50">
        <v>1091.99</v>
      </c>
      <c r="M728" s="50">
        <v>1128.43</v>
      </c>
      <c r="N728" s="66">
        <f t="shared" si="88"/>
        <v>4.8802318265200262E-2</v>
      </c>
      <c r="O728" s="66">
        <f t="shared" si="89"/>
        <v>0.12245332009960727</v>
      </c>
      <c r="P728" s="4">
        <f t="shared" si="90"/>
        <v>-3.6000000000000032E-2</v>
      </c>
      <c r="Q728" s="4">
        <f t="shared" si="91"/>
        <v>-4.6725000000000017E-2</v>
      </c>
      <c r="R728" s="66">
        <f t="shared" si="92"/>
        <v>4.8802318265200262E-2</v>
      </c>
      <c r="S728" s="66">
        <f t="shared" si="93"/>
        <v>0.12245332009960727</v>
      </c>
      <c r="T728" s="50">
        <f t="shared" si="94"/>
        <v>1</v>
      </c>
      <c r="U728" s="50">
        <f t="shared" si="95"/>
        <v>1</v>
      </c>
    </row>
    <row r="729" spans="1:21" x14ac:dyDescent="0.2">
      <c r="A729" s="38">
        <v>36993</v>
      </c>
      <c r="B729" s="4">
        <v>0.30299999999999999</v>
      </c>
      <c r="C729" s="4">
        <v>0.28789999999999999</v>
      </c>
      <c r="D729" s="4">
        <v>0.40910000000000002</v>
      </c>
      <c r="E729" s="50">
        <v>1</v>
      </c>
      <c r="F729" s="50">
        <v>0.33160000000000001</v>
      </c>
      <c r="G729" s="50">
        <v>-0.1061</v>
      </c>
      <c r="H729" s="50">
        <v>0.38490743662900001</v>
      </c>
      <c r="I729" s="50">
        <v>0.48829287047999997</v>
      </c>
      <c r="J729" s="50">
        <v>0.28152200277799999</v>
      </c>
      <c r="K729" s="50">
        <v>1183.51</v>
      </c>
      <c r="L729" s="50">
        <v>1126.3800000000001</v>
      </c>
      <c r="M729" s="50">
        <v>1183.5</v>
      </c>
      <c r="N729" s="66">
        <f t="shared" si="88"/>
        <v>5.0257710181664569E-2</v>
      </c>
      <c r="O729" s="66">
        <f t="shared" si="89"/>
        <v>5.2530629488804458E-2</v>
      </c>
      <c r="P729" s="4">
        <f t="shared" si="90"/>
        <v>-0.10610000000000003</v>
      </c>
      <c r="Q729" s="4">
        <f t="shared" si="91"/>
        <v>-5.9625000000000025E-2</v>
      </c>
      <c r="R729" s="66">
        <f t="shared" si="92"/>
        <v>5.0257710181664569E-2</v>
      </c>
      <c r="S729" s="66">
        <f t="shared" si="93"/>
        <v>5.2530629488804458E-2</v>
      </c>
      <c r="T729" s="50">
        <f t="shared" si="94"/>
        <v>1</v>
      </c>
      <c r="U729" s="50">
        <f t="shared" si="95"/>
        <v>1</v>
      </c>
    </row>
    <row r="730" spans="1:21" x14ac:dyDescent="0.2">
      <c r="A730" s="38">
        <v>37000</v>
      </c>
      <c r="B730" s="4">
        <v>0.4375</v>
      </c>
      <c r="C730" s="4">
        <v>0.25</v>
      </c>
      <c r="D730" s="4">
        <v>0.3125</v>
      </c>
      <c r="E730" s="50">
        <v>1</v>
      </c>
      <c r="F730" s="50">
        <v>0.35338750000000002</v>
      </c>
      <c r="G730" s="50">
        <v>0.125</v>
      </c>
      <c r="H730" s="50">
        <v>0.38490743662900001</v>
      </c>
      <c r="I730" s="50">
        <v>0.48829287047999997</v>
      </c>
      <c r="J730" s="50">
        <v>0.28152200277799999</v>
      </c>
      <c r="K730" s="50">
        <v>1253.71</v>
      </c>
      <c r="L730" s="50">
        <v>1167.3800000000001</v>
      </c>
      <c r="M730" s="50">
        <v>1242.98</v>
      </c>
      <c r="N730" s="66">
        <f t="shared" si="88"/>
        <v>8.1014980128400593E-3</v>
      </c>
      <c r="O730" s="66">
        <f t="shared" si="89"/>
        <v>3.940530016573076E-2</v>
      </c>
      <c r="P730" s="4">
        <f t="shared" si="90"/>
        <v>0.125</v>
      </c>
      <c r="Q730" s="4">
        <f t="shared" si="91"/>
        <v>2.0224999999999979E-2</v>
      </c>
      <c r="R730" s="66">
        <f t="shared" si="92"/>
        <v>8.1014980128400593E-3</v>
      </c>
      <c r="S730" s="66">
        <f t="shared" si="93"/>
        <v>3.940530016573076E-2</v>
      </c>
      <c r="T730" s="50">
        <f t="shared" si="94"/>
        <v>1</v>
      </c>
      <c r="U730" s="50">
        <f t="shared" si="95"/>
        <v>1</v>
      </c>
    </row>
    <row r="731" spans="1:21" x14ac:dyDescent="0.2">
      <c r="A731" s="38">
        <v>37007</v>
      </c>
      <c r="B731" s="4">
        <v>0.46550000000000002</v>
      </c>
      <c r="C731" s="4">
        <v>0.22409999999999999</v>
      </c>
      <c r="D731" s="4">
        <v>0.31030000000000002</v>
      </c>
      <c r="E731" s="50">
        <v>0.99990000000000001</v>
      </c>
      <c r="F731" s="50">
        <v>0.35413749999999999</v>
      </c>
      <c r="G731" s="50">
        <v>0.1552</v>
      </c>
      <c r="H731" s="50">
        <v>0.38490743662900001</v>
      </c>
      <c r="I731" s="50">
        <v>0.48829287047999997</v>
      </c>
      <c r="J731" s="50">
        <v>0.28152200277799999</v>
      </c>
      <c r="K731" s="50">
        <v>1253.07</v>
      </c>
      <c r="L731" s="50">
        <v>1207.3800000000001</v>
      </c>
      <c r="M731" s="50">
        <v>1253.05</v>
      </c>
      <c r="N731" s="66">
        <f t="shared" si="88"/>
        <v>1.0821595307449779E-2</v>
      </c>
      <c r="O731" s="66">
        <f t="shared" si="89"/>
        <v>1.9823630341965721E-2</v>
      </c>
      <c r="P731" s="4">
        <f t="shared" si="90"/>
        <v>0.1552</v>
      </c>
      <c r="Q731" s="4">
        <f t="shared" si="91"/>
        <v>3.4524999999999986E-2</v>
      </c>
      <c r="R731" s="66">
        <f t="shared" si="92"/>
        <v>1.0821595307449779E-2</v>
      </c>
      <c r="S731" s="66">
        <f t="shared" si="93"/>
        <v>1.9823630341965721E-2</v>
      </c>
      <c r="T731" s="50">
        <f t="shared" si="94"/>
        <v>1</v>
      </c>
      <c r="U731" s="50">
        <f t="shared" si="95"/>
        <v>1</v>
      </c>
    </row>
    <row r="732" spans="1:21" x14ac:dyDescent="0.2">
      <c r="A732" s="38">
        <v>37014</v>
      </c>
      <c r="B732" s="4">
        <v>0.6351</v>
      </c>
      <c r="C732" s="4">
        <v>0.1487</v>
      </c>
      <c r="D732" s="4">
        <v>0.2162</v>
      </c>
      <c r="E732" s="50">
        <v>1</v>
      </c>
      <c r="F732" s="50">
        <v>0.39398749999999999</v>
      </c>
      <c r="G732" s="50">
        <v>0.41889999999999999</v>
      </c>
      <c r="H732" s="50">
        <v>0.38490743662900001</v>
      </c>
      <c r="I732" s="50">
        <v>0.48829287047999997</v>
      </c>
      <c r="J732" s="50">
        <v>0.28152200277799999</v>
      </c>
      <c r="K732" s="50">
        <v>1272.93</v>
      </c>
      <c r="L732" s="50">
        <v>1232</v>
      </c>
      <c r="M732" s="50">
        <v>1266.6099999999999</v>
      </c>
      <c r="N732" s="66">
        <f t="shared" si="88"/>
        <v>-1.6532318551092939E-2</v>
      </c>
      <c r="O732" s="66">
        <f t="shared" si="89"/>
        <v>-4.6896834858400202E-3</v>
      </c>
      <c r="P732" s="4">
        <f t="shared" si="90"/>
        <v>0.41889999999999999</v>
      </c>
      <c r="Q732" s="4">
        <f t="shared" si="91"/>
        <v>0.14824999999999999</v>
      </c>
      <c r="R732" s="66">
        <f t="shared" si="92"/>
        <v>-1.6532318551092939E-2</v>
      </c>
      <c r="S732" s="66">
        <f t="shared" si="93"/>
        <v>-4.6896834858400202E-3</v>
      </c>
      <c r="T732" s="50" t="str">
        <f t="shared" si="94"/>
        <v/>
      </c>
      <c r="U732" s="50" t="str">
        <f t="shared" si="95"/>
        <v/>
      </c>
    </row>
    <row r="733" spans="1:21" x14ac:dyDescent="0.2">
      <c r="A733" s="38">
        <v>37021</v>
      </c>
      <c r="B733" s="4">
        <v>0.5333</v>
      </c>
      <c r="C733" s="4">
        <v>0.28889999999999999</v>
      </c>
      <c r="D733" s="4">
        <v>0.17780000000000001</v>
      </c>
      <c r="E733" s="50">
        <v>1</v>
      </c>
      <c r="F733" s="50">
        <v>0.42201250000000001</v>
      </c>
      <c r="G733" s="50">
        <v>0.35549999999999998</v>
      </c>
      <c r="H733" s="50">
        <v>0.38490743662900001</v>
      </c>
      <c r="I733" s="50">
        <v>0.48829287047999997</v>
      </c>
      <c r="J733" s="50">
        <v>0.28152200277799999</v>
      </c>
      <c r="K733" s="50">
        <v>1270</v>
      </c>
      <c r="L733" s="50">
        <v>1240.79</v>
      </c>
      <c r="M733" s="50">
        <v>1245.67</v>
      </c>
      <c r="N733" s="66">
        <f t="shared" si="88"/>
        <v>3.7160724750535827E-2</v>
      </c>
      <c r="O733" s="66">
        <f t="shared" si="89"/>
        <v>1.5485642264805255E-2</v>
      </c>
      <c r="P733" s="4">
        <f t="shared" si="90"/>
        <v>0.35549999999999998</v>
      </c>
      <c r="Q733" s="4">
        <f t="shared" si="91"/>
        <v>0.26365</v>
      </c>
      <c r="R733" s="66">
        <f t="shared" si="92"/>
        <v>3.7160724750535827E-2</v>
      </c>
      <c r="S733" s="66">
        <f t="shared" si="93"/>
        <v>1.5485642264805255E-2</v>
      </c>
      <c r="T733" s="50">
        <f t="shared" si="94"/>
        <v>1</v>
      </c>
      <c r="U733" s="50">
        <f t="shared" si="95"/>
        <v>1</v>
      </c>
    </row>
    <row r="734" spans="1:21" x14ac:dyDescent="0.2">
      <c r="A734" s="38">
        <v>37028</v>
      </c>
      <c r="B734" s="4">
        <v>0.51759999999999995</v>
      </c>
      <c r="C734" s="4">
        <v>0.29409999999999997</v>
      </c>
      <c r="D734" s="4">
        <v>0.18820000000000001</v>
      </c>
      <c r="E734" s="50">
        <v>0.99990000000000001</v>
      </c>
      <c r="F734" s="50">
        <v>0.45198749999999999</v>
      </c>
      <c r="G734" s="50">
        <v>0.32940000000000003</v>
      </c>
      <c r="H734" s="50">
        <v>0.38490743662900001</v>
      </c>
      <c r="I734" s="50">
        <v>0.48829287047999997</v>
      </c>
      <c r="J734" s="50">
        <v>0.28152200277799999</v>
      </c>
      <c r="K734" s="50">
        <v>1296.48</v>
      </c>
      <c r="L734" s="50">
        <v>1241.02</v>
      </c>
      <c r="M734" s="50">
        <v>1291.96</v>
      </c>
      <c r="N734" s="66">
        <f t="shared" si="88"/>
        <v>-1.0890430044273766E-2</v>
      </c>
      <c r="O734" s="66">
        <f t="shared" si="89"/>
        <v>-6.0063779064367419E-2</v>
      </c>
      <c r="P734" s="4">
        <f t="shared" si="90"/>
        <v>0.32939999999999992</v>
      </c>
      <c r="Q734" s="4">
        <f t="shared" si="91"/>
        <v>0.31474999999999997</v>
      </c>
      <c r="R734" s="66">
        <f t="shared" si="92"/>
        <v>-1.0890430044273766E-2</v>
      </c>
      <c r="S734" s="66">
        <f t="shared" si="93"/>
        <v>-6.0063779064367419E-2</v>
      </c>
      <c r="T734" s="50" t="str">
        <f t="shared" si="94"/>
        <v/>
      </c>
      <c r="U734" s="50" t="str">
        <f t="shared" si="95"/>
        <v/>
      </c>
    </row>
    <row r="735" spans="1:21" x14ac:dyDescent="0.2">
      <c r="A735" s="38">
        <v>37035</v>
      </c>
      <c r="B735" s="4">
        <v>0.61899999999999999</v>
      </c>
      <c r="C735" s="4">
        <v>0.21429999999999999</v>
      </c>
      <c r="D735" s="4">
        <v>0.16669999999999999</v>
      </c>
      <c r="E735" s="50">
        <v>1</v>
      </c>
      <c r="F735" s="50">
        <v>0.48280000000000001</v>
      </c>
      <c r="G735" s="50">
        <v>0.45229999999999998</v>
      </c>
      <c r="H735" s="50">
        <v>0.38490743662900001</v>
      </c>
      <c r="I735" s="50">
        <v>0.48829287047999997</v>
      </c>
      <c r="J735" s="50">
        <v>0.28152200277799999</v>
      </c>
      <c r="K735" s="50">
        <v>1315.93</v>
      </c>
      <c r="L735" s="50">
        <v>1276.42</v>
      </c>
      <c r="M735" s="50">
        <v>1277.8900000000001</v>
      </c>
      <c r="N735" s="66">
        <f t="shared" si="88"/>
        <v>-1.3475338252901287E-2</v>
      </c>
      <c r="O735" s="66">
        <f t="shared" si="89"/>
        <v>-4.1114649930745359E-2</v>
      </c>
      <c r="P735" s="4">
        <f t="shared" si="90"/>
        <v>0.45230000000000004</v>
      </c>
      <c r="Q735" s="4">
        <f t="shared" si="91"/>
        <v>0.38902499999999995</v>
      </c>
      <c r="R735" s="66">
        <f t="shared" si="92"/>
        <v>-1.3475338252901287E-2</v>
      </c>
      <c r="S735" s="66">
        <f t="shared" si="93"/>
        <v>-4.1114649930745359E-2</v>
      </c>
      <c r="T735" s="50" t="str">
        <f t="shared" si="94"/>
        <v/>
      </c>
      <c r="U735" s="50" t="str">
        <f t="shared" si="95"/>
        <v/>
      </c>
    </row>
    <row r="736" spans="1:21" x14ac:dyDescent="0.2">
      <c r="A736" s="38">
        <v>37042</v>
      </c>
      <c r="B736" s="4">
        <v>0.49349999999999999</v>
      </c>
      <c r="C736" s="4">
        <v>0.2208</v>
      </c>
      <c r="D736" s="4">
        <v>0.28570000000000001</v>
      </c>
      <c r="E736" s="50">
        <v>1</v>
      </c>
      <c r="F736" s="50">
        <v>0.50056250000000002</v>
      </c>
      <c r="G736" s="50">
        <v>0.20780000000000001</v>
      </c>
      <c r="H736" s="50">
        <v>0.38490743662900001</v>
      </c>
      <c r="I736" s="50">
        <v>0.48829287047999997</v>
      </c>
      <c r="J736" s="50">
        <v>0.28152200277799999</v>
      </c>
      <c r="K736" s="50">
        <v>1278.42</v>
      </c>
      <c r="L736" s="50">
        <v>1245.96</v>
      </c>
      <c r="M736" s="50">
        <v>1260.67</v>
      </c>
      <c r="N736" s="66">
        <f t="shared" si="88"/>
        <v>3.4029523983278441E-3</v>
      </c>
      <c r="O736" s="66">
        <f t="shared" si="89"/>
        <v>-2.8786280311263027E-2</v>
      </c>
      <c r="P736" s="4">
        <f t="shared" si="90"/>
        <v>0.20779999999999998</v>
      </c>
      <c r="Q736" s="4">
        <f t="shared" si="91"/>
        <v>0.33624999999999999</v>
      </c>
      <c r="R736" s="66">
        <f t="shared" si="92"/>
        <v>3.4029523983278441E-3</v>
      </c>
      <c r="S736" s="66">
        <f t="shared" si="93"/>
        <v>-2.8786280311263027E-2</v>
      </c>
      <c r="T736" s="50">
        <f t="shared" si="94"/>
        <v>1</v>
      </c>
      <c r="U736" s="50" t="str">
        <f t="shared" si="95"/>
        <v/>
      </c>
    </row>
    <row r="737" spans="1:21" x14ac:dyDescent="0.2">
      <c r="A737" s="38">
        <v>37049</v>
      </c>
      <c r="B737" s="4">
        <v>0.42549999999999999</v>
      </c>
      <c r="C737" s="4">
        <v>0.31909999999999999</v>
      </c>
      <c r="D737" s="4">
        <v>0.25530000000000003</v>
      </c>
      <c r="E737" s="50">
        <v>0.99990000000000001</v>
      </c>
      <c r="F737" s="50">
        <v>0.51587499999999997</v>
      </c>
      <c r="G737" s="50">
        <v>0.17019999999999999</v>
      </c>
      <c r="H737" s="50">
        <v>0.38490743662900001</v>
      </c>
      <c r="I737" s="50">
        <v>0.48829287047999997</v>
      </c>
      <c r="J737" s="50">
        <v>0.28152200277799999</v>
      </c>
      <c r="K737" s="50">
        <v>1286.6199999999999</v>
      </c>
      <c r="L737" s="50">
        <v>1256.3599999999999</v>
      </c>
      <c r="M737" s="50">
        <v>1264.96</v>
      </c>
      <c r="N737" s="66">
        <f t="shared" si="88"/>
        <v>-4.0001264862130133E-2</v>
      </c>
      <c r="O737" s="66">
        <f t="shared" si="89"/>
        <v>-5.8792372881356025E-2</v>
      </c>
      <c r="P737" s="4">
        <f t="shared" si="90"/>
        <v>0.17019999999999996</v>
      </c>
      <c r="Q737" s="4">
        <f t="shared" si="91"/>
        <v>0.28992499999999999</v>
      </c>
      <c r="R737" s="66">
        <f t="shared" si="92"/>
        <v>-4.0001264862130133E-2</v>
      </c>
      <c r="S737" s="66">
        <f t="shared" si="93"/>
        <v>-5.8792372881356025E-2</v>
      </c>
      <c r="T737" s="50" t="str">
        <f t="shared" si="94"/>
        <v/>
      </c>
      <c r="U737" s="50" t="str">
        <f t="shared" si="95"/>
        <v/>
      </c>
    </row>
    <row r="738" spans="1:21" x14ac:dyDescent="0.2">
      <c r="A738" s="38">
        <v>37056</v>
      </c>
      <c r="B738" s="4">
        <v>0.30509999999999998</v>
      </c>
      <c r="C738" s="4">
        <v>0.47460000000000002</v>
      </c>
      <c r="D738" s="4">
        <v>0.2203</v>
      </c>
      <c r="E738" s="50">
        <v>1</v>
      </c>
      <c r="F738" s="50">
        <v>0.49932500000000002</v>
      </c>
      <c r="G738" s="50">
        <v>8.48E-2</v>
      </c>
      <c r="H738" s="50">
        <v>0.38490743662900001</v>
      </c>
      <c r="I738" s="50">
        <v>0.48829287047999997</v>
      </c>
      <c r="J738" s="50">
        <v>0.28152200277799999</v>
      </c>
      <c r="K738" s="50">
        <v>1264.96</v>
      </c>
      <c r="L738" s="50">
        <v>1203.03</v>
      </c>
      <c r="M738" s="50">
        <v>1214.3599999999999</v>
      </c>
      <c r="N738" s="66">
        <f t="shared" si="88"/>
        <v>9.0500345861194448E-3</v>
      </c>
      <c r="O738" s="66">
        <f t="shared" si="89"/>
        <v>1.086992325175536E-3</v>
      </c>
      <c r="P738" s="4">
        <f t="shared" si="90"/>
        <v>8.4799999999999986E-2</v>
      </c>
      <c r="Q738" s="4">
        <f t="shared" si="91"/>
        <v>0.22877500000000001</v>
      </c>
      <c r="R738" s="66">
        <f t="shared" si="92"/>
        <v>9.0500345861194448E-3</v>
      </c>
      <c r="S738" s="66">
        <f t="shared" si="93"/>
        <v>1.086992325175536E-3</v>
      </c>
      <c r="T738" s="50">
        <f t="shared" si="94"/>
        <v>1</v>
      </c>
      <c r="U738" s="50">
        <f t="shared" si="95"/>
        <v>1</v>
      </c>
    </row>
    <row r="739" spans="1:21" x14ac:dyDescent="0.2">
      <c r="A739" s="38">
        <v>37063</v>
      </c>
      <c r="B739" s="4">
        <v>0.33329999999999999</v>
      </c>
      <c r="C739" s="4">
        <v>0.43330000000000002</v>
      </c>
      <c r="D739" s="4">
        <v>0.23330000000000001</v>
      </c>
      <c r="E739" s="50">
        <v>0.99990000000000001</v>
      </c>
      <c r="F739" s="50">
        <v>0.48280000000000001</v>
      </c>
      <c r="G739" s="50">
        <v>0.1</v>
      </c>
      <c r="H739" s="50">
        <v>0.38490743662900001</v>
      </c>
      <c r="I739" s="50">
        <v>0.48829287047999997</v>
      </c>
      <c r="J739" s="50">
        <v>0.28152200277799999</v>
      </c>
      <c r="K739" s="50">
        <v>1240.24</v>
      </c>
      <c r="L739" s="50">
        <v>1207.71</v>
      </c>
      <c r="M739" s="50">
        <v>1225.3499999999999</v>
      </c>
      <c r="N739" s="66">
        <f t="shared" si="88"/>
        <v>-7.916105602479291E-4</v>
      </c>
      <c r="O739" s="66">
        <f t="shared" si="89"/>
        <v>-1.1833353735667362E-2</v>
      </c>
      <c r="P739" s="4">
        <f t="shared" si="90"/>
        <v>9.9999999999999978E-2</v>
      </c>
      <c r="Q739" s="4">
        <f t="shared" si="91"/>
        <v>0.14069999999999999</v>
      </c>
      <c r="R739" s="66">
        <f t="shared" si="92"/>
        <v>-7.916105602479291E-4</v>
      </c>
      <c r="S739" s="66">
        <f t="shared" si="93"/>
        <v>-1.1833353735667362E-2</v>
      </c>
      <c r="T739" s="50" t="str">
        <f t="shared" si="94"/>
        <v/>
      </c>
      <c r="U739" s="50" t="str">
        <f t="shared" si="95"/>
        <v/>
      </c>
    </row>
    <row r="740" spans="1:21" x14ac:dyDescent="0.2">
      <c r="A740" s="38">
        <v>37070</v>
      </c>
      <c r="B740" s="4">
        <v>0.30380000000000001</v>
      </c>
      <c r="C740" s="4">
        <v>0.36709999999999998</v>
      </c>
      <c r="D740" s="4">
        <v>0.3291</v>
      </c>
      <c r="E740" s="50">
        <v>1</v>
      </c>
      <c r="F740" s="50">
        <v>0.44138749999999999</v>
      </c>
      <c r="G740" s="50">
        <v>-2.53E-2</v>
      </c>
      <c r="H740" s="50">
        <v>0.38490743662900001</v>
      </c>
      <c r="I740" s="50">
        <v>0.48829287047999997</v>
      </c>
      <c r="J740" s="50">
        <v>0.28152200277799999</v>
      </c>
      <c r="K740" s="50">
        <v>1237.29</v>
      </c>
      <c r="L740" s="50">
        <v>1204.6400000000001</v>
      </c>
      <c r="M740" s="50">
        <v>1224.3800000000001</v>
      </c>
      <c r="N740" s="66">
        <f t="shared" si="88"/>
        <v>-2.7597641255166033E-2</v>
      </c>
      <c r="O740" s="66">
        <f t="shared" si="89"/>
        <v>-1.51586925627666E-2</v>
      </c>
      <c r="P740" s="4">
        <f t="shared" si="90"/>
        <v>-2.5299999999999989E-2</v>
      </c>
      <c r="Q740" s="4">
        <f t="shared" si="91"/>
        <v>8.2424999999999984E-2</v>
      </c>
      <c r="R740" s="66">
        <f t="shared" si="92"/>
        <v>-2.7597641255166033E-2</v>
      </c>
      <c r="S740" s="66">
        <f t="shared" si="93"/>
        <v>-1.51586925627666E-2</v>
      </c>
      <c r="T740" s="50" t="str">
        <f t="shared" si="94"/>
        <v/>
      </c>
      <c r="U740" s="50" t="str">
        <f t="shared" si="95"/>
        <v/>
      </c>
    </row>
    <row r="741" spans="1:21" x14ac:dyDescent="0.2">
      <c r="A741" s="38">
        <v>37077</v>
      </c>
      <c r="B741" s="4">
        <v>0.40739999999999998</v>
      </c>
      <c r="C741" s="4">
        <v>0.40739999999999998</v>
      </c>
      <c r="D741" s="4">
        <v>0.1852</v>
      </c>
      <c r="E741" s="50">
        <v>1</v>
      </c>
      <c r="F741" s="50">
        <v>0.42564999999999997</v>
      </c>
      <c r="G741" s="50">
        <v>0.22220000000000001</v>
      </c>
      <c r="H741" s="50">
        <v>0.38490743662900001</v>
      </c>
      <c r="I741" s="50">
        <v>0.48829287047999997</v>
      </c>
      <c r="J741" s="50">
        <v>0.28152200277799999</v>
      </c>
      <c r="K741" s="50">
        <v>1239.78</v>
      </c>
      <c r="L741" s="50">
        <v>1188.74</v>
      </c>
      <c r="M741" s="50">
        <v>1190.5899999999999</v>
      </c>
      <c r="N741" s="66">
        <f t="shared" si="88"/>
        <v>2.1073585365239206E-2</v>
      </c>
      <c r="O741" s="66">
        <f t="shared" si="89"/>
        <v>1.9956492159349561E-2</v>
      </c>
      <c r="P741" s="4">
        <f t="shared" si="90"/>
        <v>0.22219999999999998</v>
      </c>
      <c r="Q741" s="4">
        <f t="shared" si="91"/>
        <v>9.5424999999999982E-2</v>
      </c>
      <c r="R741" s="66">
        <f t="shared" si="92"/>
        <v>2.1073585365239206E-2</v>
      </c>
      <c r="S741" s="66">
        <f t="shared" si="93"/>
        <v>1.9956492159349561E-2</v>
      </c>
      <c r="T741" s="50">
        <f t="shared" si="94"/>
        <v>1</v>
      </c>
      <c r="U741" s="50">
        <f t="shared" si="95"/>
        <v>1</v>
      </c>
    </row>
    <row r="742" spans="1:21" x14ac:dyDescent="0.2">
      <c r="A742" s="38">
        <v>37084</v>
      </c>
      <c r="B742" s="4">
        <v>0.25269999999999998</v>
      </c>
      <c r="C742" s="4">
        <v>0.3846</v>
      </c>
      <c r="D742" s="4">
        <v>0.36259999999999998</v>
      </c>
      <c r="E742" s="50">
        <v>0.99990000000000001</v>
      </c>
      <c r="F742" s="50">
        <v>0.39253749999999998</v>
      </c>
      <c r="G742" s="50">
        <v>-0.1099</v>
      </c>
      <c r="H742" s="50">
        <v>0.38490743662900001</v>
      </c>
      <c r="I742" s="50">
        <v>0.48829287047999997</v>
      </c>
      <c r="J742" s="50">
        <v>0.28152200277799999</v>
      </c>
      <c r="K742" s="50">
        <v>1218.54</v>
      </c>
      <c r="L742" s="50">
        <v>1168.46</v>
      </c>
      <c r="M742" s="50">
        <v>1215.68</v>
      </c>
      <c r="N742" s="66">
        <f t="shared" si="88"/>
        <v>-3.973085022374436E-3</v>
      </c>
      <c r="O742" s="66">
        <f t="shared" si="89"/>
        <v>-2.0992366412213723E-2</v>
      </c>
      <c r="P742" s="4">
        <f t="shared" si="90"/>
        <v>-0.1099</v>
      </c>
      <c r="Q742" s="4">
        <f t="shared" si="91"/>
        <v>4.6749999999999986E-2</v>
      </c>
      <c r="R742" s="66">
        <f t="shared" si="92"/>
        <v>-3.973085022374436E-3</v>
      </c>
      <c r="S742" s="66">
        <f t="shared" si="93"/>
        <v>-2.0992366412213723E-2</v>
      </c>
      <c r="T742" s="50" t="str">
        <f t="shared" si="94"/>
        <v/>
      </c>
      <c r="U742" s="50" t="str">
        <f t="shared" si="95"/>
        <v/>
      </c>
    </row>
    <row r="743" spans="1:21" x14ac:dyDescent="0.2">
      <c r="A743" s="38">
        <v>37091</v>
      </c>
      <c r="B743" s="4">
        <v>0.5</v>
      </c>
      <c r="C743" s="4">
        <v>0.3478</v>
      </c>
      <c r="D743" s="4">
        <v>0.1522</v>
      </c>
      <c r="E743" s="50">
        <v>1</v>
      </c>
      <c r="F743" s="50">
        <v>0.37766250000000001</v>
      </c>
      <c r="G743" s="50">
        <v>0.3478</v>
      </c>
      <c r="H743" s="50">
        <v>0.38490743662900001</v>
      </c>
      <c r="I743" s="50">
        <v>0.48829287047999997</v>
      </c>
      <c r="J743" s="50">
        <v>0.28152200277799999</v>
      </c>
      <c r="K743" s="50">
        <v>1225.04</v>
      </c>
      <c r="L743" s="50">
        <v>1196.1400000000001</v>
      </c>
      <c r="M743" s="50">
        <v>1210.8499999999999</v>
      </c>
      <c r="N743" s="66">
        <f t="shared" si="88"/>
        <v>-4.1541066193169869E-3</v>
      </c>
      <c r="O743" s="66">
        <f t="shared" si="89"/>
        <v>-4.0368336292686859E-2</v>
      </c>
      <c r="P743" s="4">
        <f t="shared" si="90"/>
        <v>0.3478</v>
      </c>
      <c r="Q743" s="4">
        <f t="shared" si="91"/>
        <v>0.10869999999999999</v>
      </c>
      <c r="R743" s="66">
        <f t="shared" si="92"/>
        <v>-4.1541066193169869E-3</v>
      </c>
      <c r="S743" s="66">
        <f t="shared" si="93"/>
        <v>-4.0368336292686859E-2</v>
      </c>
      <c r="T743" s="50" t="str">
        <f t="shared" si="94"/>
        <v/>
      </c>
      <c r="U743" s="50" t="str">
        <f t="shared" si="95"/>
        <v/>
      </c>
    </row>
    <row r="744" spans="1:21" x14ac:dyDescent="0.2">
      <c r="A744" s="38">
        <v>37098</v>
      </c>
      <c r="B744" s="4">
        <v>0.29520000000000002</v>
      </c>
      <c r="C744" s="4">
        <v>0.32379999999999998</v>
      </c>
      <c r="D744" s="4">
        <v>0.38100000000000001</v>
      </c>
      <c r="E744" s="50">
        <v>1</v>
      </c>
      <c r="F744" s="50">
        <v>0.35287499999999999</v>
      </c>
      <c r="G744" s="50">
        <v>-8.5800000000000001E-2</v>
      </c>
      <c r="H744" s="50">
        <v>0.38490743662900001</v>
      </c>
      <c r="I744" s="50">
        <v>0.48829287047999997</v>
      </c>
      <c r="J744" s="50">
        <v>0.28152200277799999</v>
      </c>
      <c r="K744" s="50">
        <v>1215.22</v>
      </c>
      <c r="L744" s="50">
        <v>1165.54</v>
      </c>
      <c r="M744" s="50">
        <v>1205.82</v>
      </c>
      <c r="N744" s="66">
        <f t="shared" si="88"/>
        <v>7.0740243154036033E-3</v>
      </c>
      <c r="O744" s="66">
        <f t="shared" si="89"/>
        <v>-1.7324310427758598E-2</v>
      </c>
      <c r="P744" s="4">
        <f t="shared" si="90"/>
        <v>-8.5799999999999987E-2</v>
      </c>
      <c r="Q744" s="4">
        <f t="shared" si="91"/>
        <v>9.3574999999999992E-2</v>
      </c>
      <c r="R744" s="66">
        <f t="shared" si="92"/>
        <v>7.0740243154036033E-3</v>
      </c>
      <c r="S744" s="66">
        <f t="shared" si="93"/>
        <v>-1.7324310427758598E-2</v>
      </c>
      <c r="T744" s="50">
        <f t="shared" si="94"/>
        <v>1</v>
      </c>
      <c r="U744" s="50" t="str">
        <f t="shared" si="95"/>
        <v/>
      </c>
    </row>
    <row r="745" spans="1:21" x14ac:dyDescent="0.2">
      <c r="A745" s="38">
        <v>37105</v>
      </c>
      <c r="B745" s="4">
        <v>0.36359999999999998</v>
      </c>
      <c r="C745" s="4">
        <v>0.2727</v>
      </c>
      <c r="D745" s="4">
        <v>0.36359999999999998</v>
      </c>
      <c r="E745" s="50">
        <v>0.99990000000000001</v>
      </c>
      <c r="F745" s="50">
        <v>0.34513749999999999</v>
      </c>
      <c r="G745" s="50">
        <v>0</v>
      </c>
      <c r="H745" s="50">
        <v>0.38490743662900001</v>
      </c>
      <c r="I745" s="50">
        <v>0.48829287047999997</v>
      </c>
      <c r="J745" s="50">
        <v>0.28152200277799999</v>
      </c>
      <c r="K745" s="50">
        <v>1226.27</v>
      </c>
      <c r="L745" s="50">
        <v>1200.4100000000001</v>
      </c>
      <c r="M745" s="50">
        <v>1214.3499999999999</v>
      </c>
      <c r="N745" s="66">
        <f t="shared" si="88"/>
        <v>-1.9920121875900546E-2</v>
      </c>
      <c r="O745" s="66">
        <f t="shared" si="89"/>
        <v>-6.6512949314448053E-2</v>
      </c>
      <c r="P745" s="4">
        <f t="shared" si="90"/>
        <v>0</v>
      </c>
      <c r="Q745" s="4">
        <f t="shared" si="91"/>
        <v>3.8025000000000003E-2</v>
      </c>
      <c r="R745" s="66">
        <f t="shared" si="92"/>
        <v>-1.9920121875900546E-2</v>
      </c>
      <c r="S745" s="66">
        <f t="shared" si="93"/>
        <v>-6.6512949314448053E-2</v>
      </c>
      <c r="T745" s="50" t="str">
        <f t="shared" si="94"/>
        <v/>
      </c>
      <c r="U745" s="50" t="str">
        <f t="shared" si="95"/>
        <v/>
      </c>
    </row>
    <row r="746" spans="1:21" x14ac:dyDescent="0.2">
      <c r="A746" s="38">
        <v>37112</v>
      </c>
      <c r="B746" s="4">
        <v>0.34939999999999999</v>
      </c>
      <c r="C746" s="4">
        <v>0.3735</v>
      </c>
      <c r="D746" s="4">
        <v>0.27710000000000001</v>
      </c>
      <c r="E746" s="50">
        <v>1</v>
      </c>
      <c r="F746" s="50">
        <v>0.35067500000000001</v>
      </c>
      <c r="G746" s="50">
        <v>7.2300000000000003E-2</v>
      </c>
      <c r="H746" s="50">
        <v>0.38490743662900001</v>
      </c>
      <c r="I746" s="50">
        <v>0.48829287047999997</v>
      </c>
      <c r="J746" s="50">
        <v>0.28152200277799999</v>
      </c>
      <c r="K746" s="50">
        <v>1214.3499999999999</v>
      </c>
      <c r="L746" s="50">
        <v>1169.55</v>
      </c>
      <c r="M746" s="50">
        <v>1190.1600000000001</v>
      </c>
      <c r="N746" s="66">
        <f t="shared" si="88"/>
        <v>-2.3685890972642377E-2</v>
      </c>
      <c r="O746" s="66">
        <f t="shared" si="89"/>
        <v>-8.7702493782348678E-2</v>
      </c>
      <c r="P746" s="4">
        <f t="shared" si="90"/>
        <v>7.2299999999999975E-2</v>
      </c>
      <c r="Q746" s="4">
        <f t="shared" si="91"/>
        <v>8.3574999999999997E-2</v>
      </c>
      <c r="R746" s="66">
        <f t="shared" si="92"/>
        <v>-2.3685890972642377E-2</v>
      </c>
      <c r="S746" s="66">
        <f t="shared" si="93"/>
        <v>-8.7702493782348678E-2</v>
      </c>
      <c r="T746" s="50" t="str">
        <f t="shared" si="94"/>
        <v/>
      </c>
      <c r="U746" s="50" t="str">
        <f t="shared" si="95"/>
        <v/>
      </c>
    </row>
    <row r="747" spans="1:21" x14ac:dyDescent="0.2">
      <c r="A747" s="38">
        <v>37119</v>
      </c>
      <c r="B747" s="4">
        <v>0.35420000000000001</v>
      </c>
      <c r="C747" s="4">
        <v>0.27079999999999999</v>
      </c>
      <c r="D747" s="4">
        <v>0.375</v>
      </c>
      <c r="E747" s="50">
        <v>1</v>
      </c>
      <c r="F747" s="50">
        <v>0.35328749999999998</v>
      </c>
      <c r="G747" s="50">
        <v>-2.0799999999999999E-2</v>
      </c>
      <c r="H747" s="50">
        <v>0.38490743662900001</v>
      </c>
      <c r="I747" s="50">
        <v>0.48829287047999997</v>
      </c>
      <c r="J747" s="50">
        <v>0.28152200277799999</v>
      </c>
      <c r="K747" s="50">
        <v>1198.79</v>
      </c>
      <c r="L747" s="50">
        <v>1156.07</v>
      </c>
      <c r="M747" s="50">
        <v>1161.97</v>
      </c>
      <c r="N747" s="66">
        <f t="shared" si="88"/>
        <v>1.9759546287769939E-2</v>
      </c>
      <c r="O747" s="66">
        <f t="shared" si="89"/>
        <v>-5.9751972942502875E-2</v>
      </c>
      <c r="P747" s="4">
        <f t="shared" si="90"/>
        <v>-2.0799999999999985E-2</v>
      </c>
      <c r="Q747" s="4">
        <f t="shared" si="91"/>
        <v>-8.5749999999999993E-3</v>
      </c>
      <c r="R747" s="66">
        <f t="shared" si="92"/>
        <v>1.9759546287769939E-2</v>
      </c>
      <c r="S747" s="66">
        <f t="shared" si="93"/>
        <v>-5.9751972942502875E-2</v>
      </c>
      <c r="T747" s="50">
        <f t="shared" si="94"/>
        <v>1</v>
      </c>
      <c r="U747" s="50" t="str">
        <f t="shared" si="95"/>
        <v/>
      </c>
    </row>
    <row r="748" spans="1:21" x14ac:dyDescent="0.2">
      <c r="A748" s="38">
        <v>37126</v>
      </c>
      <c r="B748" s="4">
        <v>0.3448</v>
      </c>
      <c r="C748" s="4">
        <v>0.3448</v>
      </c>
      <c r="D748" s="4">
        <v>0.31030000000000002</v>
      </c>
      <c r="E748" s="50">
        <v>0.99990000000000001</v>
      </c>
      <c r="F748" s="50">
        <v>0.35841250000000002</v>
      </c>
      <c r="G748" s="50">
        <v>3.4500000000000003E-2</v>
      </c>
      <c r="H748" s="50">
        <v>0.38490743662900001</v>
      </c>
      <c r="I748" s="50">
        <v>0.48829287047999997</v>
      </c>
      <c r="J748" s="50">
        <v>0.28152200277799999</v>
      </c>
      <c r="K748" s="50">
        <v>1185.1500000000001</v>
      </c>
      <c r="L748" s="50">
        <v>1153.3399999999999</v>
      </c>
      <c r="M748" s="50">
        <v>1184.93</v>
      </c>
      <c r="N748" s="66">
        <f t="shared" si="88"/>
        <v>-4.3335893259517554E-2</v>
      </c>
      <c r="O748" s="66">
        <f t="shared" si="89"/>
        <v>-0.18493075540327286</v>
      </c>
      <c r="P748" s="4">
        <f t="shared" si="90"/>
        <v>3.4499999999999975E-2</v>
      </c>
      <c r="Q748" s="4">
        <f t="shared" si="91"/>
        <v>2.1499999999999991E-2</v>
      </c>
      <c r="R748" s="66">
        <f t="shared" si="92"/>
        <v>-4.3335893259517554E-2</v>
      </c>
      <c r="S748" s="66">
        <f t="shared" si="93"/>
        <v>-0.18493075540327286</v>
      </c>
      <c r="T748" s="50" t="str">
        <f t="shared" si="94"/>
        <v/>
      </c>
      <c r="U748" s="50" t="str">
        <f t="shared" si="95"/>
        <v/>
      </c>
    </row>
    <row r="749" spans="1:21" x14ac:dyDescent="0.2">
      <c r="A749" s="38">
        <v>37133</v>
      </c>
      <c r="B749" s="4">
        <v>0.31430000000000002</v>
      </c>
      <c r="C749" s="4">
        <v>0.45710000000000001</v>
      </c>
      <c r="D749" s="4">
        <v>0.2286</v>
      </c>
      <c r="E749" s="50">
        <v>1</v>
      </c>
      <c r="F749" s="50">
        <v>0.346775</v>
      </c>
      <c r="G749" s="50">
        <v>8.5699999999999998E-2</v>
      </c>
      <c r="H749" s="50">
        <v>0.38490743662900001</v>
      </c>
      <c r="I749" s="50">
        <v>0.48829287047999997</v>
      </c>
      <c r="J749" s="50">
        <v>0.28152200277799999</v>
      </c>
      <c r="K749" s="50">
        <v>1186.8499999999999</v>
      </c>
      <c r="L749" s="50">
        <v>1124.8699999999999</v>
      </c>
      <c r="M749" s="50">
        <v>1133.58</v>
      </c>
      <c r="N749" s="66">
        <f t="shared" si="88"/>
        <v>-4.2167293000935052E-2</v>
      </c>
      <c r="O749" s="66">
        <f t="shared" si="89"/>
        <v>-8.1723389615201286E-2</v>
      </c>
      <c r="P749" s="4">
        <f t="shared" si="90"/>
        <v>8.5700000000000026E-2</v>
      </c>
      <c r="Q749" s="4">
        <f t="shared" si="91"/>
        <v>4.2924999999999998E-2</v>
      </c>
      <c r="R749" s="66">
        <f t="shared" si="92"/>
        <v>-4.2167293000935052E-2</v>
      </c>
      <c r="S749" s="66">
        <f t="shared" si="93"/>
        <v>-8.1723389615201286E-2</v>
      </c>
      <c r="T749" s="50" t="str">
        <f t="shared" si="94"/>
        <v/>
      </c>
      <c r="U749" s="50" t="str">
        <f t="shared" si="95"/>
        <v/>
      </c>
    </row>
    <row r="750" spans="1:21" x14ac:dyDescent="0.2">
      <c r="A750" s="38">
        <v>37140</v>
      </c>
      <c r="B750" s="4">
        <v>0.3034</v>
      </c>
      <c r="C750" s="4">
        <v>0.35959999999999998</v>
      </c>
      <c r="D750" s="4">
        <v>0.33710000000000001</v>
      </c>
      <c r="E750" s="50">
        <v>1.0001</v>
      </c>
      <c r="F750" s="50">
        <v>0.3531125</v>
      </c>
      <c r="G750" s="50">
        <v>-3.3700000000000001E-2</v>
      </c>
      <c r="H750" s="50">
        <v>0.38490743662900001</v>
      </c>
      <c r="I750" s="50">
        <v>0.48829287047999997</v>
      </c>
      <c r="J750" s="50">
        <v>0.28152200277799999</v>
      </c>
      <c r="K750" s="50">
        <v>1155.4000000000001</v>
      </c>
      <c r="L750" s="50">
        <v>1082.1199999999999</v>
      </c>
      <c r="M750" s="50">
        <v>1085.78</v>
      </c>
      <c r="N750" s="66">
        <f t="shared" si="88"/>
        <v>6.2259389563263197E-3</v>
      </c>
      <c r="O750" s="66">
        <f t="shared" si="89"/>
        <v>-1.326235517323939E-2</v>
      </c>
      <c r="P750" s="4">
        <f t="shared" si="90"/>
        <v>-3.3700000000000008E-2</v>
      </c>
      <c r="Q750" s="4">
        <f t="shared" si="91"/>
        <v>1.6425000000000002E-2</v>
      </c>
      <c r="R750" s="66">
        <f t="shared" si="92"/>
        <v>6.2259389563263197E-3</v>
      </c>
      <c r="S750" s="66">
        <f t="shared" si="93"/>
        <v>-1.326235517323939E-2</v>
      </c>
      <c r="T750" s="50">
        <f t="shared" si="94"/>
        <v>1</v>
      </c>
      <c r="U750" s="50" t="str">
        <f t="shared" si="95"/>
        <v/>
      </c>
    </row>
    <row r="751" spans="1:21" x14ac:dyDescent="0.2">
      <c r="A751" s="38">
        <v>37147</v>
      </c>
      <c r="B751" s="4">
        <v>0.26669999999999999</v>
      </c>
      <c r="C751" s="4">
        <v>0.36670000000000003</v>
      </c>
      <c r="D751" s="4">
        <v>0.36670000000000003</v>
      </c>
      <c r="E751" s="50">
        <v>1.0001</v>
      </c>
      <c r="F751" s="50">
        <v>0.32395000000000002</v>
      </c>
      <c r="G751" s="50">
        <v>-0.1</v>
      </c>
      <c r="H751" s="50">
        <v>0.38490743662900001</v>
      </c>
      <c r="I751" s="50">
        <v>0.48829287047999997</v>
      </c>
      <c r="J751" s="50">
        <v>0.28152200277799999</v>
      </c>
      <c r="K751" s="50">
        <v>1092.54</v>
      </c>
      <c r="L751" s="50">
        <v>1073.1500000000001</v>
      </c>
      <c r="M751" s="50">
        <v>1092.54</v>
      </c>
      <c r="N751" s="66">
        <f t="shared" si="88"/>
        <v>-0.11600490599886504</v>
      </c>
      <c r="O751" s="66">
        <f t="shared" si="89"/>
        <v>-8.1461548318585383E-4</v>
      </c>
      <c r="P751" s="4">
        <f t="shared" si="90"/>
        <v>-0.10000000000000003</v>
      </c>
      <c r="Q751" s="4">
        <f t="shared" si="91"/>
        <v>-3.3750000000000099E-3</v>
      </c>
      <c r="R751" s="66">
        <f t="shared" si="92"/>
        <v>-0.11600490599886504</v>
      </c>
      <c r="S751" s="66">
        <f t="shared" si="93"/>
        <v>-8.1461548318585383E-4</v>
      </c>
      <c r="T751" s="50" t="str">
        <f t="shared" si="94"/>
        <v/>
      </c>
      <c r="U751" s="50" t="str">
        <f t="shared" si="95"/>
        <v/>
      </c>
    </row>
    <row r="752" spans="1:21" x14ac:dyDescent="0.2">
      <c r="A752" s="38">
        <v>37154</v>
      </c>
      <c r="B752" s="4">
        <v>0.31080000000000002</v>
      </c>
      <c r="C752" s="4">
        <v>0.2432</v>
      </c>
      <c r="D752" s="4">
        <v>0.44590000000000002</v>
      </c>
      <c r="E752" s="50">
        <v>0.99990000000000001</v>
      </c>
      <c r="F752" s="50">
        <v>0.32590000000000002</v>
      </c>
      <c r="G752" s="50">
        <v>-0.1351</v>
      </c>
      <c r="H752" s="50">
        <v>0.38490743662900001</v>
      </c>
      <c r="I752" s="50">
        <v>0.48829287047999997</v>
      </c>
      <c r="J752" s="50">
        <v>0.28152200277799999</v>
      </c>
      <c r="K752" s="50">
        <v>1092.54</v>
      </c>
      <c r="L752" s="50">
        <v>944.75</v>
      </c>
      <c r="M752" s="50">
        <v>965.8</v>
      </c>
      <c r="N752" s="66">
        <f t="shared" si="88"/>
        <v>7.7800786912404329E-2</v>
      </c>
      <c r="O752" s="66">
        <f t="shared" si="89"/>
        <v>0.1114930627459102</v>
      </c>
      <c r="P752" s="4">
        <f t="shared" si="90"/>
        <v>-0.1351</v>
      </c>
      <c r="Q752" s="4">
        <f t="shared" si="91"/>
        <v>-4.5775000000000003E-2</v>
      </c>
      <c r="R752" s="66">
        <f t="shared" si="92"/>
        <v>7.7800786912404329E-2</v>
      </c>
      <c r="S752" s="66">
        <f t="shared" si="93"/>
        <v>0.1114930627459102</v>
      </c>
      <c r="T752" s="50">
        <f t="shared" si="94"/>
        <v>1</v>
      </c>
      <c r="U752" s="50">
        <f t="shared" si="95"/>
        <v>1</v>
      </c>
    </row>
    <row r="753" spans="1:21" x14ac:dyDescent="0.2">
      <c r="A753" s="38">
        <v>37161</v>
      </c>
      <c r="B753" s="4">
        <v>0.5111</v>
      </c>
      <c r="C753" s="4">
        <v>0.26669999999999999</v>
      </c>
      <c r="D753" s="4">
        <v>0.22220000000000001</v>
      </c>
      <c r="E753" s="50">
        <v>1</v>
      </c>
      <c r="F753" s="50">
        <v>0.34433750000000002</v>
      </c>
      <c r="G753" s="50">
        <v>0.28889999999999999</v>
      </c>
      <c r="H753" s="50">
        <v>0.38490743662900001</v>
      </c>
      <c r="I753" s="50">
        <v>0.48829287047999997</v>
      </c>
      <c r="J753" s="50">
        <v>0.28152200277799999</v>
      </c>
      <c r="K753" s="50">
        <v>1040.94</v>
      </c>
      <c r="L753" s="50">
        <v>965.8</v>
      </c>
      <c r="M753" s="50">
        <v>1040.94</v>
      </c>
      <c r="N753" s="66">
        <f t="shared" si="88"/>
        <v>2.9242799777124573E-2</v>
      </c>
      <c r="O753" s="66">
        <f t="shared" si="89"/>
        <v>6.1165869310430804E-2</v>
      </c>
      <c r="P753" s="4">
        <f t="shared" si="90"/>
        <v>0.28889999999999999</v>
      </c>
      <c r="Q753" s="4">
        <f t="shared" si="91"/>
        <v>5.0249999999999878E-3</v>
      </c>
      <c r="R753" s="66">
        <f t="shared" si="92"/>
        <v>2.9242799777124573E-2</v>
      </c>
      <c r="S753" s="66">
        <f t="shared" si="93"/>
        <v>6.1165869310430804E-2</v>
      </c>
      <c r="T753" s="50">
        <f t="shared" si="94"/>
        <v>1</v>
      </c>
      <c r="U753" s="50">
        <f t="shared" si="95"/>
        <v>1</v>
      </c>
    </row>
    <row r="754" spans="1:21" x14ac:dyDescent="0.2">
      <c r="A754" s="38">
        <v>37168</v>
      </c>
      <c r="B754" s="4">
        <v>0.51219999999999999</v>
      </c>
      <c r="C754" s="4">
        <v>0.1951</v>
      </c>
      <c r="D754" s="4">
        <v>0.29270000000000002</v>
      </c>
      <c r="E754" s="50">
        <v>1</v>
      </c>
      <c r="F754" s="50">
        <v>0.3646875</v>
      </c>
      <c r="G754" s="50">
        <v>0.2195</v>
      </c>
      <c r="H754" s="50">
        <v>0.38490743662900001</v>
      </c>
      <c r="I754" s="50">
        <v>0.48829287047999997</v>
      </c>
      <c r="J754" s="50">
        <v>0.28152200277799999</v>
      </c>
      <c r="K754" s="50">
        <v>1084.1199999999999</v>
      </c>
      <c r="L754" s="50">
        <v>1026.76</v>
      </c>
      <c r="M754" s="50">
        <v>1071.3800000000001</v>
      </c>
      <c r="N754" s="66">
        <f t="shared" si="88"/>
        <v>1.8919524351770595E-2</v>
      </c>
      <c r="O754" s="66">
        <f t="shared" si="89"/>
        <v>1.4766002725456827E-2</v>
      </c>
      <c r="P754" s="4">
        <f t="shared" si="90"/>
        <v>0.21949999999999997</v>
      </c>
      <c r="Q754" s="4">
        <f t="shared" si="91"/>
        <v>6.8324999999999983E-2</v>
      </c>
      <c r="R754" s="66">
        <f t="shared" si="92"/>
        <v>1.8919524351770595E-2</v>
      </c>
      <c r="S754" s="66">
        <f t="shared" si="93"/>
        <v>1.4766002725456827E-2</v>
      </c>
      <c r="T754" s="50">
        <f t="shared" si="94"/>
        <v>1</v>
      </c>
      <c r="U754" s="50">
        <f t="shared" si="95"/>
        <v>1</v>
      </c>
    </row>
    <row r="755" spans="1:21" x14ac:dyDescent="0.2">
      <c r="A755" s="38">
        <v>37175</v>
      </c>
      <c r="B755" s="4">
        <v>0.47370000000000001</v>
      </c>
      <c r="C755" s="4">
        <v>0.24560000000000001</v>
      </c>
      <c r="D755" s="4">
        <v>0.28070000000000001</v>
      </c>
      <c r="E755" s="50">
        <v>1</v>
      </c>
      <c r="F755" s="50">
        <v>0.37962499999999999</v>
      </c>
      <c r="G755" s="50">
        <v>0.193</v>
      </c>
      <c r="H755" s="50">
        <v>0.38490743662900001</v>
      </c>
      <c r="I755" s="50">
        <v>0.48829287047999997</v>
      </c>
      <c r="J755" s="50">
        <v>0.28152200277799999</v>
      </c>
      <c r="K755" s="50">
        <v>1099.1600000000001</v>
      </c>
      <c r="L755" s="50">
        <v>1052.76</v>
      </c>
      <c r="M755" s="50">
        <v>1091.6500000000001</v>
      </c>
      <c r="N755" s="66">
        <f t="shared" si="88"/>
        <v>-1.6644528924105777E-2</v>
      </c>
      <c r="O755" s="66">
        <f t="shared" si="89"/>
        <v>2.6253835936426374E-2</v>
      </c>
      <c r="P755" s="4">
        <f t="shared" si="90"/>
        <v>0.193</v>
      </c>
      <c r="Q755" s="4">
        <f t="shared" si="91"/>
        <v>0.14157500000000001</v>
      </c>
      <c r="R755" s="66">
        <f t="shared" si="92"/>
        <v>-1.6644528924105777E-2</v>
      </c>
      <c r="S755" s="66">
        <f t="shared" si="93"/>
        <v>2.6253835936426374E-2</v>
      </c>
      <c r="T755" s="50" t="str">
        <f t="shared" si="94"/>
        <v/>
      </c>
      <c r="U755" s="50">
        <f t="shared" si="95"/>
        <v>1</v>
      </c>
    </row>
    <row r="756" spans="1:21" x14ac:dyDescent="0.2">
      <c r="A756" s="38">
        <v>37182</v>
      </c>
      <c r="B756" s="4">
        <v>0.60560000000000003</v>
      </c>
      <c r="C756" s="4">
        <v>0.18310000000000001</v>
      </c>
      <c r="D756" s="4">
        <v>0.21129999999999999</v>
      </c>
      <c r="E756" s="50">
        <v>1</v>
      </c>
      <c r="F756" s="50">
        <v>0.41222500000000001</v>
      </c>
      <c r="G756" s="50">
        <v>0.39429999999999998</v>
      </c>
      <c r="H756" s="50">
        <v>0.38490743662900001</v>
      </c>
      <c r="I756" s="50">
        <v>0.48829287047999997</v>
      </c>
      <c r="J756" s="50">
        <v>0.28152200277799999</v>
      </c>
      <c r="K756" s="50">
        <v>1107.1199999999999</v>
      </c>
      <c r="L756" s="50">
        <v>1057.24</v>
      </c>
      <c r="M756" s="50">
        <v>1073.48</v>
      </c>
      <c r="N756" s="66">
        <f t="shared" si="88"/>
        <v>2.8999142974251855E-2</v>
      </c>
      <c r="O756" s="66">
        <f t="shared" si="89"/>
        <v>6.0709095651525942E-2</v>
      </c>
      <c r="P756" s="4">
        <f t="shared" si="90"/>
        <v>0.39430000000000004</v>
      </c>
      <c r="Q756" s="4">
        <f t="shared" si="91"/>
        <v>0.27392500000000003</v>
      </c>
      <c r="R756" s="66">
        <f t="shared" si="92"/>
        <v>2.8999142974251855E-2</v>
      </c>
      <c r="S756" s="66">
        <f t="shared" si="93"/>
        <v>6.0709095651525942E-2</v>
      </c>
      <c r="T756" s="50">
        <f t="shared" si="94"/>
        <v>1</v>
      </c>
      <c r="U756" s="50">
        <f t="shared" si="95"/>
        <v>1</v>
      </c>
    </row>
    <row r="757" spans="1:21" x14ac:dyDescent="0.2">
      <c r="A757" s="38">
        <v>37189</v>
      </c>
      <c r="B757" s="4">
        <v>0.55879999999999996</v>
      </c>
      <c r="C757" s="4">
        <v>0.26469999999999999</v>
      </c>
      <c r="D757" s="4">
        <v>0.17649999999999999</v>
      </c>
      <c r="E757" s="50">
        <v>1</v>
      </c>
      <c r="F757" s="50">
        <v>0.4427875</v>
      </c>
      <c r="G757" s="50">
        <v>0.38229999999999997</v>
      </c>
      <c r="H757" s="50">
        <v>0.38490743662900001</v>
      </c>
      <c r="I757" s="50">
        <v>0.48829287047999997</v>
      </c>
      <c r="J757" s="50">
        <v>0.28152200277799999</v>
      </c>
      <c r="K757" s="50">
        <v>1110.6099999999999</v>
      </c>
      <c r="L757" s="50">
        <v>1065.6400000000001</v>
      </c>
      <c r="M757" s="50">
        <v>1104.6099999999999</v>
      </c>
      <c r="N757" s="66">
        <f t="shared" si="88"/>
        <v>-1.5761218891735415E-2</v>
      </c>
      <c r="O757" s="66">
        <f t="shared" si="89"/>
        <v>4.1399226876454157E-2</v>
      </c>
      <c r="P757" s="4">
        <f t="shared" si="90"/>
        <v>0.38229999999999997</v>
      </c>
      <c r="Q757" s="4">
        <f t="shared" si="91"/>
        <v>0.29727499999999996</v>
      </c>
      <c r="R757" s="66">
        <f t="shared" si="92"/>
        <v>-1.5761218891735415E-2</v>
      </c>
      <c r="S757" s="66">
        <f t="shared" si="93"/>
        <v>4.1399226876454157E-2</v>
      </c>
      <c r="T757" s="50" t="str">
        <f t="shared" si="94"/>
        <v/>
      </c>
      <c r="U757" s="50">
        <f t="shared" si="95"/>
        <v>1</v>
      </c>
    </row>
    <row r="758" spans="1:21" x14ac:dyDescent="0.2">
      <c r="A758" s="38">
        <v>37196</v>
      </c>
      <c r="B758" s="4">
        <v>0.35</v>
      </c>
      <c r="C758" s="4">
        <v>0.31669999999999998</v>
      </c>
      <c r="D758" s="4">
        <v>0.33329999999999999</v>
      </c>
      <c r="E758" s="50">
        <v>1</v>
      </c>
      <c r="F758" s="50">
        <v>0.44861250000000003</v>
      </c>
      <c r="G758" s="50">
        <v>1.67E-2</v>
      </c>
      <c r="H758" s="50">
        <v>0.38490743662900001</v>
      </c>
      <c r="I758" s="50">
        <v>0.48829287047999997</v>
      </c>
      <c r="J758" s="50">
        <v>0.28152200277799999</v>
      </c>
      <c r="K758" s="50">
        <v>1104.6099999999999</v>
      </c>
      <c r="L758" s="50">
        <v>1053.6099999999999</v>
      </c>
      <c r="M758" s="50">
        <v>1087.2</v>
      </c>
      <c r="N758" s="66">
        <f t="shared" si="88"/>
        <v>3.0454378219278787E-2</v>
      </c>
      <c r="O758" s="66">
        <f t="shared" si="89"/>
        <v>4.805923473142016E-2</v>
      </c>
      <c r="P758" s="4">
        <f t="shared" si="90"/>
        <v>1.6699999999999993E-2</v>
      </c>
      <c r="Q758" s="4">
        <f t="shared" si="91"/>
        <v>0.24657499999999999</v>
      </c>
      <c r="R758" s="66">
        <f t="shared" si="92"/>
        <v>3.0454378219278787E-2</v>
      </c>
      <c r="S758" s="66">
        <f t="shared" si="93"/>
        <v>4.805923473142016E-2</v>
      </c>
      <c r="T758" s="50">
        <f t="shared" si="94"/>
        <v>1</v>
      </c>
      <c r="U758" s="50">
        <f t="shared" si="95"/>
        <v>1</v>
      </c>
    </row>
    <row r="759" spans="1:21" x14ac:dyDescent="0.2">
      <c r="A759" s="38">
        <v>37203</v>
      </c>
      <c r="B759" s="4">
        <v>0.34620000000000001</v>
      </c>
      <c r="C759" s="4">
        <v>0.23080000000000001</v>
      </c>
      <c r="D759" s="4">
        <v>0.42309999999999998</v>
      </c>
      <c r="E759" s="50">
        <v>1.0001</v>
      </c>
      <c r="F759" s="50">
        <v>0.45855000000000001</v>
      </c>
      <c r="G759" s="50">
        <v>-7.6899999999999996E-2</v>
      </c>
      <c r="H759" s="50">
        <v>0.38490743662900001</v>
      </c>
      <c r="I759" s="50">
        <v>0.48829287047999997</v>
      </c>
      <c r="J759" s="50">
        <v>0.28152200277799999</v>
      </c>
      <c r="K759" s="50">
        <v>1135.75</v>
      </c>
      <c r="L759" s="50">
        <v>1087.2</v>
      </c>
      <c r="M759" s="50">
        <v>1120.31</v>
      </c>
      <c r="N759" s="66">
        <f t="shared" si="88"/>
        <v>1.6370468888075751E-2</v>
      </c>
      <c r="O759" s="66">
        <f t="shared" si="89"/>
        <v>3.3919183083253743E-2</v>
      </c>
      <c r="P759" s="4">
        <f t="shared" si="90"/>
        <v>-7.6899999999999968E-2</v>
      </c>
      <c r="Q759" s="4">
        <f t="shared" si="91"/>
        <v>0.17909999999999998</v>
      </c>
      <c r="R759" s="66">
        <f t="shared" si="92"/>
        <v>1.6370468888075751E-2</v>
      </c>
      <c r="S759" s="66">
        <f t="shared" si="93"/>
        <v>3.3919183083253743E-2</v>
      </c>
      <c r="T759" s="50">
        <f t="shared" si="94"/>
        <v>1</v>
      </c>
      <c r="U759" s="50">
        <f t="shared" si="95"/>
        <v>1</v>
      </c>
    </row>
    <row r="760" spans="1:21" x14ac:dyDescent="0.2">
      <c r="A760" s="38">
        <v>37210</v>
      </c>
      <c r="B760" s="4">
        <v>0.45450000000000002</v>
      </c>
      <c r="C760" s="4">
        <v>0.21210000000000001</v>
      </c>
      <c r="D760" s="4">
        <v>0.33329999999999999</v>
      </c>
      <c r="E760" s="50">
        <v>0.99990000000000001</v>
      </c>
      <c r="F760" s="50">
        <v>0.47651250000000001</v>
      </c>
      <c r="G760" s="50">
        <v>0.1212</v>
      </c>
      <c r="H760" s="50">
        <v>0.38490743662900001</v>
      </c>
      <c r="I760" s="50">
        <v>0.48829287047999997</v>
      </c>
      <c r="J760" s="50">
        <v>0.28152200277799999</v>
      </c>
      <c r="K760" s="50">
        <v>1148.28</v>
      </c>
      <c r="L760" s="50">
        <v>1098.32</v>
      </c>
      <c r="M760" s="50">
        <v>1138.6500000000001</v>
      </c>
      <c r="N760" s="66">
        <f t="shared" si="88"/>
        <v>1.0266543714047184E-2</v>
      </c>
      <c r="O760" s="66">
        <f t="shared" si="89"/>
        <v>-1.3665305405524237E-2</v>
      </c>
      <c r="P760" s="4">
        <f t="shared" si="90"/>
        <v>0.12120000000000003</v>
      </c>
      <c r="Q760" s="4">
        <f t="shared" si="91"/>
        <v>0.11082500000000001</v>
      </c>
      <c r="R760" s="66">
        <f t="shared" si="92"/>
        <v>1.0266543714047184E-2</v>
      </c>
      <c r="S760" s="66">
        <f t="shared" si="93"/>
        <v>-1.3665305405524237E-2</v>
      </c>
      <c r="T760" s="50">
        <f t="shared" si="94"/>
        <v>1</v>
      </c>
      <c r="U760" s="50" t="str">
        <f t="shared" si="95"/>
        <v/>
      </c>
    </row>
    <row r="761" spans="1:21" x14ac:dyDescent="0.2">
      <c r="A761" s="38">
        <v>37217</v>
      </c>
      <c r="B761" s="4">
        <v>0.58330000000000004</v>
      </c>
      <c r="C761" s="4">
        <v>0.16669999999999999</v>
      </c>
      <c r="D761" s="4">
        <v>0.25</v>
      </c>
      <c r="E761" s="50">
        <v>1</v>
      </c>
      <c r="F761" s="50">
        <v>0.48553750000000001</v>
      </c>
      <c r="G761" s="50">
        <v>0.33329999999999999</v>
      </c>
      <c r="H761" s="50">
        <v>0.38490743662900001</v>
      </c>
      <c r="I761" s="50">
        <v>0.48829287047999997</v>
      </c>
      <c r="J761" s="50">
        <v>0.28152200277799999</v>
      </c>
      <c r="K761" s="50">
        <v>1152.45</v>
      </c>
      <c r="L761" s="50">
        <v>1129.78</v>
      </c>
      <c r="M761" s="50">
        <v>1150.3399999999999</v>
      </c>
      <c r="N761" s="66">
        <f t="shared" si="88"/>
        <v>-9.4667663473406768E-3</v>
      </c>
      <c r="O761" s="66">
        <f t="shared" si="89"/>
        <v>-4.7377297146928895E-3</v>
      </c>
      <c r="P761" s="4">
        <f t="shared" si="90"/>
        <v>0.33330000000000004</v>
      </c>
      <c r="Q761" s="4">
        <f t="shared" si="91"/>
        <v>9.8575000000000024E-2</v>
      </c>
      <c r="R761" s="66">
        <f t="shared" si="92"/>
        <v>-9.4667663473406768E-3</v>
      </c>
      <c r="S761" s="66">
        <f t="shared" si="93"/>
        <v>-4.7377297146928895E-3</v>
      </c>
      <c r="T761" s="50" t="str">
        <f t="shared" si="94"/>
        <v/>
      </c>
      <c r="U761" s="50" t="str">
        <f t="shared" si="95"/>
        <v/>
      </c>
    </row>
    <row r="762" spans="1:21" x14ac:dyDescent="0.2">
      <c r="A762" s="38">
        <v>37224</v>
      </c>
      <c r="B762" s="4">
        <v>0.69330000000000003</v>
      </c>
      <c r="C762" s="4">
        <v>0.1067</v>
      </c>
      <c r="D762" s="4">
        <v>0.2</v>
      </c>
      <c r="E762" s="50">
        <v>1</v>
      </c>
      <c r="F762" s="50">
        <v>0.50817500000000004</v>
      </c>
      <c r="G762" s="50">
        <v>0.49330000000000002</v>
      </c>
      <c r="H762" s="50">
        <v>0.38490743662900001</v>
      </c>
      <c r="I762" s="50">
        <v>0.48829287047999997</v>
      </c>
      <c r="J762" s="50">
        <v>0.28152200277799999</v>
      </c>
      <c r="K762" s="50">
        <v>1163.3800000000001</v>
      </c>
      <c r="L762" s="50">
        <v>1125.51</v>
      </c>
      <c r="M762" s="50">
        <v>1139.45</v>
      </c>
      <c r="N762" s="66">
        <f t="shared" si="88"/>
        <v>1.6551845188468032E-2</v>
      </c>
      <c r="O762" s="66">
        <f t="shared" si="89"/>
        <v>1.8930185615867248E-2</v>
      </c>
      <c r="P762" s="4">
        <f t="shared" si="90"/>
        <v>0.49330000000000002</v>
      </c>
      <c r="Q762" s="4">
        <f t="shared" si="91"/>
        <v>0.21772500000000003</v>
      </c>
      <c r="R762" s="66">
        <f t="shared" si="92"/>
        <v>1.6551845188468032E-2</v>
      </c>
      <c r="S762" s="66">
        <f t="shared" si="93"/>
        <v>1.8930185615867248E-2</v>
      </c>
      <c r="T762" s="50">
        <f t="shared" si="94"/>
        <v>1</v>
      </c>
      <c r="U762" s="50">
        <f t="shared" si="95"/>
        <v>1</v>
      </c>
    </row>
    <row r="763" spans="1:21" x14ac:dyDescent="0.2">
      <c r="A763" s="38">
        <v>37231</v>
      </c>
      <c r="B763" s="4">
        <v>0.59179999999999999</v>
      </c>
      <c r="C763" s="4">
        <v>0.1633</v>
      </c>
      <c r="D763" s="4">
        <v>0.24490000000000001</v>
      </c>
      <c r="E763" s="50">
        <v>1</v>
      </c>
      <c r="F763" s="50">
        <v>0.52293750000000006</v>
      </c>
      <c r="G763" s="50">
        <v>0.34689999999999999</v>
      </c>
      <c r="H763" s="50">
        <v>0.38490743662900001</v>
      </c>
      <c r="I763" s="50">
        <v>0.48829287047999997</v>
      </c>
      <c r="J763" s="50">
        <v>0.28152200277799999</v>
      </c>
      <c r="K763" s="50">
        <v>1173.6199999999999</v>
      </c>
      <c r="L763" s="50">
        <v>1125.78</v>
      </c>
      <c r="M763" s="50">
        <v>1158.31</v>
      </c>
      <c r="N763" s="66">
        <f t="shared" si="88"/>
        <v>-3.0406367898058402E-2</v>
      </c>
      <c r="O763" s="66">
        <f t="shared" si="89"/>
        <v>1.2259239754469914E-2</v>
      </c>
      <c r="P763" s="4">
        <f t="shared" si="90"/>
        <v>0.34689999999999999</v>
      </c>
      <c r="Q763" s="4">
        <f t="shared" si="91"/>
        <v>0.32367500000000005</v>
      </c>
      <c r="R763" s="66">
        <f t="shared" si="92"/>
        <v>-3.0406367898058402E-2</v>
      </c>
      <c r="S763" s="66">
        <f t="shared" si="93"/>
        <v>1.2259239754469914E-2</v>
      </c>
      <c r="T763" s="50" t="str">
        <f t="shared" si="94"/>
        <v/>
      </c>
      <c r="U763" s="50">
        <f t="shared" si="95"/>
        <v>1</v>
      </c>
    </row>
    <row r="764" spans="1:21" x14ac:dyDescent="0.2">
      <c r="A764" s="38">
        <v>37238</v>
      </c>
      <c r="B764" s="4">
        <v>0.61399999999999999</v>
      </c>
      <c r="C764" s="4">
        <v>0.24560000000000001</v>
      </c>
      <c r="D764" s="4">
        <v>0.1404</v>
      </c>
      <c r="E764" s="50">
        <v>1</v>
      </c>
      <c r="F764" s="50">
        <v>0.52398750000000005</v>
      </c>
      <c r="G764" s="50">
        <v>0.47360000000000002</v>
      </c>
      <c r="H764" s="50">
        <v>0.38490743662900001</v>
      </c>
      <c r="I764" s="50">
        <v>0.48829287047999997</v>
      </c>
      <c r="J764" s="50">
        <v>0.28152200277799999</v>
      </c>
      <c r="K764" s="50">
        <v>1158.31</v>
      </c>
      <c r="L764" s="50">
        <v>1114.53</v>
      </c>
      <c r="M764" s="50">
        <v>1123.0899999999999</v>
      </c>
      <c r="N764" s="66">
        <f t="shared" si="88"/>
        <v>1.94107328887268E-2</v>
      </c>
      <c r="O764" s="66">
        <f t="shared" si="89"/>
        <v>2.0042917308497086E-2</v>
      </c>
      <c r="P764" s="4">
        <f t="shared" si="90"/>
        <v>0.47360000000000002</v>
      </c>
      <c r="Q764" s="4">
        <f t="shared" si="91"/>
        <v>0.411775</v>
      </c>
      <c r="R764" s="66">
        <f t="shared" si="92"/>
        <v>1.94107328887268E-2</v>
      </c>
      <c r="S764" s="66">
        <f t="shared" si="93"/>
        <v>2.0042917308497086E-2</v>
      </c>
      <c r="T764" s="50">
        <f t="shared" si="94"/>
        <v>1</v>
      </c>
      <c r="U764" s="50">
        <f t="shared" si="95"/>
        <v>1</v>
      </c>
    </row>
    <row r="765" spans="1:21" x14ac:dyDescent="0.2">
      <c r="A765" s="38">
        <v>37245</v>
      </c>
      <c r="B765" s="4">
        <v>0.52459999999999996</v>
      </c>
      <c r="C765" s="4">
        <v>0.21310000000000001</v>
      </c>
      <c r="D765" s="4">
        <v>0.26229999999999998</v>
      </c>
      <c r="E765" s="50">
        <v>1</v>
      </c>
      <c r="F765" s="50">
        <v>0.51971250000000002</v>
      </c>
      <c r="G765" s="50">
        <v>0.26229999999999998</v>
      </c>
      <c r="H765" s="50">
        <v>0.38490743662900001</v>
      </c>
      <c r="I765" s="50">
        <v>0.48829287047999997</v>
      </c>
      <c r="J765" s="50">
        <v>0.28152200277799999</v>
      </c>
      <c r="K765" s="50">
        <v>1152.44</v>
      </c>
      <c r="L765" s="50">
        <v>1122.6600000000001</v>
      </c>
      <c r="M765" s="50">
        <v>1144.8900000000001</v>
      </c>
      <c r="N765" s="66">
        <f t="shared" si="88"/>
        <v>1.4088689743119321E-2</v>
      </c>
      <c r="O765" s="66">
        <f t="shared" si="89"/>
        <v>-1.5119356444724097E-2</v>
      </c>
      <c r="P765" s="4">
        <f t="shared" si="90"/>
        <v>0.26229999999999998</v>
      </c>
      <c r="Q765" s="4">
        <f t="shared" si="91"/>
        <v>0.39402500000000001</v>
      </c>
      <c r="R765" s="66">
        <f t="shared" si="92"/>
        <v>1.4088689743119321E-2</v>
      </c>
      <c r="S765" s="66">
        <f t="shared" si="93"/>
        <v>-1.5119356444724097E-2</v>
      </c>
      <c r="T765" s="50">
        <f t="shared" si="94"/>
        <v>1</v>
      </c>
      <c r="U765" s="50" t="str">
        <f t="shared" si="95"/>
        <v/>
      </c>
    </row>
    <row r="766" spans="1:21" x14ac:dyDescent="0.2">
      <c r="A766" s="38">
        <v>37252</v>
      </c>
      <c r="B766" s="4">
        <v>0.57689999999999997</v>
      </c>
      <c r="C766" s="4">
        <v>0.15379999999999999</v>
      </c>
      <c r="D766" s="4">
        <v>0.26919999999999999</v>
      </c>
      <c r="E766" s="50">
        <v>0.99990000000000001</v>
      </c>
      <c r="F766" s="50">
        <v>0.54807499999999998</v>
      </c>
      <c r="G766" s="50">
        <v>0.30769999999999997</v>
      </c>
      <c r="H766" s="50">
        <v>0.38490743662900001</v>
      </c>
      <c r="I766" s="50">
        <v>0.48829287047999997</v>
      </c>
      <c r="J766" s="50">
        <v>0.28152200277799999</v>
      </c>
      <c r="K766" s="50">
        <v>1164.6400000000001</v>
      </c>
      <c r="L766" s="50">
        <v>1144.6199999999999</v>
      </c>
      <c r="M766" s="50">
        <v>1161.02</v>
      </c>
      <c r="N766" s="66">
        <f t="shared" si="88"/>
        <v>9.8964703450414374E-3</v>
      </c>
      <c r="O766" s="66">
        <f t="shared" si="89"/>
        <v>-2.38927839313707E-2</v>
      </c>
      <c r="P766" s="4">
        <f t="shared" si="90"/>
        <v>0.30769999999999997</v>
      </c>
      <c r="Q766" s="4">
        <f t="shared" si="91"/>
        <v>0.34762499999999996</v>
      </c>
      <c r="R766" s="66">
        <f t="shared" si="92"/>
        <v>9.8964703450414374E-3</v>
      </c>
      <c r="S766" s="66">
        <f t="shared" si="93"/>
        <v>-2.38927839313707E-2</v>
      </c>
      <c r="T766" s="50">
        <f t="shared" si="94"/>
        <v>1</v>
      </c>
      <c r="U766" s="50" t="str">
        <f t="shared" si="95"/>
        <v/>
      </c>
    </row>
    <row r="767" spans="1:21" x14ac:dyDescent="0.2">
      <c r="A767" s="38">
        <v>37259</v>
      </c>
      <c r="B767" s="4">
        <v>0.5111</v>
      </c>
      <c r="C767" s="4">
        <v>0.24440000000000001</v>
      </c>
      <c r="D767" s="4">
        <v>0.24440000000000001</v>
      </c>
      <c r="E767" s="50">
        <v>0.99990000000000001</v>
      </c>
      <c r="F767" s="50">
        <v>0.56868750000000001</v>
      </c>
      <c r="G767" s="50">
        <v>0.26669999999999999</v>
      </c>
      <c r="H767" s="50">
        <v>0.38490743662900001</v>
      </c>
      <c r="I767" s="50">
        <v>0.48829287047999997</v>
      </c>
      <c r="J767" s="50">
        <v>0.28152200277799999</v>
      </c>
      <c r="K767" s="50">
        <v>1176.55</v>
      </c>
      <c r="L767" s="50">
        <v>1136.23</v>
      </c>
      <c r="M767" s="50">
        <v>1172.51</v>
      </c>
      <c r="N767" s="66">
        <f t="shared" si="88"/>
        <v>-2.295076374615149E-2</v>
      </c>
      <c r="O767" s="66">
        <f t="shared" si="89"/>
        <v>-4.2907949612369996E-2</v>
      </c>
      <c r="P767" s="4">
        <f t="shared" si="90"/>
        <v>0.26669999999999999</v>
      </c>
      <c r="Q767" s="4">
        <f t="shared" si="91"/>
        <v>0.32757500000000001</v>
      </c>
      <c r="R767" s="66">
        <f t="shared" si="92"/>
        <v>-2.295076374615149E-2</v>
      </c>
      <c r="S767" s="66">
        <f t="shared" si="93"/>
        <v>-4.2907949612369996E-2</v>
      </c>
      <c r="T767" s="50" t="str">
        <f t="shared" si="94"/>
        <v/>
      </c>
      <c r="U767" s="50" t="str">
        <f t="shared" si="95"/>
        <v/>
      </c>
    </row>
    <row r="768" spans="1:21" x14ac:dyDescent="0.2">
      <c r="A768" s="38">
        <v>37266</v>
      </c>
      <c r="B768" s="4">
        <v>0.54790000000000005</v>
      </c>
      <c r="C768" s="4">
        <v>0.2329</v>
      </c>
      <c r="D768" s="4">
        <v>0.21920000000000001</v>
      </c>
      <c r="E768" s="50">
        <v>1</v>
      </c>
      <c r="F768" s="50">
        <v>0.5803625</v>
      </c>
      <c r="G768" s="50">
        <v>0.32869999999999999</v>
      </c>
      <c r="H768" s="50">
        <v>0.38490743662900001</v>
      </c>
      <c r="I768" s="50">
        <v>0.48829287047999997</v>
      </c>
      <c r="J768" s="50">
        <v>0.28152200277799999</v>
      </c>
      <c r="K768" s="50">
        <v>1176.97</v>
      </c>
      <c r="L768" s="50">
        <v>1145.45</v>
      </c>
      <c r="M768" s="50">
        <v>1145.5999999999999</v>
      </c>
      <c r="N768" s="66">
        <f t="shared" si="88"/>
        <v>-1.572974860335194E-2</v>
      </c>
      <c r="O768" s="66">
        <f t="shared" si="89"/>
        <v>-4.3104050279329509E-2</v>
      </c>
      <c r="P768" s="4">
        <f t="shared" si="90"/>
        <v>0.32870000000000005</v>
      </c>
      <c r="Q768" s="4">
        <f t="shared" si="91"/>
        <v>0.29135</v>
      </c>
      <c r="R768" s="66">
        <f t="shared" si="92"/>
        <v>-1.572974860335194E-2</v>
      </c>
      <c r="S768" s="66">
        <f t="shared" si="93"/>
        <v>-4.3104050279329509E-2</v>
      </c>
      <c r="T768" s="50" t="str">
        <f t="shared" si="94"/>
        <v/>
      </c>
      <c r="U768" s="50" t="str">
        <f t="shared" si="95"/>
        <v/>
      </c>
    </row>
    <row r="769" spans="1:21" x14ac:dyDescent="0.2">
      <c r="A769" s="38">
        <v>37273</v>
      </c>
      <c r="B769" s="4">
        <v>0.29549999999999998</v>
      </c>
      <c r="C769" s="4">
        <v>0.40910000000000002</v>
      </c>
      <c r="D769" s="4">
        <v>0.29549999999999998</v>
      </c>
      <c r="E769" s="50">
        <v>1.0001</v>
      </c>
      <c r="F769" s="50">
        <v>0.54438750000000002</v>
      </c>
      <c r="G769" s="50">
        <v>0</v>
      </c>
      <c r="H769" s="50">
        <v>0.38490743662900001</v>
      </c>
      <c r="I769" s="50">
        <v>0.48829287047999997</v>
      </c>
      <c r="J769" s="50">
        <v>0.28152200277799999</v>
      </c>
      <c r="K769" s="50">
        <v>1148.81</v>
      </c>
      <c r="L769" s="50">
        <v>1124.45</v>
      </c>
      <c r="M769" s="50">
        <v>1127.58</v>
      </c>
      <c r="N769" s="66">
        <f t="shared" si="88"/>
        <v>5.0550736976534222E-3</v>
      </c>
      <c r="O769" s="66">
        <f t="shared" si="89"/>
        <v>-2.0752407811419026E-2</v>
      </c>
      <c r="P769" s="4">
        <f t="shared" si="90"/>
        <v>0</v>
      </c>
      <c r="Q769" s="4">
        <f t="shared" si="91"/>
        <v>0.225775</v>
      </c>
      <c r="R769" s="66">
        <f t="shared" si="92"/>
        <v>5.0550736976534222E-3</v>
      </c>
      <c r="S769" s="66">
        <f t="shared" si="93"/>
        <v>-2.0752407811419026E-2</v>
      </c>
      <c r="T769" s="50">
        <f t="shared" si="94"/>
        <v>1</v>
      </c>
      <c r="U769" s="50" t="str">
        <f t="shared" si="95"/>
        <v/>
      </c>
    </row>
    <row r="770" spans="1:21" x14ac:dyDescent="0.2">
      <c r="A770" s="38">
        <v>37280</v>
      </c>
      <c r="B770" s="4">
        <v>0.34689999999999999</v>
      </c>
      <c r="C770" s="4">
        <v>0.34689999999999999</v>
      </c>
      <c r="D770" s="4">
        <v>0.30609999999999998</v>
      </c>
      <c r="E770" s="50">
        <v>0.99990000000000001</v>
      </c>
      <c r="F770" s="50">
        <v>0.50108750000000002</v>
      </c>
      <c r="G770" s="50">
        <v>4.0800000000000003E-2</v>
      </c>
      <c r="H770" s="50">
        <v>0.38490743662900001</v>
      </c>
      <c r="I770" s="50">
        <v>0.48829287047999997</v>
      </c>
      <c r="J770" s="50">
        <v>0.28152200277799999</v>
      </c>
      <c r="K770" s="50">
        <v>1139.5</v>
      </c>
      <c r="L770" s="50">
        <v>1117.43</v>
      </c>
      <c r="M770" s="50">
        <v>1133.28</v>
      </c>
      <c r="N770" s="66">
        <f t="shared" si="88"/>
        <v>-9.7769306790907173E-3</v>
      </c>
      <c r="O770" s="66">
        <f t="shared" si="89"/>
        <v>-3.833121558661589E-2</v>
      </c>
      <c r="P770" s="4">
        <f t="shared" si="90"/>
        <v>4.0800000000000003E-2</v>
      </c>
      <c r="Q770" s="4">
        <f t="shared" si="91"/>
        <v>0.15905000000000002</v>
      </c>
      <c r="R770" s="66">
        <f t="shared" si="92"/>
        <v>-9.7769306790907173E-3</v>
      </c>
      <c r="S770" s="66">
        <f t="shared" si="93"/>
        <v>-3.833121558661589E-2</v>
      </c>
      <c r="T770" s="50" t="str">
        <f t="shared" si="94"/>
        <v/>
      </c>
      <c r="U770" s="50" t="str">
        <f t="shared" si="95"/>
        <v/>
      </c>
    </row>
    <row r="771" spans="1:21" x14ac:dyDescent="0.2">
      <c r="A771" s="38">
        <v>37287</v>
      </c>
      <c r="B771" s="4">
        <v>0.45450000000000002</v>
      </c>
      <c r="C771" s="4">
        <v>0.31819999999999998</v>
      </c>
      <c r="D771" s="4">
        <v>0.2273</v>
      </c>
      <c r="E771" s="50">
        <v>1</v>
      </c>
      <c r="F771" s="50">
        <v>0.48392499999999999</v>
      </c>
      <c r="G771" s="50">
        <v>0.22720000000000001</v>
      </c>
      <c r="H771" s="50">
        <v>0.38490743662900001</v>
      </c>
      <c r="I771" s="50">
        <v>0.48829287047999997</v>
      </c>
      <c r="J771" s="50">
        <v>0.28152200277799999</v>
      </c>
      <c r="K771" s="50">
        <v>1138.6300000000001</v>
      </c>
      <c r="L771" s="50">
        <v>1081.6600000000001</v>
      </c>
      <c r="M771" s="50">
        <v>1122.2</v>
      </c>
      <c r="N771" s="66">
        <f t="shared" si="88"/>
        <v>-2.3150953484227427E-2</v>
      </c>
      <c r="O771" s="66">
        <f t="shared" si="89"/>
        <v>8.5368027089644683E-3</v>
      </c>
      <c r="P771" s="4">
        <f t="shared" si="90"/>
        <v>0.22720000000000001</v>
      </c>
      <c r="Q771" s="4">
        <f t="shared" si="91"/>
        <v>0.149175</v>
      </c>
      <c r="R771" s="66">
        <f t="shared" si="92"/>
        <v>-2.3150953484227427E-2</v>
      </c>
      <c r="S771" s="66">
        <f t="shared" si="93"/>
        <v>8.5368027089644683E-3</v>
      </c>
      <c r="T771" s="50" t="str">
        <f t="shared" si="94"/>
        <v/>
      </c>
      <c r="U771" s="50">
        <f t="shared" si="95"/>
        <v>1</v>
      </c>
    </row>
    <row r="772" spans="1:21" x14ac:dyDescent="0.2">
      <c r="A772" s="38">
        <v>37294</v>
      </c>
      <c r="B772" s="4">
        <v>0.375</v>
      </c>
      <c r="C772" s="4">
        <v>0.39579999999999999</v>
      </c>
      <c r="D772" s="4">
        <v>0.2293</v>
      </c>
      <c r="E772" s="50">
        <v>1.0001</v>
      </c>
      <c r="F772" s="50">
        <v>0.45405000000000001</v>
      </c>
      <c r="G772" s="50">
        <v>0.1457</v>
      </c>
      <c r="H772" s="50">
        <v>0.38490743662900001</v>
      </c>
      <c r="I772" s="50">
        <v>0.48829287047999997</v>
      </c>
      <c r="J772" s="50">
        <v>0.28152200277799999</v>
      </c>
      <c r="K772" s="50">
        <v>1122.2</v>
      </c>
      <c r="L772" s="50">
        <v>1077.78</v>
      </c>
      <c r="M772" s="50">
        <v>1096.22</v>
      </c>
      <c r="N772" s="66">
        <f t="shared" si="88"/>
        <v>7.261316159165164E-3</v>
      </c>
      <c r="O772" s="66">
        <f t="shared" si="89"/>
        <v>6.2113444381602156E-2</v>
      </c>
      <c r="P772" s="4">
        <f t="shared" si="90"/>
        <v>0.1457</v>
      </c>
      <c r="Q772" s="4">
        <f t="shared" si="91"/>
        <v>0.103425</v>
      </c>
      <c r="R772" s="66">
        <f t="shared" si="92"/>
        <v>7.261316159165164E-3</v>
      </c>
      <c r="S772" s="66">
        <f t="shared" si="93"/>
        <v>6.2113444381602156E-2</v>
      </c>
      <c r="T772" s="50">
        <f t="shared" si="94"/>
        <v>1</v>
      </c>
      <c r="U772" s="50">
        <f t="shared" si="95"/>
        <v>1</v>
      </c>
    </row>
    <row r="773" spans="1:21" x14ac:dyDescent="0.2">
      <c r="A773" s="38">
        <v>37301</v>
      </c>
      <c r="B773" s="4">
        <v>0.4516</v>
      </c>
      <c r="C773" s="4">
        <v>0.3871</v>
      </c>
      <c r="D773" s="4">
        <v>0.1613</v>
      </c>
      <c r="E773" s="50">
        <v>1</v>
      </c>
      <c r="F773" s="50">
        <v>0.44492500000000001</v>
      </c>
      <c r="G773" s="50">
        <v>0.2903</v>
      </c>
      <c r="H773" s="50">
        <v>0.38490743662900001</v>
      </c>
      <c r="I773" s="50">
        <v>0.48829287047999997</v>
      </c>
      <c r="J773" s="50">
        <v>0.28152200277799999</v>
      </c>
      <c r="K773" s="50">
        <v>1124.72</v>
      </c>
      <c r="L773" s="50">
        <v>1094.68</v>
      </c>
      <c r="M773" s="50">
        <v>1104.18</v>
      </c>
      <c r="N773" s="66">
        <f t="shared" si="88"/>
        <v>-1.2987012987013118E-2</v>
      </c>
      <c r="O773" s="66">
        <f t="shared" si="89"/>
        <v>4.520096361100532E-2</v>
      </c>
      <c r="P773" s="4">
        <f t="shared" si="90"/>
        <v>0.2903</v>
      </c>
      <c r="Q773" s="4">
        <f t="shared" si="91"/>
        <v>0.17599999999999999</v>
      </c>
      <c r="R773" s="66">
        <f t="shared" si="92"/>
        <v>-1.2987012987013118E-2</v>
      </c>
      <c r="S773" s="66">
        <f t="shared" si="93"/>
        <v>4.520096361100532E-2</v>
      </c>
      <c r="T773" s="50" t="str">
        <f t="shared" si="94"/>
        <v/>
      </c>
      <c r="U773" s="50">
        <f t="shared" si="95"/>
        <v>1</v>
      </c>
    </row>
    <row r="774" spans="1:21" x14ac:dyDescent="0.2">
      <c r="A774" s="38">
        <v>37308</v>
      </c>
      <c r="B774" s="4">
        <v>0.36359999999999998</v>
      </c>
      <c r="C774" s="4">
        <v>0.38179999999999997</v>
      </c>
      <c r="D774" s="4">
        <v>0.2545</v>
      </c>
      <c r="E774" s="50">
        <v>0.99990000000000001</v>
      </c>
      <c r="F774" s="50">
        <v>0.41826249999999998</v>
      </c>
      <c r="G774" s="50">
        <v>0.1091</v>
      </c>
      <c r="H774" s="50">
        <v>0.38490743662900001</v>
      </c>
      <c r="I774" s="50">
        <v>0.48829287047999997</v>
      </c>
      <c r="J774" s="50">
        <v>0.28152200277799999</v>
      </c>
      <c r="K774" s="50">
        <v>1104.18</v>
      </c>
      <c r="L774" s="50">
        <v>1074.3599999999999</v>
      </c>
      <c r="M774" s="50">
        <v>1089.8399999999999</v>
      </c>
      <c r="N774" s="66">
        <f t="shared" si="88"/>
        <v>3.8482713058797677E-2</v>
      </c>
      <c r="O774" s="66">
        <f t="shared" si="89"/>
        <v>5.6898260295089181E-2</v>
      </c>
      <c r="P774" s="4">
        <f t="shared" si="90"/>
        <v>0.10909999999999997</v>
      </c>
      <c r="Q774" s="4">
        <f t="shared" si="91"/>
        <v>0.193075</v>
      </c>
      <c r="R774" s="66">
        <f t="shared" si="92"/>
        <v>3.8482713058797677E-2</v>
      </c>
      <c r="S774" s="66">
        <f t="shared" si="93"/>
        <v>5.6898260295089181E-2</v>
      </c>
      <c r="T774" s="50">
        <f t="shared" si="94"/>
        <v>1</v>
      </c>
      <c r="U774" s="50">
        <f t="shared" si="95"/>
        <v>1</v>
      </c>
    </row>
    <row r="775" spans="1:21" x14ac:dyDescent="0.2">
      <c r="A775" s="38">
        <v>37315</v>
      </c>
      <c r="B775" s="4">
        <v>0.44440000000000002</v>
      </c>
      <c r="C775" s="4">
        <v>0.35189999999999999</v>
      </c>
      <c r="D775" s="4">
        <v>0.20369999999999999</v>
      </c>
      <c r="E775" s="50">
        <v>1</v>
      </c>
      <c r="F775" s="50">
        <v>0.40992499999999998</v>
      </c>
      <c r="G775" s="50">
        <v>0.2407</v>
      </c>
      <c r="H775" s="50">
        <v>0.38490743662900001</v>
      </c>
      <c r="I775" s="50">
        <v>0.48829287047999997</v>
      </c>
      <c r="J775" s="50">
        <v>0.28152200277799999</v>
      </c>
      <c r="K775" s="50">
        <v>1131.79</v>
      </c>
      <c r="L775" s="50">
        <v>1089.8399999999999</v>
      </c>
      <c r="M775" s="50">
        <v>1131.78</v>
      </c>
      <c r="N775" s="66">
        <f t="shared" si="88"/>
        <v>2.8742335082789918E-2</v>
      </c>
      <c r="O775" s="66">
        <f t="shared" si="89"/>
        <v>1.1309618477089146E-2</v>
      </c>
      <c r="P775" s="4">
        <f t="shared" si="90"/>
        <v>0.24070000000000003</v>
      </c>
      <c r="Q775" s="4">
        <f t="shared" si="91"/>
        <v>0.19644999999999999</v>
      </c>
      <c r="R775" s="66">
        <f t="shared" si="92"/>
        <v>2.8742335082789918E-2</v>
      </c>
      <c r="S775" s="66">
        <f t="shared" si="93"/>
        <v>1.1309618477089146E-2</v>
      </c>
      <c r="T775" s="50">
        <f t="shared" si="94"/>
        <v>1</v>
      </c>
      <c r="U775" s="50">
        <f t="shared" si="95"/>
        <v>1</v>
      </c>
    </row>
    <row r="776" spans="1:21" x14ac:dyDescent="0.2">
      <c r="A776" s="38">
        <v>37322</v>
      </c>
      <c r="B776" s="4">
        <v>0.5333</v>
      </c>
      <c r="C776" s="4">
        <v>0.31109999999999999</v>
      </c>
      <c r="D776" s="4">
        <v>0.1555</v>
      </c>
      <c r="E776" s="50">
        <v>0.99990000000000001</v>
      </c>
      <c r="F776" s="50">
        <v>0.40810000000000002</v>
      </c>
      <c r="G776" s="50">
        <v>0.37780000000000002</v>
      </c>
      <c r="H776" s="50">
        <v>0.38490743662900001</v>
      </c>
      <c r="I776" s="50">
        <v>0.48829287047999997</v>
      </c>
      <c r="J776" s="50">
        <v>0.28152200277799999</v>
      </c>
      <c r="K776" s="50">
        <v>1172.76</v>
      </c>
      <c r="L776" s="50">
        <v>1130.93</v>
      </c>
      <c r="M776" s="50">
        <v>1164.31</v>
      </c>
      <c r="N776" s="66">
        <f t="shared" si="88"/>
        <v>-8.777731016653665E-3</v>
      </c>
      <c r="O776" s="66">
        <f t="shared" si="89"/>
        <v>-3.3418934819764372E-2</v>
      </c>
      <c r="P776" s="4">
        <f t="shared" si="90"/>
        <v>0.37780000000000002</v>
      </c>
      <c r="Q776" s="4">
        <f t="shared" si="91"/>
        <v>0.25447500000000001</v>
      </c>
      <c r="R776" s="66">
        <f t="shared" si="92"/>
        <v>-8.777731016653665E-3</v>
      </c>
      <c r="S776" s="66">
        <f t="shared" si="93"/>
        <v>-3.3418934819764372E-2</v>
      </c>
      <c r="T776" s="50" t="str">
        <f t="shared" si="94"/>
        <v/>
      </c>
      <c r="U776" s="50" t="str">
        <f t="shared" si="95"/>
        <v/>
      </c>
    </row>
    <row r="777" spans="1:21" x14ac:dyDescent="0.2">
      <c r="A777" s="38">
        <v>37329</v>
      </c>
      <c r="B777" s="4">
        <v>0.5645</v>
      </c>
      <c r="C777" s="4">
        <v>0.2903</v>
      </c>
      <c r="D777" s="4">
        <v>0.1452</v>
      </c>
      <c r="E777" s="50">
        <v>1</v>
      </c>
      <c r="F777" s="50">
        <v>0.44172499999999998</v>
      </c>
      <c r="G777" s="50">
        <v>0.41930000000000001</v>
      </c>
      <c r="H777" s="50">
        <v>0.38490743662900001</v>
      </c>
      <c r="I777" s="50">
        <v>0.48829287047999997</v>
      </c>
      <c r="J777" s="50">
        <v>0.28152200277799999</v>
      </c>
      <c r="K777" s="50">
        <v>1173.03</v>
      </c>
      <c r="L777" s="50">
        <v>1151.01</v>
      </c>
      <c r="M777" s="50">
        <v>1154.0899999999999</v>
      </c>
      <c r="N777" s="66">
        <f t="shared" si="88"/>
        <v>-1.9409231515739754E-3</v>
      </c>
      <c r="O777" s="66">
        <f t="shared" si="89"/>
        <v>-2.0466341446507545E-2</v>
      </c>
      <c r="P777" s="4">
        <f t="shared" si="90"/>
        <v>0.41930000000000001</v>
      </c>
      <c r="Q777" s="4">
        <f t="shared" si="91"/>
        <v>0.28672500000000001</v>
      </c>
      <c r="R777" s="66">
        <f t="shared" si="92"/>
        <v>-1.9409231515739754E-3</v>
      </c>
      <c r="S777" s="66">
        <f t="shared" si="93"/>
        <v>-2.0466341446507545E-2</v>
      </c>
      <c r="T777" s="50" t="str">
        <f t="shared" si="94"/>
        <v/>
      </c>
      <c r="U777" s="50" t="str">
        <f t="shared" si="95"/>
        <v/>
      </c>
    </row>
    <row r="778" spans="1:21" x14ac:dyDescent="0.2">
      <c r="A778" s="38">
        <v>37336</v>
      </c>
      <c r="B778" s="4">
        <v>0.5323</v>
      </c>
      <c r="C778" s="4">
        <v>0.3548</v>
      </c>
      <c r="D778" s="4">
        <v>0.1129</v>
      </c>
      <c r="E778" s="50">
        <v>1</v>
      </c>
      <c r="F778" s="50">
        <v>0.46489999999999998</v>
      </c>
      <c r="G778" s="50">
        <v>0.4194</v>
      </c>
      <c r="H778" s="50">
        <v>0.38490743662900001</v>
      </c>
      <c r="I778" s="50">
        <v>0.48829287047999997</v>
      </c>
      <c r="J778" s="50">
        <v>0.28152200277799999</v>
      </c>
      <c r="K778" s="50">
        <v>1173.94</v>
      </c>
      <c r="L778" s="50">
        <v>1151.6099999999999</v>
      </c>
      <c r="M778" s="50">
        <v>1151.8499999999999</v>
      </c>
      <c r="N778" s="66">
        <f t="shared" si="88"/>
        <v>-6.3115857099448561E-3</v>
      </c>
      <c r="O778" s="66">
        <f t="shared" si="89"/>
        <v>-2.2381386465251531E-2</v>
      </c>
      <c r="P778" s="4">
        <f t="shared" si="90"/>
        <v>0.4194</v>
      </c>
      <c r="Q778" s="4">
        <f t="shared" si="91"/>
        <v>0.36430000000000001</v>
      </c>
      <c r="R778" s="66">
        <f t="shared" si="92"/>
        <v>-6.3115857099448561E-3</v>
      </c>
      <c r="S778" s="66">
        <f t="shared" si="93"/>
        <v>-2.2381386465251531E-2</v>
      </c>
      <c r="T778" s="50" t="str">
        <f t="shared" si="94"/>
        <v/>
      </c>
      <c r="U778" s="50" t="str">
        <f t="shared" si="95"/>
        <v/>
      </c>
    </row>
    <row r="779" spans="1:21" x14ac:dyDescent="0.2">
      <c r="A779" s="38">
        <v>37343</v>
      </c>
      <c r="B779" s="4">
        <v>0.51160000000000005</v>
      </c>
      <c r="C779" s="4">
        <v>0.25580000000000003</v>
      </c>
      <c r="D779" s="4">
        <v>0.2326</v>
      </c>
      <c r="E779" s="50">
        <v>1</v>
      </c>
      <c r="F779" s="50">
        <v>0.4720375</v>
      </c>
      <c r="G779" s="50">
        <v>0.27900000000000003</v>
      </c>
      <c r="H779" s="50">
        <v>0.38490743662900001</v>
      </c>
      <c r="I779" s="50">
        <v>0.48829287047999997</v>
      </c>
      <c r="J779" s="50">
        <v>0.28152200277799999</v>
      </c>
      <c r="K779" s="50">
        <v>1151.04</v>
      </c>
      <c r="L779" s="50">
        <v>1131.6099999999999</v>
      </c>
      <c r="M779" s="50">
        <v>1144.58</v>
      </c>
      <c r="N779" s="66">
        <f t="shared" si="88"/>
        <v>-1.6757238463016858E-2</v>
      </c>
      <c r="O779" s="66">
        <f t="shared" si="89"/>
        <v>-4.4942249558789976E-2</v>
      </c>
      <c r="P779" s="4">
        <f t="shared" si="90"/>
        <v>0.27900000000000003</v>
      </c>
      <c r="Q779" s="4">
        <f t="shared" si="91"/>
        <v>0.37387499999999996</v>
      </c>
      <c r="R779" s="66">
        <f t="shared" si="92"/>
        <v>-1.6757238463016858E-2</v>
      </c>
      <c r="S779" s="66">
        <f t="shared" si="93"/>
        <v>-4.4942249558789976E-2</v>
      </c>
      <c r="T779" s="50" t="str">
        <f t="shared" si="94"/>
        <v/>
      </c>
      <c r="U779" s="50" t="str">
        <f t="shared" si="95"/>
        <v/>
      </c>
    </row>
    <row r="780" spans="1:21" x14ac:dyDescent="0.2">
      <c r="A780" s="38">
        <v>37350</v>
      </c>
      <c r="B780" s="4">
        <v>0.40479999999999999</v>
      </c>
      <c r="C780" s="4">
        <v>0.39290000000000003</v>
      </c>
      <c r="D780" s="4">
        <v>0.2024</v>
      </c>
      <c r="E780" s="50">
        <v>1.0001</v>
      </c>
      <c r="F780" s="50">
        <v>0.47576249999999998</v>
      </c>
      <c r="G780" s="50">
        <v>0.2024</v>
      </c>
      <c r="H780" s="50">
        <v>0.38490743662900001</v>
      </c>
      <c r="I780" s="50">
        <v>0.48829287047999997</v>
      </c>
      <c r="J780" s="50">
        <v>0.28152200277799999</v>
      </c>
      <c r="K780" s="50">
        <v>1147.8399999999999</v>
      </c>
      <c r="L780" s="50">
        <v>1119.68</v>
      </c>
      <c r="M780" s="50">
        <v>1125.4000000000001</v>
      </c>
      <c r="N780" s="66">
        <f t="shared" si="88"/>
        <v>4.5050648658254274E-3</v>
      </c>
      <c r="O780" s="66">
        <f t="shared" si="89"/>
        <v>-3.460103074462418E-2</v>
      </c>
      <c r="P780" s="4">
        <f t="shared" si="90"/>
        <v>0.2024</v>
      </c>
      <c r="Q780" s="4">
        <f t="shared" si="91"/>
        <v>0.33002500000000001</v>
      </c>
      <c r="R780" s="66">
        <f t="shared" si="92"/>
        <v>4.5050648658254274E-3</v>
      </c>
      <c r="S780" s="66">
        <f t="shared" si="93"/>
        <v>-3.460103074462418E-2</v>
      </c>
      <c r="T780" s="50">
        <f t="shared" si="94"/>
        <v>1</v>
      </c>
      <c r="U780" s="50" t="str">
        <f t="shared" si="95"/>
        <v/>
      </c>
    </row>
    <row r="781" spans="1:21" x14ac:dyDescent="0.2">
      <c r="A781" s="38">
        <v>37357</v>
      </c>
      <c r="B781" s="4">
        <v>0.28210000000000002</v>
      </c>
      <c r="C781" s="4">
        <v>0.3846</v>
      </c>
      <c r="D781" s="4">
        <v>0.33329999999999999</v>
      </c>
      <c r="E781" s="50">
        <v>1</v>
      </c>
      <c r="F781" s="50">
        <v>0.45457500000000001</v>
      </c>
      <c r="G781" s="50">
        <v>-5.1200000000000002E-2</v>
      </c>
      <c r="H781" s="50">
        <v>0.38490743662900001</v>
      </c>
      <c r="I781" s="50">
        <v>0.48829287047999997</v>
      </c>
      <c r="J781" s="50">
        <v>0.28152200277799999</v>
      </c>
      <c r="K781" s="50">
        <v>1131.76</v>
      </c>
      <c r="L781" s="50">
        <v>1111.79</v>
      </c>
      <c r="M781" s="50">
        <v>1130.47</v>
      </c>
      <c r="N781" s="66">
        <f t="shared" ref="N781:N844" si="96">(M782-M781)/M781</f>
        <v>-3.8921864357303517E-3</v>
      </c>
      <c r="O781" s="66">
        <f t="shared" ref="O781:O844" si="97">(M785-M781)/M781</f>
        <v>-3.6816545330703263E-2</v>
      </c>
      <c r="P781" s="4">
        <f t="shared" si="90"/>
        <v>-5.1199999999999968E-2</v>
      </c>
      <c r="Q781" s="4">
        <f t="shared" si="91"/>
        <v>0.21240000000000003</v>
      </c>
      <c r="R781" s="66">
        <f t="shared" si="92"/>
        <v>-3.8921864357303517E-3</v>
      </c>
      <c r="S781" s="66">
        <f t="shared" si="93"/>
        <v>-3.6816545330703263E-2</v>
      </c>
      <c r="T781" s="50" t="str">
        <f t="shared" si="94"/>
        <v/>
      </c>
      <c r="U781" s="50" t="str">
        <f t="shared" si="95"/>
        <v/>
      </c>
    </row>
    <row r="782" spans="1:21" x14ac:dyDescent="0.2">
      <c r="A782" s="38">
        <v>37364</v>
      </c>
      <c r="B782" s="4">
        <v>0.40200000000000002</v>
      </c>
      <c r="C782" s="4">
        <v>0.3659</v>
      </c>
      <c r="D782" s="4">
        <v>0.23169999999999999</v>
      </c>
      <c r="E782" s="50">
        <v>0.99960000000000004</v>
      </c>
      <c r="F782" s="50">
        <v>0.45937499999999998</v>
      </c>
      <c r="G782" s="50">
        <v>0.17030000000000001</v>
      </c>
      <c r="H782" s="50">
        <v>0.38490743662900001</v>
      </c>
      <c r="I782" s="50">
        <v>0.48829287047999997</v>
      </c>
      <c r="J782" s="50">
        <v>0.28152200277799999</v>
      </c>
      <c r="K782" s="50">
        <v>1133</v>
      </c>
      <c r="L782" s="50">
        <v>1099.4100000000001</v>
      </c>
      <c r="M782" s="50">
        <v>1126.07</v>
      </c>
      <c r="N782" s="66">
        <f t="shared" si="96"/>
        <v>-2.9243297485946555E-2</v>
      </c>
      <c r="O782" s="66">
        <f t="shared" si="97"/>
        <v>-3.1081549104407365E-2</v>
      </c>
      <c r="P782" s="4">
        <f t="shared" ref="P782:P845" si="98">B782-D782</f>
        <v>0.17030000000000003</v>
      </c>
      <c r="Q782" s="4">
        <f t="shared" si="91"/>
        <v>0.15012500000000004</v>
      </c>
      <c r="R782" s="66">
        <f t="shared" si="92"/>
        <v>-2.9243297485946555E-2</v>
      </c>
      <c r="S782" s="66">
        <f t="shared" si="93"/>
        <v>-3.1081549104407365E-2</v>
      </c>
      <c r="T782" s="50" t="str">
        <f t="shared" si="94"/>
        <v/>
      </c>
      <c r="U782" s="50" t="str">
        <f t="shared" si="95"/>
        <v/>
      </c>
    </row>
    <row r="783" spans="1:21" x14ac:dyDescent="0.2">
      <c r="A783" s="38">
        <v>37371</v>
      </c>
      <c r="B783" s="4">
        <v>0.36670000000000003</v>
      </c>
      <c r="C783" s="4">
        <v>0.4</v>
      </c>
      <c r="D783" s="4">
        <v>0.23330000000000001</v>
      </c>
      <c r="E783" s="50">
        <v>1</v>
      </c>
      <c r="F783" s="50">
        <v>0.44966250000000002</v>
      </c>
      <c r="G783" s="50">
        <v>0.13339999999999999</v>
      </c>
      <c r="H783" s="50">
        <v>0.38490743662900001</v>
      </c>
      <c r="I783" s="50">
        <v>0.48829287047999997</v>
      </c>
      <c r="J783" s="50">
        <v>0.28152200277799999</v>
      </c>
      <c r="K783" s="50">
        <v>1125.17</v>
      </c>
      <c r="L783" s="50">
        <v>1092.51</v>
      </c>
      <c r="M783" s="50">
        <v>1093.1400000000001</v>
      </c>
      <c r="N783" s="66">
        <f t="shared" si="96"/>
        <v>-6.1108366723384589E-3</v>
      </c>
      <c r="O783" s="66">
        <f t="shared" si="97"/>
        <v>-6.5133468723128944E-3</v>
      </c>
      <c r="P783" s="4">
        <f t="shared" si="98"/>
        <v>0.13340000000000002</v>
      </c>
      <c r="Q783" s="4">
        <f t="shared" si="91"/>
        <v>0.11372500000000002</v>
      </c>
      <c r="R783" s="66">
        <f t="shared" si="92"/>
        <v>-6.1108366723384589E-3</v>
      </c>
      <c r="S783" s="66">
        <f t="shared" si="93"/>
        <v>-6.5133468723128944E-3</v>
      </c>
      <c r="T783" s="50" t="str">
        <f t="shared" si="94"/>
        <v/>
      </c>
      <c r="U783" s="50" t="str">
        <f t="shared" si="95"/>
        <v/>
      </c>
    </row>
    <row r="784" spans="1:21" x14ac:dyDescent="0.2">
      <c r="A784" s="38">
        <v>37378</v>
      </c>
      <c r="B784" s="4">
        <v>0.27029999999999998</v>
      </c>
      <c r="C784" s="4">
        <v>0.39639999999999997</v>
      </c>
      <c r="D784" s="4">
        <v>0.33329999999999999</v>
      </c>
      <c r="E784" s="50">
        <v>1</v>
      </c>
      <c r="F784" s="50">
        <v>0.41678749999999998</v>
      </c>
      <c r="G784" s="50">
        <v>-6.3E-2</v>
      </c>
      <c r="H784" s="50">
        <v>0.38490743662900001</v>
      </c>
      <c r="I784" s="50">
        <v>0.48829287047999997</v>
      </c>
      <c r="J784" s="50">
        <v>0.28152200277799999</v>
      </c>
      <c r="K784" s="50">
        <v>1088.32</v>
      </c>
      <c r="L784" s="50">
        <v>1063.46</v>
      </c>
      <c r="M784" s="50">
        <v>1086.46</v>
      </c>
      <c r="N784" s="66">
        <f t="shared" si="96"/>
        <v>2.1998048708648937E-3</v>
      </c>
      <c r="O784" s="66">
        <f t="shared" si="97"/>
        <v>-1.7303904423540632E-2</v>
      </c>
      <c r="P784" s="4">
        <f t="shared" si="98"/>
        <v>-6.3E-2</v>
      </c>
      <c r="Q784" s="4">
        <f t="shared" si="91"/>
        <v>4.7375000000000014E-2</v>
      </c>
      <c r="R784" s="66">
        <f t="shared" si="92"/>
        <v>2.1998048708648937E-3</v>
      </c>
      <c r="S784" s="66">
        <f t="shared" si="93"/>
        <v>-1.7303904423540632E-2</v>
      </c>
      <c r="T784" s="50">
        <f t="shared" si="94"/>
        <v>1</v>
      </c>
      <c r="U784" s="50" t="str">
        <f t="shared" si="95"/>
        <v/>
      </c>
    </row>
    <row r="785" spans="1:21" x14ac:dyDescent="0.2">
      <c r="A785" s="38">
        <v>37385</v>
      </c>
      <c r="B785" s="4">
        <v>0.30259999999999998</v>
      </c>
      <c r="C785" s="4">
        <v>0.28949999999999998</v>
      </c>
      <c r="D785" s="4">
        <v>0.40789999999999998</v>
      </c>
      <c r="E785" s="50">
        <v>1</v>
      </c>
      <c r="F785" s="50">
        <v>0.38405</v>
      </c>
      <c r="G785" s="50">
        <v>-0.1053</v>
      </c>
      <c r="H785" s="50">
        <v>0.38490743662900001</v>
      </c>
      <c r="I785" s="50">
        <v>0.48829287047999997</v>
      </c>
      <c r="J785" s="50">
        <v>0.28152200277799999</v>
      </c>
      <c r="K785" s="50">
        <v>1088.92</v>
      </c>
      <c r="L785" s="50">
        <v>1048.96</v>
      </c>
      <c r="M785" s="50">
        <v>1088.8499999999999</v>
      </c>
      <c r="N785" s="66">
        <f t="shared" si="96"/>
        <v>2.0388483262157573E-3</v>
      </c>
      <c r="O785" s="66">
        <f t="shared" si="97"/>
        <v>-3.5771685723469553E-2</v>
      </c>
      <c r="P785" s="4">
        <f t="shared" si="98"/>
        <v>-0.1053</v>
      </c>
      <c r="Q785" s="4">
        <f t="shared" ref="Q785:Q848" si="99">AVERAGE(P782:P785)</f>
        <v>3.3850000000000019E-2</v>
      </c>
      <c r="R785" s="66">
        <f t="shared" ref="R785:R848" si="100">(M786-M785)/M785</f>
        <v>2.0388483262157573E-3</v>
      </c>
      <c r="S785" s="66">
        <f t="shared" ref="S785:S848" si="101">(M789-M785)/M785</f>
        <v>-3.5771685723469553E-2</v>
      </c>
      <c r="T785" s="50">
        <f t="shared" ref="T785:T848" si="102">IF(R785&gt;0,1,"")</f>
        <v>1</v>
      </c>
      <c r="U785" s="50" t="str">
        <f t="shared" ref="U785:U848" si="103">IF(S785&gt;0,1,"")</f>
        <v/>
      </c>
    </row>
    <row r="786" spans="1:21" x14ac:dyDescent="0.2">
      <c r="A786" s="38">
        <v>37392</v>
      </c>
      <c r="B786" s="4">
        <v>0.3679</v>
      </c>
      <c r="C786" s="4">
        <v>0.34910000000000002</v>
      </c>
      <c r="D786" s="4">
        <v>0.28299999999999997</v>
      </c>
      <c r="E786" s="50">
        <v>1</v>
      </c>
      <c r="F786" s="50">
        <v>0.36349999999999999</v>
      </c>
      <c r="G786" s="50">
        <v>8.4900000000000003E-2</v>
      </c>
      <c r="H786" s="50">
        <v>0.38490743662900001</v>
      </c>
      <c r="I786" s="50">
        <v>0.48829287047999997</v>
      </c>
      <c r="J786" s="50">
        <v>0.28152200277799999</v>
      </c>
      <c r="K786" s="50">
        <v>1104.23</v>
      </c>
      <c r="L786" s="50">
        <v>1053.9000000000001</v>
      </c>
      <c r="M786" s="50">
        <v>1091.07</v>
      </c>
      <c r="N786" s="66">
        <f t="shared" si="96"/>
        <v>-4.6284839652817461E-3</v>
      </c>
      <c r="O786" s="66">
        <f t="shared" si="97"/>
        <v>-6.4899593976555078E-2</v>
      </c>
      <c r="P786" s="4">
        <f t="shared" si="98"/>
        <v>8.4900000000000031E-2</v>
      </c>
      <c r="Q786" s="4">
        <f t="shared" si="99"/>
        <v>1.2500000000000011E-2</v>
      </c>
      <c r="R786" s="66">
        <f t="shared" si="100"/>
        <v>-4.6284839652817461E-3</v>
      </c>
      <c r="S786" s="66">
        <f t="shared" si="101"/>
        <v>-6.4899593976555078E-2</v>
      </c>
      <c r="T786" s="50" t="str">
        <f t="shared" si="102"/>
        <v/>
      </c>
      <c r="U786" s="50" t="str">
        <f t="shared" si="103"/>
        <v/>
      </c>
    </row>
    <row r="787" spans="1:21" x14ac:dyDescent="0.2">
      <c r="A787" s="38">
        <v>37399</v>
      </c>
      <c r="B787" s="4">
        <v>0.26190000000000002</v>
      </c>
      <c r="C787" s="4">
        <v>0.33329999999999999</v>
      </c>
      <c r="D787" s="4">
        <v>0.40479999999999999</v>
      </c>
      <c r="E787" s="50">
        <v>1</v>
      </c>
      <c r="F787" s="50">
        <v>0.33228750000000001</v>
      </c>
      <c r="G787" s="50">
        <v>-0.1429</v>
      </c>
      <c r="H787" s="50">
        <v>0.38490743662900001</v>
      </c>
      <c r="I787" s="50">
        <v>0.48829287047999997</v>
      </c>
      <c r="J787" s="50">
        <v>0.28152200277799999</v>
      </c>
      <c r="K787" s="50">
        <v>1106.5899999999999</v>
      </c>
      <c r="L787" s="50">
        <v>1075.6400000000001</v>
      </c>
      <c r="M787" s="50">
        <v>1086.02</v>
      </c>
      <c r="N787" s="66">
        <f t="shared" si="96"/>
        <v>-1.6905766007992394E-2</v>
      </c>
      <c r="O787" s="66">
        <f t="shared" si="97"/>
        <v>-6.0799985267306289E-2</v>
      </c>
      <c r="P787" s="4">
        <f t="shared" si="98"/>
        <v>-0.14289999999999997</v>
      </c>
      <c r="Q787" s="4">
        <f t="shared" si="99"/>
        <v>-5.6574999999999986E-2</v>
      </c>
      <c r="R787" s="66">
        <f t="shared" si="100"/>
        <v>-1.6905766007992394E-2</v>
      </c>
      <c r="S787" s="66">
        <f t="shared" si="101"/>
        <v>-6.0799985267306289E-2</v>
      </c>
      <c r="T787" s="50" t="str">
        <f t="shared" si="102"/>
        <v/>
      </c>
      <c r="U787" s="50" t="str">
        <f t="shared" si="103"/>
        <v/>
      </c>
    </row>
    <row r="788" spans="1:21" x14ac:dyDescent="0.2">
      <c r="A788" s="38">
        <v>37405</v>
      </c>
      <c r="B788" s="4">
        <v>0.28260000000000002</v>
      </c>
      <c r="C788" s="4">
        <v>0.31519999999999998</v>
      </c>
      <c r="D788" s="4">
        <v>0.4022</v>
      </c>
      <c r="E788" s="50">
        <v>1</v>
      </c>
      <c r="F788" s="50">
        <v>0.31701249999999997</v>
      </c>
      <c r="G788" s="50">
        <v>-0.1196</v>
      </c>
      <c r="H788" s="50">
        <v>0.38490743662900001</v>
      </c>
      <c r="I788" s="50">
        <v>0.48829287047999997</v>
      </c>
      <c r="J788" s="50">
        <v>0.28152200277799999</v>
      </c>
      <c r="K788" s="50">
        <v>1085.98</v>
      </c>
      <c r="L788" s="50">
        <v>1067.6600000000001</v>
      </c>
      <c r="M788" s="50">
        <v>1067.6600000000001</v>
      </c>
      <c r="N788" s="66">
        <f t="shared" si="96"/>
        <v>-1.6634509113388148E-2</v>
      </c>
      <c r="O788" s="66">
        <f t="shared" si="97"/>
        <v>-8.8164771556488122E-2</v>
      </c>
      <c r="P788" s="4">
        <f t="shared" si="98"/>
        <v>-0.11959999999999998</v>
      </c>
      <c r="Q788" s="4">
        <f t="shared" si="99"/>
        <v>-7.0724999999999982E-2</v>
      </c>
      <c r="R788" s="66">
        <f t="shared" si="100"/>
        <v>-1.6634509113388148E-2</v>
      </c>
      <c r="S788" s="66">
        <f t="shared" si="101"/>
        <v>-8.8164771556488122E-2</v>
      </c>
      <c r="T788" s="50" t="str">
        <f t="shared" si="102"/>
        <v/>
      </c>
      <c r="U788" s="50" t="str">
        <f t="shared" si="103"/>
        <v/>
      </c>
    </row>
    <row r="789" spans="1:21" x14ac:dyDescent="0.2">
      <c r="A789" s="38">
        <v>37413</v>
      </c>
      <c r="B789" s="4">
        <v>0.32790000000000002</v>
      </c>
      <c r="C789" s="4">
        <v>0.2787</v>
      </c>
      <c r="D789" s="4">
        <v>0.39340000000000003</v>
      </c>
      <c r="E789" s="50">
        <v>1</v>
      </c>
      <c r="F789" s="50">
        <v>0.32273750000000001</v>
      </c>
      <c r="G789" s="50">
        <v>-6.5500000000000003E-2</v>
      </c>
      <c r="H789" s="50">
        <v>0.38490743662900001</v>
      </c>
      <c r="I789" s="50">
        <v>0.48829287047999997</v>
      </c>
      <c r="J789" s="50">
        <v>0.28152200277799999</v>
      </c>
      <c r="K789" s="50">
        <v>1070.74</v>
      </c>
      <c r="L789" s="50">
        <v>1030.52</v>
      </c>
      <c r="M789" s="50">
        <v>1049.9000000000001</v>
      </c>
      <c r="N789" s="66">
        <f t="shared" si="96"/>
        <v>-2.8231260120011523E-2</v>
      </c>
      <c r="O789" s="66">
        <f t="shared" si="97"/>
        <v>-5.7976950185732082E-2</v>
      </c>
      <c r="P789" s="4">
        <f t="shared" si="98"/>
        <v>-6.5500000000000003E-2</v>
      </c>
      <c r="Q789" s="4">
        <f t="shared" si="99"/>
        <v>-6.0774999999999982E-2</v>
      </c>
      <c r="R789" s="66">
        <f t="shared" si="100"/>
        <v>-2.8231260120011523E-2</v>
      </c>
      <c r="S789" s="66">
        <f t="shared" si="101"/>
        <v>-5.7976950185732082E-2</v>
      </c>
      <c r="T789" s="50" t="str">
        <f t="shared" si="102"/>
        <v/>
      </c>
      <c r="U789" s="50" t="str">
        <f t="shared" si="103"/>
        <v/>
      </c>
    </row>
    <row r="790" spans="1:21" x14ac:dyDescent="0.2">
      <c r="A790" s="38">
        <v>37420</v>
      </c>
      <c r="B790" s="4">
        <v>0.31819999999999998</v>
      </c>
      <c r="C790" s="4">
        <v>0.34549999999999997</v>
      </c>
      <c r="D790" s="4">
        <v>0.33639999999999998</v>
      </c>
      <c r="E790" s="50">
        <v>1.0001</v>
      </c>
      <c r="F790" s="50">
        <v>0.3122625</v>
      </c>
      <c r="G790" s="50">
        <v>-1.8200000000000001E-2</v>
      </c>
      <c r="H790" s="50">
        <v>0.38490743662900001</v>
      </c>
      <c r="I790" s="50">
        <v>0.48829287047999997</v>
      </c>
      <c r="J790" s="50">
        <v>0.28152200277799999</v>
      </c>
      <c r="K790" s="50">
        <v>1039.04</v>
      </c>
      <c r="L790" s="50">
        <v>1002.58</v>
      </c>
      <c r="M790" s="50">
        <v>1020.26</v>
      </c>
      <c r="N790" s="66">
        <f t="shared" si="96"/>
        <v>-2.6463842549936467E-4</v>
      </c>
      <c r="O790" s="66">
        <f t="shared" si="97"/>
        <v>-9.7808401779938409E-2</v>
      </c>
      <c r="P790" s="4">
        <f t="shared" si="98"/>
        <v>-1.8199999999999994E-2</v>
      </c>
      <c r="Q790" s="4">
        <f t="shared" si="99"/>
        <v>-8.6549999999999988E-2</v>
      </c>
      <c r="R790" s="66">
        <f t="shared" si="100"/>
        <v>-2.6463842549936467E-4</v>
      </c>
      <c r="S790" s="66">
        <f t="shared" si="101"/>
        <v>-9.7808401779938409E-2</v>
      </c>
      <c r="T790" s="50" t="str">
        <f t="shared" si="102"/>
        <v/>
      </c>
      <c r="U790" s="50" t="str">
        <f t="shared" si="103"/>
        <v/>
      </c>
    </row>
    <row r="791" spans="1:21" x14ac:dyDescent="0.2">
      <c r="A791" s="38">
        <v>37427</v>
      </c>
      <c r="B791" s="4">
        <v>0.45710000000000001</v>
      </c>
      <c r="C791" s="4">
        <v>0.28570000000000001</v>
      </c>
      <c r="D791" s="4">
        <v>0.2571</v>
      </c>
      <c r="E791" s="50">
        <v>0.99990000000000001</v>
      </c>
      <c r="F791" s="50">
        <v>0.32356249999999998</v>
      </c>
      <c r="G791" s="50">
        <v>0.2</v>
      </c>
      <c r="H791" s="50">
        <v>0.38490743662900001</v>
      </c>
      <c r="I791" s="50">
        <v>0.48829287047999997</v>
      </c>
      <c r="J791" s="50">
        <v>0.28152200277799999</v>
      </c>
      <c r="K791" s="50">
        <v>1040.83</v>
      </c>
      <c r="L791" s="50">
        <v>1007.27</v>
      </c>
      <c r="M791" s="50">
        <v>1019.99</v>
      </c>
      <c r="N791" s="66">
        <f t="shared" si="96"/>
        <v>-4.5549466171237007E-2</v>
      </c>
      <c r="O791" s="66">
        <f t="shared" si="97"/>
        <v>-0.11171678153707394</v>
      </c>
      <c r="P791" s="4">
        <f t="shared" si="98"/>
        <v>0.2</v>
      </c>
      <c r="Q791" s="4">
        <f t="shared" si="99"/>
        <v>-8.2499999999999241E-4</v>
      </c>
      <c r="R791" s="66">
        <f t="shared" si="100"/>
        <v>-4.5549466171237007E-2</v>
      </c>
      <c r="S791" s="66">
        <f t="shared" si="101"/>
        <v>-0.11171678153707394</v>
      </c>
      <c r="T791" s="50" t="str">
        <f t="shared" si="102"/>
        <v/>
      </c>
      <c r="U791" s="50" t="str">
        <f t="shared" si="103"/>
        <v/>
      </c>
    </row>
    <row r="792" spans="1:21" x14ac:dyDescent="0.2">
      <c r="A792" s="38">
        <v>37434</v>
      </c>
      <c r="B792" s="4">
        <v>0.30969999999999998</v>
      </c>
      <c r="C792" s="4">
        <v>0.2301</v>
      </c>
      <c r="D792" s="4">
        <v>0.4602</v>
      </c>
      <c r="E792" s="50">
        <v>1</v>
      </c>
      <c r="F792" s="50">
        <v>0.32848749999999999</v>
      </c>
      <c r="G792" s="50">
        <v>-0.15049999999999999</v>
      </c>
      <c r="H792" s="50">
        <v>0.38490743662900001</v>
      </c>
      <c r="I792" s="50">
        <v>0.48829287047999997</v>
      </c>
      <c r="J792" s="50">
        <v>0.28152200277799999</v>
      </c>
      <c r="K792" s="50">
        <v>1005.88</v>
      </c>
      <c r="L792" s="50">
        <v>952.92</v>
      </c>
      <c r="M792" s="50">
        <v>973.53</v>
      </c>
      <c r="N792" s="66">
        <f t="shared" si="96"/>
        <v>1.5921440530851642E-2</v>
      </c>
      <c r="O792" s="66">
        <f t="shared" si="97"/>
        <v>-0.13363738148798704</v>
      </c>
      <c r="P792" s="4">
        <f t="shared" si="98"/>
        <v>-0.15050000000000002</v>
      </c>
      <c r="Q792" s="4">
        <f t="shared" si="99"/>
        <v>-8.550000000000002E-3</v>
      </c>
      <c r="R792" s="66">
        <f t="shared" si="100"/>
        <v>1.5921440530851642E-2</v>
      </c>
      <c r="S792" s="66">
        <f t="shared" si="101"/>
        <v>-0.13363738148798704</v>
      </c>
      <c r="T792" s="50">
        <f t="shared" si="102"/>
        <v>1</v>
      </c>
      <c r="U792" s="50" t="str">
        <f t="shared" si="103"/>
        <v/>
      </c>
    </row>
    <row r="793" spans="1:21" x14ac:dyDescent="0.2">
      <c r="A793" s="38">
        <v>37440</v>
      </c>
      <c r="B793" s="4">
        <v>0.2656</v>
      </c>
      <c r="C793" s="4">
        <v>0.2656</v>
      </c>
      <c r="D793" s="4">
        <v>0.46879999999999999</v>
      </c>
      <c r="E793" s="50">
        <v>1</v>
      </c>
      <c r="F793" s="50">
        <v>0.3238625</v>
      </c>
      <c r="G793" s="50">
        <v>-0.20319999999999999</v>
      </c>
      <c r="H793" s="50">
        <v>0.38490743662900001</v>
      </c>
      <c r="I793" s="50">
        <v>0.48829287047999997</v>
      </c>
      <c r="J793" s="50">
        <v>0.28152200277799999</v>
      </c>
      <c r="K793" s="50">
        <v>994.46</v>
      </c>
      <c r="L793" s="50">
        <v>934.87</v>
      </c>
      <c r="M793" s="50">
        <v>989.03</v>
      </c>
      <c r="N793" s="66">
        <f t="shared" si="96"/>
        <v>-6.9320445284773921E-2</v>
      </c>
      <c r="O793" s="66">
        <f t="shared" si="97"/>
        <v>-7.8268606614561712E-2</v>
      </c>
      <c r="P793" s="4">
        <f t="shared" si="98"/>
        <v>-0.20319999999999999</v>
      </c>
      <c r="Q793" s="4">
        <f t="shared" si="99"/>
        <v>-4.2974999999999999E-2</v>
      </c>
      <c r="R793" s="66">
        <f t="shared" si="100"/>
        <v>-6.9320445284773921E-2</v>
      </c>
      <c r="S793" s="66">
        <f t="shared" si="101"/>
        <v>-7.8268606614561712E-2</v>
      </c>
      <c r="T793" s="50" t="str">
        <f t="shared" si="102"/>
        <v/>
      </c>
      <c r="U793" s="50" t="str">
        <f t="shared" si="103"/>
        <v/>
      </c>
    </row>
    <row r="794" spans="1:21" x14ac:dyDescent="0.2">
      <c r="A794" s="38">
        <v>37448</v>
      </c>
      <c r="B794" s="4">
        <v>0.35049999999999998</v>
      </c>
      <c r="C794" s="4">
        <v>0.2268</v>
      </c>
      <c r="D794" s="4">
        <v>0.42270000000000002</v>
      </c>
      <c r="E794" s="50">
        <v>1</v>
      </c>
      <c r="F794" s="50">
        <v>0.32168750000000002</v>
      </c>
      <c r="G794" s="50">
        <v>-7.22E-2</v>
      </c>
      <c r="H794" s="50">
        <v>0.38490743662900001</v>
      </c>
      <c r="I794" s="50">
        <v>0.48829287047999997</v>
      </c>
      <c r="J794" s="50">
        <v>0.28152200277799999</v>
      </c>
      <c r="K794" s="50">
        <v>993.56</v>
      </c>
      <c r="L794" s="50">
        <v>920.29</v>
      </c>
      <c r="M794" s="50">
        <v>920.47</v>
      </c>
      <c r="N794" s="66">
        <f t="shared" si="96"/>
        <v>-1.567677382206923E-2</v>
      </c>
      <c r="O794" s="66">
        <f t="shared" si="97"/>
        <v>-4.7475746086238599E-2</v>
      </c>
      <c r="P794" s="4">
        <f t="shared" si="98"/>
        <v>-7.2200000000000042E-2</v>
      </c>
      <c r="Q794" s="4">
        <f t="shared" si="99"/>
        <v>-5.6475000000000011E-2</v>
      </c>
      <c r="R794" s="66">
        <f t="shared" si="100"/>
        <v>-1.567677382206923E-2</v>
      </c>
      <c r="S794" s="66">
        <f t="shared" si="101"/>
        <v>-4.7475746086238599E-2</v>
      </c>
      <c r="T794" s="50" t="str">
        <f t="shared" si="102"/>
        <v/>
      </c>
      <c r="U794" s="50" t="str">
        <f t="shared" si="103"/>
        <v/>
      </c>
    </row>
    <row r="795" spans="1:21" x14ac:dyDescent="0.2">
      <c r="A795" s="38">
        <v>37455</v>
      </c>
      <c r="B795" s="4">
        <v>0.26250000000000001</v>
      </c>
      <c r="C795" s="4">
        <v>0.2</v>
      </c>
      <c r="D795" s="4">
        <v>0.53749999999999998</v>
      </c>
      <c r="E795" s="50">
        <v>1</v>
      </c>
      <c r="F795" s="50">
        <v>0.32176250000000001</v>
      </c>
      <c r="G795" s="50">
        <v>-0.27500000000000002</v>
      </c>
      <c r="H795" s="50">
        <v>0.38490743662900001</v>
      </c>
      <c r="I795" s="50">
        <v>0.48829287047999997</v>
      </c>
      <c r="J795" s="50">
        <v>0.28152200277799999</v>
      </c>
      <c r="K795" s="50">
        <v>926.52</v>
      </c>
      <c r="L795" s="50">
        <v>876.46</v>
      </c>
      <c r="M795" s="50">
        <v>906.04</v>
      </c>
      <c r="N795" s="66">
        <f t="shared" si="96"/>
        <v>-6.9102909363825016E-2</v>
      </c>
      <c r="O795" s="66">
        <f t="shared" si="97"/>
        <v>1.4988300737274338E-2</v>
      </c>
      <c r="P795" s="4">
        <f t="shared" si="98"/>
        <v>-0.27499999999999997</v>
      </c>
      <c r="Q795" s="4">
        <f t="shared" si="99"/>
        <v>-0.17522500000000002</v>
      </c>
      <c r="R795" s="66">
        <f t="shared" si="100"/>
        <v>-6.9102909363825016E-2</v>
      </c>
      <c r="S795" s="66">
        <f t="shared" si="101"/>
        <v>1.4988300737274338E-2</v>
      </c>
      <c r="T795" s="50" t="str">
        <f t="shared" si="102"/>
        <v/>
      </c>
      <c r="U795" s="50">
        <f t="shared" si="103"/>
        <v>1</v>
      </c>
    </row>
    <row r="796" spans="1:21" x14ac:dyDescent="0.2">
      <c r="A796" s="38">
        <v>37462</v>
      </c>
      <c r="B796" s="4">
        <v>0.27910000000000001</v>
      </c>
      <c r="C796" s="4">
        <v>0.2326</v>
      </c>
      <c r="D796" s="4">
        <v>0.4884</v>
      </c>
      <c r="E796" s="50">
        <v>1.0001</v>
      </c>
      <c r="F796" s="50">
        <v>0.32132500000000003</v>
      </c>
      <c r="G796" s="50">
        <v>-0.20930000000000001</v>
      </c>
      <c r="H796" s="50">
        <v>0.38490743662900001</v>
      </c>
      <c r="I796" s="50">
        <v>0.48829287047999997</v>
      </c>
      <c r="J796" s="50">
        <v>0.28152200277799999</v>
      </c>
      <c r="K796" s="50">
        <v>854.13</v>
      </c>
      <c r="L796" s="50">
        <v>775.68</v>
      </c>
      <c r="M796" s="50">
        <v>843.43</v>
      </c>
      <c r="N796" s="66">
        <f t="shared" si="96"/>
        <v>8.0848440297357285E-2</v>
      </c>
      <c r="O796" s="66">
        <f t="shared" si="97"/>
        <v>0.12559429946765002</v>
      </c>
      <c r="P796" s="4">
        <f t="shared" si="98"/>
        <v>-0.20929999999999999</v>
      </c>
      <c r="Q796" s="4">
        <f t="shared" si="99"/>
        <v>-0.18992500000000001</v>
      </c>
      <c r="R796" s="66">
        <f t="shared" si="100"/>
        <v>8.0848440297357285E-2</v>
      </c>
      <c r="S796" s="66">
        <f t="shared" si="101"/>
        <v>0.12559429946765002</v>
      </c>
      <c r="T796" s="50">
        <f t="shared" si="102"/>
        <v>1</v>
      </c>
      <c r="U796" s="50">
        <f t="shared" si="103"/>
        <v>1</v>
      </c>
    </row>
    <row r="797" spans="1:21" x14ac:dyDescent="0.2">
      <c r="A797" s="38">
        <v>37469</v>
      </c>
      <c r="B797" s="4">
        <v>0.34210000000000002</v>
      </c>
      <c r="C797" s="4">
        <v>0.34210000000000002</v>
      </c>
      <c r="D797" s="4">
        <v>0.31580000000000003</v>
      </c>
      <c r="E797" s="50">
        <v>1</v>
      </c>
      <c r="F797" s="50">
        <v>0.3231</v>
      </c>
      <c r="G797" s="50">
        <v>2.63E-2</v>
      </c>
      <c r="H797" s="50">
        <v>0.38490743662900001</v>
      </c>
      <c r="I797" s="50">
        <v>0.48829287047999997</v>
      </c>
      <c r="J797" s="50">
        <v>0.28152200277799999</v>
      </c>
      <c r="K797" s="50">
        <v>911.64</v>
      </c>
      <c r="L797" s="50">
        <v>852.84</v>
      </c>
      <c r="M797" s="50">
        <v>911.62</v>
      </c>
      <c r="N797" s="66">
        <f t="shared" si="96"/>
        <v>-3.8228647901537946E-2</v>
      </c>
      <c r="O797" s="66">
        <f t="shared" si="97"/>
        <v>6.8559268116101003E-3</v>
      </c>
      <c r="P797" s="4">
        <f t="shared" si="98"/>
        <v>2.629999999999999E-2</v>
      </c>
      <c r="Q797" s="4">
        <f t="shared" si="99"/>
        <v>-0.13255</v>
      </c>
      <c r="R797" s="66">
        <f t="shared" si="100"/>
        <v>-3.8228647901537946E-2</v>
      </c>
      <c r="S797" s="66">
        <f t="shared" si="101"/>
        <v>6.8559268116101003E-3</v>
      </c>
      <c r="T797" s="50" t="str">
        <f t="shared" si="102"/>
        <v/>
      </c>
      <c r="U797" s="50">
        <f t="shared" si="103"/>
        <v>1</v>
      </c>
    </row>
    <row r="798" spans="1:21" x14ac:dyDescent="0.2">
      <c r="A798" s="38">
        <v>37476</v>
      </c>
      <c r="B798" s="4">
        <v>0.377</v>
      </c>
      <c r="C798" s="4">
        <v>0.22950000000000001</v>
      </c>
      <c r="D798" s="4">
        <v>0.39340000000000003</v>
      </c>
      <c r="E798" s="50">
        <v>0.99990000000000001</v>
      </c>
      <c r="F798" s="50">
        <v>0.33045000000000002</v>
      </c>
      <c r="G798" s="50">
        <v>-1.6400000000000001E-2</v>
      </c>
      <c r="H798" s="50">
        <v>0.38490743662900001</v>
      </c>
      <c r="I798" s="50">
        <v>0.48829287047999997</v>
      </c>
      <c r="J798" s="50">
        <v>0.28152200277799999</v>
      </c>
      <c r="K798" s="50">
        <v>878.74</v>
      </c>
      <c r="L798" s="50">
        <v>833.44</v>
      </c>
      <c r="M798" s="50">
        <v>876.77</v>
      </c>
      <c r="N798" s="66">
        <f t="shared" si="96"/>
        <v>4.8872566351494715E-2</v>
      </c>
      <c r="O798" s="66">
        <f t="shared" si="97"/>
        <v>1.8967346054267364E-2</v>
      </c>
      <c r="P798" s="4">
        <f t="shared" si="98"/>
        <v>-1.6400000000000026E-2</v>
      </c>
      <c r="Q798" s="4">
        <f t="shared" si="99"/>
        <v>-0.1186</v>
      </c>
      <c r="R798" s="66">
        <f t="shared" si="100"/>
        <v>4.8872566351494715E-2</v>
      </c>
      <c r="S798" s="66">
        <f t="shared" si="101"/>
        <v>1.8967346054267364E-2</v>
      </c>
      <c r="T798" s="50">
        <f t="shared" si="102"/>
        <v>1</v>
      </c>
      <c r="U798" s="50">
        <f t="shared" si="103"/>
        <v>1</v>
      </c>
    </row>
    <row r="799" spans="1:21" x14ac:dyDescent="0.2">
      <c r="A799" s="38">
        <v>37483</v>
      </c>
      <c r="B799" s="4">
        <v>0.37930000000000003</v>
      </c>
      <c r="C799" s="4">
        <v>0.2069</v>
      </c>
      <c r="D799" s="4">
        <v>0.4138</v>
      </c>
      <c r="E799" s="50">
        <v>1</v>
      </c>
      <c r="F799" s="50">
        <v>0.32072499999999998</v>
      </c>
      <c r="G799" s="50">
        <v>-3.4500000000000003E-2</v>
      </c>
      <c r="H799" s="50">
        <v>0.38490743662900001</v>
      </c>
      <c r="I799" s="50">
        <v>0.48829287047999997</v>
      </c>
      <c r="J799" s="50">
        <v>0.28152200277799999</v>
      </c>
      <c r="K799" s="50">
        <v>920.21</v>
      </c>
      <c r="L799" s="50">
        <v>876.2</v>
      </c>
      <c r="M799" s="50">
        <v>919.62</v>
      </c>
      <c r="N799" s="66">
        <f t="shared" si="96"/>
        <v>3.2339444553185021E-2</v>
      </c>
      <c r="O799" s="66">
        <f t="shared" si="97"/>
        <v>-1.1058915639068266E-2</v>
      </c>
      <c r="P799" s="4">
        <f t="shared" si="98"/>
        <v>-3.4499999999999975E-2</v>
      </c>
      <c r="Q799" s="4">
        <f t="shared" si="99"/>
        <v>-5.8474999999999999E-2</v>
      </c>
      <c r="R799" s="66">
        <f t="shared" si="100"/>
        <v>3.2339444553185021E-2</v>
      </c>
      <c r="S799" s="66">
        <f t="shared" si="101"/>
        <v>-1.1058915639068266E-2</v>
      </c>
      <c r="T799" s="50">
        <f t="shared" si="102"/>
        <v>1</v>
      </c>
      <c r="U799" s="50" t="str">
        <f t="shared" si="103"/>
        <v/>
      </c>
    </row>
    <row r="800" spans="1:21" x14ac:dyDescent="0.2">
      <c r="A800" s="38">
        <v>37490</v>
      </c>
      <c r="B800" s="4">
        <v>0.4375</v>
      </c>
      <c r="C800" s="4">
        <v>0.16669999999999999</v>
      </c>
      <c r="D800" s="4">
        <v>0.39579999999999999</v>
      </c>
      <c r="E800" s="50">
        <v>1</v>
      </c>
      <c r="F800" s="50">
        <v>0.3367</v>
      </c>
      <c r="G800" s="50">
        <v>4.1700000000000001E-2</v>
      </c>
      <c r="H800" s="50">
        <v>0.38490743662900001</v>
      </c>
      <c r="I800" s="50">
        <v>0.48829287047999997</v>
      </c>
      <c r="J800" s="50">
        <v>0.28152200277799999</v>
      </c>
      <c r="K800" s="50">
        <v>951.59</v>
      </c>
      <c r="L800" s="50">
        <v>927.21</v>
      </c>
      <c r="M800" s="50">
        <v>949.36</v>
      </c>
      <c r="N800" s="66">
        <f t="shared" si="96"/>
        <v>-3.3169714333867034E-2</v>
      </c>
      <c r="O800" s="66">
        <f t="shared" si="97"/>
        <v>-0.1095158843852701</v>
      </c>
      <c r="P800" s="4">
        <f t="shared" si="98"/>
        <v>4.1700000000000015E-2</v>
      </c>
      <c r="Q800" s="4">
        <f t="shared" si="99"/>
        <v>4.275000000000001E-3</v>
      </c>
      <c r="R800" s="66">
        <f t="shared" si="100"/>
        <v>-3.3169714333867034E-2</v>
      </c>
      <c r="S800" s="66">
        <f t="shared" si="101"/>
        <v>-0.1095158843852701</v>
      </c>
      <c r="T800" s="50" t="str">
        <f t="shared" si="102"/>
        <v/>
      </c>
      <c r="U800" s="50" t="str">
        <f t="shared" si="103"/>
        <v/>
      </c>
    </row>
    <row r="801" spans="1:21" x14ac:dyDescent="0.2">
      <c r="A801" s="38">
        <v>37497</v>
      </c>
      <c r="B801" s="4">
        <v>0.5</v>
      </c>
      <c r="C801" s="4">
        <v>0.2097</v>
      </c>
      <c r="D801" s="4">
        <v>0.2903</v>
      </c>
      <c r="E801" s="50">
        <v>1</v>
      </c>
      <c r="F801" s="50">
        <v>0.36599999999999999</v>
      </c>
      <c r="G801" s="50">
        <v>0.2097</v>
      </c>
      <c r="H801" s="50">
        <v>0.38490743662900001</v>
      </c>
      <c r="I801" s="50">
        <v>0.48829287047999997</v>
      </c>
      <c r="J801" s="50">
        <v>0.28152200277799999</v>
      </c>
      <c r="K801" s="50">
        <v>955.82</v>
      </c>
      <c r="L801" s="50">
        <v>913.21</v>
      </c>
      <c r="M801" s="50">
        <v>917.87</v>
      </c>
      <c r="N801" s="66">
        <f t="shared" si="96"/>
        <v>-2.6659548737838722E-2</v>
      </c>
      <c r="O801" s="66">
        <f t="shared" si="97"/>
        <v>-8.5208144944273187E-2</v>
      </c>
      <c r="P801" s="4">
        <f t="shared" si="98"/>
        <v>0.2097</v>
      </c>
      <c r="Q801" s="4">
        <f t="shared" si="99"/>
        <v>5.0125000000000003E-2</v>
      </c>
      <c r="R801" s="66">
        <f t="shared" si="100"/>
        <v>-2.6659548737838722E-2</v>
      </c>
      <c r="S801" s="66">
        <f t="shared" si="101"/>
        <v>-8.5208144944273187E-2</v>
      </c>
      <c r="T801" s="50" t="str">
        <f t="shared" si="102"/>
        <v/>
      </c>
      <c r="U801" s="50" t="str">
        <f t="shared" si="103"/>
        <v/>
      </c>
    </row>
    <row r="802" spans="1:21" x14ac:dyDescent="0.2">
      <c r="A802" s="38">
        <v>37504</v>
      </c>
      <c r="B802" s="4">
        <v>0.31480000000000002</v>
      </c>
      <c r="C802" s="4">
        <v>0.1852</v>
      </c>
      <c r="D802" s="4">
        <v>0.5</v>
      </c>
      <c r="E802" s="50">
        <v>1</v>
      </c>
      <c r="F802" s="50">
        <v>0.36153750000000001</v>
      </c>
      <c r="G802" s="50">
        <v>-0.1852</v>
      </c>
      <c r="H802" s="50">
        <v>0.38490743662900001</v>
      </c>
      <c r="I802" s="50">
        <v>0.48829287047999997</v>
      </c>
      <c r="J802" s="50">
        <v>0.28152200277799999</v>
      </c>
      <c r="K802" s="50">
        <v>916.07</v>
      </c>
      <c r="L802" s="50">
        <v>875.73</v>
      </c>
      <c r="M802" s="50">
        <v>893.4</v>
      </c>
      <c r="N802" s="66">
        <f t="shared" si="96"/>
        <v>1.7965077233042387E-2</v>
      </c>
      <c r="O802" s="66">
        <f t="shared" si="97"/>
        <v>-7.3304231027535277E-2</v>
      </c>
      <c r="P802" s="4">
        <f t="shared" si="98"/>
        <v>-0.18519999999999998</v>
      </c>
      <c r="Q802" s="4">
        <f t="shared" si="99"/>
        <v>7.9250000000000154E-3</v>
      </c>
      <c r="R802" s="66">
        <f t="shared" si="100"/>
        <v>1.7965077233042387E-2</v>
      </c>
      <c r="S802" s="66">
        <f t="shared" si="101"/>
        <v>-7.3304231027535277E-2</v>
      </c>
      <c r="T802" s="50">
        <f t="shared" si="102"/>
        <v>1</v>
      </c>
      <c r="U802" s="50" t="str">
        <f t="shared" si="103"/>
        <v/>
      </c>
    </row>
    <row r="803" spans="1:21" x14ac:dyDescent="0.2">
      <c r="A803" s="38">
        <v>37511</v>
      </c>
      <c r="B803" s="4">
        <v>0.3836</v>
      </c>
      <c r="C803" s="4">
        <v>0.24660000000000001</v>
      </c>
      <c r="D803" s="4">
        <v>0.36990000000000001</v>
      </c>
      <c r="E803" s="50">
        <v>1.0001</v>
      </c>
      <c r="F803" s="50">
        <v>0.37667499999999998</v>
      </c>
      <c r="G803" s="50">
        <v>1.37E-2</v>
      </c>
      <c r="H803" s="50">
        <v>0.38490743662900001</v>
      </c>
      <c r="I803" s="50">
        <v>0.48829287047999997</v>
      </c>
      <c r="J803" s="50">
        <v>0.28152200277799999</v>
      </c>
      <c r="K803" s="50">
        <v>924.02</v>
      </c>
      <c r="L803" s="50">
        <v>882.92</v>
      </c>
      <c r="M803" s="50">
        <v>909.45</v>
      </c>
      <c r="N803" s="66">
        <f t="shared" si="96"/>
        <v>-7.0438176920116613E-2</v>
      </c>
      <c r="O803" s="66">
        <f t="shared" si="97"/>
        <v>-0.14590136895926115</v>
      </c>
      <c r="P803" s="4">
        <f t="shared" si="98"/>
        <v>1.369999999999999E-2</v>
      </c>
      <c r="Q803" s="4">
        <f t="shared" si="99"/>
        <v>1.9975000000000007E-2</v>
      </c>
      <c r="R803" s="66">
        <f t="shared" si="100"/>
        <v>-7.0438176920116613E-2</v>
      </c>
      <c r="S803" s="66">
        <f t="shared" si="101"/>
        <v>-0.14590136895926115</v>
      </c>
      <c r="T803" s="50" t="str">
        <f t="shared" si="102"/>
        <v/>
      </c>
      <c r="U803" s="50" t="str">
        <f t="shared" si="103"/>
        <v/>
      </c>
    </row>
    <row r="804" spans="1:21" x14ac:dyDescent="0.2">
      <c r="A804" s="38">
        <v>37518</v>
      </c>
      <c r="B804" s="4">
        <v>0.33779999999999999</v>
      </c>
      <c r="C804" s="4">
        <v>0.22969999999999999</v>
      </c>
      <c r="D804" s="4">
        <v>0.43240000000000001</v>
      </c>
      <c r="E804" s="50">
        <v>0.99990000000000001</v>
      </c>
      <c r="F804" s="50">
        <v>0.38401249999999998</v>
      </c>
      <c r="G804" s="50">
        <v>-9.4600000000000004E-2</v>
      </c>
      <c r="H804" s="50">
        <v>0.38490743662900001</v>
      </c>
      <c r="I804" s="50">
        <v>0.48829287047999997</v>
      </c>
      <c r="J804" s="50">
        <v>0.28152200277799999</v>
      </c>
      <c r="K804" s="50">
        <v>902.68</v>
      </c>
      <c r="L804" s="50">
        <v>839.09</v>
      </c>
      <c r="M804" s="50">
        <v>845.39</v>
      </c>
      <c r="N804" s="66">
        <f t="shared" si="96"/>
        <v>-6.7779368102296195E-3</v>
      </c>
      <c r="O804" s="66">
        <f t="shared" si="97"/>
        <v>1.730562225718307E-2</v>
      </c>
      <c r="P804" s="4">
        <f t="shared" si="98"/>
        <v>-9.4600000000000017E-2</v>
      </c>
      <c r="Q804" s="4">
        <f t="shared" si="99"/>
        <v>-1.4100000000000001E-2</v>
      </c>
      <c r="R804" s="66">
        <f t="shared" si="100"/>
        <v>-6.7779368102296195E-3</v>
      </c>
      <c r="S804" s="66">
        <f t="shared" si="101"/>
        <v>1.730562225718307E-2</v>
      </c>
      <c r="T804" s="50" t="str">
        <f t="shared" si="102"/>
        <v/>
      </c>
      <c r="U804" s="50">
        <f t="shared" si="103"/>
        <v>1</v>
      </c>
    </row>
    <row r="805" spans="1:21" x14ac:dyDescent="0.2">
      <c r="A805" s="38">
        <v>37525</v>
      </c>
      <c r="B805" s="4">
        <v>0.24510000000000001</v>
      </c>
      <c r="C805" s="4">
        <v>0.2843</v>
      </c>
      <c r="D805" s="4">
        <v>0.47060000000000002</v>
      </c>
      <c r="E805" s="50">
        <v>1</v>
      </c>
      <c r="F805" s="50">
        <v>0.37188749999999998</v>
      </c>
      <c r="G805" s="50">
        <v>-0.22550000000000001</v>
      </c>
      <c r="H805" s="50">
        <v>0.38490743662900001</v>
      </c>
      <c r="I805" s="50">
        <v>0.48829287047999997</v>
      </c>
      <c r="J805" s="50">
        <v>0.28152200277799999</v>
      </c>
      <c r="K805" s="50">
        <v>845.39</v>
      </c>
      <c r="L805" s="50">
        <v>817.38</v>
      </c>
      <c r="M805" s="50">
        <v>839.66</v>
      </c>
      <c r="N805" s="66">
        <f t="shared" si="96"/>
        <v>-1.399375937879618E-2</v>
      </c>
      <c r="O805" s="66">
        <f t="shared" si="97"/>
        <v>6.7265321677821996E-2</v>
      </c>
      <c r="P805" s="4">
        <f t="shared" si="98"/>
        <v>-0.22550000000000001</v>
      </c>
      <c r="Q805" s="4">
        <f t="shared" si="99"/>
        <v>-0.12290000000000001</v>
      </c>
      <c r="R805" s="66">
        <f t="shared" si="100"/>
        <v>-1.399375937879618E-2</v>
      </c>
      <c r="S805" s="66">
        <f t="shared" si="101"/>
        <v>6.7265321677821996E-2</v>
      </c>
      <c r="T805" s="50" t="str">
        <f t="shared" si="102"/>
        <v/>
      </c>
      <c r="U805" s="50">
        <f t="shared" si="103"/>
        <v>1</v>
      </c>
    </row>
    <row r="806" spans="1:21" x14ac:dyDescent="0.2">
      <c r="A806" s="38">
        <v>37532</v>
      </c>
      <c r="B806" s="4">
        <v>0.35210000000000002</v>
      </c>
      <c r="C806" s="4">
        <v>0.16900000000000001</v>
      </c>
      <c r="D806" s="4">
        <v>0.47889999999999999</v>
      </c>
      <c r="E806" s="50">
        <v>1</v>
      </c>
      <c r="F806" s="50">
        <v>0.36877500000000002</v>
      </c>
      <c r="G806" s="50">
        <v>-0.1268</v>
      </c>
      <c r="H806" s="50">
        <v>0.38490743662900001</v>
      </c>
      <c r="I806" s="50">
        <v>0.48829287047999997</v>
      </c>
      <c r="J806" s="50">
        <v>0.28152200277799999</v>
      </c>
      <c r="K806" s="50">
        <v>851.93</v>
      </c>
      <c r="L806" s="50">
        <v>800.2</v>
      </c>
      <c r="M806" s="50">
        <v>827.91</v>
      </c>
      <c r="N806" s="66">
        <f t="shared" si="96"/>
        <v>-6.178207776207556E-2</v>
      </c>
      <c r="O806" s="66">
        <f t="shared" si="97"/>
        <v>7.5853655590583602E-2</v>
      </c>
      <c r="P806" s="4">
        <f t="shared" si="98"/>
        <v>-0.12679999999999997</v>
      </c>
      <c r="Q806" s="4">
        <f t="shared" si="99"/>
        <v>-0.10829999999999999</v>
      </c>
      <c r="R806" s="66">
        <f t="shared" si="100"/>
        <v>-6.178207776207556E-2</v>
      </c>
      <c r="S806" s="66">
        <f t="shared" si="101"/>
        <v>7.5853655590583602E-2</v>
      </c>
      <c r="T806" s="50" t="str">
        <f t="shared" si="102"/>
        <v/>
      </c>
      <c r="U806" s="50">
        <f t="shared" si="103"/>
        <v>1</v>
      </c>
    </row>
    <row r="807" spans="1:21" x14ac:dyDescent="0.2">
      <c r="A807" s="38">
        <v>37539</v>
      </c>
      <c r="B807" s="4">
        <v>0.28849999999999998</v>
      </c>
      <c r="C807" s="4">
        <v>0.16350000000000001</v>
      </c>
      <c r="D807" s="4">
        <v>0.54810000000000003</v>
      </c>
      <c r="E807" s="50">
        <v>1.0001</v>
      </c>
      <c r="F807" s="50">
        <v>0.35742499999999999</v>
      </c>
      <c r="G807" s="50">
        <v>-0.2596</v>
      </c>
      <c r="H807" s="50">
        <v>0.38490743662900001</v>
      </c>
      <c r="I807" s="50">
        <v>0.48829287047999997</v>
      </c>
      <c r="J807" s="50">
        <v>0.28152200277799999</v>
      </c>
      <c r="K807" s="50">
        <v>808.86</v>
      </c>
      <c r="L807" s="50">
        <v>775.8</v>
      </c>
      <c r="M807" s="50">
        <v>776.76</v>
      </c>
      <c r="N807" s="66">
        <f t="shared" si="96"/>
        <v>0.10718883567639939</v>
      </c>
      <c r="O807" s="66">
        <f t="shared" si="97"/>
        <v>0.18924764405994129</v>
      </c>
      <c r="P807" s="4">
        <f t="shared" si="98"/>
        <v>-0.25960000000000005</v>
      </c>
      <c r="Q807" s="4">
        <f t="shared" si="99"/>
        <v>-0.17662500000000003</v>
      </c>
      <c r="R807" s="66">
        <f t="shared" si="100"/>
        <v>0.10718883567639939</v>
      </c>
      <c r="S807" s="66">
        <f t="shared" si="101"/>
        <v>0.18924764405994129</v>
      </c>
      <c r="T807" s="50">
        <f t="shared" si="102"/>
        <v>1</v>
      </c>
      <c r="U807" s="50">
        <f t="shared" si="103"/>
        <v>1</v>
      </c>
    </row>
    <row r="808" spans="1:21" x14ac:dyDescent="0.2">
      <c r="A808" s="38">
        <v>37546</v>
      </c>
      <c r="B808" s="4">
        <v>0.3947</v>
      </c>
      <c r="C808" s="4">
        <v>0.21049999999999999</v>
      </c>
      <c r="D808" s="4">
        <v>0.3947</v>
      </c>
      <c r="E808" s="50">
        <v>0.99990000000000001</v>
      </c>
      <c r="F808" s="50">
        <v>0.35207500000000003</v>
      </c>
      <c r="G808" s="50">
        <v>0</v>
      </c>
      <c r="H808" s="50">
        <v>0.38490743662900001</v>
      </c>
      <c r="I808" s="50">
        <v>0.48829287047999997</v>
      </c>
      <c r="J808" s="50">
        <v>0.28152200277799999</v>
      </c>
      <c r="K808" s="50">
        <v>881.27</v>
      </c>
      <c r="L808" s="50">
        <v>828.37</v>
      </c>
      <c r="M808" s="50">
        <v>860.02</v>
      </c>
      <c r="N808" s="66">
        <f t="shared" si="96"/>
        <v>4.1999023278528412E-2</v>
      </c>
      <c r="O808" s="66">
        <f t="shared" si="97"/>
        <v>2.6173809911397398E-2</v>
      </c>
      <c r="P808" s="4">
        <f t="shared" si="98"/>
        <v>0</v>
      </c>
      <c r="Q808" s="4">
        <f t="shared" si="99"/>
        <v>-0.152975</v>
      </c>
      <c r="R808" s="66">
        <f t="shared" si="100"/>
        <v>4.1999023278528412E-2</v>
      </c>
      <c r="S808" s="66">
        <f t="shared" si="101"/>
        <v>2.6173809911397398E-2</v>
      </c>
      <c r="T808" s="50">
        <f t="shared" si="102"/>
        <v>1</v>
      </c>
      <c r="U808" s="50">
        <f t="shared" si="103"/>
        <v>1</v>
      </c>
    </row>
    <row r="809" spans="1:21" x14ac:dyDescent="0.2">
      <c r="A809" s="38">
        <v>37553</v>
      </c>
      <c r="B809" s="4">
        <v>0.44579999999999997</v>
      </c>
      <c r="C809" s="4">
        <v>0.21690000000000001</v>
      </c>
      <c r="D809" s="4">
        <v>0.33729999999999999</v>
      </c>
      <c r="E809" s="50">
        <v>1</v>
      </c>
      <c r="F809" s="50">
        <v>0.3453</v>
      </c>
      <c r="G809" s="50">
        <v>0.1085</v>
      </c>
      <c r="H809" s="50">
        <v>0.38490743662900001</v>
      </c>
      <c r="I809" s="50">
        <v>0.48829287047999997</v>
      </c>
      <c r="J809" s="50">
        <v>0.28152200277799999</v>
      </c>
      <c r="K809" s="50">
        <v>900.69</v>
      </c>
      <c r="L809" s="50">
        <v>873.06</v>
      </c>
      <c r="M809" s="50">
        <v>896.14</v>
      </c>
      <c r="N809" s="66">
        <f t="shared" si="96"/>
        <v>-6.0593210882227662E-3</v>
      </c>
      <c r="O809" s="66">
        <f t="shared" si="97"/>
        <v>2.0097306224473845E-2</v>
      </c>
      <c r="P809" s="4">
        <f t="shared" si="98"/>
        <v>0.10849999999999999</v>
      </c>
      <c r="Q809" s="4">
        <f t="shared" si="99"/>
        <v>-6.9475000000000009E-2</v>
      </c>
      <c r="R809" s="66">
        <f t="shared" si="100"/>
        <v>-6.0593210882227662E-3</v>
      </c>
      <c r="S809" s="66">
        <f t="shared" si="101"/>
        <v>2.0097306224473845E-2</v>
      </c>
      <c r="T809" s="50" t="str">
        <f t="shared" si="102"/>
        <v/>
      </c>
      <c r="U809" s="50">
        <f t="shared" si="103"/>
        <v>1</v>
      </c>
    </row>
    <row r="810" spans="1:21" x14ac:dyDescent="0.2">
      <c r="A810" s="38">
        <v>37560</v>
      </c>
      <c r="B810" s="4">
        <v>0.51470000000000005</v>
      </c>
      <c r="C810" s="4">
        <v>0.2059</v>
      </c>
      <c r="D810" s="4">
        <v>0.27939999999999998</v>
      </c>
      <c r="E810" s="50">
        <v>1</v>
      </c>
      <c r="F810" s="50">
        <v>0.37028749999999999</v>
      </c>
      <c r="G810" s="50">
        <v>0.23530000000000001</v>
      </c>
      <c r="H810" s="50">
        <v>0.38490743662900001</v>
      </c>
      <c r="I810" s="50">
        <v>0.48829287047999997</v>
      </c>
      <c r="J810" s="50">
        <v>0.28152200277799999</v>
      </c>
      <c r="K810" s="50">
        <v>907.44</v>
      </c>
      <c r="L810" s="50">
        <v>867.91</v>
      </c>
      <c r="M810" s="50">
        <v>890.71</v>
      </c>
      <c r="N810" s="66">
        <f t="shared" si="96"/>
        <v>3.7105230658687961E-2</v>
      </c>
      <c r="O810" s="66">
        <f t="shared" si="97"/>
        <v>5.1195114010171558E-2</v>
      </c>
      <c r="P810" s="4">
        <f t="shared" si="98"/>
        <v>0.23530000000000006</v>
      </c>
      <c r="Q810" s="4">
        <f t="shared" si="99"/>
        <v>2.1049999999999999E-2</v>
      </c>
      <c r="R810" s="66">
        <f t="shared" si="100"/>
        <v>3.7105230658687961E-2</v>
      </c>
      <c r="S810" s="66">
        <f t="shared" si="101"/>
        <v>5.1195114010171558E-2</v>
      </c>
      <c r="T810" s="50">
        <f t="shared" si="102"/>
        <v>1</v>
      </c>
      <c r="U810" s="50">
        <f t="shared" si="103"/>
        <v>1</v>
      </c>
    </row>
    <row r="811" spans="1:21" x14ac:dyDescent="0.2">
      <c r="A811" s="38">
        <v>37567</v>
      </c>
      <c r="B811" s="4">
        <v>0.5</v>
      </c>
      <c r="C811" s="4">
        <v>0.23680000000000001</v>
      </c>
      <c r="D811" s="4">
        <v>0.26319999999999999</v>
      </c>
      <c r="E811" s="50">
        <v>1</v>
      </c>
      <c r="F811" s="50">
        <v>0.3848375</v>
      </c>
      <c r="G811" s="50">
        <v>0.23680000000000001</v>
      </c>
      <c r="H811" s="50">
        <v>0.38490743662900001</v>
      </c>
      <c r="I811" s="50">
        <v>0.48829287047999997</v>
      </c>
      <c r="J811" s="50">
        <v>0.28152200277799999</v>
      </c>
      <c r="K811" s="50">
        <v>925.66</v>
      </c>
      <c r="L811" s="50">
        <v>900.96</v>
      </c>
      <c r="M811" s="50">
        <v>923.76</v>
      </c>
      <c r="N811" s="66">
        <f t="shared" si="96"/>
        <v>-4.4632805057590735E-2</v>
      </c>
      <c r="O811" s="66">
        <f t="shared" si="97"/>
        <v>1.1658872434398525E-2</v>
      </c>
      <c r="P811" s="4">
        <f t="shared" si="98"/>
        <v>0.23680000000000001</v>
      </c>
      <c r="Q811" s="4">
        <f t="shared" si="99"/>
        <v>0.14515</v>
      </c>
      <c r="R811" s="66">
        <f t="shared" si="100"/>
        <v>-4.4632805057590735E-2</v>
      </c>
      <c r="S811" s="66">
        <f t="shared" si="101"/>
        <v>1.1658872434398525E-2</v>
      </c>
      <c r="T811" s="50" t="str">
        <f t="shared" si="102"/>
        <v/>
      </c>
      <c r="U811" s="50">
        <f t="shared" si="103"/>
        <v>1</v>
      </c>
    </row>
    <row r="812" spans="1:21" x14ac:dyDescent="0.2">
      <c r="A812" s="38">
        <v>37574</v>
      </c>
      <c r="B812" s="4">
        <v>0.48649999999999999</v>
      </c>
      <c r="C812" s="4">
        <v>0.18920000000000001</v>
      </c>
      <c r="D812" s="4">
        <v>0.32429999999999998</v>
      </c>
      <c r="E812" s="50">
        <v>1</v>
      </c>
      <c r="F812" s="50">
        <v>0.40342499999999998</v>
      </c>
      <c r="G812" s="50">
        <v>0.16220000000000001</v>
      </c>
      <c r="H812" s="50">
        <v>0.38490743662900001</v>
      </c>
      <c r="I812" s="50">
        <v>0.48829287047999997</v>
      </c>
      <c r="J812" s="50">
        <v>0.28152200277799999</v>
      </c>
      <c r="K812" s="50">
        <v>894.74</v>
      </c>
      <c r="L812" s="50">
        <v>872.05</v>
      </c>
      <c r="M812" s="50">
        <v>882.53</v>
      </c>
      <c r="N812" s="66">
        <f t="shared" si="96"/>
        <v>3.5828810352056026E-2</v>
      </c>
      <c r="O812" s="66">
        <f t="shared" si="97"/>
        <v>2.541556660963374E-2</v>
      </c>
      <c r="P812" s="4">
        <f t="shared" si="98"/>
        <v>0.16220000000000001</v>
      </c>
      <c r="Q812" s="4">
        <f t="shared" si="99"/>
        <v>0.1857</v>
      </c>
      <c r="R812" s="66">
        <f t="shared" si="100"/>
        <v>3.5828810352056026E-2</v>
      </c>
      <c r="S812" s="66">
        <f t="shared" si="101"/>
        <v>2.541556660963374E-2</v>
      </c>
      <c r="T812" s="50">
        <f t="shared" si="102"/>
        <v>1</v>
      </c>
      <c r="U812" s="50">
        <f t="shared" si="103"/>
        <v>1</v>
      </c>
    </row>
    <row r="813" spans="1:21" x14ac:dyDescent="0.2">
      <c r="A813" s="38">
        <v>37581</v>
      </c>
      <c r="B813" s="4">
        <v>0.50560000000000005</v>
      </c>
      <c r="C813" s="4">
        <v>0.28089999999999998</v>
      </c>
      <c r="D813" s="4">
        <v>0.2135</v>
      </c>
      <c r="E813" s="50">
        <v>1</v>
      </c>
      <c r="F813" s="50">
        <v>0.43598749999999997</v>
      </c>
      <c r="G813" s="50">
        <v>0.29210000000000003</v>
      </c>
      <c r="H813" s="50">
        <v>0.38490743662900001</v>
      </c>
      <c r="I813" s="50">
        <v>0.48829287047999997</v>
      </c>
      <c r="J813" s="50">
        <v>0.28152200277799999</v>
      </c>
      <c r="K813" s="50">
        <v>915.91</v>
      </c>
      <c r="L813" s="50">
        <v>893.09</v>
      </c>
      <c r="M813" s="50">
        <v>914.15</v>
      </c>
      <c r="N813" s="66">
        <f t="shared" si="96"/>
        <v>2.4241098288027094E-2</v>
      </c>
      <c r="O813" s="66">
        <f t="shared" si="97"/>
        <v>-2.519280205655524E-2</v>
      </c>
      <c r="P813" s="4">
        <f t="shared" si="98"/>
        <v>0.29210000000000003</v>
      </c>
      <c r="Q813" s="4">
        <f t="shared" si="99"/>
        <v>0.23160000000000003</v>
      </c>
      <c r="R813" s="66">
        <f t="shared" si="100"/>
        <v>2.4241098288027094E-2</v>
      </c>
      <c r="S813" s="66">
        <f t="shared" si="101"/>
        <v>-2.519280205655524E-2</v>
      </c>
      <c r="T813" s="50">
        <f t="shared" si="102"/>
        <v>1</v>
      </c>
      <c r="U813" s="50" t="str">
        <f t="shared" si="103"/>
        <v/>
      </c>
    </row>
    <row r="814" spans="1:21" x14ac:dyDescent="0.2">
      <c r="A814" s="38">
        <v>37588</v>
      </c>
      <c r="B814" s="4">
        <v>0.51060000000000005</v>
      </c>
      <c r="C814" s="4">
        <v>0.17019999999999999</v>
      </c>
      <c r="D814" s="4">
        <v>0.31909999999999999</v>
      </c>
      <c r="E814" s="50">
        <v>0.99990000000000001</v>
      </c>
      <c r="F814" s="50">
        <v>0.45579999999999998</v>
      </c>
      <c r="G814" s="50">
        <v>0.1915</v>
      </c>
      <c r="H814" s="50">
        <v>0.38490743662900001</v>
      </c>
      <c r="I814" s="50">
        <v>0.48829287047999997</v>
      </c>
      <c r="J814" s="50">
        <v>0.28152200277799999</v>
      </c>
      <c r="K814" s="50">
        <v>941.82</v>
      </c>
      <c r="L814" s="50">
        <v>912.1</v>
      </c>
      <c r="M814" s="50">
        <v>936.31</v>
      </c>
      <c r="N814" s="66">
        <f t="shared" si="96"/>
        <v>-1.9010797705887718E-3</v>
      </c>
      <c r="O814" s="66">
        <f t="shared" si="97"/>
        <v>-4.1578109814057261E-2</v>
      </c>
      <c r="P814" s="4">
        <f t="shared" si="98"/>
        <v>0.19150000000000006</v>
      </c>
      <c r="Q814" s="4">
        <f t="shared" si="99"/>
        <v>0.22065000000000001</v>
      </c>
      <c r="R814" s="66">
        <f t="shared" si="100"/>
        <v>-1.9010797705887718E-3</v>
      </c>
      <c r="S814" s="66">
        <f t="shared" si="101"/>
        <v>-4.1578109814057261E-2</v>
      </c>
      <c r="T814" s="50" t="str">
        <f t="shared" si="102"/>
        <v/>
      </c>
      <c r="U814" s="50" t="str">
        <f t="shared" si="103"/>
        <v/>
      </c>
    </row>
    <row r="815" spans="1:21" x14ac:dyDescent="0.2">
      <c r="A815" s="38">
        <v>37595</v>
      </c>
      <c r="B815" s="4">
        <v>0.52939999999999998</v>
      </c>
      <c r="C815" s="4">
        <v>0.29409999999999997</v>
      </c>
      <c r="D815" s="4">
        <v>0.17649999999999999</v>
      </c>
      <c r="E815" s="50">
        <v>1</v>
      </c>
      <c r="F815" s="50">
        <v>0.48591250000000002</v>
      </c>
      <c r="G815" s="50">
        <v>0.35289999999999999</v>
      </c>
      <c r="H815" s="50">
        <v>0.38490743662900001</v>
      </c>
      <c r="I815" s="50">
        <v>0.48829287047999997</v>
      </c>
      <c r="J815" s="50">
        <v>0.28152200277799999</v>
      </c>
      <c r="K815" s="50">
        <v>954.28</v>
      </c>
      <c r="L815" s="50">
        <v>927.72</v>
      </c>
      <c r="M815" s="50">
        <v>934.53</v>
      </c>
      <c r="N815" s="66">
        <f t="shared" si="96"/>
        <v>-3.1641573839256032E-2</v>
      </c>
      <c r="O815" s="66">
        <f t="shared" si="97"/>
        <v>-5.8542796913956668E-2</v>
      </c>
      <c r="P815" s="4">
        <f t="shared" si="98"/>
        <v>0.35289999999999999</v>
      </c>
      <c r="Q815" s="4">
        <f t="shared" si="99"/>
        <v>0.24967500000000004</v>
      </c>
      <c r="R815" s="66">
        <f t="shared" si="100"/>
        <v>-3.1641573839256032E-2</v>
      </c>
      <c r="S815" s="66">
        <f t="shared" si="101"/>
        <v>-5.8542796913956668E-2</v>
      </c>
      <c r="T815" s="50" t="str">
        <f t="shared" si="102"/>
        <v/>
      </c>
      <c r="U815" s="50" t="str">
        <f t="shared" si="103"/>
        <v/>
      </c>
    </row>
    <row r="816" spans="1:21" x14ac:dyDescent="0.2">
      <c r="A816" s="38">
        <v>37602</v>
      </c>
      <c r="B816" s="4">
        <v>0.4138</v>
      </c>
      <c r="C816" s="4">
        <v>0.3448</v>
      </c>
      <c r="D816" s="4">
        <v>0.2414</v>
      </c>
      <c r="E816" s="50">
        <v>1</v>
      </c>
      <c r="F816" s="50">
        <v>0.48830000000000001</v>
      </c>
      <c r="G816" s="50">
        <v>0.1724</v>
      </c>
      <c r="H816" s="50">
        <v>0.38490743662900001</v>
      </c>
      <c r="I816" s="50">
        <v>0.48829287047999997</v>
      </c>
      <c r="J816" s="50">
        <v>0.28152200277799999</v>
      </c>
      <c r="K816" s="50">
        <v>912.23</v>
      </c>
      <c r="L816" s="50">
        <v>891.97</v>
      </c>
      <c r="M816" s="50">
        <v>904.96</v>
      </c>
      <c r="N816" s="66">
        <f t="shared" si="96"/>
        <v>-1.5293493635077829E-2</v>
      </c>
      <c r="O816" s="66">
        <f t="shared" si="97"/>
        <v>5.4919554455444587E-3</v>
      </c>
      <c r="P816" s="4">
        <f t="shared" si="98"/>
        <v>0.1724</v>
      </c>
      <c r="Q816" s="4">
        <f t="shared" si="99"/>
        <v>0.25222500000000003</v>
      </c>
      <c r="R816" s="66">
        <f t="shared" si="100"/>
        <v>-1.5293493635077829E-2</v>
      </c>
      <c r="S816" s="66">
        <f t="shared" si="101"/>
        <v>5.4919554455444587E-3</v>
      </c>
      <c r="T816" s="50" t="str">
        <f t="shared" si="102"/>
        <v/>
      </c>
      <c r="U816" s="50">
        <f t="shared" si="103"/>
        <v>1</v>
      </c>
    </row>
    <row r="817" spans="1:21" x14ac:dyDescent="0.2">
      <c r="A817" s="38">
        <v>37609</v>
      </c>
      <c r="B817" s="4">
        <v>0.42859999999999998</v>
      </c>
      <c r="C817" s="4">
        <v>0.27139999999999997</v>
      </c>
      <c r="D817" s="4">
        <v>0.3</v>
      </c>
      <c r="E817" s="50">
        <v>1</v>
      </c>
      <c r="F817" s="50">
        <v>0.48615000000000003</v>
      </c>
      <c r="G817" s="50">
        <v>0.12859999999999999</v>
      </c>
      <c r="H817" s="50">
        <v>0.38490743662900001</v>
      </c>
      <c r="I817" s="50">
        <v>0.48829287047999997</v>
      </c>
      <c r="J817" s="50">
        <v>0.28152200277799999</v>
      </c>
      <c r="K817" s="50">
        <v>911.22</v>
      </c>
      <c r="L817" s="50">
        <v>887.82</v>
      </c>
      <c r="M817" s="50">
        <v>891.12</v>
      </c>
      <c r="N817" s="66">
        <f t="shared" si="96"/>
        <v>7.0248675823682454E-3</v>
      </c>
      <c r="O817" s="66">
        <f t="shared" si="97"/>
        <v>3.0411167968399343E-2</v>
      </c>
      <c r="P817" s="4">
        <f t="shared" si="98"/>
        <v>0.12859999999999999</v>
      </c>
      <c r="Q817" s="4">
        <f t="shared" si="99"/>
        <v>0.21134999999999998</v>
      </c>
      <c r="R817" s="66">
        <f t="shared" si="100"/>
        <v>7.0248675823682454E-3</v>
      </c>
      <c r="S817" s="66">
        <f t="shared" si="101"/>
        <v>3.0411167968399343E-2</v>
      </c>
      <c r="T817" s="50">
        <f t="shared" si="102"/>
        <v>1</v>
      </c>
      <c r="U817" s="50">
        <f t="shared" si="103"/>
        <v>1</v>
      </c>
    </row>
    <row r="818" spans="1:21" x14ac:dyDescent="0.2">
      <c r="A818" s="38">
        <v>37616</v>
      </c>
      <c r="B818" s="4">
        <v>0.4</v>
      </c>
      <c r="C818" s="4">
        <v>0.28000000000000003</v>
      </c>
      <c r="D818" s="4">
        <v>0.32</v>
      </c>
      <c r="E818" s="50">
        <v>1</v>
      </c>
      <c r="F818" s="50">
        <v>0.47181250000000002</v>
      </c>
      <c r="G818" s="50">
        <v>0.08</v>
      </c>
      <c r="H818" s="50">
        <v>0.38490743662900001</v>
      </c>
      <c r="I818" s="50">
        <v>0.48829287047999997</v>
      </c>
      <c r="J818" s="50">
        <v>0.28152200277799999</v>
      </c>
      <c r="K818" s="50">
        <v>902.43</v>
      </c>
      <c r="L818" s="50">
        <v>892.26</v>
      </c>
      <c r="M818" s="50">
        <v>897.38</v>
      </c>
      <c r="N818" s="66">
        <f t="shared" si="96"/>
        <v>-1.9568075954445104E-2</v>
      </c>
      <c r="O818" s="66">
        <f t="shared" si="97"/>
        <v>-2.1195034433573273E-2</v>
      </c>
      <c r="P818" s="4">
        <f t="shared" si="98"/>
        <v>8.0000000000000016E-2</v>
      </c>
      <c r="Q818" s="4">
        <f t="shared" si="99"/>
        <v>0.183475</v>
      </c>
      <c r="R818" s="66">
        <f t="shared" si="100"/>
        <v>-1.9568075954445104E-2</v>
      </c>
      <c r="S818" s="66">
        <f t="shared" si="101"/>
        <v>-2.1195034433573273E-2</v>
      </c>
      <c r="T818" s="50" t="str">
        <f t="shared" si="102"/>
        <v/>
      </c>
      <c r="U818" s="50" t="str">
        <f t="shared" si="103"/>
        <v/>
      </c>
    </row>
    <row r="819" spans="1:21" x14ac:dyDescent="0.2">
      <c r="A819" s="38">
        <v>37623</v>
      </c>
      <c r="B819" s="4">
        <v>0.32429999999999998</v>
      </c>
      <c r="C819" s="4">
        <v>0.29730000000000001</v>
      </c>
      <c r="D819" s="4">
        <v>0.37840000000000001</v>
      </c>
      <c r="E819" s="50">
        <v>1</v>
      </c>
      <c r="F819" s="50">
        <v>0.44985000000000003</v>
      </c>
      <c r="G819" s="50">
        <v>-5.4100000000000002E-2</v>
      </c>
      <c r="H819" s="50">
        <v>0.38490743662900001</v>
      </c>
      <c r="I819" s="50">
        <v>0.48829287047999997</v>
      </c>
      <c r="J819" s="50">
        <v>0.28152200277799999</v>
      </c>
      <c r="K819" s="50">
        <v>882.1</v>
      </c>
      <c r="L819" s="50">
        <v>869.45</v>
      </c>
      <c r="M819" s="50">
        <v>879.82</v>
      </c>
      <c r="N819" s="66">
        <f t="shared" si="96"/>
        <v>3.4222909231433583E-2</v>
      </c>
      <c r="O819" s="66">
        <f t="shared" si="97"/>
        <v>-1.7571776045100174E-2</v>
      </c>
      <c r="P819" s="4">
        <f t="shared" si="98"/>
        <v>-5.4100000000000037E-2</v>
      </c>
      <c r="Q819" s="4">
        <f t="shared" si="99"/>
        <v>8.1724999999999992E-2</v>
      </c>
      <c r="R819" s="66">
        <f t="shared" si="100"/>
        <v>3.4222909231433583E-2</v>
      </c>
      <c r="S819" s="66">
        <f t="shared" si="101"/>
        <v>-1.7571776045100174E-2</v>
      </c>
      <c r="T819" s="50">
        <f t="shared" si="102"/>
        <v>1</v>
      </c>
      <c r="U819" s="50" t="str">
        <f t="shared" si="103"/>
        <v/>
      </c>
    </row>
    <row r="820" spans="1:21" x14ac:dyDescent="0.2">
      <c r="A820" s="38">
        <v>37630</v>
      </c>
      <c r="B820" s="4">
        <v>0.38100000000000001</v>
      </c>
      <c r="C820" s="4">
        <v>0.1905</v>
      </c>
      <c r="D820" s="4">
        <v>0.42859999999999998</v>
      </c>
      <c r="E820" s="50">
        <v>1.0001</v>
      </c>
      <c r="F820" s="50">
        <v>0.43666250000000001</v>
      </c>
      <c r="G820" s="50">
        <v>-4.7600000000000003E-2</v>
      </c>
      <c r="H820" s="50">
        <v>0.38490743662900001</v>
      </c>
      <c r="I820" s="50">
        <v>0.48829287047999997</v>
      </c>
      <c r="J820" s="50">
        <v>0.28152200277799999</v>
      </c>
      <c r="K820" s="50">
        <v>931.77</v>
      </c>
      <c r="L820" s="50">
        <v>908.32</v>
      </c>
      <c r="M820" s="50">
        <v>909.93</v>
      </c>
      <c r="N820" s="66">
        <f t="shared" si="96"/>
        <v>9.1105909245767017E-3</v>
      </c>
      <c r="O820" s="66">
        <f t="shared" si="97"/>
        <v>-7.2906707109337998E-2</v>
      </c>
      <c r="P820" s="4">
        <f t="shared" si="98"/>
        <v>-4.7599999999999976E-2</v>
      </c>
      <c r="Q820" s="4">
        <f t="shared" si="99"/>
        <v>2.6724999999999999E-2</v>
      </c>
      <c r="R820" s="66">
        <f t="shared" si="100"/>
        <v>9.1105909245767017E-3</v>
      </c>
      <c r="S820" s="66">
        <f t="shared" si="101"/>
        <v>-7.2906707109337998E-2</v>
      </c>
      <c r="T820" s="50">
        <f t="shared" si="102"/>
        <v>1</v>
      </c>
      <c r="U820" s="50" t="str">
        <f t="shared" si="103"/>
        <v/>
      </c>
    </row>
    <row r="821" spans="1:21" x14ac:dyDescent="0.2">
      <c r="A821" s="38">
        <v>37637</v>
      </c>
      <c r="B821" s="4">
        <v>0.29170000000000001</v>
      </c>
      <c r="C821" s="4">
        <v>0.41670000000000001</v>
      </c>
      <c r="D821" s="4">
        <v>0.29170000000000001</v>
      </c>
      <c r="E821" s="50">
        <v>1.0001</v>
      </c>
      <c r="F821" s="50">
        <v>0.40992499999999998</v>
      </c>
      <c r="G821" s="50">
        <v>0</v>
      </c>
      <c r="H821" s="50">
        <v>0.38490743662900001</v>
      </c>
      <c r="I821" s="50">
        <v>0.48829287047999997</v>
      </c>
      <c r="J821" s="50">
        <v>0.28152200277799999</v>
      </c>
      <c r="K821" s="50">
        <v>935.05</v>
      </c>
      <c r="L821" s="50">
        <v>916.7</v>
      </c>
      <c r="M821" s="50">
        <v>918.22</v>
      </c>
      <c r="N821" s="66">
        <f t="shared" si="96"/>
        <v>-4.3410076016640903E-2</v>
      </c>
      <c r="O821" s="66">
        <f t="shared" si="97"/>
        <v>-0.10840539304306165</v>
      </c>
      <c r="P821" s="4">
        <f t="shared" si="98"/>
        <v>0</v>
      </c>
      <c r="Q821" s="4">
        <f t="shared" si="99"/>
        <v>-5.4249999999999993E-3</v>
      </c>
      <c r="R821" s="66">
        <f t="shared" si="100"/>
        <v>-4.3410076016640903E-2</v>
      </c>
      <c r="S821" s="66">
        <f t="shared" si="101"/>
        <v>-0.10840539304306165</v>
      </c>
      <c r="T821" s="50" t="str">
        <f t="shared" si="102"/>
        <v/>
      </c>
      <c r="U821" s="50" t="str">
        <f t="shared" si="103"/>
        <v/>
      </c>
    </row>
    <row r="822" spans="1:21" x14ac:dyDescent="0.2">
      <c r="A822" s="38">
        <v>37644</v>
      </c>
      <c r="B822" s="4">
        <v>0.25</v>
      </c>
      <c r="C822" s="4">
        <v>0.31819999999999998</v>
      </c>
      <c r="D822" s="4">
        <v>0.43180000000000002</v>
      </c>
      <c r="E822" s="50">
        <v>1</v>
      </c>
      <c r="F822" s="50">
        <v>0.37735000000000002</v>
      </c>
      <c r="G822" s="50">
        <v>-0.18179999999999999</v>
      </c>
      <c r="H822" s="50">
        <v>0.38490743662900001</v>
      </c>
      <c r="I822" s="50">
        <v>0.48829287047999997</v>
      </c>
      <c r="J822" s="50">
        <v>0.28152200277799999</v>
      </c>
      <c r="K822" s="50">
        <v>906</v>
      </c>
      <c r="L822" s="50">
        <v>877.64</v>
      </c>
      <c r="M822" s="50">
        <v>878.36</v>
      </c>
      <c r="N822" s="66">
        <f t="shared" si="96"/>
        <v>-1.5938795027095953E-2</v>
      </c>
      <c r="O822" s="66">
        <f t="shared" si="97"/>
        <v>-3.7831868482171342E-2</v>
      </c>
      <c r="P822" s="4">
        <f t="shared" si="98"/>
        <v>-0.18180000000000002</v>
      </c>
      <c r="Q822" s="4">
        <f t="shared" si="99"/>
        <v>-7.0875000000000007E-2</v>
      </c>
      <c r="R822" s="66">
        <f t="shared" si="100"/>
        <v>-1.5938795027095953E-2</v>
      </c>
      <c r="S822" s="66">
        <f t="shared" si="101"/>
        <v>-3.7831868482171342E-2</v>
      </c>
      <c r="T822" s="50" t="str">
        <f t="shared" si="102"/>
        <v/>
      </c>
      <c r="U822" s="50" t="str">
        <f t="shared" si="103"/>
        <v/>
      </c>
    </row>
    <row r="823" spans="1:21" x14ac:dyDescent="0.2">
      <c r="A823" s="38">
        <v>37651</v>
      </c>
      <c r="B823" s="4">
        <v>0.25530000000000003</v>
      </c>
      <c r="C823" s="4">
        <v>0.26600000000000001</v>
      </c>
      <c r="D823" s="4">
        <v>0.47870000000000001</v>
      </c>
      <c r="E823" s="50">
        <v>1</v>
      </c>
      <c r="F823" s="50">
        <v>0.34308749999999999</v>
      </c>
      <c r="G823" s="50">
        <v>-0.22339999999999999</v>
      </c>
      <c r="H823" s="50">
        <v>0.38490743662900001</v>
      </c>
      <c r="I823" s="50">
        <v>0.48829287047999997</v>
      </c>
      <c r="J823" s="50">
        <v>0.28152200277799999</v>
      </c>
      <c r="K823" s="50">
        <v>868.72</v>
      </c>
      <c r="L823" s="50">
        <v>844.25</v>
      </c>
      <c r="M823" s="50">
        <v>864.36</v>
      </c>
      <c r="N823" s="66">
        <f t="shared" si="96"/>
        <v>-2.4029339627007245E-2</v>
      </c>
      <c r="O823" s="66">
        <f t="shared" si="97"/>
        <v>-4.2586422324031724E-2</v>
      </c>
      <c r="P823" s="4">
        <f t="shared" si="98"/>
        <v>-0.22339999999999999</v>
      </c>
      <c r="Q823" s="4">
        <f t="shared" si="99"/>
        <v>-0.1132</v>
      </c>
      <c r="R823" s="66">
        <f t="shared" si="100"/>
        <v>-2.4029339627007245E-2</v>
      </c>
      <c r="S823" s="66">
        <f t="shared" si="101"/>
        <v>-4.2586422324031724E-2</v>
      </c>
      <c r="T823" s="50" t="str">
        <f t="shared" si="102"/>
        <v/>
      </c>
      <c r="U823" s="50" t="str">
        <f t="shared" si="103"/>
        <v/>
      </c>
    </row>
    <row r="824" spans="1:21" x14ac:dyDescent="0.2">
      <c r="A824" s="38">
        <v>37658</v>
      </c>
      <c r="B824" s="4">
        <v>0.2286</v>
      </c>
      <c r="C824" s="4">
        <v>0.51429999999999998</v>
      </c>
      <c r="D824" s="4">
        <v>0.2571</v>
      </c>
      <c r="E824" s="50">
        <v>1</v>
      </c>
      <c r="F824" s="50">
        <v>0.31993749999999999</v>
      </c>
      <c r="G824" s="50">
        <v>-2.8500000000000001E-2</v>
      </c>
      <c r="H824" s="50">
        <v>0.38490743662900001</v>
      </c>
      <c r="I824" s="50">
        <v>0.48829287047999997</v>
      </c>
      <c r="J824" s="50">
        <v>0.28152200277799999</v>
      </c>
      <c r="K824" s="50">
        <v>864.64</v>
      </c>
      <c r="L824" s="50">
        <v>840.19</v>
      </c>
      <c r="M824" s="50">
        <v>843.59</v>
      </c>
      <c r="N824" s="66">
        <f t="shared" si="96"/>
        <v>-2.9528562453324577E-2</v>
      </c>
      <c r="O824" s="66">
        <f t="shared" si="97"/>
        <v>-1.6287533043303038E-2</v>
      </c>
      <c r="P824" s="4">
        <f t="shared" si="98"/>
        <v>-2.8499999999999998E-2</v>
      </c>
      <c r="Q824" s="4">
        <f t="shared" si="99"/>
        <v>-0.10842499999999999</v>
      </c>
      <c r="R824" s="66">
        <f t="shared" si="100"/>
        <v>-2.9528562453324577E-2</v>
      </c>
      <c r="S824" s="66">
        <f t="shared" si="101"/>
        <v>-1.6287533043303038E-2</v>
      </c>
      <c r="T824" s="50" t="str">
        <f t="shared" si="102"/>
        <v/>
      </c>
      <c r="U824" s="50" t="str">
        <f t="shared" si="103"/>
        <v/>
      </c>
    </row>
    <row r="825" spans="1:21" x14ac:dyDescent="0.2">
      <c r="A825" s="38">
        <v>37665</v>
      </c>
      <c r="B825" s="4">
        <v>0.219</v>
      </c>
      <c r="C825" s="4">
        <v>0.4</v>
      </c>
      <c r="D825" s="4">
        <v>0.38100000000000001</v>
      </c>
      <c r="E825" s="50">
        <v>1</v>
      </c>
      <c r="F825" s="50">
        <v>0.29373749999999998</v>
      </c>
      <c r="G825" s="50">
        <v>-0.16200000000000001</v>
      </c>
      <c r="H825" s="50">
        <v>0.38490743662900001</v>
      </c>
      <c r="I825" s="50">
        <v>0.48829287047999997</v>
      </c>
      <c r="J825" s="50">
        <v>0.28152200277799999</v>
      </c>
      <c r="K825" s="50">
        <v>843.02</v>
      </c>
      <c r="L825" s="50">
        <v>818.49</v>
      </c>
      <c r="M825" s="50">
        <v>818.68</v>
      </c>
      <c r="N825" s="66">
        <f t="shared" si="96"/>
        <v>3.2308105731177074E-2</v>
      </c>
      <c r="O825" s="66">
        <f t="shared" si="97"/>
        <v>-1.7699223139688153E-2</v>
      </c>
      <c r="P825" s="4">
        <f t="shared" si="98"/>
        <v>-0.16200000000000001</v>
      </c>
      <c r="Q825" s="4">
        <f t="shared" si="99"/>
        <v>-0.148925</v>
      </c>
      <c r="R825" s="66">
        <f t="shared" si="100"/>
        <v>3.2308105731177074E-2</v>
      </c>
      <c r="S825" s="66">
        <f t="shared" si="101"/>
        <v>-1.7699223139688153E-2</v>
      </c>
      <c r="T825" s="50">
        <f t="shared" si="102"/>
        <v>1</v>
      </c>
      <c r="U825" s="50" t="str">
        <f t="shared" si="103"/>
        <v/>
      </c>
    </row>
    <row r="826" spans="1:21" x14ac:dyDescent="0.2">
      <c r="A826" s="38">
        <v>37672</v>
      </c>
      <c r="B826" s="4">
        <v>0.21049999999999999</v>
      </c>
      <c r="C826" s="4">
        <v>0.21049999999999999</v>
      </c>
      <c r="D826" s="4">
        <v>0.57889999999999997</v>
      </c>
      <c r="E826" s="50">
        <v>0.99990000000000001</v>
      </c>
      <c r="F826" s="50">
        <v>0.27005000000000001</v>
      </c>
      <c r="G826" s="50">
        <v>-0.36840000000000001</v>
      </c>
      <c r="H826" s="50">
        <v>0.38490743662900001</v>
      </c>
      <c r="I826" s="50">
        <v>0.48829287047999997</v>
      </c>
      <c r="J826" s="50">
        <v>0.28152200277799999</v>
      </c>
      <c r="K826" s="50">
        <v>852.87</v>
      </c>
      <c r="L826" s="50">
        <v>834.89</v>
      </c>
      <c r="M826" s="50">
        <v>845.13</v>
      </c>
      <c r="N826" s="66">
        <f t="shared" si="96"/>
        <v>-2.080153349188887E-2</v>
      </c>
      <c r="O826" s="66">
        <f t="shared" si="97"/>
        <v>3.4184090021653457E-2</v>
      </c>
      <c r="P826" s="4">
        <f t="shared" si="98"/>
        <v>-0.36839999999999995</v>
      </c>
      <c r="Q826" s="4">
        <f t="shared" si="99"/>
        <v>-0.195575</v>
      </c>
      <c r="R826" s="66">
        <f t="shared" si="100"/>
        <v>-2.080153349188887E-2</v>
      </c>
      <c r="S826" s="66">
        <f t="shared" si="101"/>
        <v>3.4184090021653457E-2</v>
      </c>
      <c r="T826" s="50" t="str">
        <f t="shared" si="102"/>
        <v/>
      </c>
      <c r="U826" s="50">
        <f t="shared" si="103"/>
        <v>1</v>
      </c>
    </row>
    <row r="827" spans="1:21" x14ac:dyDescent="0.2">
      <c r="A827" s="38">
        <v>37679</v>
      </c>
      <c r="B827" s="4">
        <v>0.26019999999999999</v>
      </c>
      <c r="C827" s="4">
        <v>0.26829999999999998</v>
      </c>
      <c r="D827" s="4">
        <v>0.47149999999999997</v>
      </c>
      <c r="E827" s="50">
        <v>1</v>
      </c>
      <c r="F827" s="50">
        <v>0.26203749999999998</v>
      </c>
      <c r="G827" s="50">
        <v>-0.21129999999999999</v>
      </c>
      <c r="H827" s="50">
        <v>0.38490743662900001</v>
      </c>
      <c r="I827" s="50">
        <v>0.48829287047999997</v>
      </c>
      <c r="J827" s="50">
        <v>0.28152200277799999</v>
      </c>
      <c r="K827" s="50">
        <v>848.17</v>
      </c>
      <c r="L827" s="50">
        <v>818.54</v>
      </c>
      <c r="M827" s="50">
        <v>827.55</v>
      </c>
      <c r="N827" s="66">
        <f t="shared" si="96"/>
        <v>2.7792882605281472E-3</v>
      </c>
      <c r="O827" s="66">
        <f t="shared" si="97"/>
        <v>5.1235574889734875E-2</v>
      </c>
      <c r="P827" s="4">
        <f t="shared" si="98"/>
        <v>-0.21129999999999999</v>
      </c>
      <c r="Q827" s="4">
        <f t="shared" si="99"/>
        <v>-0.19255</v>
      </c>
      <c r="R827" s="66">
        <f t="shared" si="100"/>
        <v>2.7792882605281472E-3</v>
      </c>
      <c r="S827" s="66">
        <f t="shared" si="101"/>
        <v>5.1235574889734875E-2</v>
      </c>
      <c r="T827" s="50">
        <f t="shared" si="102"/>
        <v>1</v>
      </c>
      <c r="U827" s="50">
        <f t="shared" si="103"/>
        <v>1</v>
      </c>
    </row>
    <row r="828" spans="1:21" x14ac:dyDescent="0.2">
      <c r="A828" s="38">
        <v>37686</v>
      </c>
      <c r="B828" s="4">
        <v>0.33329999999999999</v>
      </c>
      <c r="C828" s="4">
        <v>0.2727</v>
      </c>
      <c r="D828" s="4">
        <v>0.39389999999999997</v>
      </c>
      <c r="E828" s="50">
        <v>0.99990000000000001</v>
      </c>
      <c r="F828" s="50">
        <v>0.256075</v>
      </c>
      <c r="G828" s="50">
        <v>-6.0600000000000001E-2</v>
      </c>
      <c r="H828" s="50">
        <v>0.38490743662900001</v>
      </c>
      <c r="I828" s="50">
        <v>0.48829287047999997</v>
      </c>
      <c r="J828" s="50">
        <v>0.28152200277799999</v>
      </c>
      <c r="K828" s="50">
        <v>852.34</v>
      </c>
      <c r="L828" s="50">
        <v>819</v>
      </c>
      <c r="M828" s="50">
        <v>829.85</v>
      </c>
      <c r="N828" s="66">
        <f t="shared" si="96"/>
        <v>-3.0921250828462934E-2</v>
      </c>
      <c r="O828" s="66">
        <f t="shared" si="97"/>
        <v>6.1517141652105749E-2</v>
      </c>
      <c r="P828" s="4">
        <f t="shared" si="98"/>
        <v>-6.0599999999999987E-2</v>
      </c>
      <c r="Q828" s="4">
        <f t="shared" si="99"/>
        <v>-0.200575</v>
      </c>
      <c r="R828" s="66">
        <f t="shared" si="100"/>
        <v>-3.0921250828462934E-2</v>
      </c>
      <c r="S828" s="66">
        <f t="shared" si="101"/>
        <v>6.1517141652105749E-2</v>
      </c>
      <c r="T828" s="50" t="str">
        <f t="shared" si="102"/>
        <v/>
      </c>
      <c r="U828" s="50">
        <f t="shared" si="103"/>
        <v>1</v>
      </c>
    </row>
    <row r="829" spans="1:21" x14ac:dyDescent="0.2">
      <c r="A829" s="38">
        <v>37693</v>
      </c>
      <c r="B829" s="4">
        <v>0.34289999999999998</v>
      </c>
      <c r="C829" s="4">
        <v>0.1429</v>
      </c>
      <c r="D829" s="4">
        <v>0.51429999999999998</v>
      </c>
      <c r="E829" s="50">
        <v>1.0001</v>
      </c>
      <c r="F829" s="50">
        <v>0.26247500000000001</v>
      </c>
      <c r="G829" s="50">
        <v>-0.1714</v>
      </c>
      <c r="H829" s="50">
        <v>0.38490743662900001</v>
      </c>
      <c r="I829" s="50">
        <v>0.48829287047999997</v>
      </c>
      <c r="J829" s="50">
        <v>0.28152200277799999</v>
      </c>
      <c r="K829" s="50">
        <v>828.89</v>
      </c>
      <c r="L829" s="50">
        <v>788.9</v>
      </c>
      <c r="M829" s="50">
        <v>804.19</v>
      </c>
      <c r="N829" s="66">
        <f t="shared" si="96"/>
        <v>8.6832713662194166E-2</v>
      </c>
      <c r="O829" s="66">
        <f t="shared" si="97"/>
        <v>7.6847511160297879E-2</v>
      </c>
      <c r="P829" s="4">
        <f t="shared" si="98"/>
        <v>-0.1714</v>
      </c>
      <c r="Q829" s="4">
        <f t="shared" si="99"/>
        <v>-0.20292499999999997</v>
      </c>
      <c r="R829" s="66">
        <f t="shared" si="100"/>
        <v>8.6832713662194166E-2</v>
      </c>
      <c r="S829" s="66">
        <f t="shared" si="101"/>
        <v>7.6847511160297879E-2</v>
      </c>
      <c r="T829" s="50">
        <f t="shared" si="102"/>
        <v>1</v>
      </c>
      <c r="U829" s="50">
        <f t="shared" si="103"/>
        <v>1</v>
      </c>
    </row>
    <row r="830" spans="1:21" x14ac:dyDescent="0.2">
      <c r="A830" s="38">
        <v>37700</v>
      </c>
      <c r="B830" s="4">
        <v>0.42859999999999998</v>
      </c>
      <c r="C830" s="4">
        <v>0.1905</v>
      </c>
      <c r="D830" s="4">
        <v>0.38100000000000001</v>
      </c>
      <c r="E830" s="50">
        <v>1.0001</v>
      </c>
      <c r="F830" s="50">
        <v>0.2848</v>
      </c>
      <c r="G830" s="50">
        <v>4.7600000000000003E-2</v>
      </c>
      <c r="H830" s="50">
        <v>0.38490743662900001</v>
      </c>
      <c r="I830" s="50">
        <v>0.48829287047999997</v>
      </c>
      <c r="J830" s="50">
        <v>0.28152200277799999</v>
      </c>
      <c r="K830" s="50">
        <v>874.99</v>
      </c>
      <c r="L830" s="50">
        <v>827.17</v>
      </c>
      <c r="M830" s="50">
        <v>874.02</v>
      </c>
      <c r="N830" s="66">
        <f t="shared" si="96"/>
        <v>-4.6566440127227479E-3</v>
      </c>
      <c r="O830" s="66">
        <f t="shared" si="97"/>
        <v>6.7389762248003327E-3</v>
      </c>
      <c r="P830" s="4">
        <f t="shared" si="98"/>
        <v>4.7599999999999976E-2</v>
      </c>
      <c r="Q830" s="4">
        <f t="shared" si="99"/>
        <v>-9.8924999999999999E-2</v>
      </c>
      <c r="R830" s="66">
        <f t="shared" si="100"/>
        <v>-4.6566440127227479E-3</v>
      </c>
      <c r="S830" s="66">
        <f t="shared" si="101"/>
        <v>6.7389762248003327E-3</v>
      </c>
      <c r="T830" s="50" t="str">
        <f t="shared" si="102"/>
        <v/>
      </c>
      <c r="U830" s="50">
        <f t="shared" si="103"/>
        <v>1</v>
      </c>
    </row>
    <row r="831" spans="1:21" x14ac:dyDescent="0.2">
      <c r="A831" s="38">
        <v>37707</v>
      </c>
      <c r="B831" s="4">
        <v>0.39419999999999999</v>
      </c>
      <c r="C831" s="4">
        <v>0.27879999999999999</v>
      </c>
      <c r="D831" s="4">
        <v>0.32690000000000002</v>
      </c>
      <c r="E831" s="50">
        <v>0.99990000000000001</v>
      </c>
      <c r="F831" s="50">
        <v>0.3021625</v>
      </c>
      <c r="G831" s="50">
        <v>6.7299999999999999E-2</v>
      </c>
      <c r="H831" s="50">
        <v>0.38490743662900001</v>
      </c>
      <c r="I831" s="50">
        <v>0.48829287047999997</v>
      </c>
      <c r="J831" s="50">
        <v>0.28152200277799999</v>
      </c>
      <c r="K831" s="50">
        <v>895.79</v>
      </c>
      <c r="L831" s="50">
        <v>862.02</v>
      </c>
      <c r="M831" s="50">
        <v>869.95</v>
      </c>
      <c r="N831" s="66">
        <f t="shared" si="96"/>
        <v>1.2586930283349538E-2</v>
      </c>
      <c r="O831" s="66">
        <f t="shared" si="97"/>
        <v>5.6405540548307299E-2</v>
      </c>
      <c r="P831" s="4">
        <f t="shared" si="98"/>
        <v>6.7299999999999971E-2</v>
      </c>
      <c r="Q831" s="4">
        <f t="shared" si="99"/>
        <v>-2.9275000000000009E-2</v>
      </c>
      <c r="R831" s="66">
        <f t="shared" si="100"/>
        <v>1.2586930283349538E-2</v>
      </c>
      <c r="S831" s="66">
        <f t="shared" si="101"/>
        <v>5.6405540548307299E-2</v>
      </c>
      <c r="T831" s="50">
        <f t="shared" si="102"/>
        <v>1</v>
      </c>
      <c r="U831" s="50">
        <f t="shared" si="103"/>
        <v>1</v>
      </c>
    </row>
    <row r="832" spans="1:21" x14ac:dyDescent="0.2">
      <c r="A832" s="38">
        <v>37714</v>
      </c>
      <c r="B832" s="4">
        <v>0.32350000000000001</v>
      </c>
      <c r="C832" s="4">
        <v>0.29409999999999997</v>
      </c>
      <c r="D832" s="4">
        <v>0.38240000000000002</v>
      </c>
      <c r="E832" s="50">
        <v>1</v>
      </c>
      <c r="F832" s="50">
        <v>0.314025</v>
      </c>
      <c r="G832" s="50">
        <v>-5.8900000000000001E-2</v>
      </c>
      <c r="H832" s="50">
        <v>0.38490743662900001</v>
      </c>
      <c r="I832" s="50">
        <v>0.48829287047999997</v>
      </c>
      <c r="J832" s="50">
        <v>0.28152200277799999</v>
      </c>
      <c r="K832" s="50">
        <v>884.57</v>
      </c>
      <c r="L832" s="50">
        <v>843.68</v>
      </c>
      <c r="M832" s="50">
        <v>880.9</v>
      </c>
      <c r="N832" s="66">
        <f t="shared" si="96"/>
        <v>-1.6925871268021305E-2</v>
      </c>
      <c r="O832" s="66">
        <f t="shared" si="97"/>
        <v>4.0889998864797349E-2</v>
      </c>
      <c r="P832" s="4">
        <f t="shared" si="98"/>
        <v>-5.8900000000000008E-2</v>
      </c>
      <c r="Q832" s="4">
        <f t="shared" si="99"/>
        <v>-2.8850000000000015E-2</v>
      </c>
      <c r="R832" s="66">
        <f t="shared" si="100"/>
        <v>-1.6925871268021305E-2</v>
      </c>
      <c r="S832" s="66">
        <f t="shared" si="101"/>
        <v>4.0889998864797349E-2</v>
      </c>
      <c r="T832" s="50" t="str">
        <f t="shared" si="102"/>
        <v/>
      </c>
      <c r="U832" s="50">
        <f t="shared" si="103"/>
        <v>1</v>
      </c>
    </row>
    <row r="833" spans="1:21" x14ac:dyDescent="0.2">
      <c r="A833" s="38">
        <v>37721</v>
      </c>
      <c r="B833" s="4">
        <v>0.3846</v>
      </c>
      <c r="C833" s="4">
        <v>0.30769999999999997</v>
      </c>
      <c r="D833" s="4">
        <v>0.30769999999999997</v>
      </c>
      <c r="E833" s="50">
        <v>1</v>
      </c>
      <c r="F833" s="50">
        <v>0.33472499999999999</v>
      </c>
      <c r="G833" s="50">
        <v>7.6899999999999996E-2</v>
      </c>
      <c r="H833" s="50">
        <v>0.38490743662900001</v>
      </c>
      <c r="I833" s="50">
        <v>0.48829287047999997</v>
      </c>
      <c r="J833" s="50">
        <v>0.28152200277799999</v>
      </c>
      <c r="K833" s="50">
        <v>904.89</v>
      </c>
      <c r="L833" s="50">
        <v>865.72</v>
      </c>
      <c r="M833" s="50">
        <v>865.99</v>
      </c>
      <c r="N833" s="66">
        <f t="shared" si="96"/>
        <v>1.607408861534193E-2</v>
      </c>
      <c r="O833" s="66">
        <f t="shared" si="97"/>
        <v>7.898474578228383E-2</v>
      </c>
      <c r="P833" s="4">
        <f t="shared" si="98"/>
        <v>7.6900000000000024E-2</v>
      </c>
      <c r="Q833" s="4">
        <f t="shared" si="99"/>
        <v>3.3224999999999991E-2</v>
      </c>
      <c r="R833" s="66">
        <f t="shared" si="100"/>
        <v>1.607408861534193E-2</v>
      </c>
      <c r="S833" s="66">
        <f t="shared" si="101"/>
        <v>7.898474578228383E-2</v>
      </c>
      <c r="T833" s="50">
        <f t="shared" si="102"/>
        <v>1</v>
      </c>
      <c r="U833" s="50">
        <f t="shared" si="103"/>
        <v>1</v>
      </c>
    </row>
    <row r="834" spans="1:21" x14ac:dyDescent="0.2">
      <c r="A834" s="38">
        <v>37728</v>
      </c>
      <c r="B834" s="4">
        <v>0.46300000000000002</v>
      </c>
      <c r="C834" s="4">
        <v>0.22220000000000001</v>
      </c>
      <c r="D834" s="4">
        <v>0.31480000000000002</v>
      </c>
      <c r="E834" s="50">
        <v>1</v>
      </c>
      <c r="F834" s="50">
        <v>0.36628749999999999</v>
      </c>
      <c r="G834" s="50">
        <v>0.1482</v>
      </c>
      <c r="H834" s="50">
        <v>0.38490743662900001</v>
      </c>
      <c r="I834" s="50">
        <v>0.48829287047999997</v>
      </c>
      <c r="J834" s="50">
        <v>0.28152200277799999</v>
      </c>
      <c r="K834" s="50">
        <v>896.77</v>
      </c>
      <c r="L834" s="50">
        <v>877.93</v>
      </c>
      <c r="M834" s="50">
        <v>879.91</v>
      </c>
      <c r="N834" s="66">
        <f t="shared" si="96"/>
        <v>4.4447727608505433E-2</v>
      </c>
      <c r="O834" s="66">
        <f t="shared" si="97"/>
        <v>7.0904978918298445E-2</v>
      </c>
      <c r="P834" s="4">
        <f t="shared" si="98"/>
        <v>0.1482</v>
      </c>
      <c r="Q834" s="4">
        <f t="shared" si="99"/>
        <v>5.8374999999999996E-2</v>
      </c>
      <c r="R834" s="66">
        <f t="shared" si="100"/>
        <v>4.4447727608505433E-2</v>
      </c>
      <c r="S834" s="66">
        <f t="shared" si="101"/>
        <v>7.0904978918298445E-2</v>
      </c>
      <c r="T834" s="50">
        <f t="shared" si="102"/>
        <v>1</v>
      </c>
      <c r="U834" s="50">
        <f t="shared" si="103"/>
        <v>1</v>
      </c>
    </row>
    <row r="835" spans="1:21" x14ac:dyDescent="0.2">
      <c r="A835" s="38">
        <v>37735</v>
      </c>
      <c r="B835" s="4">
        <v>0.63</v>
      </c>
      <c r="C835" s="4">
        <v>0.18</v>
      </c>
      <c r="D835" s="4">
        <v>0.19</v>
      </c>
      <c r="E835" s="50">
        <v>1</v>
      </c>
      <c r="F835" s="50">
        <v>0.4125125</v>
      </c>
      <c r="G835" s="50">
        <v>0.44</v>
      </c>
      <c r="H835" s="50">
        <v>0.38490743662900001</v>
      </c>
      <c r="I835" s="50">
        <v>0.48829287047999997</v>
      </c>
      <c r="J835" s="50">
        <v>0.28152200277799999</v>
      </c>
      <c r="K835" s="50">
        <v>919.74</v>
      </c>
      <c r="L835" s="50">
        <v>886.7</v>
      </c>
      <c r="M835" s="50">
        <v>919.02</v>
      </c>
      <c r="N835" s="66">
        <f t="shared" si="96"/>
        <v>-2.2850427629431598E-3</v>
      </c>
      <c r="O835" s="66">
        <f t="shared" si="97"/>
        <v>4.7877086461665438E-3</v>
      </c>
      <c r="P835" s="4">
        <f t="shared" si="98"/>
        <v>0.44</v>
      </c>
      <c r="Q835" s="4">
        <f t="shared" si="99"/>
        <v>0.15155000000000002</v>
      </c>
      <c r="R835" s="66">
        <f t="shared" si="100"/>
        <v>-2.2850427629431598E-3</v>
      </c>
      <c r="S835" s="66">
        <f t="shared" si="101"/>
        <v>4.7877086461665438E-3</v>
      </c>
      <c r="T835" s="50" t="str">
        <f t="shared" si="102"/>
        <v/>
      </c>
      <c r="U835" s="50">
        <f t="shared" si="103"/>
        <v>1</v>
      </c>
    </row>
    <row r="836" spans="1:21" x14ac:dyDescent="0.2">
      <c r="A836" s="38">
        <v>37742</v>
      </c>
      <c r="B836" s="4">
        <v>0.48570000000000002</v>
      </c>
      <c r="C836" s="4">
        <v>0.2571</v>
      </c>
      <c r="D836" s="4">
        <v>0.2571</v>
      </c>
      <c r="E836" s="50">
        <v>0.99990000000000001</v>
      </c>
      <c r="F836" s="50">
        <v>0.43156250000000002</v>
      </c>
      <c r="G836" s="50">
        <v>0.2286</v>
      </c>
      <c r="H836" s="50">
        <v>0.38490743662900001</v>
      </c>
      <c r="I836" s="50">
        <v>0.48829287047999997</v>
      </c>
      <c r="J836" s="50">
        <v>0.28152200277799999</v>
      </c>
      <c r="K836" s="50">
        <v>924.24</v>
      </c>
      <c r="L836" s="50">
        <v>898.81</v>
      </c>
      <c r="M836" s="50">
        <v>916.92</v>
      </c>
      <c r="N836" s="66">
        <f t="shared" si="96"/>
        <v>1.9052916284954008E-2</v>
      </c>
      <c r="O836" s="66">
        <f t="shared" si="97"/>
        <v>5.0898660733760932E-2</v>
      </c>
      <c r="P836" s="4">
        <f t="shared" si="98"/>
        <v>0.22860000000000003</v>
      </c>
      <c r="Q836" s="4">
        <f t="shared" si="99"/>
        <v>0.22342500000000001</v>
      </c>
      <c r="R836" s="66">
        <f t="shared" si="100"/>
        <v>1.9052916284954008E-2</v>
      </c>
      <c r="S836" s="66">
        <f t="shared" si="101"/>
        <v>5.0898660733760932E-2</v>
      </c>
      <c r="T836" s="50">
        <f t="shared" si="102"/>
        <v>1</v>
      </c>
      <c r="U836" s="50">
        <f t="shared" si="103"/>
        <v>1</v>
      </c>
    </row>
    <row r="837" spans="1:21" x14ac:dyDescent="0.2">
      <c r="A837" s="38">
        <v>37749</v>
      </c>
      <c r="B837" s="4">
        <v>0.52800000000000002</v>
      </c>
      <c r="C837" s="4">
        <v>0.28799999999999998</v>
      </c>
      <c r="D837" s="4">
        <v>0.184</v>
      </c>
      <c r="E837" s="50">
        <v>1</v>
      </c>
      <c r="F837" s="50">
        <v>0.45469999999999999</v>
      </c>
      <c r="G837" s="50">
        <v>0.34399999999999997</v>
      </c>
      <c r="H837" s="50">
        <v>0.38490743662900001</v>
      </c>
      <c r="I837" s="50">
        <v>0.48829287047999997</v>
      </c>
      <c r="J837" s="50">
        <v>0.28152200277799999</v>
      </c>
      <c r="K837" s="50">
        <v>939.61</v>
      </c>
      <c r="L837" s="50">
        <v>924.55</v>
      </c>
      <c r="M837" s="50">
        <v>934.39</v>
      </c>
      <c r="N837" s="66">
        <f t="shared" si="96"/>
        <v>8.4654159398109656E-3</v>
      </c>
      <c r="O837" s="66">
        <f t="shared" si="97"/>
        <v>5.5490747974614479E-2</v>
      </c>
      <c r="P837" s="4">
        <f t="shared" si="98"/>
        <v>0.34400000000000003</v>
      </c>
      <c r="Q837" s="4">
        <f t="shared" si="99"/>
        <v>0.29020000000000001</v>
      </c>
      <c r="R837" s="66">
        <f t="shared" si="100"/>
        <v>8.4654159398109656E-3</v>
      </c>
      <c r="S837" s="66">
        <f t="shared" si="101"/>
        <v>5.5490747974614479E-2</v>
      </c>
      <c r="T837" s="50">
        <f t="shared" si="102"/>
        <v>1</v>
      </c>
      <c r="U837" s="50">
        <f t="shared" si="103"/>
        <v>1</v>
      </c>
    </row>
    <row r="838" spans="1:21" x14ac:dyDescent="0.2">
      <c r="A838" s="38">
        <v>37756</v>
      </c>
      <c r="B838" s="4">
        <v>0.62790000000000001</v>
      </c>
      <c r="C838" s="4">
        <v>0.20930000000000001</v>
      </c>
      <c r="D838" s="4">
        <v>0.1628</v>
      </c>
      <c r="E838" s="50">
        <v>1</v>
      </c>
      <c r="F838" s="50">
        <v>0.4796125</v>
      </c>
      <c r="G838" s="50">
        <v>0.46510000000000001</v>
      </c>
      <c r="H838" s="50">
        <v>0.38490743662900001</v>
      </c>
      <c r="I838" s="50">
        <v>0.48829287047999997</v>
      </c>
      <c r="J838" s="50">
        <v>0.28152200277799999</v>
      </c>
      <c r="K838" s="50">
        <v>947.51</v>
      </c>
      <c r="L838" s="50">
        <v>929.3</v>
      </c>
      <c r="M838" s="50">
        <v>942.3</v>
      </c>
      <c r="N838" s="66">
        <f t="shared" si="96"/>
        <v>-2.0036081927199401E-2</v>
      </c>
      <c r="O838" s="66">
        <f t="shared" si="97"/>
        <v>5.8558845378329692E-2</v>
      </c>
      <c r="P838" s="4">
        <f t="shared" si="98"/>
        <v>0.46510000000000001</v>
      </c>
      <c r="Q838" s="4">
        <f t="shared" si="99"/>
        <v>0.36942500000000006</v>
      </c>
      <c r="R838" s="66">
        <f t="shared" si="100"/>
        <v>-2.0036081927199401E-2</v>
      </c>
      <c r="S838" s="66">
        <f t="shared" si="101"/>
        <v>5.8558845378329692E-2</v>
      </c>
      <c r="T838" s="50" t="str">
        <f t="shared" si="102"/>
        <v/>
      </c>
      <c r="U838" s="50">
        <f t="shared" si="103"/>
        <v>1</v>
      </c>
    </row>
    <row r="839" spans="1:21" x14ac:dyDescent="0.2">
      <c r="A839" s="38">
        <v>37763</v>
      </c>
      <c r="B839" s="4">
        <v>0.3846</v>
      </c>
      <c r="C839" s="4">
        <v>0.2596</v>
      </c>
      <c r="D839" s="4">
        <v>0.35580000000000001</v>
      </c>
      <c r="E839" s="50">
        <v>1</v>
      </c>
      <c r="F839" s="50">
        <v>0.47841250000000002</v>
      </c>
      <c r="G839" s="50">
        <v>2.8799999999999999E-2</v>
      </c>
      <c r="H839" s="50">
        <v>0.38490743662900001</v>
      </c>
      <c r="I839" s="50">
        <v>0.48829287047999997</v>
      </c>
      <c r="J839" s="50">
        <v>0.28152200277799999</v>
      </c>
      <c r="K839" s="50">
        <v>944.3</v>
      </c>
      <c r="L839" s="50">
        <v>912.05</v>
      </c>
      <c r="M839" s="50">
        <v>923.42</v>
      </c>
      <c r="N839" s="66">
        <f t="shared" si="96"/>
        <v>4.3501332004938248E-2</v>
      </c>
      <c r="O839" s="66">
        <f t="shared" si="97"/>
        <v>9.3857616252626189E-2</v>
      </c>
      <c r="P839" s="4">
        <f t="shared" si="98"/>
        <v>2.8799999999999992E-2</v>
      </c>
      <c r="Q839" s="4">
        <f t="shared" si="99"/>
        <v>0.266625</v>
      </c>
      <c r="R839" s="66">
        <f t="shared" si="100"/>
        <v>4.3501332004938248E-2</v>
      </c>
      <c r="S839" s="66">
        <f t="shared" si="101"/>
        <v>9.3857616252626189E-2</v>
      </c>
      <c r="T839" s="50">
        <f t="shared" si="102"/>
        <v>1</v>
      </c>
      <c r="U839" s="50">
        <f t="shared" si="103"/>
        <v>1</v>
      </c>
    </row>
    <row r="840" spans="1:21" x14ac:dyDescent="0.2">
      <c r="A840" s="38">
        <v>37770</v>
      </c>
      <c r="B840" s="4">
        <v>0.62860000000000005</v>
      </c>
      <c r="C840" s="4">
        <v>0.2286</v>
      </c>
      <c r="D840" s="4">
        <v>0.1429</v>
      </c>
      <c r="E840" s="50">
        <v>1.0001</v>
      </c>
      <c r="F840" s="50">
        <v>0.51654999999999995</v>
      </c>
      <c r="G840" s="50">
        <v>0.48570000000000002</v>
      </c>
      <c r="H840" s="50">
        <v>0.38490743662900001</v>
      </c>
      <c r="I840" s="50">
        <v>0.48829287047999997</v>
      </c>
      <c r="J840" s="50">
        <v>0.28152200277799999</v>
      </c>
      <c r="K840" s="50">
        <v>965.38</v>
      </c>
      <c r="L840" s="50">
        <v>927.33</v>
      </c>
      <c r="M840" s="50">
        <v>963.59</v>
      </c>
      <c r="N840" s="66">
        <f t="shared" si="96"/>
        <v>2.3505847922871737E-2</v>
      </c>
      <c r="O840" s="66">
        <f t="shared" si="97"/>
        <v>1.3107234404674182E-2</v>
      </c>
      <c r="P840" s="4">
        <f t="shared" si="98"/>
        <v>0.48570000000000002</v>
      </c>
      <c r="Q840" s="4">
        <f t="shared" si="99"/>
        <v>0.33090000000000003</v>
      </c>
      <c r="R840" s="66">
        <f t="shared" si="100"/>
        <v>2.3505847922871737E-2</v>
      </c>
      <c r="S840" s="66">
        <f t="shared" si="101"/>
        <v>1.3107234404674182E-2</v>
      </c>
      <c r="T840" s="50">
        <f t="shared" si="102"/>
        <v>1</v>
      </c>
      <c r="U840" s="50">
        <f t="shared" si="103"/>
        <v>1</v>
      </c>
    </row>
    <row r="841" spans="1:21" x14ac:dyDescent="0.2">
      <c r="A841" s="38">
        <v>37777</v>
      </c>
      <c r="B841" s="4">
        <v>0.52</v>
      </c>
      <c r="C841" s="4">
        <v>0.28799999999999998</v>
      </c>
      <c r="D841" s="4">
        <v>0.192</v>
      </c>
      <c r="E841" s="50">
        <v>1</v>
      </c>
      <c r="F841" s="50">
        <v>0.53347500000000003</v>
      </c>
      <c r="G841" s="50">
        <v>0.32800000000000001</v>
      </c>
      <c r="H841" s="50">
        <v>0.38490743662900001</v>
      </c>
      <c r="I841" s="50">
        <v>0.48829287047999997</v>
      </c>
      <c r="J841" s="50">
        <v>0.28152200277799999</v>
      </c>
      <c r="K841" s="50">
        <v>987.85</v>
      </c>
      <c r="L841" s="50">
        <v>963.59</v>
      </c>
      <c r="M841" s="50">
        <v>986.24</v>
      </c>
      <c r="N841" s="66">
        <f t="shared" si="96"/>
        <v>1.139682024659313E-2</v>
      </c>
      <c r="O841" s="66">
        <f t="shared" si="97"/>
        <v>-5.4753406878646537E-4</v>
      </c>
      <c r="P841" s="4">
        <f t="shared" si="98"/>
        <v>0.32800000000000001</v>
      </c>
      <c r="Q841" s="4">
        <f t="shared" si="99"/>
        <v>0.32690000000000002</v>
      </c>
      <c r="R841" s="66">
        <f t="shared" si="100"/>
        <v>1.139682024659313E-2</v>
      </c>
      <c r="S841" s="66">
        <f t="shared" si="101"/>
        <v>-5.4753406878646537E-4</v>
      </c>
      <c r="T841" s="50">
        <f t="shared" si="102"/>
        <v>1</v>
      </c>
      <c r="U841" s="50" t="str">
        <f t="shared" si="103"/>
        <v/>
      </c>
    </row>
    <row r="842" spans="1:21" x14ac:dyDescent="0.2">
      <c r="A842" s="38">
        <v>37784</v>
      </c>
      <c r="B842" s="4">
        <v>0.5</v>
      </c>
      <c r="C842" s="4">
        <v>0.20830000000000001</v>
      </c>
      <c r="D842" s="4">
        <v>0.29170000000000001</v>
      </c>
      <c r="E842" s="50">
        <v>1</v>
      </c>
      <c r="F842" s="50">
        <v>0.53810000000000002</v>
      </c>
      <c r="G842" s="50">
        <v>0.20830000000000001</v>
      </c>
      <c r="H842" s="50">
        <v>0.38490743662900001</v>
      </c>
      <c r="I842" s="50">
        <v>0.48829287047999997</v>
      </c>
      <c r="J842" s="50">
        <v>0.28152200277799999</v>
      </c>
      <c r="K842" s="50">
        <v>997.48</v>
      </c>
      <c r="L842" s="50">
        <v>972.59</v>
      </c>
      <c r="M842" s="50">
        <v>997.48</v>
      </c>
      <c r="N842" s="66">
        <f t="shared" si="96"/>
        <v>1.2641857480851761E-2</v>
      </c>
      <c r="O842" s="66">
        <f t="shared" si="97"/>
        <v>6.6166740185263678E-4</v>
      </c>
      <c r="P842" s="4">
        <f t="shared" si="98"/>
        <v>0.20829999999999999</v>
      </c>
      <c r="Q842" s="4">
        <f t="shared" si="99"/>
        <v>0.26269999999999999</v>
      </c>
      <c r="R842" s="66">
        <f t="shared" si="100"/>
        <v>1.2641857480851761E-2</v>
      </c>
      <c r="S842" s="66">
        <f t="shared" si="101"/>
        <v>6.6166740185263678E-4</v>
      </c>
      <c r="T842" s="50">
        <f t="shared" si="102"/>
        <v>1</v>
      </c>
      <c r="U842" s="50">
        <f t="shared" si="103"/>
        <v>1</v>
      </c>
    </row>
    <row r="843" spans="1:21" x14ac:dyDescent="0.2">
      <c r="A843" s="38">
        <v>37791</v>
      </c>
      <c r="B843" s="4">
        <v>0.56410000000000005</v>
      </c>
      <c r="C843" s="4">
        <v>7.6899999999999996E-2</v>
      </c>
      <c r="D843" s="4">
        <v>0.35899999999999999</v>
      </c>
      <c r="E843" s="50">
        <v>1</v>
      </c>
      <c r="F843" s="50">
        <v>0.52986250000000001</v>
      </c>
      <c r="G843" s="50">
        <v>0.2051</v>
      </c>
      <c r="H843" s="50">
        <v>0.38490743662900001</v>
      </c>
      <c r="I843" s="50">
        <v>0.48829287047999997</v>
      </c>
      <c r="J843" s="50">
        <v>0.28152200277799999</v>
      </c>
      <c r="K843" s="50">
        <v>1015.33</v>
      </c>
      <c r="L843" s="50">
        <v>988.61</v>
      </c>
      <c r="M843" s="50">
        <v>1010.09</v>
      </c>
      <c r="N843" s="66">
        <f t="shared" si="96"/>
        <v>-3.3531665495153899E-2</v>
      </c>
      <c r="O843" s="66">
        <f t="shared" si="97"/>
        <v>-1.6602480967042522E-2</v>
      </c>
      <c r="P843" s="4">
        <f t="shared" si="98"/>
        <v>0.20510000000000006</v>
      </c>
      <c r="Q843" s="4">
        <f t="shared" si="99"/>
        <v>0.30677500000000002</v>
      </c>
      <c r="R843" s="66">
        <f t="shared" si="100"/>
        <v>-3.3531665495153899E-2</v>
      </c>
      <c r="S843" s="66">
        <f t="shared" si="101"/>
        <v>-1.6602480967042522E-2</v>
      </c>
      <c r="T843" s="50" t="str">
        <f t="shared" si="102"/>
        <v/>
      </c>
      <c r="U843" s="50" t="str">
        <f t="shared" si="103"/>
        <v/>
      </c>
    </row>
    <row r="844" spans="1:21" x14ac:dyDescent="0.2">
      <c r="A844" s="38">
        <v>37798</v>
      </c>
      <c r="B844" s="4">
        <v>0.71430000000000005</v>
      </c>
      <c r="C844" s="4">
        <v>0.2</v>
      </c>
      <c r="D844" s="4">
        <v>8.5699999999999998E-2</v>
      </c>
      <c r="E844" s="50">
        <v>1</v>
      </c>
      <c r="F844" s="50">
        <v>0.55843750000000003</v>
      </c>
      <c r="G844" s="50">
        <v>0.62860000000000005</v>
      </c>
      <c r="H844" s="50">
        <v>0.38490743662900001</v>
      </c>
      <c r="I844" s="50">
        <v>0.48829287047999997</v>
      </c>
      <c r="J844" s="50">
        <v>0.28152200277799999</v>
      </c>
      <c r="K844" s="50">
        <v>995.69</v>
      </c>
      <c r="L844" s="50">
        <v>973.8</v>
      </c>
      <c r="M844" s="50">
        <v>976.22</v>
      </c>
      <c r="N844" s="66">
        <f t="shared" si="96"/>
        <v>9.7109258159021709E-3</v>
      </c>
      <c r="O844" s="66">
        <f t="shared" si="97"/>
        <v>2.3007109053287088E-2</v>
      </c>
      <c r="P844" s="4">
        <f t="shared" si="98"/>
        <v>0.62860000000000005</v>
      </c>
      <c r="Q844" s="4">
        <f t="shared" si="99"/>
        <v>0.34250000000000003</v>
      </c>
      <c r="R844" s="66">
        <f t="shared" si="100"/>
        <v>9.7109258159021709E-3</v>
      </c>
      <c r="S844" s="66">
        <f t="shared" si="101"/>
        <v>2.3007109053287088E-2</v>
      </c>
      <c r="T844" s="50">
        <f t="shared" si="102"/>
        <v>1</v>
      </c>
      <c r="U844" s="50">
        <f t="shared" si="103"/>
        <v>1</v>
      </c>
    </row>
    <row r="845" spans="1:21" x14ac:dyDescent="0.2">
      <c r="A845" s="38">
        <v>37805</v>
      </c>
      <c r="B845" s="4">
        <v>0.4118</v>
      </c>
      <c r="C845" s="4">
        <v>0.23530000000000001</v>
      </c>
      <c r="D845" s="4">
        <v>0.35289999999999999</v>
      </c>
      <c r="E845" s="50">
        <v>1</v>
      </c>
      <c r="F845" s="50">
        <v>0.54391250000000002</v>
      </c>
      <c r="G845" s="50">
        <v>5.8900000000000001E-2</v>
      </c>
      <c r="H845" s="50">
        <v>0.38490743662900001</v>
      </c>
      <c r="I845" s="50">
        <v>0.48829287047999997</v>
      </c>
      <c r="J845" s="50">
        <v>0.28152200277799999</v>
      </c>
      <c r="K845" s="50">
        <v>995</v>
      </c>
      <c r="L845" s="50">
        <v>962.1</v>
      </c>
      <c r="M845" s="50">
        <v>985.7</v>
      </c>
      <c r="N845" s="66">
        <f t="shared" ref="N845:N908" si="104">(M846-M845)/M845</f>
        <v>1.2620472760474729E-2</v>
      </c>
      <c r="O845" s="66">
        <f t="shared" ref="O845:O908" si="105">(M849-M845)/M845</f>
        <v>-5.6305163842954933E-3</v>
      </c>
      <c r="P845" s="4">
        <f t="shared" si="98"/>
        <v>5.8900000000000008E-2</v>
      </c>
      <c r="Q845" s="4">
        <f t="shared" si="99"/>
        <v>0.275225</v>
      </c>
      <c r="R845" s="66">
        <f t="shared" si="100"/>
        <v>1.2620472760474729E-2</v>
      </c>
      <c r="S845" s="66">
        <f t="shared" si="101"/>
        <v>-5.6305163842954933E-3</v>
      </c>
      <c r="T845" s="50">
        <f t="shared" si="102"/>
        <v>1</v>
      </c>
      <c r="U845" s="50" t="str">
        <f t="shared" si="103"/>
        <v/>
      </c>
    </row>
    <row r="846" spans="1:21" x14ac:dyDescent="0.2">
      <c r="A846" s="38">
        <v>37812</v>
      </c>
      <c r="B846" s="4">
        <v>0.43240000000000001</v>
      </c>
      <c r="C846" s="4">
        <v>0.25679999999999997</v>
      </c>
      <c r="D846" s="4">
        <v>0.31080000000000002</v>
      </c>
      <c r="E846" s="50">
        <v>1</v>
      </c>
      <c r="F846" s="50">
        <v>0.51947500000000002</v>
      </c>
      <c r="G846" s="50">
        <v>0.1216</v>
      </c>
      <c r="H846" s="50">
        <v>0.38490743662900001</v>
      </c>
      <c r="I846" s="50">
        <v>0.48829287047999997</v>
      </c>
      <c r="J846" s="50">
        <v>0.28152200277799999</v>
      </c>
      <c r="K846" s="50">
        <v>1010.43</v>
      </c>
      <c r="L846" s="50">
        <v>983.63</v>
      </c>
      <c r="M846" s="50">
        <v>998.14</v>
      </c>
      <c r="N846" s="66">
        <f t="shared" si="104"/>
        <v>-4.8289819063457393E-3</v>
      </c>
      <c r="O846" s="66">
        <f t="shared" si="105"/>
        <v>-2.0588294227262664E-2</v>
      </c>
      <c r="P846" s="4">
        <f t="shared" ref="P846:P909" si="106">B846-D846</f>
        <v>0.12159999999999999</v>
      </c>
      <c r="Q846" s="4">
        <f t="shared" si="99"/>
        <v>0.25355</v>
      </c>
      <c r="R846" s="66">
        <f t="shared" si="100"/>
        <v>-4.8289819063457393E-3</v>
      </c>
      <c r="S846" s="66">
        <f t="shared" si="101"/>
        <v>-2.0588294227262664E-2</v>
      </c>
      <c r="T846" s="50" t="str">
        <f t="shared" si="102"/>
        <v/>
      </c>
      <c r="U846" s="50" t="str">
        <f t="shared" si="103"/>
        <v/>
      </c>
    </row>
    <row r="847" spans="1:21" x14ac:dyDescent="0.2">
      <c r="A847" s="38">
        <v>37819</v>
      </c>
      <c r="B847" s="4">
        <v>0.51259999999999994</v>
      </c>
      <c r="C847" s="4">
        <v>0.20169999999999999</v>
      </c>
      <c r="D847" s="4">
        <v>0.28570000000000001</v>
      </c>
      <c r="E847" s="50">
        <v>1</v>
      </c>
      <c r="F847" s="50">
        <v>0.53547500000000003</v>
      </c>
      <c r="G847" s="50">
        <v>0.22689999999999999</v>
      </c>
      <c r="H847" s="50">
        <v>0.38490743662900001</v>
      </c>
      <c r="I847" s="50">
        <v>0.48829287047999997</v>
      </c>
      <c r="J847" s="50">
        <v>0.28152200277799999</v>
      </c>
      <c r="K847" s="50">
        <v>1015.41</v>
      </c>
      <c r="L847" s="50">
        <v>978.6</v>
      </c>
      <c r="M847" s="50">
        <v>993.32</v>
      </c>
      <c r="N847" s="66">
        <f t="shared" si="104"/>
        <v>5.3960455845043888E-3</v>
      </c>
      <c r="O847" s="66">
        <f t="shared" si="105"/>
        <v>-2.6678210445778708E-3</v>
      </c>
      <c r="P847" s="4">
        <f t="shared" si="106"/>
        <v>0.22689999999999994</v>
      </c>
      <c r="Q847" s="4">
        <f t="shared" si="99"/>
        <v>0.25899999999999995</v>
      </c>
      <c r="R847" s="66">
        <f t="shared" si="100"/>
        <v>5.3960455845043888E-3</v>
      </c>
      <c r="S847" s="66">
        <f t="shared" si="101"/>
        <v>-2.6678210445778708E-3</v>
      </c>
      <c r="T847" s="50">
        <f t="shared" si="102"/>
        <v>1</v>
      </c>
      <c r="U847" s="50" t="str">
        <f t="shared" si="103"/>
        <v/>
      </c>
    </row>
    <row r="848" spans="1:21" x14ac:dyDescent="0.2">
      <c r="A848" s="38">
        <v>37826</v>
      </c>
      <c r="B848" s="4">
        <v>0.52</v>
      </c>
      <c r="C848" s="4">
        <v>0.17330000000000001</v>
      </c>
      <c r="D848" s="4">
        <v>0.30669999999999997</v>
      </c>
      <c r="E848" s="50">
        <v>1</v>
      </c>
      <c r="F848" s="50">
        <v>0.52190000000000003</v>
      </c>
      <c r="G848" s="50">
        <v>0.21329999999999999</v>
      </c>
      <c r="H848" s="50">
        <v>0.38490743662900001</v>
      </c>
      <c r="I848" s="50">
        <v>0.48829287047999997</v>
      </c>
      <c r="J848" s="50">
        <v>0.28152200277799999</v>
      </c>
      <c r="K848" s="50">
        <v>998.89</v>
      </c>
      <c r="L848" s="50">
        <v>975.63</v>
      </c>
      <c r="M848" s="50">
        <v>998.68</v>
      </c>
      <c r="N848" s="66">
        <f t="shared" si="104"/>
        <v>-1.855449192934671E-2</v>
      </c>
      <c r="O848" s="66">
        <f t="shared" si="105"/>
        <v>-5.6274282052309098E-3</v>
      </c>
      <c r="P848" s="4">
        <f t="shared" si="106"/>
        <v>0.21330000000000005</v>
      </c>
      <c r="Q848" s="4">
        <f t="shared" si="99"/>
        <v>0.15517500000000001</v>
      </c>
      <c r="R848" s="66">
        <f t="shared" si="100"/>
        <v>-1.855449192934671E-2</v>
      </c>
      <c r="S848" s="66">
        <f t="shared" si="101"/>
        <v>-5.6274282052309098E-3</v>
      </c>
      <c r="T848" s="50" t="str">
        <f t="shared" si="102"/>
        <v/>
      </c>
      <c r="U848" s="50" t="str">
        <f t="shared" si="103"/>
        <v/>
      </c>
    </row>
    <row r="849" spans="1:21" x14ac:dyDescent="0.2">
      <c r="A849" s="38">
        <v>37833</v>
      </c>
      <c r="B849" s="4">
        <v>0.51539999999999997</v>
      </c>
      <c r="C849" s="4">
        <v>0.3231</v>
      </c>
      <c r="D849" s="4">
        <v>0.1615</v>
      </c>
      <c r="E849" s="50">
        <v>1</v>
      </c>
      <c r="F849" s="50">
        <v>0.52132500000000004</v>
      </c>
      <c r="G849" s="50">
        <v>0.35389999999999999</v>
      </c>
      <c r="H849" s="50">
        <v>0.38490743662900001</v>
      </c>
      <c r="I849" s="50">
        <v>0.48829287047999997</v>
      </c>
      <c r="J849" s="50">
        <v>0.28152200277799999</v>
      </c>
      <c r="K849" s="50">
        <v>1004.59</v>
      </c>
      <c r="L849" s="50">
        <v>978.86</v>
      </c>
      <c r="M849" s="50">
        <v>980.15</v>
      </c>
      <c r="N849" s="66">
        <f t="shared" si="104"/>
        <v>-2.6118451257460037E-3</v>
      </c>
      <c r="O849" s="66">
        <f t="shared" si="105"/>
        <v>2.8424220782533299E-2</v>
      </c>
      <c r="P849" s="4">
        <f t="shared" si="106"/>
        <v>0.35389999999999999</v>
      </c>
      <c r="Q849" s="4">
        <f t="shared" ref="Q849:Q912" si="107">AVERAGE(P846:P849)</f>
        <v>0.22892499999999999</v>
      </c>
      <c r="R849" s="66">
        <f t="shared" ref="R849:R912" si="108">(M850-M849)/M849</f>
        <v>-2.6118451257460037E-3</v>
      </c>
      <c r="S849" s="66">
        <f t="shared" ref="S849:S912" si="109">(M853-M849)/M849</f>
        <v>2.8424220782533299E-2</v>
      </c>
      <c r="T849" s="50" t="str">
        <f t="shared" ref="T849:T912" si="110">IF(R849&gt;0,1,"")</f>
        <v/>
      </c>
      <c r="U849" s="50">
        <f t="shared" ref="U849:U912" si="111">IF(S849&gt;0,1,"")</f>
        <v>1</v>
      </c>
    </row>
    <row r="850" spans="1:21" x14ac:dyDescent="0.2">
      <c r="A850" s="38">
        <v>37840</v>
      </c>
      <c r="B850" s="4">
        <v>0.45450000000000002</v>
      </c>
      <c r="C850" s="4">
        <v>0.2208</v>
      </c>
      <c r="D850" s="4">
        <v>0.32469999999999999</v>
      </c>
      <c r="E850" s="50">
        <v>1</v>
      </c>
      <c r="F850" s="50">
        <v>0.51563749999999997</v>
      </c>
      <c r="G850" s="50">
        <v>0.1298</v>
      </c>
      <c r="H850" s="50">
        <v>0.38490743662900001</v>
      </c>
      <c r="I850" s="50">
        <v>0.48829287047999997</v>
      </c>
      <c r="J850" s="50">
        <v>0.28152200277799999</v>
      </c>
      <c r="K850" s="50">
        <v>985.75</v>
      </c>
      <c r="L850" s="50">
        <v>960.84</v>
      </c>
      <c r="M850" s="50">
        <v>977.59</v>
      </c>
      <c r="N850" s="66">
        <f t="shared" si="104"/>
        <v>1.3379842265162213E-2</v>
      </c>
      <c r="O850" s="66">
        <f t="shared" si="105"/>
        <v>4.4804058961323209E-2</v>
      </c>
      <c r="P850" s="4">
        <f t="shared" si="106"/>
        <v>0.12980000000000003</v>
      </c>
      <c r="Q850" s="4">
        <f t="shared" si="107"/>
        <v>0.23097500000000001</v>
      </c>
      <c r="R850" s="66">
        <f t="shared" si="108"/>
        <v>1.3379842265162213E-2</v>
      </c>
      <c r="S850" s="66">
        <f t="shared" si="109"/>
        <v>4.4804058961323209E-2</v>
      </c>
      <c r="T850" s="50">
        <f t="shared" si="110"/>
        <v>1</v>
      </c>
      <c r="U850" s="50">
        <f t="shared" si="111"/>
        <v>1</v>
      </c>
    </row>
    <row r="851" spans="1:21" x14ac:dyDescent="0.2">
      <c r="A851" s="38">
        <v>37847</v>
      </c>
      <c r="B851" s="4">
        <v>0.50560000000000005</v>
      </c>
      <c r="C851" s="4">
        <v>0.25840000000000002</v>
      </c>
      <c r="D851" s="4">
        <v>0.23599999999999999</v>
      </c>
      <c r="E851" s="50">
        <v>1</v>
      </c>
      <c r="F851" s="50">
        <v>0.50832500000000003</v>
      </c>
      <c r="G851" s="50">
        <v>0.26960000000000001</v>
      </c>
      <c r="H851" s="50">
        <v>0.38490743662900001</v>
      </c>
      <c r="I851" s="50">
        <v>0.48829287047999997</v>
      </c>
      <c r="J851" s="50">
        <v>0.28152200277799999</v>
      </c>
      <c r="K851" s="50">
        <v>992.5</v>
      </c>
      <c r="L851" s="50">
        <v>974.21</v>
      </c>
      <c r="M851" s="50">
        <v>990.67</v>
      </c>
      <c r="N851" s="66">
        <f t="shared" si="104"/>
        <v>2.4125087062291041E-3</v>
      </c>
      <c r="O851" s="66">
        <f t="shared" si="105"/>
        <v>2.822332360927457E-2</v>
      </c>
      <c r="P851" s="4">
        <f t="shared" si="106"/>
        <v>0.26960000000000006</v>
      </c>
      <c r="Q851" s="4">
        <f t="shared" si="107"/>
        <v>0.24165000000000003</v>
      </c>
      <c r="R851" s="66">
        <f t="shared" si="108"/>
        <v>2.4125087062291041E-3</v>
      </c>
      <c r="S851" s="66">
        <f t="shared" si="109"/>
        <v>2.822332360927457E-2</v>
      </c>
      <c r="T851" s="50">
        <f t="shared" si="110"/>
        <v>1</v>
      </c>
      <c r="U851" s="50">
        <f t="shared" si="111"/>
        <v>1</v>
      </c>
    </row>
    <row r="852" spans="1:21" x14ac:dyDescent="0.2">
      <c r="A852" s="38">
        <v>37854</v>
      </c>
      <c r="B852" s="4">
        <v>0.62960000000000005</v>
      </c>
      <c r="C852" s="4">
        <v>0.1852</v>
      </c>
      <c r="D852" s="4">
        <v>0.1852</v>
      </c>
      <c r="E852" s="50">
        <v>1</v>
      </c>
      <c r="F852" s="50">
        <v>0.4977375</v>
      </c>
      <c r="G852" s="50">
        <v>0.44440000000000002</v>
      </c>
      <c r="H852" s="50">
        <v>0.38490743662900001</v>
      </c>
      <c r="I852" s="50">
        <v>0.48829287047999997</v>
      </c>
      <c r="J852" s="50">
        <v>0.28152200277799999</v>
      </c>
      <c r="K852" s="50">
        <v>1011.01</v>
      </c>
      <c r="L852" s="50">
        <v>990.67</v>
      </c>
      <c r="M852" s="50">
        <v>993.06</v>
      </c>
      <c r="N852" s="66">
        <f t="shared" si="104"/>
        <v>1.5054478077860398E-2</v>
      </c>
      <c r="O852" s="66">
        <f t="shared" si="105"/>
        <v>4.3542182748273026E-2</v>
      </c>
      <c r="P852" s="4">
        <f t="shared" si="106"/>
        <v>0.44440000000000002</v>
      </c>
      <c r="Q852" s="4">
        <f t="shared" si="107"/>
        <v>0.29942500000000005</v>
      </c>
      <c r="R852" s="66">
        <f t="shared" si="108"/>
        <v>1.5054478077860398E-2</v>
      </c>
      <c r="S852" s="66">
        <f t="shared" si="109"/>
        <v>4.3542182748273026E-2</v>
      </c>
      <c r="T852" s="50">
        <f t="shared" si="110"/>
        <v>1</v>
      </c>
      <c r="U852" s="50">
        <f t="shared" si="111"/>
        <v>1</v>
      </c>
    </row>
    <row r="853" spans="1:21" x14ac:dyDescent="0.2">
      <c r="A853" s="38">
        <v>37861</v>
      </c>
      <c r="B853" s="4">
        <v>0.56699999999999995</v>
      </c>
      <c r="C853" s="4">
        <v>0.20619999999999999</v>
      </c>
      <c r="D853" s="4">
        <v>0.2268</v>
      </c>
      <c r="E853" s="50">
        <v>1</v>
      </c>
      <c r="F853" s="50">
        <v>0.51713750000000003</v>
      </c>
      <c r="G853" s="50">
        <v>0.3402</v>
      </c>
      <c r="H853" s="50">
        <v>0.38490743662900001</v>
      </c>
      <c r="I853" s="50">
        <v>0.48829287047999997</v>
      </c>
      <c r="J853" s="50">
        <v>0.28152200277799999</v>
      </c>
      <c r="K853" s="50">
        <v>1008.85</v>
      </c>
      <c r="L853" s="50">
        <v>983.57</v>
      </c>
      <c r="M853" s="50">
        <v>1008.01</v>
      </c>
      <c r="N853" s="66">
        <f t="shared" si="104"/>
        <v>1.327367784049761E-2</v>
      </c>
      <c r="O853" s="66">
        <f t="shared" si="105"/>
        <v>-1.1071318736917262E-2</v>
      </c>
      <c r="P853" s="4">
        <f t="shared" si="106"/>
        <v>0.34019999999999995</v>
      </c>
      <c r="Q853" s="4">
        <f t="shared" si="107"/>
        <v>0.29600000000000004</v>
      </c>
      <c r="R853" s="66">
        <f t="shared" si="108"/>
        <v>1.327367784049761E-2</v>
      </c>
      <c r="S853" s="66">
        <f t="shared" si="109"/>
        <v>-1.1071318736917262E-2</v>
      </c>
      <c r="T853" s="50">
        <f t="shared" si="110"/>
        <v>1</v>
      </c>
      <c r="U853" s="50" t="str">
        <f t="shared" si="111"/>
        <v/>
      </c>
    </row>
    <row r="854" spans="1:21" x14ac:dyDescent="0.2">
      <c r="A854" s="38">
        <v>37868</v>
      </c>
      <c r="B854" s="4">
        <v>0.623</v>
      </c>
      <c r="C854" s="4">
        <v>0.21310000000000001</v>
      </c>
      <c r="D854" s="4">
        <v>0.16389999999999999</v>
      </c>
      <c r="E854" s="50">
        <v>1</v>
      </c>
      <c r="F854" s="50">
        <v>0.54096250000000001</v>
      </c>
      <c r="G854" s="50">
        <v>0.45910000000000001</v>
      </c>
      <c r="H854" s="50">
        <v>0.38490743662900001</v>
      </c>
      <c r="I854" s="50">
        <v>0.48829287047999997</v>
      </c>
      <c r="J854" s="50">
        <v>0.28152200277799999</v>
      </c>
      <c r="K854" s="50">
        <v>1029.3399999999999</v>
      </c>
      <c r="L854" s="50">
        <v>1005.73</v>
      </c>
      <c r="M854" s="50">
        <v>1021.39</v>
      </c>
      <c r="N854" s="66">
        <f t="shared" si="104"/>
        <v>-2.7021999432146298E-3</v>
      </c>
      <c r="O854" s="66">
        <f t="shared" si="105"/>
        <v>8.2828302607230574E-3</v>
      </c>
      <c r="P854" s="4">
        <f t="shared" si="106"/>
        <v>0.45910000000000001</v>
      </c>
      <c r="Q854" s="4">
        <f t="shared" si="107"/>
        <v>0.37832500000000002</v>
      </c>
      <c r="R854" s="66">
        <f t="shared" si="108"/>
        <v>-2.7021999432146298E-3</v>
      </c>
      <c r="S854" s="66">
        <f t="shared" si="109"/>
        <v>8.2828302607230574E-3</v>
      </c>
      <c r="T854" s="50" t="str">
        <f t="shared" si="110"/>
        <v/>
      </c>
      <c r="U854" s="50">
        <f t="shared" si="111"/>
        <v>1</v>
      </c>
    </row>
    <row r="855" spans="1:21" x14ac:dyDescent="0.2">
      <c r="A855" s="38">
        <v>37875</v>
      </c>
      <c r="B855" s="4">
        <v>0.58140000000000003</v>
      </c>
      <c r="C855" s="4">
        <v>0.2442</v>
      </c>
      <c r="D855" s="4">
        <v>0.1744</v>
      </c>
      <c r="E855" s="50">
        <v>1</v>
      </c>
      <c r="F855" s="50">
        <v>0.54956249999999995</v>
      </c>
      <c r="G855" s="50">
        <v>0.40699999999999997</v>
      </c>
      <c r="H855" s="50">
        <v>0.38490743662900001</v>
      </c>
      <c r="I855" s="50">
        <v>0.48829287047999997</v>
      </c>
      <c r="J855" s="50">
        <v>0.28152200277799999</v>
      </c>
      <c r="K855" s="50">
        <v>1032.4100000000001</v>
      </c>
      <c r="L855" s="50">
        <v>1007.71</v>
      </c>
      <c r="M855" s="50">
        <v>1018.63</v>
      </c>
      <c r="N855" s="66">
        <f t="shared" si="104"/>
        <v>1.734682858348955E-2</v>
      </c>
      <c r="O855" s="66">
        <f t="shared" si="105"/>
        <v>1.9074639466734683E-2</v>
      </c>
      <c r="P855" s="4">
        <f t="shared" si="106"/>
        <v>0.40700000000000003</v>
      </c>
      <c r="Q855" s="4">
        <f t="shared" si="107"/>
        <v>0.41267500000000001</v>
      </c>
      <c r="R855" s="66">
        <f t="shared" si="108"/>
        <v>1.734682858348955E-2</v>
      </c>
      <c r="S855" s="66">
        <f t="shared" si="109"/>
        <v>1.9074639466734683E-2</v>
      </c>
      <c r="T855" s="50">
        <f t="shared" si="110"/>
        <v>1</v>
      </c>
      <c r="U855" s="50">
        <f t="shared" si="111"/>
        <v>1</v>
      </c>
    </row>
    <row r="856" spans="1:21" x14ac:dyDescent="0.2">
      <c r="A856" s="38">
        <v>37882</v>
      </c>
      <c r="B856" s="4">
        <v>0.62749999999999995</v>
      </c>
      <c r="C856" s="4">
        <v>0.17649999999999999</v>
      </c>
      <c r="D856" s="4">
        <v>0.1961</v>
      </c>
      <c r="E856" s="50">
        <v>1.0001</v>
      </c>
      <c r="F856" s="50">
        <v>0.56299999999999994</v>
      </c>
      <c r="G856" s="50">
        <v>0.43140000000000001</v>
      </c>
      <c r="H856" s="50">
        <v>0.38490743662900001</v>
      </c>
      <c r="I856" s="50">
        <v>0.48829287047999997</v>
      </c>
      <c r="J856" s="50">
        <v>0.28152200277799999</v>
      </c>
      <c r="K856" s="50">
        <v>1040.29</v>
      </c>
      <c r="L856" s="50">
        <v>1013.59</v>
      </c>
      <c r="M856" s="50">
        <v>1036.3</v>
      </c>
      <c r="N856" s="66">
        <f t="shared" si="104"/>
        <v>-3.806812699025372E-2</v>
      </c>
      <c r="O856" s="66">
        <f t="shared" si="105"/>
        <v>1.0093602238733993E-2</v>
      </c>
      <c r="P856" s="4">
        <f t="shared" si="106"/>
        <v>0.43139999999999995</v>
      </c>
      <c r="Q856" s="4">
        <f t="shared" si="107"/>
        <v>0.40942499999999998</v>
      </c>
      <c r="R856" s="66">
        <f t="shared" si="108"/>
        <v>-3.806812699025372E-2</v>
      </c>
      <c r="S856" s="66">
        <f t="shared" si="109"/>
        <v>1.0093602238733993E-2</v>
      </c>
      <c r="T856" s="50" t="str">
        <f t="shared" si="110"/>
        <v/>
      </c>
      <c r="U856" s="50">
        <f t="shared" si="111"/>
        <v>1</v>
      </c>
    </row>
    <row r="857" spans="1:21" x14ac:dyDescent="0.2">
      <c r="A857" s="38">
        <v>37889</v>
      </c>
      <c r="B857" s="4">
        <v>0.57279999999999998</v>
      </c>
      <c r="C857" s="4">
        <v>0.2039</v>
      </c>
      <c r="D857" s="4">
        <v>0.2233</v>
      </c>
      <c r="E857" s="50">
        <v>1</v>
      </c>
      <c r="F857" s="50">
        <v>0.57017499999999999</v>
      </c>
      <c r="G857" s="50">
        <v>0.34949999999999998</v>
      </c>
      <c r="H857" s="50">
        <v>0.38490743662900001</v>
      </c>
      <c r="I857" s="50">
        <v>0.48829287047999997</v>
      </c>
      <c r="J857" s="50">
        <v>0.28152200277799999</v>
      </c>
      <c r="K857" s="50">
        <v>1036.3</v>
      </c>
      <c r="L857" s="50">
        <v>996.08</v>
      </c>
      <c r="M857" s="50">
        <v>996.85</v>
      </c>
      <c r="N857" s="66">
        <f t="shared" si="104"/>
        <v>3.3104278477203077E-2</v>
      </c>
      <c r="O857" s="66">
        <f t="shared" si="105"/>
        <v>3.3615890053668933E-2</v>
      </c>
      <c r="P857" s="4">
        <f t="shared" si="106"/>
        <v>0.34949999999999998</v>
      </c>
      <c r="Q857" s="4">
        <f t="shared" si="107"/>
        <v>0.41175</v>
      </c>
      <c r="R857" s="66">
        <f t="shared" si="108"/>
        <v>3.3104278477203077E-2</v>
      </c>
      <c r="S857" s="66">
        <f t="shared" si="109"/>
        <v>3.3615890053668933E-2</v>
      </c>
      <c r="T857" s="50">
        <f t="shared" si="110"/>
        <v>1</v>
      </c>
      <c r="U857" s="50">
        <f t="shared" si="111"/>
        <v>1</v>
      </c>
    </row>
    <row r="858" spans="1:21" x14ac:dyDescent="0.2">
      <c r="A858" s="38">
        <v>37896</v>
      </c>
      <c r="B858" s="4">
        <v>0.5</v>
      </c>
      <c r="C858" s="4">
        <v>0.21429999999999999</v>
      </c>
      <c r="D858" s="4">
        <v>0.28570000000000001</v>
      </c>
      <c r="E858" s="50">
        <v>1</v>
      </c>
      <c r="F858" s="50">
        <v>0.57586250000000005</v>
      </c>
      <c r="G858" s="50">
        <v>0.21429999999999999</v>
      </c>
      <c r="H858" s="50">
        <v>0.38490743662900001</v>
      </c>
      <c r="I858" s="50">
        <v>0.48829287047999997</v>
      </c>
      <c r="J858" s="50">
        <v>0.28152200277799999</v>
      </c>
      <c r="K858" s="50">
        <v>1039.31</v>
      </c>
      <c r="L858" s="50">
        <v>990.36</v>
      </c>
      <c r="M858" s="50">
        <v>1029.8499999999999</v>
      </c>
      <c r="N858" s="66">
        <f t="shared" si="104"/>
        <v>7.9720347623440675E-3</v>
      </c>
      <c r="O858" s="66">
        <f t="shared" si="105"/>
        <v>1.7730737486041648E-2</v>
      </c>
      <c r="P858" s="4">
        <f t="shared" si="106"/>
        <v>0.21429999999999999</v>
      </c>
      <c r="Q858" s="4">
        <f t="shared" si="107"/>
        <v>0.35054999999999997</v>
      </c>
      <c r="R858" s="66">
        <f t="shared" si="108"/>
        <v>7.9720347623440675E-3</v>
      </c>
      <c r="S858" s="66">
        <f t="shared" si="109"/>
        <v>1.7730737486041648E-2</v>
      </c>
      <c r="T858" s="50">
        <f t="shared" si="110"/>
        <v>1</v>
      </c>
      <c r="U858" s="50">
        <f t="shared" si="111"/>
        <v>1</v>
      </c>
    </row>
    <row r="859" spans="1:21" x14ac:dyDescent="0.2">
      <c r="A859" s="38">
        <v>37903</v>
      </c>
      <c r="B859" s="4">
        <v>0.57579999999999998</v>
      </c>
      <c r="C859" s="4">
        <v>0.19189999999999999</v>
      </c>
      <c r="D859" s="4">
        <v>0.23230000000000001</v>
      </c>
      <c r="E859" s="50">
        <v>1</v>
      </c>
      <c r="F859" s="50">
        <v>0.58463750000000003</v>
      </c>
      <c r="G859" s="50">
        <v>0.34350000000000003</v>
      </c>
      <c r="H859" s="50">
        <v>0.38490743662900001</v>
      </c>
      <c r="I859" s="50">
        <v>0.48829287047999997</v>
      </c>
      <c r="J859" s="50">
        <v>0.28152200277799999</v>
      </c>
      <c r="K859" s="50">
        <v>1048.28</v>
      </c>
      <c r="L859" s="50">
        <v>1026.27</v>
      </c>
      <c r="M859" s="50">
        <v>1038.06</v>
      </c>
      <c r="N859" s="66">
        <f t="shared" si="104"/>
        <v>8.3810184382406092E-3</v>
      </c>
      <c r="O859" s="66">
        <f t="shared" si="105"/>
        <v>1.3245862474230777E-2</v>
      </c>
      <c r="P859" s="4">
        <f t="shared" si="106"/>
        <v>0.34349999999999997</v>
      </c>
      <c r="Q859" s="4">
        <f t="shared" si="107"/>
        <v>0.33467499999999994</v>
      </c>
      <c r="R859" s="66">
        <f t="shared" si="108"/>
        <v>8.3810184382406092E-3</v>
      </c>
      <c r="S859" s="66">
        <f t="shared" si="109"/>
        <v>1.3245862474230777E-2</v>
      </c>
      <c r="T859" s="50">
        <f t="shared" si="110"/>
        <v>1</v>
      </c>
      <c r="U859" s="50">
        <f t="shared" si="111"/>
        <v>1</v>
      </c>
    </row>
    <row r="860" spans="1:21" x14ac:dyDescent="0.2">
      <c r="A860" s="38">
        <v>37910</v>
      </c>
      <c r="B860" s="4">
        <v>0.60340000000000005</v>
      </c>
      <c r="C860" s="4">
        <v>0.2586</v>
      </c>
      <c r="D860" s="4">
        <v>0.13789999999999999</v>
      </c>
      <c r="E860" s="50">
        <v>0.99990000000000001</v>
      </c>
      <c r="F860" s="50">
        <v>0.5813625</v>
      </c>
      <c r="G860" s="50">
        <v>0.46550000000000002</v>
      </c>
      <c r="H860" s="50">
        <v>0.38490743662900001</v>
      </c>
      <c r="I860" s="50">
        <v>0.48829287047999997</v>
      </c>
      <c r="J860" s="50">
        <v>0.28152200277799999</v>
      </c>
      <c r="K860" s="50">
        <v>1053.79</v>
      </c>
      <c r="L860" s="50">
        <v>1038.06</v>
      </c>
      <c r="M860" s="50">
        <v>1046.76</v>
      </c>
      <c r="N860" s="66">
        <f t="shared" si="104"/>
        <v>-1.5667392716573133E-2</v>
      </c>
      <c r="O860" s="66">
        <f t="shared" si="105"/>
        <v>1.1244220260613686E-2</v>
      </c>
      <c r="P860" s="4">
        <f t="shared" si="106"/>
        <v>0.46550000000000002</v>
      </c>
      <c r="Q860" s="4">
        <f t="shared" si="107"/>
        <v>0.34320000000000001</v>
      </c>
      <c r="R860" s="66">
        <f t="shared" si="108"/>
        <v>-1.5667392716573133E-2</v>
      </c>
      <c r="S860" s="66">
        <f t="shared" si="109"/>
        <v>1.1244220260613686E-2</v>
      </c>
      <c r="T860" s="50" t="str">
        <f t="shared" si="110"/>
        <v/>
      </c>
      <c r="U860" s="50">
        <f t="shared" si="111"/>
        <v>1</v>
      </c>
    </row>
    <row r="861" spans="1:21" x14ac:dyDescent="0.2">
      <c r="A861" s="38">
        <v>37917</v>
      </c>
      <c r="B861" s="4">
        <v>0.52780000000000005</v>
      </c>
      <c r="C861" s="4">
        <v>0.30559999999999998</v>
      </c>
      <c r="D861" s="4">
        <v>0.16669999999999999</v>
      </c>
      <c r="E861" s="50">
        <v>1.0001</v>
      </c>
      <c r="F861" s="50">
        <v>0.57646249999999999</v>
      </c>
      <c r="G861" s="50">
        <v>0.36109999999999998</v>
      </c>
      <c r="H861" s="50">
        <v>0.38490743662900001</v>
      </c>
      <c r="I861" s="50">
        <v>0.48829287047999997</v>
      </c>
      <c r="J861" s="50">
        <v>0.28152200277799999</v>
      </c>
      <c r="K861" s="50">
        <v>1048.57</v>
      </c>
      <c r="L861" s="50">
        <v>1028.3900000000001</v>
      </c>
      <c r="M861" s="50">
        <v>1030.3599999999999</v>
      </c>
      <c r="N861" s="66">
        <f t="shared" si="104"/>
        <v>1.7226988625334835E-2</v>
      </c>
      <c r="O861" s="66">
        <f t="shared" si="105"/>
        <v>1.1724057610932252E-2</v>
      </c>
      <c r="P861" s="4">
        <f t="shared" si="106"/>
        <v>0.36110000000000009</v>
      </c>
      <c r="Q861" s="4">
        <f t="shared" si="107"/>
        <v>0.34609999999999996</v>
      </c>
      <c r="R861" s="66">
        <f t="shared" si="108"/>
        <v>1.7226988625334835E-2</v>
      </c>
      <c r="S861" s="66">
        <f t="shared" si="109"/>
        <v>1.1724057610932252E-2</v>
      </c>
      <c r="T861" s="50">
        <f t="shared" si="110"/>
        <v>1</v>
      </c>
      <c r="U861" s="50">
        <f t="shared" si="111"/>
        <v>1</v>
      </c>
    </row>
    <row r="862" spans="1:21" x14ac:dyDescent="0.2">
      <c r="A862" s="38">
        <v>37924</v>
      </c>
      <c r="B862" s="4">
        <v>0.57809999999999995</v>
      </c>
      <c r="C862" s="4">
        <v>0.2344</v>
      </c>
      <c r="D862" s="4">
        <v>0.1875</v>
      </c>
      <c r="E862" s="50">
        <v>1</v>
      </c>
      <c r="F862" s="50">
        <v>0.57084999999999997</v>
      </c>
      <c r="G862" s="50">
        <v>0.3906</v>
      </c>
      <c r="H862" s="50">
        <v>0.38490743662900001</v>
      </c>
      <c r="I862" s="50">
        <v>0.48829287047999997</v>
      </c>
      <c r="J862" s="50">
        <v>0.28152200277799999</v>
      </c>
      <c r="K862" s="50">
        <v>1049.83</v>
      </c>
      <c r="L862" s="50">
        <v>1028.9100000000001</v>
      </c>
      <c r="M862" s="50">
        <v>1048.1099999999999</v>
      </c>
      <c r="N862" s="66">
        <f t="shared" si="104"/>
        <v>3.5301638186831974E-3</v>
      </c>
      <c r="O862" s="66">
        <f t="shared" si="105"/>
        <v>9.6268521433820371E-3</v>
      </c>
      <c r="P862" s="4">
        <f t="shared" si="106"/>
        <v>0.39059999999999995</v>
      </c>
      <c r="Q862" s="4">
        <f t="shared" si="107"/>
        <v>0.39017500000000005</v>
      </c>
      <c r="R862" s="66">
        <f t="shared" si="108"/>
        <v>3.5301638186831974E-3</v>
      </c>
      <c r="S862" s="66">
        <f t="shared" si="109"/>
        <v>9.6268521433820371E-3</v>
      </c>
      <c r="T862" s="50">
        <f t="shared" si="110"/>
        <v>1</v>
      </c>
      <c r="U862" s="50">
        <f t="shared" si="111"/>
        <v>1</v>
      </c>
    </row>
    <row r="863" spans="1:21" x14ac:dyDescent="0.2">
      <c r="A863" s="38">
        <v>37931</v>
      </c>
      <c r="B863" s="4">
        <v>0.57579999999999998</v>
      </c>
      <c r="C863" s="4">
        <v>0.2576</v>
      </c>
      <c r="D863" s="4">
        <v>0.16669999999999999</v>
      </c>
      <c r="E863" s="50">
        <v>1.0001</v>
      </c>
      <c r="F863" s="50">
        <v>0.57015000000000005</v>
      </c>
      <c r="G863" s="50">
        <v>0.40910000000000002</v>
      </c>
      <c r="H863" s="50">
        <v>0.38490743662900001</v>
      </c>
      <c r="I863" s="50">
        <v>0.48829287047999997</v>
      </c>
      <c r="J863" s="50">
        <v>0.28152200277799999</v>
      </c>
      <c r="K863" s="50">
        <v>1061.44</v>
      </c>
      <c r="L863" s="50">
        <v>1044.8800000000001</v>
      </c>
      <c r="M863" s="50">
        <v>1051.81</v>
      </c>
      <c r="N863" s="66">
        <f t="shared" si="104"/>
        <v>6.388986604044483E-3</v>
      </c>
      <c r="O863" s="66">
        <f t="shared" si="105"/>
        <v>1.2283587339918876E-2</v>
      </c>
      <c r="P863" s="4">
        <f t="shared" si="106"/>
        <v>0.40910000000000002</v>
      </c>
      <c r="Q863" s="4">
        <f t="shared" si="107"/>
        <v>0.40657500000000002</v>
      </c>
      <c r="R863" s="66">
        <f t="shared" si="108"/>
        <v>6.388986604044483E-3</v>
      </c>
      <c r="S863" s="66">
        <f t="shared" si="109"/>
        <v>1.2283587339918876E-2</v>
      </c>
      <c r="T863" s="50">
        <f t="shared" si="110"/>
        <v>1</v>
      </c>
      <c r="U863" s="50">
        <f t="shared" si="111"/>
        <v>1</v>
      </c>
    </row>
    <row r="864" spans="1:21" x14ac:dyDescent="0.2">
      <c r="A864" s="38">
        <v>37938</v>
      </c>
      <c r="B864" s="4">
        <v>0.5333</v>
      </c>
      <c r="C864" s="4">
        <v>0.32219999999999999</v>
      </c>
      <c r="D864" s="4">
        <v>0.1444</v>
      </c>
      <c r="E864" s="50">
        <v>0.99990000000000001</v>
      </c>
      <c r="F864" s="50">
        <v>0.55837499999999995</v>
      </c>
      <c r="G864" s="50">
        <v>0.38890000000000002</v>
      </c>
      <c r="H864" s="50">
        <v>0.38490743662900001</v>
      </c>
      <c r="I864" s="50">
        <v>0.48829287047999997</v>
      </c>
      <c r="J864" s="50">
        <v>0.28152200277799999</v>
      </c>
      <c r="K864" s="50">
        <v>1059.0999999999999</v>
      </c>
      <c r="L864" s="50">
        <v>1043.46</v>
      </c>
      <c r="M864" s="50">
        <v>1058.53</v>
      </c>
      <c r="N864" s="66">
        <f t="shared" si="104"/>
        <v>-1.5200324978980207E-2</v>
      </c>
      <c r="O864" s="66">
        <f t="shared" si="105"/>
        <v>1.474686593672369E-2</v>
      </c>
      <c r="P864" s="4">
        <f t="shared" si="106"/>
        <v>0.38890000000000002</v>
      </c>
      <c r="Q864" s="4">
        <f t="shared" si="107"/>
        <v>0.38742500000000002</v>
      </c>
      <c r="R864" s="66">
        <f t="shared" si="108"/>
        <v>-1.5200324978980207E-2</v>
      </c>
      <c r="S864" s="66">
        <f t="shared" si="109"/>
        <v>1.474686593672369E-2</v>
      </c>
      <c r="T864" s="50" t="str">
        <f t="shared" si="110"/>
        <v/>
      </c>
      <c r="U864" s="50">
        <f t="shared" si="111"/>
        <v>1</v>
      </c>
    </row>
    <row r="865" spans="1:21" x14ac:dyDescent="0.2">
      <c r="A865" s="38">
        <v>37945</v>
      </c>
      <c r="B865" s="4">
        <v>0.5323</v>
      </c>
      <c r="C865" s="4">
        <v>0.2581</v>
      </c>
      <c r="D865" s="4">
        <v>0.2097</v>
      </c>
      <c r="E865" s="50">
        <v>1.0001</v>
      </c>
      <c r="F865" s="50">
        <v>0.55331249999999998</v>
      </c>
      <c r="G865" s="50">
        <v>0.3226</v>
      </c>
      <c r="H865" s="50">
        <v>0.38490743662900001</v>
      </c>
      <c r="I865" s="50">
        <v>0.48829287047999997</v>
      </c>
      <c r="J865" s="50">
        <v>0.28152200277799999</v>
      </c>
      <c r="K865" s="50">
        <v>1050.3499999999999</v>
      </c>
      <c r="L865" s="50">
        <v>1034</v>
      </c>
      <c r="M865" s="50">
        <v>1042.44</v>
      </c>
      <c r="N865" s="66">
        <f t="shared" si="104"/>
        <v>1.5118376117570307E-2</v>
      </c>
      <c r="O865" s="66">
        <f t="shared" si="105"/>
        <v>3.2654157553432296E-2</v>
      </c>
      <c r="P865" s="4">
        <f t="shared" si="106"/>
        <v>0.3226</v>
      </c>
      <c r="Q865" s="4">
        <f t="shared" si="107"/>
        <v>0.37780000000000002</v>
      </c>
      <c r="R865" s="66">
        <f t="shared" si="108"/>
        <v>1.5118376117570307E-2</v>
      </c>
      <c r="S865" s="66">
        <f t="shared" si="109"/>
        <v>3.2654157553432296E-2</v>
      </c>
      <c r="T865" s="50">
        <f t="shared" si="110"/>
        <v>1</v>
      </c>
      <c r="U865" s="50">
        <f t="shared" si="111"/>
        <v>1</v>
      </c>
    </row>
    <row r="866" spans="1:21" x14ac:dyDescent="0.2">
      <c r="A866" s="38">
        <v>37952</v>
      </c>
      <c r="B866" s="4">
        <v>0.6038</v>
      </c>
      <c r="C866" s="4">
        <v>0.18870000000000001</v>
      </c>
      <c r="D866" s="4">
        <v>0.20749999999999999</v>
      </c>
      <c r="E866" s="50">
        <v>1</v>
      </c>
      <c r="F866" s="50">
        <v>0.56628750000000005</v>
      </c>
      <c r="G866" s="50">
        <v>0.39629999999999999</v>
      </c>
      <c r="H866" s="50">
        <v>0.38490743662900001</v>
      </c>
      <c r="I866" s="50">
        <v>0.48829287047999997</v>
      </c>
      <c r="J866" s="50">
        <v>0.28152200277799999</v>
      </c>
      <c r="K866" s="50">
        <v>1060.6300000000001</v>
      </c>
      <c r="L866" s="50">
        <v>1035.28</v>
      </c>
      <c r="M866" s="50">
        <v>1058.2</v>
      </c>
      <c r="N866" s="66">
        <f t="shared" si="104"/>
        <v>6.1708561708561449E-3</v>
      </c>
      <c r="O866" s="66">
        <f t="shared" si="105"/>
        <v>3.5617085617085667E-2</v>
      </c>
      <c r="P866" s="4">
        <f t="shared" si="106"/>
        <v>0.39629999999999999</v>
      </c>
      <c r="Q866" s="4">
        <f t="shared" si="107"/>
        <v>0.37922500000000003</v>
      </c>
      <c r="R866" s="66">
        <f t="shared" si="108"/>
        <v>6.1708561708561449E-3</v>
      </c>
      <c r="S866" s="66">
        <f t="shared" si="109"/>
        <v>3.5617085617085667E-2</v>
      </c>
      <c r="T866" s="50">
        <f t="shared" si="110"/>
        <v>1</v>
      </c>
      <c r="U866" s="50">
        <f t="shared" si="111"/>
        <v>1</v>
      </c>
    </row>
    <row r="867" spans="1:21" x14ac:dyDescent="0.2">
      <c r="A867" s="38">
        <v>37959</v>
      </c>
      <c r="B867" s="4">
        <v>0.69369999999999998</v>
      </c>
      <c r="C867" s="4">
        <v>0.16220000000000001</v>
      </c>
      <c r="D867" s="4">
        <v>0.14410000000000001</v>
      </c>
      <c r="E867" s="50">
        <v>1</v>
      </c>
      <c r="F867" s="50">
        <v>0.58102500000000001</v>
      </c>
      <c r="G867" s="50">
        <v>0.54959999999999998</v>
      </c>
      <c r="H867" s="50">
        <v>0.38490743662900001</v>
      </c>
      <c r="I867" s="50">
        <v>0.48829287047999997</v>
      </c>
      <c r="J867" s="50">
        <v>0.28152200277799999</v>
      </c>
      <c r="K867" s="50">
        <v>1074.3</v>
      </c>
      <c r="L867" s="50">
        <v>1058.2</v>
      </c>
      <c r="M867" s="50">
        <v>1064.73</v>
      </c>
      <c r="N867" s="66">
        <f t="shared" si="104"/>
        <v>8.8379213509529007E-3</v>
      </c>
      <c r="O867" s="66">
        <f t="shared" si="105"/>
        <v>4.1090229447841235E-2</v>
      </c>
      <c r="P867" s="4">
        <f t="shared" si="106"/>
        <v>0.54959999999999998</v>
      </c>
      <c r="Q867" s="4">
        <f t="shared" si="107"/>
        <v>0.41435</v>
      </c>
      <c r="R867" s="66">
        <f t="shared" si="108"/>
        <v>8.8379213509529007E-3</v>
      </c>
      <c r="S867" s="66">
        <f t="shared" si="109"/>
        <v>4.1090229447841235E-2</v>
      </c>
      <c r="T867" s="50">
        <f t="shared" si="110"/>
        <v>1</v>
      </c>
      <c r="U867" s="50">
        <f t="shared" si="111"/>
        <v>1</v>
      </c>
    </row>
    <row r="868" spans="1:21" x14ac:dyDescent="0.2">
      <c r="A868" s="38">
        <v>37966</v>
      </c>
      <c r="B868" s="4">
        <v>0.55259999999999998</v>
      </c>
      <c r="C868" s="4">
        <v>0.23680000000000001</v>
      </c>
      <c r="D868" s="4">
        <v>0.21049999999999999</v>
      </c>
      <c r="E868" s="50">
        <v>0.99990000000000001</v>
      </c>
      <c r="F868" s="50">
        <v>0.57467500000000005</v>
      </c>
      <c r="G868" s="50">
        <v>0.34210000000000002</v>
      </c>
      <c r="H868" s="50">
        <v>0.38490743662900001</v>
      </c>
      <c r="I868" s="50">
        <v>0.48829287047999997</v>
      </c>
      <c r="J868" s="50">
        <v>0.28152200277799999</v>
      </c>
      <c r="K868" s="50">
        <v>1074.76</v>
      </c>
      <c r="L868" s="50">
        <v>1053.4100000000001</v>
      </c>
      <c r="M868" s="50">
        <v>1074.1400000000001</v>
      </c>
      <c r="N868" s="66">
        <f t="shared" si="104"/>
        <v>2.1784869756269368E-3</v>
      </c>
      <c r="O868" s="66">
        <f t="shared" si="105"/>
        <v>4.8587707375202321E-2</v>
      </c>
      <c r="P868" s="4">
        <f t="shared" si="106"/>
        <v>0.34209999999999996</v>
      </c>
      <c r="Q868" s="4">
        <f t="shared" si="107"/>
        <v>0.40264999999999995</v>
      </c>
      <c r="R868" s="66">
        <f t="shared" si="108"/>
        <v>2.1784869756269368E-3</v>
      </c>
      <c r="S868" s="66">
        <f t="shared" si="109"/>
        <v>4.8587707375202321E-2</v>
      </c>
      <c r="T868" s="50">
        <f t="shared" si="110"/>
        <v>1</v>
      </c>
      <c r="U868" s="50">
        <f t="shared" si="111"/>
        <v>1</v>
      </c>
    </row>
    <row r="869" spans="1:21" x14ac:dyDescent="0.2">
      <c r="A869" s="38">
        <v>37973</v>
      </c>
      <c r="B869" s="4">
        <v>0.60199999999999998</v>
      </c>
      <c r="C869" s="4">
        <v>0.2041</v>
      </c>
      <c r="D869" s="4">
        <v>0.19389999999999999</v>
      </c>
      <c r="E869" s="50">
        <v>1</v>
      </c>
      <c r="F869" s="50">
        <v>0.58394999999999997</v>
      </c>
      <c r="G869" s="50">
        <v>0.40810000000000002</v>
      </c>
      <c r="H869" s="50">
        <v>0.38490743662900001</v>
      </c>
      <c r="I869" s="50">
        <v>0.48829287047999997</v>
      </c>
      <c r="J869" s="50">
        <v>0.28152200277799999</v>
      </c>
      <c r="K869" s="50">
        <v>1082.79</v>
      </c>
      <c r="L869" s="50">
        <v>1068</v>
      </c>
      <c r="M869" s="50">
        <v>1076.48</v>
      </c>
      <c r="N869" s="66">
        <f t="shared" si="104"/>
        <v>1.8030989892984618E-2</v>
      </c>
      <c r="O869" s="66">
        <f t="shared" si="105"/>
        <v>5.0200653983353119E-2</v>
      </c>
      <c r="P869" s="4">
        <f t="shared" si="106"/>
        <v>0.40810000000000002</v>
      </c>
      <c r="Q869" s="4">
        <f t="shared" si="107"/>
        <v>0.42402499999999999</v>
      </c>
      <c r="R869" s="66">
        <f t="shared" si="108"/>
        <v>1.8030989892984618E-2</v>
      </c>
      <c r="S869" s="66">
        <f t="shared" si="109"/>
        <v>5.0200653983353119E-2</v>
      </c>
      <c r="T869" s="50">
        <f t="shared" si="110"/>
        <v>1</v>
      </c>
      <c r="U869" s="50">
        <f t="shared" si="111"/>
        <v>1</v>
      </c>
    </row>
    <row r="870" spans="1:21" x14ac:dyDescent="0.2">
      <c r="A870" s="38">
        <v>37981</v>
      </c>
      <c r="B870" s="4">
        <v>0.6552</v>
      </c>
      <c r="C870" s="4">
        <v>0.1724</v>
      </c>
      <c r="D870" s="4">
        <v>0.1724</v>
      </c>
      <c r="E870" s="50">
        <v>1</v>
      </c>
      <c r="F870" s="50">
        <v>0.59358750000000005</v>
      </c>
      <c r="G870" s="50">
        <v>0.48280000000000001</v>
      </c>
      <c r="H870" s="50">
        <v>0.38490743662900001</v>
      </c>
      <c r="I870" s="50">
        <v>0.48829287047999997</v>
      </c>
      <c r="J870" s="50">
        <v>0.28152200277799999</v>
      </c>
      <c r="K870" s="50">
        <v>1098.47</v>
      </c>
      <c r="L870" s="50">
        <v>1086.1400000000001</v>
      </c>
      <c r="M870" s="50">
        <v>1095.8900000000001</v>
      </c>
      <c r="N870" s="66">
        <f t="shared" si="104"/>
        <v>1.1488379308142165E-2</v>
      </c>
      <c r="O870" s="66">
        <f t="shared" si="105"/>
        <v>4.7203642701365817E-2</v>
      </c>
      <c r="P870" s="4">
        <f t="shared" si="106"/>
        <v>0.48280000000000001</v>
      </c>
      <c r="Q870" s="4">
        <f t="shared" si="107"/>
        <v>0.44564999999999999</v>
      </c>
      <c r="R870" s="66">
        <f t="shared" si="108"/>
        <v>1.1488379308142165E-2</v>
      </c>
      <c r="S870" s="66">
        <f t="shared" si="109"/>
        <v>4.7203642701365817E-2</v>
      </c>
      <c r="T870" s="50">
        <f t="shared" si="110"/>
        <v>1</v>
      </c>
      <c r="U870" s="50">
        <f t="shared" si="111"/>
        <v>1</v>
      </c>
    </row>
    <row r="871" spans="1:21" x14ac:dyDescent="0.2">
      <c r="A871" s="38">
        <v>37987</v>
      </c>
      <c r="B871" s="4">
        <v>0.62409999999999999</v>
      </c>
      <c r="C871" s="4">
        <v>0.24110000000000001</v>
      </c>
      <c r="D871" s="4">
        <v>0.1348</v>
      </c>
      <c r="E871" s="50">
        <v>1</v>
      </c>
      <c r="F871" s="50">
        <v>0.59962499999999996</v>
      </c>
      <c r="G871" s="50">
        <v>0.48930000000000001</v>
      </c>
      <c r="H871" s="50">
        <v>0.38490743662900001</v>
      </c>
      <c r="I871" s="50">
        <v>0.48829287047999997</v>
      </c>
      <c r="J871" s="50">
        <v>0.28152200277799999</v>
      </c>
      <c r="K871" s="50">
        <v>1118.8499999999999</v>
      </c>
      <c r="L871" s="50">
        <v>1105.08</v>
      </c>
      <c r="M871" s="50">
        <v>1108.48</v>
      </c>
      <c r="N871" s="66">
        <f t="shared" si="104"/>
        <v>1.6103132217089988E-2</v>
      </c>
      <c r="O871" s="66">
        <f t="shared" si="105"/>
        <v>1.8042725173210161E-2</v>
      </c>
      <c r="P871" s="4">
        <f t="shared" si="106"/>
        <v>0.48929999999999996</v>
      </c>
      <c r="Q871" s="4">
        <f t="shared" si="107"/>
        <v>0.43057500000000004</v>
      </c>
      <c r="R871" s="66">
        <f t="shared" si="108"/>
        <v>1.6103132217089988E-2</v>
      </c>
      <c r="S871" s="66">
        <f t="shared" si="109"/>
        <v>1.8042725173210161E-2</v>
      </c>
      <c r="T871" s="50">
        <f t="shared" si="110"/>
        <v>1</v>
      </c>
      <c r="U871" s="50">
        <f t="shared" si="111"/>
        <v>1</v>
      </c>
    </row>
    <row r="872" spans="1:21" x14ac:dyDescent="0.2">
      <c r="A872" s="38">
        <v>37994</v>
      </c>
      <c r="B872" s="4">
        <v>0.67159999999999997</v>
      </c>
      <c r="C872" s="4">
        <v>0.14929999999999999</v>
      </c>
      <c r="D872" s="4">
        <v>0.17910000000000001</v>
      </c>
      <c r="E872" s="50">
        <v>1</v>
      </c>
      <c r="F872" s="50">
        <v>0.61691249999999997</v>
      </c>
      <c r="G872" s="50">
        <v>0.49249999999999999</v>
      </c>
      <c r="H872" s="50">
        <v>0.38490743662900001</v>
      </c>
      <c r="I872" s="50">
        <v>0.48829287047999997</v>
      </c>
      <c r="J872" s="50">
        <v>0.28152200277799999</v>
      </c>
      <c r="K872" s="50">
        <v>1126.33</v>
      </c>
      <c r="L872" s="50">
        <v>1108.48</v>
      </c>
      <c r="M872" s="50">
        <v>1126.33</v>
      </c>
      <c r="N872" s="66">
        <f t="shared" si="104"/>
        <v>3.720046522777565E-3</v>
      </c>
      <c r="O872" s="66">
        <f t="shared" si="105"/>
        <v>1.6868946046012676E-4</v>
      </c>
      <c r="P872" s="4">
        <f t="shared" si="106"/>
        <v>0.49249999999999994</v>
      </c>
      <c r="Q872" s="4">
        <f t="shared" si="107"/>
        <v>0.46817499999999995</v>
      </c>
      <c r="R872" s="66">
        <f t="shared" si="108"/>
        <v>3.720046522777565E-3</v>
      </c>
      <c r="S872" s="66">
        <f t="shared" si="109"/>
        <v>1.6868946046012676E-4</v>
      </c>
      <c r="T872" s="50">
        <f t="shared" si="110"/>
        <v>1</v>
      </c>
      <c r="U872" s="50">
        <f t="shared" si="111"/>
        <v>1</v>
      </c>
    </row>
    <row r="873" spans="1:21" x14ac:dyDescent="0.2">
      <c r="A873" s="38">
        <v>38001</v>
      </c>
      <c r="B873" s="4">
        <v>0.66290000000000004</v>
      </c>
      <c r="C873" s="4">
        <v>0.23599999999999999</v>
      </c>
      <c r="D873" s="4">
        <v>0.1011</v>
      </c>
      <c r="E873" s="50">
        <v>1</v>
      </c>
      <c r="F873" s="50">
        <v>0.63323750000000001</v>
      </c>
      <c r="G873" s="50">
        <v>0.56179999999999997</v>
      </c>
      <c r="H873" s="50">
        <v>0.38490743662900001</v>
      </c>
      <c r="I873" s="50">
        <v>0.48829287047999997</v>
      </c>
      <c r="J873" s="50">
        <v>0.28152200277799999</v>
      </c>
      <c r="K873" s="50">
        <v>1130.75</v>
      </c>
      <c r="L873" s="50">
        <v>1115.19</v>
      </c>
      <c r="M873" s="50">
        <v>1130.52</v>
      </c>
      <c r="N873" s="66">
        <f t="shared" si="104"/>
        <v>1.5125782825602297E-2</v>
      </c>
      <c r="O873" s="66">
        <f t="shared" si="105"/>
        <v>2.4095106676573622E-2</v>
      </c>
      <c r="P873" s="4">
        <f t="shared" si="106"/>
        <v>0.56180000000000008</v>
      </c>
      <c r="Q873" s="4">
        <f t="shared" si="107"/>
        <v>0.50659999999999994</v>
      </c>
      <c r="R873" s="66">
        <f t="shared" si="108"/>
        <v>1.5125782825602297E-2</v>
      </c>
      <c r="S873" s="66">
        <f t="shared" si="109"/>
        <v>2.4095106676573622E-2</v>
      </c>
      <c r="T873" s="50">
        <f t="shared" si="110"/>
        <v>1</v>
      </c>
      <c r="U873" s="50">
        <f t="shared" si="111"/>
        <v>1</v>
      </c>
    </row>
    <row r="874" spans="1:21" x14ac:dyDescent="0.2">
      <c r="A874" s="38">
        <v>38008</v>
      </c>
      <c r="B874" s="4">
        <v>0.69510000000000005</v>
      </c>
      <c r="C874" s="4">
        <v>0.17069999999999999</v>
      </c>
      <c r="D874" s="4">
        <v>0.1341</v>
      </c>
      <c r="E874" s="50">
        <v>0.99990000000000001</v>
      </c>
      <c r="F874" s="50">
        <v>0.64464999999999995</v>
      </c>
      <c r="G874" s="50">
        <v>0.56100000000000005</v>
      </c>
      <c r="H874" s="50">
        <v>0.38490743662900001</v>
      </c>
      <c r="I874" s="50">
        <v>0.48829287047999997</v>
      </c>
      <c r="J874" s="50">
        <v>0.28152200277799999</v>
      </c>
      <c r="K874" s="50">
        <v>1149.21</v>
      </c>
      <c r="L874" s="50">
        <v>1134.6199999999999</v>
      </c>
      <c r="M874" s="50">
        <v>1147.6199999999999</v>
      </c>
      <c r="N874" s="66">
        <f t="shared" si="104"/>
        <v>-1.6677994458095775E-2</v>
      </c>
      <c r="O874" s="66">
        <f t="shared" si="105"/>
        <v>3.6597480002091686E-3</v>
      </c>
      <c r="P874" s="4">
        <f t="shared" si="106"/>
        <v>0.56100000000000005</v>
      </c>
      <c r="Q874" s="4">
        <f t="shared" si="107"/>
        <v>0.52615000000000001</v>
      </c>
      <c r="R874" s="66">
        <f t="shared" si="108"/>
        <v>-1.6677994458095775E-2</v>
      </c>
      <c r="S874" s="66">
        <f t="shared" si="109"/>
        <v>3.6597480002091686E-3</v>
      </c>
      <c r="T874" s="50" t="str">
        <f t="shared" si="110"/>
        <v/>
      </c>
      <c r="U874" s="50">
        <f t="shared" si="111"/>
        <v>1</v>
      </c>
    </row>
    <row r="875" spans="1:21" x14ac:dyDescent="0.2">
      <c r="A875" s="38">
        <v>38015</v>
      </c>
      <c r="B875" s="4">
        <v>0.56879999999999997</v>
      </c>
      <c r="C875" s="4">
        <v>0.28129999999999999</v>
      </c>
      <c r="D875" s="4">
        <v>0.15</v>
      </c>
      <c r="E875" s="50">
        <v>1.0001</v>
      </c>
      <c r="F875" s="50">
        <v>0.62903750000000003</v>
      </c>
      <c r="G875" s="50">
        <v>0.41880000000000001</v>
      </c>
      <c r="H875" s="50">
        <v>0.38490743662900001</v>
      </c>
      <c r="I875" s="50">
        <v>0.48829287047999997</v>
      </c>
      <c r="J875" s="50">
        <v>0.28152200277799999</v>
      </c>
      <c r="K875" s="50">
        <v>1155.3800000000001</v>
      </c>
      <c r="L875" s="50">
        <v>1126.5</v>
      </c>
      <c r="M875" s="50">
        <v>1128.48</v>
      </c>
      <c r="N875" s="66">
        <f t="shared" si="104"/>
        <v>-1.7368495675599358E-3</v>
      </c>
      <c r="O875" s="66">
        <f t="shared" si="105"/>
        <v>1.3460584148589302E-2</v>
      </c>
      <c r="P875" s="4">
        <f t="shared" si="106"/>
        <v>0.41879999999999995</v>
      </c>
      <c r="Q875" s="4">
        <f t="shared" si="107"/>
        <v>0.508525</v>
      </c>
      <c r="R875" s="66">
        <f t="shared" si="108"/>
        <v>-1.7368495675599358E-3</v>
      </c>
      <c r="S875" s="66">
        <f t="shared" si="109"/>
        <v>1.3460584148589302E-2</v>
      </c>
      <c r="T875" s="50" t="str">
        <f t="shared" si="110"/>
        <v/>
      </c>
      <c r="U875" s="50">
        <f t="shared" si="111"/>
        <v>1</v>
      </c>
    </row>
    <row r="876" spans="1:21" x14ac:dyDescent="0.2">
      <c r="A876" s="38">
        <v>38022</v>
      </c>
      <c r="B876" s="4">
        <v>0.5091</v>
      </c>
      <c r="C876" s="4">
        <v>0.2727</v>
      </c>
      <c r="D876" s="4">
        <v>0.21820000000000001</v>
      </c>
      <c r="E876" s="50">
        <v>1</v>
      </c>
      <c r="F876" s="50">
        <v>0.62360000000000004</v>
      </c>
      <c r="G876" s="50">
        <v>0.29089999999999999</v>
      </c>
      <c r="H876" s="50">
        <v>0.38490743662900001</v>
      </c>
      <c r="I876" s="50">
        <v>0.48829287047999997</v>
      </c>
      <c r="J876" s="50">
        <v>0.28152200277799999</v>
      </c>
      <c r="K876" s="50">
        <v>1142.45</v>
      </c>
      <c r="L876" s="50">
        <v>1124.74</v>
      </c>
      <c r="M876" s="50">
        <v>1126.52</v>
      </c>
      <c r="N876" s="66">
        <f t="shared" si="104"/>
        <v>2.7731420658310559E-2</v>
      </c>
      <c r="O876" s="66">
        <f t="shared" si="105"/>
        <v>2.1757270177182819E-2</v>
      </c>
      <c r="P876" s="4">
        <f t="shared" si="106"/>
        <v>0.29089999999999999</v>
      </c>
      <c r="Q876" s="4">
        <f t="shared" si="107"/>
        <v>0.45812500000000006</v>
      </c>
      <c r="R876" s="66">
        <f t="shared" si="108"/>
        <v>2.7731420658310559E-2</v>
      </c>
      <c r="S876" s="66">
        <f t="shared" si="109"/>
        <v>2.1757270177182819E-2</v>
      </c>
      <c r="T876" s="50">
        <f t="shared" si="110"/>
        <v>1</v>
      </c>
      <c r="U876" s="50">
        <f t="shared" si="111"/>
        <v>1</v>
      </c>
    </row>
    <row r="877" spans="1:21" x14ac:dyDescent="0.2">
      <c r="A877" s="38">
        <v>38029</v>
      </c>
      <c r="B877" s="4">
        <v>0.56100000000000005</v>
      </c>
      <c r="C877" s="4">
        <v>0.29270000000000002</v>
      </c>
      <c r="D877" s="4">
        <v>0.14630000000000001</v>
      </c>
      <c r="E877" s="50">
        <v>1</v>
      </c>
      <c r="F877" s="50">
        <v>0.618475</v>
      </c>
      <c r="G877" s="50">
        <v>0.41470000000000001</v>
      </c>
      <c r="H877" s="50">
        <v>0.38490743662900001</v>
      </c>
      <c r="I877" s="50">
        <v>0.48829287047999997</v>
      </c>
      <c r="J877" s="50">
        <v>0.28152200277799999</v>
      </c>
      <c r="K877" s="50">
        <v>1158.8900000000001</v>
      </c>
      <c r="L877" s="50">
        <v>1138.7</v>
      </c>
      <c r="M877" s="50">
        <v>1157.76</v>
      </c>
      <c r="N877" s="66">
        <f t="shared" si="104"/>
        <v>-5.13059701492542E-3</v>
      </c>
      <c r="O877" s="66">
        <f t="shared" si="105"/>
        <v>-2.9254767827528928E-2</v>
      </c>
      <c r="P877" s="4">
        <f t="shared" si="106"/>
        <v>0.41470000000000007</v>
      </c>
      <c r="Q877" s="4">
        <f t="shared" si="107"/>
        <v>0.42135</v>
      </c>
      <c r="R877" s="66">
        <f t="shared" si="108"/>
        <v>-5.13059701492542E-3</v>
      </c>
      <c r="S877" s="66">
        <f t="shared" si="109"/>
        <v>-2.9254767827528928E-2</v>
      </c>
      <c r="T877" s="50" t="str">
        <f t="shared" si="110"/>
        <v/>
      </c>
      <c r="U877" s="50" t="str">
        <f t="shared" si="111"/>
        <v/>
      </c>
    </row>
    <row r="878" spans="1:21" x14ac:dyDescent="0.2">
      <c r="A878" s="38">
        <v>38036</v>
      </c>
      <c r="B878" s="4">
        <v>0.5645</v>
      </c>
      <c r="C878" s="4">
        <v>0.2258</v>
      </c>
      <c r="D878" s="4">
        <v>0.2097</v>
      </c>
      <c r="E878" s="50">
        <v>1</v>
      </c>
      <c r="F878" s="50">
        <v>0.6071375</v>
      </c>
      <c r="G878" s="50">
        <v>0.3548</v>
      </c>
      <c r="H878" s="50">
        <v>0.38490743662900001</v>
      </c>
      <c r="I878" s="50">
        <v>0.48829287047999997</v>
      </c>
      <c r="J878" s="50">
        <v>0.28152200277799999</v>
      </c>
      <c r="K878" s="50">
        <v>1158.98</v>
      </c>
      <c r="L878" s="50">
        <v>1145.81</v>
      </c>
      <c r="M878" s="50">
        <v>1151.82</v>
      </c>
      <c r="N878" s="66">
        <f t="shared" si="104"/>
        <v>-7.0757583650221945E-3</v>
      </c>
      <c r="O878" s="66">
        <f t="shared" si="105"/>
        <v>-2.4370127276831396E-2</v>
      </c>
      <c r="P878" s="4">
        <f t="shared" si="106"/>
        <v>0.3548</v>
      </c>
      <c r="Q878" s="4">
        <f t="shared" si="107"/>
        <v>0.36980000000000002</v>
      </c>
      <c r="R878" s="66">
        <f t="shared" si="108"/>
        <v>-7.0757583650221945E-3</v>
      </c>
      <c r="S878" s="66">
        <f t="shared" si="109"/>
        <v>-2.4370127276831396E-2</v>
      </c>
      <c r="T878" s="50" t="str">
        <f t="shared" si="110"/>
        <v/>
      </c>
      <c r="U878" s="50" t="str">
        <f t="shared" si="111"/>
        <v/>
      </c>
    </row>
    <row r="879" spans="1:21" x14ac:dyDescent="0.2">
      <c r="A879" s="38">
        <v>38043</v>
      </c>
      <c r="B879" s="4">
        <v>0.4158</v>
      </c>
      <c r="C879" s="4">
        <v>0.27889999999999998</v>
      </c>
      <c r="D879" s="4">
        <v>0.30530000000000002</v>
      </c>
      <c r="E879" s="50">
        <v>1</v>
      </c>
      <c r="F879" s="50">
        <v>0.58109999999999995</v>
      </c>
      <c r="G879" s="50">
        <v>0.1105</v>
      </c>
      <c r="H879" s="50">
        <v>0.38490743662900001</v>
      </c>
      <c r="I879" s="50">
        <v>0.48829287047999997</v>
      </c>
      <c r="J879" s="50">
        <v>0.28152200277799999</v>
      </c>
      <c r="K879" s="50">
        <v>1146.69</v>
      </c>
      <c r="L879" s="50">
        <v>1134.43</v>
      </c>
      <c r="M879" s="50">
        <v>1143.67</v>
      </c>
      <c r="N879" s="66">
        <f t="shared" si="104"/>
        <v>6.4354228055294796E-3</v>
      </c>
      <c r="O879" s="66">
        <f t="shared" si="105"/>
        <v>-4.5764949679540548E-2</v>
      </c>
      <c r="P879" s="4">
        <f t="shared" si="106"/>
        <v>0.11049999999999999</v>
      </c>
      <c r="Q879" s="4">
        <f t="shared" si="107"/>
        <v>0.29272500000000001</v>
      </c>
      <c r="R879" s="66">
        <f t="shared" si="108"/>
        <v>6.4354228055294796E-3</v>
      </c>
      <c r="S879" s="66">
        <f t="shared" si="109"/>
        <v>-4.5764949679540548E-2</v>
      </c>
      <c r="T879" s="50">
        <f t="shared" si="110"/>
        <v>1</v>
      </c>
      <c r="U879" s="50" t="str">
        <f t="shared" si="111"/>
        <v/>
      </c>
    </row>
    <row r="880" spans="1:21" x14ac:dyDescent="0.2">
      <c r="A880" s="38">
        <v>38050</v>
      </c>
      <c r="B880" s="4">
        <v>0.4783</v>
      </c>
      <c r="C880" s="4">
        <v>0.39129999999999998</v>
      </c>
      <c r="D880" s="4">
        <v>0.13039999999999999</v>
      </c>
      <c r="E880" s="50">
        <v>1</v>
      </c>
      <c r="F880" s="50">
        <v>0.55693749999999997</v>
      </c>
      <c r="G880" s="50">
        <v>0.34789999999999999</v>
      </c>
      <c r="H880" s="50">
        <v>0.38490743662900001</v>
      </c>
      <c r="I880" s="50">
        <v>0.48829287047999997</v>
      </c>
      <c r="J880" s="50">
        <v>0.28152200277799999</v>
      </c>
      <c r="K880" s="50">
        <v>1157.45</v>
      </c>
      <c r="L880" s="50">
        <v>1143.78</v>
      </c>
      <c r="M880" s="50">
        <v>1151.03</v>
      </c>
      <c r="N880" s="66">
        <f t="shared" si="104"/>
        <v>-2.3578881523504923E-2</v>
      </c>
      <c r="O880" s="66">
        <f t="shared" si="105"/>
        <v>-2.1563295483175884E-2</v>
      </c>
      <c r="P880" s="4">
        <f t="shared" si="106"/>
        <v>0.34789999999999999</v>
      </c>
      <c r="Q880" s="4">
        <f t="shared" si="107"/>
        <v>0.306975</v>
      </c>
      <c r="R880" s="66">
        <f t="shared" si="108"/>
        <v>-2.3578881523504923E-2</v>
      </c>
      <c r="S880" s="66">
        <f t="shared" si="109"/>
        <v>-2.1563295483175884E-2</v>
      </c>
      <c r="T880" s="50" t="str">
        <f t="shared" si="110"/>
        <v/>
      </c>
      <c r="U880" s="50" t="str">
        <f t="shared" si="111"/>
        <v/>
      </c>
    </row>
    <row r="881" spans="1:21" x14ac:dyDescent="0.2">
      <c r="A881" s="38">
        <v>38057</v>
      </c>
      <c r="B881" s="4">
        <v>0.41289999999999999</v>
      </c>
      <c r="C881" s="4">
        <v>0.25159999999999999</v>
      </c>
      <c r="D881" s="4">
        <v>0.33550000000000002</v>
      </c>
      <c r="E881" s="50">
        <v>1</v>
      </c>
      <c r="F881" s="50">
        <v>0.52568749999999997</v>
      </c>
      <c r="G881" s="50">
        <v>7.7399999999999997E-2</v>
      </c>
      <c r="H881" s="50">
        <v>0.38490743662900001</v>
      </c>
      <c r="I881" s="50">
        <v>0.48829287047999997</v>
      </c>
      <c r="J881" s="50">
        <v>0.28152200277799999</v>
      </c>
      <c r="K881" s="50">
        <v>1159.94</v>
      </c>
      <c r="L881" s="50">
        <v>1122.53</v>
      </c>
      <c r="M881" s="50">
        <v>1123.8900000000001</v>
      </c>
      <c r="N881" s="66">
        <f t="shared" si="104"/>
        <v>-1.245673508974188E-4</v>
      </c>
      <c r="O881" s="66">
        <f t="shared" si="105"/>
        <v>1.4805719420939657E-2</v>
      </c>
      <c r="P881" s="4">
        <f t="shared" si="106"/>
        <v>7.7399999999999969E-2</v>
      </c>
      <c r="Q881" s="4">
        <f t="shared" si="107"/>
        <v>0.22264999999999996</v>
      </c>
      <c r="R881" s="66">
        <f t="shared" si="108"/>
        <v>-1.245673508974188E-4</v>
      </c>
      <c r="S881" s="66">
        <f t="shared" si="109"/>
        <v>1.4805719420939657E-2</v>
      </c>
      <c r="T881" s="50" t="str">
        <f t="shared" si="110"/>
        <v/>
      </c>
      <c r="U881" s="50">
        <f t="shared" si="111"/>
        <v>1</v>
      </c>
    </row>
    <row r="882" spans="1:21" x14ac:dyDescent="0.2">
      <c r="A882" s="38">
        <v>38064</v>
      </c>
      <c r="B882" s="4">
        <v>0.38600000000000001</v>
      </c>
      <c r="C882" s="4">
        <v>0.35089999999999999</v>
      </c>
      <c r="D882" s="4">
        <v>0.26319999999999999</v>
      </c>
      <c r="E882" s="50">
        <v>1.0001</v>
      </c>
      <c r="F882" s="50">
        <v>0.48704999999999998</v>
      </c>
      <c r="G882" s="50">
        <v>0.12280000000000001</v>
      </c>
      <c r="H882" s="50">
        <v>0.38490743662900001</v>
      </c>
      <c r="I882" s="50">
        <v>0.48829287047999997</v>
      </c>
      <c r="J882" s="50">
        <v>0.28152200277799999</v>
      </c>
      <c r="K882" s="50">
        <v>1125.76</v>
      </c>
      <c r="L882" s="50">
        <v>1102.6099999999999</v>
      </c>
      <c r="M882" s="50">
        <v>1123.75</v>
      </c>
      <c r="N882" s="66">
        <f t="shared" si="104"/>
        <v>-2.8849833147942223E-2</v>
      </c>
      <c r="O882" s="66">
        <f t="shared" si="105"/>
        <v>3.933259176863246E-3</v>
      </c>
      <c r="P882" s="4">
        <f t="shared" si="106"/>
        <v>0.12280000000000002</v>
      </c>
      <c r="Q882" s="4">
        <f t="shared" si="107"/>
        <v>0.16464999999999999</v>
      </c>
      <c r="R882" s="66">
        <f t="shared" si="108"/>
        <v>-2.8849833147942223E-2</v>
      </c>
      <c r="S882" s="66">
        <f t="shared" si="109"/>
        <v>3.933259176863246E-3</v>
      </c>
      <c r="T882" s="50" t="str">
        <f t="shared" si="110"/>
        <v/>
      </c>
      <c r="U882" s="50">
        <f t="shared" si="111"/>
        <v>1</v>
      </c>
    </row>
    <row r="883" spans="1:21" x14ac:dyDescent="0.2">
      <c r="A883" s="38">
        <v>38071</v>
      </c>
      <c r="B883" s="4">
        <v>0.31480000000000002</v>
      </c>
      <c r="C883" s="4">
        <v>0.25929999999999997</v>
      </c>
      <c r="D883" s="4">
        <v>0.4259</v>
      </c>
      <c r="E883" s="50">
        <v>1</v>
      </c>
      <c r="F883" s="50">
        <v>0.45529999999999998</v>
      </c>
      <c r="G883" s="50">
        <v>-0.1111</v>
      </c>
      <c r="H883" s="50">
        <v>0.38490743662900001</v>
      </c>
      <c r="I883" s="50">
        <v>0.48829287047999997</v>
      </c>
      <c r="J883" s="50">
        <v>0.28152200277799999</v>
      </c>
      <c r="K883" s="50">
        <v>1109.78</v>
      </c>
      <c r="L883" s="50">
        <v>1087.1600000000001</v>
      </c>
      <c r="M883" s="50">
        <v>1091.33</v>
      </c>
      <c r="N883" s="66">
        <f t="shared" si="104"/>
        <v>3.1961001713505639E-2</v>
      </c>
      <c r="O883" s="66">
        <f t="shared" si="105"/>
        <v>3.0018417893762649E-2</v>
      </c>
      <c r="P883" s="4">
        <f t="shared" si="106"/>
        <v>-0.11109999999999998</v>
      </c>
      <c r="Q883" s="4">
        <f t="shared" si="107"/>
        <v>0.10925000000000001</v>
      </c>
      <c r="R883" s="66">
        <f t="shared" si="108"/>
        <v>3.1961001713505639E-2</v>
      </c>
      <c r="S883" s="66">
        <f t="shared" si="109"/>
        <v>3.0018417893762649E-2</v>
      </c>
      <c r="T883" s="50">
        <f t="shared" si="110"/>
        <v>1</v>
      </c>
      <c r="U883" s="50">
        <f t="shared" si="111"/>
        <v>1</v>
      </c>
    </row>
    <row r="884" spans="1:21" x14ac:dyDescent="0.2">
      <c r="A884" s="38">
        <v>38078</v>
      </c>
      <c r="B884" s="4">
        <v>0.55169999999999997</v>
      </c>
      <c r="C884" s="4">
        <v>0.22409999999999999</v>
      </c>
      <c r="D884" s="4">
        <v>0.22409999999999999</v>
      </c>
      <c r="E884" s="50">
        <v>0.99990000000000001</v>
      </c>
      <c r="F884" s="50">
        <v>0.46062500000000001</v>
      </c>
      <c r="G884" s="50">
        <v>0.3276</v>
      </c>
      <c r="H884" s="50">
        <v>0.38490743662900001</v>
      </c>
      <c r="I884" s="50">
        <v>0.48829287047999997</v>
      </c>
      <c r="J884" s="50">
        <v>0.28152200277799999</v>
      </c>
      <c r="K884" s="50">
        <v>1130.83</v>
      </c>
      <c r="L884" s="50">
        <v>1108.06</v>
      </c>
      <c r="M884" s="50">
        <v>1126.21</v>
      </c>
      <c r="N884" s="66">
        <f t="shared" si="104"/>
        <v>1.2715212970937868E-2</v>
      </c>
      <c r="O884" s="66">
        <f t="shared" si="105"/>
        <v>-3.3741486934052746E-3</v>
      </c>
      <c r="P884" s="4">
        <f t="shared" si="106"/>
        <v>0.3276</v>
      </c>
      <c r="Q884" s="4">
        <f t="shared" si="107"/>
        <v>0.104175</v>
      </c>
      <c r="R884" s="66">
        <f t="shared" si="108"/>
        <v>1.2715212970937868E-2</v>
      </c>
      <c r="S884" s="66">
        <f t="shared" si="109"/>
        <v>-3.3741486934052746E-3</v>
      </c>
      <c r="T884" s="50">
        <f t="shared" si="110"/>
        <v>1</v>
      </c>
      <c r="U884" s="50" t="str">
        <f t="shared" si="111"/>
        <v/>
      </c>
    </row>
    <row r="885" spans="1:21" x14ac:dyDescent="0.2">
      <c r="A885" s="38">
        <v>38085</v>
      </c>
      <c r="B885" s="4">
        <v>0.58779999999999999</v>
      </c>
      <c r="C885" s="4">
        <v>0.20949999999999999</v>
      </c>
      <c r="D885" s="4">
        <v>0.20269999999999999</v>
      </c>
      <c r="E885" s="50">
        <v>1</v>
      </c>
      <c r="F885" s="50">
        <v>0.46397500000000003</v>
      </c>
      <c r="G885" s="50">
        <v>0.3851</v>
      </c>
      <c r="H885" s="50">
        <v>0.38490743662900001</v>
      </c>
      <c r="I885" s="50">
        <v>0.48829287047999997</v>
      </c>
      <c r="J885" s="50">
        <v>0.28152200277799999</v>
      </c>
      <c r="K885" s="50">
        <v>1150.57</v>
      </c>
      <c r="L885" s="50">
        <v>1138.4100000000001</v>
      </c>
      <c r="M885" s="50">
        <v>1140.53</v>
      </c>
      <c r="N885" s="66">
        <f t="shared" si="104"/>
        <v>-1.0837066977633118E-2</v>
      </c>
      <c r="O885" s="66">
        <f t="shared" si="105"/>
        <v>-1.6658921729371431E-2</v>
      </c>
      <c r="P885" s="4">
        <f t="shared" si="106"/>
        <v>0.3851</v>
      </c>
      <c r="Q885" s="4">
        <f t="shared" si="107"/>
        <v>0.18110000000000001</v>
      </c>
      <c r="R885" s="66">
        <f t="shared" si="108"/>
        <v>-1.0837066977633118E-2</v>
      </c>
      <c r="S885" s="66">
        <f t="shared" si="109"/>
        <v>-1.6658921729371431E-2</v>
      </c>
      <c r="T885" s="50" t="str">
        <f t="shared" si="110"/>
        <v/>
      </c>
      <c r="U885" s="50" t="str">
        <f t="shared" si="111"/>
        <v/>
      </c>
    </row>
    <row r="886" spans="1:21" x14ac:dyDescent="0.2">
      <c r="A886" s="38">
        <v>38092</v>
      </c>
      <c r="B886" s="4">
        <v>0.63749999999999996</v>
      </c>
      <c r="C886" s="4">
        <v>0.22500000000000001</v>
      </c>
      <c r="D886" s="4">
        <v>0.13750000000000001</v>
      </c>
      <c r="E886" s="50">
        <v>1</v>
      </c>
      <c r="F886" s="50">
        <v>0.47310000000000002</v>
      </c>
      <c r="G886" s="50">
        <v>0.5</v>
      </c>
      <c r="H886" s="50">
        <v>0.38490743662900001</v>
      </c>
      <c r="I886" s="50">
        <v>0.48829287047999997</v>
      </c>
      <c r="J886" s="50">
        <v>0.28152200277799999</v>
      </c>
      <c r="K886" s="50">
        <v>1147.78</v>
      </c>
      <c r="L886" s="50">
        <v>1122.1500000000001</v>
      </c>
      <c r="M886" s="50">
        <v>1128.17</v>
      </c>
      <c r="N886" s="66">
        <f t="shared" si="104"/>
        <v>-3.6164762402830729E-3</v>
      </c>
      <c r="O886" s="66">
        <f t="shared" si="105"/>
        <v>-2.7380625260377513E-2</v>
      </c>
      <c r="P886" s="4">
        <f t="shared" si="106"/>
        <v>0.49999999999999994</v>
      </c>
      <c r="Q886" s="4">
        <f t="shared" si="107"/>
        <v>0.27539999999999998</v>
      </c>
      <c r="R886" s="66">
        <f t="shared" si="108"/>
        <v>-3.6164762402830729E-3</v>
      </c>
      <c r="S886" s="66">
        <f t="shared" si="109"/>
        <v>-2.7380625260377513E-2</v>
      </c>
      <c r="T886" s="50" t="str">
        <f t="shared" si="110"/>
        <v/>
      </c>
      <c r="U886" s="50" t="str">
        <f t="shared" si="111"/>
        <v/>
      </c>
    </row>
    <row r="887" spans="1:21" x14ac:dyDescent="0.2">
      <c r="A887" s="38">
        <v>38099</v>
      </c>
      <c r="B887" s="4">
        <v>0.5</v>
      </c>
      <c r="C887" s="4">
        <v>0.27500000000000002</v>
      </c>
      <c r="D887" s="4">
        <v>0.22500000000000001</v>
      </c>
      <c r="E887" s="50">
        <v>1</v>
      </c>
      <c r="F887" s="50">
        <v>0.48362500000000003</v>
      </c>
      <c r="G887" s="50">
        <v>0.27500000000000002</v>
      </c>
      <c r="H887" s="50">
        <v>0.38490743662900001</v>
      </c>
      <c r="I887" s="50">
        <v>0.48829287047999997</v>
      </c>
      <c r="J887" s="50">
        <v>0.28152200277799999</v>
      </c>
      <c r="K887" s="50">
        <v>1139.26</v>
      </c>
      <c r="L887" s="50">
        <v>1116.03</v>
      </c>
      <c r="M887" s="50">
        <v>1124.0899999999999</v>
      </c>
      <c r="N887" s="66">
        <f t="shared" si="104"/>
        <v>-1.4945422519547691E-3</v>
      </c>
      <c r="O887" s="66">
        <f t="shared" si="105"/>
        <v>-3.1501036393882922E-2</v>
      </c>
      <c r="P887" s="4">
        <f t="shared" si="106"/>
        <v>0.27500000000000002</v>
      </c>
      <c r="Q887" s="4">
        <f t="shared" si="107"/>
        <v>0.37192499999999995</v>
      </c>
      <c r="R887" s="66">
        <f t="shared" si="108"/>
        <v>-1.4945422519547691E-3</v>
      </c>
      <c r="S887" s="66">
        <f t="shared" si="109"/>
        <v>-3.1501036393882922E-2</v>
      </c>
      <c r="T887" s="50" t="str">
        <f t="shared" si="110"/>
        <v/>
      </c>
      <c r="U887" s="50" t="str">
        <f t="shared" si="111"/>
        <v/>
      </c>
    </row>
    <row r="888" spans="1:21" x14ac:dyDescent="0.2">
      <c r="A888" s="38">
        <v>38106</v>
      </c>
      <c r="B888" s="4">
        <v>0.5</v>
      </c>
      <c r="C888" s="4">
        <v>0.28789999999999999</v>
      </c>
      <c r="D888" s="4">
        <v>0.21210000000000001</v>
      </c>
      <c r="E888" s="50">
        <v>1</v>
      </c>
      <c r="F888" s="50">
        <v>0.48633749999999998</v>
      </c>
      <c r="G888" s="50">
        <v>0.28789999999999999</v>
      </c>
      <c r="H888" s="50">
        <v>0.38490743662900001</v>
      </c>
      <c r="I888" s="50">
        <v>0.48829287047999997</v>
      </c>
      <c r="J888" s="50">
        <v>0.28152200277799999</v>
      </c>
      <c r="K888" s="50">
        <v>1146.56</v>
      </c>
      <c r="L888" s="50">
        <v>1121.7</v>
      </c>
      <c r="M888" s="50">
        <v>1122.4100000000001</v>
      </c>
      <c r="N888" s="66">
        <f t="shared" si="104"/>
        <v>-7.8402722712743922E-4</v>
      </c>
      <c r="O888" s="66">
        <f t="shared" si="105"/>
        <v>-6.655322030274166E-3</v>
      </c>
      <c r="P888" s="4">
        <f t="shared" si="106"/>
        <v>0.28789999999999999</v>
      </c>
      <c r="Q888" s="4">
        <f t="shared" si="107"/>
        <v>0.36199999999999999</v>
      </c>
      <c r="R888" s="66">
        <f t="shared" si="108"/>
        <v>-7.8402722712743922E-4</v>
      </c>
      <c r="S888" s="66">
        <f t="shared" si="109"/>
        <v>-6.655322030274166E-3</v>
      </c>
      <c r="T888" s="50" t="str">
        <f t="shared" si="110"/>
        <v/>
      </c>
      <c r="U888" s="50" t="str">
        <f t="shared" si="111"/>
        <v/>
      </c>
    </row>
    <row r="889" spans="1:21" x14ac:dyDescent="0.2">
      <c r="A889" s="38">
        <v>38113</v>
      </c>
      <c r="B889" s="4">
        <v>0.38979999999999998</v>
      </c>
      <c r="C889" s="4">
        <v>0.33900000000000002</v>
      </c>
      <c r="D889" s="4">
        <v>0.2712</v>
      </c>
      <c r="E889" s="50">
        <v>1</v>
      </c>
      <c r="F889" s="50">
        <v>0.48344999999999999</v>
      </c>
      <c r="G889" s="50">
        <v>0.1186</v>
      </c>
      <c r="H889" s="50">
        <v>0.38490743662900001</v>
      </c>
      <c r="I889" s="50">
        <v>0.48829287047999997</v>
      </c>
      <c r="J889" s="50">
        <v>0.28152200277799999</v>
      </c>
      <c r="K889" s="50">
        <v>1127.74</v>
      </c>
      <c r="L889" s="50">
        <v>1107.3</v>
      </c>
      <c r="M889" s="50">
        <v>1121.53</v>
      </c>
      <c r="N889" s="66">
        <f t="shared" si="104"/>
        <v>-2.1622248178827137E-2</v>
      </c>
      <c r="O889" s="66">
        <f t="shared" si="105"/>
        <v>3.0850712865460902E-3</v>
      </c>
      <c r="P889" s="4">
        <f t="shared" si="106"/>
        <v>0.11859999999999998</v>
      </c>
      <c r="Q889" s="4">
        <f t="shared" si="107"/>
        <v>0.295375</v>
      </c>
      <c r="R889" s="66">
        <f t="shared" si="108"/>
        <v>-2.1622248178827137E-2</v>
      </c>
      <c r="S889" s="66">
        <f t="shared" si="109"/>
        <v>3.0850712865460902E-3</v>
      </c>
      <c r="T889" s="50" t="str">
        <f t="shared" si="110"/>
        <v/>
      </c>
      <c r="U889" s="50">
        <f t="shared" si="111"/>
        <v>1</v>
      </c>
    </row>
    <row r="890" spans="1:21" x14ac:dyDescent="0.2">
      <c r="A890" s="38">
        <v>38120</v>
      </c>
      <c r="B890" s="4">
        <v>0.32890000000000003</v>
      </c>
      <c r="C890" s="4">
        <v>0.23680000000000001</v>
      </c>
      <c r="D890" s="4">
        <v>0.43419999999999997</v>
      </c>
      <c r="E890" s="50">
        <v>0.99990000000000001</v>
      </c>
      <c r="F890" s="50">
        <v>0.47631250000000003</v>
      </c>
      <c r="G890" s="50">
        <v>-0.1053</v>
      </c>
      <c r="H890" s="50">
        <v>0.38490743662900001</v>
      </c>
      <c r="I890" s="50">
        <v>0.48829287047999997</v>
      </c>
      <c r="J890" s="50">
        <v>0.28152200277799999</v>
      </c>
      <c r="K890" s="50">
        <v>1098.7</v>
      </c>
      <c r="L890" s="50">
        <v>1076.32</v>
      </c>
      <c r="M890" s="50">
        <v>1097.28</v>
      </c>
      <c r="N890" s="66">
        <f t="shared" si="104"/>
        <v>-7.837561971420156E-3</v>
      </c>
      <c r="O890" s="66">
        <f t="shared" si="105"/>
        <v>3.1031277340332418E-2</v>
      </c>
      <c r="P890" s="4">
        <f t="shared" si="106"/>
        <v>-0.10529999999999995</v>
      </c>
      <c r="Q890" s="4">
        <f t="shared" si="107"/>
        <v>0.14405000000000001</v>
      </c>
      <c r="R890" s="66">
        <f t="shared" si="108"/>
        <v>-7.837561971420156E-3</v>
      </c>
      <c r="S890" s="66">
        <f t="shared" si="109"/>
        <v>3.1031277340332418E-2</v>
      </c>
      <c r="T890" s="50" t="str">
        <f t="shared" si="110"/>
        <v/>
      </c>
      <c r="U890" s="50">
        <f t="shared" si="111"/>
        <v>1</v>
      </c>
    </row>
    <row r="891" spans="1:21" x14ac:dyDescent="0.2">
      <c r="A891" s="38">
        <v>38127</v>
      </c>
      <c r="B891" s="4">
        <v>0.36670000000000003</v>
      </c>
      <c r="C891" s="4">
        <v>0.23330000000000001</v>
      </c>
      <c r="D891" s="4">
        <v>0.4</v>
      </c>
      <c r="E891" s="50">
        <v>1</v>
      </c>
      <c r="F891" s="50">
        <v>0.48280000000000001</v>
      </c>
      <c r="G891" s="50">
        <v>-3.3300000000000003E-2</v>
      </c>
      <c r="H891" s="50">
        <v>0.38490743662900001</v>
      </c>
      <c r="I891" s="50">
        <v>0.48829287047999997</v>
      </c>
      <c r="J891" s="50">
        <v>0.28152200277799999</v>
      </c>
      <c r="K891" s="50">
        <v>1105.93</v>
      </c>
      <c r="L891" s="50">
        <v>1079.3599999999999</v>
      </c>
      <c r="M891" s="50">
        <v>1088.68</v>
      </c>
      <c r="N891" s="66">
        <f t="shared" si="104"/>
        <v>2.4120953815629929E-2</v>
      </c>
      <c r="O891" s="66">
        <f t="shared" si="105"/>
        <v>4.1224234853216628E-2</v>
      </c>
      <c r="P891" s="4">
        <f t="shared" si="106"/>
        <v>-3.3299999999999996E-2</v>
      </c>
      <c r="Q891" s="4">
        <f t="shared" si="107"/>
        <v>6.6975000000000007E-2</v>
      </c>
      <c r="R891" s="66">
        <f t="shared" si="108"/>
        <v>2.4120953815629929E-2</v>
      </c>
      <c r="S891" s="66">
        <f t="shared" si="109"/>
        <v>4.1224234853216628E-2</v>
      </c>
      <c r="T891" s="50">
        <f t="shared" si="110"/>
        <v>1</v>
      </c>
      <c r="U891" s="50">
        <f t="shared" si="111"/>
        <v>1</v>
      </c>
    </row>
    <row r="892" spans="1:21" x14ac:dyDescent="0.2">
      <c r="A892" s="38">
        <v>38134</v>
      </c>
      <c r="B892" s="4">
        <v>0.36109999999999998</v>
      </c>
      <c r="C892" s="4">
        <v>0.2361</v>
      </c>
      <c r="D892" s="4">
        <v>0.40279999999999999</v>
      </c>
      <c r="E892" s="50">
        <v>1</v>
      </c>
      <c r="F892" s="50">
        <v>0.45897500000000002</v>
      </c>
      <c r="G892" s="50">
        <v>-4.1700000000000001E-2</v>
      </c>
      <c r="H892" s="50">
        <v>0.38490743662900001</v>
      </c>
      <c r="I892" s="50">
        <v>0.48829287047999997</v>
      </c>
      <c r="J892" s="50">
        <v>0.28152200277799999</v>
      </c>
      <c r="K892" s="50">
        <v>1116.71</v>
      </c>
      <c r="L892" s="50">
        <v>1090.74</v>
      </c>
      <c r="M892" s="50">
        <v>1114.94</v>
      </c>
      <c r="N892" s="66">
        <f t="shared" si="104"/>
        <v>9.0139379697561795E-3</v>
      </c>
      <c r="O892" s="66">
        <f t="shared" si="105"/>
        <v>2.6117997381024889E-2</v>
      </c>
      <c r="P892" s="4">
        <f t="shared" si="106"/>
        <v>-4.1700000000000015E-2</v>
      </c>
      <c r="Q892" s="4">
        <f t="shared" si="107"/>
        <v>-1.5424999999999994E-2</v>
      </c>
      <c r="R892" s="66">
        <f t="shared" si="108"/>
        <v>9.0139379697561795E-3</v>
      </c>
      <c r="S892" s="66">
        <f t="shared" si="109"/>
        <v>2.6117997381024889E-2</v>
      </c>
      <c r="T892" s="50">
        <f t="shared" si="110"/>
        <v>1</v>
      </c>
      <c r="U892" s="50">
        <f t="shared" si="111"/>
        <v>1</v>
      </c>
    </row>
    <row r="893" spans="1:21" x14ac:dyDescent="0.2">
      <c r="A893" s="38">
        <v>38141</v>
      </c>
      <c r="B893" s="4">
        <v>0.33329999999999999</v>
      </c>
      <c r="C893" s="4">
        <v>0.40479999999999999</v>
      </c>
      <c r="D893" s="4">
        <v>0.26190000000000002</v>
      </c>
      <c r="E893" s="50">
        <v>1</v>
      </c>
      <c r="F893" s="50">
        <v>0.4271625</v>
      </c>
      <c r="G893" s="50">
        <v>7.1400000000000005E-2</v>
      </c>
      <c r="H893" s="50">
        <v>0.38490743662900001</v>
      </c>
      <c r="I893" s="50">
        <v>0.48829287047999997</v>
      </c>
      <c r="J893" s="50">
        <v>0.28152200277799999</v>
      </c>
      <c r="K893" s="50">
        <v>1128.0999999999999</v>
      </c>
      <c r="L893" s="50">
        <v>1113.32</v>
      </c>
      <c r="M893" s="50">
        <v>1124.99</v>
      </c>
      <c r="N893" s="66">
        <f t="shared" si="104"/>
        <v>5.635605649827926E-3</v>
      </c>
      <c r="O893" s="66">
        <f t="shared" si="105"/>
        <v>1.4089014124569916E-2</v>
      </c>
      <c r="P893" s="4">
        <f t="shared" si="106"/>
        <v>7.1399999999999963E-2</v>
      </c>
      <c r="Q893" s="4">
        <f t="shared" si="107"/>
        <v>-2.7224999999999999E-2</v>
      </c>
      <c r="R893" s="66">
        <f t="shared" si="108"/>
        <v>5.635605649827926E-3</v>
      </c>
      <c r="S893" s="66">
        <f t="shared" si="109"/>
        <v>1.4089014124569916E-2</v>
      </c>
      <c r="T893" s="50">
        <f t="shared" si="110"/>
        <v>1</v>
      </c>
      <c r="U893" s="50">
        <f t="shared" si="111"/>
        <v>1</v>
      </c>
    </row>
    <row r="894" spans="1:21" x14ac:dyDescent="0.2">
      <c r="A894" s="38">
        <v>38148</v>
      </c>
      <c r="B894" s="4">
        <v>0.55259999999999998</v>
      </c>
      <c r="C894" s="4">
        <v>0.28949999999999998</v>
      </c>
      <c r="D894" s="4">
        <v>0.15790000000000001</v>
      </c>
      <c r="E894" s="50">
        <v>1</v>
      </c>
      <c r="F894" s="50">
        <v>0.41654999999999998</v>
      </c>
      <c r="G894" s="50">
        <v>0.3947</v>
      </c>
      <c r="H894" s="50">
        <v>0.38490743662900001</v>
      </c>
      <c r="I894" s="50">
        <v>0.48829287047999997</v>
      </c>
      <c r="J894" s="50">
        <v>0.28152200277799999</v>
      </c>
      <c r="K894" s="50">
        <v>1142.18</v>
      </c>
      <c r="L894" s="50">
        <v>1114.76</v>
      </c>
      <c r="M894" s="50">
        <v>1131.33</v>
      </c>
      <c r="N894" s="66">
        <f t="shared" si="104"/>
        <v>1.9711313233097489E-3</v>
      </c>
      <c r="O894" s="66">
        <f t="shared" si="105"/>
        <v>-1.1490900091043286E-2</v>
      </c>
      <c r="P894" s="4">
        <f t="shared" si="106"/>
        <v>0.39469999999999994</v>
      </c>
      <c r="Q894" s="4">
        <f t="shared" si="107"/>
        <v>9.7774999999999973E-2</v>
      </c>
      <c r="R894" s="66">
        <f t="shared" si="108"/>
        <v>1.9711313233097489E-3</v>
      </c>
      <c r="S894" s="66">
        <f t="shared" si="109"/>
        <v>-1.1490900091043286E-2</v>
      </c>
      <c r="T894" s="50">
        <f t="shared" si="110"/>
        <v>1</v>
      </c>
      <c r="U894" s="50" t="str">
        <f t="shared" si="111"/>
        <v/>
      </c>
    </row>
    <row r="895" spans="1:21" x14ac:dyDescent="0.2">
      <c r="A895" s="38">
        <v>38155</v>
      </c>
      <c r="B895" s="4">
        <v>0.41410000000000002</v>
      </c>
      <c r="C895" s="4">
        <v>0.30470000000000003</v>
      </c>
      <c r="D895" s="4">
        <v>0.28129999999999999</v>
      </c>
      <c r="E895" s="50">
        <v>1.0001</v>
      </c>
      <c r="F895" s="50">
        <v>0.40581250000000002</v>
      </c>
      <c r="G895" s="50">
        <v>0.1328</v>
      </c>
      <c r="H895" s="50">
        <v>0.38490743662900001</v>
      </c>
      <c r="I895" s="50">
        <v>0.48829287047999997</v>
      </c>
      <c r="J895" s="50">
        <v>0.28152200277799999</v>
      </c>
      <c r="K895" s="50">
        <v>1137.3599999999999</v>
      </c>
      <c r="L895" s="50">
        <v>1122.1600000000001</v>
      </c>
      <c r="M895" s="50">
        <v>1133.56</v>
      </c>
      <c r="N895" s="66">
        <f t="shared" si="104"/>
        <v>9.2628533116906036E-3</v>
      </c>
      <c r="O895" s="66">
        <f t="shared" si="105"/>
        <v>-1.9487279014785207E-2</v>
      </c>
      <c r="P895" s="4">
        <f t="shared" si="106"/>
        <v>0.13280000000000003</v>
      </c>
      <c r="Q895" s="4">
        <f t="shared" si="107"/>
        <v>0.13929999999999998</v>
      </c>
      <c r="R895" s="66">
        <f t="shared" si="108"/>
        <v>9.2628533116906036E-3</v>
      </c>
      <c r="S895" s="66">
        <f t="shared" si="109"/>
        <v>-1.9487279014785207E-2</v>
      </c>
      <c r="T895" s="50">
        <f t="shared" si="110"/>
        <v>1</v>
      </c>
      <c r="U895" s="50" t="str">
        <f t="shared" si="111"/>
        <v/>
      </c>
    </row>
    <row r="896" spans="1:21" x14ac:dyDescent="0.2">
      <c r="A896" s="38">
        <v>38162</v>
      </c>
      <c r="B896" s="4">
        <v>0.56410000000000005</v>
      </c>
      <c r="C896" s="4">
        <v>0.2051</v>
      </c>
      <c r="D896" s="4">
        <v>0.23080000000000001</v>
      </c>
      <c r="E896" s="50">
        <v>1</v>
      </c>
      <c r="F896" s="50">
        <v>0.413825</v>
      </c>
      <c r="G896" s="50">
        <v>0.33329999999999999</v>
      </c>
      <c r="H896" s="50">
        <v>0.38490743662900001</v>
      </c>
      <c r="I896" s="50">
        <v>0.48829287047999997</v>
      </c>
      <c r="J896" s="50">
        <v>0.28152200277799999</v>
      </c>
      <c r="K896" s="50">
        <v>1145.1500000000001</v>
      </c>
      <c r="L896" s="50">
        <v>1124.3699999999999</v>
      </c>
      <c r="M896" s="50">
        <v>1144.06</v>
      </c>
      <c r="N896" s="66">
        <f t="shared" si="104"/>
        <v>-2.8145376990717508E-3</v>
      </c>
      <c r="O896" s="66">
        <f t="shared" si="105"/>
        <v>-4.3861335943918882E-2</v>
      </c>
      <c r="P896" s="4">
        <f t="shared" si="106"/>
        <v>0.33330000000000004</v>
      </c>
      <c r="Q896" s="4">
        <f t="shared" si="107"/>
        <v>0.23305000000000001</v>
      </c>
      <c r="R896" s="66">
        <f t="shared" si="108"/>
        <v>-2.8145376990717508E-3</v>
      </c>
      <c r="S896" s="66">
        <f t="shared" si="109"/>
        <v>-4.3861335943918882E-2</v>
      </c>
      <c r="T896" s="50" t="str">
        <f t="shared" si="110"/>
        <v/>
      </c>
      <c r="U896" s="50" t="str">
        <f t="shared" si="111"/>
        <v/>
      </c>
    </row>
    <row r="897" spans="1:21" x14ac:dyDescent="0.2">
      <c r="A897" s="38">
        <v>38169</v>
      </c>
      <c r="B897" s="4">
        <v>0.56969999999999998</v>
      </c>
      <c r="C897" s="4">
        <v>0.2727</v>
      </c>
      <c r="D897" s="4">
        <v>0.15759999999999999</v>
      </c>
      <c r="E897" s="50">
        <v>1</v>
      </c>
      <c r="F897" s="50">
        <v>0.43631249999999999</v>
      </c>
      <c r="G897" s="50">
        <v>0.41210000000000002</v>
      </c>
      <c r="H897" s="50">
        <v>0.38490743662900001</v>
      </c>
      <c r="I897" s="50">
        <v>0.48829287047999997</v>
      </c>
      <c r="J897" s="50">
        <v>0.28152200277799999</v>
      </c>
      <c r="K897" s="50">
        <v>1144.2</v>
      </c>
      <c r="L897" s="50">
        <v>1131.72</v>
      </c>
      <c r="M897" s="50">
        <v>1140.8399999999999</v>
      </c>
      <c r="N897" s="66">
        <f t="shared" si="104"/>
        <v>-1.9731075347989194E-2</v>
      </c>
      <c r="O897" s="66">
        <f t="shared" si="105"/>
        <v>-3.981276953823485E-2</v>
      </c>
      <c r="P897" s="4">
        <f t="shared" si="106"/>
        <v>0.41210000000000002</v>
      </c>
      <c r="Q897" s="4">
        <f t="shared" si="107"/>
        <v>0.31822499999999998</v>
      </c>
      <c r="R897" s="66">
        <f t="shared" si="108"/>
        <v>-1.9731075347989194E-2</v>
      </c>
      <c r="S897" s="66">
        <f t="shared" si="109"/>
        <v>-3.981276953823485E-2</v>
      </c>
      <c r="T897" s="50" t="str">
        <f t="shared" si="110"/>
        <v/>
      </c>
      <c r="U897" s="50" t="str">
        <f t="shared" si="111"/>
        <v/>
      </c>
    </row>
    <row r="898" spans="1:21" x14ac:dyDescent="0.2">
      <c r="A898" s="38">
        <v>38176</v>
      </c>
      <c r="B898" s="4">
        <v>0.55100000000000005</v>
      </c>
      <c r="C898" s="4">
        <v>0.23469999999999999</v>
      </c>
      <c r="D898" s="4">
        <v>0.21429999999999999</v>
      </c>
      <c r="E898" s="50">
        <v>1</v>
      </c>
      <c r="F898" s="50">
        <v>0.46407500000000002</v>
      </c>
      <c r="G898" s="50">
        <v>0.3367</v>
      </c>
      <c r="H898" s="50">
        <v>0.38490743662900001</v>
      </c>
      <c r="I898" s="50">
        <v>0.48829287047999997</v>
      </c>
      <c r="J898" s="50">
        <v>0.28152200277799999</v>
      </c>
      <c r="K898" s="50">
        <v>1125.3800000000001</v>
      </c>
      <c r="L898" s="50">
        <v>1113.21</v>
      </c>
      <c r="M898" s="50">
        <v>1118.33</v>
      </c>
      <c r="N898" s="66">
        <f t="shared" si="104"/>
        <v>-6.1341464505109411E-3</v>
      </c>
      <c r="O898" s="66">
        <f t="shared" si="105"/>
        <v>-1.7615551760213729E-2</v>
      </c>
      <c r="P898" s="4">
        <f t="shared" si="106"/>
        <v>0.33670000000000005</v>
      </c>
      <c r="Q898" s="4">
        <f t="shared" si="107"/>
        <v>0.30372500000000002</v>
      </c>
      <c r="R898" s="66">
        <f t="shared" si="108"/>
        <v>-6.1341464505109411E-3</v>
      </c>
      <c r="S898" s="66">
        <f t="shared" si="109"/>
        <v>-1.7615551760213729E-2</v>
      </c>
      <c r="T898" s="50" t="str">
        <f t="shared" si="110"/>
        <v/>
      </c>
      <c r="U898" s="50" t="str">
        <f t="shared" si="111"/>
        <v/>
      </c>
    </row>
    <row r="899" spans="1:21" x14ac:dyDescent="0.2">
      <c r="A899" s="38">
        <v>38183</v>
      </c>
      <c r="B899" s="4">
        <v>0.47370000000000001</v>
      </c>
      <c r="C899" s="4">
        <v>0.28949999999999998</v>
      </c>
      <c r="D899" s="4">
        <v>0.23680000000000001</v>
      </c>
      <c r="E899" s="50">
        <v>1</v>
      </c>
      <c r="F899" s="50">
        <v>0.47744999999999999</v>
      </c>
      <c r="G899" s="50">
        <v>0.2369</v>
      </c>
      <c r="H899" s="50">
        <v>0.38490743662900001</v>
      </c>
      <c r="I899" s="50">
        <v>0.48829287047999997</v>
      </c>
      <c r="J899" s="50">
        <v>0.28152200277799999</v>
      </c>
      <c r="K899" s="50">
        <v>1119.5999999999999</v>
      </c>
      <c r="L899" s="50">
        <v>1106.71</v>
      </c>
      <c r="M899" s="50">
        <v>1111.47</v>
      </c>
      <c r="N899" s="66">
        <f t="shared" si="104"/>
        <v>-1.5825888238099019E-2</v>
      </c>
      <c r="O899" s="66">
        <f t="shared" si="105"/>
        <v>-3.2101631173131133E-2</v>
      </c>
      <c r="P899" s="4">
        <f t="shared" si="106"/>
        <v>0.2369</v>
      </c>
      <c r="Q899" s="4">
        <f t="shared" si="107"/>
        <v>0.32974999999999999</v>
      </c>
      <c r="R899" s="66">
        <f t="shared" si="108"/>
        <v>-1.5825888238099019E-2</v>
      </c>
      <c r="S899" s="66">
        <f t="shared" si="109"/>
        <v>-3.2101631173131133E-2</v>
      </c>
      <c r="T899" s="50" t="str">
        <f t="shared" si="110"/>
        <v/>
      </c>
      <c r="U899" s="50" t="str">
        <f t="shared" si="111"/>
        <v/>
      </c>
    </row>
    <row r="900" spans="1:21" x14ac:dyDescent="0.2">
      <c r="A900" s="38">
        <v>38190</v>
      </c>
      <c r="B900" s="4">
        <v>0.35709999999999997</v>
      </c>
      <c r="C900" s="4">
        <v>0.40479999999999999</v>
      </c>
      <c r="D900" s="4">
        <v>0.23810000000000001</v>
      </c>
      <c r="E900" s="50">
        <v>1</v>
      </c>
      <c r="F900" s="50">
        <v>0.47694999999999999</v>
      </c>
      <c r="G900" s="50">
        <v>0.11899999999999999</v>
      </c>
      <c r="H900" s="50">
        <v>0.38490743662900001</v>
      </c>
      <c r="I900" s="50">
        <v>0.48829287047999997</v>
      </c>
      <c r="J900" s="50">
        <v>0.28152200277799999</v>
      </c>
      <c r="K900" s="50">
        <v>1116.27</v>
      </c>
      <c r="L900" s="50">
        <v>1093.8800000000001</v>
      </c>
      <c r="M900" s="50">
        <v>1093.8800000000001</v>
      </c>
      <c r="N900" s="66">
        <f t="shared" si="104"/>
        <v>1.4078326690313047E-3</v>
      </c>
      <c r="O900" s="66">
        <f t="shared" si="105"/>
        <v>1.1792884045781654E-3</v>
      </c>
      <c r="P900" s="4">
        <f t="shared" si="106"/>
        <v>0.11899999999999997</v>
      </c>
      <c r="Q900" s="4">
        <f t="shared" si="107"/>
        <v>0.276175</v>
      </c>
      <c r="R900" s="66">
        <f t="shared" si="108"/>
        <v>1.4078326690313047E-3</v>
      </c>
      <c r="S900" s="66">
        <f t="shared" si="109"/>
        <v>1.1792884045781654E-3</v>
      </c>
      <c r="T900" s="50">
        <f t="shared" si="110"/>
        <v>1</v>
      </c>
      <c r="U900" s="50">
        <f t="shared" si="111"/>
        <v>1</v>
      </c>
    </row>
    <row r="901" spans="1:21" x14ac:dyDescent="0.2">
      <c r="A901" s="38">
        <v>38197</v>
      </c>
      <c r="B901" s="4">
        <v>0.34</v>
      </c>
      <c r="C901" s="4">
        <v>0.3</v>
      </c>
      <c r="D901" s="4">
        <v>0.36</v>
      </c>
      <c r="E901" s="50">
        <v>1</v>
      </c>
      <c r="F901" s="50">
        <v>0.47778749999999998</v>
      </c>
      <c r="G901" s="50">
        <v>-0.02</v>
      </c>
      <c r="H901" s="50">
        <v>0.38490743662900001</v>
      </c>
      <c r="I901" s="50">
        <v>0.48829287047999997</v>
      </c>
      <c r="J901" s="50">
        <v>0.28152200277799999</v>
      </c>
      <c r="K901" s="50">
        <v>1098.8399999999999</v>
      </c>
      <c r="L901" s="50">
        <v>1078.78</v>
      </c>
      <c r="M901" s="50">
        <v>1095.42</v>
      </c>
      <c r="N901" s="66">
        <f t="shared" si="104"/>
        <v>2.9303828668456266E-3</v>
      </c>
      <c r="O901" s="66">
        <f t="shared" si="105"/>
        <v>8.7089883332420112E-3</v>
      </c>
      <c r="P901" s="4">
        <f t="shared" si="106"/>
        <v>-1.9999999999999962E-2</v>
      </c>
      <c r="Q901" s="4">
        <f t="shared" si="107"/>
        <v>0.16815000000000002</v>
      </c>
      <c r="R901" s="66">
        <f t="shared" si="108"/>
        <v>2.9303828668456266E-3</v>
      </c>
      <c r="S901" s="66">
        <f t="shared" si="109"/>
        <v>8.7089883332420112E-3</v>
      </c>
      <c r="T901" s="50">
        <f t="shared" si="110"/>
        <v>1</v>
      </c>
      <c r="U901" s="50">
        <f t="shared" si="111"/>
        <v>1</v>
      </c>
    </row>
    <row r="902" spans="1:21" x14ac:dyDescent="0.2">
      <c r="A902" s="38">
        <v>38204</v>
      </c>
      <c r="B902" s="4">
        <v>0.30990000000000001</v>
      </c>
      <c r="C902" s="4">
        <v>0.35210000000000002</v>
      </c>
      <c r="D902" s="4">
        <v>0.33800000000000002</v>
      </c>
      <c r="E902" s="50">
        <v>1</v>
      </c>
      <c r="F902" s="50">
        <v>0.44745000000000001</v>
      </c>
      <c r="G902" s="50">
        <v>-2.81E-2</v>
      </c>
      <c r="H902" s="50">
        <v>0.38490743662900001</v>
      </c>
      <c r="I902" s="50">
        <v>0.48829287047999997</v>
      </c>
      <c r="J902" s="50">
        <v>0.28152200277799999</v>
      </c>
      <c r="K902" s="50">
        <v>1108.5999999999999</v>
      </c>
      <c r="L902" s="50">
        <v>1092.4000000000001</v>
      </c>
      <c r="M902" s="50">
        <v>1098.6300000000001</v>
      </c>
      <c r="N902" s="66">
        <f t="shared" si="104"/>
        <v>-2.0789528776749354E-2</v>
      </c>
      <c r="O902" s="66">
        <f t="shared" si="105"/>
        <v>6.6264347414506904E-3</v>
      </c>
      <c r="P902" s="4">
        <f t="shared" si="106"/>
        <v>-2.8100000000000014E-2</v>
      </c>
      <c r="Q902" s="4">
        <f t="shared" si="107"/>
        <v>7.6950000000000005E-2</v>
      </c>
      <c r="R902" s="66">
        <f t="shared" si="108"/>
        <v>-2.0789528776749354E-2</v>
      </c>
      <c r="S902" s="66">
        <f t="shared" si="109"/>
        <v>6.6264347414506904E-3</v>
      </c>
      <c r="T902" s="50" t="str">
        <f t="shared" si="110"/>
        <v/>
      </c>
      <c r="U902" s="50">
        <f t="shared" si="111"/>
        <v>1</v>
      </c>
    </row>
    <row r="903" spans="1:21" x14ac:dyDescent="0.2">
      <c r="A903" s="38">
        <v>38211</v>
      </c>
      <c r="B903" s="4">
        <v>0.38569999999999999</v>
      </c>
      <c r="C903" s="4">
        <v>0.21429999999999999</v>
      </c>
      <c r="D903" s="4">
        <v>0.4</v>
      </c>
      <c r="E903" s="50">
        <v>1</v>
      </c>
      <c r="F903" s="50">
        <v>0.44390000000000002</v>
      </c>
      <c r="G903" s="50">
        <v>-1.43E-2</v>
      </c>
      <c r="H903" s="50">
        <v>0.38490743662900001</v>
      </c>
      <c r="I903" s="50">
        <v>0.48829287047999997</v>
      </c>
      <c r="J903" s="50">
        <v>0.28152200277799999</v>
      </c>
      <c r="K903" s="50">
        <v>1079.04</v>
      </c>
      <c r="L903" s="50">
        <v>1063.97</v>
      </c>
      <c r="M903" s="50">
        <v>1075.79</v>
      </c>
      <c r="N903" s="66">
        <f t="shared" si="104"/>
        <v>1.8014668290279805E-2</v>
      </c>
      <c r="O903" s="66">
        <f t="shared" si="105"/>
        <v>4.2303795350393657E-2</v>
      </c>
      <c r="P903" s="4">
        <f t="shared" si="106"/>
        <v>-1.4300000000000035E-2</v>
      </c>
      <c r="Q903" s="4">
        <f t="shared" si="107"/>
        <v>1.4149999999999989E-2</v>
      </c>
      <c r="R903" s="66">
        <f t="shared" si="108"/>
        <v>1.8014668290279805E-2</v>
      </c>
      <c r="S903" s="66">
        <f t="shared" si="109"/>
        <v>4.2303795350393657E-2</v>
      </c>
      <c r="T903" s="50">
        <f t="shared" si="110"/>
        <v>1</v>
      </c>
      <c r="U903" s="50">
        <f t="shared" si="111"/>
        <v>1</v>
      </c>
    </row>
    <row r="904" spans="1:21" x14ac:dyDescent="0.2">
      <c r="A904" s="38">
        <v>38218</v>
      </c>
      <c r="B904" s="4">
        <v>0.3488</v>
      </c>
      <c r="C904" s="4">
        <v>0.30230000000000001</v>
      </c>
      <c r="D904" s="4">
        <v>0.3488</v>
      </c>
      <c r="E904" s="50">
        <v>0.99990000000000001</v>
      </c>
      <c r="F904" s="50">
        <v>0.41698750000000001</v>
      </c>
      <c r="G904" s="50">
        <v>0</v>
      </c>
      <c r="H904" s="50">
        <v>0.38490743662900001</v>
      </c>
      <c r="I904" s="50">
        <v>0.48829287047999997</v>
      </c>
      <c r="J904" s="50">
        <v>0.28152200277799999</v>
      </c>
      <c r="K904" s="50">
        <v>1095.17</v>
      </c>
      <c r="L904" s="50">
        <v>1064.8</v>
      </c>
      <c r="M904" s="50">
        <v>1095.17</v>
      </c>
      <c r="N904" s="66">
        <f t="shared" si="104"/>
        <v>8.939251440415609E-3</v>
      </c>
      <c r="O904" s="66">
        <f t="shared" si="105"/>
        <v>2.7986522640320553E-2</v>
      </c>
      <c r="P904" s="4">
        <f t="shared" si="106"/>
        <v>0</v>
      </c>
      <c r="Q904" s="4">
        <f t="shared" si="107"/>
        <v>-1.5600000000000003E-2</v>
      </c>
      <c r="R904" s="66">
        <f t="shared" si="108"/>
        <v>8.939251440415609E-3</v>
      </c>
      <c r="S904" s="66">
        <f t="shared" si="109"/>
        <v>2.7986522640320553E-2</v>
      </c>
      <c r="T904" s="50">
        <f t="shared" si="110"/>
        <v>1</v>
      </c>
      <c r="U904" s="50">
        <f t="shared" si="111"/>
        <v>1</v>
      </c>
    </row>
    <row r="905" spans="1:21" x14ac:dyDescent="0.2">
      <c r="A905" s="38">
        <v>38225</v>
      </c>
      <c r="B905" s="4">
        <v>0.4153</v>
      </c>
      <c r="C905" s="4">
        <v>0.33050000000000002</v>
      </c>
      <c r="D905" s="4">
        <v>0.25419999999999998</v>
      </c>
      <c r="E905" s="50">
        <v>1</v>
      </c>
      <c r="F905" s="50">
        <v>0.39768750000000003</v>
      </c>
      <c r="G905" s="50">
        <v>0.16109999999999999</v>
      </c>
      <c r="H905" s="50">
        <v>0.38490743662900001</v>
      </c>
      <c r="I905" s="50">
        <v>0.48829287047999997</v>
      </c>
      <c r="J905" s="50">
        <v>0.28152200277799999</v>
      </c>
      <c r="K905" s="50">
        <v>1106.29</v>
      </c>
      <c r="L905" s="50">
        <v>1092.82</v>
      </c>
      <c r="M905" s="50">
        <v>1104.96</v>
      </c>
      <c r="N905" s="66">
        <f t="shared" si="104"/>
        <v>8.5975962930788942E-4</v>
      </c>
      <c r="O905" s="66">
        <f t="shared" si="105"/>
        <v>1.560237474659717E-2</v>
      </c>
      <c r="P905" s="4">
        <f t="shared" si="106"/>
        <v>0.16110000000000002</v>
      </c>
      <c r="Q905" s="4">
        <f t="shared" si="107"/>
        <v>2.9674999999999993E-2</v>
      </c>
      <c r="R905" s="66">
        <f t="shared" si="108"/>
        <v>8.5975962930788942E-4</v>
      </c>
      <c r="S905" s="66">
        <f t="shared" si="109"/>
        <v>1.560237474659717E-2</v>
      </c>
      <c r="T905" s="50">
        <f t="shared" si="110"/>
        <v>1</v>
      </c>
      <c r="U905" s="50">
        <f t="shared" si="111"/>
        <v>1</v>
      </c>
    </row>
    <row r="906" spans="1:21" x14ac:dyDescent="0.2">
      <c r="A906" s="38">
        <v>38232</v>
      </c>
      <c r="B906" s="4">
        <v>0.41510000000000002</v>
      </c>
      <c r="C906" s="4">
        <v>0.3019</v>
      </c>
      <c r="D906" s="4">
        <v>0.28299999999999997</v>
      </c>
      <c r="E906" s="50">
        <v>1</v>
      </c>
      <c r="F906" s="50">
        <v>0.38069999999999998</v>
      </c>
      <c r="G906" s="50">
        <v>0.1321</v>
      </c>
      <c r="H906" s="50">
        <v>0.38490743662900001</v>
      </c>
      <c r="I906" s="50">
        <v>0.48829287047999997</v>
      </c>
      <c r="J906" s="50">
        <v>0.28152200277799999</v>
      </c>
      <c r="K906" s="50">
        <v>1109.24</v>
      </c>
      <c r="L906" s="50">
        <v>1094.72</v>
      </c>
      <c r="M906" s="50">
        <v>1105.9100000000001</v>
      </c>
      <c r="N906" s="66">
        <f t="shared" si="104"/>
        <v>1.3916141458165558E-2</v>
      </c>
      <c r="O906" s="66">
        <f t="shared" si="105"/>
        <v>8.0386288215133894E-3</v>
      </c>
      <c r="P906" s="4">
        <f t="shared" si="106"/>
        <v>0.13210000000000005</v>
      </c>
      <c r="Q906" s="4">
        <f t="shared" si="107"/>
        <v>6.9725000000000009E-2</v>
      </c>
      <c r="R906" s="66">
        <f t="shared" si="108"/>
        <v>1.3916141458165558E-2</v>
      </c>
      <c r="S906" s="66">
        <f t="shared" si="109"/>
        <v>8.0386288215133894E-3</v>
      </c>
      <c r="T906" s="50">
        <f t="shared" si="110"/>
        <v>1</v>
      </c>
      <c r="U906" s="50">
        <f t="shared" si="111"/>
        <v>1</v>
      </c>
    </row>
    <row r="907" spans="1:21" x14ac:dyDescent="0.2">
      <c r="A907" s="38">
        <v>38239</v>
      </c>
      <c r="B907" s="4">
        <v>0.505</v>
      </c>
      <c r="C907" s="4">
        <v>0.25740000000000002</v>
      </c>
      <c r="D907" s="4">
        <v>0.23760000000000001</v>
      </c>
      <c r="E907" s="50">
        <v>1</v>
      </c>
      <c r="F907" s="50">
        <v>0.38461250000000002</v>
      </c>
      <c r="G907" s="50">
        <v>0.26740000000000003</v>
      </c>
      <c r="H907" s="50">
        <v>0.38490743662900001</v>
      </c>
      <c r="I907" s="50">
        <v>0.48829287047999997</v>
      </c>
      <c r="J907" s="50">
        <v>0.28152200277799999</v>
      </c>
      <c r="K907" s="50">
        <v>1124.08</v>
      </c>
      <c r="L907" s="50">
        <v>1113.6300000000001</v>
      </c>
      <c r="M907" s="50">
        <v>1121.3</v>
      </c>
      <c r="N907" s="66">
        <f t="shared" si="104"/>
        <v>4.0310354053330793E-3</v>
      </c>
      <c r="O907" s="66">
        <f t="shared" si="105"/>
        <v>1.8505306340854365E-2</v>
      </c>
      <c r="P907" s="4">
        <f t="shared" si="106"/>
        <v>0.26739999999999997</v>
      </c>
      <c r="Q907" s="4">
        <f t="shared" si="107"/>
        <v>0.14015</v>
      </c>
      <c r="R907" s="66">
        <f t="shared" si="108"/>
        <v>4.0310354053330793E-3</v>
      </c>
      <c r="S907" s="66">
        <f t="shared" si="109"/>
        <v>1.8505306340854365E-2</v>
      </c>
      <c r="T907" s="50">
        <f t="shared" si="110"/>
        <v>1</v>
      </c>
      <c r="U907" s="50">
        <f t="shared" si="111"/>
        <v>1</v>
      </c>
    </row>
    <row r="908" spans="1:21" x14ac:dyDescent="0.2">
      <c r="A908" s="38">
        <v>38246</v>
      </c>
      <c r="B908" s="4">
        <v>0.45450000000000002</v>
      </c>
      <c r="C908" s="4">
        <v>0.2273</v>
      </c>
      <c r="D908" s="4">
        <v>0.31819999999999998</v>
      </c>
      <c r="E908" s="50">
        <v>1</v>
      </c>
      <c r="F908" s="50">
        <v>0.39678750000000002</v>
      </c>
      <c r="G908" s="50">
        <v>0.1363</v>
      </c>
      <c r="H908" s="50">
        <v>0.38490743662900001</v>
      </c>
      <c r="I908" s="50">
        <v>0.48829287047999997</v>
      </c>
      <c r="J908" s="50">
        <v>0.28152200277799999</v>
      </c>
      <c r="K908" s="50">
        <v>1129.78</v>
      </c>
      <c r="L908" s="50">
        <v>1123.3499999999999</v>
      </c>
      <c r="M908" s="50">
        <v>1125.82</v>
      </c>
      <c r="N908" s="66">
        <f t="shared" si="104"/>
        <v>-3.2154340836011894E-3</v>
      </c>
      <c r="O908" s="66">
        <f t="shared" si="105"/>
        <v>-1.0809898562825182E-2</v>
      </c>
      <c r="P908" s="4">
        <f t="shared" si="106"/>
        <v>0.13630000000000003</v>
      </c>
      <c r="Q908" s="4">
        <f t="shared" si="107"/>
        <v>0.17422500000000002</v>
      </c>
      <c r="R908" s="66">
        <f t="shared" si="108"/>
        <v>-3.2154340836011894E-3</v>
      </c>
      <c r="S908" s="66">
        <f t="shared" si="109"/>
        <v>-1.0809898562825182E-2</v>
      </c>
      <c r="T908" s="50" t="str">
        <f t="shared" si="110"/>
        <v/>
      </c>
      <c r="U908" s="50" t="str">
        <f t="shared" si="111"/>
        <v/>
      </c>
    </row>
    <row r="909" spans="1:21" x14ac:dyDescent="0.2">
      <c r="A909" s="38">
        <v>38253</v>
      </c>
      <c r="B909" s="4">
        <v>0.51200000000000001</v>
      </c>
      <c r="C909" s="4">
        <v>0.22</v>
      </c>
      <c r="D909" s="4">
        <v>0.26800000000000002</v>
      </c>
      <c r="E909" s="50">
        <v>1</v>
      </c>
      <c r="F909" s="50">
        <v>0.41828749999999998</v>
      </c>
      <c r="G909" s="50">
        <v>0.24399999999999999</v>
      </c>
      <c r="H909" s="50">
        <v>0.38490743662900001</v>
      </c>
      <c r="I909" s="50">
        <v>0.48829287047999997</v>
      </c>
      <c r="J909" s="50">
        <v>0.28152200277799999</v>
      </c>
      <c r="K909" s="50">
        <v>1128.55</v>
      </c>
      <c r="L909" s="50">
        <v>1120.3399999999999</v>
      </c>
      <c r="M909" s="50">
        <v>1122.2</v>
      </c>
      <c r="N909" s="66">
        <f t="shared" ref="N909:N972" si="112">(M910-M909)/M909</f>
        <v>-6.5941899839601593E-3</v>
      </c>
      <c r="O909" s="66">
        <f t="shared" ref="O909:O972" si="113">(M913-M909)/M909</f>
        <v>-1.6521119230083731E-2</v>
      </c>
      <c r="P909" s="4">
        <f t="shared" si="106"/>
        <v>0.24399999999999999</v>
      </c>
      <c r="Q909" s="4">
        <f t="shared" si="107"/>
        <v>0.19495000000000001</v>
      </c>
      <c r="R909" s="66">
        <f t="shared" si="108"/>
        <v>-6.5941899839601593E-3</v>
      </c>
      <c r="S909" s="66">
        <f t="shared" si="109"/>
        <v>-1.6521119230083731E-2</v>
      </c>
      <c r="T909" s="50" t="str">
        <f t="shared" si="110"/>
        <v/>
      </c>
      <c r="U909" s="50" t="str">
        <f t="shared" si="111"/>
        <v/>
      </c>
    </row>
    <row r="910" spans="1:21" x14ac:dyDescent="0.2">
      <c r="A910" s="38">
        <v>38260</v>
      </c>
      <c r="B910" s="4">
        <v>0.41070000000000001</v>
      </c>
      <c r="C910" s="4">
        <v>0.19639999999999999</v>
      </c>
      <c r="D910" s="4">
        <v>0.39290000000000003</v>
      </c>
      <c r="E910" s="50">
        <v>1</v>
      </c>
      <c r="F910" s="50">
        <v>0.43088749999999998</v>
      </c>
      <c r="G910" s="50">
        <v>1.78E-2</v>
      </c>
      <c r="H910" s="50">
        <v>0.38490743662900001</v>
      </c>
      <c r="I910" s="50">
        <v>0.48829287047999997</v>
      </c>
      <c r="J910" s="50">
        <v>0.28152200277799999</v>
      </c>
      <c r="K910" s="50">
        <v>1114.8</v>
      </c>
      <c r="L910" s="50">
        <v>1101.29</v>
      </c>
      <c r="M910" s="50">
        <v>1114.8</v>
      </c>
      <c r="N910" s="66">
        <f t="shared" si="112"/>
        <v>2.4443846429852891E-2</v>
      </c>
      <c r="O910" s="66">
        <f t="shared" si="113"/>
        <v>9.5084320057410628E-3</v>
      </c>
      <c r="P910" s="4">
        <f t="shared" ref="P910:P973" si="114">B910-D910</f>
        <v>1.7799999999999983E-2</v>
      </c>
      <c r="Q910" s="4">
        <f t="shared" si="107"/>
        <v>0.166375</v>
      </c>
      <c r="R910" s="66">
        <f t="shared" si="108"/>
        <v>2.4443846429852891E-2</v>
      </c>
      <c r="S910" s="66">
        <f t="shared" si="109"/>
        <v>9.5084320057410628E-3</v>
      </c>
      <c r="T910" s="50">
        <f t="shared" si="110"/>
        <v>1</v>
      </c>
      <c r="U910" s="50">
        <f t="shared" si="111"/>
        <v>1</v>
      </c>
    </row>
    <row r="911" spans="1:21" x14ac:dyDescent="0.2">
      <c r="A911" s="38">
        <v>38267</v>
      </c>
      <c r="B911" s="4">
        <v>0.56930000000000003</v>
      </c>
      <c r="C911" s="4">
        <v>0.2336</v>
      </c>
      <c r="D911" s="4">
        <v>0.1971</v>
      </c>
      <c r="E911" s="50">
        <v>1</v>
      </c>
      <c r="F911" s="50">
        <v>0.4538375</v>
      </c>
      <c r="G911" s="50">
        <v>0.37219999999999998</v>
      </c>
      <c r="H911" s="50">
        <v>0.38490743662900001</v>
      </c>
      <c r="I911" s="50">
        <v>0.48829287047999997</v>
      </c>
      <c r="J911" s="50">
        <v>0.28152200277799999</v>
      </c>
      <c r="K911" s="50">
        <v>1142.05</v>
      </c>
      <c r="L911" s="50">
        <v>1131.5</v>
      </c>
      <c r="M911" s="50">
        <v>1142.05</v>
      </c>
      <c r="N911" s="66">
        <f t="shared" si="112"/>
        <v>-2.4867562716168176E-2</v>
      </c>
      <c r="O911" s="66">
        <f t="shared" si="113"/>
        <v>1.0069611663237959E-3</v>
      </c>
      <c r="P911" s="4">
        <f t="shared" si="114"/>
        <v>0.37220000000000003</v>
      </c>
      <c r="Q911" s="4">
        <f t="shared" si="107"/>
        <v>0.192575</v>
      </c>
      <c r="R911" s="66">
        <f t="shared" si="108"/>
        <v>-2.4867562716168176E-2</v>
      </c>
      <c r="S911" s="66">
        <f t="shared" si="109"/>
        <v>1.0069611663237959E-3</v>
      </c>
      <c r="T911" s="50" t="str">
        <f t="shared" si="110"/>
        <v/>
      </c>
      <c r="U911" s="50">
        <f t="shared" si="111"/>
        <v>1</v>
      </c>
    </row>
    <row r="912" spans="1:21" x14ac:dyDescent="0.2">
      <c r="A912" s="38">
        <v>38274</v>
      </c>
      <c r="B912" s="4">
        <v>0.4471</v>
      </c>
      <c r="C912" s="4">
        <v>0.27060000000000001</v>
      </c>
      <c r="D912" s="4">
        <v>0.28239999999999998</v>
      </c>
      <c r="E912" s="50">
        <v>1.0001</v>
      </c>
      <c r="F912" s="50">
        <v>0.46612500000000001</v>
      </c>
      <c r="G912" s="50">
        <v>0.16470000000000001</v>
      </c>
      <c r="H912" s="50">
        <v>0.38490743662900001</v>
      </c>
      <c r="I912" s="50">
        <v>0.48829287047999997</v>
      </c>
      <c r="J912" s="50">
        <v>0.28152200277799999</v>
      </c>
      <c r="K912" s="50">
        <v>1127.01</v>
      </c>
      <c r="L912" s="50">
        <v>1109.6300000000001</v>
      </c>
      <c r="M912" s="50">
        <v>1113.6500000000001</v>
      </c>
      <c r="N912" s="66">
        <f t="shared" si="112"/>
        <v>-8.970502402011412E-3</v>
      </c>
      <c r="O912" s="66">
        <f t="shared" si="113"/>
        <v>4.4232927760068229E-2</v>
      </c>
      <c r="P912" s="4">
        <f t="shared" si="114"/>
        <v>0.16470000000000001</v>
      </c>
      <c r="Q912" s="4">
        <f t="shared" si="107"/>
        <v>0.19967499999999999</v>
      </c>
      <c r="R912" s="66">
        <f t="shared" si="108"/>
        <v>-8.970502402011412E-3</v>
      </c>
      <c r="S912" s="66">
        <f t="shared" si="109"/>
        <v>4.4232927760068229E-2</v>
      </c>
      <c r="T912" s="50" t="str">
        <f t="shared" si="110"/>
        <v/>
      </c>
      <c r="U912" s="50">
        <f t="shared" si="111"/>
        <v>1</v>
      </c>
    </row>
    <row r="913" spans="1:21" x14ac:dyDescent="0.2">
      <c r="A913" s="38">
        <v>38281</v>
      </c>
      <c r="B913" s="4">
        <v>0.42480000000000001</v>
      </c>
      <c r="C913" s="4">
        <v>0.28760000000000002</v>
      </c>
      <c r="D913" s="4">
        <v>0.28760000000000002</v>
      </c>
      <c r="E913" s="50">
        <v>1</v>
      </c>
      <c r="F913" s="50">
        <v>0.46731250000000002</v>
      </c>
      <c r="G913" s="50">
        <v>0.13719999999999999</v>
      </c>
      <c r="H913" s="50">
        <v>0.38490743662900001</v>
      </c>
      <c r="I913" s="50">
        <v>0.48829287047999997</v>
      </c>
      <c r="J913" s="50">
        <v>0.28152200277799999</v>
      </c>
      <c r="K913" s="50">
        <v>1117.96</v>
      </c>
      <c r="L913" s="50">
        <v>1094.25</v>
      </c>
      <c r="M913" s="50">
        <v>1103.6600000000001</v>
      </c>
      <c r="N913" s="66">
        <f t="shared" si="112"/>
        <v>1.9698095427939769E-2</v>
      </c>
      <c r="O913" s="66">
        <f t="shared" si="113"/>
        <v>7.092764075892935E-2</v>
      </c>
      <c r="P913" s="4">
        <f t="shared" si="114"/>
        <v>0.13719999999999999</v>
      </c>
      <c r="Q913" s="4">
        <f t="shared" ref="Q913:Q976" si="115">AVERAGE(P910:P913)</f>
        <v>0.17297499999999999</v>
      </c>
      <c r="R913" s="66">
        <f t="shared" ref="R913:R976" si="116">(M914-M913)/M913</f>
        <v>1.9698095427939769E-2</v>
      </c>
      <c r="S913" s="66">
        <f t="shared" ref="S913:S976" si="117">(M917-M913)/M913</f>
        <v>7.092764075892935E-2</v>
      </c>
      <c r="T913" s="50">
        <f t="shared" ref="T913:T976" si="118">IF(R913&gt;0,1,"")</f>
        <v>1</v>
      </c>
      <c r="U913" s="50">
        <f t="shared" ref="U913:U976" si="119">IF(S913&gt;0,1,"")</f>
        <v>1</v>
      </c>
    </row>
    <row r="914" spans="1:21" x14ac:dyDescent="0.2">
      <c r="A914" s="38">
        <v>38288</v>
      </c>
      <c r="B914" s="4">
        <v>0.42309999999999998</v>
      </c>
      <c r="C914" s="4">
        <v>0.2596</v>
      </c>
      <c r="D914" s="4">
        <v>0.31730000000000003</v>
      </c>
      <c r="E914" s="50">
        <v>1</v>
      </c>
      <c r="F914" s="50">
        <v>0.46831250000000002</v>
      </c>
      <c r="G914" s="50">
        <v>0.10580000000000001</v>
      </c>
      <c r="H914" s="50">
        <v>0.38490743662900001</v>
      </c>
      <c r="I914" s="50">
        <v>0.48829287047999997</v>
      </c>
      <c r="J914" s="50">
        <v>0.28152200277799999</v>
      </c>
      <c r="K914" s="50">
        <v>1126.29</v>
      </c>
      <c r="L914" s="50">
        <v>1090.29</v>
      </c>
      <c r="M914" s="50">
        <v>1125.4000000000001</v>
      </c>
      <c r="N914" s="66">
        <f t="shared" si="112"/>
        <v>1.5816598542740316E-2</v>
      </c>
      <c r="O914" s="66">
        <f t="shared" si="113"/>
        <v>5.0079971565665446E-2</v>
      </c>
      <c r="P914" s="4">
        <f t="shared" si="114"/>
        <v>0.10579999999999995</v>
      </c>
      <c r="Q914" s="4">
        <f t="shared" si="115"/>
        <v>0.19497500000000001</v>
      </c>
      <c r="R914" s="66">
        <f t="shared" si="116"/>
        <v>1.5816598542740316E-2</v>
      </c>
      <c r="S914" s="66">
        <f t="shared" si="117"/>
        <v>5.0079971565665446E-2</v>
      </c>
      <c r="T914" s="50">
        <f t="shared" si="118"/>
        <v>1</v>
      </c>
      <c r="U914" s="50">
        <f t="shared" si="119"/>
        <v>1</v>
      </c>
    </row>
    <row r="915" spans="1:21" x14ac:dyDescent="0.2">
      <c r="A915" s="38">
        <v>38295</v>
      </c>
      <c r="B915" s="4">
        <v>0.57140000000000002</v>
      </c>
      <c r="C915" s="4">
        <v>0.2</v>
      </c>
      <c r="D915" s="4">
        <v>0.2286</v>
      </c>
      <c r="E915" s="50">
        <v>1</v>
      </c>
      <c r="F915" s="50">
        <v>0.47661249999999999</v>
      </c>
      <c r="G915" s="50">
        <v>0.34279999999999999</v>
      </c>
      <c r="H915" s="50">
        <v>0.38490743662900001</v>
      </c>
      <c r="I915" s="50">
        <v>0.48829287047999997</v>
      </c>
      <c r="J915" s="50">
        <v>0.28152200277799999</v>
      </c>
      <c r="K915" s="50">
        <v>1147.57</v>
      </c>
      <c r="L915" s="50">
        <v>1127.5999999999999</v>
      </c>
      <c r="M915" s="50">
        <v>1143.2</v>
      </c>
      <c r="N915" s="66">
        <f t="shared" si="112"/>
        <v>1.7241077676697022E-2</v>
      </c>
      <c r="O915" s="66">
        <f t="shared" si="113"/>
        <v>4.2136109167249691E-2</v>
      </c>
      <c r="P915" s="4">
        <f t="shared" si="114"/>
        <v>0.34279999999999999</v>
      </c>
      <c r="Q915" s="4">
        <f t="shared" si="115"/>
        <v>0.18762499999999999</v>
      </c>
      <c r="R915" s="66">
        <f t="shared" si="116"/>
        <v>1.7241077676697022E-2</v>
      </c>
      <c r="S915" s="66">
        <f t="shared" si="117"/>
        <v>4.2136109167249691E-2</v>
      </c>
      <c r="T915" s="50">
        <f t="shared" si="118"/>
        <v>1</v>
      </c>
      <c r="U915" s="50">
        <f t="shared" si="119"/>
        <v>1</v>
      </c>
    </row>
    <row r="916" spans="1:21" x14ac:dyDescent="0.2">
      <c r="A916" s="38">
        <v>38302</v>
      </c>
      <c r="B916" s="4">
        <v>0.625</v>
      </c>
      <c r="C916" s="4">
        <v>0.15909999999999999</v>
      </c>
      <c r="D916" s="4">
        <v>0.21590000000000001</v>
      </c>
      <c r="E916" s="50">
        <v>1</v>
      </c>
      <c r="F916" s="50">
        <v>0.49792500000000001</v>
      </c>
      <c r="G916" s="50">
        <v>0.40910000000000002</v>
      </c>
      <c r="H916" s="50">
        <v>0.38490743662900001</v>
      </c>
      <c r="I916" s="50">
        <v>0.48829287047999997</v>
      </c>
      <c r="J916" s="50">
        <v>0.28152200277799999</v>
      </c>
      <c r="K916" s="50">
        <v>1169.25</v>
      </c>
      <c r="L916" s="50">
        <v>1162.32</v>
      </c>
      <c r="M916" s="50">
        <v>1162.9100000000001</v>
      </c>
      <c r="N916" s="66">
        <f t="shared" si="112"/>
        <v>1.6364121041181151E-2</v>
      </c>
      <c r="O916" s="66">
        <f t="shared" si="113"/>
        <v>1.711224428373637E-2</v>
      </c>
      <c r="P916" s="4">
        <f t="shared" si="114"/>
        <v>0.40910000000000002</v>
      </c>
      <c r="Q916" s="4">
        <f t="shared" si="115"/>
        <v>0.24872499999999997</v>
      </c>
      <c r="R916" s="66">
        <f t="shared" si="116"/>
        <v>1.6364121041181151E-2</v>
      </c>
      <c r="S916" s="66">
        <f t="shared" si="117"/>
        <v>1.711224428373637E-2</v>
      </c>
      <c r="T916" s="50">
        <f t="shared" si="118"/>
        <v>1</v>
      </c>
      <c r="U916" s="50">
        <f t="shared" si="119"/>
        <v>1</v>
      </c>
    </row>
    <row r="917" spans="1:21" x14ac:dyDescent="0.2">
      <c r="A917" s="38">
        <v>38309</v>
      </c>
      <c r="B917" s="4">
        <v>0.64100000000000001</v>
      </c>
      <c r="C917" s="4">
        <v>0.1346</v>
      </c>
      <c r="D917" s="4">
        <v>0.22439999999999999</v>
      </c>
      <c r="E917" s="50">
        <v>1</v>
      </c>
      <c r="F917" s="50">
        <v>0.51405000000000001</v>
      </c>
      <c r="G917" s="50">
        <v>0.41660000000000003</v>
      </c>
      <c r="H917" s="50">
        <v>0.38490743662900001</v>
      </c>
      <c r="I917" s="50">
        <v>0.48829287047999997</v>
      </c>
      <c r="J917" s="50">
        <v>0.28152200277799999</v>
      </c>
      <c r="K917" s="50">
        <v>1188.46</v>
      </c>
      <c r="L917" s="50">
        <v>1175.32</v>
      </c>
      <c r="M917" s="50">
        <v>1181.94</v>
      </c>
      <c r="N917" s="66">
        <f t="shared" si="112"/>
        <v>-1.5229199451754206E-4</v>
      </c>
      <c r="O917" s="66">
        <f t="shared" si="113"/>
        <v>2.0119464609032585E-2</v>
      </c>
      <c r="P917" s="4">
        <f t="shared" si="114"/>
        <v>0.41660000000000003</v>
      </c>
      <c r="Q917" s="4">
        <f t="shared" si="115"/>
        <v>0.318575</v>
      </c>
      <c r="R917" s="66">
        <f t="shared" si="116"/>
        <v>-1.5229199451754206E-4</v>
      </c>
      <c r="S917" s="66">
        <f t="shared" si="117"/>
        <v>2.0119464609032585E-2</v>
      </c>
      <c r="T917" s="50" t="str">
        <f t="shared" si="118"/>
        <v/>
      </c>
      <c r="U917" s="50">
        <f t="shared" si="119"/>
        <v>1</v>
      </c>
    </row>
    <row r="918" spans="1:21" x14ac:dyDescent="0.2">
      <c r="A918" s="38">
        <v>38315</v>
      </c>
      <c r="B918" s="4">
        <v>0.49480000000000002</v>
      </c>
      <c r="C918" s="4">
        <v>0.23710000000000001</v>
      </c>
      <c r="D918" s="4">
        <v>0.26800000000000002</v>
      </c>
      <c r="E918" s="50">
        <v>0.99990000000000001</v>
      </c>
      <c r="F918" s="50">
        <v>0.52456250000000004</v>
      </c>
      <c r="G918" s="50">
        <v>0.2268</v>
      </c>
      <c r="H918" s="50">
        <v>0.38490743662900001</v>
      </c>
      <c r="I918" s="50">
        <v>0.48829287047999997</v>
      </c>
      <c r="J918" s="50">
        <v>0.28152200277799999</v>
      </c>
      <c r="K918" s="50">
        <v>1182.46</v>
      </c>
      <c r="L918" s="50">
        <v>1176.94</v>
      </c>
      <c r="M918" s="50">
        <v>1181.76</v>
      </c>
      <c r="N918" s="66">
        <f t="shared" si="112"/>
        <v>8.131938803140993E-3</v>
      </c>
      <c r="O918" s="66">
        <f t="shared" si="113"/>
        <v>2.3532696994313519E-2</v>
      </c>
      <c r="P918" s="4">
        <f t="shared" si="114"/>
        <v>0.2268</v>
      </c>
      <c r="Q918" s="4">
        <f t="shared" si="115"/>
        <v>0.34882500000000005</v>
      </c>
      <c r="R918" s="66">
        <f t="shared" si="116"/>
        <v>8.131938803140993E-3</v>
      </c>
      <c r="S918" s="66">
        <f t="shared" si="117"/>
        <v>2.3532696994313519E-2</v>
      </c>
      <c r="T918" s="50">
        <f t="shared" si="118"/>
        <v>1</v>
      </c>
      <c r="U918" s="50">
        <f t="shared" si="119"/>
        <v>1</v>
      </c>
    </row>
    <row r="919" spans="1:21" x14ac:dyDescent="0.2">
      <c r="A919" s="38">
        <v>38323</v>
      </c>
      <c r="B919" s="4">
        <v>0.56759999999999999</v>
      </c>
      <c r="C919" s="4">
        <v>0.1784</v>
      </c>
      <c r="D919" s="4">
        <v>0.25409999999999999</v>
      </c>
      <c r="E919" s="50">
        <v>1.0001</v>
      </c>
      <c r="F919" s="50">
        <v>0.52434999999999998</v>
      </c>
      <c r="G919" s="50">
        <v>0.3135</v>
      </c>
      <c r="H919" s="50">
        <v>0.38490743662900001</v>
      </c>
      <c r="I919" s="50">
        <v>0.48829287047999997</v>
      </c>
      <c r="J919" s="50">
        <v>0.28152200277799999</v>
      </c>
      <c r="K919" s="50">
        <v>1191.3699999999999</v>
      </c>
      <c r="L919" s="50">
        <v>1172.3699999999999</v>
      </c>
      <c r="M919" s="50">
        <v>1191.3699999999999</v>
      </c>
      <c r="N919" s="66">
        <f t="shared" si="112"/>
        <v>-7.1850054978721527E-3</v>
      </c>
      <c r="O919" s="66">
        <f t="shared" si="113"/>
        <v>1.8533285209464866E-2</v>
      </c>
      <c r="P919" s="4">
        <f t="shared" si="114"/>
        <v>0.3135</v>
      </c>
      <c r="Q919" s="4">
        <f t="shared" si="115"/>
        <v>0.34150000000000003</v>
      </c>
      <c r="R919" s="66">
        <f t="shared" si="116"/>
        <v>-7.1850054978721527E-3</v>
      </c>
      <c r="S919" s="66">
        <f t="shared" si="117"/>
        <v>1.8533285209464866E-2</v>
      </c>
      <c r="T919" s="50" t="str">
        <f t="shared" si="118"/>
        <v/>
      </c>
      <c r="U919" s="50">
        <f t="shared" si="119"/>
        <v>1</v>
      </c>
    </row>
    <row r="920" spans="1:21" x14ac:dyDescent="0.2">
      <c r="A920" s="38">
        <v>38330</v>
      </c>
      <c r="B920" s="4">
        <v>0.51349999999999996</v>
      </c>
      <c r="C920" s="4">
        <v>0.23419999999999999</v>
      </c>
      <c r="D920" s="4">
        <v>0.25230000000000002</v>
      </c>
      <c r="E920" s="50">
        <v>1</v>
      </c>
      <c r="F920" s="50">
        <v>0.53264999999999996</v>
      </c>
      <c r="G920" s="50">
        <v>0.26119999999999999</v>
      </c>
      <c r="H920" s="50">
        <v>0.38490743662900001</v>
      </c>
      <c r="I920" s="50">
        <v>0.48829287047999997</v>
      </c>
      <c r="J920" s="50">
        <v>0.28152200277799999</v>
      </c>
      <c r="K920" s="50">
        <v>1192.4100000000001</v>
      </c>
      <c r="L920" s="50">
        <v>1177.07</v>
      </c>
      <c r="M920" s="50">
        <v>1182.81</v>
      </c>
      <c r="N920" s="66">
        <f t="shared" si="112"/>
        <v>1.9369129445980404E-2</v>
      </c>
      <c r="O920" s="66">
        <f t="shared" si="113"/>
        <v>7.8626322063565888E-4</v>
      </c>
      <c r="P920" s="4">
        <f t="shared" si="114"/>
        <v>0.26119999999999993</v>
      </c>
      <c r="Q920" s="4">
        <f t="shared" si="115"/>
        <v>0.30452499999999999</v>
      </c>
      <c r="R920" s="66">
        <f t="shared" si="116"/>
        <v>1.9369129445980404E-2</v>
      </c>
      <c r="S920" s="66">
        <f t="shared" si="117"/>
        <v>7.8626322063565888E-4</v>
      </c>
      <c r="T920" s="50">
        <f t="shared" si="118"/>
        <v>1</v>
      </c>
      <c r="U920" s="50">
        <f t="shared" si="119"/>
        <v>1</v>
      </c>
    </row>
    <row r="921" spans="1:21" x14ac:dyDescent="0.2">
      <c r="A921" s="38">
        <v>38337</v>
      </c>
      <c r="B921" s="4">
        <v>0.52529999999999999</v>
      </c>
      <c r="C921" s="4">
        <v>0.2828</v>
      </c>
      <c r="D921" s="4">
        <v>0.19189999999999999</v>
      </c>
      <c r="E921" s="50">
        <v>1</v>
      </c>
      <c r="F921" s="50">
        <v>0.54521249999999999</v>
      </c>
      <c r="G921" s="50">
        <v>0.33339999999999997</v>
      </c>
      <c r="H921" s="50">
        <v>0.38490743662900001</v>
      </c>
      <c r="I921" s="50">
        <v>0.48829287047999997</v>
      </c>
      <c r="J921" s="50">
        <v>0.28152200277799999</v>
      </c>
      <c r="K921" s="50">
        <v>1206.6099999999999</v>
      </c>
      <c r="L921" s="50">
        <v>1188</v>
      </c>
      <c r="M921" s="50">
        <v>1205.72</v>
      </c>
      <c r="N921" s="66">
        <f t="shared" si="112"/>
        <v>3.1931128288490767E-3</v>
      </c>
      <c r="O921" s="66">
        <f t="shared" si="113"/>
        <v>-1.7582855057559008E-2</v>
      </c>
      <c r="P921" s="4">
        <f t="shared" si="114"/>
        <v>0.33340000000000003</v>
      </c>
      <c r="Q921" s="4">
        <f t="shared" si="115"/>
        <v>0.283725</v>
      </c>
      <c r="R921" s="66">
        <f t="shared" si="116"/>
        <v>3.1931128288490767E-3</v>
      </c>
      <c r="S921" s="66">
        <f t="shared" si="117"/>
        <v>-1.7582855057559008E-2</v>
      </c>
      <c r="T921" s="50">
        <f t="shared" si="118"/>
        <v>1</v>
      </c>
      <c r="U921" s="50" t="str">
        <f t="shared" si="119"/>
        <v/>
      </c>
    </row>
    <row r="922" spans="1:21" x14ac:dyDescent="0.2">
      <c r="A922" s="38">
        <v>38344</v>
      </c>
      <c r="B922" s="4">
        <v>0.60229999999999995</v>
      </c>
      <c r="C922" s="4">
        <v>0.21590000000000001</v>
      </c>
      <c r="D922" s="4">
        <v>0.18179999999999999</v>
      </c>
      <c r="E922" s="50">
        <v>1</v>
      </c>
      <c r="F922" s="50">
        <v>0.56761249999999996</v>
      </c>
      <c r="G922" s="50">
        <v>0.42049999999999998</v>
      </c>
      <c r="H922" s="50">
        <v>0.38490743662900001</v>
      </c>
      <c r="I922" s="50">
        <v>0.48829287047999997</v>
      </c>
      <c r="J922" s="50">
        <v>0.28152200277799999</v>
      </c>
      <c r="K922" s="50">
        <v>1211.42</v>
      </c>
      <c r="L922" s="50">
        <v>1193.3599999999999</v>
      </c>
      <c r="M922" s="50">
        <v>1209.57</v>
      </c>
      <c r="N922" s="66">
        <f t="shared" si="112"/>
        <v>3.207751515001289E-3</v>
      </c>
      <c r="O922" s="66">
        <f t="shared" si="113"/>
        <v>-2.0709839033706157E-2</v>
      </c>
      <c r="P922" s="4">
        <f t="shared" si="114"/>
        <v>0.42049999999999998</v>
      </c>
      <c r="Q922" s="4">
        <f t="shared" si="115"/>
        <v>0.33215</v>
      </c>
      <c r="R922" s="66">
        <f t="shared" si="116"/>
        <v>3.207751515001289E-3</v>
      </c>
      <c r="S922" s="66">
        <f t="shared" si="117"/>
        <v>-2.0709839033706157E-2</v>
      </c>
      <c r="T922" s="50">
        <f t="shared" si="118"/>
        <v>1</v>
      </c>
      <c r="U922" s="50" t="str">
        <f t="shared" si="119"/>
        <v/>
      </c>
    </row>
    <row r="923" spans="1:21" x14ac:dyDescent="0.2">
      <c r="A923" s="38">
        <v>38351</v>
      </c>
      <c r="B923" s="4">
        <v>0.5766</v>
      </c>
      <c r="C923" s="4">
        <v>0.2482</v>
      </c>
      <c r="D923" s="4">
        <v>0.17519999999999999</v>
      </c>
      <c r="E923" s="50">
        <v>1</v>
      </c>
      <c r="F923" s="50">
        <v>0.5682625</v>
      </c>
      <c r="G923" s="50">
        <v>0.40139999999999998</v>
      </c>
      <c r="H923" s="50">
        <v>0.38490743662900001</v>
      </c>
      <c r="I923" s="50">
        <v>0.48829287047999997</v>
      </c>
      <c r="J923" s="50">
        <v>0.28152200277799999</v>
      </c>
      <c r="K923" s="50">
        <v>1214.1300000000001</v>
      </c>
      <c r="L923" s="50">
        <v>1204.92</v>
      </c>
      <c r="M923" s="50">
        <v>1213.45</v>
      </c>
      <c r="N923" s="66">
        <f t="shared" si="112"/>
        <v>-2.4483909514195094E-2</v>
      </c>
      <c r="O923" s="66">
        <f t="shared" si="113"/>
        <v>-3.2452923482632255E-2</v>
      </c>
      <c r="P923" s="4">
        <f t="shared" si="114"/>
        <v>0.40139999999999998</v>
      </c>
      <c r="Q923" s="4">
        <f t="shared" si="115"/>
        <v>0.35412499999999997</v>
      </c>
      <c r="R923" s="66">
        <f t="shared" si="116"/>
        <v>-2.4483909514195094E-2</v>
      </c>
      <c r="S923" s="66">
        <f t="shared" si="117"/>
        <v>-3.2452923482632255E-2</v>
      </c>
      <c r="T923" s="50" t="str">
        <f t="shared" si="118"/>
        <v/>
      </c>
      <c r="U923" s="50" t="str">
        <f t="shared" si="119"/>
        <v/>
      </c>
    </row>
    <row r="924" spans="1:21" x14ac:dyDescent="0.2">
      <c r="A924" s="38">
        <v>38358</v>
      </c>
      <c r="B924" s="4">
        <v>0.38100000000000001</v>
      </c>
      <c r="C924" s="4">
        <v>0.27379999999999999</v>
      </c>
      <c r="D924" s="4">
        <v>0.34520000000000001</v>
      </c>
      <c r="E924" s="50">
        <v>1</v>
      </c>
      <c r="F924" s="50">
        <v>0.53776250000000003</v>
      </c>
      <c r="G924" s="50">
        <v>3.5799999999999998E-2</v>
      </c>
      <c r="H924" s="50">
        <v>0.38490743662900001</v>
      </c>
      <c r="I924" s="50">
        <v>0.48829287047999997</v>
      </c>
      <c r="J924" s="50">
        <v>0.28152200277799999</v>
      </c>
      <c r="K924" s="50">
        <v>1217.8</v>
      </c>
      <c r="L924" s="50">
        <v>1183.72</v>
      </c>
      <c r="M924" s="50">
        <v>1183.74</v>
      </c>
      <c r="N924" s="66">
        <f t="shared" si="112"/>
        <v>6.5892848091639441E-4</v>
      </c>
      <c r="O924" s="66">
        <f t="shared" si="113"/>
        <v>7.9831719803335581E-3</v>
      </c>
      <c r="P924" s="4">
        <f t="shared" si="114"/>
        <v>3.5799999999999998E-2</v>
      </c>
      <c r="Q924" s="4">
        <f t="shared" si="115"/>
        <v>0.29777500000000001</v>
      </c>
      <c r="R924" s="66">
        <f t="shared" si="116"/>
        <v>6.5892848091639441E-4</v>
      </c>
      <c r="S924" s="66">
        <f t="shared" si="117"/>
        <v>7.9831719803335581E-3</v>
      </c>
      <c r="T924" s="50">
        <f t="shared" si="118"/>
        <v>1</v>
      </c>
      <c r="U924" s="50">
        <f t="shared" si="119"/>
        <v>1</v>
      </c>
    </row>
    <row r="925" spans="1:21" x14ac:dyDescent="0.2">
      <c r="A925" s="38">
        <v>38365</v>
      </c>
      <c r="B925" s="4">
        <v>0.33989999999999998</v>
      </c>
      <c r="C925" s="4">
        <v>0.26140000000000002</v>
      </c>
      <c r="D925" s="4">
        <v>0.3987</v>
      </c>
      <c r="E925" s="50">
        <v>1</v>
      </c>
      <c r="F925" s="50">
        <v>0.50012500000000004</v>
      </c>
      <c r="G925" s="50">
        <v>-5.8799999999999998E-2</v>
      </c>
      <c r="H925" s="50">
        <v>0.38490743662900001</v>
      </c>
      <c r="I925" s="50">
        <v>0.48829287047999997</v>
      </c>
      <c r="J925" s="50">
        <v>0.28152200277799999</v>
      </c>
      <c r="K925" s="50">
        <v>1194.78</v>
      </c>
      <c r="L925" s="50">
        <v>1175.6400000000001</v>
      </c>
      <c r="M925" s="50">
        <v>1184.52</v>
      </c>
      <c r="N925" s="66">
        <f t="shared" si="112"/>
        <v>0</v>
      </c>
      <c r="O925" s="66">
        <f t="shared" si="113"/>
        <v>6.3063519400263631E-3</v>
      </c>
      <c r="P925" s="4">
        <f t="shared" si="114"/>
        <v>-5.8800000000000019E-2</v>
      </c>
      <c r="Q925" s="4">
        <f t="shared" si="115"/>
        <v>0.19972499999999999</v>
      </c>
      <c r="R925" s="66">
        <f t="shared" si="116"/>
        <v>0</v>
      </c>
      <c r="S925" s="66">
        <f t="shared" si="117"/>
        <v>6.3063519400263631E-3</v>
      </c>
      <c r="T925" s="50" t="str">
        <f t="shared" si="118"/>
        <v/>
      </c>
      <c r="U925" s="50">
        <f t="shared" si="119"/>
        <v>1</v>
      </c>
    </row>
    <row r="926" spans="1:21" x14ac:dyDescent="0.2">
      <c r="A926" s="38">
        <v>38372</v>
      </c>
      <c r="B926" s="4">
        <v>0.33660000000000001</v>
      </c>
      <c r="C926" s="4">
        <v>0.32669999999999999</v>
      </c>
      <c r="D926" s="4">
        <v>0.33660000000000001</v>
      </c>
      <c r="E926" s="50">
        <v>0.99990000000000001</v>
      </c>
      <c r="F926" s="50">
        <v>0.48035</v>
      </c>
      <c r="G926" s="50">
        <v>0</v>
      </c>
      <c r="H926" s="50">
        <v>0.38490743662900001</v>
      </c>
      <c r="I926" s="50">
        <v>0.48829287047999997</v>
      </c>
      <c r="J926" s="50">
        <v>0.28152200277799999</v>
      </c>
      <c r="K926" s="50">
        <v>1195.98</v>
      </c>
      <c r="L926" s="50">
        <v>1180.0999999999999</v>
      </c>
      <c r="M926" s="50">
        <v>1184.52</v>
      </c>
      <c r="N926" s="66">
        <f t="shared" si="112"/>
        <v>-8.8221389254719597E-3</v>
      </c>
      <c r="O926" s="66">
        <f t="shared" si="113"/>
        <v>2.1797859048390857E-2</v>
      </c>
      <c r="P926" s="4">
        <f t="shared" si="114"/>
        <v>0</v>
      </c>
      <c r="Q926" s="4">
        <f t="shared" si="115"/>
        <v>9.459999999999999E-2</v>
      </c>
      <c r="R926" s="66">
        <f t="shared" si="116"/>
        <v>-8.8221389254719597E-3</v>
      </c>
      <c r="S926" s="66">
        <f t="shared" si="117"/>
        <v>2.1797859048390857E-2</v>
      </c>
      <c r="T926" s="50" t="str">
        <f t="shared" si="118"/>
        <v/>
      </c>
      <c r="U926" s="50">
        <f t="shared" si="119"/>
        <v>1</v>
      </c>
    </row>
    <row r="927" spans="1:21" x14ac:dyDescent="0.2">
      <c r="A927" s="38">
        <v>38379</v>
      </c>
      <c r="B927" s="4">
        <v>0.26429999999999998</v>
      </c>
      <c r="C927" s="4">
        <v>0.37140000000000001</v>
      </c>
      <c r="D927" s="4">
        <v>0.36430000000000001</v>
      </c>
      <c r="E927" s="50">
        <v>1</v>
      </c>
      <c r="F927" s="50">
        <v>0.44243749999999998</v>
      </c>
      <c r="G927" s="50">
        <v>-0.1</v>
      </c>
      <c r="H927" s="50">
        <v>0.38490743662900001</v>
      </c>
      <c r="I927" s="50">
        <v>0.48829287047999997</v>
      </c>
      <c r="J927" s="50">
        <v>0.28152200277799999</v>
      </c>
      <c r="K927" s="50">
        <v>1175.96</v>
      </c>
      <c r="L927" s="50">
        <v>1163.75</v>
      </c>
      <c r="M927" s="50">
        <v>1174.07</v>
      </c>
      <c r="N927" s="66">
        <f t="shared" si="112"/>
        <v>1.628523001183926E-2</v>
      </c>
      <c r="O927" s="66">
        <f t="shared" si="113"/>
        <v>1.4249576260359279E-2</v>
      </c>
      <c r="P927" s="4">
        <f t="shared" si="114"/>
        <v>-0.10000000000000003</v>
      </c>
      <c r="Q927" s="4">
        <f t="shared" si="115"/>
        <v>-3.0750000000000013E-2</v>
      </c>
      <c r="R927" s="66">
        <f t="shared" si="116"/>
        <v>1.628523001183926E-2</v>
      </c>
      <c r="S927" s="66">
        <f t="shared" si="117"/>
        <v>1.4249576260359279E-2</v>
      </c>
      <c r="T927" s="50">
        <f t="shared" si="118"/>
        <v>1</v>
      </c>
      <c r="U927" s="50">
        <f t="shared" si="119"/>
        <v>1</v>
      </c>
    </row>
    <row r="928" spans="1:21" x14ac:dyDescent="0.2">
      <c r="A928" s="38">
        <v>38386</v>
      </c>
      <c r="B928" s="4">
        <v>0.41670000000000001</v>
      </c>
      <c r="C928" s="4">
        <v>0.33329999999999999</v>
      </c>
      <c r="D928" s="4">
        <v>0.25</v>
      </c>
      <c r="E928" s="50">
        <v>1</v>
      </c>
      <c r="F928" s="50">
        <v>0.43033749999999998</v>
      </c>
      <c r="G928" s="50">
        <v>0.16669999999999999</v>
      </c>
      <c r="H928" s="50">
        <v>0.38490743662900001</v>
      </c>
      <c r="I928" s="50">
        <v>0.48829287047999997</v>
      </c>
      <c r="J928" s="50">
        <v>0.28152200277799999</v>
      </c>
      <c r="K928" s="50">
        <v>1195.25</v>
      </c>
      <c r="L928" s="50">
        <v>1171.3599999999999</v>
      </c>
      <c r="M928" s="50">
        <v>1193.19</v>
      </c>
      <c r="N928" s="66">
        <f t="shared" si="112"/>
        <v>-1.0057073894350818E-3</v>
      </c>
      <c r="O928" s="66">
        <f t="shared" si="113"/>
        <v>1.4155331506298136E-2</v>
      </c>
      <c r="P928" s="4">
        <f t="shared" si="114"/>
        <v>0.16670000000000001</v>
      </c>
      <c r="Q928" s="4">
        <f t="shared" si="115"/>
        <v>1.9749999999999907E-3</v>
      </c>
      <c r="R928" s="66">
        <f t="shared" si="116"/>
        <v>-1.0057073894350818E-3</v>
      </c>
      <c r="S928" s="66">
        <f t="shared" si="117"/>
        <v>1.4155331506298136E-2</v>
      </c>
      <c r="T928" s="50" t="str">
        <f t="shared" si="118"/>
        <v/>
      </c>
      <c r="U928" s="50">
        <f t="shared" si="119"/>
        <v>1</v>
      </c>
    </row>
    <row r="929" spans="1:21" x14ac:dyDescent="0.2">
      <c r="A929" s="38">
        <v>38393</v>
      </c>
      <c r="B929" s="4">
        <v>0.4375</v>
      </c>
      <c r="C929" s="4">
        <v>0.33329999999999999</v>
      </c>
      <c r="D929" s="4">
        <v>0.22919999999999999</v>
      </c>
      <c r="E929" s="50">
        <v>1</v>
      </c>
      <c r="F929" s="50">
        <v>0.41936250000000003</v>
      </c>
      <c r="G929" s="50">
        <v>0.20830000000000001</v>
      </c>
      <c r="H929" s="50">
        <v>0.38490743662900001</v>
      </c>
      <c r="I929" s="50">
        <v>0.48829287047999997</v>
      </c>
      <c r="J929" s="50">
        <v>0.28152200277799999</v>
      </c>
      <c r="K929" s="50">
        <v>1205.1099999999999</v>
      </c>
      <c r="L929" s="50">
        <v>1191.54</v>
      </c>
      <c r="M929" s="50">
        <v>1191.99</v>
      </c>
      <c r="N929" s="66">
        <f t="shared" si="112"/>
        <v>1.539442444986947E-2</v>
      </c>
      <c r="O929" s="66">
        <f t="shared" si="113"/>
        <v>1.2600776852154785E-2</v>
      </c>
      <c r="P929" s="4">
        <f t="shared" si="114"/>
        <v>0.20830000000000001</v>
      </c>
      <c r="Q929" s="4">
        <f t="shared" si="115"/>
        <v>6.8750000000000006E-2</v>
      </c>
      <c r="R929" s="66">
        <f t="shared" si="116"/>
        <v>1.539442444986947E-2</v>
      </c>
      <c r="S929" s="66">
        <f t="shared" si="117"/>
        <v>1.2600776852154785E-2</v>
      </c>
      <c r="T929" s="50">
        <f t="shared" si="118"/>
        <v>1</v>
      </c>
      <c r="U929" s="50">
        <f t="shared" si="119"/>
        <v>1</v>
      </c>
    </row>
    <row r="930" spans="1:21" x14ac:dyDescent="0.2">
      <c r="A930" s="38">
        <v>38400</v>
      </c>
      <c r="B930" s="4">
        <v>0.36359999999999998</v>
      </c>
      <c r="C930" s="4">
        <v>0.3377</v>
      </c>
      <c r="D930" s="4">
        <v>0.29870000000000002</v>
      </c>
      <c r="E930" s="50">
        <v>1</v>
      </c>
      <c r="F930" s="50">
        <v>0.38952500000000001</v>
      </c>
      <c r="G930" s="50">
        <v>6.4899999999999999E-2</v>
      </c>
      <c r="H930" s="50">
        <v>0.38490743662900001</v>
      </c>
      <c r="I930" s="50">
        <v>0.48829287047999997</v>
      </c>
      <c r="J930" s="50">
        <v>0.28152200277799999</v>
      </c>
      <c r="K930" s="50">
        <v>1212.44</v>
      </c>
      <c r="L930" s="50">
        <v>1203.5899999999999</v>
      </c>
      <c r="M930" s="50">
        <v>1210.3399999999999</v>
      </c>
      <c r="N930" s="66">
        <f t="shared" si="112"/>
        <v>-1.6144223937075503E-2</v>
      </c>
      <c r="O930" s="66">
        <f t="shared" si="113"/>
        <v>-1.8399788489184842E-2</v>
      </c>
      <c r="P930" s="4">
        <f t="shared" si="114"/>
        <v>6.4899999999999958E-2</v>
      </c>
      <c r="Q930" s="4">
        <f t="shared" si="115"/>
        <v>8.4974999999999995E-2</v>
      </c>
      <c r="R930" s="66">
        <f t="shared" si="116"/>
        <v>-1.6144223937075503E-2</v>
      </c>
      <c r="S930" s="66">
        <f t="shared" si="117"/>
        <v>-1.8399788489184842E-2</v>
      </c>
      <c r="T930" s="50" t="str">
        <f t="shared" si="118"/>
        <v/>
      </c>
      <c r="U930" s="50" t="str">
        <f t="shared" si="119"/>
        <v/>
      </c>
    </row>
    <row r="931" spans="1:21" x14ac:dyDescent="0.2">
      <c r="A931" s="38">
        <v>38407</v>
      </c>
      <c r="B931" s="4">
        <v>0.31819999999999998</v>
      </c>
      <c r="C931" s="4">
        <v>0.36359999999999998</v>
      </c>
      <c r="D931" s="4">
        <v>0.31819999999999998</v>
      </c>
      <c r="E931" s="50">
        <v>1</v>
      </c>
      <c r="F931" s="50">
        <v>0.35722500000000001</v>
      </c>
      <c r="G931" s="50">
        <v>0</v>
      </c>
      <c r="H931" s="50">
        <v>0.38490743662900001</v>
      </c>
      <c r="I931" s="50">
        <v>0.48829287047999997</v>
      </c>
      <c r="J931" s="50">
        <v>0.28152200277799999</v>
      </c>
      <c r="K931" s="50">
        <v>1202.48</v>
      </c>
      <c r="L931" s="50">
        <v>1184.1600000000001</v>
      </c>
      <c r="M931" s="50">
        <v>1190.8</v>
      </c>
      <c r="N931" s="66">
        <f t="shared" si="112"/>
        <v>1.6190796103459838E-2</v>
      </c>
      <c r="O931" s="66">
        <f t="shared" si="113"/>
        <v>-1.5342626805508887E-2</v>
      </c>
      <c r="P931" s="4">
        <f t="shared" si="114"/>
        <v>0</v>
      </c>
      <c r="Q931" s="4">
        <f t="shared" si="115"/>
        <v>0.10997499999999999</v>
      </c>
      <c r="R931" s="66">
        <f t="shared" si="116"/>
        <v>1.6190796103459838E-2</v>
      </c>
      <c r="S931" s="66">
        <f t="shared" si="117"/>
        <v>-1.5342626805508887E-2</v>
      </c>
      <c r="T931" s="50">
        <f t="shared" si="118"/>
        <v>1</v>
      </c>
      <c r="U931" s="50" t="str">
        <f t="shared" si="119"/>
        <v/>
      </c>
    </row>
    <row r="932" spans="1:21" x14ac:dyDescent="0.2">
      <c r="A932" s="38">
        <v>38414</v>
      </c>
      <c r="B932" s="4">
        <v>0.39510000000000001</v>
      </c>
      <c r="C932" s="4">
        <v>0.33329999999999999</v>
      </c>
      <c r="D932" s="4">
        <v>0.27160000000000001</v>
      </c>
      <c r="E932" s="50">
        <v>1</v>
      </c>
      <c r="F932" s="50">
        <v>0.35898750000000001</v>
      </c>
      <c r="G932" s="50">
        <v>0.1235</v>
      </c>
      <c r="H932" s="50">
        <v>0.38490743662900001</v>
      </c>
      <c r="I932" s="50">
        <v>0.48829287047999997</v>
      </c>
      <c r="J932" s="50">
        <v>0.28152200277799999</v>
      </c>
      <c r="K932" s="50">
        <v>1215.79</v>
      </c>
      <c r="L932" s="50">
        <v>1198.1300000000001</v>
      </c>
      <c r="M932" s="50">
        <v>1210.08</v>
      </c>
      <c r="N932" s="66">
        <f t="shared" si="112"/>
        <v>-2.5370223456299885E-3</v>
      </c>
      <c r="O932" s="66">
        <f t="shared" si="113"/>
        <v>-2.3692648419939052E-2</v>
      </c>
      <c r="P932" s="4">
        <f t="shared" si="114"/>
        <v>0.1235</v>
      </c>
      <c r="Q932" s="4">
        <f t="shared" si="115"/>
        <v>9.9174999999999999E-2</v>
      </c>
      <c r="R932" s="66">
        <f t="shared" si="116"/>
        <v>-2.5370223456299885E-3</v>
      </c>
      <c r="S932" s="66">
        <f t="shared" si="117"/>
        <v>-2.3692648419939052E-2</v>
      </c>
      <c r="T932" s="50" t="str">
        <f t="shared" si="118"/>
        <v/>
      </c>
      <c r="U932" s="50" t="str">
        <f t="shared" si="119"/>
        <v/>
      </c>
    </row>
    <row r="933" spans="1:21" x14ac:dyDescent="0.2">
      <c r="A933" s="38">
        <v>38421</v>
      </c>
      <c r="B933" s="4">
        <v>0.49659999999999999</v>
      </c>
      <c r="C933" s="4">
        <v>0.255</v>
      </c>
      <c r="D933" s="4">
        <v>0.24829999999999999</v>
      </c>
      <c r="E933" s="50">
        <v>0.99990000000000001</v>
      </c>
      <c r="F933" s="50">
        <v>0.37857499999999999</v>
      </c>
      <c r="G933" s="50">
        <v>0.24829999999999999</v>
      </c>
      <c r="H933" s="50">
        <v>0.38490743662900001</v>
      </c>
      <c r="I933" s="50">
        <v>0.48829287047999997</v>
      </c>
      <c r="J933" s="50">
        <v>0.28152200277799999</v>
      </c>
      <c r="K933" s="50">
        <v>1229.06</v>
      </c>
      <c r="L933" s="50">
        <v>1206.71</v>
      </c>
      <c r="M933" s="50">
        <v>1207.01</v>
      </c>
      <c r="N933" s="66">
        <f t="shared" si="112"/>
        <v>-1.5691667840365908E-2</v>
      </c>
      <c r="O933" s="66">
        <f t="shared" si="113"/>
        <v>-1.9005642041076756E-2</v>
      </c>
      <c r="P933" s="4">
        <f t="shared" si="114"/>
        <v>0.24829999999999999</v>
      </c>
      <c r="Q933" s="4">
        <f t="shared" si="115"/>
        <v>0.10917499999999999</v>
      </c>
      <c r="R933" s="66">
        <f t="shared" si="116"/>
        <v>-1.5691667840365908E-2</v>
      </c>
      <c r="S933" s="66">
        <f t="shared" si="117"/>
        <v>-1.9005642041076756E-2</v>
      </c>
      <c r="T933" s="50" t="str">
        <f t="shared" si="118"/>
        <v/>
      </c>
      <c r="U933" s="50" t="str">
        <f t="shared" si="119"/>
        <v/>
      </c>
    </row>
    <row r="934" spans="1:21" x14ac:dyDescent="0.2">
      <c r="A934" s="38">
        <v>38428</v>
      </c>
      <c r="B934" s="4">
        <v>0.32469999999999999</v>
      </c>
      <c r="C934" s="4">
        <v>0.35060000000000002</v>
      </c>
      <c r="D934" s="4">
        <v>0.32469999999999999</v>
      </c>
      <c r="E934" s="50">
        <v>1</v>
      </c>
      <c r="F934" s="50">
        <v>0.37708750000000002</v>
      </c>
      <c r="G934" s="50">
        <v>0</v>
      </c>
      <c r="H934" s="50">
        <v>0.38490743662900001</v>
      </c>
      <c r="I934" s="50">
        <v>0.48829287047999997</v>
      </c>
      <c r="J934" s="50">
        <v>0.28152200277799999</v>
      </c>
      <c r="K934" s="50">
        <v>1210.54</v>
      </c>
      <c r="L934" s="50">
        <v>1185.6099999999999</v>
      </c>
      <c r="M934" s="50">
        <v>1188.07</v>
      </c>
      <c r="N934" s="66">
        <f t="shared" si="112"/>
        <v>-1.3080037371535317E-2</v>
      </c>
      <c r="O934" s="66">
        <f t="shared" si="113"/>
        <v>-1.2019493800870296E-2</v>
      </c>
      <c r="P934" s="4">
        <f t="shared" si="114"/>
        <v>0</v>
      </c>
      <c r="Q934" s="4">
        <f t="shared" si="115"/>
        <v>9.2950000000000005E-2</v>
      </c>
      <c r="R934" s="66">
        <f t="shared" si="116"/>
        <v>-1.3080037371535317E-2</v>
      </c>
      <c r="S934" s="66">
        <f t="shared" si="117"/>
        <v>-1.2019493800870296E-2</v>
      </c>
      <c r="T934" s="50" t="str">
        <f t="shared" si="118"/>
        <v/>
      </c>
      <c r="U934" s="50" t="str">
        <f t="shared" si="119"/>
        <v/>
      </c>
    </row>
    <row r="935" spans="1:21" x14ac:dyDescent="0.2">
      <c r="A935" s="38">
        <v>38435</v>
      </c>
      <c r="B935" s="4">
        <v>0.23230000000000001</v>
      </c>
      <c r="C935" s="4">
        <v>0.34839999999999999</v>
      </c>
      <c r="D935" s="4">
        <v>0.4194</v>
      </c>
      <c r="E935" s="50">
        <v>1.0001</v>
      </c>
      <c r="F935" s="50">
        <v>0.37308750000000002</v>
      </c>
      <c r="G935" s="50">
        <v>-0.18709999999999999</v>
      </c>
      <c r="H935" s="50">
        <v>0.38490743662900001</v>
      </c>
      <c r="I935" s="50">
        <v>0.48829287047999997</v>
      </c>
      <c r="J935" s="50">
        <v>0.28152200277799999</v>
      </c>
      <c r="K935" s="50">
        <v>1189.6500000000001</v>
      </c>
      <c r="L935" s="50">
        <v>1168.7</v>
      </c>
      <c r="M935" s="50">
        <v>1172.53</v>
      </c>
      <c r="N935" s="66">
        <f t="shared" si="112"/>
        <v>7.5733669927422831E-3</v>
      </c>
      <c r="O935" s="66">
        <f t="shared" si="113"/>
        <v>-2.9867039649305333E-2</v>
      </c>
      <c r="P935" s="4">
        <f t="shared" si="114"/>
        <v>-0.18709999999999999</v>
      </c>
      <c r="Q935" s="4">
        <f t="shared" si="115"/>
        <v>4.6175000000000008E-2</v>
      </c>
      <c r="R935" s="66">
        <f t="shared" si="116"/>
        <v>7.5733669927422831E-3</v>
      </c>
      <c r="S935" s="66">
        <f t="shared" si="117"/>
        <v>-2.9867039649305333E-2</v>
      </c>
      <c r="T935" s="50">
        <f t="shared" si="118"/>
        <v>1</v>
      </c>
      <c r="U935" s="50" t="str">
        <f t="shared" si="119"/>
        <v/>
      </c>
    </row>
    <row r="936" spans="1:21" x14ac:dyDescent="0.2">
      <c r="A936" s="38">
        <v>38442</v>
      </c>
      <c r="B936" s="4">
        <v>0.2843</v>
      </c>
      <c r="C936" s="4">
        <v>0.2059</v>
      </c>
      <c r="D936" s="4">
        <v>0.50980000000000003</v>
      </c>
      <c r="E936" s="50">
        <v>1</v>
      </c>
      <c r="F936" s="50">
        <v>0.35653750000000001</v>
      </c>
      <c r="G936" s="50">
        <v>-0.22550000000000001</v>
      </c>
      <c r="H936" s="50">
        <v>0.38490743662900001</v>
      </c>
      <c r="I936" s="50">
        <v>0.48829287047999997</v>
      </c>
      <c r="J936" s="50">
        <v>0.28152200277799999</v>
      </c>
      <c r="K936" s="50">
        <v>1181.54</v>
      </c>
      <c r="L936" s="50">
        <v>1163.69</v>
      </c>
      <c r="M936" s="50">
        <v>1181.4100000000001</v>
      </c>
      <c r="N936" s="66">
        <f t="shared" si="112"/>
        <v>2.2515468804224226E-3</v>
      </c>
      <c r="O936" s="66">
        <f t="shared" si="113"/>
        <v>-2.1186548277058743E-2</v>
      </c>
      <c r="P936" s="4">
        <f t="shared" si="114"/>
        <v>-0.22550000000000003</v>
      </c>
      <c r="Q936" s="4">
        <f t="shared" si="115"/>
        <v>-4.1075000000000007E-2</v>
      </c>
      <c r="R936" s="66">
        <f t="shared" si="116"/>
        <v>2.2515468804224226E-3</v>
      </c>
      <c r="S936" s="66">
        <f t="shared" si="117"/>
        <v>-2.1186548277058743E-2</v>
      </c>
      <c r="T936" s="50">
        <f t="shared" si="118"/>
        <v>1</v>
      </c>
      <c r="U936" s="50" t="str">
        <f t="shared" si="119"/>
        <v/>
      </c>
    </row>
    <row r="937" spans="1:21" x14ac:dyDescent="0.2">
      <c r="A937" s="38">
        <v>38449</v>
      </c>
      <c r="B937" s="4">
        <v>0.27739999999999998</v>
      </c>
      <c r="C937" s="4">
        <v>0.28389999999999999</v>
      </c>
      <c r="D937" s="4">
        <v>0.43869999999999998</v>
      </c>
      <c r="E937" s="50">
        <v>1</v>
      </c>
      <c r="F937" s="50">
        <v>0.33652500000000002</v>
      </c>
      <c r="G937" s="50">
        <v>-0.1613</v>
      </c>
      <c r="H937" s="50">
        <v>0.38490743662900001</v>
      </c>
      <c r="I937" s="50">
        <v>0.48829287047999997</v>
      </c>
      <c r="J937" s="50">
        <v>0.28152200277799999</v>
      </c>
      <c r="K937" s="50">
        <v>1189.3399999999999</v>
      </c>
      <c r="L937" s="50">
        <v>1167.72</v>
      </c>
      <c r="M937" s="50">
        <v>1184.07</v>
      </c>
      <c r="N937" s="66">
        <f t="shared" si="112"/>
        <v>-8.6819191432938713E-3</v>
      </c>
      <c r="O937" s="66">
        <f t="shared" si="113"/>
        <v>-1.0742608122830599E-2</v>
      </c>
      <c r="P937" s="4">
        <f t="shared" si="114"/>
        <v>-0.1613</v>
      </c>
      <c r="Q937" s="4">
        <f t="shared" si="115"/>
        <v>-0.14347500000000002</v>
      </c>
      <c r="R937" s="66">
        <f t="shared" si="116"/>
        <v>-8.6819191432938713E-3</v>
      </c>
      <c r="S937" s="66">
        <f t="shared" si="117"/>
        <v>-1.0742608122830599E-2</v>
      </c>
      <c r="T937" s="50" t="str">
        <f t="shared" si="118"/>
        <v/>
      </c>
      <c r="U937" s="50" t="str">
        <f t="shared" si="119"/>
        <v/>
      </c>
    </row>
    <row r="938" spans="1:21" x14ac:dyDescent="0.2">
      <c r="A938" s="38">
        <v>38456</v>
      </c>
      <c r="B938" s="4">
        <v>0.1648</v>
      </c>
      <c r="C938" s="4">
        <v>0.41760000000000003</v>
      </c>
      <c r="D938" s="4">
        <v>0.41760000000000003</v>
      </c>
      <c r="E938" s="50">
        <v>1</v>
      </c>
      <c r="F938" s="50">
        <v>0.31167499999999998</v>
      </c>
      <c r="G938" s="50">
        <v>-0.25280000000000002</v>
      </c>
      <c r="H938" s="50">
        <v>0.38490743662900001</v>
      </c>
      <c r="I938" s="50">
        <v>0.48829287047999997</v>
      </c>
      <c r="J938" s="50">
        <v>0.28152200277799999</v>
      </c>
      <c r="K938" s="50">
        <v>1190.17</v>
      </c>
      <c r="L938" s="50">
        <v>1170.8499999999999</v>
      </c>
      <c r="M938" s="50">
        <v>1173.79</v>
      </c>
      <c r="N938" s="66">
        <f t="shared" si="112"/>
        <v>-3.0908424846011615E-2</v>
      </c>
      <c r="O938" s="66">
        <f t="shared" si="113"/>
        <v>-2.2832022763868017E-3</v>
      </c>
      <c r="P938" s="4">
        <f t="shared" si="114"/>
        <v>-0.25280000000000002</v>
      </c>
      <c r="Q938" s="4">
        <f t="shared" si="115"/>
        <v>-0.20667500000000003</v>
      </c>
      <c r="R938" s="66">
        <f t="shared" si="116"/>
        <v>-3.0908424846011615E-2</v>
      </c>
      <c r="S938" s="66">
        <f t="shared" si="117"/>
        <v>-2.2832022763868017E-3</v>
      </c>
      <c r="T938" s="50" t="str">
        <f t="shared" si="118"/>
        <v/>
      </c>
      <c r="U938" s="50" t="str">
        <f t="shared" si="119"/>
        <v/>
      </c>
    </row>
    <row r="939" spans="1:21" x14ac:dyDescent="0.2">
      <c r="A939" s="38">
        <v>38463</v>
      </c>
      <c r="B939" s="4">
        <v>0.36840000000000001</v>
      </c>
      <c r="C939" s="4">
        <v>0.30259999999999998</v>
      </c>
      <c r="D939" s="4">
        <v>0.32890000000000003</v>
      </c>
      <c r="E939" s="50">
        <v>0.99990000000000001</v>
      </c>
      <c r="F939" s="50">
        <v>0.31795000000000001</v>
      </c>
      <c r="G939" s="50">
        <v>3.95E-2</v>
      </c>
      <c r="H939" s="50">
        <v>0.38490743662900001</v>
      </c>
      <c r="I939" s="50">
        <v>0.48829287047999997</v>
      </c>
      <c r="J939" s="50">
        <v>0.28152200277799999</v>
      </c>
      <c r="K939" s="50">
        <v>1155.5</v>
      </c>
      <c r="L939" s="50">
        <v>1136.1500000000001</v>
      </c>
      <c r="M939" s="50">
        <v>1137.51</v>
      </c>
      <c r="N939" s="66">
        <f t="shared" si="112"/>
        <v>1.6588865152833924E-2</v>
      </c>
      <c r="O939" s="66">
        <f t="shared" si="113"/>
        <v>4.2241386888906433E-2</v>
      </c>
      <c r="P939" s="4">
        <f t="shared" si="114"/>
        <v>3.949999999999998E-2</v>
      </c>
      <c r="Q939" s="4">
        <f t="shared" si="115"/>
        <v>-0.15002500000000002</v>
      </c>
      <c r="R939" s="66">
        <f t="shared" si="116"/>
        <v>1.6588865152833924E-2</v>
      </c>
      <c r="S939" s="66">
        <f t="shared" si="117"/>
        <v>4.2241386888906433E-2</v>
      </c>
      <c r="T939" s="50">
        <f t="shared" si="118"/>
        <v>1</v>
      </c>
      <c r="U939" s="50">
        <f t="shared" si="119"/>
        <v>1</v>
      </c>
    </row>
    <row r="940" spans="1:21" x14ac:dyDescent="0.2">
      <c r="A940" s="38">
        <v>38470</v>
      </c>
      <c r="B940" s="4">
        <v>0.29749999999999999</v>
      </c>
      <c r="C940" s="4">
        <v>0.35539999999999999</v>
      </c>
      <c r="D940" s="4">
        <v>0.34710000000000002</v>
      </c>
      <c r="E940" s="50">
        <v>1</v>
      </c>
      <c r="F940" s="50">
        <v>0.30575000000000002</v>
      </c>
      <c r="G940" s="50">
        <v>-4.9599999999999998E-2</v>
      </c>
      <c r="H940" s="50">
        <v>0.38490743662900001</v>
      </c>
      <c r="I940" s="50">
        <v>0.48829287047999997</v>
      </c>
      <c r="J940" s="50">
        <v>0.28152200277799999</v>
      </c>
      <c r="K940" s="50">
        <v>1164.8</v>
      </c>
      <c r="L940" s="50">
        <v>1144.42</v>
      </c>
      <c r="M940" s="50">
        <v>1156.3800000000001</v>
      </c>
      <c r="N940" s="66">
        <f t="shared" si="112"/>
        <v>1.2945571524931077E-2</v>
      </c>
      <c r="O940" s="66">
        <f t="shared" si="113"/>
        <v>2.9082135630156072E-2</v>
      </c>
      <c r="P940" s="4">
        <f t="shared" si="114"/>
        <v>-4.9600000000000033E-2</v>
      </c>
      <c r="Q940" s="4">
        <f t="shared" si="115"/>
        <v>-0.10605000000000002</v>
      </c>
      <c r="R940" s="66">
        <f t="shared" si="116"/>
        <v>1.2945571524931077E-2</v>
      </c>
      <c r="S940" s="66">
        <f t="shared" si="117"/>
        <v>2.9082135630156072E-2</v>
      </c>
      <c r="T940" s="50">
        <f t="shared" si="118"/>
        <v>1</v>
      </c>
      <c r="U940" s="50">
        <f t="shared" si="119"/>
        <v>1</v>
      </c>
    </row>
    <row r="941" spans="1:21" x14ac:dyDescent="0.2">
      <c r="A941" s="38">
        <v>38477</v>
      </c>
      <c r="B941" s="4">
        <v>0.28570000000000001</v>
      </c>
      <c r="C941" s="4">
        <v>0.26529999999999998</v>
      </c>
      <c r="D941" s="4">
        <v>0.44900000000000001</v>
      </c>
      <c r="E941" s="50">
        <v>1</v>
      </c>
      <c r="F941" s="50">
        <v>0.27938750000000001</v>
      </c>
      <c r="G941" s="50">
        <v>-0.1633</v>
      </c>
      <c r="H941" s="50">
        <v>0.38490743662900001</v>
      </c>
      <c r="I941" s="50">
        <v>0.48829287047999997</v>
      </c>
      <c r="J941" s="50">
        <v>0.28152200277799999</v>
      </c>
      <c r="K941" s="50">
        <v>1178.6199999999999</v>
      </c>
      <c r="L941" s="50">
        <v>1154.71</v>
      </c>
      <c r="M941" s="50">
        <v>1171.3499999999999</v>
      </c>
      <c r="N941" s="66">
        <f t="shared" si="112"/>
        <v>-2.0489179152260989E-4</v>
      </c>
      <c r="O941" s="66">
        <f t="shared" si="113"/>
        <v>2.6354206684594803E-2</v>
      </c>
      <c r="P941" s="4">
        <f t="shared" si="114"/>
        <v>-0.1633</v>
      </c>
      <c r="Q941" s="4">
        <f t="shared" si="115"/>
        <v>-0.10655000000000002</v>
      </c>
      <c r="R941" s="66">
        <f t="shared" si="116"/>
        <v>-2.0489179152260989E-4</v>
      </c>
      <c r="S941" s="66">
        <f t="shared" si="117"/>
        <v>2.6354206684594803E-2</v>
      </c>
      <c r="T941" s="50" t="str">
        <f t="shared" si="118"/>
        <v/>
      </c>
      <c r="U941" s="50">
        <f t="shared" si="119"/>
        <v>1</v>
      </c>
    </row>
    <row r="942" spans="1:21" x14ac:dyDescent="0.2">
      <c r="A942" s="38">
        <v>38484</v>
      </c>
      <c r="B942" s="4">
        <v>0.30520000000000003</v>
      </c>
      <c r="C942" s="4">
        <v>0.33119999999999999</v>
      </c>
      <c r="D942" s="4">
        <v>0.36359999999999998</v>
      </c>
      <c r="E942" s="50">
        <v>1</v>
      </c>
      <c r="F942" s="50">
        <v>0.27694999999999997</v>
      </c>
      <c r="G942" s="50">
        <v>-5.8400000000000001E-2</v>
      </c>
      <c r="H942" s="50">
        <v>0.38490743662900001</v>
      </c>
      <c r="I942" s="50">
        <v>0.48829287047999997</v>
      </c>
      <c r="J942" s="50">
        <v>0.28152200277799999</v>
      </c>
      <c r="K942" s="50">
        <v>1178.8699999999999</v>
      </c>
      <c r="L942" s="50">
        <v>1157.71</v>
      </c>
      <c r="M942" s="50">
        <v>1171.1099999999999</v>
      </c>
      <c r="N942" s="66">
        <f t="shared" si="112"/>
        <v>1.2338721383986173E-2</v>
      </c>
      <c r="O942" s="66">
        <f t="shared" si="113"/>
        <v>2.2329243196625503E-2</v>
      </c>
      <c r="P942" s="4">
        <f t="shared" si="114"/>
        <v>-5.8399999999999952E-2</v>
      </c>
      <c r="Q942" s="4">
        <f t="shared" si="115"/>
        <v>-5.7950000000000002E-2</v>
      </c>
      <c r="R942" s="66">
        <f t="shared" si="116"/>
        <v>1.2338721383986173E-2</v>
      </c>
      <c r="S942" s="66">
        <f t="shared" si="117"/>
        <v>2.2329243196625503E-2</v>
      </c>
      <c r="T942" s="50">
        <f t="shared" si="118"/>
        <v>1</v>
      </c>
      <c r="U942" s="50">
        <f t="shared" si="119"/>
        <v>1</v>
      </c>
    </row>
    <row r="943" spans="1:21" x14ac:dyDescent="0.2">
      <c r="A943" s="38">
        <v>38491</v>
      </c>
      <c r="B943" s="4">
        <v>0.38919999999999999</v>
      </c>
      <c r="C943" s="4">
        <v>0.32429999999999998</v>
      </c>
      <c r="D943" s="4">
        <v>0.28649999999999998</v>
      </c>
      <c r="E943" s="50">
        <v>1</v>
      </c>
      <c r="F943" s="50">
        <v>0.29656250000000001</v>
      </c>
      <c r="G943" s="50">
        <v>0.1027</v>
      </c>
      <c r="H943" s="50">
        <v>0.38490743662900001</v>
      </c>
      <c r="I943" s="50">
        <v>0.48829287047999997</v>
      </c>
      <c r="J943" s="50">
        <v>0.28152200277799999</v>
      </c>
      <c r="K943" s="50">
        <v>1187.9000000000001</v>
      </c>
      <c r="L943" s="50">
        <v>1153.6400000000001</v>
      </c>
      <c r="M943" s="50">
        <v>1185.56</v>
      </c>
      <c r="N943" s="66">
        <f t="shared" si="112"/>
        <v>3.7535004554809927E-3</v>
      </c>
      <c r="O943" s="66">
        <f t="shared" si="113"/>
        <v>1.7730017881844851E-2</v>
      </c>
      <c r="P943" s="4">
        <f t="shared" si="114"/>
        <v>0.10270000000000001</v>
      </c>
      <c r="Q943" s="4">
        <f t="shared" si="115"/>
        <v>-4.2149999999999993E-2</v>
      </c>
      <c r="R943" s="66">
        <f t="shared" si="116"/>
        <v>3.7535004554809927E-3</v>
      </c>
      <c r="S943" s="66">
        <f t="shared" si="117"/>
        <v>1.7730017881844851E-2</v>
      </c>
      <c r="T943" s="50">
        <f t="shared" si="118"/>
        <v>1</v>
      </c>
      <c r="U943" s="50">
        <f t="shared" si="119"/>
        <v>1</v>
      </c>
    </row>
    <row r="944" spans="1:21" x14ac:dyDescent="0.2">
      <c r="A944" s="38">
        <v>38498</v>
      </c>
      <c r="B944" s="4">
        <v>0.44140000000000001</v>
      </c>
      <c r="C944" s="4">
        <v>0.32429999999999998</v>
      </c>
      <c r="D944" s="4">
        <v>0.23419999999999999</v>
      </c>
      <c r="E944" s="50">
        <v>0.99990000000000001</v>
      </c>
      <c r="F944" s="50">
        <v>0.31619999999999998</v>
      </c>
      <c r="G944" s="50">
        <v>0.2072</v>
      </c>
      <c r="H944" s="50">
        <v>0.38490743662900001</v>
      </c>
      <c r="I944" s="50">
        <v>0.48829287047999997</v>
      </c>
      <c r="J944" s="50">
        <v>0.28152200277799999</v>
      </c>
      <c r="K944" s="50">
        <v>1197.44</v>
      </c>
      <c r="L944" s="50">
        <v>1185.96</v>
      </c>
      <c r="M944" s="50">
        <v>1190.01</v>
      </c>
      <c r="N944" s="66">
        <f t="shared" si="112"/>
        <v>1.0260417979680874E-2</v>
      </c>
      <c r="O944" s="66">
        <f t="shared" si="113"/>
        <v>2.005865496928607E-2</v>
      </c>
      <c r="P944" s="4">
        <f t="shared" si="114"/>
        <v>0.20720000000000002</v>
      </c>
      <c r="Q944" s="4">
        <f t="shared" si="115"/>
        <v>2.2050000000000021E-2</v>
      </c>
      <c r="R944" s="66">
        <f t="shared" si="116"/>
        <v>1.0260417979680874E-2</v>
      </c>
      <c r="S944" s="66">
        <f t="shared" si="117"/>
        <v>2.005865496928607E-2</v>
      </c>
      <c r="T944" s="50">
        <f t="shared" si="118"/>
        <v>1</v>
      </c>
      <c r="U944" s="50">
        <f t="shared" si="119"/>
        <v>1</v>
      </c>
    </row>
    <row r="945" spans="1:21" x14ac:dyDescent="0.2">
      <c r="A945" s="38">
        <v>38505</v>
      </c>
      <c r="B945" s="4">
        <v>0.48609999999999998</v>
      </c>
      <c r="C945" s="4">
        <v>0.31940000000000002</v>
      </c>
      <c r="D945" s="4">
        <v>0.19439999999999999</v>
      </c>
      <c r="E945" s="50">
        <v>0.99990000000000001</v>
      </c>
      <c r="F945" s="50">
        <v>0.34228750000000002</v>
      </c>
      <c r="G945" s="50">
        <v>0.29170000000000001</v>
      </c>
      <c r="H945" s="50">
        <v>0.38490743662900001</v>
      </c>
      <c r="I945" s="50">
        <v>0.48829287047999997</v>
      </c>
      <c r="J945" s="50">
        <v>0.28152200277799999</v>
      </c>
      <c r="K945" s="50">
        <v>1205.6400000000001</v>
      </c>
      <c r="L945" s="50">
        <v>1191.03</v>
      </c>
      <c r="M945" s="50">
        <v>1202.22</v>
      </c>
      <c r="N945" s="66">
        <f t="shared" si="112"/>
        <v>-4.1257007868776398E-3</v>
      </c>
      <c r="O945" s="66">
        <f t="shared" si="113"/>
        <v>-1.9713529969557302E-3</v>
      </c>
      <c r="P945" s="4">
        <f t="shared" si="114"/>
        <v>0.29169999999999996</v>
      </c>
      <c r="Q945" s="4">
        <f t="shared" si="115"/>
        <v>0.1358</v>
      </c>
      <c r="R945" s="66">
        <f t="shared" si="116"/>
        <v>-4.1257007868776398E-3</v>
      </c>
      <c r="S945" s="66">
        <f t="shared" si="117"/>
        <v>-1.9713529969557302E-3</v>
      </c>
      <c r="T945" s="50" t="str">
        <f t="shared" si="118"/>
        <v/>
      </c>
      <c r="U945" s="50" t="str">
        <f t="shared" si="119"/>
        <v/>
      </c>
    </row>
    <row r="946" spans="1:21" x14ac:dyDescent="0.2">
      <c r="A946" s="38">
        <v>38512</v>
      </c>
      <c r="B946" s="4">
        <v>0.45979999999999999</v>
      </c>
      <c r="C946" s="4">
        <v>0.3448</v>
      </c>
      <c r="D946" s="4">
        <v>0.19539999999999999</v>
      </c>
      <c r="E946" s="50">
        <v>1</v>
      </c>
      <c r="F946" s="50">
        <v>0.37916250000000001</v>
      </c>
      <c r="G946" s="50">
        <v>0.26440000000000002</v>
      </c>
      <c r="H946" s="50">
        <v>0.38490743662900001</v>
      </c>
      <c r="I946" s="50">
        <v>0.48829287047999997</v>
      </c>
      <c r="J946" s="50">
        <v>0.28152200277799999</v>
      </c>
      <c r="K946" s="50">
        <v>1208.8499999999999</v>
      </c>
      <c r="L946" s="50">
        <v>1192.75</v>
      </c>
      <c r="M946" s="50">
        <v>1197.26</v>
      </c>
      <c r="N946" s="66">
        <f t="shared" si="112"/>
        <v>7.7844411406043272E-3</v>
      </c>
      <c r="O946" s="66">
        <f t="shared" si="113"/>
        <v>-1.9377578804937411E-3</v>
      </c>
      <c r="P946" s="4">
        <f t="shared" si="114"/>
        <v>0.26439999999999997</v>
      </c>
      <c r="Q946" s="4">
        <f t="shared" si="115"/>
        <v>0.2165</v>
      </c>
      <c r="R946" s="66">
        <f t="shared" si="116"/>
        <v>7.7844411406043272E-3</v>
      </c>
      <c r="S946" s="66">
        <f t="shared" si="117"/>
        <v>-1.9377578804937411E-3</v>
      </c>
      <c r="T946" s="50">
        <f t="shared" si="118"/>
        <v>1</v>
      </c>
      <c r="U946" s="50" t="str">
        <f t="shared" si="119"/>
        <v/>
      </c>
    </row>
    <row r="947" spans="1:21" x14ac:dyDescent="0.2">
      <c r="A947" s="38">
        <v>38519</v>
      </c>
      <c r="B947" s="4">
        <v>0.48049999999999998</v>
      </c>
      <c r="C947" s="4">
        <v>0.33119999999999999</v>
      </c>
      <c r="D947" s="4">
        <v>0.1883</v>
      </c>
      <c r="E947" s="50">
        <v>1</v>
      </c>
      <c r="F947" s="50">
        <v>0.393175</v>
      </c>
      <c r="G947" s="50">
        <v>0.29220000000000002</v>
      </c>
      <c r="H947" s="50">
        <v>0.38490743662900001</v>
      </c>
      <c r="I947" s="50">
        <v>0.48829287047999997</v>
      </c>
      <c r="J947" s="50">
        <v>0.28152200277799999</v>
      </c>
      <c r="K947" s="50">
        <v>1208.08</v>
      </c>
      <c r="L947" s="50">
        <v>1194.51</v>
      </c>
      <c r="M947" s="50">
        <v>1206.58</v>
      </c>
      <c r="N947" s="66">
        <f t="shared" si="112"/>
        <v>6.0501582986624862E-3</v>
      </c>
      <c r="O947" s="66">
        <f t="shared" si="113"/>
        <v>1.7686353163487004E-2</v>
      </c>
      <c r="P947" s="4">
        <f t="shared" si="114"/>
        <v>0.29220000000000002</v>
      </c>
      <c r="Q947" s="4">
        <f t="shared" si="115"/>
        <v>0.26387499999999997</v>
      </c>
      <c r="R947" s="66">
        <f t="shared" si="116"/>
        <v>6.0501582986624862E-3</v>
      </c>
      <c r="S947" s="66">
        <f t="shared" si="117"/>
        <v>1.7686353163487004E-2</v>
      </c>
      <c r="T947" s="50">
        <f t="shared" si="118"/>
        <v>1</v>
      </c>
      <c r="U947" s="50">
        <f t="shared" si="119"/>
        <v>1</v>
      </c>
    </row>
    <row r="948" spans="1:21" x14ac:dyDescent="0.2">
      <c r="A948" s="38">
        <v>38526</v>
      </c>
      <c r="B948" s="4">
        <v>0.46589999999999998</v>
      </c>
      <c r="C948" s="4">
        <v>0.3523</v>
      </c>
      <c r="D948" s="4">
        <v>0.18179999999999999</v>
      </c>
      <c r="E948" s="50">
        <v>1</v>
      </c>
      <c r="F948" s="50">
        <v>0.41422500000000001</v>
      </c>
      <c r="G948" s="50">
        <v>0.28410000000000002</v>
      </c>
      <c r="H948" s="50">
        <v>0.38490743662900001</v>
      </c>
      <c r="I948" s="50">
        <v>0.48829287047999997</v>
      </c>
      <c r="J948" s="50">
        <v>0.28152200277799999</v>
      </c>
      <c r="K948" s="50">
        <v>1219.5899999999999</v>
      </c>
      <c r="L948" s="50">
        <v>1210.6500000000001</v>
      </c>
      <c r="M948" s="50">
        <v>1213.8800000000001</v>
      </c>
      <c r="N948" s="66">
        <f t="shared" si="112"/>
        <v>-1.1557979371931492E-2</v>
      </c>
      <c r="O948" s="66">
        <f t="shared" si="113"/>
        <v>1.7563515339242705E-2</v>
      </c>
      <c r="P948" s="4">
        <f t="shared" si="114"/>
        <v>0.28410000000000002</v>
      </c>
      <c r="Q948" s="4">
        <f t="shared" si="115"/>
        <v>0.28310000000000002</v>
      </c>
      <c r="R948" s="66">
        <f t="shared" si="116"/>
        <v>-1.1557979371931492E-2</v>
      </c>
      <c r="S948" s="66">
        <f t="shared" si="117"/>
        <v>1.7563515339242705E-2</v>
      </c>
      <c r="T948" s="50" t="str">
        <f t="shared" si="118"/>
        <v/>
      </c>
      <c r="U948" s="50">
        <f t="shared" si="119"/>
        <v>1</v>
      </c>
    </row>
    <row r="949" spans="1:21" x14ac:dyDescent="0.2">
      <c r="A949" s="38">
        <v>38533</v>
      </c>
      <c r="B949" s="4">
        <v>0.45889999999999997</v>
      </c>
      <c r="C949" s="4">
        <v>0.24660000000000001</v>
      </c>
      <c r="D949" s="4">
        <v>0.29449999999999998</v>
      </c>
      <c r="E949" s="50">
        <v>1</v>
      </c>
      <c r="F949" s="50">
        <v>0.43587500000000001</v>
      </c>
      <c r="G949" s="50">
        <v>0.16439999999999999</v>
      </c>
      <c r="H949" s="50">
        <v>0.38490743662900001</v>
      </c>
      <c r="I949" s="50">
        <v>0.48829287047999997</v>
      </c>
      <c r="J949" s="50">
        <v>0.28152200277799999</v>
      </c>
      <c r="K949" s="50">
        <v>1204.07</v>
      </c>
      <c r="L949" s="50">
        <v>1188.3</v>
      </c>
      <c r="M949" s="50">
        <v>1199.8499999999999</v>
      </c>
      <c r="N949" s="66">
        <f t="shared" si="112"/>
        <v>-4.0921781889401631E-3</v>
      </c>
      <c r="O949" s="66">
        <f t="shared" si="113"/>
        <v>3.0787181731049763E-2</v>
      </c>
      <c r="P949" s="4">
        <f t="shared" si="114"/>
        <v>0.16439999999999999</v>
      </c>
      <c r="Q949" s="4">
        <f t="shared" si="115"/>
        <v>0.25127500000000003</v>
      </c>
      <c r="R949" s="66">
        <f t="shared" si="116"/>
        <v>-4.0921781889401631E-3</v>
      </c>
      <c r="S949" s="66">
        <f t="shared" si="117"/>
        <v>3.0787181731049763E-2</v>
      </c>
      <c r="T949" s="50" t="str">
        <f t="shared" si="118"/>
        <v/>
      </c>
      <c r="U949" s="50">
        <f t="shared" si="119"/>
        <v>1</v>
      </c>
    </row>
    <row r="950" spans="1:21" x14ac:dyDescent="0.2">
      <c r="A950" s="38">
        <v>38540</v>
      </c>
      <c r="B950" s="4">
        <v>0.43010799999999999</v>
      </c>
      <c r="C950" s="4">
        <v>0.365591</v>
      </c>
      <c r="D950" s="4">
        <v>0.20430100000000001</v>
      </c>
      <c r="E950" s="50">
        <v>1</v>
      </c>
      <c r="F950" s="50">
        <v>0.45148850000000001</v>
      </c>
      <c r="G950" s="50">
        <v>0.22580700000000001</v>
      </c>
      <c r="H950" s="50">
        <v>0.38490743662900001</v>
      </c>
      <c r="I950" s="50">
        <v>0.48829287047999997</v>
      </c>
      <c r="J950" s="50">
        <v>0.28152200277799999</v>
      </c>
      <c r="K950" s="50">
        <v>1206.3399999999999</v>
      </c>
      <c r="L950" s="50">
        <v>1192.49</v>
      </c>
      <c r="M950" s="50">
        <v>1194.94</v>
      </c>
      <c r="N950" s="66">
        <f t="shared" si="112"/>
        <v>2.7599712119436973E-2</v>
      </c>
      <c r="O950" s="66">
        <f t="shared" si="113"/>
        <v>4.1926791303328957E-2</v>
      </c>
      <c r="P950" s="4">
        <f t="shared" si="114"/>
        <v>0.22580699999999998</v>
      </c>
      <c r="Q950" s="4">
        <f t="shared" si="115"/>
        <v>0.24162675</v>
      </c>
      <c r="R950" s="66">
        <f t="shared" si="116"/>
        <v>2.7599712119436973E-2</v>
      </c>
      <c r="S950" s="66">
        <f t="shared" si="117"/>
        <v>4.1926791303328957E-2</v>
      </c>
      <c r="T950" s="50">
        <f t="shared" si="118"/>
        <v>1</v>
      </c>
      <c r="U950" s="50">
        <f t="shared" si="119"/>
        <v>1</v>
      </c>
    </row>
    <row r="951" spans="1:21" x14ac:dyDescent="0.2">
      <c r="A951" s="38">
        <v>38547</v>
      </c>
      <c r="B951" s="4">
        <v>0.57889999999999997</v>
      </c>
      <c r="C951" s="4">
        <v>0.28070000000000001</v>
      </c>
      <c r="D951" s="4">
        <v>0.1404</v>
      </c>
      <c r="E951" s="50">
        <v>1</v>
      </c>
      <c r="F951" s="50">
        <v>0.47520099999999998</v>
      </c>
      <c r="G951" s="50">
        <v>0.4385</v>
      </c>
      <c r="H951" s="50">
        <v>0.38490743662900001</v>
      </c>
      <c r="I951" s="50">
        <v>0.48829287047999997</v>
      </c>
      <c r="J951" s="50">
        <v>0.28152200277799999</v>
      </c>
      <c r="K951" s="50">
        <v>1233.1600000000001</v>
      </c>
      <c r="L951" s="50">
        <v>1211.8599999999999</v>
      </c>
      <c r="M951" s="50">
        <v>1227.92</v>
      </c>
      <c r="N951" s="66">
        <f t="shared" si="112"/>
        <v>5.9287249983712067E-3</v>
      </c>
      <c r="O951" s="66">
        <f t="shared" si="113"/>
        <v>9.8540621538865426E-4</v>
      </c>
      <c r="P951" s="4">
        <f t="shared" si="114"/>
        <v>0.4385</v>
      </c>
      <c r="Q951" s="4">
        <f t="shared" si="115"/>
        <v>0.27820175000000003</v>
      </c>
      <c r="R951" s="66">
        <f t="shared" si="116"/>
        <v>5.9287249983712067E-3</v>
      </c>
      <c r="S951" s="66">
        <f t="shared" si="117"/>
        <v>9.8540621538865426E-4</v>
      </c>
      <c r="T951" s="50">
        <f t="shared" si="118"/>
        <v>1</v>
      </c>
      <c r="U951" s="50">
        <f t="shared" si="119"/>
        <v>1</v>
      </c>
    </row>
    <row r="952" spans="1:21" x14ac:dyDescent="0.2">
      <c r="A952" s="38">
        <v>38554</v>
      </c>
      <c r="B952" s="4">
        <v>0.4118</v>
      </c>
      <c r="C952" s="4">
        <v>0.31369999999999998</v>
      </c>
      <c r="D952" s="4">
        <v>0.27450000000000002</v>
      </c>
      <c r="E952" s="50">
        <v>1</v>
      </c>
      <c r="F952" s="50">
        <v>0.471501</v>
      </c>
      <c r="G952" s="50">
        <v>0.13730000000000001</v>
      </c>
      <c r="H952" s="50">
        <v>0.38490743662900001</v>
      </c>
      <c r="I952" s="50">
        <v>0.48829287047999997</v>
      </c>
      <c r="J952" s="50">
        <v>0.28152200277799999</v>
      </c>
      <c r="K952" s="50">
        <v>1236.56</v>
      </c>
      <c r="L952" s="50">
        <v>1221.1300000000001</v>
      </c>
      <c r="M952" s="50">
        <v>1235.2</v>
      </c>
      <c r="N952" s="66">
        <f t="shared" si="112"/>
        <v>1.2872409326424208E-3</v>
      </c>
      <c r="O952" s="66">
        <f t="shared" si="113"/>
        <v>-1.2111398963730599E-2</v>
      </c>
      <c r="P952" s="4">
        <f t="shared" si="114"/>
        <v>0.13729999999999998</v>
      </c>
      <c r="Q952" s="4">
        <f t="shared" si="115"/>
        <v>0.24150174999999999</v>
      </c>
      <c r="R952" s="66">
        <f t="shared" si="116"/>
        <v>1.2872409326424208E-3</v>
      </c>
      <c r="S952" s="66">
        <f t="shared" si="117"/>
        <v>-1.2111398963730599E-2</v>
      </c>
      <c r="T952" s="50">
        <f t="shared" si="118"/>
        <v>1</v>
      </c>
      <c r="U952" s="50" t="str">
        <f t="shared" si="119"/>
        <v/>
      </c>
    </row>
    <row r="953" spans="1:21" x14ac:dyDescent="0.2">
      <c r="A953" s="38">
        <v>38561</v>
      </c>
      <c r="B953" s="4">
        <v>0.57520000000000004</v>
      </c>
      <c r="C953" s="4">
        <v>0.24840000000000001</v>
      </c>
      <c r="D953" s="4">
        <v>0.17649999999999999</v>
      </c>
      <c r="E953" s="50">
        <v>1.0001</v>
      </c>
      <c r="F953" s="50">
        <v>0.48263850000000003</v>
      </c>
      <c r="G953" s="50">
        <v>0.3987</v>
      </c>
      <c r="H953" s="50">
        <v>0.38490743662900001</v>
      </c>
      <c r="I953" s="50">
        <v>0.48829287047999997</v>
      </c>
      <c r="J953" s="50">
        <v>0.28152200277799999</v>
      </c>
      <c r="K953" s="50">
        <v>1238.3599999999999</v>
      </c>
      <c r="L953" s="50">
        <v>1228.1500000000001</v>
      </c>
      <c r="M953" s="50">
        <v>1236.79</v>
      </c>
      <c r="N953" s="66">
        <f t="shared" si="112"/>
        <v>6.6704937782485303E-3</v>
      </c>
      <c r="O953" s="66">
        <f t="shared" si="113"/>
        <v>-1.5524058247560254E-2</v>
      </c>
      <c r="P953" s="4">
        <f t="shared" si="114"/>
        <v>0.39870000000000005</v>
      </c>
      <c r="Q953" s="4">
        <f t="shared" si="115"/>
        <v>0.30007675</v>
      </c>
      <c r="R953" s="66">
        <f t="shared" si="116"/>
        <v>6.6704937782485303E-3</v>
      </c>
      <c r="S953" s="66">
        <f t="shared" si="117"/>
        <v>-1.5524058247560254E-2</v>
      </c>
      <c r="T953" s="50">
        <f t="shared" si="118"/>
        <v>1</v>
      </c>
      <c r="U953" s="50" t="str">
        <f t="shared" si="119"/>
        <v/>
      </c>
    </row>
    <row r="954" spans="1:21" x14ac:dyDescent="0.2">
      <c r="A954" s="38">
        <v>38568</v>
      </c>
      <c r="B954" s="4">
        <v>0.4783</v>
      </c>
      <c r="C954" s="4">
        <v>0.26090000000000002</v>
      </c>
      <c r="D954" s="4">
        <v>0.26090000000000002</v>
      </c>
      <c r="E954" s="50">
        <v>1.0001</v>
      </c>
      <c r="F954" s="50">
        <v>0.48495100000000002</v>
      </c>
      <c r="G954" s="50">
        <v>0.21740000000000001</v>
      </c>
      <c r="H954" s="50">
        <v>0.38490743662900001</v>
      </c>
      <c r="I954" s="50">
        <v>0.48829287047999997</v>
      </c>
      <c r="J954" s="50">
        <v>0.28152200277799999</v>
      </c>
      <c r="K954" s="50">
        <v>1245.8599999999999</v>
      </c>
      <c r="L954" s="50">
        <v>1233.8</v>
      </c>
      <c r="M954" s="50">
        <v>1245.04</v>
      </c>
      <c r="N954" s="66">
        <f t="shared" si="112"/>
        <v>-1.2778705905031048E-2</v>
      </c>
      <c r="O954" s="66">
        <f t="shared" si="113"/>
        <v>-1.9846751911585199E-2</v>
      </c>
      <c r="P954" s="4">
        <f t="shared" si="114"/>
        <v>0.21739999999999998</v>
      </c>
      <c r="Q954" s="4">
        <f t="shared" si="115"/>
        <v>0.29797499999999999</v>
      </c>
      <c r="R954" s="66">
        <f t="shared" si="116"/>
        <v>-1.2778705905031048E-2</v>
      </c>
      <c r="S954" s="66">
        <f t="shared" si="117"/>
        <v>-1.9846751911585199E-2</v>
      </c>
      <c r="T954" s="50" t="str">
        <f t="shared" si="118"/>
        <v/>
      </c>
      <c r="U954" s="50" t="str">
        <f t="shared" si="119"/>
        <v/>
      </c>
    </row>
    <row r="955" spans="1:21" x14ac:dyDescent="0.2">
      <c r="A955" s="38">
        <v>38575</v>
      </c>
      <c r="B955" s="4">
        <v>0.39739999999999998</v>
      </c>
      <c r="C955" s="4">
        <v>0.31409999999999999</v>
      </c>
      <c r="D955" s="4">
        <v>0.28849999999999998</v>
      </c>
      <c r="E955" s="50">
        <v>1</v>
      </c>
      <c r="F955" s="50">
        <v>0.47456350000000003</v>
      </c>
      <c r="G955" s="50">
        <v>0.1089</v>
      </c>
      <c r="H955" s="50">
        <v>0.38490743662900001</v>
      </c>
      <c r="I955" s="50">
        <v>0.48829287047999997</v>
      </c>
      <c r="J955" s="50">
        <v>0.28152200277799999</v>
      </c>
      <c r="K955" s="50">
        <v>1242.69</v>
      </c>
      <c r="L955" s="50">
        <v>1222.67</v>
      </c>
      <c r="M955" s="50">
        <v>1229.1300000000001</v>
      </c>
      <c r="N955" s="66">
        <f t="shared" si="112"/>
        <v>-7.2327581297341199E-3</v>
      </c>
      <c r="O955" s="66">
        <f t="shared" si="113"/>
        <v>5.8822093676013038E-3</v>
      </c>
      <c r="P955" s="4">
        <f t="shared" si="114"/>
        <v>0.1089</v>
      </c>
      <c r="Q955" s="4">
        <f t="shared" si="115"/>
        <v>0.21557500000000002</v>
      </c>
      <c r="R955" s="66">
        <f t="shared" si="116"/>
        <v>-7.2327581297341199E-3</v>
      </c>
      <c r="S955" s="66">
        <f t="shared" si="117"/>
        <v>5.8822093676013038E-3</v>
      </c>
      <c r="T955" s="50" t="str">
        <f t="shared" si="118"/>
        <v/>
      </c>
      <c r="U955" s="50">
        <f t="shared" si="119"/>
        <v>1</v>
      </c>
    </row>
    <row r="956" spans="1:21" x14ac:dyDescent="0.2">
      <c r="A956" s="38">
        <v>38582</v>
      </c>
      <c r="B956" s="4">
        <v>0.29289999999999999</v>
      </c>
      <c r="C956" s="4">
        <v>0.30299999999999999</v>
      </c>
      <c r="D956" s="4">
        <v>0.40400000000000003</v>
      </c>
      <c r="E956" s="50">
        <v>0.99990000000000001</v>
      </c>
      <c r="F956" s="50">
        <v>0.45293850000000002</v>
      </c>
      <c r="G956" s="50">
        <v>-0.1111</v>
      </c>
      <c r="H956" s="50">
        <v>0.38490743662900001</v>
      </c>
      <c r="I956" s="50">
        <v>0.48829287047999997</v>
      </c>
      <c r="J956" s="50">
        <v>0.28152200277799999</v>
      </c>
      <c r="K956" s="50">
        <v>1236.24</v>
      </c>
      <c r="L956" s="50">
        <v>1218.07</v>
      </c>
      <c r="M956" s="50">
        <v>1220.24</v>
      </c>
      <c r="N956" s="66">
        <f t="shared" si="112"/>
        <v>-2.1717039270963833E-3</v>
      </c>
      <c r="O956" s="66">
        <f t="shared" si="113"/>
        <v>5.6710155379270247E-3</v>
      </c>
      <c r="P956" s="4">
        <f t="shared" si="114"/>
        <v>-0.11110000000000003</v>
      </c>
      <c r="Q956" s="4">
        <f t="shared" si="115"/>
        <v>0.15347500000000003</v>
      </c>
      <c r="R956" s="66">
        <f t="shared" si="116"/>
        <v>-2.1717039270963833E-3</v>
      </c>
      <c r="S956" s="66">
        <f t="shared" si="117"/>
        <v>5.6710155379270247E-3</v>
      </c>
      <c r="T956" s="50" t="str">
        <f t="shared" si="118"/>
        <v/>
      </c>
      <c r="U956" s="50">
        <f t="shared" si="119"/>
        <v>1</v>
      </c>
    </row>
    <row r="957" spans="1:21" x14ac:dyDescent="0.2">
      <c r="A957" s="38">
        <v>38589</v>
      </c>
      <c r="B957" s="4">
        <v>0.3614</v>
      </c>
      <c r="C957" s="4">
        <v>0.32529999999999998</v>
      </c>
      <c r="D957" s="4">
        <v>0.31330000000000002</v>
      </c>
      <c r="E957" s="50">
        <v>1</v>
      </c>
      <c r="F957" s="50">
        <v>0.440751</v>
      </c>
      <c r="G957" s="50">
        <v>4.8099999999999997E-2</v>
      </c>
      <c r="H957" s="50">
        <v>0.38490743662900001</v>
      </c>
      <c r="I957" s="50">
        <v>0.48829287047999997</v>
      </c>
      <c r="J957" s="50">
        <v>0.28152200277799999</v>
      </c>
      <c r="K957" s="50">
        <v>1228.96</v>
      </c>
      <c r="L957" s="50">
        <v>1214.44</v>
      </c>
      <c r="M957" s="50">
        <v>1217.5899999999999</v>
      </c>
      <c r="N957" s="66">
        <f t="shared" si="112"/>
        <v>2.2503469969365792E-3</v>
      </c>
      <c r="O957" s="66">
        <f t="shared" si="113"/>
        <v>-6.0693665355332034E-3</v>
      </c>
      <c r="P957" s="4">
        <f t="shared" si="114"/>
        <v>4.8099999999999976E-2</v>
      </c>
      <c r="Q957" s="4">
        <f t="shared" si="115"/>
        <v>6.5824999999999981E-2</v>
      </c>
      <c r="R957" s="66">
        <f t="shared" si="116"/>
        <v>2.2503469969365792E-3</v>
      </c>
      <c r="S957" s="66">
        <f t="shared" si="117"/>
        <v>-6.0693665355332034E-3</v>
      </c>
      <c r="T957" s="50">
        <f t="shared" si="118"/>
        <v>1</v>
      </c>
      <c r="U957" s="50" t="str">
        <f t="shared" si="119"/>
        <v/>
      </c>
    </row>
    <row r="958" spans="1:21" x14ac:dyDescent="0.2">
      <c r="A958" s="38">
        <v>38596</v>
      </c>
      <c r="B958" s="4">
        <v>0.31759999999999999</v>
      </c>
      <c r="C958" s="4">
        <v>0.30590000000000001</v>
      </c>
      <c r="D958" s="4">
        <v>0.3765</v>
      </c>
      <c r="E958" s="50">
        <v>1</v>
      </c>
      <c r="F958" s="50">
        <v>0.4266875</v>
      </c>
      <c r="G958" s="50">
        <v>-5.8900000000000001E-2</v>
      </c>
      <c r="H958" s="50">
        <v>0.38490743662900001</v>
      </c>
      <c r="I958" s="50">
        <v>0.48829287047999997</v>
      </c>
      <c r="J958" s="50">
        <v>0.28152200277799999</v>
      </c>
      <c r="K958" s="50">
        <v>1220.3599999999999</v>
      </c>
      <c r="L958" s="50">
        <v>1201.07</v>
      </c>
      <c r="M958" s="50">
        <v>1220.33</v>
      </c>
      <c r="N958" s="66">
        <f t="shared" si="112"/>
        <v>1.3135791138462525E-2</v>
      </c>
      <c r="O958" s="66">
        <f t="shared" si="113"/>
        <v>-2.8189096391958136E-3</v>
      </c>
      <c r="P958" s="4">
        <f t="shared" si="114"/>
        <v>-5.8900000000000008E-2</v>
      </c>
      <c r="Q958" s="4">
        <f t="shared" si="115"/>
        <v>-3.2500000000000168E-3</v>
      </c>
      <c r="R958" s="66">
        <f t="shared" si="116"/>
        <v>1.3135791138462525E-2</v>
      </c>
      <c r="S958" s="66">
        <f t="shared" si="117"/>
        <v>-2.8189096391958136E-3</v>
      </c>
      <c r="T958" s="50">
        <f t="shared" si="118"/>
        <v>1</v>
      </c>
      <c r="U958" s="50" t="str">
        <f t="shared" si="119"/>
        <v/>
      </c>
    </row>
    <row r="959" spans="1:21" x14ac:dyDescent="0.2">
      <c r="A959" s="38">
        <v>38603</v>
      </c>
      <c r="B959" s="4">
        <v>0.42309999999999998</v>
      </c>
      <c r="C959" s="4">
        <v>0.25</v>
      </c>
      <c r="D959" s="4">
        <v>0.32690000000000002</v>
      </c>
      <c r="E959" s="50">
        <v>1</v>
      </c>
      <c r="F959" s="50">
        <v>0.40721249999999998</v>
      </c>
      <c r="G959" s="50">
        <v>9.6199999999999994E-2</v>
      </c>
      <c r="H959" s="50">
        <v>0.38490743662900001</v>
      </c>
      <c r="I959" s="50">
        <v>0.48829287047999997</v>
      </c>
      <c r="J959" s="50">
        <v>0.28152200277799999</v>
      </c>
      <c r="K959" s="50">
        <v>1237.06</v>
      </c>
      <c r="L959" s="50">
        <v>1218.02</v>
      </c>
      <c r="M959" s="50">
        <v>1236.3599999999999</v>
      </c>
      <c r="N959" s="66">
        <f t="shared" si="112"/>
        <v>-7.4411983564656075E-3</v>
      </c>
      <c r="O959" s="66">
        <f t="shared" si="113"/>
        <v>-3.2328771555210301E-2</v>
      </c>
      <c r="P959" s="4">
        <f t="shared" si="114"/>
        <v>9.6199999999999952E-2</v>
      </c>
      <c r="Q959" s="4">
        <f t="shared" si="115"/>
        <v>-6.4250000000000279E-3</v>
      </c>
      <c r="R959" s="66">
        <f t="shared" si="116"/>
        <v>-7.4411983564656075E-3</v>
      </c>
      <c r="S959" s="66">
        <f t="shared" si="117"/>
        <v>-3.2328771555210301E-2</v>
      </c>
      <c r="T959" s="50" t="str">
        <f t="shared" si="118"/>
        <v/>
      </c>
      <c r="U959" s="50" t="str">
        <f t="shared" si="119"/>
        <v/>
      </c>
    </row>
    <row r="960" spans="1:21" x14ac:dyDescent="0.2">
      <c r="A960" s="38">
        <v>38610</v>
      </c>
      <c r="B960" s="4">
        <v>0.51429999999999998</v>
      </c>
      <c r="C960" s="4">
        <v>0.2</v>
      </c>
      <c r="D960" s="4">
        <v>0.28570000000000001</v>
      </c>
      <c r="E960" s="50">
        <v>1</v>
      </c>
      <c r="F960" s="50">
        <v>0.42002499999999998</v>
      </c>
      <c r="G960" s="50">
        <v>0.2286</v>
      </c>
      <c r="H960" s="50">
        <v>0.38490743662900001</v>
      </c>
      <c r="I960" s="50">
        <v>0.48829287047999997</v>
      </c>
      <c r="J960" s="50">
        <v>0.28152200277799999</v>
      </c>
      <c r="K960" s="50">
        <v>1242.5999999999999</v>
      </c>
      <c r="L960" s="50">
        <v>1226.1600000000001</v>
      </c>
      <c r="M960" s="50">
        <v>1227.1600000000001</v>
      </c>
      <c r="N960" s="66">
        <f t="shared" si="112"/>
        <v>-1.3820528700413993E-2</v>
      </c>
      <c r="O960" s="66">
        <f t="shared" si="113"/>
        <v>-4.0320740571726597E-2</v>
      </c>
      <c r="P960" s="4">
        <f t="shared" si="114"/>
        <v>0.22859999999999997</v>
      </c>
      <c r="Q960" s="4">
        <f t="shared" si="115"/>
        <v>7.8499999999999973E-2</v>
      </c>
      <c r="R960" s="66">
        <f t="shared" si="116"/>
        <v>-1.3820528700413993E-2</v>
      </c>
      <c r="S960" s="66">
        <f t="shared" si="117"/>
        <v>-4.0320740571726597E-2</v>
      </c>
      <c r="T960" s="50" t="str">
        <f t="shared" si="118"/>
        <v/>
      </c>
      <c r="U960" s="50" t="str">
        <f t="shared" si="119"/>
        <v/>
      </c>
    </row>
    <row r="961" spans="1:21" x14ac:dyDescent="0.2">
      <c r="A961" s="38">
        <v>38617</v>
      </c>
      <c r="B961" s="4">
        <v>0.3947</v>
      </c>
      <c r="C961" s="4">
        <v>0.28070000000000001</v>
      </c>
      <c r="D961" s="4">
        <v>0.3246</v>
      </c>
      <c r="E961" s="50">
        <v>1</v>
      </c>
      <c r="F961" s="50">
        <v>0.3974625</v>
      </c>
      <c r="G961" s="50">
        <v>7.0099999999999996E-2</v>
      </c>
      <c r="H961" s="50">
        <v>0.38490743662900001</v>
      </c>
      <c r="I961" s="50">
        <v>0.48829287047999997</v>
      </c>
      <c r="J961" s="50">
        <v>0.28152200277799999</v>
      </c>
      <c r="K961" s="50">
        <v>1237.9100000000001</v>
      </c>
      <c r="L961" s="50">
        <v>1209.8900000000001</v>
      </c>
      <c r="M961" s="50">
        <v>1210.2</v>
      </c>
      <c r="N961" s="66">
        <f t="shared" si="112"/>
        <v>5.5280118988597377E-3</v>
      </c>
      <c r="O961" s="66">
        <f t="shared" si="113"/>
        <v>-1.1931912080647871E-2</v>
      </c>
      <c r="P961" s="4">
        <f t="shared" si="114"/>
        <v>7.0099999999999996E-2</v>
      </c>
      <c r="Q961" s="4">
        <f t="shared" si="115"/>
        <v>8.3999999999999977E-2</v>
      </c>
      <c r="R961" s="66">
        <f t="shared" si="116"/>
        <v>5.5280118988597377E-3</v>
      </c>
      <c r="S961" s="66">
        <f t="shared" si="117"/>
        <v>-1.1931912080647871E-2</v>
      </c>
      <c r="T961" s="50">
        <f t="shared" si="118"/>
        <v>1</v>
      </c>
      <c r="U961" s="50" t="str">
        <f t="shared" si="119"/>
        <v/>
      </c>
    </row>
    <row r="962" spans="1:21" x14ac:dyDescent="0.2">
      <c r="A962" s="38">
        <v>38624</v>
      </c>
      <c r="B962" s="4">
        <v>0.31879999999999997</v>
      </c>
      <c r="C962" s="4">
        <v>0.28989999999999999</v>
      </c>
      <c r="D962" s="4">
        <v>0.39129999999999998</v>
      </c>
      <c r="E962" s="50">
        <v>1</v>
      </c>
      <c r="F962" s="50">
        <v>0.377525</v>
      </c>
      <c r="G962" s="50">
        <v>-7.2499999999999995E-2</v>
      </c>
      <c r="H962" s="50">
        <v>0.38490743662900001</v>
      </c>
      <c r="I962" s="50">
        <v>0.48829287047999997</v>
      </c>
      <c r="J962" s="50">
        <v>0.28152200277799999</v>
      </c>
      <c r="K962" s="50">
        <v>1222.56</v>
      </c>
      <c r="L962" s="50">
        <v>1211.1099999999999</v>
      </c>
      <c r="M962" s="50">
        <v>1216.8900000000001</v>
      </c>
      <c r="N962" s="66">
        <f t="shared" si="112"/>
        <v>-1.6846222748153079E-2</v>
      </c>
      <c r="O962" s="66">
        <f t="shared" si="113"/>
        <v>-2.0963275234409016E-2</v>
      </c>
      <c r="P962" s="4">
        <f t="shared" si="114"/>
        <v>-7.2500000000000009E-2</v>
      </c>
      <c r="Q962" s="4">
        <f t="shared" si="115"/>
        <v>8.0599999999999977E-2</v>
      </c>
      <c r="R962" s="66">
        <f t="shared" si="116"/>
        <v>-1.6846222748153079E-2</v>
      </c>
      <c r="S962" s="66">
        <f t="shared" si="117"/>
        <v>-2.0963275234409016E-2</v>
      </c>
      <c r="T962" s="50" t="str">
        <f t="shared" si="118"/>
        <v/>
      </c>
      <c r="U962" s="50" t="str">
        <f t="shared" si="119"/>
        <v/>
      </c>
    </row>
    <row r="963" spans="1:21" x14ac:dyDescent="0.2">
      <c r="A963" s="38">
        <v>38631</v>
      </c>
      <c r="B963" s="4">
        <v>0.5</v>
      </c>
      <c r="C963" s="4">
        <v>0.2258</v>
      </c>
      <c r="D963" s="4">
        <v>0.2742</v>
      </c>
      <c r="E963" s="50">
        <v>1</v>
      </c>
      <c r="F963" s="50">
        <v>0.39034999999999997</v>
      </c>
      <c r="G963" s="50">
        <v>0.2258</v>
      </c>
      <c r="H963" s="50">
        <v>0.38490743662900001</v>
      </c>
      <c r="I963" s="50">
        <v>0.48829287047999997</v>
      </c>
      <c r="J963" s="50">
        <v>0.28152200277799999</v>
      </c>
      <c r="K963" s="50">
        <v>1233.3399999999999</v>
      </c>
      <c r="L963" s="50">
        <v>1196.25</v>
      </c>
      <c r="M963" s="50">
        <v>1196.3900000000001</v>
      </c>
      <c r="N963" s="66">
        <f t="shared" si="112"/>
        <v>-1.5638713128662086E-2</v>
      </c>
      <c r="O963" s="66">
        <f t="shared" si="113"/>
        <v>1.5354524862293975E-2</v>
      </c>
      <c r="P963" s="4">
        <f t="shared" si="114"/>
        <v>0.2258</v>
      </c>
      <c r="Q963" s="4">
        <f t="shared" si="115"/>
        <v>0.11299999999999999</v>
      </c>
      <c r="R963" s="66">
        <f t="shared" si="116"/>
        <v>-1.5638713128662086E-2</v>
      </c>
      <c r="S963" s="66">
        <f t="shared" si="117"/>
        <v>1.5354524862293975E-2</v>
      </c>
      <c r="T963" s="50" t="str">
        <f t="shared" si="118"/>
        <v/>
      </c>
      <c r="U963" s="50">
        <f t="shared" si="119"/>
        <v>1</v>
      </c>
    </row>
    <row r="964" spans="1:21" x14ac:dyDescent="0.2">
      <c r="A964" s="38">
        <v>38638</v>
      </c>
      <c r="B964" s="4">
        <v>0.3896</v>
      </c>
      <c r="C964" s="4">
        <v>0.12989999999999999</v>
      </c>
      <c r="D964" s="4">
        <v>0.48049999999999998</v>
      </c>
      <c r="E964" s="50">
        <v>1</v>
      </c>
      <c r="F964" s="50">
        <v>0.4024375</v>
      </c>
      <c r="G964" s="50">
        <v>-9.0899999999999995E-2</v>
      </c>
      <c r="H964" s="50">
        <v>0.38490743662900001</v>
      </c>
      <c r="I964" s="50">
        <v>0.48829287047999997</v>
      </c>
      <c r="J964" s="50">
        <v>0.28152200277799999</v>
      </c>
      <c r="K964" s="50">
        <v>1196.52</v>
      </c>
      <c r="L964" s="50">
        <v>1173.6500000000001</v>
      </c>
      <c r="M964" s="50">
        <v>1177.68</v>
      </c>
      <c r="N964" s="66">
        <f t="shared" si="112"/>
        <v>1.5352217919978199E-2</v>
      </c>
      <c r="O964" s="66">
        <f t="shared" si="113"/>
        <v>3.6486991372868711E-2</v>
      </c>
      <c r="P964" s="4">
        <f t="shared" si="114"/>
        <v>-9.0899999999999981E-2</v>
      </c>
      <c r="Q964" s="4">
        <f t="shared" si="115"/>
        <v>3.3125000000000002E-2</v>
      </c>
      <c r="R964" s="66">
        <f t="shared" si="116"/>
        <v>1.5352217919978199E-2</v>
      </c>
      <c r="S964" s="66">
        <f t="shared" si="117"/>
        <v>3.6486991372868711E-2</v>
      </c>
      <c r="T964" s="50">
        <f t="shared" si="118"/>
        <v>1</v>
      </c>
      <c r="U964" s="50">
        <f t="shared" si="119"/>
        <v>1</v>
      </c>
    </row>
    <row r="965" spans="1:21" x14ac:dyDescent="0.2">
      <c r="A965" s="38">
        <v>38645</v>
      </c>
      <c r="B965" s="4">
        <v>0.43109999999999998</v>
      </c>
      <c r="C965" s="4">
        <v>0.20960000000000001</v>
      </c>
      <c r="D965" s="4">
        <v>0.35930000000000001</v>
      </c>
      <c r="E965" s="50">
        <v>1</v>
      </c>
      <c r="F965" s="50">
        <v>0.41115000000000002</v>
      </c>
      <c r="G965" s="50">
        <v>7.1800000000000003E-2</v>
      </c>
      <c r="H965" s="50">
        <v>0.38490743662900001</v>
      </c>
      <c r="I965" s="50">
        <v>0.48829287047999997</v>
      </c>
      <c r="J965" s="50">
        <v>0.28152200277799999</v>
      </c>
      <c r="K965" s="50">
        <v>1195.76</v>
      </c>
      <c r="L965" s="50">
        <v>1170.55</v>
      </c>
      <c r="M965" s="50">
        <v>1195.76</v>
      </c>
      <c r="N965" s="66">
        <f t="shared" si="112"/>
        <v>-3.6629423964674199E-3</v>
      </c>
      <c r="O965" s="66">
        <f t="shared" si="113"/>
        <v>3.2581788987756773E-2</v>
      </c>
      <c r="P965" s="4">
        <f t="shared" si="114"/>
        <v>7.1799999999999975E-2</v>
      </c>
      <c r="Q965" s="4">
        <f t="shared" si="115"/>
        <v>3.3549999999999996E-2</v>
      </c>
      <c r="R965" s="66">
        <f t="shared" si="116"/>
        <v>-3.6629423964674199E-3</v>
      </c>
      <c r="S965" s="66">
        <f t="shared" si="117"/>
        <v>3.2581788987756773E-2</v>
      </c>
      <c r="T965" s="50" t="str">
        <f t="shared" si="118"/>
        <v/>
      </c>
      <c r="U965" s="50">
        <f t="shared" si="119"/>
        <v>1</v>
      </c>
    </row>
    <row r="966" spans="1:21" x14ac:dyDescent="0.2">
      <c r="A966" s="38">
        <v>38652</v>
      </c>
      <c r="B966" s="4">
        <v>0.32050000000000001</v>
      </c>
      <c r="C966" s="4">
        <v>0.21790000000000001</v>
      </c>
      <c r="D966" s="4">
        <v>0.46150000000000002</v>
      </c>
      <c r="E966" s="50">
        <v>0.99990000000000001</v>
      </c>
      <c r="F966" s="50">
        <v>0.4115125</v>
      </c>
      <c r="G966" s="50">
        <v>-0.14099999999999999</v>
      </c>
      <c r="H966" s="50">
        <v>0.38490743662900001</v>
      </c>
      <c r="I966" s="50">
        <v>0.48829287047999997</v>
      </c>
      <c r="J966" s="50">
        <v>0.28152200277799999</v>
      </c>
      <c r="K966" s="50">
        <v>1204.01</v>
      </c>
      <c r="L966" s="50">
        <v>1179.5899999999999</v>
      </c>
      <c r="M966" s="50">
        <v>1191.3800000000001</v>
      </c>
      <c r="N966" s="66">
        <f t="shared" si="112"/>
        <v>1.9624301230505698E-2</v>
      </c>
      <c r="O966" s="66">
        <f t="shared" si="113"/>
        <v>6.2305897362722039E-2</v>
      </c>
      <c r="P966" s="4">
        <f t="shared" si="114"/>
        <v>-0.14100000000000001</v>
      </c>
      <c r="Q966" s="4">
        <f t="shared" si="115"/>
        <v>1.6424999999999995E-2</v>
      </c>
      <c r="R966" s="66">
        <f t="shared" si="116"/>
        <v>1.9624301230505698E-2</v>
      </c>
      <c r="S966" s="66">
        <f t="shared" si="117"/>
        <v>6.2305897362722039E-2</v>
      </c>
      <c r="T966" s="50">
        <f t="shared" si="118"/>
        <v>1</v>
      </c>
      <c r="U966" s="50">
        <f t="shared" si="119"/>
        <v>1</v>
      </c>
    </row>
    <row r="967" spans="1:21" x14ac:dyDescent="0.2">
      <c r="A967" s="38">
        <v>38659</v>
      </c>
      <c r="B967" s="4">
        <v>0.42949999999999999</v>
      </c>
      <c r="C967" s="4">
        <v>0.2949</v>
      </c>
      <c r="D967" s="4">
        <v>0.27560000000000001</v>
      </c>
      <c r="E967" s="50">
        <v>1</v>
      </c>
      <c r="F967" s="50">
        <v>0.41231250000000003</v>
      </c>
      <c r="G967" s="50">
        <v>0.15390000000000001</v>
      </c>
      <c r="H967" s="50">
        <v>0.38490743662900001</v>
      </c>
      <c r="I967" s="50">
        <v>0.48829287047999997</v>
      </c>
      <c r="J967" s="50">
        <v>0.28152200277799999</v>
      </c>
      <c r="K967" s="50">
        <v>1215.17</v>
      </c>
      <c r="L967" s="50">
        <v>1198.4100000000001</v>
      </c>
      <c r="M967" s="50">
        <v>1214.76</v>
      </c>
      <c r="N967" s="66">
        <f t="shared" si="112"/>
        <v>4.8486943923080278E-3</v>
      </c>
      <c r="O967" s="66">
        <f t="shared" si="113"/>
        <v>2.8581777470446861E-2</v>
      </c>
      <c r="P967" s="4">
        <f t="shared" si="114"/>
        <v>0.15389999999999998</v>
      </c>
      <c r="Q967" s="4">
        <f t="shared" si="115"/>
        <v>-1.5500000000000097E-3</v>
      </c>
      <c r="R967" s="66">
        <f t="shared" si="116"/>
        <v>4.8486943923080278E-3</v>
      </c>
      <c r="S967" s="66">
        <f t="shared" si="117"/>
        <v>2.8581777470446861E-2</v>
      </c>
      <c r="T967" s="50">
        <f t="shared" si="118"/>
        <v>1</v>
      </c>
      <c r="U967" s="50">
        <f t="shared" si="119"/>
        <v>1</v>
      </c>
    </row>
    <row r="968" spans="1:21" x14ac:dyDescent="0.2">
      <c r="A968" s="38">
        <v>38666</v>
      </c>
      <c r="B968" s="4">
        <v>0.58620000000000005</v>
      </c>
      <c r="C968" s="4">
        <v>0.18390000000000001</v>
      </c>
      <c r="D968" s="4">
        <v>0.22989999999999999</v>
      </c>
      <c r="E968" s="50">
        <v>1</v>
      </c>
      <c r="F968" s="50">
        <v>0.42130000000000001</v>
      </c>
      <c r="G968" s="50">
        <v>0.35630000000000001</v>
      </c>
      <c r="H968" s="50">
        <v>0.38490743662900001</v>
      </c>
      <c r="I968" s="50">
        <v>0.48829287047999997</v>
      </c>
      <c r="J968" s="50">
        <v>0.28152200277799999</v>
      </c>
      <c r="K968" s="50">
        <v>1226.5899999999999</v>
      </c>
      <c r="L968" s="50">
        <v>1216.08</v>
      </c>
      <c r="M968" s="50">
        <v>1220.6500000000001</v>
      </c>
      <c r="N968" s="66">
        <f t="shared" si="112"/>
        <v>1.1526645639618183E-2</v>
      </c>
      <c r="O968" s="66">
        <f t="shared" si="113"/>
        <v>3.0082333183139964E-2</v>
      </c>
      <c r="P968" s="4">
        <f t="shared" si="114"/>
        <v>0.35630000000000006</v>
      </c>
      <c r="Q968" s="4">
        <f t="shared" si="115"/>
        <v>0.11025</v>
      </c>
      <c r="R968" s="66">
        <f t="shared" si="116"/>
        <v>1.1526645639618183E-2</v>
      </c>
      <c r="S968" s="66">
        <f t="shared" si="117"/>
        <v>3.0082333183139964E-2</v>
      </c>
      <c r="T968" s="50">
        <f t="shared" si="118"/>
        <v>1</v>
      </c>
      <c r="U968" s="50">
        <f t="shared" si="119"/>
        <v>1</v>
      </c>
    </row>
    <row r="969" spans="1:21" x14ac:dyDescent="0.2">
      <c r="A969" s="38">
        <v>38673</v>
      </c>
      <c r="B969" s="4">
        <v>0.5363</v>
      </c>
      <c r="C969" s="4">
        <v>0.24579999999999999</v>
      </c>
      <c r="D969" s="4">
        <v>0.21790000000000001</v>
      </c>
      <c r="E969" s="50">
        <v>1</v>
      </c>
      <c r="F969" s="50">
        <v>0.439</v>
      </c>
      <c r="G969" s="50">
        <v>0.31840000000000002</v>
      </c>
      <c r="H969" s="50">
        <v>0.38490743662900001</v>
      </c>
      <c r="I969" s="50">
        <v>0.48829287047999997</v>
      </c>
      <c r="J969" s="50">
        <v>0.28152200277799999</v>
      </c>
      <c r="K969" s="50">
        <v>1235.7</v>
      </c>
      <c r="L969" s="50">
        <v>1215.05</v>
      </c>
      <c r="M969" s="50">
        <v>1234.72</v>
      </c>
      <c r="N969" s="66">
        <f t="shared" si="112"/>
        <v>2.501781780484634E-2</v>
      </c>
      <c r="O969" s="66">
        <f t="shared" si="113"/>
        <v>2.6491836205779478E-2</v>
      </c>
      <c r="P969" s="4">
        <f t="shared" si="114"/>
        <v>0.31840000000000002</v>
      </c>
      <c r="Q969" s="4">
        <f t="shared" si="115"/>
        <v>0.1719</v>
      </c>
      <c r="R969" s="66">
        <f t="shared" si="116"/>
        <v>2.501781780484634E-2</v>
      </c>
      <c r="S969" s="66">
        <f t="shared" si="117"/>
        <v>2.6491836205779478E-2</v>
      </c>
      <c r="T969" s="50">
        <f t="shared" si="118"/>
        <v>1</v>
      </c>
      <c r="U969" s="50">
        <f t="shared" si="119"/>
        <v>1</v>
      </c>
    </row>
    <row r="970" spans="1:21" x14ac:dyDescent="0.2">
      <c r="A970" s="38">
        <v>38680</v>
      </c>
      <c r="B970" s="4">
        <v>0.57330000000000003</v>
      </c>
      <c r="C970" s="4">
        <v>0.26669999999999999</v>
      </c>
      <c r="D970" s="4">
        <v>0.16</v>
      </c>
      <c r="E970" s="50">
        <v>1</v>
      </c>
      <c r="F970" s="50">
        <v>0.47081250000000002</v>
      </c>
      <c r="G970" s="50">
        <v>0.4133</v>
      </c>
      <c r="H970" s="50">
        <v>0.38490743662900001</v>
      </c>
      <c r="I970" s="50">
        <v>0.48829287047999997</v>
      </c>
      <c r="J970" s="50">
        <v>0.28152200277799999</v>
      </c>
      <c r="K970" s="50">
        <v>1270.6400000000001</v>
      </c>
      <c r="L970" s="50">
        <v>1259.51</v>
      </c>
      <c r="M970" s="50">
        <v>1265.6099999999999</v>
      </c>
      <c r="N970" s="66">
        <f t="shared" si="112"/>
        <v>-1.2744842408008694E-2</v>
      </c>
      <c r="O970" s="66">
        <f t="shared" si="113"/>
        <v>2.4099051050483025E-3</v>
      </c>
      <c r="P970" s="4">
        <f t="shared" si="114"/>
        <v>0.4133</v>
      </c>
      <c r="Q970" s="4">
        <f t="shared" si="115"/>
        <v>0.310475</v>
      </c>
      <c r="R970" s="66">
        <f t="shared" si="116"/>
        <v>-1.2744842408008694E-2</v>
      </c>
      <c r="S970" s="66">
        <f t="shared" si="117"/>
        <v>2.4099051050483025E-3</v>
      </c>
      <c r="T970" s="50" t="str">
        <f t="shared" si="118"/>
        <v/>
      </c>
      <c r="U970" s="50">
        <f t="shared" si="119"/>
        <v>1</v>
      </c>
    </row>
    <row r="971" spans="1:21" x14ac:dyDescent="0.2">
      <c r="A971" s="38">
        <v>38687</v>
      </c>
      <c r="B971" s="4">
        <v>0.52470000000000006</v>
      </c>
      <c r="C971" s="4">
        <v>0.2407</v>
      </c>
      <c r="D971" s="4">
        <v>0.2346</v>
      </c>
      <c r="E971" s="50">
        <v>1</v>
      </c>
      <c r="F971" s="50">
        <v>0.47389999999999999</v>
      </c>
      <c r="G971" s="50">
        <v>0.29010000000000002</v>
      </c>
      <c r="H971" s="50">
        <v>0.38490743662900001</v>
      </c>
      <c r="I971" s="50">
        <v>0.48829287047999997</v>
      </c>
      <c r="J971" s="50">
        <v>0.28152200277799999</v>
      </c>
      <c r="K971" s="50">
        <v>1268.44</v>
      </c>
      <c r="L971" s="50">
        <v>1249.3900000000001</v>
      </c>
      <c r="M971" s="50">
        <v>1249.48</v>
      </c>
      <c r="N971" s="66">
        <f t="shared" si="112"/>
        <v>6.3146268847839686E-3</v>
      </c>
      <c r="O971" s="66">
        <f t="shared" si="113"/>
        <v>6.9548932355860474E-3</v>
      </c>
      <c r="P971" s="4">
        <f t="shared" si="114"/>
        <v>0.29010000000000002</v>
      </c>
      <c r="Q971" s="4">
        <f t="shared" si="115"/>
        <v>0.34452500000000003</v>
      </c>
      <c r="R971" s="66">
        <f t="shared" si="116"/>
        <v>6.3146268847839686E-3</v>
      </c>
      <c r="S971" s="66">
        <f t="shared" si="117"/>
        <v>6.9548932355860474E-3</v>
      </c>
      <c r="T971" s="50">
        <f t="shared" si="118"/>
        <v>1</v>
      </c>
      <c r="U971" s="50">
        <f t="shared" si="119"/>
        <v>1</v>
      </c>
    </row>
    <row r="972" spans="1:21" x14ac:dyDescent="0.2">
      <c r="A972" s="38">
        <v>38694</v>
      </c>
      <c r="B972" s="4">
        <v>0.49469999999999997</v>
      </c>
      <c r="C972" s="4">
        <v>0.31580000000000003</v>
      </c>
      <c r="D972" s="4">
        <v>0.1895</v>
      </c>
      <c r="E972" s="50">
        <v>1</v>
      </c>
      <c r="F972" s="50">
        <v>0.48703750000000001</v>
      </c>
      <c r="G972" s="50">
        <v>0.30520000000000003</v>
      </c>
      <c r="H972" s="50">
        <v>0.38490743662900001</v>
      </c>
      <c r="I972" s="50">
        <v>0.48829287047999997</v>
      </c>
      <c r="J972" s="50">
        <v>0.28152200277799999</v>
      </c>
      <c r="K972" s="50">
        <v>1272.8900000000001</v>
      </c>
      <c r="L972" s="50">
        <v>1253.02</v>
      </c>
      <c r="M972" s="50">
        <v>1257.3699999999999</v>
      </c>
      <c r="N972" s="66">
        <f t="shared" si="112"/>
        <v>8.0008271232812726E-3</v>
      </c>
      <c r="O972" s="66">
        <f t="shared" si="113"/>
        <v>1.2796551532166463E-2</v>
      </c>
      <c r="P972" s="4">
        <f t="shared" si="114"/>
        <v>0.30519999999999997</v>
      </c>
      <c r="Q972" s="4">
        <f t="shared" si="115"/>
        <v>0.33174999999999999</v>
      </c>
      <c r="R972" s="66">
        <f t="shared" si="116"/>
        <v>8.0008271232812726E-3</v>
      </c>
      <c r="S972" s="66">
        <f t="shared" si="117"/>
        <v>1.2796551532166463E-2</v>
      </c>
      <c r="T972" s="50">
        <f t="shared" si="118"/>
        <v>1</v>
      </c>
      <c r="U972" s="50">
        <f t="shared" si="119"/>
        <v>1</v>
      </c>
    </row>
    <row r="973" spans="1:21" x14ac:dyDescent="0.2">
      <c r="A973" s="38">
        <v>38701</v>
      </c>
      <c r="B973" s="4">
        <v>0.46150000000000002</v>
      </c>
      <c r="C973" s="4">
        <v>0.31730000000000003</v>
      </c>
      <c r="D973" s="4">
        <v>0.22120000000000001</v>
      </c>
      <c r="E973" s="50">
        <v>1</v>
      </c>
      <c r="F973" s="50">
        <v>0.49083749999999998</v>
      </c>
      <c r="G973" s="50">
        <v>0.24030000000000001</v>
      </c>
      <c r="H973" s="50">
        <v>0.38490743662900001</v>
      </c>
      <c r="I973" s="50">
        <v>0.48829287047999997</v>
      </c>
      <c r="J973" s="50">
        <v>0.28152200277799999</v>
      </c>
      <c r="K973" s="50">
        <v>1272.1099999999999</v>
      </c>
      <c r="L973" s="50">
        <v>1255.52</v>
      </c>
      <c r="M973" s="50">
        <v>1267.43</v>
      </c>
      <c r="N973" s="66">
        <f t="shared" ref="N973:N1036" si="120">(M974-M973)/M973</f>
        <v>9.7046779703811501E-4</v>
      </c>
      <c r="O973" s="66">
        <f t="shared" ref="O973:O1036" si="121">(M977-M973)/M973</f>
        <v>2.1105702090056255E-2</v>
      </c>
      <c r="P973" s="4">
        <f t="shared" si="114"/>
        <v>0.24030000000000001</v>
      </c>
      <c r="Q973" s="4">
        <f t="shared" si="115"/>
        <v>0.31222499999999997</v>
      </c>
      <c r="R973" s="66">
        <f t="shared" si="116"/>
        <v>9.7046779703811501E-4</v>
      </c>
      <c r="S973" s="66">
        <f t="shared" si="117"/>
        <v>2.1105702090056255E-2</v>
      </c>
      <c r="T973" s="50">
        <f t="shared" si="118"/>
        <v>1</v>
      </c>
      <c r="U973" s="50">
        <f t="shared" si="119"/>
        <v>1</v>
      </c>
    </row>
    <row r="974" spans="1:21" x14ac:dyDescent="0.2">
      <c r="A974" s="38">
        <v>38708</v>
      </c>
      <c r="B974" s="4">
        <v>0.4103</v>
      </c>
      <c r="C974" s="4">
        <v>0.30769999999999997</v>
      </c>
      <c r="D974" s="4">
        <v>0.28210000000000002</v>
      </c>
      <c r="E974" s="50">
        <v>1.0001</v>
      </c>
      <c r="F974" s="50">
        <v>0.50206249999999997</v>
      </c>
      <c r="G974" s="50">
        <v>0.12820000000000001</v>
      </c>
      <c r="H974" s="50">
        <v>0.38490743662900001</v>
      </c>
      <c r="I974" s="50">
        <v>0.48829287047999997</v>
      </c>
      <c r="J974" s="50">
        <v>0.28152200277799999</v>
      </c>
      <c r="K974" s="50">
        <v>1270.51</v>
      </c>
      <c r="L974" s="50">
        <v>1257.21</v>
      </c>
      <c r="M974" s="50">
        <v>1268.6600000000001</v>
      </c>
      <c r="N974" s="66">
        <f t="shared" si="120"/>
        <v>-8.2685668342976117E-3</v>
      </c>
      <c r="O974" s="66">
        <f t="shared" si="121"/>
        <v>7.3069222644364775E-3</v>
      </c>
      <c r="P974" s="4">
        <f t="shared" ref="P974:P1037" si="122">B974-D974</f>
        <v>0.12819999999999998</v>
      </c>
      <c r="Q974" s="4">
        <f t="shared" si="115"/>
        <v>0.24094999999999997</v>
      </c>
      <c r="R974" s="66">
        <f t="shared" si="116"/>
        <v>-8.2685668342976117E-3</v>
      </c>
      <c r="S974" s="66">
        <f t="shared" si="117"/>
        <v>7.3069222644364775E-3</v>
      </c>
      <c r="T974" s="50" t="str">
        <f t="shared" si="118"/>
        <v/>
      </c>
      <c r="U974" s="50">
        <f t="shared" si="119"/>
        <v>1</v>
      </c>
    </row>
    <row r="975" spans="1:21" x14ac:dyDescent="0.2">
      <c r="A975" s="38">
        <v>38715</v>
      </c>
      <c r="B975" s="4">
        <v>0.373</v>
      </c>
      <c r="C975" s="4">
        <v>0.26190000000000002</v>
      </c>
      <c r="D975" s="4">
        <v>0.36509999999999998</v>
      </c>
      <c r="E975" s="50">
        <v>1</v>
      </c>
      <c r="F975" s="50">
        <v>0.495</v>
      </c>
      <c r="G975" s="50">
        <v>7.9000000000000008E-3</v>
      </c>
      <c r="H975" s="50">
        <v>0.38490743662900001</v>
      </c>
      <c r="I975" s="50">
        <v>0.48829287047999997</v>
      </c>
      <c r="J975" s="50">
        <v>0.28152200277799999</v>
      </c>
      <c r="K975" s="50">
        <v>1271.83</v>
      </c>
      <c r="L975" s="50">
        <v>1256.54</v>
      </c>
      <c r="M975" s="50">
        <v>1258.17</v>
      </c>
      <c r="N975" s="66">
        <f t="shared" si="120"/>
        <v>1.215257079726902E-2</v>
      </c>
      <c r="O975" s="66">
        <f t="shared" si="121"/>
        <v>2.0307271672349487E-2</v>
      </c>
      <c r="P975" s="4">
        <f t="shared" si="122"/>
        <v>7.9000000000000181E-3</v>
      </c>
      <c r="Q975" s="4">
        <f t="shared" si="115"/>
        <v>0.1704</v>
      </c>
      <c r="R975" s="66">
        <f t="shared" si="116"/>
        <v>1.215257079726902E-2</v>
      </c>
      <c r="S975" s="66">
        <f t="shared" si="117"/>
        <v>2.0307271672349487E-2</v>
      </c>
      <c r="T975" s="50">
        <f t="shared" si="118"/>
        <v>1</v>
      </c>
      <c r="U975" s="50">
        <f t="shared" si="119"/>
        <v>1</v>
      </c>
    </row>
    <row r="976" spans="1:21" x14ac:dyDescent="0.2">
      <c r="A976" s="38">
        <v>38722</v>
      </c>
      <c r="B976" s="4">
        <v>0.29349999999999998</v>
      </c>
      <c r="C976" s="4">
        <v>0.30430000000000001</v>
      </c>
      <c r="D976" s="4">
        <v>0.4022</v>
      </c>
      <c r="E976" s="50">
        <v>1</v>
      </c>
      <c r="F976" s="50">
        <v>0.4584125</v>
      </c>
      <c r="G976" s="50">
        <v>-0.1087</v>
      </c>
      <c r="H976" s="50">
        <v>0.38490743662900001</v>
      </c>
      <c r="I976" s="50">
        <v>0.48829287047999997</v>
      </c>
      <c r="J976" s="50">
        <v>0.28152200277799999</v>
      </c>
      <c r="K976" s="50">
        <v>1275.3699999999999</v>
      </c>
      <c r="L976" s="50">
        <v>1245.74</v>
      </c>
      <c r="M976" s="50">
        <v>1273.46</v>
      </c>
      <c r="N976" s="66">
        <f t="shared" si="120"/>
        <v>1.6270632764280014E-2</v>
      </c>
      <c r="O976" s="66">
        <f t="shared" si="121"/>
        <v>7.0673597914343595E-3</v>
      </c>
      <c r="P976" s="4">
        <f t="shared" si="122"/>
        <v>-0.10870000000000002</v>
      </c>
      <c r="Q976" s="4">
        <f t="shared" si="115"/>
        <v>6.6924999999999998E-2</v>
      </c>
      <c r="R976" s="66">
        <f t="shared" si="116"/>
        <v>1.6270632764280014E-2</v>
      </c>
      <c r="S976" s="66">
        <f t="shared" si="117"/>
        <v>7.0673597914343595E-3</v>
      </c>
      <c r="T976" s="50">
        <f t="shared" si="118"/>
        <v>1</v>
      </c>
      <c r="U976" s="50">
        <f t="shared" si="119"/>
        <v>1</v>
      </c>
    </row>
    <row r="977" spans="1:21" x14ac:dyDescent="0.2">
      <c r="A977" s="38">
        <v>38729</v>
      </c>
      <c r="B977" s="4">
        <v>0.58960000000000001</v>
      </c>
      <c r="C977" s="4">
        <v>0.21970000000000001</v>
      </c>
      <c r="D977" s="4">
        <v>0.1908</v>
      </c>
      <c r="E977" s="50">
        <v>1.0001</v>
      </c>
      <c r="F977" s="50">
        <v>0.46507500000000002</v>
      </c>
      <c r="G977" s="50">
        <v>0.39879999999999999</v>
      </c>
      <c r="H977" s="50">
        <v>0.38490743662900001</v>
      </c>
      <c r="I977" s="50">
        <v>0.48829287047999997</v>
      </c>
      <c r="J977" s="50">
        <v>0.28152200277799999</v>
      </c>
      <c r="K977" s="50">
        <v>1294.9000000000001</v>
      </c>
      <c r="L977" s="50">
        <v>1283.76</v>
      </c>
      <c r="M977" s="50">
        <v>1294.18</v>
      </c>
      <c r="N977" s="66">
        <f t="shared" si="120"/>
        <v>-1.2556213200636697E-2</v>
      </c>
      <c r="O977" s="66">
        <f t="shared" si="121"/>
        <v>-2.2044846930102436E-2</v>
      </c>
      <c r="P977" s="4">
        <f t="shared" si="122"/>
        <v>0.39880000000000004</v>
      </c>
      <c r="Q977" s="4">
        <f t="shared" ref="Q977:Q1040" si="123">AVERAGE(P974:P977)</f>
        <v>0.10655000000000001</v>
      </c>
      <c r="R977" s="66">
        <f t="shared" ref="R977:R1040" si="124">(M978-M977)/M977</f>
        <v>-1.2556213200636697E-2</v>
      </c>
      <c r="S977" s="66">
        <f t="shared" ref="S977:S1040" si="125">(M981-M977)/M977</f>
        <v>-2.2044846930102436E-2</v>
      </c>
      <c r="T977" s="50" t="str">
        <f t="shared" ref="T977:T1040" si="126">IF(R977&gt;0,1,"")</f>
        <v/>
      </c>
      <c r="U977" s="50" t="str">
        <f t="shared" ref="U977:U1040" si="127">IF(S977&gt;0,1,"")</f>
        <v/>
      </c>
    </row>
    <row r="978" spans="1:21" x14ac:dyDescent="0.2">
      <c r="A978" s="38">
        <v>38736</v>
      </c>
      <c r="B978" s="4">
        <v>0.5</v>
      </c>
      <c r="C978" s="4">
        <v>0.2417</v>
      </c>
      <c r="D978" s="4">
        <v>0.25829999999999997</v>
      </c>
      <c r="E978" s="50">
        <v>1</v>
      </c>
      <c r="F978" s="50">
        <v>0.4559125</v>
      </c>
      <c r="G978" s="50">
        <v>0.2417</v>
      </c>
      <c r="H978" s="50">
        <v>0.38490743662900001</v>
      </c>
      <c r="I978" s="50">
        <v>0.48829287047999997</v>
      </c>
      <c r="J978" s="50">
        <v>0.28152200277799999</v>
      </c>
      <c r="K978" s="50">
        <v>1287.6099999999999</v>
      </c>
      <c r="L978" s="50">
        <v>1272.08</v>
      </c>
      <c r="M978" s="50">
        <v>1277.93</v>
      </c>
      <c r="N978" s="66">
        <f t="shared" si="120"/>
        <v>4.5307645958698548E-3</v>
      </c>
      <c r="O978" s="66">
        <f t="shared" si="121"/>
        <v>1.6198070316840016E-3</v>
      </c>
      <c r="P978" s="4">
        <f t="shared" si="122"/>
        <v>0.24170000000000003</v>
      </c>
      <c r="Q978" s="4">
        <f t="shared" si="123"/>
        <v>0.13492500000000002</v>
      </c>
      <c r="R978" s="66">
        <f t="shared" si="124"/>
        <v>4.5307645958698548E-3</v>
      </c>
      <c r="S978" s="66">
        <f t="shared" si="125"/>
        <v>1.6198070316840016E-3</v>
      </c>
      <c r="T978" s="50">
        <f t="shared" si="126"/>
        <v>1</v>
      </c>
      <c r="U978" s="50">
        <f t="shared" si="127"/>
        <v>1</v>
      </c>
    </row>
    <row r="979" spans="1:21" x14ac:dyDescent="0.2">
      <c r="A979" s="38">
        <v>38743</v>
      </c>
      <c r="B979" s="4">
        <v>0.30769999999999997</v>
      </c>
      <c r="C979" s="4">
        <v>0.35899999999999999</v>
      </c>
      <c r="D979" s="4">
        <v>0.33329999999999999</v>
      </c>
      <c r="E979" s="50">
        <v>1</v>
      </c>
      <c r="F979" s="50">
        <v>0.42878749999999999</v>
      </c>
      <c r="G979" s="50">
        <v>-2.5600000000000001E-2</v>
      </c>
      <c r="H979" s="50">
        <v>0.38490743662900001</v>
      </c>
      <c r="I979" s="50">
        <v>0.48829287047999997</v>
      </c>
      <c r="J979" s="50">
        <v>0.28152200277799999</v>
      </c>
      <c r="K979" s="50">
        <v>1286.3800000000001</v>
      </c>
      <c r="L979" s="50">
        <v>1259.42</v>
      </c>
      <c r="M979" s="50">
        <v>1283.72</v>
      </c>
      <c r="N979" s="66">
        <f t="shared" si="120"/>
        <v>-9.8152245037858021E-4</v>
      </c>
      <c r="O979" s="66">
        <f t="shared" si="121"/>
        <v>6.9719253419749209E-3</v>
      </c>
      <c r="P979" s="4">
        <f t="shared" si="122"/>
        <v>-2.5600000000000012E-2</v>
      </c>
      <c r="Q979" s="4">
        <f t="shared" si="123"/>
        <v>0.12655</v>
      </c>
      <c r="R979" s="66">
        <f t="shared" si="124"/>
        <v>-9.8152245037858021E-4</v>
      </c>
      <c r="S979" s="66">
        <f t="shared" si="125"/>
        <v>6.9719253419749209E-3</v>
      </c>
      <c r="T979" s="50" t="str">
        <f t="shared" si="126"/>
        <v/>
      </c>
      <c r="U979" s="50">
        <f t="shared" si="127"/>
        <v>1</v>
      </c>
    </row>
    <row r="980" spans="1:21" x14ac:dyDescent="0.2">
      <c r="A980" s="38">
        <v>38750</v>
      </c>
      <c r="B980" s="4">
        <v>0.44700000000000001</v>
      </c>
      <c r="C980" s="4">
        <v>0.21970000000000001</v>
      </c>
      <c r="D980" s="4">
        <v>0.33329999999999999</v>
      </c>
      <c r="E980" s="50">
        <v>1</v>
      </c>
      <c r="F980" s="50">
        <v>0.42282500000000001</v>
      </c>
      <c r="G980" s="50">
        <v>0.1137</v>
      </c>
      <c r="H980" s="50">
        <v>0.38490743662900001</v>
      </c>
      <c r="I980" s="50">
        <v>0.48829287047999997</v>
      </c>
      <c r="J980" s="50">
        <v>0.28152200277799999</v>
      </c>
      <c r="K980" s="50">
        <v>1287.94</v>
      </c>
      <c r="L980" s="50">
        <v>1276.8499999999999</v>
      </c>
      <c r="M980" s="50">
        <v>1282.46</v>
      </c>
      <c r="N980" s="66">
        <f t="shared" si="120"/>
        <v>-1.31076212903326E-2</v>
      </c>
      <c r="O980" s="66">
        <f t="shared" si="121"/>
        <v>6.8462174258846062E-3</v>
      </c>
      <c r="P980" s="4">
        <f t="shared" si="122"/>
        <v>0.11370000000000002</v>
      </c>
      <c r="Q980" s="4">
        <f t="shared" si="123"/>
        <v>0.18215000000000001</v>
      </c>
      <c r="R980" s="66">
        <f t="shared" si="124"/>
        <v>-1.31076212903326E-2</v>
      </c>
      <c r="S980" s="66">
        <f t="shared" si="125"/>
        <v>6.8462174258846062E-3</v>
      </c>
      <c r="T980" s="50" t="str">
        <f t="shared" si="126"/>
        <v/>
      </c>
      <c r="U980" s="50">
        <f t="shared" si="127"/>
        <v>1</v>
      </c>
    </row>
    <row r="981" spans="1:21" x14ac:dyDescent="0.2">
      <c r="A981" s="38">
        <v>38757</v>
      </c>
      <c r="B981" s="4">
        <v>0.40189999999999998</v>
      </c>
      <c r="C981" s="4">
        <v>0.25230000000000002</v>
      </c>
      <c r="D981" s="4">
        <v>0.3458</v>
      </c>
      <c r="E981" s="50">
        <v>1</v>
      </c>
      <c r="F981" s="50">
        <v>0.41537499999999999</v>
      </c>
      <c r="G981" s="50">
        <v>5.6099999999999997E-2</v>
      </c>
      <c r="H981" s="50">
        <v>0.38490743662900001</v>
      </c>
      <c r="I981" s="50">
        <v>0.48829287047999997</v>
      </c>
      <c r="J981" s="50">
        <v>0.28152200277799999</v>
      </c>
      <c r="K981" s="50">
        <v>1267.04</v>
      </c>
      <c r="L981" s="50">
        <v>1253.6099999999999</v>
      </c>
      <c r="M981" s="50">
        <v>1265.6500000000001</v>
      </c>
      <c r="N981" s="66">
        <f t="shared" si="120"/>
        <v>1.1338047643503265E-2</v>
      </c>
      <c r="O981" s="66">
        <f t="shared" si="121"/>
        <v>1.0129182633429412E-2</v>
      </c>
      <c r="P981" s="4">
        <f t="shared" si="122"/>
        <v>5.6099999999999983E-2</v>
      </c>
      <c r="Q981" s="4">
        <f t="shared" si="123"/>
        <v>9.6475000000000005E-2</v>
      </c>
      <c r="R981" s="66">
        <f t="shared" si="124"/>
        <v>1.1338047643503265E-2</v>
      </c>
      <c r="S981" s="66">
        <f t="shared" si="125"/>
        <v>1.0129182633429412E-2</v>
      </c>
      <c r="T981" s="50">
        <f t="shared" si="126"/>
        <v>1</v>
      </c>
      <c r="U981" s="50">
        <f t="shared" si="127"/>
        <v>1</v>
      </c>
    </row>
    <row r="982" spans="1:21" x14ac:dyDescent="0.2">
      <c r="A982" s="38">
        <v>38764</v>
      </c>
      <c r="B982" s="4">
        <v>0.40179999999999999</v>
      </c>
      <c r="C982" s="4">
        <v>0.24110000000000001</v>
      </c>
      <c r="D982" s="4">
        <v>0.35709999999999997</v>
      </c>
      <c r="E982" s="50">
        <v>1</v>
      </c>
      <c r="F982" s="50">
        <v>0.41431249999999997</v>
      </c>
      <c r="G982" s="50">
        <v>4.4699999999999997E-2</v>
      </c>
      <c r="H982" s="50">
        <v>0.38490743662900001</v>
      </c>
      <c r="I982" s="50">
        <v>0.48829287047999997</v>
      </c>
      <c r="J982" s="50">
        <v>0.28152200277799999</v>
      </c>
      <c r="K982" s="50">
        <v>1281</v>
      </c>
      <c r="L982" s="50">
        <v>1258.3399999999999</v>
      </c>
      <c r="M982" s="50">
        <v>1280</v>
      </c>
      <c r="N982" s="66">
        <f t="shared" si="120"/>
        <v>9.8984375000000565E-3</v>
      </c>
      <c r="O982" s="66">
        <f t="shared" si="121"/>
        <v>1.7984374999999986E-2</v>
      </c>
      <c r="P982" s="4">
        <f t="shared" si="122"/>
        <v>4.4700000000000017E-2</v>
      </c>
      <c r="Q982" s="4">
        <f t="shared" si="123"/>
        <v>4.7225000000000003E-2</v>
      </c>
      <c r="R982" s="66">
        <f t="shared" si="124"/>
        <v>9.8984375000000565E-3</v>
      </c>
      <c r="S982" s="66">
        <f t="shared" si="125"/>
        <v>1.7984374999999986E-2</v>
      </c>
      <c r="T982" s="50">
        <f t="shared" si="126"/>
        <v>1</v>
      </c>
      <c r="U982" s="50">
        <f t="shared" si="127"/>
        <v>1</v>
      </c>
    </row>
    <row r="983" spans="1:21" x14ac:dyDescent="0.2">
      <c r="A983" s="38">
        <v>38771</v>
      </c>
      <c r="B983" s="4">
        <v>0.43209999999999998</v>
      </c>
      <c r="C983" s="4">
        <v>0.28399999999999997</v>
      </c>
      <c r="D983" s="4">
        <v>0.28399999999999997</v>
      </c>
      <c r="E983" s="50">
        <v>1.0001</v>
      </c>
      <c r="F983" s="50">
        <v>0.42170000000000002</v>
      </c>
      <c r="G983" s="50">
        <v>0.14810000000000001</v>
      </c>
      <c r="H983" s="50">
        <v>0.38490743662900001</v>
      </c>
      <c r="I983" s="50">
        <v>0.48829287047999997</v>
      </c>
      <c r="J983" s="50">
        <v>0.28152200277799999</v>
      </c>
      <c r="K983" s="50">
        <v>1294.17</v>
      </c>
      <c r="L983" s="50">
        <v>1281.33</v>
      </c>
      <c r="M983" s="50">
        <v>1292.67</v>
      </c>
      <c r="N983" s="66">
        <f t="shared" si="120"/>
        <v>-1.1062374774691635E-3</v>
      </c>
      <c r="O983" s="66">
        <f t="shared" si="121"/>
        <v>9.5693409764285465E-3</v>
      </c>
      <c r="P983" s="4">
        <f t="shared" si="122"/>
        <v>0.14810000000000001</v>
      </c>
      <c r="Q983" s="4">
        <f t="shared" si="123"/>
        <v>9.0650000000000008E-2</v>
      </c>
      <c r="R983" s="66">
        <f t="shared" si="124"/>
        <v>-1.1062374774691635E-3</v>
      </c>
      <c r="S983" s="66">
        <f t="shared" si="125"/>
        <v>9.5693409764285465E-3</v>
      </c>
      <c r="T983" s="50" t="str">
        <f t="shared" si="126"/>
        <v/>
      </c>
      <c r="U983" s="50">
        <f t="shared" si="127"/>
        <v>1</v>
      </c>
    </row>
    <row r="984" spans="1:21" x14ac:dyDescent="0.2">
      <c r="A984" s="38">
        <v>38778</v>
      </c>
      <c r="B984" s="4">
        <v>0.40939999999999999</v>
      </c>
      <c r="C984" s="4">
        <v>0.29920000000000002</v>
      </c>
      <c r="D984" s="4">
        <v>0.2913</v>
      </c>
      <c r="E984" s="50">
        <v>0.99990000000000001</v>
      </c>
      <c r="F984" s="50">
        <v>0.43618750000000001</v>
      </c>
      <c r="G984" s="50">
        <v>0.1181</v>
      </c>
      <c r="H984" s="50">
        <v>0.38490743662900001</v>
      </c>
      <c r="I984" s="50">
        <v>0.48829287047999997</v>
      </c>
      <c r="J984" s="50">
        <v>0.28152200277799999</v>
      </c>
      <c r="K984" s="50">
        <v>1297.57</v>
      </c>
      <c r="L984" s="50">
        <v>1278.6600000000001</v>
      </c>
      <c r="M984" s="50">
        <v>1291.24</v>
      </c>
      <c r="N984" s="66">
        <f t="shared" si="120"/>
        <v>-9.8897184102103262E-3</v>
      </c>
      <c r="O984" s="66">
        <f t="shared" si="121"/>
        <v>9.0223351197299424E-3</v>
      </c>
      <c r="P984" s="4">
        <f t="shared" si="122"/>
        <v>0.11809999999999998</v>
      </c>
      <c r="Q984" s="4">
        <f t="shared" si="123"/>
        <v>9.1749999999999998E-2</v>
      </c>
      <c r="R984" s="66">
        <f t="shared" si="124"/>
        <v>-9.8897184102103262E-3</v>
      </c>
      <c r="S984" s="66">
        <f t="shared" si="125"/>
        <v>9.0223351197299424E-3</v>
      </c>
      <c r="T984" s="50" t="str">
        <f t="shared" si="126"/>
        <v/>
      </c>
      <c r="U984" s="50">
        <f t="shared" si="127"/>
        <v>1</v>
      </c>
    </row>
    <row r="985" spans="1:21" x14ac:dyDescent="0.2">
      <c r="A985" s="38">
        <v>38785</v>
      </c>
      <c r="B985" s="4">
        <v>0.41210000000000002</v>
      </c>
      <c r="C985" s="4">
        <v>0.2802</v>
      </c>
      <c r="D985" s="4">
        <v>0.30769999999999997</v>
      </c>
      <c r="E985" s="50">
        <v>1</v>
      </c>
      <c r="F985" s="50">
        <v>0.41399999999999998</v>
      </c>
      <c r="G985" s="50">
        <v>0.10440000000000001</v>
      </c>
      <c r="H985" s="50">
        <v>0.38490743662900001</v>
      </c>
      <c r="I985" s="50">
        <v>0.48829287047999997</v>
      </c>
      <c r="J985" s="50">
        <v>0.28152200277799999</v>
      </c>
      <c r="K985" s="50">
        <v>1288.23</v>
      </c>
      <c r="L985" s="50">
        <v>1268.42</v>
      </c>
      <c r="M985" s="50">
        <v>1278.47</v>
      </c>
      <c r="N985" s="66">
        <f t="shared" si="120"/>
        <v>1.9202640656409579E-2</v>
      </c>
      <c r="O985" s="66">
        <f t="shared" si="121"/>
        <v>2.588250017599155E-2</v>
      </c>
      <c r="P985" s="4">
        <f t="shared" si="122"/>
        <v>0.10440000000000005</v>
      </c>
      <c r="Q985" s="4">
        <f t="shared" si="123"/>
        <v>0.10382500000000001</v>
      </c>
      <c r="R985" s="66">
        <f t="shared" si="124"/>
        <v>1.9202640656409579E-2</v>
      </c>
      <c r="S985" s="66">
        <f t="shared" si="125"/>
        <v>2.588250017599155E-2</v>
      </c>
      <c r="T985" s="50">
        <f t="shared" si="126"/>
        <v>1</v>
      </c>
      <c r="U985" s="50">
        <f t="shared" si="127"/>
        <v>1</v>
      </c>
    </row>
    <row r="986" spans="1:21" x14ac:dyDescent="0.2">
      <c r="A986" s="38">
        <v>38792</v>
      </c>
      <c r="B986" s="4">
        <v>0.46550000000000002</v>
      </c>
      <c r="C986" s="4">
        <v>0.2069</v>
      </c>
      <c r="D986" s="4">
        <v>0.3276</v>
      </c>
      <c r="E986" s="50">
        <v>1</v>
      </c>
      <c r="F986" s="50">
        <v>0.40968749999999998</v>
      </c>
      <c r="G986" s="50">
        <v>0.13789999999999999</v>
      </c>
      <c r="H986" s="50">
        <v>0.38490743662900001</v>
      </c>
      <c r="I986" s="50">
        <v>0.48829287047999997</v>
      </c>
      <c r="J986" s="50">
        <v>0.28152200277799999</v>
      </c>
      <c r="K986" s="50">
        <v>1304.4000000000001</v>
      </c>
      <c r="L986" s="50">
        <v>1281.58</v>
      </c>
      <c r="M986" s="50">
        <v>1303.02</v>
      </c>
      <c r="N986" s="66">
        <f t="shared" si="120"/>
        <v>1.550244815889228E-3</v>
      </c>
      <c r="O986" s="66">
        <f t="shared" si="121"/>
        <v>-1.1434974137004875E-2</v>
      </c>
      <c r="P986" s="4">
        <f t="shared" si="122"/>
        <v>0.13790000000000002</v>
      </c>
      <c r="Q986" s="4">
        <f t="shared" si="123"/>
        <v>0.12712500000000002</v>
      </c>
      <c r="R986" s="66">
        <f t="shared" si="124"/>
        <v>1.550244815889228E-3</v>
      </c>
      <c r="S986" s="66">
        <f t="shared" si="125"/>
        <v>-1.1434974137004875E-2</v>
      </c>
      <c r="T986" s="50">
        <f t="shared" si="126"/>
        <v>1</v>
      </c>
      <c r="U986" s="50" t="str">
        <f t="shared" si="127"/>
        <v/>
      </c>
    </row>
    <row r="987" spans="1:21" x14ac:dyDescent="0.2">
      <c r="A987" s="38">
        <v>38799</v>
      </c>
      <c r="B987" s="4">
        <v>0.4375</v>
      </c>
      <c r="C987" s="4">
        <v>0.28749999999999998</v>
      </c>
      <c r="D987" s="4">
        <v>0.27500000000000002</v>
      </c>
      <c r="E987" s="50">
        <v>1</v>
      </c>
      <c r="F987" s="50">
        <v>0.42591250000000003</v>
      </c>
      <c r="G987" s="50">
        <v>0.16250000000000001</v>
      </c>
      <c r="H987" s="50">
        <v>0.38490743662900001</v>
      </c>
      <c r="I987" s="50">
        <v>0.48829287047999997</v>
      </c>
      <c r="J987" s="50">
        <v>0.28152200277799999</v>
      </c>
      <c r="K987" s="50">
        <v>1310.88</v>
      </c>
      <c r="L987" s="50">
        <v>1295.81</v>
      </c>
      <c r="M987" s="50">
        <v>1305.04</v>
      </c>
      <c r="N987" s="66">
        <f t="shared" si="120"/>
        <v>-1.6474590817138659E-3</v>
      </c>
      <c r="O987" s="66">
        <f t="shared" si="121"/>
        <v>3.7470115858518516E-3</v>
      </c>
      <c r="P987" s="4">
        <f t="shared" si="122"/>
        <v>0.16249999999999998</v>
      </c>
      <c r="Q987" s="4">
        <f t="shared" si="123"/>
        <v>0.13072500000000001</v>
      </c>
      <c r="R987" s="66">
        <f t="shared" si="124"/>
        <v>-1.6474590817138659E-3</v>
      </c>
      <c r="S987" s="66">
        <f t="shared" si="125"/>
        <v>3.7470115858518516E-3</v>
      </c>
      <c r="T987" s="50" t="str">
        <f t="shared" si="126"/>
        <v/>
      </c>
      <c r="U987" s="50">
        <f t="shared" si="127"/>
        <v>1</v>
      </c>
    </row>
    <row r="988" spans="1:21" x14ac:dyDescent="0.2">
      <c r="A988" s="38">
        <v>38806</v>
      </c>
      <c r="B988" s="4">
        <v>0.37209999999999999</v>
      </c>
      <c r="C988" s="4">
        <v>0.30230000000000001</v>
      </c>
      <c r="D988" s="4">
        <v>0.3256</v>
      </c>
      <c r="E988" s="50">
        <v>1</v>
      </c>
      <c r="F988" s="50">
        <v>0.41654999999999998</v>
      </c>
      <c r="G988" s="50">
        <v>4.65E-2</v>
      </c>
      <c r="H988" s="50">
        <v>0.38490743662900001</v>
      </c>
      <c r="I988" s="50">
        <v>0.48829287047999997</v>
      </c>
      <c r="J988" s="50">
        <v>0.28152200277799999</v>
      </c>
      <c r="K988" s="50">
        <v>1306.24</v>
      </c>
      <c r="L988" s="50">
        <v>1291.8399999999999</v>
      </c>
      <c r="M988" s="50">
        <v>1302.8900000000001</v>
      </c>
      <c r="N988" s="66">
        <f t="shared" si="120"/>
        <v>6.6544374429152462E-3</v>
      </c>
      <c r="O988" s="66">
        <f t="shared" si="121"/>
        <v>5.9252891648564343E-3</v>
      </c>
      <c r="P988" s="4">
        <f t="shared" si="122"/>
        <v>4.6499999999999986E-2</v>
      </c>
      <c r="Q988" s="4">
        <f t="shared" si="123"/>
        <v>0.11282500000000001</v>
      </c>
      <c r="R988" s="66">
        <f t="shared" si="124"/>
        <v>6.6544374429152462E-3</v>
      </c>
      <c r="S988" s="66">
        <f t="shared" si="125"/>
        <v>5.9252891648564343E-3</v>
      </c>
      <c r="T988" s="50">
        <f t="shared" si="126"/>
        <v>1</v>
      </c>
      <c r="U988" s="50">
        <f t="shared" si="127"/>
        <v>1</v>
      </c>
    </row>
    <row r="989" spans="1:21" x14ac:dyDescent="0.2">
      <c r="A989" s="38">
        <v>38813</v>
      </c>
      <c r="B989" s="4">
        <v>0.47670000000000001</v>
      </c>
      <c r="C989" s="4">
        <v>0.29070000000000001</v>
      </c>
      <c r="D989" s="4">
        <v>0.2326</v>
      </c>
      <c r="E989" s="50">
        <v>1</v>
      </c>
      <c r="F989" s="50">
        <v>0.4259</v>
      </c>
      <c r="G989" s="50">
        <v>0.24410000000000001</v>
      </c>
      <c r="H989" s="50">
        <v>0.38490743662900001</v>
      </c>
      <c r="I989" s="50">
        <v>0.48829287047999997</v>
      </c>
      <c r="J989" s="50">
        <v>0.28152200277799999</v>
      </c>
      <c r="K989" s="50">
        <v>1312.81</v>
      </c>
      <c r="L989" s="50">
        <v>1294.71</v>
      </c>
      <c r="M989" s="50">
        <v>1311.56</v>
      </c>
      <c r="N989" s="66">
        <f t="shared" si="120"/>
        <v>-1.7871847265851396E-2</v>
      </c>
      <c r="O989" s="66">
        <f t="shared" si="121"/>
        <v>-2.6228308274116735E-3</v>
      </c>
      <c r="P989" s="4">
        <f t="shared" si="122"/>
        <v>0.24410000000000001</v>
      </c>
      <c r="Q989" s="4">
        <f t="shared" si="123"/>
        <v>0.14774999999999999</v>
      </c>
      <c r="R989" s="66">
        <f t="shared" si="124"/>
        <v>-1.7871847265851396E-2</v>
      </c>
      <c r="S989" s="66">
        <f t="shared" si="125"/>
        <v>-2.6228308274116735E-3</v>
      </c>
      <c r="T989" s="50" t="str">
        <f t="shared" si="126"/>
        <v/>
      </c>
      <c r="U989" s="50" t="str">
        <f t="shared" si="127"/>
        <v/>
      </c>
    </row>
    <row r="990" spans="1:21" x14ac:dyDescent="0.2">
      <c r="A990" s="38">
        <v>38820</v>
      </c>
      <c r="B990" s="4">
        <v>0.4536</v>
      </c>
      <c r="C990" s="4">
        <v>0.26800000000000002</v>
      </c>
      <c r="D990" s="4">
        <v>0.27839999999999998</v>
      </c>
      <c r="E990" s="50">
        <v>1</v>
      </c>
      <c r="F990" s="50">
        <v>0.43237500000000001</v>
      </c>
      <c r="G990" s="50">
        <v>0.17519999999999999</v>
      </c>
      <c r="H990" s="50">
        <v>0.38490743662900001</v>
      </c>
      <c r="I990" s="50">
        <v>0.48829287047999997</v>
      </c>
      <c r="J990" s="50">
        <v>0.28152200277799999</v>
      </c>
      <c r="K990" s="50">
        <v>1300.74</v>
      </c>
      <c r="L990" s="50">
        <v>1282.96</v>
      </c>
      <c r="M990" s="50">
        <v>1288.1199999999999</v>
      </c>
      <c r="N990" s="66">
        <f t="shared" si="120"/>
        <v>1.6931652330528346E-2</v>
      </c>
      <c r="O990" s="66">
        <f t="shared" si="121"/>
        <v>2.696177374778749E-2</v>
      </c>
      <c r="P990" s="4">
        <f t="shared" si="122"/>
        <v>0.17520000000000002</v>
      </c>
      <c r="Q990" s="4">
        <f t="shared" si="123"/>
        <v>0.15707499999999999</v>
      </c>
      <c r="R990" s="66">
        <f t="shared" si="124"/>
        <v>1.6931652330528346E-2</v>
      </c>
      <c r="S990" s="66">
        <f t="shared" si="125"/>
        <v>2.696177374778749E-2</v>
      </c>
      <c r="T990" s="50">
        <f t="shared" si="126"/>
        <v>1</v>
      </c>
      <c r="U990" s="50">
        <f t="shared" si="127"/>
        <v>1</v>
      </c>
    </row>
    <row r="991" spans="1:21" x14ac:dyDescent="0.2">
      <c r="A991" s="38">
        <v>38827</v>
      </c>
      <c r="B991" s="4">
        <v>0.33729999999999999</v>
      </c>
      <c r="C991" s="4">
        <v>0.25440000000000002</v>
      </c>
      <c r="D991" s="4">
        <v>0.4083</v>
      </c>
      <c r="E991" s="50">
        <v>1</v>
      </c>
      <c r="F991" s="50">
        <v>0.42052499999999998</v>
      </c>
      <c r="G991" s="50">
        <v>-7.0999999999999994E-2</v>
      </c>
      <c r="H991" s="50">
        <v>0.38490743662900001</v>
      </c>
      <c r="I991" s="50">
        <v>0.48829287047999997</v>
      </c>
      <c r="J991" s="50">
        <v>0.28152200277799999</v>
      </c>
      <c r="K991" s="50">
        <v>1310.3900000000001</v>
      </c>
      <c r="L991" s="50">
        <v>1280.74</v>
      </c>
      <c r="M991" s="50">
        <v>1309.93</v>
      </c>
      <c r="N991" s="66">
        <f t="shared" si="120"/>
        <v>5.1911170825909498E-4</v>
      </c>
      <c r="O991" s="66">
        <f t="shared" si="121"/>
        <v>-3.023825700609966E-2</v>
      </c>
      <c r="P991" s="4">
        <f t="shared" si="122"/>
        <v>-7.1000000000000008E-2</v>
      </c>
      <c r="Q991" s="4">
        <f t="shared" si="123"/>
        <v>9.8699999999999996E-2</v>
      </c>
      <c r="R991" s="66">
        <f t="shared" si="124"/>
        <v>5.1911170825909498E-4</v>
      </c>
      <c r="S991" s="66">
        <f t="shared" si="125"/>
        <v>-3.023825700609966E-2</v>
      </c>
      <c r="T991" s="50">
        <f t="shared" si="126"/>
        <v>1</v>
      </c>
      <c r="U991" s="50" t="str">
        <f t="shared" si="127"/>
        <v/>
      </c>
    </row>
    <row r="992" spans="1:21" x14ac:dyDescent="0.2">
      <c r="A992" s="38">
        <v>38834</v>
      </c>
      <c r="B992" s="4">
        <v>0.42109999999999997</v>
      </c>
      <c r="C992" s="4">
        <v>0.21929999999999999</v>
      </c>
      <c r="D992" s="4">
        <v>0.35959999999999998</v>
      </c>
      <c r="E992" s="50">
        <v>1</v>
      </c>
      <c r="F992" s="50">
        <v>0.42198750000000002</v>
      </c>
      <c r="G992" s="50">
        <v>6.1499999999999999E-2</v>
      </c>
      <c r="H992" s="50">
        <v>0.38490743662900001</v>
      </c>
      <c r="I992" s="50">
        <v>0.48829287047999997</v>
      </c>
      <c r="J992" s="50">
        <v>0.28152200277799999</v>
      </c>
      <c r="K992" s="50">
        <v>1316.04</v>
      </c>
      <c r="L992" s="50">
        <v>1295.57</v>
      </c>
      <c r="M992" s="50">
        <v>1310.6099999999999</v>
      </c>
      <c r="N992" s="66">
        <f t="shared" si="120"/>
        <v>-1.899878682445586E-3</v>
      </c>
      <c r="O992" s="66">
        <f t="shared" si="121"/>
        <v>-3.9706701459625647E-2</v>
      </c>
      <c r="P992" s="4">
        <f t="shared" si="122"/>
        <v>6.1499999999999999E-2</v>
      </c>
      <c r="Q992" s="4">
        <f t="shared" si="123"/>
        <v>0.10245</v>
      </c>
      <c r="R992" s="66">
        <f t="shared" si="124"/>
        <v>-1.899878682445586E-3</v>
      </c>
      <c r="S992" s="66">
        <f t="shared" si="125"/>
        <v>-3.9706701459625647E-2</v>
      </c>
      <c r="T992" s="50" t="str">
        <f t="shared" si="126"/>
        <v/>
      </c>
      <c r="U992" s="50" t="str">
        <f t="shared" si="127"/>
        <v/>
      </c>
    </row>
    <row r="993" spans="1:21" x14ac:dyDescent="0.2">
      <c r="A993" s="38">
        <v>38841</v>
      </c>
      <c r="B993" s="4">
        <v>0.45889999999999997</v>
      </c>
      <c r="C993" s="4">
        <v>0.20549999999999999</v>
      </c>
      <c r="D993" s="4">
        <v>0.33560000000000001</v>
      </c>
      <c r="E993" s="50">
        <v>1</v>
      </c>
      <c r="F993" s="50">
        <v>0.42783749999999998</v>
      </c>
      <c r="G993" s="50">
        <v>0.12330000000000001</v>
      </c>
      <c r="H993" s="50">
        <v>0.38490743662900001</v>
      </c>
      <c r="I993" s="50">
        <v>0.48829287047999997</v>
      </c>
      <c r="J993" s="50">
        <v>0.28152200277799999</v>
      </c>
      <c r="K993" s="50">
        <v>1317.21</v>
      </c>
      <c r="L993" s="50">
        <v>1303.46</v>
      </c>
      <c r="M993" s="50">
        <v>1308.1199999999999</v>
      </c>
      <c r="N993" s="66">
        <f t="shared" si="120"/>
        <v>1.1260434822493365E-2</v>
      </c>
      <c r="O993" s="66">
        <f t="shared" si="121"/>
        <v>-1.713145582974028E-2</v>
      </c>
      <c r="P993" s="4">
        <f t="shared" si="122"/>
        <v>0.12329999999999997</v>
      </c>
      <c r="Q993" s="4">
        <f t="shared" si="123"/>
        <v>7.2249999999999995E-2</v>
      </c>
      <c r="R993" s="66">
        <f t="shared" si="124"/>
        <v>1.1260434822493365E-2</v>
      </c>
      <c r="S993" s="66">
        <f t="shared" si="125"/>
        <v>-1.713145582974028E-2</v>
      </c>
      <c r="T993" s="50">
        <f t="shared" si="126"/>
        <v>1</v>
      </c>
      <c r="U993" s="50" t="str">
        <f t="shared" si="127"/>
        <v/>
      </c>
    </row>
    <row r="994" spans="1:21" x14ac:dyDescent="0.2">
      <c r="A994" s="38">
        <v>38848</v>
      </c>
      <c r="B994" s="4">
        <v>0.54900000000000004</v>
      </c>
      <c r="C994" s="4">
        <v>0.17649999999999999</v>
      </c>
      <c r="D994" s="4">
        <v>0.27450000000000002</v>
      </c>
      <c r="E994" s="50">
        <v>1</v>
      </c>
      <c r="F994" s="50">
        <v>0.43827500000000003</v>
      </c>
      <c r="G994" s="50">
        <v>0.27450000000000002</v>
      </c>
      <c r="H994" s="50">
        <v>0.38490743662900001</v>
      </c>
      <c r="I994" s="50">
        <v>0.48829287047999997</v>
      </c>
      <c r="J994" s="50">
        <v>0.28152200277799999</v>
      </c>
      <c r="K994" s="50">
        <v>1326.7</v>
      </c>
      <c r="L994" s="50">
        <v>1317.44</v>
      </c>
      <c r="M994" s="50">
        <v>1322.85</v>
      </c>
      <c r="N994" s="66">
        <f t="shared" si="120"/>
        <v>-3.9709717655062912E-2</v>
      </c>
      <c r="O994" s="66">
        <f t="shared" si="121"/>
        <v>-5.5282155951165958E-2</v>
      </c>
      <c r="P994" s="4">
        <f t="shared" si="122"/>
        <v>0.27450000000000002</v>
      </c>
      <c r="Q994" s="4">
        <f t="shared" si="123"/>
        <v>9.7074999999999995E-2</v>
      </c>
      <c r="R994" s="66">
        <f t="shared" si="124"/>
        <v>-3.9709717655062912E-2</v>
      </c>
      <c r="S994" s="66">
        <f t="shared" si="125"/>
        <v>-5.5282155951165958E-2</v>
      </c>
      <c r="T994" s="50" t="str">
        <f t="shared" si="126"/>
        <v/>
      </c>
      <c r="U994" s="50" t="str">
        <f t="shared" si="127"/>
        <v/>
      </c>
    </row>
    <row r="995" spans="1:21" x14ac:dyDescent="0.2">
      <c r="A995" s="38">
        <v>38855</v>
      </c>
      <c r="B995" s="4">
        <v>0.39389999999999997</v>
      </c>
      <c r="C995" s="4">
        <v>0.16969999999999999</v>
      </c>
      <c r="D995" s="4">
        <v>0.43640000000000001</v>
      </c>
      <c r="E995" s="50">
        <v>1</v>
      </c>
      <c r="F995" s="50">
        <v>0.43282500000000002</v>
      </c>
      <c r="G995" s="50">
        <v>-4.2500000000000003E-2</v>
      </c>
      <c r="H995" s="50">
        <v>0.38490743662900001</v>
      </c>
      <c r="I995" s="50">
        <v>0.48829287047999997</v>
      </c>
      <c r="J995" s="50">
        <v>0.28152200277799999</v>
      </c>
      <c r="K995" s="50">
        <v>1291.73</v>
      </c>
      <c r="L995" s="50">
        <v>1267.31</v>
      </c>
      <c r="M995" s="50">
        <v>1270.32</v>
      </c>
      <c r="N995" s="66">
        <f t="shared" si="120"/>
        <v>-9.2496378865167834E-3</v>
      </c>
      <c r="O995" s="66">
        <f t="shared" si="121"/>
        <v>-2.1474903961206604E-2</v>
      </c>
      <c r="P995" s="4">
        <f t="shared" si="122"/>
        <v>-4.2500000000000038E-2</v>
      </c>
      <c r="Q995" s="4">
        <f t="shared" si="123"/>
        <v>0.10419999999999999</v>
      </c>
      <c r="R995" s="66">
        <f t="shared" si="124"/>
        <v>-9.2496378865167834E-3</v>
      </c>
      <c r="S995" s="66">
        <f t="shared" si="125"/>
        <v>-2.1474903961206604E-2</v>
      </c>
      <c r="T995" s="50" t="str">
        <f t="shared" si="126"/>
        <v/>
      </c>
      <c r="U995" s="50" t="str">
        <f t="shared" si="127"/>
        <v/>
      </c>
    </row>
    <row r="996" spans="1:21" x14ac:dyDescent="0.2">
      <c r="A996" s="38">
        <v>38862</v>
      </c>
      <c r="B996" s="4">
        <v>0.33040000000000003</v>
      </c>
      <c r="C996" s="4">
        <v>0.21429999999999999</v>
      </c>
      <c r="D996" s="4">
        <v>0.45540000000000003</v>
      </c>
      <c r="E996" s="50">
        <v>1.0001</v>
      </c>
      <c r="F996" s="50">
        <v>0.42761250000000001</v>
      </c>
      <c r="G996" s="50">
        <v>-0.125</v>
      </c>
      <c r="H996" s="50">
        <v>0.38490743662900001</v>
      </c>
      <c r="I996" s="50">
        <v>0.48829287047999997</v>
      </c>
      <c r="J996" s="50">
        <v>0.28152200277799999</v>
      </c>
      <c r="K996" s="50">
        <v>1264.53</v>
      </c>
      <c r="L996" s="50">
        <v>1245.3399999999999</v>
      </c>
      <c r="M996" s="50">
        <v>1258.57</v>
      </c>
      <c r="N996" s="66">
        <f t="shared" si="120"/>
        <v>2.1564156145466761E-2</v>
      </c>
      <c r="O996" s="66">
        <f t="shared" si="121"/>
        <v>-1.1020443837053077E-2</v>
      </c>
      <c r="P996" s="4">
        <f t="shared" si="122"/>
        <v>-0.125</v>
      </c>
      <c r="Q996" s="4">
        <f t="shared" si="123"/>
        <v>5.7574999999999987E-2</v>
      </c>
      <c r="R996" s="66">
        <f t="shared" si="124"/>
        <v>2.1564156145466761E-2</v>
      </c>
      <c r="S996" s="66">
        <f t="shared" si="125"/>
        <v>-1.1020443837053077E-2</v>
      </c>
      <c r="T996" s="50">
        <f t="shared" si="126"/>
        <v>1</v>
      </c>
      <c r="U996" s="50" t="str">
        <f t="shared" si="127"/>
        <v/>
      </c>
    </row>
    <row r="997" spans="1:21" x14ac:dyDescent="0.2">
      <c r="A997" s="38">
        <v>38869</v>
      </c>
      <c r="B997" s="4">
        <v>0.30769999999999997</v>
      </c>
      <c r="C997" s="4">
        <v>0.1923</v>
      </c>
      <c r="D997" s="4">
        <v>0.5</v>
      </c>
      <c r="E997" s="50">
        <v>1</v>
      </c>
      <c r="F997" s="50">
        <v>0.4064875</v>
      </c>
      <c r="G997" s="50">
        <v>-0.1923</v>
      </c>
      <c r="H997" s="50">
        <v>0.38490743662900001</v>
      </c>
      <c r="I997" s="50">
        <v>0.48829287047999997</v>
      </c>
      <c r="J997" s="50">
        <v>0.28152200277799999</v>
      </c>
      <c r="K997" s="50">
        <v>1285.71</v>
      </c>
      <c r="L997" s="50">
        <v>1269.19</v>
      </c>
      <c r="M997" s="50">
        <v>1285.71</v>
      </c>
      <c r="N997" s="66">
        <f t="shared" si="120"/>
        <v>-2.7992315529940661E-2</v>
      </c>
      <c r="O997" s="66">
        <f t="shared" si="121"/>
        <v>-2.3201188448405883E-2</v>
      </c>
      <c r="P997" s="4">
        <f t="shared" si="122"/>
        <v>-0.19230000000000003</v>
      </c>
      <c r="Q997" s="4">
        <f t="shared" si="123"/>
        <v>-2.1325000000000011E-2</v>
      </c>
      <c r="R997" s="66">
        <f t="shared" si="124"/>
        <v>-2.7992315529940661E-2</v>
      </c>
      <c r="S997" s="66">
        <f t="shared" si="125"/>
        <v>-2.3201188448405883E-2</v>
      </c>
      <c r="T997" s="50" t="str">
        <f t="shared" si="126"/>
        <v/>
      </c>
      <c r="U997" s="50" t="str">
        <f t="shared" si="127"/>
        <v/>
      </c>
    </row>
    <row r="998" spans="1:21" x14ac:dyDescent="0.2">
      <c r="A998" s="38">
        <v>38876</v>
      </c>
      <c r="B998" s="4">
        <v>0.26229999999999998</v>
      </c>
      <c r="C998" s="4">
        <v>0.28689999999999999</v>
      </c>
      <c r="D998" s="4">
        <v>0.45079999999999998</v>
      </c>
      <c r="E998" s="50">
        <v>1</v>
      </c>
      <c r="F998" s="50">
        <v>0.382575</v>
      </c>
      <c r="G998" s="50">
        <v>-0.1885</v>
      </c>
      <c r="H998" s="50">
        <v>0.38490743662900001</v>
      </c>
      <c r="I998" s="50">
        <v>0.48829287047999997</v>
      </c>
      <c r="J998" s="50">
        <v>0.28152200277799999</v>
      </c>
      <c r="K998" s="50">
        <v>1257.07</v>
      </c>
      <c r="L998" s="50">
        <v>1249.43</v>
      </c>
      <c r="M998" s="50">
        <v>1249.72</v>
      </c>
      <c r="N998" s="66">
        <f t="shared" si="120"/>
        <v>-5.3451973242006718E-3</v>
      </c>
      <c r="O998" s="66">
        <f t="shared" si="121"/>
        <v>1.9492366290048892E-2</v>
      </c>
      <c r="P998" s="4">
        <f t="shared" si="122"/>
        <v>-0.1885</v>
      </c>
      <c r="Q998" s="4">
        <f t="shared" si="123"/>
        <v>-0.137075</v>
      </c>
      <c r="R998" s="66">
        <f t="shared" si="124"/>
        <v>-5.3451973242006718E-3</v>
      </c>
      <c r="S998" s="66">
        <f t="shared" si="125"/>
        <v>1.9492366290048892E-2</v>
      </c>
      <c r="T998" s="50" t="str">
        <f t="shared" si="126"/>
        <v/>
      </c>
      <c r="U998" s="50">
        <f t="shared" si="127"/>
        <v>1</v>
      </c>
    </row>
    <row r="999" spans="1:21" x14ac:dyDescent="0.2">
      <c r="A999" s="38">
        <v>38883</v>
      </c>
      <c r="B999" s="4">
        <v>0.2641</v>
      </c>
      <c r="C999" s="4">
        <v>0.18609999999999999</v>
      </c>
      <c r="D999" s="4">
        <v>0.54979999999999996</v>
      </c>
      <c r="E999" s="50">
        <v>1</v>
      </c>
      <c r="F999" s="50">
        <v>0.37342500000000001</v>
      </c>
      <c r="G999" s="50">
        <v>-0.28570000000000001</v>
      </c>
      <c r="H999" s="50">
        <v>0.38490743662900001</v>
      </c>
      <c r="I999" s="50">
        <v>0.48829287047999997</v>
      </c>
      <c r="J999" s="50">
        <v>0.28152200277799999</v>
      </c>
      <c r="K999" s="50">
        <v>1243.5899999999999</v>
      </c>
      <c r="L999" s="50">
        <v>1230.01</v>
      </c>
      <c r="M999" s="50">
        <v>1243.04</v>
      </c>
      <c r="N999" s="66">
        <f t="shared" si="120"/>
        <v>1.3354357060111355E-3</v>
      </c>
      <c r="O999" s="66">
        <f t="shared" si="121"/>
        <v>-6.1140429913759085E-4</v>
      </c>
      <c r="P999" s="4">
        <f t="shared" si="122"/>
        <v>-0.28569999999999995</v>
      </c>
      <c r="Q999" s="4">
        <f t="shared" si="123"/>
        <v>-0.197875</v>
      </c>
      <c r="R999" s="66">
        <f t="shared" si="124"/>
        <v>1.3354357060111355E-3</v>
      </c>
      <c r="S999" s="66">
        <f t="shared" si="125"/>
        <v>-6.1140429913759085E-4</v>
      </c>
      <c r="T999" s="50">
        <f t="shared" si="126"/>
        <v>1</v>
      </c>
      <c r="U999" s="50" t="str">
        <f t="shared" si="127"/>
        <v/>
      </c>
    </row>
    <row r="1000" spans="1:21" x14ac:dyDescent="0.2">
      <c r="A1000" s="38">
        <v>38890</v>
      </c>
      <c r="B1000" s="4">
        <v>0.34399999999999997</v>
      </c>
      <c r="C1000" s="4">
        <v>0.24</v>
      </c>
      <c r="D1000" s="4">
        <v>0.41599999999999998</v>
      </c>
      <c r="E1000" s="50">
        <v>1</v>
      </c>
      <c r="F1000" s="50">
        <v>0.36378749999999999</v>
      </c>
      <c r="G1000" s="50">
        <v>-7.1999999999999995E-2</v>
      </c>
      <c r="H1000" s="50">
        <v>0.38490743662900001</v>
      </c>
      <c r="I1000" s="50">
        <v>0.48829287047999997</v>
      </c>
      <c r="J1000" s="50">
        <v>0.28152200277799999</v>
      </c>
      <c r="K1000" s="50">
        <v>1251.92</v>
      </c>
      <c r="L1000" s="50">
        <v>1241.53</v>
      </c>
      <c r="M1000" s="50">
        <v>1244.7</v>
      </c>
      <c r="N1000" s="66">
        <f t="shared" si="120"/>
        <v>8.9820840363140225E-3</v>
      </c>
      <c r="O1000" s="66">
        <f t="shared" si="121"/>
        <v>8.8294368120832405E-3</v>
      </c>
      <c r="P1000" s="4">
        <f t="shared" si="122"/>
        <v>-7.2000000000000008E-2</v>
      </c>
      <c r="Q1000" s="4">
        <f t="shared" si="123"/>
        <v>-0.18462499999999998</v>
      </c>
      <c r="R1000" s="66">
        <f t="shared" si="124"/>
        <v>8.9820840363140225E-3</v>
      </c>
      <c r="S1000" s="66">
        <f t="shared" si="125"/>
        <v>8.8294368120832405E-3</v>
      </c>
      <c r="T1000" s="50">
        <f t="shared" si="126"/>
        <v>1</v>
      </c>
      <c r="U1000" s="50">
        <f t="shared" si="127"/>
        <v>1</v>
      </c>
    </row>
    <row r="1001" spans="1:21" x14ac:dyDescent="0.2">
      <c r="A1001" s="38">
        <v>38897</v>
      </c>
      <c r="B1001" s="4">
        <v>0.38600000000000001</v>
      </c>
      <c r="C1001" s="4">
        <v>0.21640000000000001</v>
      </c>
      <c r="D1001" s="4">
        <v>0.3977</v>
      </c>
      <c r="E1001" s="50">
        <v>1.0001</v>
      </c>
      <c r="F1001" s="50">
        <v>0.35467500000000002</v>
      </c>
      <c r="G1001" s="50">
        <v>-1.17E-2</v>
      </c>
      <c r="H1001" s="50">
        <v>0.38490743662900001</v>
      </c>
      <c r="I1001" s="50">
        <v>0.48829287047999997</v>
      </c>
      <c r="J1001" s="50">
        <v>0.28152200277799999</v>
      </c>
      <c r="K1001" s="50">
        <v>1257.29</v>
      </c>
      <c r="L1001" s="50">
        <v>1245.94</v>
      </c>
      <c r="M1001" s="50">
        <v>1255.8800000000001</v>
      </c>
      <c r="N1001" s="66">
        <f t="shared" si="120"/>
        <v>1.4491830429658738E-2</v>
      </c>
      <c r="O1001" s="66">
        <f t="shared" si="121"/>
        <v>9.9691053285345579E-3</v>
      </c>
      <c r="P1001" s="4">
        <f t="shared" si="122"/>
        <v>-1.1699999999999988E-2</v>
      </c>
      <c r="Q1001" s="4">
        <f t="shared" si="123"/>
        <v>-0.13947500000000002</v>
      </c>
      <c r="R1001" s="66">
        <f t="shared" si="124"/>
        <v>1.4491830429658738E-2</v>
      </c>
      <c r="S1001" s="66">
        <f t="shared" si="125"/>
        <v>9.9691053285345579E-3</v>
      </c>
      <c r="T1001" s="50">
        <f t="shared" si="126"/>
        <v>1</v>
      </c>
      <c r="U1001" s="50">
        <f t="shared" si="127"/>
        <v>1</v>
      </c>
    </row>
    <row r="1002" spans="1:21" x14ac:dyDescent="0.2">
      <c r="A1002" s="38">
        <v>38904</v>
      </c>
      <c r="B1002" s="4">
        <v>0.377</v>
      </c>
      <c r="C1002" s="4">
        <v>0.19670000000000001</v>
      </c>
      <c r="D1002" s="4">
        <v>0.42620000000000002</v>
      </c>
      <c r="E1002" s="50">
        <v>0.99990000000000001</v>
      </c>
      <c r="F1002" s="50">
        <v>0.333175</v>
      </c>
      <c r="G1002" s="50">
        <v>-4.9200000000000001E-2</v>
      </c>
      <c r="H1002" s="50">
        <v>0.38490743662900001</v>
      </c>
      <c r="I1002" s="50">
        <v>0.48829287047999997</v>
      </c>
      <c r="J1002" s="50">
        <v>0.28152200277799999</v>
      </c>
      <c r="K1002" s="50">
        <v>1278.32</v>
      </c>
      <c r="L1002" s="50">
        <v>1270.58</v>
      </c>
      <c r="M1002" s="50">
        <v>1274.08</v>
      </c>
      <c r="N1002" s="66">
        <f t="shared" si="120"/>
        <v>-2.4959186236343054E-2</v>
      </c>
      <c r="O1002" s="66">
        <f t="shared" si="121"/>
        <v>4.8584076353133674E-3</v>
      </c>
      <c r="P1002" s="4">
        <f t="shared" si="122"/>
        <v>-4.9200000000000021E-2</v>
      </c>
      <c r="Q1002" s="4">
        <f t="shared" si="123"/>
        <v>-0.10464999999999999</v>
      </c>
      <c r="R1002" s="66">
        <f t="shared" si="124"/>
        <v>-2.4959186236343054E-2</v>
      </c>
      <c r="S1002" s="66">
        <f t="shared" si="125"/>
        <v>4.8584076353133674E-3</v>
      </c>
      <c r="T1002" s="50" t="str">
        <f t="shared" si="126"/>
        <v/>
      </c>
      <c r="U1002" s="50">
        <f t="shared" si="127"/>
        <v>1</v>
      </c>
    </row>
    <row r="1003" spans="1:21" x14ac:dyDescent="0.2">
      <c r="A1003" s="38">
        <v>38911</v>
      </c>
      <c r="B1003" s="4">
        <v>0.36499999999999999</v>
      </c>
      <c r="C1003" s="4">
        <v>0.2409</v>
      </c>
      <c r="D1003" s="4">
        <v>0.39419999999999999</v>
      </c>
      <c r="E1003" s="50">
        <v>1.0001</v>
      </c>
      <c r="F1003" s="50">
        <v>0.32956249999999998</v>
      </c>
      <c r="G1003" s="50">
        <v>-2.92E-2</v>
      </c>
      <c r="H1003" s="50">
        <v>0.38490743662900001</v>
      </c>
      <c r="I1003" s="50">
        <v>0.48829287047999997</v>
      </c>
      <c r="J1003" s="50">
        <v>0.28152200277799999</v>
      </c>
      <c r="K1003" s="50">
        <v>1258.58</v>
      </c>
      <c r="L1003" s="50">
        <v>1241.43</v>
      </c>
      <c r="M1003" s="50">
        <v>1242.28</v>
      </c>
      <c r="N1003" s="66">
        <f t="shared" si="120"/>
        <v>1.0794667868757513E-2</v>
      </c>
      <c r="O1003" s="66">
        <f t="shared" si="121"/>
        <v>2.3770808513378604E-2</v>
      </c>
      <c r="P1003" s="4">
        <f t="shared" si="122"/>
        <v>-2.9200000000000004E-2</v>
      </c>
      <c r="Q1003" s="4">
        <f t="shared" si="123"/>
        <v>-4.0525000000000005E-2</v>
      </c>
      <c r="R1003" s="66">
        <f t="shared" si="124"/>
        <v>1.0794667868757513E-2</v>
      </c>
      <c r="S1003" s="66">
        <f t="shared" si="125"/>
        <v>2.3770808513378604E-2</v>
      </c>
      <c r="T1003" s="50">
        <f t="shared" si="126"/>
        <v>1</v>
      </c>
      <c r="U1003" s="50">
        <f t="shared" si="127"/>
        <v>1</v>
      </c>
    </row>
    <row r="1004" spans="1:21" x14ac:dyDescent="0.2">
      <c r="A1004" s="38">
        <v>38918</v>
      </c>
      <c r="B1004" s="4">
        <v>0.23849999999999999</v>
      </c>
      <c r="C1004" s="4">
        <v>0.1835</v>
      </c>
      <c r="D1004" s="4">
        <v>0.57799999999999996</v>
      </c>
      <c r="E1004" s="50">
        <v>1</v>
      </c>
      <c r="F1004" s="50">
        <v>0.318075</v>
      </c>
      <c r="G1004" s="50">
        <v>-0.33950000000000002</v>
      </c>
      <c r="H1004" s="50">
        <v>0.38490743662900001</v>
      </c>
      <c r="I1004" s="50">
        <v>0.48829287047999997</v>
      </c>
      <c r="J1004" s="50">
        <v>0.28152200277799999</v>
      </c>
      <c r="K1004" s="50">
        <v>1262.56</v>
      </c>
      <c r="L1004" s="50">
        <v>1253.1300000000001</v>
      </c>
      <c r="M1004" s="50">
        <v>1255.69</v>
      </c>
      <c r="N1004" s="66">
        <f t="shared" si="120"/>
        <v>1.012192499741181E-2</v>
      </c>
      <c r="O1004" s="66">
        <f t="shared" si="121"/>
        <v>3.0676361203800285E-2</v>
      </c>
      <c r="P1004" s="4">
        <f t="shared" si="122"/>
        <v>-0.33949999999999997</v>
      </c>
      <c r="Q1004" s="4">
        <f t="shared" si="123"/>
        <v>-0.1074</v>
      </c>
      <c r="R1004" s="66">
        <f t="shared" si="124"/>
        <v>1.012192499741181E-2</v>
      </c>
      <c r="S1004" s="66">
        <f t="shared" si="125"/>
        <v>3.0676361203800285E-2</v>
      </c>
      <c r="T1004" s="50">
        <f t="shared" si="126"/>
        <v>1</v>
      </c>
      <c r="U1004" s="50">
        <f t="shared" si="127"/>
        <v>1</v>
      </c>
    </row>
    <row r="1005" spans="1:21" x14ac:dyDescent="0.2">
      <c r="A1005" s="38">
        <v>38925</v>
      </c>
      <c r="B1005" s="4">
        <v>0.3488</v>
      </c>
      <c r="C1005" s="4">
        <v>0.22090000000000001</v>
      </c>
      <c r="D1005" s="4">
        <v>0.43020000000000003</v>
      </c>
      <c r="E1005" s="50">
        <v>0.99990000000000001</v>
      </c>
      <c r="F1005" s="50">
        <v>0.32321250000000001</v>
      </c>
      <c r="G1005" s="50">
        <v>-8.14E-2</v>
      </c>
      <c r="H1005" s="50">
        <v>0.38490743662900001</v>
      </c>
      <c r="I1005" s="50">
        <v>0.48829287047999997</v>
      </c>
      <c r="J1005" s="50">
        <v>0.28152200277799999</v>
      </c>
      <c r="K1005" s="50">
        <v>1273.8900000000001</v>
      </c>
      <c r="L1005" s="50">
        <v>1240.25</v>
      </c>
      <c r="M1005" s="50">
        <v>1268.4000000000001</v>
      </c>
      <c r="N1005" s="66">
        <f t="shared" si="120"/>
        <v>9.358246609902152E-3</v>
      </c>
      <c r="O1005" s="66">
        <f t="shared" si="121"/>
        <v>1.8558814254178463E-2</v>
      </c>
      <c r="P1005" s="4">
        <f t="shared" si="122"/>
        <v>-8.1400000000000028E-2</v>
      </c>
      <c r="Q1005" s="4">
        <f t="shared" si="123"/>
        <v>-0.12482500000000001</v>
      </c>
      <c r="R1005" s="66">
        <f t="shared" si="124"/>
        <v>9.358246609902152E-3</v>
      </c>
      <c r="S1005" s="66">
        <f t="shared" si="125"/>
        <v>1.8558814254178463E-2</v>
      </c>
      <c r="T1005" s="50">
        <f t="shared" si="126"/>
        <v>1</v>
      </c>
      <c r="U1005" s="50">
        <f t="shared" si="127"/>
        <v>1</v>
      </c>
    </row>
    <row r="1006" spans="1:21" x14ac:dyDescent="0.2">
      <c r="A1006" s="38">
        <v>38932</v>
      </c>
      <c r="B1006" s="4">
        <v>0.31459999999999999</v>
      </c>
      <c r="C1006" s="4">
        <v>0.2135</v>
      </c>
      <c r="D1006" s="4">
        <v>0.47189999999999999</v>
      </c>
      <c r="E1006" s="50">
        <v>1</v>
      </c>
      <c r="F1006" s="50">
        <v>0.32974999999999999</v>
      </c>
      <c r="G1006" s="50">
        <v>-0.1573</v>
      </c>
      <c r="H1006" s="50">
        <v>0.38490743662900001</v>
      </c>
      <c r="I1006" s="50">
        <v>0.48829287047999997</v>
      </c>
      <c r="J1006" s="50">
        <v>0.28152200277799999</v>
      </c>
      <c r="K1006" s="50">
        <v>1283.96</v>
      </c>
      <c r="L1006" s="50">
        <v>1271.25</v>
      </c>
      <c r="M1006" s="50">
        <v>1280.27</v>
      </c>
      <c r="N1006" s="66">
        <f t="shared" si="120"/>
        <v>-6.6079811289806341E-3</v>
      </c>
      <c r="O1006" s="66">
        <f t="shared" si="121"/>
        <v>1.7699391534598236E-2</v>
      </c>
      <c r="P1006" s="4">
        <f t="shared" si="122"/>
        <v>-0.1573</v>
      </c>
      <c r="Q1006" s="4">
        <f t="shared" si="123"/>
        <v>-0.15184999999999998</v>
      </c>
      <c r="R1006" s="66">
        <f t="shared" si="124"/>
        <v>-6.6079811289806341E-3</v>
      </c>
      <c r="S1006" s="66">
        <f t="shared" si="125"/>
        <v>1.7699391534598236E-2</v>
      </c>
      <c r="T1006" s="50" t="str">
        <f t="shared" si="126"/>
        <v/>
      </c>
      <c r="U1006" s="50">
        <f t="shared" si="127"/>
        <v>1</v>
      </c>
    </row>
    <row r="1007" spans="1:21" x14ac:dyDescent="0.2">
      <c r="A1007" s="38">
        <v>38939</v>
      </c>
      <c r="B1007" s="4">
        <v>0.3659</v>
      </c>
      <c r="C1007" s="4">
        <v>0.2195</v>
      </c>
      <c r="D1007" s="4">
        <v>0.41460000000000002</v>
      </c>
      <c r="E1007" s="50">
        <v>1</v>
      </c>
      <c r="F1007" s="50">
        <v>0.34247499999999997</v>
      </c>
      <c r="G1007" s="50">
        <v>-4.87E-2</v>
      </c>
      <c r="H1007" s="50">
        <v>0.38490743662900001</v>
      </c>
      <c r="I1007" s="50">
        <v>0.48829287047999997</v>
      </c>
      <c r="J1007" s="50">
        <v>0.28152200277799999</v>
      </c>
      <c r="K1007" s="50">
        <v>1272.55</v>
      </c>
      <c r="L1007" s="50">
        <v>1261.3</v>
      </c>
      <c r="M1007" s="50">
        <v>1271.81</v>
      </c>
      <c r="N1007" s="66">
        <f t="shared" si="120"/>
        <v>1.7612693719973968E-2</v>
      </c>
      <c r="O1007" s="66">
        <f t="shared" si="121"/>
        <v>2.0427579591291167E-2</v>
      </c>
      <c r="P1007" s="4">
        <f t="shared" si="122"/>
        <v>-4.8700000000000021E-2</v>
      </c>
      <c r="Q1007" s="4">
        <f t="shared" si="123"/>
        <v>-0.156725</v>
      </c>
      <c r="R1007" s="66">
        <f t="shared" si="124"/>
        <v>1.7612693719973968E-2</v>
      </c>
      <c r="S1007" s="66">
        <f t="shared" si="125"/>
        <v>2.0427579591291167E-2</v>
      </c>
      <c r="T1007" s="50">
        <f t="shared" si="126"/>
        <v>1</v>
      </c>
      <c r="U1007" s="50">
        <f t="shared" si="127"/>
        <v>1</v>
      </c>
    </row>
    <row r="1008" spans="1:21" x14ac:dyDescent="0.2">
      <c r="A1008" s="38">
        <v>38946</v>
      </c>
      <c r="B1008" s="4">
        <v>0.30530000000000002</v>
      </c>
      <c r="C1008" s="4">
        <v>0.33679999999999999</v>
      </c>
      <c r="D1008" s="4">
        <v>0.3579</v>
      </c>
      <c r="E1008" s="50">
        <v>1</v>
      </c>
      <c r="F1008" s="50">
        <v>0.33763749999999998</v>
      </c>
      <c r="G1008" s="50">
        <v>-5.2600000000000001E-2</v>
      </c>
      <c r="H1008" s="50">
        <v>0.38490743662900001</v>
      </c>
      <c r="I1008" s="50">
        <v>0.48829287047999997</v>
      </c>
      <c r="J1008" s="50">
        <v>0.28152200277799999</v>
      </c>
      <c r="K1008" s="50">
        <v>1296.31</v>
      </c>
      <c r="L1008" s="50">
        <v>1292.71</v>
      </c>
      <c r="M1008" s="50">
        <v>1294.21</v>
      </c>
      <c r="N1008" s="66">
        <f t="shared" si="120"/>
        <v>-1.7539657397176514E-3</v>
      </c>
      <c r="O1008" s="66">
        <f t="shared" si="121"/>
        <v>1.7052873953995053E-2</v>
      </c>
      <c r="P1008" s="4">
        <f t="shared" si="122"/>
        <v>-5.259999999999998E-2</v>
      </c>
      <c r="Q1008" s="4">
        <f t="shared" si="123"/>
        <v>-8.5000000000000006E-2</v>
      </c>
      <c r="R1008" s="66">
        <f t="shared" si="124"/>
        <v>-1.7539657397176514E-3</v>
      </c>
      <c r="S1008" s="66">
        <f t="shared" si="125"/>
        <v>1.7052873953995053E-2</v>
      </c>
      <c r="T1008" s="50" t="str">
        <f t="shared" si="126"/>
        <v/>
      </c>
      <c r="U1008" s="50">
        <f t="shared" si="127"/>
        <v>1</v>
      </c>
    </row>
    <row r="1009" spans="1:21" x14ac:dyDescent="0.2">
      <c r="A1009" s="38">
        <v>38953</v>
      </c>
      <c r="B1009" s="4">
        <v>0.39350000000000002</v>
      </c>
      <c r="C1009" s="4">
        <v>0.23230000000000001</v>
      </c>
      <c r="D1009" s="4">
        <v>0.37419999999999998</v>
      </c>
      <c r="E1009" s="50">
        <v>1</v>
      </c>
      <c r="F1009" s="50">
        <v>0.33857500000000001</v>
      </c>
      <c r="G1009" s="50">
        <v>1.9300000000000001E-2</v>
      </c>
      <c r="H1009" s="50">
        <v>0.38490743662900001</v>
      </c>
      <c r="I1009" s="50">
        <v>0.48829287047999997</v>
      </c>
      <c r="J1009" s="50">
        <v>0.28152200277799999</v>
      </c>
      <c r="K1009" s="50">
        <v>1297.23</v>
      </c>
      <c r="L1009" s="50">
        <v>1291.49</v>
      </c>
      <c r="M1009" s="50">
        <v>1291.94</v>
      </c>
      <c r="N1009" s="66">
        <f t="shared" si="120"/>
        <v>8.506586993204026E-3</v>
      </c>
      <c r="O1009" s="66">
        <f t="shared" si="121"/>
        <v>2.706008018948251E-2</v>
      </c>
      <c r="P1009" s="4">
        <f t="shared" si="122"/>
        <v>1.9300000000000039E-2</v>
      </c>
      <c r="Q1009" s="4">
        <f t="shared" si="123"/>
        <v>-5.9824999999999989E-2</v>
      </c>
      <c r="R1009" s="66">
        <f t="shared" si="124"/>
        <v>8.506586993204026E-3</v>
      </c>
      <c r="S1009" s="66">
        <f t="shared" si="125"/>
        <v>2.706008018948251E-2</v>
      </c>
      <c r="T1009" s="50">
        <f t="shared" si="126"/>
        <v>1</v>
      </c>
      <c r="U1009" s="50">
        <f t="shared" si="127"/>
        <v>1</v>
      </c>
    </row>
    <row r="1010" spans="1:21" x14ac:dyDescent="0.2">
      <c r="A1010" s="38">
        <v>38960</v>
      </c>
      <c r="B1010" s="4">
        <v>0.41570000000000001</v>
      </c>
      <c r="C1010" s="4">
        <v>0.32579999999999998</v>
      </c>
      <c r="D1010" s="4">
        <v>0.25840000000000002</v>
      </c>
      <c r="E1010" s="50">
        <v>0.99990000000000001</v>
      </c>
      <c r="F1010" s="50">
        <v>0.34341250000000001</v>
      </c>
      <c r="G1010" s="50">
        <v>0.1573</v>
      </c>
      <c r="H1010" s="50">
        <v>0.38490743662900001</v>
      </c>
      <c r="I1010" s="50">
        <v>0.48829287047999997</v>
      </c>
      <c r="J1010" s="50">
        <v>0.28152200277799999</v>
      </c>
      <c r="K1010" s="50">
        <v>1305.5</v>
      </c>
      <c r="L1010" s="50">
        <v>1302.45</v>
      </c>
      <c r="M1010" s="50">
        <v>1302.93</v>
      </c>
      <c r="N1010" s="66">
        <f t="shared" si="120"/>
        <v>-3.9449548325697463E-3</v>
      </c>
      <c r="O1010" s="66">
        <f t="shared" si="121"/>
        <v>2.6048981910002707E-2</v>
      </c>
      <c r="P1010" s="4">
        <f t="shared" si="122"/>
        <v>0.1573</v>
      </c>
      <c r="Q1010" s="4">
        <f t="shared" si="123"/>
        <v>1.8825000000000008E-2</v>
      </c>
      <c r="R1010" s="66">
        <f t="shared" si="124"/>
        <v>-3.9449548325697463E-3</v>
      </c>
      <c r="S1010" s="66">
        <f t="shared" si="125"/>
        <v>2.6048981910002707E-2</v>
      </c>
      <c r="T1010" s="50" t="str">
        <f t="shared" si="126"/>
        <v/>
      </c>
      <c r="U1010" s="50">
        <f t="shared" si="127"/>
        <v>1</v>
      </c>
    </row>
    <row r="1011" spans="1:21" x14ac:dyDescent="0.2">
      <c r="A1011" s="38">
        <v>38967</v>
      </c>
      <c r="B1011" s="4">
        <v>0.4299</v>
      </c>
      <c r="C1011" s="4">
        <v>0.27100000000000002</v>
      </c>
      <c r="D1011" s="4">
        <v>0.29909999999999998</v>
      </c>
      <c r="E1011" s="50">
        <v>1</v>
      </c>
      <c r="F1011" s="50">
        <v>0.35152499999999998</v>
      </c>
      <c r="G1011" s="50">
        <v>0.1308</v>
      </c>
      <c r="H1011" s="50">
        <v>0.38490743662900001</v>
      </c>
      <c r="I1011" s="50">
        <v>0.48829287047999997</v>
      </c>
      <c r="J1011" s="50">
        <v>0.28152200277799999</v>
      </c>
      <c r="K1011" s="50">
        <v>1301.25</v>
      </c>
      <c r="L1011" s="50">
        <v>1292.1300000000001</v>
      </c>
      <c r="M1011" s="50">
        <v>1297.79</v>
      </c>
      <c r="N1011" s="66">
        <f t="shared" si="120"/>
        <v>1.4247297328535441E-2</v>
      </c>
      <c r="O1011" s="66">
        <f t="shared" si="121"/>
        <v>3.9120350750121345E-2</v>
      </c>
      <c r="P1011" s="4">
        <f t="shared" si="122"/>
        <v>0.13080000000000003</v>
      </c>
      <c r="Q1011" s="4">
        <f t="shared" si="123"/>
        <v>6.370000000000002E-2</v>
      </c>
      <c r="R1011" s="66">
        <f t="shared" si="124"/>
        <v>1.4247297328535441E-2</v>
      </c>
      <c r="S1011" s="66">
        <f t="shared" si="125"/>
        <v>3.9120350750121345E-2</v>
      </c>
      <c r="T1011" s="50">
        <f t="shared" si="126"/>
        <v>1</v>
      </c>
      <c r="U1011" s="50">
        <f t="shared" si="127"/>
        <v>1</v>
      </c>
    </row>
    <row r="1012" spans="1:21" x14ac:dyDescent="0.2">
      <c r="A1012" s="38">
        <v>38974</v>
      </c>
      <c r="B1012" s="4">
        <v>0.47949999999999998</v>
      </c>
      <c r="C1012" s="4">
        <v>0.13700000000000001</v>
      </c>
      <c r="D1012" s="4">
        <v>0.3836</v>
      </c>
      <c r="E1012" s="50">
        <v>1.0001</v>
      </c>
      <c r="F1012" s="50">
        <v>0.38164999999999999</v>
      </c>
      <c r="G1012" s="50">
        <v>9.5899999999999999E-2</v>
      </c>
      <c r="H1012" s="50">
        <v>0.38490743662900001</v>
      </c>
      <c r="I1012" s="50">
        <v>0.48829287047999997</v>
      </c>
      <c r="J1012" s="50">
        <v>0.28152200277799999</v>
      </c>
      <c r="K1012" s="50">
        <v>1318</v>
      </c>
      <c r="L1012" s="50">
        <v>1313.25</v>
      </c>
      <c r="M1012" s="50">
        <v>1316.28</v>
      </c>
      <c r="N1012" s="66">
        <f t="shared" si="120"/>
        <v>8.0681921779561482E-3</v>
      </c>
      <c r="O1012" s="66">
        <f t="shared" si="121"/>
        <v>3.1604217947549258E-2</v>
      </c>
      <c r="P1012" s="4">
        <f t="shared" si="122"/>
        <v>9.5899999999999985E-2</v>
      </c>
      <c r="Q1012" s="4">
        <f t="shared" si="123"/>
        <v>0.10082500000000001</v>
      </c>
      <c r="R1012" s="66">
        <f t="shared" si="124"/>
        <v>8.0681921779561482E-3</v>
      </c>
      <c r="S1012" s="66">
        <f t="shared" si="125"/>
        <v>3.1604217947549258E-2</v>
      </c>
      <c r="T1012" s="50">
        <f t="shared" si="126"/>
        <v>1</v>
      </c>
      <c r="U1012" s="50">
        <f t="shared" si="127"/>
        <v>1</v>
      </c>
    </row>
    <row r="1013" spans="1:21" x14ac:dyDescent="0.2">
      <c r="A1013" s="38">
        <v>38981</v>
      </c>
      <c r="B1013" s="4">
        <v>0.47749999999999998</v>
      </c>
      <c r="C1013" s="4">
        <v>0.1802</v>
      </c>
      <c r="D1013" s="4">
        <v>0.34229999999999999</v>
      </c>
      <c r="E1013" s="50">
        <v>1</v>
      </c>
      <c r="F1013" s="50">
        <v>0.39773750000000002</v>
      </c>
      <c r="G1013" s="50">
        <v>0.13519999999999999</v>
      </c>
      <c r="H1013" s="50">
        <v>0.38490743662900001</v>
      </c>
      <c r="I1013" s="50">
        <v>0.48829287047999997</v>
      </c>
      <c r="J1013" s="50">
        <v>0.28152200277799999</v>
      </c>
      <c r="K1013" s="50">
        <v>1328.19</v>
      </c>
      <c r="L1013" s="50">
        <v>1322.59</v>
      </c>
      <c r="M1013" s="50">
        <v>1326.9</v>
      </c>
      <c r="N1013" s="66">
        <f t="shared" si="120"/>
        <v>7.5137538623858613E-3</v>
      </c>
      <c r="O1013" s="66">
        <f t="shared" si="121"/>
        <v>3.0190669982666323E-2</v>
      </c>
      <c r="P1013" s="4">
        <f t="shared" si="122"/>
        <v>0.13519999999999999</v>
      </c>
      <c r="Q1013" s="4">
        <f t="shared" si="123"/>
        <v>0.1298</v>
      </c>
      <c r="R1013" s="66">
        <f t="shared" si="124"/>
        <v>7.5137538623858613E-3</v>
      </c>
      <c r="S1013" s="66">
        <f t="shared" si="125"/>
        <v>3.0190669982666323E-2</v>
      </c>
      <c r="T1013" s="50">
        <f t="shared" si="126"/>
        <v>1</v>
      </c>
      <c r="U1013" s="50">
        <f t="shared" si="127"/>
        <v>1</v>
      </c>
    </row>
    <row r="1014" spans="1:21" x14ac:dyDescent="0.2">
      <c r="A1014" s="38">
        <v>38988</v>
      </c>
      <c r="B1014" s="4">
        <v>0.51319999999999999</v>
      </c>
      <c r="C1014" s="4">
        <v>0.15790000000000001</v>
      </c>
      <c r="D1014" s="4">
        <v>0.32890000000000003</v>
      </c>
      <c r="E1014" s="50">
        <v>1</v>
      </c>
      <c r="F1014" s="50">
        <v>0.42256250000000001</v>
      </c>
      <c r="G1014" s="50">
        <v>0.18429999999999999</v>
      </c>
      <c r="H1014" s="50">
        <v>0.38490743662900001</v>
      </c>
      <c r="I1014" s="50">
        <v>0.48829287047999997</v>
      </c>
      <c r="J1014" s="50">
        <v>0.28152200277799999</v>
      </c>
      <c r="K1014" s="50">
        <v>1339.73</v>
      </c>
      <c r="L1014" s="50">
        <v>1334.75</v>
      </c>
      <c r="M1014" s="50">
        <v>1336.87</v>
      </c>
      <c r="N1014" s="66">
        <f t="shared" si="120"/>
        <v>8.7443057290537262E-3</v>
      </c>
      <c r="O1014" s="66">
        <f t="shared" si="121"/>
        <v>3.6114207065758228E-2</v>
      </c>
      <c r="P1014" s="4">
        <f t="shared" si="122"/>
        <v>0.18429999999999996</v>
      </c>
      <c r="Q1014" s="4">
        <f t="shared" si="123"/>
        <v>0.13655</v>
      </c>
      <c r="R1014" s="66">
        <f t="shared" si="124"/>
        <v>8.7443057290537262E-3</v>
      </c>
      <c r="S1014" s="66">
        <f t="shared" si="125"/>
        <v>3.6114207065758228E-2</v>
      </c>
      <c r="T1014" s="50">
        <f t="shared" si="126"/>
        <v>1</v>
      </c>
      <c r="U1014" s="50">
        <f t="shared" si="127"/>
        <v>1</v>
      </c>
    </row>
    <row r="1015" spans="1:21" x14ac:dyDescent="0.2">
      <c r="A1015" s="38">
        <v>38995</v>
      </c>
      <c r="B1015" s="4">
        <v>0.37780000000000002</v>
      </c>
      <c r="C1015" s="4">
        <v>0.15559999999999999</v>
      </c>
      <c r="D1015" s="4">
        <v>0.4667</v>
      </c>
      <c r="E1015" s="50">
        <v>1.0001</v>
      </c>
      <c r="F1015" s="50">
        <v>0.42404999999999998</v>
      </c>
      <c r="G1015" s="50">
        <v>-8.8900000000000007E-2</v>
      </c>
      <c r="H1015" s="50">
        <v>0.38490743662900001</v>
      </c>
      <c r="I1015" s="50">
        <v>0.48829287047999997</v>
      </c>
      <c r="J1015" s="50">
        <v>0.28152200277799999</v>
      </c>
      <c r="K1015" s="50">
        <v>1351.57</v>
      </c>
      <c r="L1015" s="50">
        <v>1347.75</v>
      </c>
      <c r="M1015" s="50">
        <v>1348.56</v>
      </c>
      <c r="N1015" s="66">
        <f t="shared" si="120"/>
        <v>6.9110755175892536E-3</v>
      </c>
      <c r="O1015" s="66">
        <f t="shared" si="121"/>
        <v>1.3162187815150977E-2</v>
      </c>
      <c r="P1015" s="4">
        <f t="shared" si="122"/>
        <v>-8.8899999999999979E-2</v>
      </c>
      <c r="Q1015" s="4">
        <f t="shared" si="123"/>
        <v>8.1624999999999989E-2</v>
      </c>
      <c r="R1015" s="66">
        <f t="shared" si="124"/>
        <v>6.9110755175892536E-3</v>
      </c>
      <c r="S1015" s="66">
        <f t="shared" si="125"/>
        <v>1.3162187815150977E-2</v>
      </c>
      <c r="T1015" s="50">
        <f t="shared" si="126"/>
        <v>1</v>
      </c>
      <c r="U1015" s="50">
        <f t="shared" si="127"/>
        <v>1</v>
      </c>
    </row>
    <row r="1016" spans="1:21" x14ac:dyDescent="0.2">
      <c r="A1016" s="38">
        <v>39002</v>
      </c>
      <c r="B1016" s="4">
        <v>0.48980000000000001</v>
      </c>
      <c r="C1016" s="4">
        <v>0.13270000000000001</v>
      </c>
      <c r="D1016" s="4">
        <v>0.37759999999999999</v>
      </c>
      <c r="E1016" s="50">
        <v>1.0001</v>
      </c>
      <c r="F1016" s="50">
        <v>0.44711250000000002</v>
      </c>
      <c r="G1016" s="50">
        <v>0.11219999999999999</v>
      </c>
      <c r="H1016" s="50">
        <v>0.38490743662900001</v>
      </c>
      <c r="I1016" s="50">
        <v>0.48829287047999997</v>
      </c>
      <c r="J1016" s="50">
        <v>0.28152200277799999</v>
      </c>
      <c r="K1016" s="50">
        <v>1359.05</v>
      </c>
      <c r="L1016" s="50">
        <v>1349.94</v>
      </c>
      <c r="M1016" s="50">
        <v>1357.88</v>
      </c>
      <c r="N1016" s="66">
        <f t="shared" si="120"/>
        <v>6.6868942763719371E-3</v>
      </c>
      <c r="O1016" s="66">
        <f t="shared" si="121"/>
        <v>1.5060240963855286E-2</v>
      </c>
      <c r="P1016" s="4">
        <f t="shared" si="122"/>
        <v>0.11220000000000002</v>
      </c>
      <c r="Q1016" s="4">
        <f t="shared" si="123"/>
        <v>8.5699999999999998E-2</v>
      </c>
      <c r="R1016" s="66">
        <f t="shared" si="124"/>
        <v>6.6868942763719371E-3</v>
      </c>
      <c r="S1016" s="66">
        <f t="shared" si="125"/>
        <v>1.5060240963855286E-2</v>
      </c>
      <c r="T1016" s="50">
        <f t="shared" si="126"/>
        <v>1</v>
      </c>
      <c r="U1016" s="50">
        <f t="shared" si="127"/>
        <v>1</v>
      </c>
    </row>
    <row r="1017" spans="1:21" x14ac:dyDescent="0.2">
      <c r="A1017" s="38">
        <v>39009</v>
      </c>
      <c r="B1017" s="4">
        <v>0.54200000000000004</v>
      </c>
      <c r="C1017" s="4">
        <v>0.1603</v>
      </c>
      <c r="D1017" s="4">
        <v>0.29770000000000002</v>
      </c>
      <c r="E1017" s="50">
        <v>1</v>
      </c>
      <c r="F1017" s="50">
        <v>0.46567500000000001</v>
      </c>
      <c r="G1017" s="50">
        <v>0.24429999999999999</v>
      </c>
      <c r="H1017" s="50">
        <v>0.38490743662900001</v>
      </c>
      <c r="I1017" s="50">
        <v>0.48829287047999997</v>
      </c>
      <c r="J1017" s="50">
        <v>0.28152200277799999</v>
      </c>
      <c r="K1017" s="50">
        <v>1368.09</v>
      </c>
      <c r="L1017" s="50">
        <v>1362.06</v>
      </c>
      <c r="M1017" s="50">
        <v>1366.96</v>
      </c>
      <c r="N1017" s="66">
        <f t="shared" si="120"/>
        <v>1.3306899982442832E-2</v>
      </c>
      <c r="O1017" s="66">
        <f t="shared" si="121"/>
        <v>2.4228945982325664E-2</v>
      </c>
      <c r="P1017" s="4">
        <f t="shared" si="122"/>
        <v>0.24430000000000002</v>
      </c>
      <c r="Q1017" s="4">
        <f t="shared" si="123"/>
        <v>0.11297500000000001</v>
      </c>
      <c r="R1017" s="66">
        <f t="shared" si="124"/>
        <v>1.3306899982442832E-2</v>
      </c>
      <c r="S1017" s="66">
        <f t="shared" si="125"/>
        <v>2.4228945982325664E-2</v>
      </c>
      <c r="T1017" s="50">
        <f t="shared" si="126"/>
        <v>1</v>
      </c>
      <c r="U1017" s="50">
        <f t="shared" si="127"/>
        <v>1</v>
      </c>
    </row>
    <row r="1018" spans="1:21" x14ac:dyDescent="0.2">
      <c r="A1018" s="38">
        <v>39016</v>
      </c>
      <c r="B1018" s="4">
        <v>0.52170000000000005</v>
      </c>
      <c r="C1018" s="4">
        <v>0.1739</v>
      </c>
      <c r="D1018" s="4">
        <v>0.30430000000000001</v>
      </c>
      <c r="E1018" s="50">
        <v>0.99990000000000001</v>
      </c>
      <c r="F1018" s="50">
        <v>0.47892499999999999</v>
      </c>
      <c r="G1018" s="50">
        <v>0.21740000000000001</v>
      </c>
      <c r="H1018" s="50">
        <v>0.38490743662900001</v>
      </c>
      <c r="I1018" s="50">
        <v>0.48829287047999997</v>
      </c>
      <c r="J1018" s="50">
        <v>0.28152200277799999</v>
      </c>
      <c r="K1018" s="50">
        <v>1386.53</v>
      </c>
      <c r="L1018" s="50">
        <v>1379.47</v>
      </c>
      <c r="M1018" s="50">
        <v>1385.15</v>
      </c>
      <c r="N1018" s="66">
        <f t="shared" si="120"/>
        <v>-1.3601415009204884E-2</v>
      </c>
      <c r="O1018" s="66">
        <f t="shared" si="121"/>
        <v>1.5117496300039581E-2</v>
      </c>
      <c r="P1018" s="4">
        <f t="shared" si="122"/>
        <v>0.21740000000000004</v>
      </c>
      <c r="Q1018" s="4">
        <f t="shared" si="123"/>
        <v>0.12125000000000002</v>
      </c>
      <c r="R1018" s="66">
        <f t="shared" si="124"/>
        <v>-1.3601415009204884E-2</v>
      </c>
      <c r="S1018" s="66">
        <f t="shared" si="125"/>
        <v>1.5117496300039581E-2</v>
      </c>
      <c r="T1018" s="50" t="str">
        <f t="shared" si="126"/>
        <v/>
      </c>
      <c r="U1018" s="50">
        <f t="shared" si="127"/>
        <v>1</v>
      </c>
    </row>
    <row r="1019" spans="1:21" x14ac:dyDescent="0.2">
      <c r="A1019" s="38">
        <v>39023</v>
      </c>
      <c r="B1019" s="4">
        <v>0.4375</v>
      </c>
      <c r="C1019" s="4">
        <v>0.1938</v>
      </c>
      <c r="D1019" s="4">
        <v>0.36880000000000002</v>
      </c>
      <c r="E1019" s="50">
        <v>1.0001</v>
      </c>
      <c r="F1019" s="50">
        <v>0.479875</v>
      </c>
      <c r="G1019" s="50">
        <v>6.8699999999999997E-2</v>
      </c>
      <c r="H1019" s="50">
        <v>0.38490743662900001</v>
      </c>
      <c r="I1019" s="50">
        <v>0.48829287047999997</v>
      </c>
      <c r="J1019" s="50">
        <v>0.28152200277799999</v>
      </c>
      <c r="K1019" s="50">
        <v>1367.44</v>
      </c>
      <c r="L1019" s="50">
        <v>1362.21</v>
      </c>
      <c r="M1019" s="50">
        <v>1366.31</v>
      </c>
      <c r="N1019" s="66">
        <f t="shared" si="120"/>
        <v>8.7974178627104986E-3</v>
      </c>
      <c r="O1019" s="66">
        <f t="shared" si="121"/>
        <v>2.1708104310149294E-2</v>
      </c>
      <c r="P1019" s="4">
        <f t="shared" si="122"/>
        <v>6.8699999999999983E-2</v>
      </c>
      <c r="Q1019" s="4">
        <f t="shared" si="123"/>
        <v>0.16065000000000002</v>
      </c>
      <c r="R1019" s="66">
        <f t="shared" si="124"/>
        <v>8.7974178627104986E-3</v>
      </c>
      <c r="S1019" s="66">
        <f t="shared" si="125"/>
        <v>2.1708104310149294E-2</v>
      </c>
      <c r="T1019" s="50">
        <f t="shared" si="126"/>
        <v>1</v>
      </c>
      <c r="U1019" s="50">
        <f t="shared" si="127"/>
        <v>1</v>
      </c>
    </row>
    <row r="1020" spans="1:21" x14ac:dyDescent="0.2">
      <c r="A1020" s="38">
        <v>39030</v>
      </c>
      <c r="B1020" s="4">
        <v>0.50600000000000001</v>
      </c>
      <c r="C1020" s="4">
        <v>0.22889999999999999</v>
      </c>
      <c r="D1020" s="4">
        <v>0.2651</v>
      </c>
      <c r="E1020" s="50">
        <v>1</v>
      </c>
      <c r="F1020" s="50">
        <v>0.48318749999999999</v>
      </c>
      <c r="G1020" s="50">
        <v>0.2409</v>
      </c>
      <c r="H1020" s="50">
        <v>0.38490743662900001</v>
      </c>
      <c r="I1020" s="50">
        <v>0.48829287047999997</v>
      </c>
      <c r="J1020" s="50">
        <v>0.28152200277799999</v>
      </c>
      <c r="K1020" s="50">
        <v>1388.92</v>
      </c>
      <c r="L1020" s="50">
        <v>1377.37</v>
      </c>
      <c r="M1020" s="50">
        <v>1378.33</v>
      </c>
      <c r="N1020" s="66">
        <f t="shared" si="120"/>
        <v>1.5779965610557705E-2</v>
      </c>
      <c r="O1020" s="66">
        <f t="shared" si="121"/>
        <v>2.5081076375033675E-2</v>
      </c>
      <c r="P1020" s="4">
        <f t="shared" si="122"/>
        <v>0.2409</v>
      </c>
      <c r="Q1020" s="4">
        <f t="shared" si="123"/>
        <v>0.192825</v>
      </c>
      <c r="R1020" s="66">
        <f t="shared" si="124"/>
        <v>1.5779965610557705E-2</v>
      </c>
      <c r="S1020" s="66">
        <f t="shared" si="125"/>
        <v>2.5081076375033675E-2</v>
      </c>
      <c r="T1020" s="50">
        <f t="shared" si="126"/>
        <v>1</v>
      </c>
      <c r="U1020" s="50">
        <f t="shared" si="127"/>
        <v>1</v>
      </c>
    </row>
    <row r="1021" spans="1:21" x14ac:dyDescent="0.2">
      <c r="A1021" s="38">
        <v>39037</v>
      </c>
      <c r="B1021" s="4">
        <v>0.46560000000000001</v>
      </c>
      <c r="C1021" s="4">
        <v>0.22900000000000001</v>
      </c>
      <c r="D1021" s="4">
        <v>0.30530000000000002</v>
      </c>
      <c r="E1021" s="50">
        <v>0.99990000000000001</v>
      </c>
      <c r="F1021" s="50">
        <v>0.48170000000000002</v>
      </c>
      <c r="G1021" s="50">
        <v>0.1603</v>
      </c>
      <c r="H1021" s="50">
        <v>0.38490743662900001</v>
      </c>
      <c r="I1021" s="50">
        <v>0.48829287047999997</v>
      </c>
      <c r="J1021" s="50">
        <v>0.28152200277799999</v>
      </c>
      <c r="K1021" s="50">
        <v>1401.79</v>
      </c>
      <c r="L1021" s="50">
        <v>1396.53</v>
      </c>
      <c r="M1021" s="50">
        <v>1400.08</v>
      </c>
      <c r="N1021" s="66">
        <f t="shared" si="120"/>
        <v>4.2926118507513791E-3</v>
      </c>
      <c r="O1021" s="66">
        <f t="shared" si="121"/>
        <v>1.5899091480486825E-2</v>
      </c>
      <c r="P1021" s="4">
        <f t="shared" si="122"/>
        <v>0.1603</v>
      </c>
      <c r="Q1021" s="4">
        <f t="shared" si="123"/>
        <v>0.17182500000000001</v>
      </c>
      <c r="R1021" s="66">
        <f t="shared" si="124"/>
        <v>4.2926118507513791E-3</v>
      </c>
      <c r="S1021" s="66">
        <f t="shared" si="125"/>
        <v>1.5899091480486825E-2</v>
      </c>
      <c r="T1021" s="50">
        <f t="shared" si="126"/>
        <v>1</v>
      </c>
      <c r="U1021" s="50">
        <f t="shared" si="127"/>
        <v>1</v>
      </c>
    </row>
    <row r="1022" spans="1:21" x14ac:dyDescent="0.2">
      <c r="A1022" s="38">
        <v>39044</v>
      </c>
      <c r="B1022" s="4">
        <v>0.4194</v>
      </c>
      <c r="C1022" s="4">
        <v>0.1613</v>
      </c>
      <c r="D1022" s="4">
        <v>0.4194</v>
      </c>
      <c r="E1022" s="50">
        <v>1.0001</v>
      </c>
      <c r="F1022" s="50">
        <v>0.46997499999999998</v>
      </c>
      <c r="G1022" s="50">
        <v>0</v>
      </c>
      <c r="H1022" s="50">
        <v>0.38490743662900001</v>
      </c>
      <c r="I1022" s="50">
        <v>0.48829287047999997</v>
      </c>
      <c r="J1022" s="50">
        <v>0.28152200277799999</v>
      </c>
      <c r="K1022" s="50">
        <v>1407.89</v>
      </c>
      <c r="L1022" s="50">
        <v>1402.26</v>
      </c>
      <c r="M1022" s="50">
        <v>1406.09</v>
      </c>
      <c r="N1022" s="66">
        <f t="shared" si="120"/>
        <v>-7.197263333072486E-3</v>
      </c>
      <c r="O1022" s="66">
        <f t="shared" si="121"/>
        <v>1.4046042571954855E-2</v>
      </c>
      <c r="P1022" s="4">
        <f t="shared" si="122"/>
        <v>0</v>
      </c>
      <c r="Q1022" s="4">
        <f t="shared" si="123"/>
        <v>0.117475</v>
      </c>
      <c r="R1022" s="66">
        <f t="shared" si="124"/>
        <v>-7.197263333072486E-3</v>
      </c>
      <c r="S1022" s="66">
        <f t="shared" si="125"/>
        <v>1.4046042571954855E-2</v>
      </c>
      <c r="T1022" s="50" t="str">
        <f t="shared" si="126"/>
        <v/>
      </c>
      <c r="U1022" s="50">
        <f t="shared" si="127"/>
        <v>1</v>
      </c>
    </row>
    <row r="1023" spans="1:21" x14ac:dyDescent="0.2">
      <c r="A1023" s="38">
        <v>39051</v>
      </c>
      <c r="B1023" s="4">
        <v>0.4022</v>
      </c>
      <c r="C1023" s="4">
        <v>0.1229</v>
      </c>
      <c r="D1023" s="4">
        <v>0.47489999999999999</v>
      </c>
      <c r="E1023" s="50">
        <v>1</v>
      </c>
      <c r="F1023" s="50">
        <v>0.47302499999999997</v>
      </c>
      <c r="G1023" s="50">
        <v>-7.2700000000000001E-2</v>
      </c>
      <c r="H1023" s="50">
        <v>0.38490743662900001</v>
      </c>
      <c r="I1023" s="50">
        <v>0.48829287047999997</v>
      </c>
      <c r="J1023" s="50">
        <v>0.28152200277799999</v>
      </c>
      <c r="K1023" s="50">
        <v>1402.67</v>
      </c>
      <c r="L1023" s="50">
        <v>1394.85</v>
      </c>
      <c r="M1023" s="50">
        <v>1395.97</v>
      </c>
      <c r="N1023" s="66">
        <f t="shared" si="120"/>
        <v>1.2127767788706107E-2</v>
      </c>
      <c r="O1023" s="66">
        <f t="shared" si="121"/>
        <v>2.0602161937577447E-2</v>
      </c>
      <c r="P1023" s="4">
        <f t="shared" si="122"/>
        <v>-7.2699999999999987E-2</v>
      </c>
      <c r="Q1023" s="4">
        <f t="shared" si="123"/>
        <v>8.2125000000000004E-2</v>
      </c>
      <c r="R1023" s="66">
        <f t="shared" si="124"/>
        <v>1.2127767788706107E-2</v>
      </c>
      <c r="S1023" s="66">
        <f t="shared" si="125"/>
        <v>2.0602161937577447E-2</v>
      </c>
      <c r="T1023" s="50">
        <f t="shared" si="126"/>
        <v>1</v>
      </c>
      <c r="U1023" s="50">
        <f t="shared" si="127"/>
        <v>1</v>
      </c>
    </row>
    <row r="1024" spans="1:21" x14ac:dyDescent="0.2">
      <c r="A1024" s="38">
        <v>39058</v>
      </c>
      <c r="B1024" s="4">
        <v>0.38940000000000002</v>
      </c>
      <c r="C1024" s="4">
        <v>0.19470000000000001</v>
      </c>
      <c r="D1024" s="4">
        <v>0.41589999999999999</v>
      </c>
      <c r="E1024" s="50">
        <v>1</v>
      </c>
      <c r="F1024" s="50">
        <v>0.46047500000000002</v>
      </c>
      <c r="G1024" s="50">
        <v>-2.6499999999999999E-2</v>
      </c>
      <c r="H1024" s="50">
        <v>0.38490743662900001</v>
      </c>
      <c r="I1024" s="50">
        <v>0.48829287047999997</v>
      </c>
      <c r="J1024" s="50">
        <v>0.28152200277799999</v>
      </c>
      <c r="K1024" s="50">
        <v>1415.93</v>
      </c>
      <c r="L1024" s="50">
        <v>1396.67</v>
      </c>
      <c r="M1024" s="50">
        <v>1412.9</v>
      </c>
      <c r="N1024" s="66">
        <f t="shared" si="120"/>
        <v>6.6812937929080799E-3</v>
      </c>
      <c r="O1024" s="66">
        <f t="shared" si="121"/>
        <v>3.850237100997825E-3</v>
      </c>
      <c r="P1024" s="4">
        <f t="shared" si="122"/>
        <v>-2.6499999999999968E-2</v>
      </c>
      <c r="Q1024" s="4">
        <f t="shared" si="123"/>
        <v>1.5275000000000011E-2</v>
      </c>
      <c r="R1024" s="66">
        <f t="shared" si="124"/>
        <v>6.6812937929080799E-3</v>
      </c>
      <c r="S1024" s="66">
        <f t="shared" si="125"/>
        <v>3.850237100997825E-3</v>
      </c>
      <c r="T1024" s="50">
        <f t="shared" si="126"/>
        <v>1</v>
      </c>
      <c r="U1024" s="50">
        <f t="shared" si="127"/>
        <v>1</v>
      </c>
    </row>
    <row r="1025" spans="1:21" x14ac:dyDescent="0.2">
      <c r="A1025" s="38">
        <v>39065</v>
      </c>
      <c r="B1025" s="4">
        <v>0.4133</v>
      </c>
      <c r="C1025" s="4">
        <v>0.20669999999999999</v>
      </c>
      <c r="D1025" s="4">
        <v>0.38</v>
      </c>
      <c r="E1025" s="50">
        <v>1</v>
      </c>
      <c r="F1025" s="50">
        <v>0.44438749999999999</v>
      </c>
      <c r="G1025" s="50">
        <v>3.3300000000000003E-2</v>
      </c>
      <c r="H1025" s="50">
        <v>0.38490743662900001</v>
      </c>
      <c r="I1025" s="50">
        <v>0.48829287047999997</v>
      </c>
      <c r="J1025" s="50">
        <v>0.28152200277799999</v>
      </c>
      <c r="K1025" s="50">
        <v>1424.64</v>
      </c>
      <c r="L1025" s="50">
        <v>1413.16</v>
      </c>
      <c r="M1025" s="50">
        <v>1422.34</v>
      </c>
      <c r="N1025" s="66">
        <f t="shared" si="120"/>
        <v>2.460733720488772E-3</v>
      </c>
      <c r="O1025" s="66">
        <f t="shared" si="121"/>
        <v>-2.5029177271256842E-3</v>
      </c>
      <c r="P1025" s="4">
        <f t="shared" si="122"/>
        <v>3.3299999999999996E-2</v>
      </c>
      <c r="Q1025" s="4">
        <f t="shared" si="123"/>
        <v>-1.647499999999999E-2</v>
      </c>
      <c r="R1025" s="66">
        <f t="shared" si="124"/>
        <v>2.460733720488772E-3</v>
      </c>
      <c r="S1025" s="66">
        <f t="shared" si="125"/>
        <v>-2.5029177271256842E-3</v>
      </c>
      <c r="T1025" s="50">
        <f t="shared" si="126"/>
        <v>1</v>
      </c>
      <c r="U1025" s="50" t="str">
        <f t="shared" si="127"/>
        <v/>
      </c>
    </row>
    <row r="1026" spans="1:21" x14ac:dyDescent="0.2">
      <c r="A1026" s="38">
        <v>39072</v>
      </c>
      <c r="B1026" s="4">
        <v>0.39079999999999998</v>
      </c>
      <c r="C1026" s="4">
        <v>0.18390000000000001</v>
      </c>
      <c r="D1026" s="4">
        <v>0.42530000000000001</v>
      </c>
      <c r="E1026" s="50">
        <v>1</v>
      </c>
      <c r="F1026" s="50">
        <v>0.42802499999999999</v>
      </c>
      <c r="G1026" s="50">
        <v>-3.4500000000000003E-2</v>
      </c>
      <c r="H1026" s="50">
        <v>0.38490743662900001</v>
      </c>
      <c r="I1026" s="50">
        <v>0.48829287047999997</v>
      </c>
      <c r="J1026" s="50">
        <v>0.28152200277799999</v>
      </c>
      <c r="K1026" s="50">
        <v>1426.4</v>
      </c>
      <c r="L1026" s="50">
        <v>1423.2</v>
      </c>
      <c r="M1026" s="50">
        <v>1425.84</v>
      </c>
      <c r="N1026" s="66">
        <f t="shared" si="120"/>
        <v>-7.7848846995448302E-4</v>
      </c>
      <c r="O1026" s="66">
        <f t="shared" si="121"/>
        <v>3.7171071087918194E-4</v>
      </c>
      <c r="P1026" s="4">
        <f t="shared" si="122"/>
        <v>-3.4500000000000031E-2</v>
      </c>
      <c r="Q1026" s="4">
        <f t="shared" si="123"/>
        <v>-2.5099999999999997E-2</v>
      </c>
      <c r="R1026" s="66">
        <f t="shared" si="124"/>
        <v>-7.7848846995448302E-4</v>
      </c>
      <c r="S1026" s="66">
        <f t="shared" si="125"/>
        <v>3.7171071087918194E-4</v>
      </c>
      <c r="T1026" s="50" t="str">
        <f t="shared" si="126"/>
        <v/>
      </c>
      <c r="U1026" s="50">
        <f t="shared" si="127"/>
        <v>1</v>
      </c>
    </row>
    <row r="1027" spans="1:21" x14ac:dyDescent="0.2">
      <c r="A1027" s="38">
        <v>39079</v>
      </c>
      <c r="B1027" s="4">
        <v>0.46</v>
      </c>
      <c r="C1027" s="4">
        <v>0.18</v>
      </c>
      <c r="D1027" s="4">
        <v>0.36</v>
      </c>
      <c r="E1027" s="50">
        <v>1</v>
      </c>
      <c r="F1027" s="50">
        <v>0.43083749999999998</v>
      </c>
      <c r="G1027" s="50">
        <v>0.1</v>
      </c>
      <c r="H1027" s="50">
        <v>0.38490743662900001</v>
      </c>
      <c r="I1027" s="50">
        <v>0.48829287047999997</v>
      </c>
      <c r="J1027" s="50">
        <v>0.28152200277799999</v>
      </c>
      <c r="K1027" s="50">
        <v>1427.26</v>
      </c>
      <c r="L1027" s="50">
        <v>1422.05</v>
      </c>
      <c r="M1027" s="50">
        <v>1424.73</v>
      </c>
      <c r="N1027" s="66">
        <f t="shared" si="120"/>
        <v>-4.4850603272199646E-3</v>
      </c>
      <c r="O1027" s="66">
        <f t="shared" si="121"/>
        <v>8.1278558042575978E-3</v>
      </c>
      <c r="P1027" s="4">
        <f t="shared" si="122"/>
        <v>0.10000000000000003</v>
      </c>
      <c r="Q1027" s="4">
        <f t="shared" si="123"/>
        <v>1.8075000000000008E-2</v>
      </c>
      <c r="R1027" s="66">
        <f t="shared" si="124"/>
        <v>-4.4850603272199646E-3</v>
      </c>
      <c r="S1027" s="66">
        <f t="shared" si="125"/>
        <v>8.1278558042575978E-3</v>
      </c>
      <c r="T1027" s="50" t="str">
        <f t="shared" si="126"/>
        <v/>
      </c>
      <c r="U1027" s="50">
        <f t="shared" si="127"/>
        <v>1</v>
      </c>
    </row>
    <row r="1028" spans="1:21" x14ac:dyDescent="0.2">
      <c r="A1028" s="38">
        <v>39086</v>
      </c>
      <c r="B1028" s="4">
        <v>0.4914</v>
      </c>
      <c r="C1028" s="4">
        <v>0.2155</v>
      </c>
      <c r="D1028" s="4">
        <v>0.29310000000000003</v>
      </c>
      <c r="E1028" s="50">
        <v>1</v>
      </c>
      <c r="F1028" s="50">
        <v>0.42901250000000002</v>
      </c>
      <c r="G1028" s="50">
        <v>0.1983</v>
      </c>
      <c r="H1028" s="50">
        <v>0.38490743662900001</v>
      </c>
      <c r="I1028" s="50">
        <v>0.48829287047999997</v>
      </c>
      <c r="J1028" s="50">
        <v>0.28152200277799999</v>
      </c>
      <c r="K1028" s="50">
        <v>1421.84</v>
      </c>
      <c r="L1028" s="50">
        <v>1408.22</v>
      </c>
      <c r="M1028" s="50">
        <v>1418.34</v>
      </c>
      <c r="N1028" s="66">
        <f t="shared" si="120"/>
        <v>3.102218085931826E-4</v>
      </c>
      <c r="O1028" s="66">
        <f t="shared" si="121"/>
        <v>1.9459367993570044E-2</v>
      </c>
      <c r="P1028" s="4">
        <f t="shared" si="122"/>
        <v>0.19829999999999998</v>
      </c>
      <c r="Q1028" s="4">
        <f t="shared" si="123"/>
        <v>7.4274999999999994E-2</v>
      </c>
      <c r="R1028" s="66">
        <f t="shared" si="124"/>
        <v>3.102218085931826E-4</v>
      </c>
      <c r="S1028" s="66">
        <f t="shared" si="125"/>
        <v>1.9459367993570044E-2</v>
      </c>
      <c r="T1028" s="50">
        <f t="shared" si="126"/>
        <v>1</v>
      </c>
      <c r="U1028" s="50">
        <f t="shared" si="127"/>
        <v>1</v>
      </c>
    </row>
    <row r="1029" spans="1:21" x14ac:dyDescent="0.2">
      <c r="A1029" s="38">
        <v>39093</v>
      </c>
      <c r="B1029" s="4">
        <v>0.44440000000000002</v>
      </c>
      <c r="C1029" s="4">
        <v>0.21299999999999999</v>
      </c>
      <c r="D1029" s="4">
        <v>0.34260000000000002</v>
      </c>
      <c r="E1029" s="50">
        <v>1</v>
      </c>
      <c r="F1029" s="50">
        <v>0.42636249999999998</v>
      </c>
      <c r="G1029" s="50">
        <v>0.1018</v>
      </c>
      <c r="H1029" s="50">
        <v>0.38490743662900001</v>
      </c>
      <c r="I1029" s="50">
        <v>0.48829287047999997</v>
      </c>
      <c r="J1029" s="50">
        <v>0.28152200277799999</v>
      </c>
      <c r="K1029" s="50">
        <v>1418.84</v>
      </c>
      <c r="L1029" s="50">
        <v>1414.84</v>
      </c>
      <c r="M1029" s="50">
        <v>1418.78</v>
      </c>
      <c r="N1029" s="66">
        <f t="shared" si="120"/>
        <v>5.349666614979009E-3</v>
      </c>
      <c r="O1029" s="66">
        <f t="shared" si="121"/>
        <v>2.2018917661652978E-2</v>
      </c>
      <c r="P1029" s="4">
        <f t="shared" si="122"/>
        <v>0.1018</v>
      </c>
      <c r="Q1029" s="4">
        <f t="shared" si="123"/>
        <v>9.1399999999999995E-2</v>
      </c>
      <c r="R1029" s="66">
        <f t="shared" si="124"/>
        <v>5.349666614979009E-3</v>
      </c>
      <c r="S1029" s="66">
        <f t="shared" si="125"/>
        <v>2.2018917661652978E-2</v>
      </c>
      <c r="T1029" s="50">
        <f t="shared" si="126"/>
        <v>1</v>
      </c>
      <c r="U1029" s="50">
        <f t="shared" si="127"/>
        <v>1</v>
      </c>
    </row>
    <row r="1030" spans="1:21" x14ac:dyDescent="0.2">
      <c r="A1030" s="38">
        <v>39100</v>
      </c>
      <c r="B1030" s="4">
        <v>0.57779999999999998</v>
      </c>
      <c r="C1030" s="4">
        <v>0.1515</v>
      </c>
      <c r="D1030" s="4">
        <v>0.2727</v>
      </c>
      <c r="E1030" s="50">
        <v>1.002</v>
      </c>
      <c r="F1030" s="50">
        <v>0.44616250000000002</v>
      </c>
      <c r="G1030" s="50">
        <v>0.30509999999999998</v>
      </c>
      <c r="H1030" s="50">
        <v>0.38490743662900001</v>
      </c>
      <c r="I1030" s="50">
        <v>0.48829287047999997</v>
      </c>
      <c r="J1030" s="50">
        <v>0.28152200277799999</v>
      </c>
      <c r="K1030" s="50">
        <v>1432.96</v>
      </c>
      <c r="L1030" s="50">
        <v>1424.21</v>
      </c>
      <c r="M1030" s="50">
        <v>1426.37</v>
      </c>
      <c r="N1030" s="66">
        <f t="shared" si="120"/>
        <v>6.9687388265317245E-3</v>
      </c>
      <c r="O1030" s="66">
        <f t="shared" si="121"/>
        <v>2.1340886305797273E-2</v>
      </c>
      <c r="P1030" s="4">
        <f t="shared" si="122"/>
        <v>0.30509999999999998</v>
      </c>
      <c r="Q1030" s="4">
        <f t="shared" si="123"/>
        <v>0.17630000000000001</v>
      </c>
      <c r="R1030" s="66">
        <f t="shared" si="124"/>
        <v>6.9687388265317245E-3</v>
      </c>
      <c r="S1030" s="66">
        <f t="shared" si="125"/>
        <v>2.1340886305797273E-2</v>
      </c>
      <c r="T1030" s="50">
        <f t="shared" si="126"/>
        <v>1</v>
      </c>
      <c r="U1030" s="50">
        <f t="shared" si="127"/>
        <v>1</v>
      </c>
    </row>
    <row r="1031" spans="1:21" x14ac:dyDescent="0.2">
      <c r="A1031" s="38">
        <v>39107</v>
      </c>
      <c r="B1031" s="4">
        <v>0.39510000000000001</v>
      </c>
      <c r="C1031" s="4">
        <v>0.27160000000000001</v>
      </c>
      <c r="D1031" s="4">
        <v>0.33329999999999999</v>
      </c>
      <c r="E1031" s="50">
        <v>1</v>
      </c>
      <c r="F1031" s="50">
        <v>0.44527499999999998</v>
      </c>
      <c r="G1031" s="50">
        <v>6.1800000000000001E-2</v>
      </c>
      <c r="H1031" s="50">
        <v>0.38490743662900001</v>
      </c>
      <c r="I1031" s="50">
        <v>0.48829287047999997</v>
      </c>
      <c r="J1031" s="50">
        <v>0.28152200277799999</v>
      </c>
      <c r="K1031" s="50">
        <v>1440.69</v>
      </c>
      <c r="L1031" s="50">
        <v>1434.56</v>
      </c>
      <c r="M1031" s="50">
        <v>1436.31</v>
      </c>
      <c r="N1031" s="66">
        <f t="shared" si="120"/>
        <v>6.7046807444076208E-3</v>
      </c>
      <c r="O1031" s="66">
        <f t="shared" si="121"/>
        <v>1.6389219597440639E-2</v>
      </c>
      <c r="P1031" s="4">
        <f t="shared" si="122"/>
        <v>6.1800000000000022E-2</v>
      </c>
      <c r="Q1031" s="4">
        <f t="shared" si="123"/>
        <v>0.16675000000000001</v>
      </c>
      <c r="R1031" s="66">
        <f t="shared" si="124"/>
        <v>6.7046807444076208E-3</v>
      </c>
      <c r="S1031" s="66">
        <f t="shared" si="125"/>
        <v>1.6389219597440639E-2</v>
      </c>
      <c r="T1031" s="50">
        <f t="shared" si="126"/>
        <v>1</v>
      </c>
      <c r="U1031" s="50">
        <f t="shared" si="127"/>
        <v>1</v>
      </c>
    </row>
    <row r="1032" spans="1:21" x14ac:dyDescent="0.2">
      <c r="A1032" s="38">
        <v>39114</v>
      </c>
      <c r="B1032" s="4">
        <v>0.4632</v>
      </c>
      <c r="C1032" s="4">
        <v>0.2316</v>
      </c>
      <c r="D1032" s="4">
        <v>0.30530000000000002</v>
      </c>
      <c r="E1032" s="50">
        <v>1.0001</v>
      </c>
      <c r="F1032" s="50">
        <v>0.45450000000000002</v>
      </c>
      <c r="G1032" s="50">
        <v>0.15790000000000001</v>
      </c>
      <c r="H1032" s="50">
        <v>0.38490743662900001</v>
      </c>
      <c r="I1032" s="50">
        <v>0.48829287047999997</v>
      </c>
      <c r="J1032" s="50">
        <v>0.28152200277799999</v>
      </c>
      <c r="K1032" s="50">
        <v>1446.64</v>
      </c>
      <c r="L1032" s="50">
        <v>1437.9</v>
      </c>
      <c r="M1032" s="50">
        <v>1445.94</v>
      </c>
      <c r="N1032" s="66">
        <f t="shared" si="120"/>
        <v>2.8216938462176351E-3</v>
      </c>
      <c r="O1032" s="66">
        <f t="shared" si="121"/>
        <v>-2.7615253744968715E-2</v>
      </c>
      <c r="P1032" s="4">
        <f t="shared" si="122"/>
        <v>0.15789999999999998</v>
      </c>
      <c r="Q1032" s="4">
        <f t="shared" si="123"/>
        <v>0.15665000000000001</v>
      </c>
      <c r="R1032" s="66">
        <f t="shared" si="124"/>
        <v>2.8216938462176351E-3</v>
      </c>
      <c r="S1032" s="66">
        <f t="shared" si="125"/>
        <v>-2.7615253744968715E-2</v>
      </c>
      <c r="T1032" s="50">
        <f t="shared" si="126"/>
        <v>1</v>
      </c>
      <c r="U1032" s="50" t="str">
        <f t="shared" si="127"/>
        <v/>
      </c>
    </row>
    <row r="1033" spans="1:21" x14ac:dyDescent="0.2">
      <c r="A1033" s="38">
        <v>39121</v>
      </c>
      <c r="B1033" s="4">
        <v>0.46150000000000002</v>
      </c>
      <c r="C1033" s="4">
        <v>0.23849999999999999</v>
      </c>
      <c r="D1033" s="4">
        <v>0.3</v>
      </c>
      <c r="E1033" s="50">
        <v>1</v>
      </c>
      <c r="F1033" s="50">
        <v>0.46052500000000002</v>
      </c>
      <c r="G1033" s="50">
        <v>0.1615</v>
      </c>
      <c r="H1033" s="50">
        <v>0.38490743662900001</v>
      </c>
      <c r="I1033" s="50">
        <v>0.48829287047999997</v>
      </c>
      <c r="J1033" s="50">
        <v>0.28152200277799999</v>
      </c>
      <c r="K1033" s="50">
        <v>1452.99</v>
      </c>
      <c r="L1033" s="50">
        <v>1446.44</v>
      </c>
      <c r="M1033" s="50">
        <v>1450.02</v>
      </c>
      <c r="N1033" s="66">
        <f t="shared" si="120"/>
        <v>4.6826940318064328E-3</v>
      </c>
      <c r="O1033" s="66">
        <f t="shared" si="121"/>
        <v>-3.0234065737024262E-2</v>
      </c>
      <c r="P1033" s="4">
        <f t="shared" si="122"/>
        <v>0.16150000000000003</v>
      </c>
      <c r="Q1033" s="4">
        <f t="shared" si="123"/>
        <v>0.17157499999999998</v>
      </c>
      <c r="R1033" s="66">
        <f t="shared" si="124"/>
        <v>4.6826940318064328E-3</v>
      </c>
      <c r="S1033" s="66">
        <f t="shared" si="125"/>
        <v>-3.0234065737024262E-2</v>
      </c>
      <c r="T1033" s="50">
        <f t="shared" si="126"/>
        <v>1</v>
      </c>
      <c r="U1033" s="50" t="str">
        <f t="shared" si="127"/>
        <v/>
      </c>
    </row>
    <row r="1034" spans="1:21" x14ac:dyDescent="0.2">
      <c r="A1034" s="38">
        <v>39128</v>
      </c>
      <c r="B1034" s="4">
        <v>0.47570000000000001</v>
      </c>
      <c r="C1034" s="4">
        <v>0.21360000000000001</v>
      </c>
      <c r="D1034" s="4">
        <v>0.31069999999999998</v>
      </c>
      <c r="E1034" s="50">
        <v>1</v>
      </c>
      <c r="F1034" s="50">
        <v>0.47113749999999999</v>
      </c>
      <c r="G1034" s="50">
        <v>0.16500000000000001</v>
      </c>
      <c r="H1034" s="50">
        <v>0.38490743662900001</v>
      </c>
      <c r="I1034" s="50">
        <v>0.48829287047999997</v>
      </c>
      <c r="J1034" s="50">
        <v>0.28152200277799999</v>
      </c>
      <c r="K1034" s="50">
        <v>1457.97</v>
      </c>
      <c r="L1034" s="50">
        <v>1453.19</v>
      </c>
      <c r="M1034" s="50">
        <v>1456.81</v>
      </c>
      <c r="N1034" s="66">
        <f t="shared" si="120"/>
        <v>2.0867511892422234E-3</v>
      </c>
      <c r="O1034" s="66">
        <f t="shared" si="121"/>
        <v>-4.4295412579540214E-2</v>
      </c>
      <c r="P1034" s="4">
        <f t="shared" si="122"/>
        <v>0.16500000000000004</v>
      </c>
      <c r="Q1034" s="4">
        <f t="shared" si="123"/>
        <v>0.13655</v>
      </c>
      <c r="R1034" s="66">
        <f t="shared" si="124"/>
        <v>2.0867511892422234E-3</v>
      </c>
      <c r="S1034" s="66">
        <f t="shared" si="125"/>
        <v>-4.4295412579540214E-2</v>
      </c>
      <c r="T1034" s="50">
        <f t="shared" si="126"/>
        <v>1</v>
      </c>
      <c r="U1034" s="50" t="str">
        <f t="shared" si="127"/>
        <v/>
      </c>
    </row>
    <row r="1035" spans="1:21" x14ac:dyDescent="0.2">
      <c r="A1035" s="38">
        <v>39135</v>
      </c>
      <c r="B1035" s="4">
        <v>0.53849999999999998</v>
      </c>
      <c r="C1035" s="4">
        <v>0.23849999999999999</v>
      </c>
      <c r="D1035" s="4">
        <v>0.22309999999999999</v>
      </c>
      <c r="E1035" s="50">
        <v>1.0001</v>
      </c>
      <c r="F1035" s="50">
        <v>0.48094999999999999</v>
      </c>
      <c r="G1035" s="50">
        <v>0.31540000000000001</v>
      </c>
      <c r="H1035" s="50">
        <v>0.38490743662900001</v>
      </c>
      <c r="I1035" s="50">
        <v>0.48829287047999997</v>
      </c>
      <c r="J1035" s="50">
        <v>0.28152200277799999</v>
      </c>
      <c r="K1035" s="50">
        <v>1461.57</v>
      </c>
      <c r="L1035" s="50">
        <v>1457.29</v>
      </c>
      <c r="M1035" s="50">
        <v>1459.85</v>
      </c>
      <c r="N1035" s="66">
        <f t="shared" si="120"/>
        <v>-3.6880501421378858E-2</v>
      </c>
      <c r="O1035" s="66">
        <f t="shared" si="121"/>
        <v>-1.9323903140733508E-2</v>
      </c>
      <c r="P1035" s="4">
        <f t="shared" si="122"/>
        <v>0.31540000000000001</v>
      </c>
      <c r="Q1035" s="4">
        <f t="shared" si="123"/>
        <v>0.19995000000000002</v>
      </c>
      <c r="R1035" s="66">
        <f t="shared" si="124"/>
        <v>-3.6880501421378858E-2</v>
      </c>
      <c r="S1035" s="66">
        <f t="shared" si="125"/>
        <v>-1.9323903140733508E-2</v>
      </c>
      <c r="T1035" s="50" t="str">
        <f t="shared" si="126"/>
        <v/>
      </c>
      <c r="U1035" s="50" t="str">
        <f t="shared" si="127"/>
        <v/>
      </c>
    </row>
    <row r="1036" spans="1:21" x14ac:dyDescent="0.2">
      <c r="A1036" s="38">
        <v>39142</v>
      </c>
      <c r="B1036" s="4">
        <v>0.36630000000000001</v>
      </c>
      <c r="C1036" s="4">
        <v>0.23760000000000001</v>
      </c>
      <c r="D1036" s="4">
        <v>0.39600000000000002</v>
      </c>
      <c r="E1036" s="50">
        <v>0.99990000000000001</v>
      </c>
      <c r="F1036" s="50">
        <v>0.46531250000000002</v>
      </c>
      <c r="G1036" s="50">
        <v>-2.9700000000000001E-2</v>
      </c>
      <c r="H1036" s="50">
        <v>0.38490743662900001</v>
      </c>
      <c r="I1036" s="50">
        <v>0.48829287047999997</v>
      </c>
      <c r="J1036" s="50">
        <v>0.28152200277799999</v>
      </c>
      <c r="K1036" s="50">
        <v>1408.17</v>
      </c>
      <c r="L1036" s="50">
        <v>1380.87</v>
      </c>
      <c r="M1036" s="50">
        <v>1406.01</v>
      </c>
      <c r="N1036" s="66">
        <f t="shared" si="120"/>
        <v>1.2090952411438948E-4</v>
      </c>
      <c r="O1036" s="66">
        <f t="shared" si="121"/>
        <v>1.1749560813934454E-2</v>
      </c>
      <c r="P1036" s="4">
        <f t="shared" si="122"/>
        <v>-2.9700000000000004E-2</v>
      </c>
      <c r="Q1036" s="4">
        <f t="shared" si="123"/>
        <v>0.15305000000000002</v>
      </c>
      <c r="R1036" s="66">
        <f t="shared" si="124"/>
        <v>1.2090952411438948E-4</v>
      </c>
      <c r="S1036" s="66">
        <f t="shared" si="125"/>
        <v>1.1749560813934454E-2</v>
      </c>
      <c r="T1036" s="50">
        <f t="shared" si="126"/>
        <v>1</v>
      </c>
      <c r="U1036" s="50">
        <f t="shared" si="127"/>
        <v>1</v>
      </c>
    </row>
    <row r="1037" spans="1:21" x14ac:dyDescent="0.2">
      <c r="A1037" s="38">
        <v>39149</v>
      </c>
      <c r="B1037" s="4">
        <v>0.35799999999999998</v>
      </c>
      <c r="C1037" s="4">
        <v>0.19320000000000001</v>
      </c>
      <c r="D1037" s="4">
        <v>0.44890000000000002</v>
      </c>
      <c r="E1037" s="50">
        <v>1.0001</v>
      </c>
      <c r="F1037" s="50">
        <v>0.45451249999999999</v>
      </c>
      <c r="G1037" s="50">
        <v>-9.0899999999999995E-2</v>
      </c>
      <c r="H1037" s="50">
        <v>0.38490743662900001</v>
      </c>
      <c r="I1037" s="50">
        <v>0.48829287047999997</v>
      </c>
      <c r="J1037" s="50">
        <v>0.28152200277799999</v>
      </c>
      <c r="K1037" s="50">
        <v>1407.72</v>
      </c>
      <c r="L1037" s="50">
        <v>1391.88</v>
      </c>
      <c r="M1037" s="50">
        <v>1406.18</v>
      </c>
      <c r="N1037" s="66">
        <f t="shared" ref="N1037:N1100" si="128">(M1038-M1037)/M1037</f>
        <v>-9.8849364946166848E-3</v>
      </c>
      <c r="O1037" s="66">
        <f t="shared" ref="O1037:O1100" si="129">(M1041-M1037)/M1037</f>
        <v>2.3602952680311075E-2</v>
      </c>
      <c r="P1037" s="4">
        <f t="shared" si="122"/>
        <v>-9.0900000000000036E-2</v>
      </c>
      <c r="Q1037" s="4">
        <f t="shared" si="123"/>
        <v>8.9950000000000002E-2</v>
      </c>
      <c r="R1037" s="66">
        <f t="shared" si="124"/>
        <v>-9.8849364946166848E-3</v>
      </c>
      <c r="S1037" s="66">
        <f t="shared" si="125"/>
        <v>2.3602952680311075E-2</v>
      </c>
      <c r="T1037" s="50" t="str">
        <f t="shared" si="126"/>
        <v/>
      </c>
      <c r="U1037" s="50">
        <f t="shared" si="127"/>
        <v>1</v>
      </c>
    </row>
    <row r="1038" spans="1:21" x14ac:dyDescent="0.2">
      <c r="A1038" s="38">
        <v>39156</v>
      </c>
      <c r="B1038" s="4">
        <v>0.32990000000000003</v>
      </c>
      <c r="C1038" s="4">
        <v>0.2165</v>
      </c>
      <c r="D1038" s="4">
        <v>0.4536</v>
      </c>
      <c r="E1038" s="50">
        <v>1</v>
      </c>
      <c r="F1038" s="50">
        <v>0.42352499999999998</v>
      </c>
      <c r="G1038" s="50">
        <v>-0.1237</v>
      </c>
      <c r="H1038" s="50">
        <v>0.38490743662900001</v>
      </c>
      <c r="I1038" s="50">
        <v>0.48829287047999997</v>
      </c>
      <c r="J1038" s="50">
        <v>0.28152200277799999</v>
      </c>
      <c r="K1038" s="50">
        <v>1395.73</v>
      </c>
      <c r="L1038" s="50">
        <v>1385.16</v>
      </c>
      <c r="M1038" s="50">
        <v>1392.28</v>
      </c>
      <c r="N1038" s="66">
        <f t="shared" si="128"/>
        <v>2.8270175539403086E-2</v>
      </c>
      <c r="O1038" s="66">
        <f t="shared" si="129"/>
        <v>3.346309650357681E-2</v>
      </c>
      <c r="P1038" s="4">
        <f t="shared" ref="P1038:P1101" si="130">B1038-D1038</f>
        <v>-0.12369999999999998</v>
      </c>
      <c r="Q1038" s="4">
        <f t="shared" si="123"/>
        <v>1.7774999999999999E-2</v>
      </c>
      <c r="R1038" s="66">
        <f t="shared" si="124"/>
        <v>2.8270175539403086E-2</v>
      </c>
      <c r="S1038" s="66">
        <f t="shared" si="125"/>
        <v>3.346309650357681E-2</v>
      </c>
      <c r="T1038" s="50">
        <f t="shared" si="126"/>
        <v>1</v>
      </c>
      <c r="U1038" s="50">
        <f t="shared" si="127"/>
        <v>1</v>
      </c>
    </row>
    <row r="1039" spans="1:21" x14ac:dyDescent="0.2">
      <c r="A1039" s="38">
        <v>39163</v>
      </c>
      <c r="B1039" s="4">
        <v>0.43880000000000002</v>
      </c>
      <c r="C1039" s="4">
        <v>0.23019999999999999</v>
      </c>
      <c r="D1039" s="4">
        <v>0.33090000000000003</v>
      </c>
      <c r="E1039" s="50">
        <v>0.99990000000000001</v>
      </c>
      <c r="F1039" s="50">
        <v>0.42898750000000002</v>
      </c>
      <c r="G1039" s="50">
        <v>0.1079</v>
      </c>
      <c r="H1039" s="50">
        <v>0.38490743662900001</v>
      </c>
      <c r="I1039" s="50">
        <v>0.48829287047999997</v>
      </c>
      <c r="J1039" s="50">
        <v>0.28152200277799999</v>
      </c>
      <c r="K1039" s="50">
        <v>1436.8</v>
      </c>
      <c r="L1039" s="50">
        <v>1429.88</v>
      </c>
      <c r="M1039" s="50">
        <v>1431.64</v>
      </c>
      <c r="N1039" s="66">
        <f t="shared" si="128"/>
        <v>-6.3633315638010439E-3</v>
      </c>
      <c r="O1039" s="66">
        <f t="shared" si="129"/>
        <v>2.8540694588024849E-2</v>
      </c>
      <c r="P1039" s="4">
        <f t="shared" si="130"/>
        <v>0.1079</v>
      </c>
      <c r="Q1039" s="4">
        <f t="shared" si="123"/>
        <v>-3.4100000000000005E-2</v>
      </c>
      <c r="R1039" s="66">
        <f t="shared" si="124"/>
        <v>-6.3633315638010439E-3</v>
      </c>
      <c r="S1039" s="66">
        <f t="shared" si="125"/>
        <v>2.8540694588024849E-2</v>
      </c>
      <c r="T1039" s="50" t="str">
        <f t="shared" si="126"/>
        <v/>
      </c>
      <c r="U1039" s="50">
        <f t="shared" si="127"/>
        <v>1</v>
      </c>
    </row>
    <row r="1040" spans="1:21" x14ac:dyDescent="0.2">
      <c r="A1040" s="38">
        <v>39170</v>
      </c>
      <c r="B1040" s="4">
        <v>0.42680000000000001</v>
      </c>
      <c r="C1040" s="4">
        <v>0.31709999999999999</v>
      </c>
      <c r="D1040" s="4">
        <v>0.25609999999999999</v>
      </c>
      <c r="E1040" s="50">
        <v>1</v>
      </c>
      <c r="F1040" s="50">
        <v>0.42443750000000002</v>
      </c>
      <c r="G1040" s="50">
        <v>0.17069999999999999</v>
      </c>
      <c r="H1040" s="50">
        <v>0.38490743662900001</v>
      </c>
      <c r="I1040" s="50">
        <v>0.48829287047999997</v>
      </c>
      <c r="J1040" s="50">
        <v>0.28152200277799999</v>
      </c>
      <c r="K1040" s="50">
        <v>1426.24</v>
      </c>
      <c r="L1040" s="50">
        <v>1413.27</v>
      </c>
      <c r="M1040" s="50">
        <v>1422.53</v>
      </c>
      <c r="N1040" s="66">
        <f t="shared" si="128"/>
        <v>1.1838063169142245E-2</v>
      </c>
      <c r="O1040" s="66">
        <f t="shared" si="129"/>
        <v>5.1239692660260315E-2</v>
      </c>
      <c r="P1040" s="4">
        <f t="shared" si="130"/>
        <v>0.17070000000000002</v>
      </c>
      <c r="Q1040" s="4">
        <f t="shared" si="123"/>
        <v>1.6E-2</v>
      </c>
      <c r="R1040" s="66">
        <f t="shared" si="124"/>
        <v>1.1838063169142245E-2</v>
      </c>
      <c r="S1040" s="66">
        <f t="shared" si="125"/>
        <v>5.1239692660260315E-2</v>
      </c>
      <c r="T1040" s="50">
        <f t="shared" si="126"/>
        <v>1</v>
      </c>
      <c r="U1040" s="50">
        <f t="shared" si="127"/>
        <v>1</v>
      </c>
    </row>
    <row r="1041" spans="1:21" x14ac:dyDescent="0.2">
      <c r="A1041" s="38">
        <v>39177</v>
      </c>
      <c r="B1041" s="4">
        <v>0.3226</v>
      </c>
      <c r="C1041" s="4">
        <v>0.27960000000000002</v>
      </c>
      <c r="D1041" s="4">
        <v>0.39779999999999999</v>
      </c>
      <c r="E1041" s="50">
        <v>1</v>
      </c>
      <c r="F1041" s="50">
        <v>0.40707500000000002</v>
      </c>
      <c r="G1041" s="50">
        <v>-7.5200000000000003E-2</v>
      </c>
      <c r="H1041" s="50">
        <v>0.38490743662900001</v>
      </c>
      <c r="I1041" s="50">
        <v>0.48829287047999997</v>
      </c>
      <c r="J1041" s="50">
        <v>0.28152200277799999</v>
      </c>
      <c r="K1041" s="50">
        <v>1440.16</v>
      </c>
      <c r="L1041" s="50">
        <v>1435.08</v>
      </c>
      <c r="M1041" s="50">
        <v>1439.37</v>
      </c>
      <c r="N1041" s="66">
        <f t="shared" si="128"/>
        <v>-3.4737419843403712E-4</v>
      </c>
      <c r="O1041" s="66">
        <f t="shared" si="129"/>
        <v>3.928802184288973E-2</v>
      </c>
      <c r="P1041" s="4">
        <f t="shared" si="130"/>
        <v>-7.5199999999999989E-2</v>
      </c>
      <c r="Q1041" s="4">
        <f t="shared" ref="Q1041:Q1104" si="131">AVERAGE(P1038:P1041)</f>
        <v>1.9925000000000012E-2</v>
      </c>
      <c r="R1041" s="66">
        <f t="shared" ref="R1041:R1104" si="132">(M1042-M1041)/M1041</f>
        <v>-3.4737419843403712E-4</v>
      </c>
      <c r="S1041" s="66">
        <f t="shared" ref="S1041:S1104" si="133">(M1045-M1041)/M1041</f>
        <v>3.928802184288973E-2</v>
      </c>
      <c r="T1041" s="50" t="str">
        <f t="shared" ref="T1041:T1104" si="134">IF(R1041&gt;0,1,"")</f>
        <v/>
      </c>
      <c r="U1041" s="50">
        <f t="shared" ref="U1041:U1104" si="135">IF(S1041&gt;0,1,"")</f>
        <v>1</v>
      </c>
    </row>
    <row r="1042" spans="1:21" x14ac:dyDescent="0.2">
      <c r="A1042" s="38">
        <v>39184</v>
      </c>
      <c r="B1042" s="4">
        <v>0.40849999999999997</v>
      </c>
      <c r="C1042" s="4">
        <v>0.21129999999999999</v>
      </c>
      <c r="D1042" s="4">
        <v>0.38030000000000003</v>
      </c>
      <c r="E1042" s="50">
        <v>1.0001</v>
      </c>
      <c r="F1042" s="50">
        <v>0.398675</v>
      </c>
      <c r="G1042" s="50">
        <v>2.8199999999999999E-2</v>
      </c>
      <c r="H1042" s="50">
        <v>0.38490743662900001</v>
      </c>
      <c r="I1042" s="50">
        <v>0.48829287047999997</v>
      </c>
      <c r="J1042" s="50">
        <v>0.28152200277799999</v>
      </c>
      <c r="K1042" s="50">
        <v>1448.39</v>
      </c>
      <c r="L1042" s="50">
        <v>1436.15</v>
      </c>
      <c r="M1042" s="50">
        <v>1438.87</v>
      </c>
      <c r="N1042" s="66">
        <f t="shared" si="128"/>
        <v>2.3372507592763842E-2</v>
      </c>
      <c r="O1042" s="66">
        <f t="shared" si="129"/>
        <v>5.1227699514202148E-2</v>
      </c>
      <c r="P1042" s="4">
        <f t="shared" si="130"/>
        <v>2.8199999999999947E-2</v>
      </c>
      <c r="Q1042" s="4">
        <f t="shared" si="131"/>
        <v>5.7899999999999993E-2</v>
      </c>
      <c r="R1042" s="66">
        <f t="shared" si="132"/>
        <v>2.3372507592763842E-2</v>
      </c>
      <c r="S1042" s="66">
        <f t="shared" si="133"/>
        <v>5.1227699514202148E-2</v>
      </c>
      <c r="T1042" s="50">
        <f t="shared" si="134"/>
        <v>1</v>
      </c>
      <c r="U1042" s="50">
        <f t="shared" si="135"/>
        <v>1</v>
      </c>
    </row>
    <row r="1043" spans="1:21" x14ac:dyDescent="0.2">
      <c r="A1043" s="38">
        <v>39191</v>
      </c>
      <c r="B1043" s="4">
        <v>0.46939999999999998</v>
      </c>
      <c r="C1043" s="4">
        <v>0.23469999999999999</v>
      </c>
      <c r="D1043" s="4">
        <v>0.2959</v>
      </c>
      <c r="E1043" s="50">
        <v>1</v>
      </c>
      <c r="F1043" s="50">
        <v>0.39003749999999998</v>
      </c>
      <c r="G1043" s="50">
        <v>0.17349999999999999</v>
      </c>
      <c r="H1043" s="50">
        <v>0.38490743662900001</v>
      </c>
      <c r="I1043" s="50">
        <v>0.48829287047999997</v>
      </c>
      <c r="J1043" s="50">
        <v>0.28152200277799999</v>
      </c>
      <c r="K1043" s="50">
        <v>1476.57</v>
      </c>
      <c r="L1043" s="50">
        <v>1466.41</v>
      </c>
      <c r="M1043" s="50">
        <v>1472.5</v>
      </c>
      <c r="N1043" s="66">
        <f t="shared" si="128"/>
        <v>1.5565365025466942E-2</v>
      </c>
      <c r="O1043" s="66">
        <f t="shared" si="129"/>
        <v>2.8278438030560338E-2</v>
      </c>
      <c r="P1043" s="4">
        <f t="shared" si="130"/>
        <v>0.17349999999999999</v>
      </c>
      <c r="Q1043" s="4">
        <f t="shared" si="131"/>
        <v>7.4299999999999991E-2</v>
      </c>
      <c r="R1043" s="66">
        <f t="shared" si="132"/>
        <v>1.5565365025466942E-2</v>
      </c>
      <c r="S1043" s="66">
        <f t="shared" si="133"/>
        <v>2.8278438030560338E-2</v>
      </c>
      <c r="T1043" s="50">
        <f t="shared" si="134"/>
        <v>1</v>
      </c>
      <c r="U1043" s="50">
        <f t="shared" si="135"/>
        <v>1</v>
      </c>
    </row>
    <row r="1044" spans="1:21" x14ac:dyDescent="0.2">
      <c r="A1044" s="38">
        <v>39198</v>
      </c>
      <c r="B1044" s="4">
        <v>0.39240000000000003</v>
      </c>
      <c r="C1044" s="4">
        <v>0.2278</v>
      </c>
      <c r="D1044" s="4">
        <v>0.37969999999999998</v>
      </c>
      <c r="E1044" s="50">
        <v>0.99990000000000001</v>
      </c>
      <c r="F1044" s="50">
        <v>0.39329999999999998</v>
      </c>
      <c r="G1044" s="50">
        <v>1.2699999999999999E-2</v>
      </c>
      <c r="H1044" s="50">
        <v>0.38490743662900001</v>
      </c>
      <c r="I1044" s="50">
        <v>0.48829287047999997</v>
      </c>
      <c r="J1044" s="50">
        <v>0.28152200277799999</v>
      </c>
      <c r="K1044" s="50">
        <v>1496.59</v>
      </c>
      <c r="L1044" s="50">
        <v>1480.28</v>
      </c>
      <c r="M1044" s="50">
        <v>1495.42</v>
      </c>
      <c r="N1044" s="66">
        <f t="shared" si="128"/>
        <v>3.3435422824357034E-4</v>
      </c>
      <c r="O1044" s="66">
        <f t="shared" si="129"/>
        <v>1.7961509141244534E-2</v>
      </c>
      <c r="P1044" s="4">
        <f t="shared" si="130"/>
        <v>1.2700000000000045E-2</v>
      </c>
      <c r="Q1044" s="4">
        <f t="shared" si="131"/>
        <v>3.4799999999999998E-2</v>
      </c>
      <c r="R1044" s="66">
        <f t="shared" si="132"/>
        <v>3.3435422824357034E-4</v>
      </c>
      <c r="S1044" s="66">
        <f t="shared" si="133"/>
        <v>1.7961509141244534E-2</v>
      </c>
      <c r="T1044" s="50">
        <f t="shared" si="134"/>
        <v>1</v>
      </c>
      <c r="U1044" s="50">
        <f t="shared" si="135"/>
        <v>1</v>
      </c>
    </row>
    <row r="1045" spans="1:21" x14ac:dyDescent="0.2">
      <c r="A1045" s="38">
        <v>39205</v>
      </c>
      <c r="B1045" s="4">
        <v>0.28570000000000001</v>
      </c>
      <c r="C1045" s="4">
        <v>0.1714</v>
      </c>
      <c r="D1045" s="4">
        <v>0.54290000000000005</v>
      </c>
      <c r="E1045" s="50">
        <v>1</v>
      </c>
      <c r="F1045" s="50">
        <v>0.38426250000000001</v>
      </c>
      <c r="G1045" s="50">
        <v>-0.25719999999999998</v>
      </c>
      <c r="H1045" s="50">
        <v>0.38490743662900001</v>
      </c>
      <c r="I1045" s="50">
        <v>0.48829287047999997</v>
      </c>
      <c r="J1045" s="50">
        <v>0.28152200277799999</v>
      </c>
      <c r="K1045" s="50">
        <v>1499.1</v>
      </c>
      <c r="L1045" s="50">
        <v>1486.13</v>
      </c>
      <c r="M1045" s="50">
        <v>1495.92</v>
      </c>
      <c r="N1045" s="66">
        <f t="shared" si="128"/>
        <v>1.1136959195678815E-2</v>
      </c>
      <c r="O1045" s="66">
        <f t="shared" si="129"/>
        <v>2.2935718487619623E-2</v>
      </c>
      <c r="P1045" s="4">
        <f t="shared" si="130"/>
        <v>-0.25720000000000004</v>
      </c>
      <c r="Q1045" s="4">
        <f t="shared" si="131"/>
        <v>-1.0700000000000015E-2</v>
      </c>
      <c r="R1045" s="66">
        <f t="shared" si="132"/>
        <v>1.1136959195678815E-2</v>
      </c>
      <c r="S1045" s="66">
        <f t="shared" si="133"/>
        <v>2.2935718487619623E-2</v>
      </c>
      <c r="T1045" s="50">
        <f t="shared" si="134"/>
        <v>1</v>
      </c>
      <c r="U1045" s="50">
        <f t="shared" si="135"/>
        <v>1</v>
      </c>
    </row>
    <row r="1046" spans="1:21" x14ac:dyDescent="0.2">
      <c r="A1046" s="38">
        <v>39212</v>
      </c>
      <c r="B1046" s="4">
        <v>0.42859999999999998</v>
      </c>
      <c r="C1046" s="4">
        <v>0.1429</v>
      </c>
      <c r="D1046" s="4">
        <v>0.42859999999999998</v>
      </c>
      <c r="E1046" s="50">
        <v>1.0001</v>
      </c>
      <c r="F1046" s="50">
        <v>0.39660000000000001</v>
      </c>
      <c r="G1046" s="50">
        <v>0</v>
      </c>
      <c r="H1046" s="50">
        <v>0.38490743662900001</v>
      </c>
      <c r="I1046" s="50">
        <v>0.48829287047999997</v>
      </c>
      <c r="J1046" s="50">
        <v>0.28152200277799999</v>
      </c>
      <c r="K1046" s="50">
        <v>1513.8</v>
      </c>
      <c r="L1046" s="50">
        <v>1503.77</v>
      </c>
      <c r="M1046" s="50">
        <v>1512.58</v>
      </c>
      <c r="N1046" s="66">
        <f t="shared" si="128"/>
        <v>1.0313504079124231E-3</v>
      </c>
      <c r="O1046" s="66">
        <f t="shared" si="129"/>
        <v>3.1733858704995322E-3</v>
      </c>
      <c r="P1046" s="4">
        <f t="shared" si="130"/>
        <v>0</v>
      </c>
      <c r="Q1046" s="4">
        <f t="shared" si="131"/>
        <v>-1.7750000000000002E-2</v>
      </c>
      <c r="R1046" s="66">
        <f t="shared" si="132"/>
        <v>1.0313504079124231E-3</v>
      </c>
      <c r="S1046" s="66">
        <f t="shared" si="133"/>
        <v>3.1733858704995322E-3</v>
      </c>
      <c r="T1046" s="50">
        <f t="shared" si="134"/>
        <v>1</v>
      </c>
      <c r="U1046" s="50">
        <f t="shared" si="135"/>
        <v>1</v>
      </c>
    </row>
    <row r="1047" spans="1:21" x14ac:dyDescent="0.2">
      <c r="A1047" s="38">
        <v>39219</v>
      </c>
      <c r="B1047" s="4">
        <v>0.38390000000000002</v>
      </c>
      <c r="C1047" s="4">
        <v>0.25</v>
      </c>
      <c r="D1047" s="4">
        <v>0.36609999999999998</v>
      </c>
      <c r="E1047" s="50">
        <v>1</v>
      </c>
      <c r="F1047" s="50">
        <v>0.38973750000000001</v>
      </c>
      <c r="G1047" s="50">
        <v>1.78E-2</v>
      </c>
      <c r="H1047" s="50">
        <v>0.38490743662900001</v>
      </c>
      <c r="I1047" s="50">
        <v>0.48829287047999997</v>
      </c>
      <c r="J1047" s="50">
        <v>0.28152200277799999</v>
      </c>
      <c r="K1047" s="50">
        <v>1514.15</v>
      </c>
      <c r="L1047" s="50">
        <v>1500.75</v>
      </c>
      <c r="M1047" s="50">
        <v>1514.14</v>
      </c>
      <c r="N1047" s="66">
        <f t="shared" si="128"/>
        <v>5.3759890102631673E-3</v>
      </c>
      <c r="O1047" s="66">
        <f t="shared" si="129"/>
        <v>1.0104745928381606E-3</v>
      </c>
      <c r="P1047" s="4">
        <f t="shared" si="130"/>
        <v>1.7800000000000038E-2</v>
      </c>
      <c r="Q1047" s="4">
        <f t="shared" si="131"/>
        <v>-5.6674999999999989E-2</v>
      </c>
      <c r="R1047" s="66">
        <f t="shared" si="132"/>
        <v>5.3759890102631673E-3</v>
      </c>
      <c r="S1047" s="66">
        <f t="shared" si="133"/>
        <v>1.0104745928381606E-3</v>
      </c>
      <c r="T1047" s="50">
        <f t="shared" si="134"/>
        <v>1</v>
      </c>
      <c r="U1047" s="50">
        <f t="shared" si="135"/>
        <v>1</v>
      </c>
    </row>
    <row r="1048" spans="1:21" x14ac:dyDescent="0.2">
      <c r="A1048" s="38">
        <v>39226</v>
      </c>
      <c r="B1048" s="4">
        <v>0.3735</v>
      </c>
      <c r="C1048" s="4">
        <v>0.24099999999999999</v>
      </c>
      <c r="D1048" s="4">
        <v>0.38550000000000001</v>
      </c>
      <c r="E1048" s="50">
        <v>1</v>
      </c>
      <c r="F1048" s="50">
        <v>0.383075</v>
      </c>
      <c r="G1048" s="50">
        <v>-1.2E-2</v>
      </c>
      <c r="H1048" s="50">
        <v>0.38490743662900001</v>
      </c>
      <c r="I1048" s="50">
        <v>0.48829287047999997</v>
      </c>
      <c r="J1048" s="50">
        <v>0.28152200277799999</v>
      </c>
      <c r="K1048" s="50">
        <v>1532.43</v>
      </c>
      <c r="L1048" s="50">
        <v>1521.9</v>
      </c>
      <c r="M1048" s="50">
        <v>1522.28</v>
      </c>
      <c r="N1048" s="66">
        <f t="shared" si="128"/>
        <v>5.2224295136243304E-3</v>
      </c>
      <c r="O1048" s="66">
        <f t="shared" si="129"/>
        <v>-6.2012244790709036E-3</v>
      </c>
      <c r="P1048" s="4">
        <f t="shared" si="130"/>
        <v>-1.2000000000000011E-2</v>
      </c>
      <c r="Q1048" s="4">
        <f t="shared" si="131"/>
        <v>-6.2850000000000003E-2</v>
      </c>
      <c r="R1048" s="66">
        <f t="shared" si="132"/>
        <v>5.2224295136243304E-3</v>
      </c>
      <c r="S1048" s="66">
        <f t="shared" si="133"/>
        <v>-6.2012244790709036E-3</v>
      </c>
      <c r="T1048" s="50">
        <f t="shared" si="134"/>
        <v>1</v>
      </c>
      <c r="U1048" s="50" t="str">
        <f t="shared" si="135"/>
        <v/>
      </c>
    </row>
    <row r="1049" spans="1:21" x14ac:dyDescent="0.2">
      <c r="A1049" s="38">
        <v>39233</v>
      </c>
      <c r="B1049" s="4">
        <v>0.33329999999999999</v>
      </c>
      <c r="C1049" s="4">
        <v>0.21879999999999999</v>
      </c>
      <c r="D1049" s="4">
        <v>0.44790000000000002</v>
      </c>
      <c r="E1049" s="50">
        <v>1</v>
      </c>
      <c r="F1049" s="50">
        <v>0.38441249999999999</v>
      </c>
      <c r="G1049" s="50">
        <v>-0.11459999999999999</v>
      </c>
      <c r="H1049" s="50">
        <v>0.38490743662900001</v>
      </c>
      <c r="I1049" s="50">
        <v>0.48829287047999997</v>
      </c>
      <c r="J1049" s="50">
        <v>0.28152200277799999</v>
      </c>
      <c r="K1049" s="50">
        <v>1530.23</v>
      </c>
      <c r="L1049" s="50">
        <v>1510.06</v>
      </c>
      <c r="M1049" s="50">
        <v>1530.23</v>
      </c>
      <c r="N1049" s="66">
        <f t="shared" si="128"/>
        <v>-8.3974304516313946E-3</v>
      </c>
      <c r="O1049" s="66">
        <f t="shared" si="129"/>
        <v>-9.5149095234049429E-3</v>
      </c>
      <c r="P1049" s="4">
        <f t="shared" si="130"/>
        <v>-0.11460000000000004</v>
      </c>
      <c r="Q1049" s="4">
        <f t="shared" si="131"/>
        <v>-2.7200000000000002E-2</v>
      </c>
      <c r="R1049" s="66">
        <f t="shared" si="132"/>
        <v>-8.3974304516313946E-3</v>
      </c>
      <c r="S1049" s="66">
        <f t="shared" si="133"/>
        <v>-9.5149095234049429E-3</v>
      </c>
      <c r="T1049" s="50" t="str">
        <f t="shared" si="134"/>
        <v/>
      </c>
      <c r="U1049" s="50" t="str">
        <f t="shared" si="135"/>
        <v/>
      </c>
    </row>
    <row r="1050" spans="1:21" x14ac:dyDescent="0.2">
      <c r="A1050" s="38">
        <v>39240</v>
      </c>
      <c r="B1050" s="4">
        <v>0.40589999999999998</v>
      </c>
      <c r="C1050" s="4">
        <v>0.16830000000000001</v>
      </c>
      <c r="D1050" s="4">
        <v>0.42570000000000002</v>
      </c>
      <c r="E1050" s="50">
        <v>0.99990000000000001</v>
      </c>
      <c r="F1050" s="50">
        <v>0.38408750000000003</v>
      </c>
      <c r="G1050" s="50">
        <v>-1.9800000000000002E-2</v>
      </c>
      <c r="H1050" s="50">
        <v>0.38490743662900001</v>
      </c>
      <c r="I1050" s="50">
        <v>0.48829287047999997</v>
      </c>
      <c r="J1050" s="50">
        <v>0.28152200277799999</v>
      </c>
      <c r="K1050" s="50">
        <v>1530.57</v>
      </c>
      <c r="L1050" s="50">
        <v>1514.13</v>
      </c>
      <c r="M1050" s="50">
        <v>1517.38</v>
      </c>
      <c r="N1050" s="66">
        <f t="shared" si="128"/>
        <v>-1.1269424929813471E-3</v>
      </c>
      <c r="O1050" s="66">
        <f t="shared" si="129"/>
        <v>4.9361399253975806E-3</v>
      </c>
      <c r="P1050" s="4">
        <f t="shared" si="130"/>
        <v>-1.980000000000004E-2</v>
      </c>
      <c r="Q1050" s="4">
        <f t="shared" si="131"/>
        <v>-3.2150000000000012E-2</v>
      </c>
      <c r="R1050" s="66">
        <f t="shared" si="132"/>
        <v>-1.1269424929813471E-3</v>
      </c>
      <c r="S1050" s="66">
        <f t="shared" si="133"/>
        <v>4.9361399253975806E-3</v>
      </c>
      <c r="T1050" s="50" t="str">
        <f t="shared" si="134"/>
        <v/>
      </c>
      <c r="U1050" s="50">
        <f t="shared" si="135"/>
        <v>1</v>
      </c>
    </row>
    <row r="1051" spans="1:21" x14ac:dyDescent="0.2">
      <c r="A1051" s="38">
        <v>39247</v>
      </c>
      <c r="B1051" s="4">
        <v>0.373</v>
      </c>
      <c r="C1051" s="4">
        <v>0.1905</v>
      </c>
      <c r="D1051" s="4">
        <v>0.4365</v>
      </c>
      <c r="E1051" s="50">
        <v>1</v>
      </c>
      <c r="F1051" s="50">
        <v>0.37203750000000002</v>
      </c>
      <c r="G1051" s="50">
        <v>-6.3500000000000001E-2</v>
      </c>
      <c r="H1051" s="50">
        <v>0.38490743662900001</v>
      </c>
      <c r="I1051" s="50">
        <v>0.48829287047999997</v>
      </c>
      <c r="J1051" s="50">
        <v>0.28152200277799999</v>
      </c>
      <c r="K1051" s="50">
        <v>1515.7</v>
      </c>
      <c r="L1051" s="50">
        <v>1492.65</v>
      </c>
      <c r="M1051" s="50">
        <v>1515.67</v>
      </c>
      <c r="N1051" s="66">
        <f t="shared" si="128"/>
        <v>-1.8671610574862302E-3</v>
      </c>
      <c r="O1051" s="66">
        <f t="shared" si="129"/>
        <v>2.0387023560537042E-3</v>
      </c>
      <c r="P1051" s="4">
        <f t="shared" si="130"/>
        <v>-6.3500000000000001E-2</v>
      </c>
      <c r="Q1051" s="4">
        <f t="shared" si="131"/>
        <v>-5.2475000000000022E-2</v>
      </c>
      <c r="R1051" s="66">
        <f t="shared" si="132"/>
        <v>-1.8671610574862302E-3</v>
      </c>
      <c r="S1051" s="66">
        <f t="shared" si="133"/>
        <v>2.0387023560537042E-3</v>
      </c>
      <c r="T1051" s="50" t="str">
        <f t="shared" si="134"/>
        <v/>
      </c>
      <c r="U1051" s="50">
        <f t="shared" si="135"/>
        <v>1</v>
      </c>
    </row>
    <row r="1052" spans="1:21" x14ac:dyDescent="0.2">
      <c r="A1052" s="38">
        <v>39254</v>
      </c>
      <c r="B1052" s="4">
        <v>0.43159999999999998</v>
      </c>
      <c r="C1052" s="4">
        <v>0.2316</v>
      </c>
      <c r="D1052" s="4">
        <v>0.33679999999999999</v>
      </c>
      <c r="E1052" s="50">
        <v>1</v>
      </c>
      <c r="F1052" s="50">
        <v>0.37693749999999998</v>
      </c>
      <c r="G1052" s="50">
        <v>9.4799999999999995E-2</v>
      </c>
      <c r="H1052" s="50">
        <v>0.38490743662900001</v>
      </c>
      <c r="I1052" s="50">
        <v>0.48829287047999997</v>
      </c>
      <c r="J1052" s="50">
        <v>0.28152200277799999</v>
      </c>
      <c r="K1052" s="50">
        <v>1537.32</v>
      </c>
      <c r="L1052" s="50">
        <v>1512.36</v>
      </c>
      <c r="M1052" s="50">
        <v>1512.84</v>
      </c>
      <c r="N1052" s="66">
        <f t="shared" si="128"/>
        <v>1.8706538695434777E-3</v>
      </c>
      <c r="O1052" s="66">
        <f t="shared" si="129"/>
        <v>2.2031411120806005E-2</v>
      </c>
      <c r="P1052" s="4">
        <f t="shared" si="130"/>
        <v>9.4799999999999995E-2</v>
      </c>
      <c r="Q1052" s="4">
        <f t="shared" si="131"/>
        <v>-2.577500000000002E-2</v>
      </c>
      <c r="R1052" s="66">
        <f t="shared" si="132"/>
        <v>1.8706538695434777E-3</v>
      </c>
      <c r="S1052" s="66">
        <f t="shared" si="133"/>
        <v>2.2031411120806005E-2</v>
      </c>
      <c r="T1052" s="50">
        <f t="shared" si="134"/>
        <v>1</v>
      </c>
      <c r="U1052" s="50">
        <f t="shared" si="135"/>
        <v>1</v>
      </c>
    </row>
    <row r="1053" spans="1:21" x14ac:dyDescent="0.2">
      <c r="A1053" s="38">
        <v>39261</v>
      </c>
      <c r="B1053" s="4">
        <v>0.39019999999999999</v>
      </c>
      <c r="C1053" s="4">
        <v>0.252</v>
      </c>
      <c r="D1053" s="4">
        <v>0.35770000000000002</v>
      </c>
      <c r="E1053" s="50">
        <v>0.99990000000000001</v>
      </c>
      <c r="F1053" s="50">
        <v>0.39</v>
      </c>
      <c r="G1053" s="50">
        <v>3.2500000000000001E-2</v>
      </c>
      <c r="H1053" s="50">
        <v>0.38490743662900001</v>
      </c>
      <c r="I1053" s="50">
        <v>0.48829287047999997</v>
      </c>
      <c r="J1053" s="50">
        <v>0.28152200277799999</v>
      </c>
      <c r="K1053" s="50">
        <v>1515.7</v>
      </c>
      <c r="L1053" s="50">
        <v>1492.65</v>
      </c>
      <c r="M1053" s="50">
        <v>1515.67</v>
      </c>
      <c r="N1053" s="66">
        <f t="shared" si="128"/>
        <v>6.0699228723929471E-3</v>
      </c>
      <c r="O1053" s="66">
        <f t="shared" si="129"/>
        <v>1.4778942645826657E-3</v>
      </c>
      <c r="P1053" s="4">
        <f t="shared" si="130"/>
        <v>3.2499999999999973E-2</v>
      </c>
      <c r="Q1053" s="4">
        <f t="shared" si="131"/>
        <v>1.0999999999999982E-2</v>
      </c>
      <c r="R1053" s="66">
        <f t="shared" si="132"/>
        <v>6.0699228723929471E-3</v>
      </c>
      <c r="S1053" s="66">
        <f t="shared" si="133"/>
        <v>1.4778942645826657E-3</v>
      </c>
      <c r="T1053" s="50">
        <f t="shared" si="134"/>
        <v>1</v>
      </c>
      <c r="U1053" s="50">
        <f t="shared" si="135"/>
        <v>1</v>
      </c>
    </row>
    <row r="1054" spans="1:21" x14ac:dyDescent="0.2">
      <c r="A1054" s="38">
        <v>39268</v>
      </c>
      <c r="B1054" s="4">
        <v>0.43840000000000001</v>
      </c>
      <c r="C1054" s="4">
        <v>0.2329</v>
      </c>
      <c r="D1054" s="4">
        <v>0.32879999999999998</v>
      </c>
      <c r="E1054" s="50">
        <v>1.0001</v>
      </c>
      <c r="F1054" s="50">
        <v>0.39122499999999999</v>
      </c>
      <c r="G1054" s="50">
        <v>0.1096</v>
      </c>
      <c r="H1054" s="50">
        <v>0.38490743662900001</v>
      </c>
      <c r="I1054" s="50">
        <v>0.48829287047999997</v>
      </c>
      <c r="J1054" s="50">
        <v>0.28152200277799999</v>
      </c>
      <c r="K1054" s="50">
        <v>1526.01</v>
      </c>
      <c r="L1054" s="50">
        <v>1519.12</v>
      </c>
      <c r="M1054" s="50">
        <v>1524.87</v>
      </c>
      <c r="N1054" s="66">
        <f t="shared" si="128"/>
        <v>-4.0068989487627802E-3</v>
      </c>
      <c r="O1054" s="66">
        <f t="shared" si="129"/>
        <v>-4.8056555640808712E-2</v>
      </c>
      <c r="P1054" s="4">
        <f t="shared" si="130"/>
        <v>0.10960000000000003</v>
      </c>
      <c r="Q1054" s="4">
        <f t="shared" si="131"/>
        <v>4.335E-2</v>
      </c>
      <c r="R1054" s="66">
        <f t="shared" si="132"/>
        <v>-4.0068989487627802E-3</v>
      </c>
      <c r="S1054" s="66">
        <f t="shared" si="133"/>
        <v>-4.8056555640808712E-2</v>
      </c>
      <c r="T1054" s="50" t="str">
        <f t="shared" si="134"/>
        <v/>
      </c>
      <c r="U1054" s="50" t="str">
        <f t="shared" si="135"/>
        <v/>
      </c>
    </row>
    <row r="1055" spans="1:21" x14ac:dyDescent="0.2">
      <c r="A1055" s="38">
        <v>39275</v>
      </c>
      <c r="B1055" s="4">
        <v>0.43640000000000001</v>
      </c>
      <c r="C1055" s="4">
        <v>0.2636</v>
      </c>
      <c r="D1055" s="4">
        <v>0.3</v>
      </c>
      <c r="E1055" s="50">
        <v>1</v>
      </c>
      <c r="F1055" s="50">
        <v>0.39778750000000002</v>
      </c>
      <c r="G1055" s="50">
        <v>0.13639999999999999</v>
      </c>
      <c r="H1055" s="50">
        <v>0.38490743662900001</v>
      </c>
      <c r="I1055" s="50">
        <v>0.48829287047999997</v>
      </c>
      <c r="J1055" s="50">
        <v>0.28152200277799999</v>
      </c>
      <c r="K1055" s="50">
        <v>1519.34</v>
      </c>
      <c r="L1055" s="50">
        <v>1506.1</v>
      </c>
      <c r="M1055" s="50">
        <v>1518.76</v>
      </c>
      <c r="N1055" s="66">
        <f t="shared" si="128"/>
        <v>1.8047617793463141E-2</v>
      </c>
      <c r="O1055" s="66">
        <f t="shared" si="129"/>
        <v>-1.4004846058626763E-2</v>
      </c>
      <c r="P1055" s="4">
        <f t="shared" si="130"/>
        <v>0.13640000000000002</v>
      </c>
      <c r="Q1055" s="4">
        <f t="shared" si="131"/>
        <v>9.3325000000000005E-2</v>
      </c>
      <c r="R1055" s="66">
        <f t="shared" si="132"/>
        <v>1.8047617793463141E-2</v>
      </c>
      <c r="S1055" s="66">
        <f t="shared" si="133"/>
        <v>-1.4004846058626763E-2</v>
      </c>
      <c r="T1055" s="50">
        <f t="shared" si="134"/>
        <v>1</v>
      </c>
      <c r="U1055" s="50" t="str">
        <f t="shared" si="135"/>
        <v/>
      </c>
    </row>
    <row r="1056" spans="1:21" x14ac:dyDescent="0.2">
      <c r="A1056" s="38">
        <v>39282</v>
      </c>
      <c r="B1056" s="4">
        <v>0.41770000000000002</v>
      </c>
      <c r="C1056" s="4">
        <v>0.2152</v>
      </c>
      <c r="D1056" s="4">
        <v>0.36709999999999998</v>
      </c>
      <c r="E1056" s="50">
        <v>1</v>
      </c>
      <c r="F1056" s="50">
        <v>0.40331250000000002</v>
      </c>
      <c r="G1056" s="50">
        <v>5.0599999999999999E-2</v>
      </c>
      <c r="H1056" s="50">
        <v>0.38490743662900001</v>
      </c>
      <c r="I1056" s="50">
        <v>0.48829287047999997</v>
      </c>
      <c r="J1056" s="50">
        <v>0.28152200277799999</v>
      </c>
      <c r="K1056" s="50">
        <v>1549.2</v>
      </c>
      <c r="L1056" s="50">
        <v>1533.67</v>
      </c>
      <c r="M1056" s="50">
        <v>1546.17</v>
      </c>
      <c r="N1056" s="66">
        <f t="shared" si="128"/>
        <v>-1.8277420982168835E-2</v>
      </c>
      <c r="O1056" s="66">
        <f t="shared" si="129"/>
        <v>-9.0203535186945821E-2</v>
      </c>
      <c r="P1056" s="4">
        <f t="shared" si="130"/>
        <v>5.0600000000000034E-2</v>
      </c>
      <c r="Q1056" s="4">
        <f t="shared" si="131"/>
        <v>8.2275000000000015E-2</v>
      </c>
      <c r="R1056" s="66">
        <f t="shared" si="132"/>
        <v>-1.8277420982168835E-2</v>
      </c>
      <c r="S1056" s="66">
        <f t="shared" si="133"/>
        <v>-9.0203535186945821E-2</v>
      </c>
      <c r="T1056" s="50" t="str">
        <f t="shared" si="134"/>
        <v/>
      </c>
      <c r="U1056" s="50" t="str">
        <f t="shared" si="135"/>
        <v/>
      </c>
    </row>
    <row r="1057" spans="1:21" x14ac:dyDescent="0.2">
      <c r="A1057" s="38">
        <v>39289</v>
      </c>
      <c r="B1057" s="4">
        <v>0.44209999999999999</v>
      </c>
      <c r="C1057" s="4">
        <v>0.1895</v>
      </c>
      <c r="D1057" s="4">
        <v>0.36840000000000001</v>
      </c>
      <c r="E1057" s="50">
        <v>1</v>
      </c>
      <c r="F1057" s="50">
        <v>0.41691250000000002</v>
      </c>
      <c r="G1057" s="50">
        <v>7.3700000000000002E-2</v>
      </c>
      <c r="H1057" s="50">
        <v>0.38490743662900001</v>
      </c>
      <c r="I1057" s="50">
        <v>0.48829287047999997</v>
      </c>
      <c r="J1057" s="50">
        <v>0.28152200277799999</v>
      </c>
      <c r="K1057" s="50">
        <v>1524.31</v>
      </c>
      <c r="L1057" s="50">
        <v>1504.87</v>
      </c>
      <c r="M1057" s="50">
        <v>1517.91</v>
      </c>
      <c r="N1057" s="66">
        <f t="shared" si="128"/>
        <v>-4.3691654972956344E-2</v>
      </c>
      <c r="O1057" s="66">
        <f t="shared" si="129"/>
        <v>-3.5469823639082777E-2</v>
      </c>
      <c r="P1057" s="4">
        <f t="shared" si="130"/>
        <v>7.3699999999999988E-2</v>
      </c>
      <c r="Q1057" s="4">
        <f t="shared" si="131"/>
        <v>9.2575000000000018E-2</v>
      </c>
      <c r="R1057" s="66">
        <f t="shared" si="132"/>
        <v>-4.3691654972956344E-2</v>
      </c>
      <c r="S1057" s="66">
        <f t="shared" si="133"/>
        <v>-3.5469823639082777E-2</v>
      </c>
      <c r="T1057" s="50" t="str">
        <f t="shared" si="134"/>
        <v/>
      </c>
      <c r="U1057" s="50" t="str">
        <f t="shared" si="135"/>
        <v/>
      </c>
    </row>
    <row r="1058" spans="1:21" x14ac:dyDescent="0.2">
      <c r="A1058" s="38">
        <v>39296</v>
      </c>
      <c r="B1058" s="4">
        <v>0.45879999999999999</v>
      </c>
      <c r="C1058" s="4">
        <v>0.14119999999999999</v>
      </c>
      <c r="D1058" s="4">
        <v>0.4</v>
      </c>
      <c r="E1058" s="50">
        <v>1</v>
      </c>
      <c r="F1058" s="50">
        <v>0.42352499999999998</v>
      </c>
      <c r="G1058" s="50">
        <v>5.8799999999999998E-2</v>
      </c>
      <c r="H1058" s="50">
        <v>0.38490743662900001</v>
      </c>
      <c r="I1058" s="50">
        <v>0.48829287047999997</v>
      </c>
      <c r="J1058" s="50">
        <v>0.28152200277799999</v>
      </c>
      <c r="K1058" s="50">
        <v>1463.3</v>
      </c>
      <c r="L1058" s="50">
        <v>1443.68</v>
      </c>
      <c r="M1058" s="50">
        <v>1451.59</v>
      </c>
      <c r="N1058" s="66">
        <f t="shared" si="128"/>
        <v>3.1620498901204948E-2</v>
      </c>
      <c r="O1058" s="66">
        <f t="shared" si="129"/>
        <v>8.3839100572476212E-3</v>
      </c>
      <c r="P1058" s="4">
        <f t="shared" si="130"/>
        <v>5.8799999999999963E-2</v>
      </c>
      <c r="Q1058" s="4">
        <f t="shared" si="131"/>
        <v>7.9875000000000002E-2</v>
      </c>
      <c r="R1058" s="66">
        <f t="shared" si="132"/>
        <v>3.1620498901204948E-2</v>
      </c>
      <c r="S1058" s="66">
        <f t="shared" si="133"/>
        <v>8.3839100572476212E-3</v>
      </c>
      <c r="T1058" s="50">
        <f t="shared" si="134"/>
        <v>1</v>
      </c>
      <c r="U1058" s="50">
        <f t="shared" si="135"/>
        <v>1</v>
      </c>
    </row>
    <row r="1059" spans="1:21" x14ac:dyDescent="0.2">
      <c r="A1059" s="38">
        <v>39303</v>
      </c>
      <c r="B1059" s="4">
        <v>0.45760000000000001</v>
      </c>
      <c r="C1059" s="4">
        <v>0.1525</v>
      </c>
      <c r="D1059" s="4">
        <v>0.38979999999999998</v>
      </c>
      <c r="E1059" s="50">
        <v>0.99990000000000001</v>
      </c>
      <c r="F1059" s="50">
        <v>0.43409999999999999</v>
      </c>
      <c r="G1059" s="50">
        <v>6.7799999999999999E-2</v>
      </c>
      <c r="H1059" s="50">
        <v>0.38490743662900001</v>
      </c>
      <c r="I1059" s="50">
        <v>0.48829287047999997</v>
      </c>
      <c r="J1059" s="50">
        <v>0.28152200277799999</v>
      </c>
      <c r="K1059" s="50">
        <v>1503.89</v>
      </c>
      <c r="L1059" s="50">
        <v>1476.22</v>
      </c>
      <c r="M1059" s="50">
        <v>1497.49</v>
      </c>
      <c r="N1059" s="66">
        <f t="shared" si="128"/>
        <v>-6.0628117716979721E-2</v>
      </c>
      <c r="O1059" s="66">
        <f t="shared" si="129"/>
        <v>-1.6828159119593483E-2</v>
      </c>
      <c r="P1059" s="4">
        <f t="shared" si="130"/>
        <v>6.7800000000000027E-2</v>
      </c>
      <c r="Q1059" s="4">
        <f t="shared" si="131"/>
        <v>6.2725000000000003E-2</v>
      </c>
      <c r="R1059" s="66">
        <f t="shared" si="132"/>
        <v>-6.0628117716979721E-2</v>
      </c>
      <c r="S1059" s="66">
        <f t="shared" si="133"/>
        <v>-1.6828159119593483E-2</v>
      </c>
      <c r="T1059" s="50" t="str">
        <f t="shared" si="134"/>
        <v/>
      </c>
      <c r="U1059" s="50" t="str">
        <f t="shared" si="135"/>
        <v/>
      </c>
    </row>
    <row r="1060" spans="1:21" x14ac:dyDescent="0.2">
      <c r="A1060" s="38">
        <v>39310</v>
      </c>
      <c r="B1060" s="4">
        <v>0.42220000000000002</v>
      </c>
      <c r="C1060" s="4">
        <v>0.1222</v>
      </c>
      <c r="D1060" s="4">
        <v>0.4556</v>
      </c>
      <c r="E1060" s="50">
        <v>1</v>
      </c>
      <c r="F1060" s="50">
        <v>0.432925</v>
      </c>
      <c r="G1060" s="50">
        <v>-3.3399999999999999E-2</v>
      </c>
      <c r="H1060" s="50">
        <v>0.38490743662900001</v>
      </c>
      <c r="I1060" s="50">
        <v>0.48829287047999997</v>
      </c>
      <c r="J1060" s="50">
        <v>0.28152200277799999</v>
      </c>
      <c r="K1060" s="50">
        <v>1440.78</v>
      </c>
      <c r="L1060" s="50">
        <v>1404.36</v>
      </c>
      <c r="M1060" s="50">
        <v>1406.7</v>
      </c>
      <c r="N1060" s="66">
        <f t="shared" si="128"/>
        <v>4.0783393758441665E-2</v>
      </c>
      <c r="O1060" s="66">
        <f t="shared" si="129"/>
        <v>4.6107912134783463E-2</v>
      </c>
      <c r="P1060" s="4">
        <f t="shared" si="130"/>
        <v>-3.3399999999999985E-2</v>
      </c>
      <c r="Q1060" s="4">
        <f t="shared" si="131"/>
        <v>4.1724999999999998E-2</v>
      </c>
      <c r="R1060" s="66">
        <f t="shared" si="132"/>
        <v>4.0783393758441665E-2</v>
      </c>
      <c r="S1060" s="66">
        <f t="shared" si="133"/>
        <v>4.6107912134783463E-2</v>
      </c>
      <c r="T1060" s="50">
        <f t="shared" si="134"/>
        <v>1</v>
      </c>
      <c r="U1060" s="50">
        <f t="shared" si="135"/>
        <v>1</v>
      </c>
    </row>
    <row r="1061" spans="1:21" x14ac:dyDescent="0.2">
      <c r="A1061" s="38">
        <v>39317</v>
      </c>
      <c r="B1061" s="4">
        <v>0.4128</v>
      </c>
      <c r="C1061" s="4">
        <v>0.156</v>
      </c>
      <c r="D1061" s="4">
        <v>0.43120000000000003</v>
      </c>
      <c r="E1061" s="50">
        <v>1</v>
      </c>
      <c r="F1061" s="50">
        <v>0.43575000000000003</v>
      </c>
      <c r="G1061" s="50">
        <v>-1.84E-2</v>
      </c>
      <c r="H1061" s="50">
        <v>0.38490743662900001</v>
      </c>
      <c r="I1061" s="50">
        <v>0.48829287047999997</v>
      </c>
      <c r="J1061" s="50">
        <v>0.28152200277799999</v>
      </c>
      <c r="K1061" s="50">
        <v>1464.48</v>
      </c>
      <c r="L1061" s="50">
        <v>1447.03</v>
      </c>
      <c r="M1061" s="50">
        <v>1464.07</v>
      </c>
      <c r="N1061" s="66">
        <f t="shared" si="128"/>
        <v>-2.1173850977067042E-4</v>
      </c>
      <c r="O1061" s="66">
        <f t="shared" si="129"/>
        <v>4.4369463208726388E-2</v>
      </c>
      <c r="P1061" s="4">
        <f t="shared" si="130"/>
        <v>-1.8400000000000027E-2</v>
      </c>
      <c r="Q1061" s="4">
        <f t="shared" si="131"/>
        <v>1.8699999999999994E-2</v>
      </c>
      <c r="R1061" s="66">
        <f t="shared" si="132"/>
        <v>-2.1173850977067042E-4</v>
      </c>
      <c r="S1061" s="66">
        <f t="shared" si="133"/>
        <v>4.4369463208726388E-2</v>
      </c>
      <c r="T1061" s="50" t="str">
        <f t="shared" si="134"/>
        <v/>
      </c>
      <c r="U1061" s="50">
        <f t="shared" si="135"/>
        <v>1</v>
      </c>
    </row>
    <row r="1062" spans="1:21" x14ac:dyDescent="0.2">
      <c r="A1062" s="38">
        <v>39324</v>
      </c>
      <c r="B1062" s="4">
        <v>0.40300000000000002</v>
      </c>
      <c r="C1062" s="4">
        <v>0.1343</v>
      </c>
      <c r="D1062" s="4">
        <v>0.4627</v>
      </c>
      <c r="E1062" s="50">
        <v>1</v>
      </c>
      <c r="F1062" s="50">
        <v>0.43132500000000001</v>
      </c>
      <c r="G1062" s="50">
        <v>-5.9700000000000003E-2</v>
      </c>
      <c r="H1062" s="50">
        <v>0.38490743662900001</v>
      </c>
      <c r="I1062" s="50">
        <v>0.48829287047999997</v>
      </c>
      <c r="J1062" s="50">
        <v>0.28152200277799999</v>
      </c>
      <c r="K1062" s="50">
        <v>1463.76</v>
      </c>
      <c r="L1062" s="50">
        <v>1432.01</v>
      </c>
      <c r="M1062" s="50">
        <v>1463.76</v>
      </c>
      <c r="N1062" s="66">
        <f t="shared" si="128"/>
        <v>5.8274580532327522E-3</v>
      </c>
      <c r="O1062" s="66">
        <f t="shared" si="129"/>
        <v>4.212439197682686E-2</v>
      </c>
      <c r="P1062" s="4">
        <f t="shared" si="130"/>
        <v>-5.9699999999999975E-2</v>
      </c>
      <c r="Q1062" s="4">
        <f t="shared" si="131"/>
        <v>-1.092499999999999E-2</v>
      </c>
      <c r="R1062" s="66">
        <f t="shared" si="132"/>
        <v>5.8274580532327522E-3</v>
      </c>
      <c r="S1062" s="66">
        <f t="shared" si="133"/>
        <v>4.212439197682686E-2</v>
      </c>
      <c r="T1062" s="50">
        <f t="shared" si="134"/>
        <v>1</v>
      </c>
      <c r="U1062" s="50">
        <f t="shared" si="135"/>
        <v>1</v>
      </c>
    </row>
    <row r="1063" spans="1:21" x14ac:dyDescent="0.2">
      <c r="A1063" s="38">
        <v>39331</v>
      </c>
      <c r="B1063" s="4">
        <v>0.38379999999999997</v>
      </c>
      <c r="C1063" s="4">
        <v>0.19189999999999999</v>
      </c>
      <c r="D1063" s="4">
        <v>0.42420000000000002</v>
      </c>
      <c r="E1063" s="50">
        <v>0.99990000000000001</v>
      </c>
      <c r="F1063" s="50">
        <v>0.42475000000000002</v>
      </c>
      <c r="G1063" s="50">
        <v>-4.0399999999999998E-2</v>
      </c>
      <c r="H1063" s="50">
        <v>0.38490743662900001</v>
      </c>
      <c r="I1063" s="50">
        <v>0.48829287047999997</v>
      </c>
      <c r="J1063" s="50">
        <v>0.28152200277799999</v>
      </c>
      <c r="K1063" s="50">
        <v>1488.76</v>
      </c>
      <c r="L1063" s="50">
        <v>1466.37</v>
      </c>
      <c r="M1063" s="50">
        <v>1472.29</v>
      </c>
      <c r="N1063" s="66">
        <f t="shared" si="128"/>
        <v>-4.9582622988678744E-4</v>
      </c>
      <c r="O1063" s="66">
        <f t="shared" si="129"/>
        <v>4.5711103111479363E-2</v>
      </c>
      <c r="P1063" s="4">
        <f t="shared" si="130"/>
        <v>-4.0400000000000047E-2</v>
      </c>
      <c r="Q1063" s="4">
        <f t="shared" si="131"/>
        <v>-3.7975000000000009E-2</v>
      </c>
      <c r="R1063" s="66">
        <f t="shared" si="132"/>
        <v>-4.9582622988678744E-4</v>
      </c>
      <c r="S1063" s="66">
        <f t="shared" si="133"/>
        <v>4.5711103111479363E-2</v>
      </c>
      <c r="T1063" s="50" t="str">
        <f t="shared" si="134"/>
        <v/>
      </c>
      <c r="U1063" s="50">
        <f t="shared" si="135"/>
        <v>1</v>
      </c>
    </row>
    <row r="1064" spans="1:21" x14ac:dyDescent="0.2">
      <c r="A1064" s="38">
        <v>39338</v>
      </c>
      <c r="B1064" s="4">
        <v>0.4</v>
      </c>
      <c r="C1064" s="4">
        <v>0.24709999999999999</v>
      </c>
      <c r="D1064" s="4">
        <v>0.35289999999999999</v>
      </c>
      <c r="E1064" s="50">
        <v>1</v>
      </c>
      <c r="F1064" s="50">
        <v>0.42253750000000001</v>
      </c>
      <c r="G1064" s="50">
        <v>4.7100000000000003E-2</v>
      </c>
      <c r="H1064" s="50">
        <v>0.38490743662900001</v>
      </c>
      <c r="I1064" s="50">
        <v>0.48829287047999997</v>
      </c>
      <c r="J1064" s="50">
        <v>0.28152200277799999</v>
      </c>
      <c r="K1064" s="50">
        <v>1479.19</v>
      </c>
      <c r="L1064" s="50">
        <v>1465.69</v>
      </c>
      <c r="M1064" s="50">
        <v>1471.56</v>
      </c>
      <c r="N1064" s="66">
        <f t="shared" si="128"/>
        <v>3.9053793253418158E-2</v>
      </c>
      <c r="O1064" s="66">
        <f t="shared" si="129"/>
        <v>6.1777977112723967E-2</v>
      </c>
      <c r="P1064" s="4">
        <f t="shared" si="130"/>
        <v>4.7100000000000031E-2</v>
      </c>
      <c r="Q1064" s="4">
        <f t="shared" si="131"/>
        <v>-1.7850000000000005E-2</v>
      </c>
      <c r="R1064" s="66">
        <f t="shared" si="132"/>
        <v>3.9053793253418158E-2</v>
      </c>
      <c r="S1064" s="66">
        <f t="shared" si="133"/>
        <v>6.1777977112723967E-2</v>
      </c>
      <c r="T1064" s="50">
        <f t="shared" si="134"/>
        <v>1</v>
      </c>
      <c r="U1064" s="50">
        <f t="shared" si="135"/>
        <v>1</v>
      </c>
    </row>
    <row r="1065" spans="1:21" x14ac:dyDescent="0.2">
      <c r="A1065" s="38">
        <v>39345</v>
      </c>
      <c r="B1065" s="4">
        <v>0.39240000000000003</v>
      </c>
      <c r="C1065" s="4">
        <v>0.29110000000000003</v>
      </c>
      <c r="D1065" s="4">
        <v>0.3165</v>
      </c>
      <c r="E1065" s="50">
        <v>1</v>
      </c>
      <c r="F1065" s="50">
        <v>0.416325</v>
      </c>
      <c r="G1065" s="50">
        <v>7.5899999999999995E-2</v>
      </c>
      <c r="H1065" s="50">
        <v>0.38490743662900001</v>
      </c>
      <c r="I1065" s="50">
        <v>0.48829287047999997</v>
      </c>
      <c r="J1065" s="50">
        <v>0.28152200277799999</v>
      </c>
      <c r="K1065" s="50">
        <v>1538.69</v>
      </c>
      <c r="L1065" s="50">
        <v>1519.75</v>
      </c>
      <c r="M1065" s="50">
        <v>1529.03</v>
      </c>
      <c r="N1065" s="66">
        <f t="shared" si="128"/>
        <v>-2.3609739508053474E-3</v>
      </c>
      <c r="O1065" s="66">
        <f t="shared" si="129"/>
        <v>7.9854548308404914E-3</v>
      </c>
      <c r="P1065" s="4">
        <f t="shared" si="130"/>
        <v>7.5900000000000023E-2</v>
      </c>
      <c r="Q1065" s="4">
        <f t="shared" si="131"/>
        <v>5.7250000000000079E-3</v>
      </c>
      <c r="R1065" s="66">
        <f t="shared" si="132"/>
        <v>-2.3609739508053474E-3</v>
      </c>
      <c r="S1065" s="66">
        <f t="shared" si="133"/>
        <v>7.9854548308404914E-3</v>
      </c>
      <c r="T1065" s="50" t="str">
        <f t="shared" si="134"/>
        <v/>
      </c>
      <c r="U1065" s="50">
        <f t="shared" si="135"/>
        <v>1</v>
      </c>
    </row>
    <row r="1066" spans="1:21" x14ac:dyDescent="0.2">
      <c r="A1066" s="38">
        <v>39352</v>
      </c>
      <c r="B1066" s="4">
        <v>0.49370000000000003</v>
      </c>
      <c r="C1066" s="4">
        <v>0.1646</v>
      </c>
      <c r="D1066" s="4">
        <v>0.34179999999999999</v>
      </c>
      <c r="E1066" s="50">
        <v>1.0001</v>
      </c>
      <c r="F1066" s="50">
        <v>0.42068749999999999</v>
      </c>
      <c r="G1066" s="50">
        <v>0.15190000000000001</v>
      </c>
      <c r="H1066" s="50">
        <v>0.38490743662900001</v>
      </c>
      <c r="I1066" s="50">
        <v>0.48829287047999997</v>
      </c>
      <c r="J1066" s="50">
        <v>0.28152200277799999</v>
      </c>
      <c r="K1066" s="50">
        <v>1529.17</v>
      </c>
      <c r="L1066" s="50">
        <v>1516.96</v>
      </c>
      <c r="M1066" s="50">
        <v>1525.42</v>
      </c>
      <c r="N1066" s="66">
        <f t="shared" si="128"/>
        <v>9.2892449292652814E-3</v>
      </c>
      <c r="O1066" s="66">
        <f t="shared" si="129"/>
        <v>-6.2540152875929008E-3</v>
      </c>
      <c r="P1066" s="4">
        <f t="shared" si="130"/>
        <v>0.15190000000000003</v>
      </c>
      <c r="Q1066" s="4">
        <f t="shared" si="131"/>
        <v>5.862500000000001E-2</v>
      </c>
      <c r="R1066" s="66">
        <f t="shared" si="132"/>
        <v>9.2892449292652814E-3</v>
      </c>
      <c r="S1066" s="66">
        <f t="shared" si="133"/>
        <v>-6.2540152875929008E-3</v>
      </c>
      <c r="T1066" s="50">
        <f t="shared" si="134"/>
        <v>1</v>
      </c>
      <c r="U1066" s="50" t="str">
        <f t="shared" si="135"/>
        <v/>
      </c>
    </row>
    <row r="1067" spans="1:21" x14ac:dyDescent="0.2">
      <c r="A1067" s="38">
        <v>39359</v>
      </c>
      <c r="B1067" s="4">
        <v>0.5181</v>
      </c>
      <c r="C1067" s="4">
        <v>0.22889999999999999</v>
      </c>
      <c r="D1067" s="4">
        <v>0.253</v>
      </c>
      <c r="E1067" s="50">
        <v>1</v>
      </c>
      <c r="F1067" s="50">
        <v>0.42825000000000002</v>
      </c>
      <c r="G1067" s="50">
        <v>0.2651</v>
      </c>
      <c r="H1067" s="50">
        <v>0.38490743662900001</v>
      </c>
      <c r="I1067" s="50">
        <v>0.48829287047999997</v>
      </c>
      <c r="J1067" s="50">
        <v>0.28152200277799999</v>
      </c>
      <c r="K1067" s="50">
        <v>1546.33</v>
      </c>
      <c r="L1067" s="50">
        <v>1536.43</v>
      </c>
      <c r="M1067" s="50">
        <v>1539.59</v>
      </c>
      <c r="N1067" s="66">
        <f t="shared" si="128"/>
        <v>1.4861099383602199E-2</v>
      </c>
      <c r="O1067" s="66">
        <f t="shared" si="129"/>
        <v>6.3588357939452656E-3</v>
      </c>
      <c r="P1067" s="4">
        <f t="shared" si="130"/>
        <v>0.2651</v>
      </c>
      <c r="Q1067" s="4">
        <f t="shared" si="131"/>
        <v>0.13500000000000001</v>
      </c>
      <c r="R1067" s="66">
        <f t="shared" si="132"/>
        <v>1.4861099383602199E-2</v>
      </c>
      <c r="S1067" s="66">
        <f t="shared" si="133"/>
        <v>6.3588357939452656E-3</v>
      </c>
      <c r="T1067" s="50">
        <f t="shared" si="134"/>
        <v>1</v>
      </c>
      <c r="U1067" s="50">
        <f t="shared" si="135"/>
        <v>1</v>
      </c>
    </row>
    <row r="1068" spans="1:21" x14ac:dyDescent="0.2">
      <c r="A1068" s="38">
        <v>39366</v>
      </c>
      <c r="B1068" s="4">
        <v>0.5464</v>
      </c>
      <c r="C1068" s="4">
        <v>0.19589999999999999</v>
      </c>
      <c r="D1068" s="4">
        <v>0.25769999999999998</v>
      </c>
      <c r="E1068" s="50">
        <v>1</v>
      </c>
      <c r="F1068" s="50">
        <v>0.44377499999999998</v>
      </c>
      <c r="G1068" s="50">
        <v>0.28870000000000001</v>
      </c>
      <c r="H1068" s="50">
        <v>0.38490743662900001</v>
      </c>
      <c r="I1068" s="50">
        <v>0.48829287047999997</v>
      </c>
      <c r="J1068" s="50">
        <v>0.28152200277799999</v>
      </c>
      <c r="K1068" s="50">
        <v>1565.22</v>
      </c>
      <c r="L1068" s="50">
        <v>1555.62</v>
      </c>
      <c r="M1068" s="50">
        <v>1562.47</v>
      </c>
      <c r="N1068" s="66">
        <f t="shared" si="128"/>
        <v>-1.3587460879248893E-2</v>
      </c>
      <c r="O1068" s="66">
        <f t="shared" si="129"/>
        <v>-5.5585067233290965E-2</v>
      </c>
      <c r="P1068" s="4">
        <f t="shared" si="130"/>
        <v>0.28870000000000001</v>
      </c>
      <c r="Q1068" s="4">
        <f t="shared" si="131"/>
        <v>0.19540000000000002</v>
      </c>
      <c r="R1068" s="66">
        <f t="shared" si="132"/>
        <v>-1.3587460879248893E-2</v>
      </c>
      <c r="S1068" s="66">
        <f t="shared" si="133"/>
        <v>-5.5585067233290965E-2</v>
      </c>
      <c r="T1068" s="50" t="str">
        <f t="shared" si="134"/>
        <v/>
      </c>
      <c r="U1068" s="50" t="str">
        <f t="shared" si="135"/>
        <v/>
      </c>
    </row>
    <row r="1069" spans="1:21" x14ac:dyDescent="0.2">
      <c r="A1069" s="38">
        <v>39373</v>
      </c>
      <c r="B1069" s="4">
        <v>0.41959999999999997</v>
      </c>
      <c r="C1069" s="4">
        <v>0.22320000000000001</v>
      </c>
      <c r="D1069" s="4">
        <v>0.35709999999999997</v>
      </c>
      <c r="E1069" s="50">
        <v>0.99990000000000001</v>
      </c>
      <c r="F1069" s="50">
        <v>0.44462499999999999</v>
      </c>
      <c r="G1069" s="50">
        <v>6.25E-2</v>
      </c>
      <c r="H1069" s="50">
        <v>0.38490743662900001</v>
      </c>
      <c r="I1069" s="50">
        <v>0.48829287047999997</v>
      </c>
      <c r="J1069" s="50">
        <v>0.28152200277799999</v>
      </c>
      <c r="K1069" s="50">
        <v>1550.38</v>
      </c>
      <c r="L1069" s="50">
        <v>1526.46</v>
      </c>
      <c r="M1069" s="50">
        <v>1541.24</v>
      </c>
      <c r="N1069" s="66">
        <f t="shared" si="128"/>
        <v>-1.6454283563883561E-2</v>
      </c>
      <c r="O1069" s="66">
        <f t="shared" si="129"/>
        <v>-4.5846201759622174E-2</v>
      </c>
      <c r="P1069" s="4">
        <f t="shared" si="130"/>
        <v>6.25E-2</v>
      </c>
      <c r="Q1069" s="4">
        <f t="shared" si="131"/>
        <v>0.19205</v>
      </c>
      <c r="R1069" s="66">
        <f t="shared" si="132"/>
        <v>-1.6454283563883561E-2</v>
      </c>
      <c r="S1069" s="66">
        <f t="shared" si="133"/>
        <v>-4.5846201759622174E-2</v>
      </c>
      <c r="T1069" s="50" t="str">
        <f t="shared" si="134"/>
        <v/>
      </c>
      <c r="U1069" s="50" t="str">
        <f t="shared" si="135"/>
        <v/>
      </c>
    </row>
    <row r="1070" spans="1:21" x14ac:dyDescent="0.2">
      <c r="A1070" s="38">
        <v>39380</v>
      </c>
      <c r="B1070" s="4">
        <v>0.3125</v>
      </c>
      <c r="C1070" s="4">
        <v>0.2054</v>
      </c>
      <c r="D1070" s="4">
        <v>0.48209999999999997</v>
      </c>
      <c r="E1070" s="50">
        <v>1</v>
      </c>
      <c r="F1070" s="50">
        <v>0.43331249999999999</v>
      </c>
      <c r="G1070" s="50">
        <v>-0.1696</v>
      </c>
      <c r="H1070" s="50">
        <v>0.38490743662900001</v>
      </c>
      <c r="I1070" s="50">
        <v>0.48829287047999997</v>
      </c>
      <c r="J1070" s="50">
        <v>0.28152200277799999</v>
      </c>
      <c r="K1070" s="50">
        <v>1519.57</v>
      </c>
      <c r="L1070" s="50">
        <v>1489.74</v>
      </c>
      <c r="M1070" s="50">
        <v>1515.88</v>
      </c>
      <c r="N1070" s="66">
        <f t="shared" si="128"/>
        <v>2.2099374620682375E-2</v>
      </c>
      <c r="O1070" s="66">
        <f t="shared" si="129"/>
        <v>-6.5381164735995007E-2</v>
      </c>
      <c r="P1070" s="4">
        <f t="shared" si="130"/>
        <v>-0.16959999999999997</v>
      </c>
      <c r="Q1070" s="4">
        <f t="shared" si="131"/>
        <v>0.11167500000000002</v>
      </c>
      <c r="R1070" s="66">
        <f t="shared" si="132"/>
        <v>2.2099374620682375E-2</v>
      </c>
      <c r="S1070" s="66">
        <f t="shared" si="133"/>
        <v>-6.5381164735995007E-2</v>
      </c>
      <c r="T1070" s="50">
        <f t="shared" si="134"/>
        <v>1</v>
      </c>
      <c r="U1070" s="50" t="str">
        <f t="shared" si="135"/>
        <v/>
      </c>
    </row>
    <row r="1071" spans="1:21" x14ac:dyDescent="0.2">
      <c r="A1071" s="38">
        <v>39387</v>
      </c>
      <c r="B1071" s="4">
        <v>0.4471</v>
      </c>
      <c r="C1071" s="4">
        <v>0.18820000000000001</v>
      </c>
      <c r="D1071" s="4">
        <v>0.36470000000000002</v>
      </c>
      <c r="E1071" s="50">
        <v>1</v>
      </c>
      <c r="F1071" s="50">
        <v>0.44122499999999998</v>
      </c>
      <c r="G1071" s="50">
        <v>8.2400000000000001E-2</v>
      </c>
      <c r="H1071" s="50">
        <v>0.38490743662900001</v>
      </c>
      <c r="I1071" s="50">
        <v>0.48829287047999997</v>
      </c>
      <c r="J1071" s="50">
        <v>0.28152200277799999</v>
      </c>
      <c r="K1071" s="50">
        <v>1551.91</v>
      </c>
      <c r="L1071" s="50">
        <v>1529.42</v>
      </c>
      <c r="M1071" s="50">
        <v>1549.38</v>
      </c>
      <c r="N1071" s="66">
        <f t="shared" si="128"/>
        <v>-4.7606139229885637E-2</v>
      </c>
      <c r="O1071" s="66">
        <f t="shared" si="129"/>
        <v>-5.1865907653384009E-2</v>
      </c>
      <c r="P1071" s="4">
        <f t="shared" si="130"/>
        <v>8.2399999999999973E-2</v>
      </c>
      <c r="Q1071" s="4">
        <f t="shared" si="131"/>
        <v>6.6000000000000003E-2</v>
      </c>
      <c r="R1071" s="66">
        <f t="shared" si="132"/>
        <v>-4.7606139229885637E-2</v>
      </c>
      <c r="S1071" s="66">
        <f t="shared" si="133"/>
        <v>-5.1865907653384009E-2</v>
      </c>
      <c r="T1071" s="50" t="str">
        <f t="shared" si="134"/>
        <v/>
      </c>
      <c r="U1071" s="50" t="str">
        <f t="shared" si="135"/>
        <v/>
      </c>
    </row>
    <row r="1072" spans="1:21" x14ac:dyDescent="0.2">
      <c r="A1072" s="38">
        <v>39394</v>
      </c>
      <c r="B1072" s="4">
        <v>0.3619</v>
      </c>
      <c r="C1072" s="4">
        <v>0.12379999999999999</v>
      </c>
      <c r="D1072" s="4">
        <v>0.51429999999999998</v>
      </c>
      <c r="E1072" s="50">
        <v>1</v>
      </c>
      <c r="F1072" s="50">
        <v>0.43646249999999998</v>
      </c>
      <c r="G1072" s="50">
        <v>-0.15240000000000001</v>
      </c>
      <c r="H1072" s="50">
        <v>0.38490743662900001</v>
      </c>
      <c r="I1072" s="50">
        <v>0.48829287047999997</v>
      </c>
      <c r="J1072" s="50">
        <v>0.28152200277799999</v>
      </c>
      <c r="K1072" s="50">
        <v>1519.49</v>
      </c>
      <c r="L1072" s="50">
        <v>1475.08</v>
      </c>
      <c r="M1072" s="50">
        <v>1475.62</v>
      </c>
      <c r="N1072" s="66">
        <f t="shared" si="128"/>
        <v>-3.4155134790799556E-3</v>
      </c>
      <c r="O1072" s="66">
        <f t="shared" si="129"/>
        <v>6.3634268985240782E-3</v>
      </c>
      <c r="P1072" s="4">
        <f t="shared" si="130"/>
        <v>-0.15239999999999998</v>
      </c>
      <c r="Q1072" s="4">
        <f t="shared" si="131"/>
        <v>-4.4274999999999995E-2</v>
      </c>
      <c r="R1072" s="66">
        <f t="shared" si="132"/>
        <v>-3.4155134790799556E-3</v>
      </c>
      <c r="S1072" s="66">
        <f t="shared" si="133"/>
        <v>6.3634268985240782E-3</v>
      </c>
      <c r="T1072" s="50" t="str">
        <f t="shared" si="134"/>
        <v/>
      </c>
      <c r="U1072" s="50">
        <f t="shared" si="135"/>
        <v>1</v>
      </c>
    </row>
    <row r="1073" spans="1:21" x14ac:dyDescent="0.2">
      <c r="A1073" s="38">
        <v>39401</v>
      </c>
      <c r="B1073" s="4">
        <v>0.3301</v>
      </c>
      <c r="C1073" s="4">
        <v>0.17480000000000001</v>
      </c>
      <c r="D1073" s="4">
        <v>0.49509999999999998</v>
      </c>
      <c r="E1073" s="50">
        <v>1</v>
      </c>
      <c r="F1073" s="50">
        <v>0.42867499999999997</v>
      </c>
      <c r="G1073" s="50">
        <v>-0.16500000000000001</v>
      </c>
      <c r="H1073" s="50">
        <v>0.38490743662900001</v>
      </c>
      <c r="I1073" s="50">
        <v>0.48829287047999997</v>
      </c>
      <c r="J1073" s="50">
        <v>0.28152200277799999</v>
      </c>
      <c r="K1073" s="50">
        <v>1491.51</v>
      </c>
      <c r="L1073" s="50">
        <v>1466.99</v>
      </c>
      <c r="M1073" s="50">
        <v>1470.58</v>
      </c>
      <c r="N1073" s="66">
        <f t="shared" si="128"/>
        <v>-3.659100490962746E-2</v>
      </c>
      <c r="O1073" s="66">
        <f t="shared" si="129"/>
        <v>6.1744345768337356E-3</v>
      </c>
      <c r="P1073" s="4">
        <f t="shared" si="130"/>
        <v>-0.16499999999999998</v>
      </c>
      <c r="Q1073" s="4">
        <f t="shared" si="131"/>
        <v>-0.10114999999999999</v>
      </c>
      <c r="R1073" s="66">
        <f t="shared" si="132"/>
        <v>-3.659100490962746E-2</v>
      </c>
      <c r="S1073" s="66">
        <f t="shared" si="133"/>
        <v>6.1744345768337356E-3</v>
      </c>
      <c r="T1073" s="50" t="str">
        <f t="shared" si="134"/>
        <v/>
      </c>
      <c r="U1073" s="50">
        <f t="shared" si="135"/>
        <v>1</v>
      </c>
    </row>
    <row r="1074" spans="1:21" x14ac:dyDescent="0.2">
      <c r="A1074" s="38">
        <v>39408</v>
      </c>
      <c r="B1074" s="4">
        <v>0.25580000000000003</v>
      </c>
      <c r="C1074" s="4">
        <v>0.21709999999999999</v>
      </c>
      <c r="D1074" s="4">
        <v>0.52710000000000001</v>
      </c>
      <c r="E1074" s="50">
        <v>1</v>
      </c>
      <c r="F1074" s="50">
        <v>0.3989375</v>
      </c>
      <c r="G1074" s="50">
        <v>-0.27129999999999999</v>
      </c>
      <c r="H1074" s="50">
        <v>0.38490743662900001</v>
      </c>
      <c r="I1074" s="50">
        <v>0.48829287047999997</v>
      </c>
      <c r="J1074" s="50">
        <v>0.28152200277799999</v>
      </c>
      <c r="K1074" s="50">
        <v>1439.62</v>
      </c>
      <c r="L1074" s="50">
        <v>1415.73</v>
      </c>
      <c r="M1074" s="50">
        <v>1416.77</v>
      </c>
      <c r="N1074" s="66">
        <f t="shared" si="128"/>
        <v>3.6879662895177058E-2</v>
      </c>
      <c r="O1074" s="66">
        <f t="shared" si="129"/>
        <v>2.5572252376885464E-2</v>
      </c>
      <c r="P1074" s="4">
        <f t="shared" si="130"/>
        <v>-0.27129999999999999</v>
      </c>
      <c r="Q1074" s="4">
        <f t="shared" si="131"/>
        <v>-0.12657499999999999</v>
      </c>
      <c r="R1074" s="66">
        <f t="shared" si="132"/>
        <v>3.6879662895177058E-2</v>
      </c>
      <c r="S1074" s="66">
        <f t="shared" si="133"/>
        <v>2.5572252376885464E-2</v>
      </c>
      <c r="T1074" s="50">
        <f t="shared" si="134"/>
        <v>1</v>
      </c>
      <c r="U1074" s="50">
        <f t="shared" si="135"/>
        <v>1</v>
      </c>
    </row>
    <row r="1075" spans="1:21" x14ac:dyDescent="0.2">
      <c r="A1075" s="38">
        <v>39415</v>
      </c>
      <c r="B1075" s="4">
        <v>0.28570000000000001</v>
      </c>
      <c r="C1075" s="4">
        <v>0.15310000000000001</v>
      </c>
      <c r="D1075" s="4">
        <v>0.56120000000000003</v>
      </c>
      <c r="E1075" s="50">
        <v>1</v>
      </c>
      <c r="F1075" s="50">
        <v>0.36988749999999998</v>
      </c>
      <c r="G1075" s="50">
        <v>-0.27550000000000002</v>
      </c>
      <c r="H1075" s="50">
        <v>0.38490743662900001</v>
      </c>
      <c r="I1075" s="50">
        <v>0.48829287047999997</v>
      </c>
      <c r="J1075" s="50">
        <v>0.28152200277799999</v>
      </c>
      <c r="K1075" s="50">
        <v>1471.44</v>
      </c>
      <c r="L1075" s="50">
        <v>1427.78</v>
      </c>
      <c r="M1075" s="50">
        <v>1469.02</v>
      </c>
      <c r="N1075" s="66">
        <f t="shared" si="128"/>
        <v>1.088480755878069E-2</v>
      </c>
      <c r="O1075" s="66">
        <f t="shared" si="129"/>
        <v>1.8672312153680728E-2</v>
      </c>
      <c r="P1075" s="4">
        <f t="shared" si="130"/>
        <v>-0.27550000000000002</v>
      </c>
      <c r="Q1075" s="4">
        <f t="shared" si="131"/>
        <v>-0.21605000000000002</v>
      </c>
      <c r="R1075" s="66">
        <f t="shared" si="132"/>
        <v>1.088480755878069E-2</v>
      </c>
      <c r="S1075" s="66">
        <f t="shared" si="133"/>
        <v>1.8672312153680728E-2</v>
      </c>
      <c r="T1075" s="50">
        <f t="shared" si="134"/>
        <v>1</v>
      </c>
      <c r="U1075" s="50">
        <f t="shared" si="135"/>
        <v>1</v>
      </c>
    </row>
    <row r="1076" spans="1:21" x14ac:dyDescent="0.2">
      <c r="A1076" s="38">
        <v>39422</v>
      </c>
      <c r="B1076" s="4">
        <v>0.40649999999999997</v>
      </c>
      <c r="C1076" s="4">
        <v>0.1951</v>
      </c>
      <c r="D1076" s="4">
        <v>0.39839999999999998</v>
      </c>
      <c r="E1076" s="50">
        <v>1</v>
      </c>
      <c r="F1076" s="50">
        <v>0.35239999999999999</v>
      </c>
      <c r="G1076" s="50">
        <v>8.0999999999999996E-3</v>
      </c>
      <c r="H1076" s="50">
        <v>0.38490743662900001</v>
      </c>
      <c r="I1076" s="50">
        <v>0.48829287047999997</v>
      </c>
      <c r="J1076" s="50">
        <v>0.28152200277799999</v>
      </c>
      <c r="K1076" s="50">
        <v>1485.85</v>
      </c>
      <c r="L1076" s="50">
        <v>1462.06</v>
      </c>
      <c r="M1076" s="50">
        <v>1485.01</v>
      </c>
      <c r="N1076" s="66">
        <f t="shared" si="128"/>
        <v>-3.6026693422939299E-3</v>
      </c>
      <c r="O1076" s="66">
        <f t="shared" si="129"/>
        <v>-2.3319708284792615E-2</v>
      </c>
      <c r="P1076" s="4">
        <f t="shared" si="130"/>
        <v>8.0999999999999961E-3</v>
      </c>
      <c r="Q1076" s="4">
        <f t="shared" si="131"/>
        <v>-0.175925</v>
      </c>
      <c r="R1076" s="66">
        <f t="shared" si="132"/>
        <v>-3.6026693422939299E-3</v>
      </c>
      <c r="S1076" s="66">
        <f t="shared" si="133"/>
        <v>-2.3319708284792615E-2</v>
      </c>
      <c r="T1076" s="50" t="str">
        <f t="shared" si="134"/>
        <v/>
      </c>
      <c r="U1076" s="50" t="str">
        <f t="shared" si="135"/>
        <v/>
      </c>
    </row>
    <row r="1077" spans="1:21" x14ac:dyDescent="0.2">
      <c r="A1077" s="38">
        <v>39429</v>
      </c>
      <c r="B1077" s="4">
        <v>0.47620000000000001</v>
      </c>
      <c r="C1077" s="4">
        <v>0.16669999999999999</v>
      </c>
      <c r="D1077" s="4">
        <v>0.35709999999999997</v>
      </c>
      <c r="E1077" s="50">
        <v>1</v>
      </c>
      <c r="F1077" s="50">
        <v>0.35947499999999999</v>
      </c>
      <c r="G1077" s="50">
        <v>0.1191</v>
      </c>
      <c r="H1077" s="50">
        <v>0.38490743662900001</v>
      </c>
      <c r="I1077" s="50">
        <v>0.48829287047999997</v>
      </c>
      <c r="J1077" s="50">
        <v>0.28152200277799999</v>
      </c>
      <c r="K1077" s="50">
        <v>1485.4</v>
      </c>
      <c r="L1077" s="50">
        <v>1472.4</v>
      </c>
      <c r="M1077" s="50">
        <v>1479.66</v>
      </c>
      <c r="N1077" s="66">
        <f t="shared" si="128"/>
        <v>-1.8017652703999621E-2</v>
      </c>
      <c r="O1077" s="66">
        <f t="shared" si="129"/>
        <v>-4.7666355784436946E-2</v>
      </c>
      <c r="P1077" s="4">
        <f t="shared" si="130"/>
        <v>0.11910000000000004</v>
      </c>
      <c r="Q1077" s="4">
        <f t="shared" si="131"/>
        <v>-0.10489999999999998</v>
      </c>
      <c r="R1077" s="66">
        <f t="shared" si="132"/>
        <v>-1.8017652703999621E-2</v>
      </c>
      <c r="S1077" s="66">
        <f t="shared" si="133"/>
        <v>-4.7666355784436946E-2</v>
      </c>
      <c r="T1077" s="50" t="str">
        <f t="shared" si="134"/>
        <v/>
      </c>
      <c r="U1077" s="50" t="str">
        <f t="shared" si="135"/>
        <v/>
      </c>
    </row>
    <row r="1078" spans="1:21" x14ac:dyDescent="0.2">
      <c r="A1078" s="38">
        <v>39436</v>
      </c>
      <c r="B1078" s="4">
        <v>0.35849999999999999</v>
      </c>
      <c r="C1078" s="4">
        <v>0.16980000000000001</v>
      </c>
      <c r="D1078" s="4">
        <v>0.47170000000000001</v>
      </c>
      <c r="E1078" s="50">
        <v>1</v>
      </c>
      <c r="F1078" s="50">
        <v>0.36522500000000002</v>
      </c>
      <c r="G1078" s="50">
        <v>-0.1132</v>
      </c>
      <c r="H1078" s="50">
        <v>0.38490743662900001</v>
      </c>
      <c r="I1078" s="50">
        <v>0.48829287047999997</v>
      </c>
      <c r="J1078" s="50">
        <v>0.28152200277799999</v>
      </c>
      <c r="K1078" s="50">
        <v>1464.4</v>
      </c>
      <c r="L1078" s="50">
        <v>1445.49</v>
      </c>
      <c r="M1078" s="50">
        <v>1453</v>
      </c>
      <c r="N1078" s="66">
        <f t="shared" si="128"/>
        <v>2.9903647625602235E-2</v>
      </c>
      <c r="O1078" s="66">
        <f t="shared" si="129"/>
        <v>-5.4920853406744637E-2</v>
      </c>
      <c r="P1078" s="4">
        <f t="shared" si="130"/>
        <v>-0.11320000000000002</v>
      </c>
      <c r="Q1078" s="4">
        <f t="shared" si="131"/>
        <v>-6.5375000000000003E-2</v>
      </c>
      <c r="R1078" s="66">
        <f t="shared" si="132"/>
        <v>2.9903647625602235E-2</v>
      </c>
      <c r="S1078" s="66">
        <f t="shared" si="133"/>
        <v>-5.4920853406744637E-2</v>
      </c>
      <c r="T1078" s="50">
        <f t="shared" si="134"/>
        <v>1</v>
      </c>
      <c r="U1078" s="50" t="str">
        <f t="shared" si="135"/>
        <v/>
      </c>
    </row>
    <row r="1079" spans="1:21" x14ac:dyDescent="0.2">
      <c r="A1079" s="38">
        <v>39443</v>
      </c>
      <c r="B1079" s="4">
        <v>0.3</v>
      </c>
      <c r="C1079" s="4">
        <v>0.2</v>
      </c>
      <c r="D1079" s="4">
        <v>0.5</v>
      </c>
      <c r="E1079" s="50">
        <v>1</v>
      </c>
      <c r="F1079" s="50">
        <v>0.34683750000000002</v>
      </c>
      <c r="G1079" s="50">
        <v>-0.2</v>
      </c>
      <c r="H1079" s="50">
        <v>0.38490743662900001</v>
      </c>
      <c r="I1079" s="50">
        <v>0.48829287047999997</v>
      </c>
      <c r="J1079" s="50">
        <v>0.28152200277799999</v>
      </c>
      <c r="K1079" s="50">
        <v>1497.63</v>
      </c>
      <c r="L1079" s="50">
        <v>1484.55</v>
      </c>
      <c r="M1079" s="50">
        <v>1496.45</v>
      </c>
      <c r="N1079" s="66">
        <f t="shared" si="128"/>
        <v>-3.0786193992448752E-2</v>
      </c>
      <c r="O1079" s="66">
        <f t="shared" si="129"/>
        <v>-0.10548297637742667</v>
      </c>
      <c r="P1079" s="4">
        <f t="shared" si="130"/>
        <v>-0.2</v>
      </c>
      <c r="Q1079" s="4">
        <f t="shared" si="131"/>
        <v>-4.65E-2</v>
      </c>
      <c r="R1079" s="66">
        <f t="shared" si="132"/>
        <v>-3.0786193992448752E-2</v>
      </c>
      <c r="S1079" s="66">
        <f t="shared" si="133"/>
        <v>-0.10548297637742667</v>
      </c>
      <c r="T1079" s="50" t="str">
        <f t="shared" si="134"/>
        <v/>
      </c>
      <c r="U1079" s="50" t="str">
        <f t="shared" si="135"/>
        <v/>
      </c>
    </row>
    <row r="1080" spans="1:21" x14ac:dyDescent="0.2">
      <c r="A1080" s="38">
        <v>39450</v>
      </c>
      <c r="B1080" s="4">
        <v>0.2571</v>
      </c>
      <c r="C1080" s="4">
        <v>0.1905</v>
      </c>
      <c r="D1080" s="4">
        <v>0.5524</v>
      </c>
      <c r="E1080" s="50">
        <v>1</v>
      </c>
      <c r="F1080" s="50">
        <v>0.33373750000000002</v>
      </c>
      <c r="G1080" s="50">
        <v>-0.29530000000000001</v>
      </c>
      <c r="H1080" s="50">
        <v>0.38490743662900001</v>
      </c>
      <c r="I1080" s="50">
        <v>0.48829287047999997</v>
      </c>
      <c r="J1080" s="50">
        <v>0.28152200277799999</v>
      </c>
      <c r="K1080" s="50">
        <v>1455.74</v>
      </c>
      <c r="L1080" s="50">
        <v>1447.37</v>
      </c>
      <c r="M1080" s="50">
        <v>1450.38</v>
      </c>
      <c r="N1080" s="66">
        <f t="shared" si="128"/>
        <v>-2.8440822405162783E-2</v>
      </c>
      <c r="O1080" s="66">
        <f t="shared" si="129"/>
        <v>-6.5203601814696949E-2</v>
      </c>
      <c r="P1080" s="4">
        <f t="shared" si="130"/>
        <v>-0.29530000000000001</v>
      </c>
      <c r="Q1080" s="4">
        <f t="shared" si="131"/>
        <v>-0.12235</v>
      </c>
      <c r="R1080" s="66">
        <f t="shared" si="132"/>
        <v>-2.8440822405162783E-2</v>
      </c>
      <c r="S1080" s="66">
        <f t="shared" si="133"/>
        <v>-6.5203601814696949E-2</v>
      </c>
      <c r="T1080" s="50" t="str">
        <f t="shared" si="134"/>
        <v/>
      </c>
      <c r="U1080" s="50" t="str">
        <f t="shared" si="135"/>
        <v/>
      </c>
    </row>
    <row r="1081" spans="1:21" x14ac:dyDescent="0.2">
      <c r="A1081" s="38">
        <v>39457</v>
      </c>
      <c r="B1081" s="4">
        <v>0.1963</v>
      </c>
      <c r="C1081" s="4">
        <v>0.215</v>
      </c>
      <c r="D1081" s="4">
        <v>0.58879999999999999</v>
      </c>
      <c r="E1081" s="50">
        <v>1.0001</v>
      </c>
      <c r="F1081" s="50">
        <v>0.31701249999999997</v>
      </c>
      <c r="G1081" s="50">
        <v>-0.39250000000000002</v>
      </c>
      <c r="H1081" s="50">
        <v>0.38490743662900001</v>
      </c>
      <c r="I1081" s="50">
        <v>0.48829287047999997</v>
      </c>
      <c r="J1081" s="50">
        <v>0.28152200277799999</v>
      </c>
      <c r="K1081" s="50">
        <v>1409.2</v>
      </c>
      <c r="L1081" s="50">
        <v>1379.23</v>
      </c>
      <c r="M1081" s="50">
        <v>1409.13</v>
      </c>
      <c r="N1081" s="66">
        <f t="shared" si="128"/>
        <v>-2.5498002313484251E-2</v>
      </c>
      <c r="O1081" s="66">
        <f t="shared" si="129"/>
        <v>-5.8674501288028827E-2</v>
      </c>
      <c r="P1081" s="4">
        <f t="shared" si="130"/>
        <v>-0.39249999999999996</v>
      </c>
      <c r="Q1081" s="4">
        <f t="shared" si="131"/>
        <v>-0.25024999999999997</v>
      </c>
      <c r="R1081" s="66">
        <f t="shared" si="132"/>
        <v>-2.5498002313484251E-2</v>
      </c>
      <c r="S1081" s="66">
        <f t="shared" si="133"/>
        <v>-5.8674501288028827E-2</v>
      </c>
      <c r="T1081" s="50" t="str">
        <f t="shared" si="134"/>
        <v/>
      </c>
      <c r="U1081" s="50" t="str">
        <f t="shared" si="135"/>
        <v/>
      </c>
    </row>
    <row r="1082" spans="1:21" x14ac:dyDescent="0.2">
      <c r="A1082" s="38">
        <v>39464</v>
      </c>
      <c r="B1082" s="4">
        <v>0.24299999999999999</v>
      </c>
      <c r="C1082" s="4">
        <v>0.21299999999999999</v>
      </c>
      <c r="D1082" s="4">
        <v>0.5444</v>
      </c>
      <c r="E1082" s="50">
        <v>1.0004</v>
      </c>
      <c r="F1082" s="50">
        <v>0.31541249999999998</v>
      </c>
      <c r="G1082" s="50">
        <v>-0.3014</v>
      </c>
      <c r="H1082" s="50">
        <v>0.38490743662900001</v>
      </c>
      <c r="I1082" s="50">
        <v>0.48829287047999997</v>
      </c>
      <c r="J1082" s="50">
        <v>0.28152200277799999</v>
      </c>
      <c r="K1082" s="50">
        <v>1391.99</v>
      </c>
      <c r="L1082" s="50">
        <v>1364.27</v>
      </c>
      <c r="M1082" s="50">
        <v>1373.2</v>
      </c>
      <c r="N1082" s="66">
        <f t="shared" si="128"/>
        <v>-2.5196621031168175E-2</v>
      </c>
      <c r="O1082" s="66">
        <f t="shared" si="129"/>
        <v>-4.3620739877658094E-3</v>
      </c>
      <c r="P1082" s="4">
        <f t="shared" si="130"/>
        <v>-0.3014</v>
      </c>
      <c r="Q1082" s="4">
        <f t="shared" si="131"/>
        <v>-0.29730000000000001</v>
      </c>
      <c r="R1082" s="66">
        <f t="shared" si="132"/>
        <v>-2.5196621031168175E-2</v>
      </c>
      <c r="S1082" s="66">
        <f t="shared" si="133"/>
        <v>-4.3620739877658094E-3</v>
      </c>
      <c r="T1082" s="50" t="str">
        <f t="shared" si="134"/>
        <v/>
      </c>
      <c r="U1082" s="50" t="str">
        <f t="shared" si="135"/>
        <v/>
      </c>
    </row>
    <row r="1083" spans="1:21" x14ac:dyDescent="0.2">
      <c r="A1083" s="38">
        <v>39471</v>
      </c>
      <c r="B1083" s="4">
        <v>0.25140000000000001</v>
      </c>
      <c r="C1083" s="4">
        <v>0.1585</v>
      </c>
      <c r="D1083" s="4">
        <v>0.59019999999999995</v>
      </c>
      <c r="E1083" s="50">
        <v>1.0001</v>
      </c>
      <c r="F1083" s="50">
        <v>0.31112499999999998</v>
      </c>
      <c r="G1083" s="50">
        <v>-0.33879999999999999</v>
      </c>
      <c r="H1083" s="50">
        <v>0.38490743662900001</v>
      </c>
      <c r="I1083" s="50">
        <v>0.48829287047999997</v>
      </c>
      <c r="J1083" s="50">
        <v>0.28152200277799999</v>
      </c>
      <c r="K1083" s="50">
        <v>1338.82</v>
      </c>
      <c r="L1083" s="50">
        <v>1269.8699999999999</v>
      </c>
      <c r="M1083" s="50">
        <v>1338.6</v>
      </c>
      <c r="N1083" s="66">
        <f t="shared" si="128"/>
        <v>1.285671597191098E-2</v>
      </c>
      <c r="O1083" s="66">
        <f t="shared" si="129"/>
        <v>7.6049604063947885E-3</v>
      </c>
      <c r="P1083" s="4">
        <f t="shared" si="130"/>
        <v>-0.33879999999999993</v>
      </c>
      <c r="Q1083" s="4">
        <f t="shared" si="131"/>
        <v>-0.33199999999999996</v>
      </c>
      <c r="R1083" s="66">
        <f t="shared" si="132"/>
        <v>1.285671597191098E-2</v>
      </c>
      <c r="S1083" s="66">
        <f t="shared" si="133"/>
        <v>7.6049604063947885E-3</v>
      </c>
      <c r="T1083" s="50">
        <f t="shared" si="134"/>
        <v>1</v>
      </c>
      <c r="U1083" s="50">
        <f t="shared" si="135"/>
        <v>1</v>
      </c>
    </row>
    <row r="1084" spans="1:21" x14ac:dyDescent="0.2">
      <c r="A1084" s="38">
        <v>39478</v>
      </c>
      <c r="B1084" s="4">
        <v>0.30080000000000001</v>
      </c>
      <c r="C1084" s="4">
        <v>0.21049999999999999</v>
      </c>
      <c r="D1084" s="4">
        <v>0.48870000000000002</v>
      </c>
      <c r="E1084" s="50">
        <v>1</v>
      </c>
      <c r="F1084" s="50">
        <v>0.29791250000000002</v>
      </c>
      <c r="G1084" s="50">
        <v>-0.18790000000000001</v>
      </c>
      <c r="H1084" s="50">
        <v>0.38490743662900001</v>
      </c>
      <c r="I1084" s="50">
        <v>0.48829287047999997</v>
      </c>
      <c r="J1084" s="50">
        <v>0.28152200277799999</v>
      </c>
      <c r="K1084" s="50">
        <v>1385.86</v>
      </c>
      <c r="L1084" s="50">
        <v>1352.95</v>
      </c>
      <c r="M1084" s="50">
        <v>1355.81</v>
      </c>
      <c r="N1084" s="66">
        <f t="shared" si="128"/>
        <v>-2.1654951652517612E-2</v>
      </c>
      <c r="O1084" s="66">
        <f t="shared" si="129"/>
        <v>1.7856484315648975E-2</v>
      </c>
      <c r="P1084" s="4">
        <f t="shared" si="130"/>
        <v>-0.18790000000000001</v>
      </c>
      <c r="Q1084" s="4">
        <f t="shared" si="131"/>
        <v>-0.30514999999999998</v>
      </c>
      <c r="R1084" s="66">
        <f t="shared" si="132"/>
        <v>-2.1654951652517612E-2</v>
      </c>
      <c r="S1084" s="66">
        <f t="shared" si="133"/>
        <v>1.7856484315648975E-2</v>
      </c>
      <c r="T1084" s="50" t="str">
        <f t="shared" si="134"/>
        <v/>
      </c>
      <c r="U1084" s="50">
        <f t="shared" si="135"/>
        <v>1</v>
      </c>
    </row>
    <row r="1085" spans="1:21" x14ac:dyDescent="0.2">
      <c r="A1085" s="38">
        <v>39485</v>
      </c>
      <c r="B1085" s="4">
        <v>0.34110000000000001</v>
      </c>
      <c r="C1085" s="4">
        <v>0.18690000000000001</v>
      </c>
      <c r="D1085" s="4">
        <v>0.47199999999999998</v>
      </c>
      <c r="E1085" s="50">
        <v>1</v>
      </c>
      <c r="F1085" s="50">
        <v>0.28102500000000002</v>
      </c>
      <c r="G1085" s="50">
        <v>-0.13089999999999999</v>
      </c>
      <c r="H1085" s="50">
        <v>0.38490743662900001</v>
      </c>
      <c r="I1085" s="50">
        <v>0.48829287047999997</v>
      </c>
      <c r="J1085" s="50">
        <v>0.28152200277799999</v>
      </c>
      <c r="K1085" s="50">
        <v>1351.96</v>
      </c>
      <c r="L1085" s="50">
        <v>1324.34</v>
      </c>
      <c r="M1085" s="50">
        <v>1326.45</v>
      </c>
      <c r="N1085" s="66">
        <f t="shared" si="128"/>
        <v>3.0728636586377166E-2</v>
      </c>
      <c r="O1085" s="66">
        <f t="shared" si="129"/>
        <v>5.4657167627878925E-3</v>
      </c>
      <c r="P1085" s="4">
        <f t="shared" si="130"/>
        <v>-0.13089999999999996</v>
      </c>
      <c r="Q1085" s="4">
        <f t="shared" si="131"/>
        <v>-0.23974999999999996</v>
      </c>
      <c r="R1085" s="66">
        <f t="shared" si="132"/>
        <v>3.0728636586377166E-2</v>
      </c>
      <c r="S1085" s="66">
        <f t="shared" si="133"/>
        <v>5.4657167627878925E-3</v>
      </c>
      <c r="T1085" s="50">
        <f t="shared" si="134"/>
        <v>1</v>
      </c>
      <c r="U1085" s="50">
        <f t="shared" si="135"/>
        <v>1</v>
      </c>
    </row>
    <row r="1086" spans="1:21" x14ac:dyDescent="0.2">
      <c r="A1086" s="38">
        <v>39492</v>
      </c>
      <c r="B1086" s="4">
        <v>0.33329999999999999</v>
      </c>
      <c r="C1086" s="4">
        <v>0.24809999999999999</v>
      </c>
      <c r="D1086" s="4">
        <v>0.41860000000000003</v>
      </c>
      <c r="E1086" s="50">
        <v>1</v>
      </c>
      <c r="F1086" s="50">
        <v>0.27787499999999998</v>
      </c>
      <c r="G1086" s="50">
        <v>-8.5300000000000001E-2</v>
      </c>
      <c r="H1086" s="50">
        <v>0.38490743662900001</v>
      </c>
      <c r="I1086" s="50">
        <v>0.48829287047999997</v>
      </c>
      <c r="J1086" s="50">
        <v>0.28152200277799999</v>
      </c>
      <c r="K1086" s="50">
        <v>1369.23</v>
      </c>
      <c r="L1086" s="50">
        <v>1350.78</v>
      </c>
      <c r="M1086" s="50">
        <v>1367.21</v>
      </c>
      <c r="N1086" s="66">
        <f t="shared" si="128"/>
        <v>-1.3480006729032162E-2</v>
      </c>
      <c r="O1086" s="66">
        <f t="shared" si="129"/>
        <v>-4.2743982270463242E-2</v>
      </c>
      <c r="P1086" s="4">
        <f t="shared" si="130"/>
        <v>-8.5300000000000042E-2</v>
      </c>
      <c r="Q1086" s="4">
        <f t="shared" si="131"/>
        <v>-0.185725</v>
      </c>
      <c r="R1086" s="66">
        <f t="shared" si="132"/>
        <v>-1.3480006729032162E-2</v>
      </c>
      <c r="S1086" s="66">
        <f t="shared" si="133"/>
        <v>-4.2743982270463242E-2</v>
      </c>
      <c r="T1086" s="50" t="str">
        <f t="shared" si="134"/>
        <v/>
      </c>
      <c r="U1086" s="50" t="str">
        <f t="shared" si="135"/>
        <v/>
      </c>
    </row>
    <row r="1087" spans="1:21" x14ac:dyDescent="0.2">
      <c r="A1087" s="38">
        <v>39499</v>
      </c>
      <c r="B1087" s="4">
        <v>0.33179999999999998</v>
      </c>
      <c r="C1087" s="4">
        <v>0.22120000000000001</v>
      </c>
      <c r="D1087" s="4">
        <v>0.44700000000000001</v>
      </c>
      <c r="E1087" s="50">
        <v>1</v>
      </c>
      <c r="F1087" s="50">
        <v>0.28184999999999999</v>
      </c>
      <c r="G1087" s="50">
        <v>-0.1152</v>
      </c>
      <c r="H1087" s="50">
        <v>0.38490743662900001</v>
      </c>
      <c r="I1087" s="50">
        <v>0.48829287047999997</v>
      </c>
      <c r="J1087" s="50">
        <v>0.28152200277799999</v>
      </c>
      <c r="K1087" s="50">
        <v>1367.28</v>
      </c>
      <c r="L1087" s="50">
        <v>1345.05</v>
      </c>
      <c r="M1087" s="50">
        <v>1348.78</v>
      </c>
      <c r="N1087" s="66">
        <f t="shared" si="128"/>
        <v>2.3161672029537811E-2</v>
      </c>
      <c r="O1087" s="66">
        <f t="shared" si="129"/>
        <v>-3.7337445691662023E-2</v>
      </c>
      <c r="P1087" s="4">
        <f t="shared" si="130"/>
        <v>-0.11520000000000002</v>
      </c>
      <c r="Q1087" s="4">
        <f t="shared" si="131"/>
        <v>-0.12982500000000002</v>
      </c>
      <c r="R1087" s="66">
        <f t="shared" si="132"/>
        <v>2.3161672029537811E-2</v>
      </c>
      <c r="S1087" s="66">
        <f t="shared" si="133"/>
        <v>-3.7337445691662023E-2</v>
      </c>
      <c r="T1087" s="50">
        <f t="shared" si="134"/>
        <v>1</v>
      </c>
      <c r="U1087" s="50" t="str">
        <f t="shared" si="135"/>
        <v/>
      </c>
    </row>
    <row r="1088" spans="1:21" x14ac:dyDescent="0.2">
      <c r="A1088" s="38">
        <v>39506</v>
      </c>
      <c r="B1088" s="4">
        <v>0.34310000000000002</v>
      </c>
      <c r="C1088" s="4">
        <v>0.2044</v>
      </c>
      <c r="D1088" s="4">
        <v>0.4526</v>
      </c>
      <c r="E1088" s="50">
        <v>1.0001</v>
      </c>
      <c r="F1088" s="50">
        <v>0.29260000000000003</v>
      </c>
      <c r="G1088" s="50">
        <v>-0.1095</v>
      </c>
      <c r="H1088" s="50">
        <v>0.38490743662900001</v>
      </c>
      <c r="I1088" s="50">
        <v>0.48829287047999997</v>
      </c>
      <c r="J1088" s="50">
        <v>0.28152200277799999</v>
      </c>
      <c r="K1088" s="50">
        <v>1388.34</v>
      </c>
      <c r="L1088" s="50">
        <v>1372</v>
      </c>
      <c r="M1088" s="50">
        <v>1380.02</v>
      </c>
      <c r="N1088" s="66">
        <f t="shared" si="128"/>
        <v>-3.3564730945928274E-2</v>
      </c>
      <c r="O1088" s="66">
        <f t="shared" si="129"/>
        <v>-2.8180751003608551E-2</v>
      </c>
      <c r="P1088" s="4">
        <f t="shared" si="130"/>
        <v>-0.10949999999999999</v>
      </c>
      <c r="Q1088" s="4">
        <f t="shared" si="131"/>
        <v>-0.110225</v>
      </c>
      <c r="R1088" s="66">
        <f t="shared" si="132"/>
        <v>-3.3564730945928274E-2</v>
      </c>
      <c r="S1088" s="66">
        <f t="shared" si="133"/>
        <v>-2.8180751003608551E-2</v>
      </c>
      <c r="T1088" s="50" t="str">
        <f t="shared" si="134"/>
        <v/>
      </c>
      <c r="U1088" s="50" t="str">
        <f t="shared" si="135"/>
        <v/>
      </c>
    </row>
    <row r="1089" spans="1:21" x14ac:dyDescent="0.2">
      <c r="A1089" s="38">
        <v>39513</v>
      </c>
      <c r="B1089" s="4">
        <v>0.2198</v>
      </c>
      <c r="C1089" s="4">
        <v>0.26369999999999999</v>
      </c>
      <c r="D1089" s="4">
        <v>0.51649999999999996</v>
      </c>
      <c r="E1089" s="50">
        <v>1</v>
      </c>
      <c r="F1089" s="50">
        <v>0.29553750000000001</v>
      </c>
      <c r="G1089" s="50">
        <v>-0.29670000000000002</v>
      </c>
      <c r="H1089" s="50">
        <v>0.38490743662900001</v>
      </c>
      <c r="I1089" s="50">
        <v>0.48829287047999997</v>
      </c>
      <c r="J1089" s="50">
        <v>0.28152200277799999</v>
      </c>
      <c r="K1089" s="50">
        <v>1344.19</v>
      </c>
      <c r="L1089" s="50">
        <v>1320.22</v>
      </c>
      <c r="M1089" s="50">
        <v>1333.7</v>
      </c>
      <c r="N1089" s="66">
        <f t="shared" si="128"/>
        <v>-1.8692359601109741E-2</v>
      </c>
      <c r="O1089" s="66">
        <f t="shared" si="129"/>
        <v>2.5365524480767735E-2</v>
      </c>
      <c r="P1089" s="4">
        <f t="shared" si="130"/>
        <v>-0.29669999999999996</v>
      </c>
      <c r="Q1089" s="4">
        <f t="shared" si="131"/>
        <v>-0.151675</v>
      </c>
      <c r="R1089" s="66">
        <f t="shared" si="132"/>
        <v>-1.8692359601109741E-2</v>
      </c>
      <c r="S1089" s="66">
        <f t="shared" si="133"/>
        <v>2.5365524480767735E-2</v>
      </c>
      <c r="T1089" s="50" t="str">
        <f t="shared" si="134"/>
        <v/>
      </c>
      <c r="U1089" s="50">
        <f t="shared" si="135"/>
        <v>1</v>
      </c>
    </row>
    <row r="1090" spans="1:21" x14ac:dyDescent="0.2">
      <c r="A1090" s="38">
        <v>39520</v>
      </c>
      <c r="B1090" s="4">
        <v>0.20419999999999999</v>
      </c>
      <c r="C1090" s="4">
        <v>0.20419999999999999</v>
      </c>
      <c r="D1090" s="4">
        <v>0.59150000000000003</v>
      </c>
      <c r="E1090" s="50">
        <v>0.99990000000000001</v>
      </c>
      <c r="F1090" s="50">
        <v>0.29068749999999999</v>
      </c>
      <c r="G1090" s="50">
        <v>-0.38729999999999998</v>
      </c>
      <c r="H1090" s="50">
        <v>0.38490743662900001</v>
      </c>
      <c r="I1090" s="50">
        <v>0.48829287047999997</v>
      </c>
      <c r="J1090" s="50">
        <v>0.28152200277799999</v>
      </c>
      <c r="K1090" s="50">
        <v>1333.26</v>
      </c>
      <c r="L1090" s="50">
        <v>1307.8599999999999</v>
      </c>
      <c r="M1090" s="50">
        <v>1308.77</v>
      </c>
      <c r="N1090" s="66">
        <f t="shared" si="128"/>
        <v>-7.9081886045675783E-3</v>
      </c>
      <c r="O1090" s="66">
        <f t="shared" si="129"/>
        <v>3.493356357495972E-2</v>
      </c>
      <c r="P1090" s="4">
        <f t="shared" si="130"/>
        <v>-0.38730000000000003</v>
      </c>
      <c r="Q1090" s="4">
        <f t="shared" si="131"/>
        <v>-0.22717500000000002</v>
      </c>
      <c r="R1090" s="66">
        <f t="shared" si="132"/>
        <v>-7.9081886045675783E-3</v>
      </c>
      <c r="S1090" s="66">
        <f t="shared" si="133"/>
        <v>3.493356357495972E-2</v>
      </c>
      <c r="T1090" s="50" t="str">
        <f t="shared" si="134"/>
        <v/>
      </c>
      <c r="U1090" s="50">
        <f t="shared" si="135"/>
        <v>1</v>
      </c>
    </row>
    <row r="1091" spans="1:21" x14ac:dyDescent="0.2">
      <c r="A1091" s="38">
        <v>39527</v>
      </c>
      <c r="B1091" s="4">
        <v>0.25209999999999999</v>
      </c>
      <c r="C1091" s="4">
        <v>0.2051</v>
      </c>
      <c r="D1091" s="4">
        <v>0.54269999999999996</v>
      </c>
      <c r="E1091" s="50">
        <v>0.99990000000000001</v>
      </c>
      <c r="F1091" s="50">
        <v>0.29077500000000001</v>
      </c>
      <c r="G1091" s="50">
        <v>-0.29060000000000002</v>
      </c>
      <c r="H1091" s="50">
        <v>0.38490743662900001</v>
      </c>
      <c r="I1091" s="50">
        <v>0.48829287047999997</v>
      </c>
      <c r="J1091" s="50">
        <v>0.28152200277799999</v>
      </c>
      <c r="K1091" s="50">
        <v>1341.51</v>
      </c>
      <c r="L1091" s="50">
        <v>1298.42</v>
      </c>
      <c r="M1091" s="50">
        <v>1298.42</v>
      </c>
      <c r="N1091" s="66">
        <f t="shared" si="128"/>
        <v>3.2893824802452239E-2</v>
      </c>
      <c r="O1091" s="66">
        <f t="shared" si="129"/>
        <v>5.1054358374023785E-2</v>
      </c>
      <c r="P1091" s="4">
        <f t="shared" si="130"/>
        <v>-0.29059999999999997</v>
      </c>
      <c r="Q1091" s="4">
        <f t="shared" si="131"/>
        <v>-0.27102499999999996</v>
      </c>
      <c r="R1091" s="66">
        <f t="shared" si="132"/>
        <v>3.2893824802452239E-2</v>
      </c>
      <c r="S1091" s="66">
        <f t="shared" si="133"/>
        <v>5.1054358374023785E-2</v>
      </c>
      <c r="T1091" s="50">
        <f t="shared" si="134"/>
        <v>1</v>
      </c>
      <c r="U1091" s="50">
        <f t="shared" si="135"/>
        <v>1</v>
      </c>
    </row>
    <row r="1092" spans="1:21" x14ac:dyDescent="0.2">
      <c r="A1092" s="38">
        <v>39534</v>
      </c>
      <c r="B1092" s="4">
        <v>0.41599999999999998</v>
      </c>
      <c r="C1092" s="4">
        <v>0.248</v>
      </c>
      <c r="D1092" s="4">
        <v>0.33600000000000002</v>
      </c>
      <c r="E1092" s="50">
        <v>1</v>
      </c>
      <c r="F1092" s="50">
        <v>0.30517499999999997</v>
      </c>
      <c r="G1092" s="50">
        <v>0.08</v>
      </c>
      <c r="H1092" s="50">
        <v>0.38490743662900001</v>
      </c>
      <c r="I1092" s="50">
        <v>0.48829287047999997</v>
      </c>
      <c r="J1092" s="50">
        <v>0.28152200277799999</v>
      </c>
      <c r="K1092" s="50">
        <v>1352.45</v>
      </c>
      <c r="L1092" s="50">
        <v>1336.41</v>
      </c>
      <c r="M1092" s="50">
        <v>1341.13</v>
      </c>
      <c r="N1092" s="66">
        <f t="shared" si="128"/>
        <v>1.96848925905765E-2</v>
      </c>
      <c r="O1092" s="66">
        <f t="shared" si="129"/>
        <v>2.893082698918073E-2</v>
      </c>
      <c r="P1092" s="4">
        <f t="shared" si="130"/>
        <v>7.999999999999996E-2</v>
      </c>
      <c r="Q1092" s="4">
        <f t="shared" si="131"/>
        <v>-0.22364999999999999</v>
      </c>
      <c r="R1092" s="66">
        <f t="shared" si="132"/>
        <v>1.96848925905765E-2</v>
      </c>
      <c r="S1092" s="66">
        <f t="shared" si="133"/>
        <v>2.893082698918073E-2</v>
      </c>
      <c r="T1092" s="50">
        <f t="shared" si="134"/>
        <v>1</v>
      </c>
      <c r="U1092" s="50">
        <f t="shared" si="135"/>
        <v>1</v>
      </c>
    </row>
    <row r="1093" spans="1:21" x14ac:dyDescent="0.2">
      <c r="A1093" s="38">
        <v>39541</v>
      </c>
      <c r="B1093" s="4">
        <v>0.36699999999999999</v>
      </c>
      <c r="C1093" s="4">
        <v>0.2394</v>
      </c>
      <c r="D1093" s="4">
        <v>0.39360000000000001</v>
      </c>
      <c r="E1093" s="50">
        <v>1</v>
      </c>
      <c r="F1093" s="50">
        <v>0.30841249999999998</v>
      </c>
      <c r="G1093" s="50">
        <v>-2.6599999999999999E-2</v>
      </c>
      <c r="H1093" s="50">
        <v>0.38490743662900001</v>
      </c>
      <c r="I1093" s="50">
        <v>0.48829287047999997</v>
      </c>
      <c r="J1093" s="50">
        <v>0.28152200277799999</v>
      </c>
      <c r="K1093" s="50">
        <v>1377.95</v>
      </c>
      <c r="L1093" s="50">
        <v>1361.55</v>
      </c>
      <c r="M1093" s="50">
        <v>1367.53</v>
      </c>
      <c r="N1093" s="66">
        <f t="shared" si="128"/>
        <v>-9.5354398075361887E-3</v>
      </c>
      <c r="O1093" s="66">
        <f t="shared" si="129"/>
        <v>1.3206291635284013E-2</v>
      </c>
      <c r="P1093" s="4">
        <f t="shared" si="130"/>
        <v>-2.6600000000000013E-2</v>
      </c>
      <c r="Q1093" s="4">
        <f t="shared" si="131"/>
        <v>-0.15612500000000001</v>
      </c>
      <c r="R1093" s="66">
        <f t="shared" si="132"/>
        <v>-9.5354398075361887E-3</v>
      </c>
      <c r="S1093" s="66">
        <f t="shared" si="133"/>
        <v>1.3206291635284013E-2</v>
      </c>
      <c r="T1093" s="50" t="str">
        <f t="shared" si="134"/>
        <v/>
      </c>
      <c r="U1093" s="50">
        <f t="shared" si="135"/>
        <v>1</v>
      </c>
    </row>
    <row r="1094" spans="1:21" x14ac:dyDescent="0.2">
      <c r="A1094" s="38">
        <v>39548</v>
      </c>
      <c r="B1094" s="4">
        <v>0.45760000000000001</v>
      </c>
      <c r="C1094" s="4">
        <v>0.16950000000000001</v>
      </c>
      <c r="D1094" s="4">
        <v>0.37290000000000001</v>
      </c>
      <c r="E1094" s="50">
        <v>1</v>
      </c>
      <c r="F1094" s="50">
        <v>0.32395000000000002</v>
      </c>
      <c r="G1094" s="50">
        <v>8.4699999999999998E-2</v>
      </c>
      <c r="H1094" s="50">
        <v>0.38490743662900001</v>
      </c>
      <c r="I1094" s="50">
        <v>0.48829287047999997</v>
      </c>
      <c r="J1094" s="50">
        <v>0.28152200277799999</v>
      </c>
      <c r="K1094" s="50">
        <v>1368.08</v>
      </c>
      <c r="L1094" s="50">
        <v>1350.25</v>
      </c>
      <c r="M1094" s="50">
        <v>1354.49</v>
      </c>
      <c r="N1094" s="66">
        <f t="shared" si="128"/>
        <v>7.5452753434872366E-3</v>
      </c>
      <c r="O1094" s="66">
        <f t="shared" si="129"/>
        <v>2.5766155527172655E-2</v>
      </c>
      <c r="P1094" s="4">
        <f t="shared" si="130"/>
        <v>8.4699999999999998E-2</v>
      </c>
      <c r="Q1094" s="4">
        <f t="shared" si="131"/>
        <v>-3.8125000000000006E-2</v>
      </c>
      <c r="R1094" s="66">
        <f t="shared" si="132"/>
        <v>7.5452753434872366E-3</v>
      </c>
      <c r="S1094" s="66">
        <f t="shared" si="133"/>
        <v>2.5766155527172655E-2</v>
      </c>
      <c r="T1094" s="50">
        <f t="shared" si="134"/>
        <v>1</v>
      </c>
      <c r="U1094" s="50">
        <f t="shared" si="135"/>
        <v>1</v>
      </c>
    </row>
    <row r="1095" spans="1:21" x14ac:dyDescent="0.2">
      <c r="A1095" s="38">
        <v>39555</v>
      </c>
      <c r="B1095" s="4">
        <v>0.30370000000000003</v>
      </c>
      <c r="C1095" s="4">
        <v>0.2094</v>
      </c>
      <c r="D1095" s="4">
        <v>0.4869</v>
      </c>
      <c r="E1095" s="50">
        <v>1</v>
      </c>
      <c r="F1095" s="50">
        <v>0.32043749999999999</v>
      </c>
      <c r="G1095" s="50">
        <v>-0.1832</v>
      </c>
      <c r="H1095" s="50">
        <v>0.38490743662900001</v>
      </c>
      <c r="I1095" s="50">
        <v>0.48829287047999997</v>
      </c>
      <c r="J1095" s="50">
        <v>0.28152200277799999</v>
      </c>
      <c r="K1095" s="50">
        <v>1365.49</v>
      </c>
      <c r="L1095" s="50">
        <v>1337.02</v>
      </c>
      <c r="M1095" s="50">
        <v>1364.71</v>
      </c>
      <c r="N1095" s="66">
        <f t="shared" si="128"/>
        <v>1.1152552556953512E-2</v>
      </c>
      <c r="O1095" s="66">
        <f t="shared" si="129"/>
        <v>3.2204644210125262E-2</v>
      </c>
      <c r="P1095" s="4">
        <f t="shared" si="130"/>
        <v>-0.18319999999999997</v>
      </c>
      <c r="Q1095" s="4">
        <f t="shared" si="131"/>
        <v>-1.1275000000000007E-2</v>
      </c>
      <c r="R1095" s="66">
        <f t="shared" si="132"/>
        <v>1.1152552556953512E-2</v>
      </c>
      <c r="S1095" s="66">
        <f t="shared" si="133"/>
        <v>3.2204644210125262E-2</v>
      </c>
      <c r="T1095" s="50">
        <f t="shared" si="134"/>
        <v>1</v>
      </c>
      <c r="U1095" s="50">
        <f t="shared" si="135"/>
        <v>1</v>
      </c>
    </row>
    <row r="1096" spans="1:21" x14ac:dyDescent="0.2">
      <c r="A1096" s="38">
        <v>39562</v>
      </c>
      <c r="B1096" s="4">
        <v>0.4667</v>
      </c>
      <c r="C1096" s="4">
        <v>0.25829999999999997</v>
      </c>
      <c r="D1096" s="4">
        <v>0.27500000000000002</v>
      </c>
      <c r="E1096" s="50">
        <v>1</v>
      </c>
      <c r="F1096" s="50">
        <v>0.33588750000000001</v>
      </c>
      <c r="G1096" s="50">
        <v>0.19170000000000001</v>
      </c>
      <c r="H1096" s="50">
        <v>0.38490743662900001</v>
      </c>
      <c r="I1096" s="50">
        <v>0.48829287047999997</v>
      </c>
      <c r="J1096" s="50">
        <v>0.28152200277799999</v>
      </c>
      <c r="K1096" s="50">
        <v>1387.87</v>
      </c>
      <c r="L1096" s="50">
        <v>1372.24</v>
      </c>
      <c r="M1096" s="50">
        <v>1379.93</v>
      </c>
      <c r="N1096" s="66">
        <f t="shared" si="128"/>
        <v>4.1016573304441918E-3</v>
      </c>
      <c r="O1096" s="66">
        <f t="shared" si="129"/>
        <v>7.8119904632843497E-3</v>
      </c>
      <c r="P1096" s="4">
        <f t="shared" si="130"/>
        <v>0.19169999999999998</v>
      </c>
      <c r="Q1096" s="4">
        <f t="shared" si="131"/>
        <v>1.6649999999999998E-2</v>
      </c>
      <c r="R1096" s="66">
        <f t="shared" si="132"/>
        <v>4.1016573304441918E-3</v>
      </c>
      <c r="S1096" s="66">
        <f t="shared" si="133"/>
        <v>7.8119904632843497E-3</v>
      </c>
      <c r="T1096" s="50">
        <f t="shared" si="134"/>
        <v>1</v>
      </c>
      <c r="U1096" s="50">
        <f t="shared" si="135"/>
        <v>1</v>
      </c>
    </row>
    <row r="1097" spans="1:21" x14ac:dyDescent="0.2">
      <c r="A1097" s="38">
        <v>39569</v>
      </c>
      <c r="B1097" s="4">
        <v>0.53290000000000004</v>
      </c>
      <c r="C1097" s="4">
        <v>0.2039</v>
      </c>
      <c r="D1097" s="4">
        <v>0.26319999999999999</v>
      </c>
      <c r="E1097" s="50">
        <v>1</v>
      </c>
      <c r="F1097" s="50">
        <v>0.375025</v>
      </c>
      <c r="G1097" s="50">
        <v>0.2697</v>
      </c>
      <c r="H1097" s="50">
        <v>0.38490743662900001</v>
      </c>
      <c r="I1097" s="50">
        <v>0.48829287047999997</v>
      </c>
      <c r="J1097" s="50">
        <v>0.28152200277799999</v>
      </c>
      <c r="K1097" s="50">
        <v>1404.57</v>
      </c>
      <c r="L1097" s="50">
        <v>1384.25</v>
      </c>
      <c r="M1097" s="50">
        <v>1385.59</v>
      </c>
      <c r="N1097" s="66">
        <f t="shared" si="128"/>
        <v>2.7425140192987698E-3</v>
      </c>
      <c r="O1097" s="66">
        <f t="shared" si="129"/>
        <v>3.7889996319257504E-3</v>
      </c>
      <c r="P1097" s="4">
        <f t="shared" si="130"/>
        <v>0.26970000000000005</v>
      </c>
      <c r="Q1097" s="4">
        <f t="shared" si="131"/>
        <v>9.0725000000000014E-2</v>
      </c>
      <c r="R1097" s="66">
        <f t="shared" si="132"/>
        <v>2.7425140192987698E-3</v>
      </c>
      <c r="S1097" s="66">
        <f t="shared" si="133"/>
        <v>3.7889996319257504E-3</v>
      </c>
      <c r="T1097" s="50">
        <f t="shared" si="134"/>
        <v>1</v>
      </c>
      <c r="U1097" s="50">
        <f t="shared" si="135"/>
        <v>1</v>
      </c>
    </row>
    <row r="1098" spans="1:21" x14ac:dyDescent="0.2">
      <c r="A1098" s="38">
        <v>39576</v>
      </c>
      <c r="B1098" s="4">
        <v>0.52810000000000001</v>
      </c>
      <c r="C1098" s="4">
        <v>0.22470000000000001</v>
      </c>
      <c r="D1098" s="4">
        <v>0.2472</v>
      </c>
      <c r="E1098" s="50">
        <v>1</v>
      </c>
      <c r="F1098" s="50">
        <v>0.41551250000000001</v>
      </c>
      <c r="G1098" s="50">
        <v>0.28089999999999998</v>
      </c>
      <c r="H1098" s="50">
        <v>0.38490743662900001</v>
      </c>
      <c r="I1098" s="50">
        <v>0.48829287047999997</v>
      </c>
      <c r="J1098" s="50">
        <v>0.28152200277799999</v>
      </c>
      <c r="K1098" s="50">
        <v>1394.29</v>
      </c>
      <c r="L1098" s="50">
        <v>1399.18</v>
      </c>
      <c r="M1098" s="50">
        <v>1389.39</v>
      </c>
      <c r="N1098" s="66">
        <f t="shared" si="128"/>
        <v>1.3869395921951347E-2</v>
      </c>
      <c r="O1098" s="66">
        <f t="shared" si="129"/>
        <v>-8.773634472682295E-3</v>
      </c>
      <c r="P1098" s="4">
        <f t="shared" si="130"/>
        <v>0.28090000000000004</v>
      </c>
      <c r="Q1098" s="4">
        <f t="shared" si="131"/>
        <v>0.13977500000000004</v>
      </c>
      <c r="R1098" s="66">
        <f t="shared" si="132"/>
        <v>1.3869395921951347E-2</v>
      </c>
      <c r="S1098" s="66">
        <f t="shared" si="133"/>
        <v>-8.773634472682295E-3</v>
      </c>
      <c r="T1098" s="50">
        <f t="shared" si="134"/>
        <v>1</v>
      </c>
      <c r="U1098" s="50" t="str">
        <f t="shared" si="135"/>
        <v/>
      </c>
    </row>
    <row r="1099" spans="1:21" x14ac:dyDescent="0.2">
      <c r="A1099" s="38">
        <v>39583</v>
      </c>
      <c r="B1099" s="4">
        <v>0.4516</v>
      </c>
      <c r="C1099" s="4">
        <v>0.25159999999999999</v>
      </c>
      <c r="D1099" s="4">
        <v>0.29680000000000001</v>
      </c>
      <c r="E1099" s="50">
        <v>1</v>
      </c>
      <c r="F1099" s="50">
        <v>0.44045000000000001</v>
      </c>
      <c r="G1099" s="50">
        <v>0.15479999999999999</v>
      </c>
      <c r="H1099" s="50">
        <v>0.38490743662900001</v>
      </c>
      <c r="I1099" s="50">
        <v>0.48829287047999997</v>
      </c>
      <c r="J1099" s="50">
        <v>0.28152200277799999</v>
      </c>
      <c r="K1099" s="50">
        <v>1412.29</v>
      </c>
      <c r="L1099" s="50">
        <v>1406.87</v>
      </c>
      <c r="M1099" s="50">
        <v>1408.66</v>
      </c>
      <c r="N1099" s="66">
        <f t="shared" si="128"/>
        <v>-1.2742606448681757E-2</v>
      </c>
      <c r="O1099" s="66">
        <f t="shared" si="129"/>
        <v>-5.1942981272982885E-2</v>
      </c>
      <c r="P1099" s="4">
        <f t="shared" si="130"/>
        <v>0.15479999999999999</v>
      </c>
      <c r="Q1099" s="4">
        <f t="shared" si="131"/>
        <v>0.224275</v>
      </c>
      <c r="R1099" s="66">
        <f t="shared" si="132"/>
        <v>-1.2742606448681757E-2</v>
      </c>
      <c r="S1099" s="66">
        <f t="shared" si="133"/>
        <v>-5.1942981272982885E-2</v>
      </c>
      <c r="T1099" s="50" t="str">
        <f t="shared" si="134"/>
        <v/>
      </c>
      <c r="U1099" s="50" t="str">
        <f t="shared" si="135"/>
        <v/>
      </c>
    </row>
    <row r="1100" spans="1:21" x14ac:dyDescent="0.2">
      <c r="A1100" s="38">
        <v>39590</v>
      </c>
      <c r="B1100" s="4">
        <v>0.46300000000000002</v>
      </c>
      <c r="C1100" s="4">
        <v>0.19439999999999999</v>
      </c>
      <c r="D1100" s="4">
        <v>0.34260000000000002</v>
      </c>
      <c r="E1100" s="50">
        <v>1</v>
      </c>
      <c r="F1100" s="50">
        <v>0.44632500000000003</v>
      </c>
      <c r="G1100" s="50">
        <v>0.12039999999999999</v>
      </c>
      <c r="H1100" s="50">
        <v>0.38490743662900001</v>
      </c>
      <c r="I1100" s="50">
        <v>0.48829287047999997</v>
      </c>
      <c r="J1100" s="50">
        <v>0.28152200277799999</v>
      </c>
      <c r="K1100" s="50">
        <v>1396.2</v>
      </c>
      <c r="L1100" s="50">
        <v>1390.7</v>
      </c>
      <c r="M1100" s="50">
        <v>1390.71</v>
      </c>
      <c r="N1100" s="66">
        <f t="shared" si="128"/>
        <v>9.3477432390564366E-5</v>
      </c>
      <c r="O1100" s="66">
        <f t="shared" si="129"/>
        <v>-3.8038124411272002E-2</v>
      </c>
      <c r="P1100" s="4">
        <f t="shared" si="130"/>
        <v>0.12040000000000001</v>
      </c>
      <c r="Q1100" s="4">
        <f t="shared" si="131"/>
        <v>0.20645000000000002</v>
      </c>
      <c r="R1100" s="66">
        <f t="shared" si="132"/>
        <v>9.3477432390564366E-5</v>
      </c>
      <c r="S1100" s="66">
        <f t="shared" si="133"/>
        <v>-3.8038124411272002E-2</v>
      </c>
      <c r="T1100" s="50">
        <f t="shared" si="134"/>
        <v>1</v>
      </c>
      <c r="U1100" s="50" t="str">
        <f t="shared" si="135"/>
        <v/>
      </c>
    </row>
    <row r="1101" spans="1:21" x14ac:dyDescent="0.2">
      <c r="A1101" s="38">
        <v>39597</v>
      </c>
      <c r="B1101" s="4">
        <v>0.31359999999999999</v>
      </c>
      <c r="C1101" s="4">
        <v>0.2288</v>
      </c>
      <c r="D1101" s="4">
        <v>0.45760000000000001</v>
      </c>
      <c r="E1101" s="50">
        <v>1</v>
      </c>
      <c r="F1101" s="50">
        <v>0.43964999999999999</v>
      </c>
      <c r="G1101" s="50">
        <v>-0.14399999999999999</v>
      </c>
      <c r="H1101" s="50">
        <v>0.38490743662900001</v>
      </c>
      <c r="I1101" s="50">
        <v>0.48829287047999997</v>
      </c>
      <c r="J1101" s="50">
        <v>0.28152200277799999</v>
      </c>
      <c r="K1101" s="50">
        <v>1393.49</v>
      </c>
      <c r="L1101" s="50">
        <v>1388.59</v>
      </c>
      <c r="M1101" s="50">
        <v>1390.84</v>
      </c>
      <c r="N1101" s="66">
        <f t="shared" ref="N1101:N1164" si="136">(M1102-M1101)/M1101</f>
        <v>-9.8070230939575169E-3</v>
      </c>
      <c r="O1101" s="66">
        <f t="shared" ref="O1101:O1164" si="137">(M1105-M1101)/M1101</f>
        <v>-4.9516838744931048E-2</v>
      </c>
      <c r="P1101" s="4">
        <f t="shared" si="130"/>
        <v>-0.14400000000000002</v>
      </c>
      <c r="Q1101" s="4">
        <f t="shared" si="131"/>
        <v>0.10302500000000001</v>
      </c>
      <c r="R1101" s="66">
        <f t="shared" si="132"/>
        <v>-9.8070230939575169E-3</v>
      </c>
      <c r="S1101" s="66">
        <f t="shared" si="133"/>
        <v>-4.9516838744931048E-2</v>
      </c>
      <c r="T1101" s="50" t="str">
        <f t="shared" si="134"/>
        <v/>
      </c>
      <c r="U1101" s="50" t="str">
        <f t="shared" si="135"/>
        <v/>
      </c>
    </row>
    <row r="1102" spans="1:21" x14ac:dyDescent="0.2">
      <c r="A1102" s="38">
        <v>39604</v>
      </c>
      <c r="B1102" s="4">
        <v>0.43480000000000002</v>
      </c>
      <c r="C1102" s="4">
        <v>0.18479999999999999</v>
      </c>
      <c r="D1102" s="4">
        <v>0.38040000000000002</v>
      </c>
      <c r="E1102" s="50">
        <v>1</v>
      </c>
      <c r="F1102" s="50">
        <v>0.43680000000000002</v>
      </c>
      <c r="G1102" s="50">
        <v>5.4399999999999997E-2</v>
      </c>
      <c r="H1102" s="50">
        <v>0.38490743662900001</v>
      </c>
      <c r="I1102" s="50">
        <v>0.48829287047999997</v>
      </c>
      <c r="J1102" s="50">
        <v>0.28152200277799999</v>
      </c>
      <c r="K1102" s="50">
        <v>1393.32</v>
      </c>
      <c r="L1102" s="50">
        <v>1377.48</v>
      </c>
      <c r="M1102" s="50">
        <v>1377.2</v>
      </c>
      <c r="N1102" s="66">
        <f t="shared" si="136"/>
        <v>-3.0286087714202756E-2</v>
      </c>
      <c r="O1102" s="66">
        <f t="shared" si="137"/>
        <v>-8.3996514667441222E-2</v>
      </c>
      <c r="P1102" s="4">
        <f t="shared" ref="P1102:P1165" si="138">B1102-D1102</f>
        <v>5.4400000000000004E-2</v>
      </c>
      <c r="Q1102" s="4">
        <f t="shared" si="131"/>
        <v>4.6399999999999997E-2</v>
      </c>
      <c r="R1102" s="66">
        <f t="shared" si="132"/>
        <v>-3.0286087714202756E-2</v>
      </c>
      <c r="S1102" s="66">
        <f t="shared" si="133"/>
        <v>-8.3996514667441222E-2</v>
      </c>
      <c r="T1102" s="50" t="str">
        <f t="shared" si="134"/>
        <v/>
      </c>
      <c r="U1102" s="50" t="str">
        <f t="shared" si="135"/>
        <v/>
      </c>
    </row>
    <row r="1103" spans="1:21" x14ac:dyDescent="0.2">
      <c r="A1103" s="38">
        <v>39611</v>
      </c>
      <c r="B1103" s="4">
        <v>0.3125</v>
      </c>
      <c r="C1103" s="4">
        <v>0.15179999999999999</v>
      </c>
      <c r="D1103" s="4">
        <v>0.53569999999999995</v>
      </c>
      <c r="E1103" s="50">
        <v>1</v>
      </c>
      <c r="F1103" s="50">
        <v>0.43790000000000001</v>
      </c>
      <c r="G1103" s="50">
        <v>-0.22320000000000001</v>
      </c>
      <c r="H1103" s="50">
        <v>0.38490743662900001</v>
      </c>
      <c r="I1103" s="50">
        <v>0.48829287047999997</v>
      </c>
      <c r="J1103" s="50">
        <v>0.28152200277799999</v>
      </c>
      <c r="K1103" s="50">
        <v>1353.03</v>
      </c>
      <c r="L1103" s="50">
        <v>1335.78</v>
      </c>
      <c r="M1103" s="50">
        <v>1335.49</v>
      </c>
      <c r="N1103" s="66">
        <f t="shared" si="136"/>
        <v>1.7371900950212554E-3</v>
      </c>
      <c r="O1103" s="66">
        <f t="shared" si="137"/>
        <v>-6.799002613273028E-2</v>
      </c>
      <c r="P1103" s="4">
        <f t="shared" si="138"/>
        <v>-0.22319999999999995</v>
      </c>
      <c r="Q1103" s="4">
        <f t="shared" si="131"/>
        <v>-4.809999999999999E-2</v>
      </c>
      <c r="R1103" s="66">
        <f t="shared" si="132"/>
        <v>1.7371900950212554E-3</v>
      </c>
      <c r="S1103" s="66">
        <f t="shared" si="133"/>
        <v>-6.799002613273028E-2</v>
      </c>
      <c r="T1103" s="50">
        <f t="shared" si="134"/>
        <v>1</v>
      </c>
      <c r="U1103" s="50" t="str">
        <f t="shared" si="135"/>
        <v/>
      </c>
    </row>
    <row r="1104" spans="1:21" x14ac:dyDescent="0.2">
      <c r="A1104" s="38">
        <v>39618</v>
      </c>
      <c r="B1104" s="4">
        <v>0.32979999999999998</v>
      </c>
      <c r="C1104" s="4">
        <v>0.21279999999999999</v>
      </c>
      <c r="D1104" s="4">
        <v>0.45739999999999997</v>
      </c>
      <c r="E1104" s="50">
        <v>1</v>
      </c>
      <c r="F1104" s="50">
        <v>0.42078749999999998</v>
      </c>
      <c r="G1104" s="50">
        <v>-0.12759999999999999</v>
      </c>
      <c r="H1104" s="50">
        <v>0.38490743662900001</v>
      </c>
      <c r="I1104" s="50">
        <v>0.48829287047999997</v>
      </c>
      <c r="J1104" s="50">
        <v>0.28152200277799999</v>
      </c>
      <c r="K1104" s="50">
        <v>1341.27</v>
      </c>
      <c r="L1104" s="50">
        <v>1334.04</v>
      </c>
      <c r="M1104" s="50">
        <v>1337.81</v>
      </c>
      <c r="N1104" s="66">
        <f t="shared" si="136"/>
        <v>-1.1840246372803252E-2</v>
      </c>
      <c r="O1104" s="66">
        <f t="shared" si="137"/>
        <v>-6.9105478356418365E-2</v>
      </c>
      <c r="P1104" s="4">
        <f t="shared" si="138"/>
        <v>-0.12759999999999999</v>
      </c>
      <c r="Q1104" s="4">
        <f t="shared" si="131"/>
        <v>-0.11009999999999999</v>
      </c>
      <c r="R1104" s="66">
        <f t="shared" si="132"/>
        <v>-1.1840246372803252E-2</v>
      </c>
      <c r="S1104" s="66">
        <f t="shared" si="133"/>
        <v>-6.9105478356418365E-2</v>
      </c>
      <c r="T1104" s="50" t="str">
        <f t="shared" si="134"/>
        <v/>
      </c>
      <c r="U1104" s="50" t="str">
        <f t="shared" si="135"/>
        <v/>
      </c>
    </row>
    <row r="1105" spans="1:21" x14ac:dyDescent="0.2">
      <c r="A1105" s="38">
        <v>39625</v>
      </c>
      <c r="B1105" s="4">
        <v>0.3125</v>
      </c>
      <c r="C1105" s="4">
        <v>0.1648</v>
      </c>
      <c r="D1105" s="4">
        <v>0.52270000000000005</v>
      </c>
      <c r="E1105" s="50">
        <v>1</v>
      </c>
      <c r="F1105" s="50">
        <v>0.39323750000000002</v>
      </c>
      <c r="G1105" s="50">
        <v>-0.2102</v>
      </c>
      <c r="H1105" s="50">
        <v>0.38490743662900001</v>
      </c>
      <c r="I1105" s="50">
        <v>0.48829287047999997</v>
      </c>
      <c r="J1105" s="50">
        <v>0.28152200277799999</v>
      </c>
      <c r="K1105" s="50">
        <v>1316.29</v>
      </c>
      <c r="L1105" s="50">
        <v>1306.1400000000001</v>
      </c>
      <c r="M1105" s="50">
        <v>1321.97</v>
      </c>
      <c r="N1105" s="66">
        <f t="shared" si="136"/>
        <v>-4.5727210148490544E-2</v>
      </c>
      <c r="O1105" s="66">
        <f t="shared" si="137"/>
        <v>-3.0091454420296961E-2</v>
      </c>
      <c r="P1105" s="4">
        <f t="shared" si="138"/>
        <v>-0.21020000000000005</v>
      </c>
      <c r="Q1105" s="4">
        <f t="shared" ref="Q1105:Q1168" si="139">AVERAGE(P1102:P1105)</f>
        <v>-0.12664999999999998</v>
      </c>
      <c r="R1105" s="66">
        <f t="shared" ref="R1105:R1168" si="140">(M1106-M1105)/M1105</f>
        <v>-4.5727210148490544E-2</v>
      </c>
      <c r="S1105" s="66">
        <f t="shared" ref="S1105:S1168" si="141">(M1109-M1105)/M1105</f>
        <v>-3.0091454420296961E-2</v>
      </c>
      <c r="T1105" s="50" t="str">
        <f t="shared" ref="T1105:T1168" si="142">IF(R1105&gt;0,1,"")</f>
        <v/>
      </c>
      <c r="U1105" s="50" t="str">
        <f t="shared" ref="U1105:U1168" si="143">IF(S1105&gt;0,1,"")</f>
        <v/>
      </c>
    </row>
    <row r="1106" spans="1:21" x14ac:dyDescent="0.2">
      <c r="A1106" s="38">
        <v>39632</v>
      </c>
      <c r="B1106" s="4">
        <v>0.23930000000000001</v>
      </c>
      <c r="C1106" s="4">
        <v>0.23930000000000001</v>
      </c>
      <c r="D1106" s="4">
        <v>0.52139999999999997</v>
      </c>
      <c r="E1106" s="50">
        <v>1</v>
      </c>
      <c r="F1106" s="50">
        <v>0.3571375</v>
      </c>
      <c r="G1106" s="50">
        <v>-0.28210000000000002</v>
      </c>
      <c r="H1106" s="50">
        <v>0.38490743662900001</v>
      </c>
      <c r="I1106" s="50">
        <v>0.48829287047999997</v>
      </c>
      <c r="J1106" s="50">
        <v>0.28152200277799999</v>
      </c>
      <c r="K1106" s="50">
        <v>1269.81</v>
      </c>
      <c r="L1106" s="50">
        <v>1255.69</v>
      </c>
      <c r="M1106" s="50">
        <v>1261.52</v>
      </c>
      <c r="N1106" s="66">
        <f t="shared" si="136"/>
        <v>-1.3341048893398382E-2</v>
      </c>
      <c r="O1106" s="66">
        <f t="shared" si="137"/>
        <v>1.8025873549369024E-2</v>
      </c>
      <c r="P1106" s="4">
        <f t="shared" si="138"/>
        <v>-0.28209999999999996</v>
      </c>
      <c r="Q1106" s="4">
        <f t="shared" si="139"/>
        <v>-0.21077499999999999</v>
      </c>
      <c r="R1106" s="66">
        <f t="shared" si="140"/>
        <v>-1.3341048893398382E-2</v>
      </c>
      <c r="S1106" s="66">
        <f t="shared" si="141"/>
        <v>1.8025873549369024E-2</v>
      </c>
      <c r="T1106" s="50" t="str">
        <f t="shared" si="142"/>
        <v/>
      </c>
      <c r="U1106" s="50">
        <f t="shared" si="143"/>
        <v>1</v>
      </c>
    </row>
    <row r="1107" spans="1:21" x14ac:dyDescent="0.2">
      <c r="A1107" s="38">
        <v>39639</v>
      </c>
      <c r="B1107" s="4">
        <v>0.22170000000000001</v>
      </c>
      <c r="C1107" s="4">
        <v>0.2266</v>
      </c>
      <c r="D1107" s="4">
        <v>0.55169999999999997</v>
      </c>
      <c r="E1107" s="50">
        <v>1</v>
      </c>
      <c r="F1107" s="50">
        <v>0.32840000000000003</v>
      </c>
      <c r="G1107" s="50">
        <v>-0.33</v>
      </c>
      <c r="H1107" s="50">
        <v>0.38490743662900001</v>
      </c>
      <c r="I1107" s="50">
        <v>0.48829287047999997</v>
      </c>
      <c r="J1107" s="50">
        <v>0.28152200277799999</v>
      </c>
      <c r="K1107" s="50">
        <v>1252.3900000000001</v>
      </c>
      <c r="L1107" s="50">
        <v>1243.32</v>
      </c>
      <c r="M1107" s="50">
        <v>1244.69</v>
      </c>
      <c r="N1107" s="66">
        <f t="shared" si="136"/>
        <v>5.3828664165362088E-4</v>
      </c>
      <c r="O1107" s="66">
        <f t="shared" si="137"/>
        <v>3.575187396058456E-2</v>
      </c>
      <c r="P1107" s="4">
        <f t="shared" si="138"/>
        <v>-0.32999999999999996</v>
      </c>
      <c r="Q1107" s="4">
        <f t="shared" si="139"/>
        <v>-0.23747499999999999</v>
      </c>
      <c r="R1107" s="66">
        <f t="shared" si="140"/>
        <v>5.3828664165362088E-4</v>
      </c>
      <c r="S1107" s="66">
        <f t="shared" si="141"/>
        <v>3.575187396058456E-2</v>
      </c>
      <c r="T1107" s="50">
        <f t="shared" si="142"/>
        <v>1</v>
      </c>
      <c r="U1107" s="50">
        <f t="shared" si="143"/>
        <v>1</v>
      </c>
    </row>
    <row r="1108" spans="1:21" x14ac:dyDescent="0.2">
      <c r="A1108" s="38">
        <v>39646</v>
      </c>
      <c r="B1108" s="4">
        <v>0.25</v>
      </c>
      <c r="C1108" s="4">
        <v>0.1686</v>
      </c>
      <c r="D1108" s="4">
        <v>0.58140000000000003</v>
      </c>
      <c r="E1108" s="50">
        <v>1</v>
      </c>
      <c r="F1108" s="50">
        <v>0.30177500000000002</v>
      </c>
      <c r="G1108" s="50">
        <v>-0.33139999999999997</v>
      </c>
      <c r="H1108" s="50">
        <v>0.38490743662900001</v>
      </c>
      <c r="I1108" s="50">
        <v>0.48829287047999997</v>
      </c>
      <c r="J1108" s="50">
        <v>0.28152200277799999</v>
      </c>
      <c r="K1108" s="50">
        <v>1258.72</v>
      </c>
      <c r="L1108" s="50">
        <v>1246.31</v>
      </c>
      <c r="M1108" s="50">
        <v>1245.3599999999999</v>
      </c>
      <c r="N1108" s="66">
        <f t="shared" si="136"/>
        <v>2.9573777863429174E-2</v>
      </c>
      <c r="O1108" s="66">
        <f t="shared" si="137"/>
        <v>3.249662748121028E-2</v>
      </c>
      <c r="P1108" s="4">
        <f t="shared" si="138"/>
        <v>-0.33140000000000003</v>
      </c>
      <c r="Q1108" s="4">
        <f t="shared" si="139"/>
        <v>-0.28842500000000004</v>
      </c>
      <c r="R1108" s="66">
        <f t="shared" si="140"/>
        <v>2.9573777863429174E-2</v>
      </c>
      <c r="S1108" s="66">
        <f t="shared" si="141"/>
        <v>3.249662748121028E-2</v>
      </c>
      <c r="T1108" s="50">
        <f t="shared" si="142"/>
        <v>1</v>
      </c>
      <c r="U1108" s="50">
        <f t="shared" si="143"/>
        <v>1</v>
      </c>
    </row>
    <row r="1109" spans="1:21" x14ac:dyDescent="0.2">
      <c r="A1109" s="38">
        <v>39653</v>
      </c>
      <c r="B1109" s="4">
        <v>0.35820000000000002</v>
      </c>
      <c r="C1109" s="4">
        <v>0.2014</v>
      </c>
      <c r="D1109" s="4">
        <v>0.44030000000000002</v>
      </c>
      <c r="E1109" s="50">
        <v>0.99990000000000001</v>
      </c>
      <c r="F1109" s="50">
        <v>0.30735000000000001</v>
      </c>
      <c r="G1109" s="50">
        <v>-8.2100000000000006E-2</v>
      </c>
      <c r="H1109" s="50">
        <v>0.38490743662900001</v>
      </c>
      <c r="I1109" s="50">
        <v>0.48829287047999997</v>
      </c>
      <c r="J1109" s="50">
        <v>0.28152200277799999</v>
      </c>
      <c r="K1109" s="50">
        <v>1283.22</v>
      </c>
      <c r="L1109" s="50">
        <v>1276.01</v>
      </c>
      <c r="M1109" s="50">
        <v>1282.19</v>
      </c>
      <c r="N1109" s="66">
        <f t="shared" si="136"/>
        <v>1.614425319180415E-3</v>
      </c>
      <c r="O1109" s="66">
        <f t="shared" si="137"/>
        <v>-5.9663544404496144E-3</v>
      </c>
      <c r="P1109" s="4">
        <f t="shared" si="138"/>
        <v>-8.2100000000000006E-2</v>
      </c>
      <c r="Q1109" s="4">
        <f t="shared" si="139"/>
        <v>-0.25639999999999996</v>
      </c>
      <c r="R1109" s="66">
        <f t="shared" si="140"/>
        <v>1.614425319180415E-3</v>
      </c>
      <c r="S1109" s="66">
        <f t="shared" si="141"/>
        <v>-5.9663544404496144E-3</v>
      </c>
      <c r="T1109" s="50">
        <f t="shared" si="142"/>
        <v>1</v>
      </c>
      <c r="U1109" s="50" t="str">
        <f t="shared" si="143"/>
        <v/>
      </c>
    </row>
    <row r="1110" spans="1:21" x14ac:dyDescent="0.2">
      <c r="A1110" s="38">
        <v>39660</v>
      </c>
      <c r="B1110" s="4">
        <v>0.4</v>
      </c>
      <c r="C1110" s="4">
        <v>0.18820000000000001</v>
      </c>
      <c r="D1110" s="4">
        <v>0.4118</v>
      </c>
      <c r="E1110" s="50">
        <v>1</v>
      </c>
      <c r="F1110" s="50">
        <v>0.30299999999999999</v>
      </c>
      <c r="G1110" s="50">
        <v>-1.18E-2</v>
      </c>
      <c r="H1110" s="50">
        <v>0.38490743662900001</v>
      </c>
      <c r="I1110" s="50">
        <v>0.48829287047999997</v>
      </c>
      <c r="J1110" s="50">
        <v>0.28152200277799999</v>
      </c>
      <c r="K1110" s="50">
        <v>1281.5899999999999</v>
      </c>
      <c r="L1110" s="50">
        <v>1273.5</v>
      </c>
      <c r="M1110" s="50">
        <v>1284.26</v>
      </c>
      <c r="N1110" s="66">
        <f t="shared" si="136"/>
        <v>3.8387865385514333E-3</v>
      </c>
      <c r="O1110" s="66">
        <f t="shared" si="137"/>
        <v>-2.0245121704327075E-3</v>
      </c>
      <c r="P1110" s="4">
        <f t="shared" si="138"/>
        <v>-1.1799999999999977E-2</v>
      </c>
      <c r="Q1110" s="4">
        <f t="shared" si="139"/>
        <v>-0.18882500000000002</v>
      </c>
      <c r="R1110" s="66">
        <f t="shared" si="140"/>
        <v>3.8387865385514333E-3</v>
      </c>
      <c r="S1110" s="66">
        <f t="shared" si="141"/>
        <v>-2.0245121704327075E-3</v>
      </c>
      <c r="T1110" s="50">
        <f t="shared" si="142"/>
        <v>1</v>
      </c>
      <c r="U1110" s="50" t="str">
        <f t="shared" si="143"/>
        <v/>
      </c>
    </row>
    <row r="1111" spans="1:21" x14ac:dyDescent="0.2">
      <c r="A1111" s="38">
        <v>39667</v>
      </c>
      <c r="B1111" s="4">
        <v>0.35610000000000003</v>
      </c>
      <c r="C1111" s="4">
        <v>0.21970000000000001</v>
      </c>
      <c r="D1111" s="4">
        <v>0.42420000000000002</v>
      </c>
      <c r="E1111" s="50">
        <v>1</v>
      </c>
      <c r="F1111" s="50">
        <v>0.30845</v>
      </c>
      <c r="G1111" s="50">
        <v>-6.8099999999999994E-2</v>
      </c>
      <c r="H1111" s="50">
        <v>0.38490743662900001</v>
      </c>
      <c r="I1111" s="50">
        <v>0.48829287047999997</v>
      </c>
      <c r="J1111" s="50">
        <v>0.28152200277799999</v>
      </c>
      <c r="K1111" s="50">
        <v>1278.81</v>
      </c>
      <c r="L1111" s="50">
        <v>1273.06</v>
      </c>
      <c r="M1111" s="50">
        <v>1289.19</v>
      </c>
      <c r="N1111" s="66">
        <f t="shared" si="136"/>
        <v>-2.6062876690015647E-3</v>
      </c>
      <c r="O1111" s="66">
        <f t="shared" si="137"/>
        <v>-1.1022424933485394E-2</v>
      </c>
      <c r="P1111" s="4">
        <f t="shared" si="138"/>
        <v>-6.8099999999999994E-2</v>
      </c>
      <c r="Q1111" s="4">
        <f t="shared" si="139"/>
        <v>-0.12335</v>
      </c>
      <c r="R1111" s="66">
        <f t="shared" si="140"/>
        <v>-2.6062876690015647E-3</v>
      </c>
      <c r="S1111" s="66">
        <f t="shared" si="141"/>
        <v>-1.1022424933485394E-2</v>
      </c>
      <c r="T1111" s="50" t="str">
        <f t="shared" si="142"/>
        <v/>
      </c>
      <c r="U1111" s="50" t="str">
        <f t="shared" si="143"/>
        <v/>
      </c>
    </row>
    <row r="1112" spans="1:21" x14ac:dyDescent="0.2">
      <c r="A1112" s="38">
        <v>39674</v>
      </c>
      <c r="B1112" s="4">
        <v>0.42859999999999998</v>
      </c>
      <c r="C1112" s="4">
        <v>0.18179999999999999</v>
      </c>
      <c r="D1112" s="4">
        <v>0.3896</v>
      </c>
      <c r="E1112" s="50">
        <v>1</v>
      </c>
      <c r="F1112" s="50">
        <v>0.32079999999999997</v>
      </c>
      <c r="G1112" s="50">
        <v>3.9E-2</v>
      </c>
      <c r="H1112" s="50">
        <v>0.38490743662900001</v>
      </c>
      <c r="I1112" s="50">
        <v>0.48829287047999997</v>
      </c>
      <c r="J1112" s="50">
        <v>0.28152200277799999</v>
      </c>
      <c r="K1112" s="50">
        <v>1285.58</v>
      </c>
      <c r="L1112" s="50">
        <v>1276.8399999999999</v>
      </c>
      <c r="M1112" s="50">
        <v>1285.83</v>
      </c>
      <c r="N1112" s="66">
        <f t="shared" si="136"/>
        <v>-8.780320882231683E-3</v>
      </c>
      <c r="O1112" s="66">
        <f t="shared" si="137"/>
        <v>-4.1832901705513147E-2</v>
      </c>
      <c r="P1112" s="4">
        <f t="shared" si="138"/>
        <v>3.8999999999999979E-2</v>
      </c>
      <c r="Q1112" s="4">
        <f t="shared" si="139"/>
        <v>-3.075E-2</v>
      </c>
      <c r="R1112" s="66">
        <f t="shared" si="140"/>
        <v>-8.780320882231683E-3</v>
      </c>
      <c r="S1112" s="66">
        <f t="shared" si="141"/>
        <v>-4.1832901705513147E-2</v>
      </c>
      <c r="T1112" s="50" t="str">
        <f t="shared" si="142"/>
        <v/>
      </c>
      <c r="U1112" s="50" t="str">
        <f t="shared" si="143"/>
        <v/>
      </c>
    </row>
    <row r="1113" spans="1:21" x14ac:dyDescent="0.2">
      <c r="A1113" s="38">
        <v>39681</v>
      </c>
      <c r="B1113" s="4">
        <v>0.38100000000000001</v>
      </c>
      <c r="C1113" s="4">
        <v>0.246</v>
      </c>
      <c r="D1113" s="4">
        <v>0.373</v>
      </c>
      <c r="E1113" s="50">
        <v>1</v>
      </c>
      <c r="F1113" s="50">
        <v>0.3293625</v>
      </c>
      <c r="G1113" s="50">
        <v>8.0000000000000002E-3</v>
      </c>
      <c r="H1113" s="50">
        <v>0.38490743662900001</v>
      </c>
      <c r="I1113" s="50">
        <v>0.48829287047999997</v>
      </c>
      <c r="J1113" s="50">
        <v>0.28152200277799999</v>
      </c>
      <c r="K1113" s="50">
        <v>1300.1500000000001</v>
      </c>
      <c r="L1113" s="50">
        <v>1261.31</v>
      </c>
      <c r="M1113" s="50">
        <v>1274.54</v>
      </c>
      <c r="N1113" s="66">
        <f t="shared" si="136"/>
        <v>5.5863291854316996E-3</v>
      </c>
      <c r="O1113" s="66">
        <f t="shared" si="137"/>
        <v>-9.2700111412744882E-2</v>
      </c>
      <c r="P1113" s="4">
        <f t="shared" si="138"/>
        <v>8.0000000000000071E-3</v>
      </c>
      <c r="Q1113" s="4">
        <f t="shared" si="139"/>
        <v>-8.2249999999999962E-3</v>
      </c>
      <c r="R1113" s="66">
        <f t="shared" si="140"/>
        <v>5.5863291854316996E-3</v>
      </c>
      <c r="S1113" s="66">
        <f t="shared" si="141"/>
        <v>-9.2700111412744882E-2</v>
      </c>
      <c r="T1113" s="50">
        <f t="shared" si="142"/>
        <v>1</v>
      </c>
      <c r="U1113" s="50" t="str">
        <f t="shared" si="143"/>
        <v/>
      </c>
    </row>
    <row r="1114" spans="1:21" x14ac:dyDescent="0.2">
      <c r="A1114" s="38">
        <v>39688</v>
      </c>
      <c r="B1114" s="4">
        <v>0.30680000000000002</v>
      </c>
      <c r="C1114" s="4">
        <v>0.23860000000000001</v>
      </c>
      <c r="D1114" s="4">
        <v>0.45450000000000002</v>
      </c>
      <c r="E1114" s="50">
        <v>0.99990000000000001</v>
      </c>
      <c r="F1114" s="50">
        <v>0.33779999999999999</v>
      </c>
      <c r="G1114" s="50">
        <v>-0.1477</v>
      </c>
      <c r="H1114" s="50">
        <v>0.38490743662900001</v>
      </c>
      <c r="I1114" s="50">
        <v>0.48829287047999997</v>
      </c>
      <c r="J1114" s="50">
        <v>0.28152200277799999</v>
      </c>
      <c r="K1114" s="50">
        <v>1291.7</v>
      </c>
      <c r="L1114" s="50">
        <v>1283.79</v>
      </c>
      <c r="M1114" s="50">
        <v>1281.6600000000001</v>
      </c>
      <c r="N1114" s="66">
        <f t="shared" si="136"/>
        <v>-5.2119906995615559E-3</v>
      </c>
      <c r="O1114" s="66">
        <f t="shared" si="137"/>
        <v>-7.4739010345957729E-2</v>
      </c>
      <c r="P1114" s="4">
        <f t="shared" si="138"/>
        <v>-0.1477</v>
      </c>
      <c r="Q1114" s="4">
        <f t="shared" si="139"/>
        <v>-4.2200000000000001E-2</v>
      </c>
      <c r="R1114" s="66">
        <f t="shared" si="140"/>
        <v>-5.2119906995615559E-3</v>
      </c>
      <c r="S1114" s="66">
        <f t="shared" si="141"/>
        <v>-7.4739010345957729E-2</v>
      </c>
      <c r="T1114" s="50" t="str">
        <f t="shared" si="142"/>
        <v/>
      </c>
      <c r="U1114" s="50" t="str">
        <f t="shared" si="143"/>
        <v/>
      </c>
    </row>
    <row r="1115" spans="1:21" x14ac:dyDescent="0.2">
      <c r="A1115" s="38">
        <v>39695</v>
      </c>
      <c r="B1115" s="4">
        <v>0.37040000000000001</v>
      </c>
      <c r="C1115" s="4">
        <v>0.19750000000000001</v>
      </c>
      <c r="D1115" s="4">
        <v>0.43209999999999998</v>
      </c>
      <c r="E1115" s="50">
        <v>1</v>
      </c>
      <c r="F1115" s="50">
        <v>0.35638750000000002</v>
      </c>
      <c r="G1115" s="50">
        <v>-6.1699999999999998E-2</v>
      </c>
      <c r="H1115" s="50">
        <v>0.38490743662900001</v>
      </c>
      <c r="I1115" s="50">
        <v>0.48829287047999997</v>
      </c>
      <c r="J1115" s="50">
        <v>0.28152200277799999</v>
      </c>
      <c r="K1115" s="50">
        <v>1271.8</v>
      </c>
      <c r="L1115" s="50">
        <v>1253.1199999999999</v>
      </c>
      <c r="M1115" s="50">
        <v>1274.98</v>
      </c>
      <c r="N1115" s="66">
        <f t="shared" si="136"/>
        <v>-3.3678959669955648E-2</v>
      </c>
      <c r="O1115" s="66">
        <f t="shared" si="137"/>
        <v>-8.9350421183077441E-2</v>
      </c>
      <c r="P1115" s="4">
        <f t="shared" si="138"/>
        <v>-6.1699999999999977E-2</v>
      </c>
      <c r="Q1115" s="4">
        <f t="shared" si="139"/>
        <v>-4.0599999999999997E-2</v>
      </c>
      <c r="R1115" s="66">
        <f t="shared" si="140"/>
        <v>-3.3678959669955648E-2</v>
      </c>
      <c r="S1115" s="66">
        <f t="shared" si="141"/>
        <v>-8.9350421183077441E-2</v>
      </c>
      <c r="T1115" s="50" t="str">
        <f t="shared" si="142"/>
        <v/>
      </c>
      <c r="U1115" s="50" t="str">
        <f t="shared" si="143"/>
        <v/>
      </c>
    </row>
    <row r="1116" spans="1:21" x14ac:dyDescent="0.2">
      <c r="A1116" s="38">
        <v>39702</v>
      </c>
      <c r="B1116" s="4">
        <v>0.29270000000000002</v>
      </c>
      <c r="C1116" s="4">
        <v>0.1585</v>
      </c>
      <c r="D1116" s="4">
        <v>0.54879999999999995</v>
      </c>
      <c r="E1116" s="50">
        <v>1</v>
      </c>
      <c r="F1116" s="50">
        <v>0.36172500000000002</v>
      </c>
      <c r="G1116" s="50">
        <v>-0.25609999999999999</v>
      </c>
      <c r="H1116" s="50">
        <v>0.38490743662900001</v>
      </c>
      <c r="I1116" s="50">
        <v>0.48829287047999997</v>
      </c>
      <c r="J1116" s="50">
        <v>0.28152200277799999</v>
      </c>
      <c r="K1116" s="50">
        <v>1274.6600000000001</v>
      </c>
      <c r="L1116" s="50">
        <v>1221.73</v>
      </c>
      <c r="M1116" s="50">
        <v>1232.04</v>
      </c>
      <c r="N1116" s="66">
        <f t="shared" si="136"/>
        <v>-6.1402227200415459E-2</v>
      </c>
      <c r="O1116" s="66">
        <f t="shared" si="137"/>
        <v>-0.20056167007564682</v>
      </c>
      <c r="P1116" s="4">
        <f t="shared" si="138"/>
        <v>-0.25609999999999994</v>
      </c>
      <c r="Q1116" s="4">
        <f t="shared" si="139"/>
        <v>-0.11437499999999998</v>
      </c>
      <c r="R1116" s="66">
        <f t="shared" si="140"/>
        <v>-6.1402227200415459E-2</v>
      </c>
      <c r="S1116" s="66">
        <f t="shared" si="141"/>
        <v>-0.20056167007564682</v>
      </c>
      <c r="T1116" s="50" t="str">
        <f t="shared" si="142"/>
        <v/>
      </c>
      <c r="U1116" s="50" t="str">
        <f t="shared" si="143"/>
        <v/>
      </c>
    </row>
    <row r="1117" spans="1:21" x14ac:dyDescent="0.2">
      <c r="A1117" s="38">
        <v>39709</v>
      </c>
      <c r="B1117" s="4">
        <v>0.27210000000000001</v>
      </c>
      <c r="C1117" s="4">
        <v>0.1837</v>
      </c>
      <c r="D1117" s="4">
        <v>0.54420000000000002</v>
      </c>
      <c r="E1117" s="50">
        <v>1</v>
      </c>
      <c r="F1117" s="50">
        <v>0.35096250000000001</v>
      </c>
      <c r="G1117" s="50">
        <v>-0.27210000000000001</v>
      </c>
      <c r="H1117" s="50">
        <v>0.38490743662900001</v>
      </c>
      <c r="I1117" s="50">
        <v>0.48829287047999997</v>
      </c>
      <c r="J1117" s="50">
        <v>0.28152200277799999</v>
      </c>
      <c r="K1117" s="50">
        <v>1184.22</v>
      </c>
      <c r="L1117" s="50">
        <v>1157.08</v>
      </c>
      <c r="M1117" s="50">
        <v>1156.3900000000001</v>
      </c>
      <c r="N1117" s="66">
        <f t="shared" si="136"/>
        <v>2.549312948053839E-2</v>
      </c>
      <c r="O1117" s="66">
        <f t="shared" si="137"/>
        <v>-0.21493613746227488</v>
      </c>
      <c r="P1117" s="4">
        <f t="shared" si="138"/>
        <v>-0.27210000000000001</v>
      </c>
      <c r="Q1117" s="4">
        <f t="shared" si="139"/>
        <v>-0.18439999999999998</v>
      </c>
      <c r="R1117" s="66">
        <f t="shared" si="140"/>
        <v>2.549312948053839E-2</v>
      </c>
      <c r="S1117" s="66">
        <f t="shared" si="141"/>
        <v>-0.21493613746227488</v>
      </c>
      <c r="T1117" s="50">
        <f t="shared" si="142"/>
        <v>1</v>
      </c>
      <c r="U1117" s="50" t="str">
        <f t="shared" si="143"/>
        <v/>
      </c>
    </row>
    <row r="1118" spans="1:21" x14ac:dyDescent="0.2">
      <c r="A1118" s="38">
        <v>39716</v>
      </c>
      <c r="B1118" s="4">
        <v>0.34039999999999998</v>
      </c>
      <c r="C1118" s="4">
        <v>0.2021</v>
      </c>
      <c r="D1118" s="4">
        <v>0.45739999999999997</v>
      </c>
      <c r="E1118" s="50">
        <v>0.99990000000000001</v>
      </c>
      <c r="F1118" s="50">
        <v>0.3435125</v>
      </c>
      <c r="G1118" s="50">
        <v>-0.11700000000000001</v>
      </c>
      <c r="H1118" s="50">
        <v>0.38490743662900001</v>
      </c>
      <c r="I1118" s="50">
        <v>0.48829287047999997</v>
      </c>
      <c r="J1118" s="50">
        <v>0.28152200277799999</v>
      </c>
      <c r="K1118" s="50">
        <v>1212.77</v>
      </c>
      <c r="L1118" s="50">
        <v>1187.8699999999999</v>
      </c>
      <c r="M1118" s="50">
        <v>1185.8699999999999</v>
      </c>
      <c r="N1118" s="66">
        <f t="shared" si="136"/>
        <v>-2.0921348883098441E-2</v>
      </c>
      <c r="O1118" s="66">
        <f t="shared" si="137"/>
        <v>-0.2437788290453422</v>
      </c>
      <c r="P1118" s="4">
        <f t="shared" si="138"/>
        <v>-0.11699999999999999</v>
      </c>
      <c r="Q1118" s="4">
        <f t="shared" si="139"/>
        <v>-0.17672499999999997</v>
      </c>
      <c r="R1118" s="66">
        <f t="shared" si="140"/>
        <v>-2.0921348883098441E-2</v>
      </c>
      <c r="S1118" s="66">
        <f t="shared" si="141"/>
        <v>-0.2437788290453422</v>
      </c>
      <c r="T1118" s="50" t="str">
        <f t="shared" si="142"/>
        <v/>
      </c>
      <c r="U1118" s="50" t="str">
        <f t="shared" si="143"/>
        <v/>
      </c>
    </row>
    <row r="1119" spans="1:21" x14ac:dyDescent="0.2">
      <c r="A1119" s="38">
        <v>39723</v>
      </c>
      <c r="B1119" s="4">
        <v>0.33329999999999999</v>
      </c>
      <c r="C1119" s="4">
        <v>0.1167</v>
      </c>
      <c r="D1119" s="4">
        <v>0.55000000000000004</v>
      </c>
      <c r="E1119" s="50">
        <v>1</v>
      </c>
      <c r="F1119" s="50">
        <v>0.34066249999999998</v>
      </c>
      <c r="G1119" s="50">
        <v>-0.2167</v>
      </c>
      <c r="H1119" s="50">
        <v>0.38490743662900001</v>
      </c>
      <c r="I1119" s="50">
        <v>0.48829287047999997</v>
      </c>
      <c r="J1119" s="50">
        <v>0.28152200277799999</v>
      </c>
      <c r="K1119" s="50">
        <v>1160.6400000000001</v>
      </c>
      <c r="L1119" s="50">
        <v>1132.46</v>
      </c>
      <c r="M1119" s="50">
        <v>1161.06</v>
      </c>
      <c r="N1119" s="66">
        <f t="shared" si="136"/>
        <v>-0.15168897386870608</v>
      </c>
      <c r="O1119" s="66">
        <f t="shared" si="137"/>
        <v>-0.19893028784042163</v>
      </c>
      <c r="P1119" s="4">
        <f t="shared" si="138"/>
        <v>-0.21670000000000006</v>
      </c>
      <c r="Q1119" s="4">
        <f t="shared" si="139"/>
        <v>-0.21547500000000003</v>
      </c>
      <c r="R1119" s="66">
        <f t="shared" si="140"/>
        <v>-0.15168897386870608</v>
      </c>
      <c r="S1119" s="66">
        <f t="shared" si="141"/>
        <v>-0.19893028784042163</v>
      </c>
      <c r="T1119" s="50" t="str">
        <f t="shared" si="142"/>
        <v/>
      </c>
      <c r="U1119" s="50" t="str">
        <f t="shared" si="143"/>
        <v/>
      </c>
    </row>
    <row r="1120" spans="1:21" x14ac:dyDescent="0.2">
      <c r="A1120" s="38">
        <v>39730</v>
      </c>
      <c r="B1120" s="4">
        <v>0.31469999999999998</v>
      </c>
      <c r="C1120" s="4">
        <v>7.6899999999999996E-2</v>
      </c>
      <c r="D1120" s="4">
        <v>0.60840000000000005</v>
      </c>
      <c r="E1120" s="50">
        <v>1</v>
      </c>
      <c r="F1120" s="50">
        <v>0.32642500000000002</v>
      </c>
      <c r="G1120" s="50">
        <v>-0.29370000000000002</v>
      </c>
      <c r="H1120" s="50">
        <v>0.38490743662900001</v>
      </c>
      <c r="I1120" s="50">
        <v>0.48829287047999997</v>
      </c>
      <c r="J1120" s="50">
        <v>0.28152200277799999</v>
      </c>
      <c r="K1120" s="50">
        <v>1005.25</v>
      </c>
      <c r="L1120" s="50">
        <v>986.53</v>
      </c>
      <c r="M1120" s="50">
        <v>984.94</v>
      </c>
      <c r="N1120" s="66">
        <f t="shared" si="136"/>
        <v>-7.8278879931772516E-2</v>
      </c>
      <c r="O1120" s="66">
        <f t="shared" si="137"/>
        <v>-3.266188803378893E-2</v>
      </c>
      <c r="P1120" s="4">
        <f t="shared" si="138"/>
        <v>-0.29370000000000007</v>
      </c>
      <c r="Q1120" s="4">
        <f t="shared" si="139"/>
        <v>-0.22487500000000005</v>
      </c>
      <c r="R1120" s="66">
        <f t="shared" si="140"/>
        <v>-7.8278879931772516E-2</v>
      </c>
      <c r="S1120" s="66">
        <f t="shared" si="141"/>
        <v>-3.266188803378893E-2</v>
      </c>
      <c r="T1120" s="50" t="str">
        <f t="shared" si="142"/>
        <v/>
      </c>
      <c r="U1120" s="50" t="str">
        <f t="shared" si="143"/>
        <v/>
      </c>
    </row>
    <row r="1121" spans="1:21" x14ac:dyDescent="0.2">
      <c r="A1121" s="38">
        <v>39737</v>
      </c>
      <c r="B1121" s="4">
        <v>0.40939999999999999</v>
      </c>
      <c r="C1121" s="4">
        <v>0.193</v>
      </c>
      <c r="D1121" s="4">
        <v>0.3977</v>
      </c>
      <c r="E1121" s="50">
        <v>1.0001</v>
      </c>
      <c r="F1121" s="50">
        <v>0.32997500000000002</v>
      </c>
      <c r="G1121" s="50">
        <v>1.17E-2</v>
      </c>
      <c r="H1121" s="50">
        <v>0.38490743662900001</v>
      </c>
      <c r="I1121" s="50">
        <v>0.48829287047999997</v>
      </c>
      <c r="J1121" s="50">
        <v>0.28152200277799999</v>
      </c>
      <c r="K1121" s="50">
        <v>924.87</v>
      </c>
      <c r="L1121" s="50">
        <v>888.17</v>
      </c>
      <c r="M1121" s="50">
        <v>907.84</v>
      </c>
      <c r="N1121" s="66">
        <f t="shared" si="136"/>
        <v>-1.2182763482552057E-2</v>
      </c>
      <c r="O1121" s="66">
        <f t="shared" si="137"/>
        <v>-6.1178181177300048E-2</v>
      </c>
      <c r="P1121" s="4">
        <f t="shared" si="138"/>
        <v>1.1699999999999988E-2</v>
      </c>
      <c r="Q1121" s="4">
        <f t="shared" si="139"/>
        <v>-0.15392500000000003</v>
      </c>
      <c r="R1121" s="66">
        <f t="shared" si="140"/>
        <v>-1.2182763482552057E-2</v>
      </c>
      <c r="S1121" s="66">
        <f t="shared" si="141"/>
        <v>-6.1178181177300048E-2</v>
      </c>
      <c r="T1121" s="50" t="str">
        <f t="shared" si="142"/>
        <v/>
      </c>
      <c r="U1121" s="50" t="str">
        <f t="shared" si="143"/>
        <v/>
      </c>
    </row>
    <row r="1122" spans="1:21" x14ac:dyDescent="0.2">
      <c r="A1122" s="38">
        <v>39744</v>
      </c>
      <c r="B1122" s="4">
        <v>0.38740000000000002</v>
      </c>
      <c r="C1122" s="4">
        <v>0.22520000000000001</v>
      </c>
      <c r="D1122" s="4">
        <v>0.38740000000000002</v>
      </c>
      <c r="E1122" s="50">
        <v>1</v>
      </c>
      <c r="F1122" s="50">
        <v>0.34005000000000002</v>
      </c>
      <c r="G1122" s="50">
        <v>0</v>
      </c>
      <c r="H1122" s="50">
        <v>0.38490743662900001</v>
      </c>
      <c r="I1122" s="50">
        <v>0.48829287047999997</v>
      </c>
      <c r="J1122" s="50">
        <v>0.28152200277799999</v>
      </c>
      <c r="K1122" s="50">
        <v>909.8</v>
      </c>
      <c r="L1122" s="50">
        <v>883.8</v>
      </c>
      <c r="M1122" s="50">
        <v>896.78</v>
      </c>
      <c r="N1122" s="66">
        <f t="shared" si="136"/>
        <v>3.7144004103570619E-2</v>
      </c>
      <c r="O1122" s="66">
        <f t="shared" si="137"/>
        <v>-0.10058208256205528</v>
      </c>
      <c r="P1122" s="4">
        <f t="shared" si="138"/>
        <v>0</v>
      </c>
      <c r="Q1122" s="4">
        <f t="shared" si="139"/>
        <v>-0.12467500000000005</v>
      </c>
      <c r="R1122" s="66">
        <f t="shared" si="140"/>
        <v>3.7144004103570619E-2</v>
      </c>
      <c r="S1122" s="66">
        <f t="shared" si="141"/>
        <v>-0.10058208256205528</v>
      </c>
      <c r="T1122" s="50">
        <f t="shared" si="142"/>
        <v>1</v>
      </c>
      <c r="U1122" s="50" t="str">
        <f t="shared" si="143"/>
        <v/>
      </c>
    </row>
    <row r="1123" spans="1:21" x14ac:dyDescent="0.2">
      <c r="A1123" s="38">
        <v>39751</v>
      </c>
      <c r="B1123" s="4">
        <v>0.37140000000000001</v>
      </c>
      <c r="C1123" s="4">
        <v>0.22289999999999999</v>
      </c>
      <c r="D1123" s="4">
        <v>0.40570000000000001</v>
      </c>
      <c r="E1123" s="50">
        <v>1</v>
      </c>
      <c r="F1123" s="50">
        <v>0.34017500000000001</v>
      </c>
      <c r="G1123" s="50">
        <v>-3.4299999999999997E-2</v>
      </c>
      <c r="H1123" s="50">
        <v>0.38490743662900001</v>
      </c>
      <c r="I1123" s="50">
        <v>0.48829287047999997</v>
      </c>
      <c r="J1123" s="50">
        <v>0.28152200277799999</v>
      </c>
      <c r="K1123" s="50">
        <v>963.23</v>
      </c>
      <c r="L1123" s="50">
        <v>939.38</v>
      </c>
      <c r="M1123" s="50">
        <v>930.09</v>
      </c>
      <c r="N1123" s="66">
        <f t="shared" si="136"/>
        <v>2.4384736960939211E-2</v>
      </c>
      <c r="O1123" s="66">
        <f t="shared" si="137"/>
        <v>-4.559773785332611E-2</v>
      </c>
      <c r="P1123" s="4">
        <f t="shared" si="138"/>
        <v>-3.4299999999999997E-2</v>
      </c>
      <c r="Q1123" s="4">
        <f t="shared" si="139"/>
        <v>-7.907500000000002E-2</v>
      </c>
      <c r="R1123" s="66">
        <f t="shared" si="140"/>
        <v>2.4384736960939211E-2</v>
      </c>
      <c r="S1123" s="66">
        <f t="shared" si="141"/>
        <v>-4.559773785332611E-2</v>
      </c>
      <c r="T1123" s="50">
        <f t="shared" si="142"/>
        <v>1</v>
      </c>
      <c r="U1123" s="50" t="str">
        <f t="shared" si="143"/>
        <v/>
      </c>
    </row>
    <row r="1124" spans="1:21" x14ac:dyDescent="0.2">
      <c r="A1124" s="38">
        <v>39758</v>
      </c>
      <c r="B1124" s="4">
        <v>0.44829999999999998</v>
      </c>
      <c r="C1124" s="4">
        <v>0.21840000000000001</v>
      </c>
      <c r="D1124" s="4">
        <v>0.33329999999999999</v>
      </c>
      <c r="E1124" s="50">
        <v>1</v>
      </c>
      <c r="F1124" s="50">
        <v>0.35962499999999997</v>
      </c>
      <c r="G1124" s="50">
        <v>0.115</v>
      </c>
      <c r="H1124" s="50">
        <v>0.38490743662900001</v>
      </c>
      <c r="I1124" s="50">
        <v>0.48829287047999997</v>
      </c>
      <c r="J1124" s="50">
        <v>0.28152200277799999</v>
      </c>
      <c r="K1124" s="50">
        <v>952.4</v>
      </c>
      <c r="L1124" s="50">
        <v>934.13</v>
      </c>
      <c r="M1124" s="50">
        <v>952.77</v>
      </c>
      <c r="N1124" s="66">
        <f t="shared" si="136"/>
        <v>-0.10545042350199946</v>
      </c>
      <c r="O1124" s="66">
        <f t="shared" si="137"/>
        <v>-8.6096329649338221E-2</v>
      </c>
      <c r="P1124" s="4">
        <f t="shared" si="138"/>
        <v>0.11499999999999999</v>
      </c>
      <c r="Q1124" s="4">
        <f t="shared" si="139"/>
        <v>2.3099999999999996E-2</v>
      </c>
      <c r="R1124" s="66">
        <f t="shared" si="140"/>
        <v>-0.10545042350199946</v>
      </c>
      <c r="S1124" s="66">
        <f t="shared" si="141"/>
        <v>-8.6096329649338221E-2</v>
      </c>
      <c r="T1124" s="50" t="str">
        <f t="shared" si="142"/>
        <v/>
      </c>
      <c r="U1124" s="50" t="str">
        <f t="shared" si="143"/>
        <v/>
      </c>
    </row>
    <row r="1125" spans="1:21" x14ac:dyDescent="0.2">
      <c r="A1125" s="38">
        <v>39765</v>
      </c>
      <c r="B1125" s="4">
        <v>0.38329999999999997</v>
      </c>
      <c r="C1125" s="4">
        <v>0.19170000000000001</v>
      </c>
      <c r="D1125" s="4">
        <v>0.42499999999999999</v>
      </c>
      <c r="E1125" s="50">
        <v>1</v>
      </c>
      <c r="F1125" s="50">
        <v>0.373525</v>
      </c>
      <c r="G1125" s="50">
        <v>-4.1700000000000001E-2</v>
      </c>
      <c r="H1125" s="50">
        <v>0.38490743662900001</v>
      </c>
      <c r="I1125" s="50">
        <v>0.48829287047999997</v>
      </c>
      <c r="J1125" s="50">
        <v>0.28152200277799999</v>
      </c>
      <c r="K1125" s="50">
        <v>865.07</v>
      </c>
      <c r="L1125" s="50">
        <v>847.4</v>
      </c>
      <c r="M1125" s="50">
        <v>852.3</v>
      </c>
      <c r="N1125" s="66">
        <f t="shared" si="136"/>
        <v>-5.3643083421330416E-2</v>
      </c>
      <c r="O1125" s="66">
        <f t="shared" si="137"/>
        <v>5.507450428252969E-2</v>
      </c>
      <c r="P1125" s="4">
        <f t="shared" si="138"/>
        <v>-4.1700000000000015E-2</v>
      </c>
      <c r="Q1125" s="4">
        <f t="shared" si="139"/>
        <v>9.7499999999999948E-3</v>
      </c>
      <c r="R1125" s="66">
        <f t="shared" si="140"/>
        <v>-5.3643083421330416E-2</v>
      </c>
      <c r="S1125" s="66">
        <f t="shared" si="141"/>
        <v>5.507450428252969E-2</v>
      </c>
      <c r="T1125" s="50" t="str">
        <f t="shared" si="142"/>
        <v/>
      </c>
      <c r="U1125" s="50">
        <f t="shared" si="143"/>
        <v>1</v>
      </c>
    </row>
    <row r="1126" spans="1:21" x14ac:dyDescent="0.2">
      <c r="A1126" s="38">
        <v>39772</v>
      </c>
      <c r="B1126" s="4">
        <v>0.2437</v>
      </c>
      <c r="C1126" s="4">
        <v>0.18490000000000001</v>
      </c>
      <c r="D1126" s="4">
        <v>0.57140000000000002</v>
      </c>
      <c r="E1126" s="50">
        <v>1</v>
      </c>
      <c r="F1126" s="50">
        <v>0.36143750000000002</v>
      </c>
      <c r="G1126" s="50">
        <v>-0.32769999999999999</v>
      </c>
      <c r="H1126" s="50">
        <v>0.38490743662900001</v>
      </c>
      <c r="I1126" s="50">
        <v>0.48829287047999997</v>
      </c>
      <c r="J1126" s="50">
        <v>0.28152200277799999</v>
      </c>
      <c r="K1126" s="50">
        <v>805.87</v>
      </c>
      <c r="L1126" s="50">
        <v>776.79</v>
      </c>
      <c r="M1126" s="50">
        <v>806.58</v>
      </c>
      <c r="N1126" s="66">
        <f t="shared" si="136"/>
        <v>0.10054799275955256</v>
      </c>
      <c r="O1126" s="66">
        <f t="shared" si="137"/>
        <v>0.12130228867564273</v>
      </c>
      <c r="P1126" s="4">
        <f t="shared" si="138"/>
        <v>-0.32769999999999999</v>
      </c>
      <c r="Q1126" s="4">
        <f t="shared" si="139"/>
        <v>-7.2175000000000003E-2</v>
      </c>
      <c r="R1126" s="66">
        <f t="shared" si="140"/>
        <v>0.10054799275955256</v>
      </c>
      <c r="S1126" s="66">
        <f t="shared" si="141"/>
        <v>0.12130228867564273</v>
      </c>
      <c r="T1126" s="50">
        <f t="shared" si="142"/>
        <v>1</v>
      </c>
      <c r="U1126" s="50">
        <f t="shared" si="143"/>
        <v>1</v>
      </c>
    </row>
    <row r="1127" spans="1:21" x14ac:dyDescent="0.2">
      <c r="A1127" s="38">
        <v>39779</v>
      </c>
      <c r="B1127" s="4">
        <v>0.3125</v>
      </c>
      <c r="C1127" s="4">
        <v>0.23860000000000001</v>
      </c>
      <c r="D1127" s="4">
        <v>0.44890000000000002</v>
      </c>
      <c r="E1127" s="50">
        <v>1</v>
      </c>
      <c r="F1127" s="50">
        <v>0.35883749999999998</v>
      </c>
      <c r="G1127" s="50">
        <v>-0.13639999999999999</v>
      </c>
      <c r="H1127" s="50">
        <v>0.38490743662900001</v>
      </c>
      <c r="I1127" s="50">
        <v>0.48829287047999997</v>
      </c>
      <c r="J1127" s="50">
        <v>0.28152200277799999</v>
      </c>
      <c r="K1127" s="50">
        <v>896.25</v>
      </c>
      <c r="L1127" s="50">
        <v>881.21</v>
      </c>
      <c r="M1127" s="50">
        <v>887.68</v>
      </c>
      <c r="N1127" s="66">
        <f t="shared" si="136"/>
        <v>-1.9083453496755522E-2</v>
      </c>
      <c r="O1127" s="66">
        <f t="shared" si="137"/>
        <v>-1.6762797404470075E-2</v>
      </c>
      <c r="P1127" s="4">
        <f t="shared" si="138"/>
        <v>-0.13640000000000002</v>
      </c>
      <c r="Q1127" s="4">
        <f t="shared" si="139"/>
        <v>-9.7700000000000009E-2</v>
      </c>
      <c r="R1127" s="66">
        <f t="shared" si="140"/>
        <v>-1.9083453496755522E-2</v>
      </c>
      <c r="S1127" s="66">
        <f t="shared" si="141"/>
        <v>-1.6762797404470075E-2</v>
      </c>
      <c r="T1127" s="50" t="str">
        <f t="shared" si="142"/>
        <v/>
      </c>
      <c r="U1127" s="50" t="str">
        <f t="shared" si="143"/>
        <v/>
      </c>
    </row>
    <row r="1128" spans="1:21" x14ac:dyDescent="0.2">
      <c r="A1128" s="38">
        <v>39786</v>
      </c>
      <c r="B1128" s="4">
        <v>0.26669999999999999</v>
      </c>
      <c r="C1128" s="4">
        <v>0.25559999999999999</v>
      </c>
      <c r="D1128" s="4">
        <v>0.4778</v>
      </c>
      <c r="E1128" s="50">
        <v>1.0001</v>
      </c>
      <c r="F1128" s="50">
        <v>0.35283750000000003</v>
      </c>
      <c r="G1128" s="50">
        <v>-0.21110000000000001</v>
      </c>
      <c r="H1128" s="50">
        <v>0.38490743662900001</v>
      </c>
      <c r="I1128" s="50">
        <v>0.48829287047999997</v>
      </c>
      <c r="J1128" s="50">
        <v>0.28152200277799999</v>
      </c>
      <c r="K1128" s="50">
        <v>872.89</v>
      </c>
      <c r="L1128" s="50">
        <v>858.55</v>
      </c>
      <c r="M1128" s="50">
        <v>870.74</v>
      </c>
      <c r="N1128" s="66">
        <f t="shared" si="136"/>
        <v>3.2730780715253691E-2</v>
      </c>
      <c r="O1128" s="66">
        <f t="shared" si="137"/>
        <v>3.7336058984312186E-2</v>
      </c>
      <c r="P1128" s="4">
        <f t="shared" si="138"/>
        <v>-0.21110000000000001</v>
      </c>
      <c r="Q1128" s="4">
        <f t="shared" si="139"/>
        <v>-0.17922500000000002</v>
      </c>
      <c r="R1128" s="66">
        <f t="shared" si="140"/>
        <v>3.2730780715253691E-2</v>
      </c>
      <c r="S1128" s="66">
        <f t="shared" si="141"/>
        <v>3.7336058984312186E-2</v>
      </c>
      <c r="T1128" s="50">
        <f t="shared" si="142"/>
        <v>1</v>
      </c>
      <c r="U1128" s="50">
        <f t="shared" si="143"/>
        <v>1</v>
      </c>
    </row>
    <row r="1129" spans="1:21" x14ac:dyDescent="0.2">
      <c r="A1129" s="38">
        <v>39793</v>
      </c>
      <c r="B1129" s="4">
        <v>0.375</v>
      </c>
      <c r="C1129" s="4">
        <v>0.2266</v>
      </c>
      <c r="D1129" s="4">
        <v>0.39839999999999998</v>
      </c>
      <c r="E1129" s="50">
        <v>1</v>
      </c>
      <c r="F1129" s="50">
        <v>0.3485375</v>
      </c>
      <c r="G1129" s="50">
        <v>-2.3400000000000001E-2</v>
      </c>
      <c r="H1129" s="50">
        <v>0.38490743662900001</v>
      </c>
      <c r="I1129" s="50">
        <v>0.48829287047999997</v>
      </c>
      <c r="J1129" s="50">
        <v>0.28152200277799999</v>
      </c>
      <c r="K1129" s="50">
        <v>899.95</v>
      </c>
      <c r="L1129" s="50">
        <v>885.94</v>
      </c>
      <c r="M1129" s="50">
        <v>899.24</v>
      </c>
      <c r="N1129" s="66">
        <f t="shared" si="136"/>
        <v>5.7604199101462901E-3</v>
      </c>
      <c r="O1129" s="66">
        <f t="shared" si="137"/>
        <v>8.2402918019660685E-3</v>
      </c>
      <c r="P1129" s="4">
        <f t="shared" si="138"/>
        <v>-2.3399999999999976E-2</v>
      </c>
      <c r="Q1129" s="4">
        <f t="shared" si="139"/>
        <v>-0.17465</v>
      </c>
      <c r="R1129" s="66">
        <f t="shared" si="140"/>
        <v>5.7604199101462901E-3</v>
      </c>
      <c r="S1129" s="66">
        <f t="shared" si="141"/>
        <v>8.2402918019660685E-3</v>
      </c>
      <c r="T1129" s="50">
        <f t="shared" si="142"/>
        <v>1</v>
      </c>
      <c r="U1129" s="50">
        <f t="shared" si="143"/>
        <v>1</v>
      </c>
    </row>
    <row r="1130" spans="1:21" x14ac:dyDescent="0.2">
      <c r="A1130" s="38">
        <v>39800</v>
      </c>
      <c r="B1130" s="4">
        <v>0.39729999999999999</v>
      </c>
      <c r="C1130" s="4">
        <v>0.24660000000000001</v>
      </c>
      <c r="D1130" s="4">
        <v>0.35620000000000002</v>
      </c>
      <c r="E1130" s="50">
        <v>1.0001</v>
      </c>
      <c r="F1130" s="50">
        <v>0.349775</v>
      </c>
      <c r="G1130" s="50">
        <v>4.1099999999999998E-2</v>
      </c>
      <c r="H1130" s="50">
        <v>0.38490743662900001</v>
      </c>
      <c r="I1130" s="50">
        <v>0.48829287047999997</v>
      </c>
      <c r="J1130" s="50">
        <v>0.28152200277799999</v>
      </c>
      <c r="K1130" s="50">
        <v>910.01</v>
      </c>
      <c r="L1130" s="50">
        <v>900.1</v>
      </c>
      <c r="M1130" s="50">
        <v>904.42</v>
      </c>
      <c r="N1130" s="66">
        <f t="shared" si="136"/>
        <v>-3.4961632869684442E-2</v>
      </c>
      <c r="O1130" s="66">
        <f t="shared" si="137"/>
        <v>-6.8331085115322474E-2</v>
      </c>
      <c r="P1130" s="4">
        <f t="shared" si="138"/>
        <v>4.109999999999997E-2</v>
      </c>
      <c r="Q1130" s="4">
        <f t="shared" si="139"/>
        <v>-8.2450000000000009E-2</v>
      </c>
      <c r="R1130" s="66">
        <f t="shared" si="140"/>
        <v>-3.4961632869684442E-2</v>
      </c>
      <c r="S1130" s="66">
        <f t="shared" si="141"/>
        <v>-6.8331085115322474E-2</v>
      </c>
      <c r="T1130" s="50" t="str">
        <f t="shared" si="142"/>
        <v/>
      </c>
      <c r="U1130" s="50" t="str">
        <f t="shared" si="143"/>
        <v/>
      </c>
    </row>
    <row r="1131" spans="1:21" x14ac:dyDescent="0.2">
      <c r="A1131" s="38">
        <v>39807</v>
      </c>
      <c r="B1131" s="4">
        <v>0.28949999999999998</v>
      </c>
      <c r="C1131" s="4">
        <v>0.27189999999999998</v>
      </c>
      <c r="D1131" s="4">
        <v>0.43859999999999999</v>
      </c>
      <c r="E1131" s="50">
        <v>1</v>
      </c>
      <c r="F1131" s="50">
        <v>0.33953749999999999</v>
      </c>
      <c r="G1131" s="50">
        <v>-0.14910000000000001</v>
      </c>
      <c r="H1131" s="50">
        <v>0.38490743662900001</v>
      </c>
      <c r="I1131" s="50">
        <v>0.48829287047999997</v>
      </c>
      <c r="J1131" s="50">
        <v>0.28152200277799999</v>
      </c>
      <c r="K1131" s="50">
        <v>873.7</v>
      </c>
      <c r="L1131" s="50">
        <v>868.5</v>
      </c>
      <c r="M1131" s="50">
        <v>872.8</v>
      </c>
      <c r="N1131" s="66">
        <f t="shared" si="136"/>
        <v>3.4887717690192541E-2</v>
      </c>
      <c r="O1131" s="66">
        <f t="shared" si="137"/>
        <v>-3.7305224564619557E-2</v>
      </c>
      <c r="P1131" s="4">
        <f t="shared" si="138"/>
        <v>-0.14910000000000001</v>
      </c>
      <c r="Q1131" s="4">
        <f t="shared" si="139"/>
        <v>-8.5625000000000007E-2</v>
      </c>
      <c r="R1131" s="66">
        <f t="shared" si="140"/>
        <v>3.4887717690192541E-2</v>
      </c>
      <c r="S1131" s="66">
        <f t="shared" si="141"/>
        <v>-3.7305224564619557E-2</v>
      </c>
      <c r="T1131" s="50">
        <f t="shared" si="142"/>
        <v>1</v>
      </c>
      <c r="U1131" s="50" t="str">
        <f t="shared" si="143"/>
        <v/>
      </c>
    </row>
    <row r="1132" spans="1:21" x14ac:dyDescent="0.2">
      <c r="A1132" s="38">
        <v>39814</v>
      </c>
      <c r="B1132" s="4">
        <v>0.24</v>
      </c>
      <c r="C1132" s="4">
        <v>0.21329999999999999</v>
      </c>
      <c r="D1132" s="4">
        <v>0.54669999999999996</v>
      </c>
      <c r="E1132" s="50">
        <v>1</v>
      </c>
      <c r="F1132" s="50">
        <v>0.3135</v>
      </c>
      <c r="G1132" s="50">
        <v>-0.30669999999999997</v>
      </c>
      <c r="H1132" s="50">
        <v>0.38490743662900001</v>
      </c>
      <c r="I1132" s="50">
        <v>0.48829287047999997</v>
      </c>
      <c r="J1132" s="50">
        <v>0.28152200277799999</v>
      </c>
      <c r="K1132" s="50">
        <v>934.73</v>
      </c>
      <c r="L1132" s="50">
        <v>899.35</v>
      </c>
      <c r="M1132" s="50">
        <v>903.25</v>
      </c>
      <c r="N1132" s="66">
        <f t="shared" si="136"/>
        <v>3.764184887904763E-3</v>
      </c>
      <c r="O1132" s="66">
        <f t="shared" si="137"/>
        <v>-3.2283420979795148E-2</v>
      </c>
      <c r="P1132" s="4">
        <f t="shared" si="138"/>
        <v>-0.30669999999999997</v>
      </c>
      <c r="Q1132" s="4">
        <f t="shared" si="139"/>
        <v>-0.109525</v>
      </c>
      <c r="R1132" s="66">
        <f t="shared" si="140"/>
        <v>3.764184887904763E-3</v>
      </c>
      <c r="S1132" s="66">
        <f t="shared" si="141"/>
        <v>-3.2283420979795148E-2</v>
      </c>
      <c r="T1132" s="50">
        <f t="shared" si="142"/>
        <v>1</v>
      </c>
      <c r="U1132" s="50" t="str">
        <f t="shared" si="143"/>
        <v/>
      </c>
    </row>
    <row r="1133" spans="1:21" x14ac:dyDescent="0.2">
      <c r="A1133" s="38">
        <v>39821</v>
      </c>
      <c r="B1133" s="4">
        <v>0.48699999999999999</v>
      </c>
      <c r="C1133" s="4">
        <v>0.1623</v>
      </c>
      <c r="D1133" s="4">
        <v>0.35060000000000002</v>
      </c>
      <c r="E1133" s="50">
        <v>0.99990000000000001</v>
      </c>
      <c r="F1133" s="50">
        <v>0.32646249999999999</v>
      </c>
      <c r="G1133" s="50">
        <v>0.13639999999999999</v>
      </c>
      <c r="H1133" s="50">
        <v>0.38490743662900001</v>
      </c>
      <c r="I1133" s="50">
        <v>0.48829287047999997</v>
      </c>
      <c r="J1133" s="50">
        <v>0.28152200277799999</v>
      </c>
      <c r="K1133" s="50">
        <v>907.64</v>
      </c>
      <c r="L1133" s="50">
        <v>896.81</v>
      </c>
      <c r="M1133" s="50">
        <v>906.65</v>
      </c>
      <c r="N1133" s="66">
        <f t="shared" si="136"/>
        <v>-7.0622621739370187E-2</v>
      </c>
      <c r="O1133" s="66">
        <f t="shared" si="137"/>
        <v>-8.2082391220426806E-2</v>
      </c>
      <c r="P1133" s="4">
        <f t="shared" si="138"/>
        <v>0.13639999999999997</v>
      </c>
      <c r="Q1133" s="4">
        <f t="shared" si="139"/>
        <v>-6.9575000000000012E-2</v>
      </c>
      <c r="R1133" s="66">
        <f t="shared" si="140"/>
        <v>-7.0622621739370187E-2</v>
      </c>
      <c r="S1133" s="66">
        <f t="shared" si="141"/>
        <v>-8.2082391220426806E-2</v>
      </c>
      <c r="T1133" s="50" t="str">
        <f t="shared" si="142"/>
        <v/>
      </c>
      <c r="U1133" s="50" t="str">
        <f t="shared" si="143"/>
        <v/>
      </c>
    </row>
    <row r="1134" spans="1:21" x14ac:dyDescent="0.2">
      <c r="A1134" s="38">
        <v>39828</v>
      </c>
      <c r="B1134" s="4">
        <v>0.27629999999999999</v>
      </c>
      <c r="C1134" s="4">
        <v>0.25</v>
      </c>
      <c r="D1134" s="4">
        <v>0.47370000000000001</v>
      </c>
      <c r="E1134" s="50">
        <v>1</v>
      </c>
      <c r="F1134" s="50">
        <v>0.33053749999999998</v>
      </c>
      <c r="G1134" s="50">
        <v>-0.19739999999999999</v>
      </c>
      <c r="H1134" s="50">
        <v>0.38490743662900001</v>
      </c>
      <c r="I1134" s="50">
        <v>0.48829287047999997</v>
      </c>
      <c r="J1134" s="50">
        <v>0.28152200277799999</v>
      </c>
      <c r="K1134" s="50">
        <v>842.05</v>
      </c>
      <c r="L1134" s="50">
        <v>825.53</v>
      </c>
      <c r="M1134" s="50">
        <v>842.62</v>
      </c>
      <c r="N1134" s="66">
        <f t="shared" si="136"/>
        <v>-2.8245235100045041E-3</v>
      </c>
      <c r="O1134" s="66">
        <f t="shared" si="137"/>
        <v>-1.0538558306235308E-2</v>
      </c>
      <c r="P1134" s="4">
        <f t="shared" si="138"/>
        <v>-0.19740000000000002</v>
      </c>
      <c r="Q1134" s="4">
        <f t="shared" si="139"/>
        <v>-0.12920000000000001</v>
      </c>
      <c r="R1134" s="66">
        <f t="shared" si="140"/>
        <v>-2.8245235100045041E-3</v>
      </c>
      <c r="S1134" s="66">
        <f t="shared" si="141"/>
        <v>-1.0538558306235308E-2</v>
      </c>
      <c r="T1134" s="50" t="str">
        <f t="shared" si="142"/>
        <v/>
      </c>
      <c r="U1134" s="50" t="str">
        <f t="shared" si="143"/>
        <v/>
      </c>
    </row>
    <row r="1135" spans="1:21" x14ac:dyDescent="0.2">
      <c r="A1135" s="38">
        <v>39835</v>
      </c>
      <c r="B1135" s="4">
        <v>0.27210000000000001</v>
      </c>
      <c r="C1135" s="4">
        <v>0.26469999999999999</v>
      </c>
      <c r="D1135" s="4">
        <v>0.4632</v>
      </c>
      <c r="E1135" s="50">
        <v>1</v>
      </c>
      <c r="F1135" s="50">
        <v>0.32548749999999999</v>
      </c>
      <c r="G1135" s="50">
        <v>-0.19109999999999999</v>
      </c>
      <c r="H1135" s="50">
        <v>0.38490743662900001</v>
      </c>
      <c r="I1135" s="50">
        <v>0.48829287047999997</v>
      </c>
      <c r="J1135" s="50">
        <v>0.28152200277799999</v>
      </c>
      <c r="K1135" s="50">
        <v>839.74</v>
      </c>
      <c r="L1135" s="50">
        <v>816.69</v>
      </c>
      <c r="M1135" s="50">
        <v>840.24</v>
      </c>
      <c r="N1135" s="66">
        <f t="shared" si="136"/>
        <v>4.0286108730838835E-2</v>
      </c>
      <c r="O1135" s="66">
        <f t="shared" si="137"/>
        <v>-6.1672855374654917E-2</v>
      </c>
      <c r="P1135" s="4">
        <f t="shared" si="138"/>
        <v>-0.19109999999999999</v>
      </c>
      <c r="Q1135" s="4">
        <f t="shared" si="139"/>
        <v>-0.13969999999999999</v>
      </c>
      <c r="R1135" s="66">
        <f t="shared" si="140"/>
        <v>4.0286108730838835E-2</v>
      </c>
      <c r="S1135" s="66">
        <f t="shared" si="141"/>
        <v>-6.1672855374654917E-2</v>
      </c>
      <c r="T1135" s="50">
        <f t="shared" si="142"/>
        <v>1</v>
      </c>
      <c r="U1135" s="50" t="str">
        <f t="shared" si="143"/>
        <v/>
      </c>
    </row>
    <row r="1136" spans="1:21" x14ac:dyDescent="0.2">
      <c r="A1136" s="38">
        <v>39842</v>
      </c>
      <c r="B1136" s="4">
        <v>0.25269999999999998</v>
      </c>
      <c r="C1136" s="4">
        <v>0.2747</v>
      </c>
      <c r="D1136" s="4">
        <v>0.47249999999999998</v>
      </c>
      <c r="E1136" s="50">
        <v>0.99990000000000001</v>
      </c>
      <c r="F1136" s="50">
        <v>0.32373750000000001</v>
      </c>
      <c r="G1136" s="50">
        <v>-0.2198</v>
      </c>
      <c r="H1136" s="50">
        <v>0.38490743662900001</v>
      </c>
      <c r="I1136" s="50">
        <v>0.48829287047999997</v>
      </c>
      <c r="J1136" s="50">
        <v>0.28152200277799999</v>
      </c>
      <c r="K1136" s="50">
        <v>868.89</v>
      </c>
      <c r="L1136" s="50">
        <v>854.37</v>
      </c>
      <c r="M1136" s="50">
        <v>874.09</v>
      </c>
      <c r="N1136" s="66">
        <f t="shared" si="136"/>
        <v>-4.7889805397613533E-2</v>
      </c>
      <c r="O1136" s="66">
        <f t="shared" si="137"/>
        <v>-0.12491848665469237</v>
      </c>
      <c r="P1136" s="4">
        <f t="shared" si="138"/>
        <v>-0.2198</v>
      </c>
      <c r="Q1136" s="4">
        <f t="shared" si="139"/>
        <v>-0.11797500000000001</v>
      </c>
      <c r="R1136" s="66">
        <f t="shared" si="140"/>
        <v>-4.7889805397613533E-2</v>
      </c>
      <c r="S1136" s="66">
        <f t="shared" si="141"/>
        <v>-0.12491848665469237</v>
      </c>
      <c r="T1136" s="50" t="str">
        <f t="shared" si="142"/>
        <v/>
      </c>
      <c r="U1136" s="50" t="str">
        <f t="shared" si="143"/>
        <v/>
      </c>
    </row>
    <row r="1137" spans="1:21" x14ac:dyDescent="0.2">
      <c r="A1137" s="38">
        <v>39849</v>
      </c>
      <c r="B1137" s="4">
        <v>0.24629999999999999</v>
      </c>
      <c r="C1137" s="4">
        <v>0.31340000000000001</v>
      </c>
      <c r="D1137" s="4">
        <v>0.44030000000000002</v>
      </c>
      <c r="E1137" s="50">
        <v>1</v>
      </c>
      <c r="F1137" s="50">
        <v>0.30764999999999998</v>
      </c>
      <c r="G1137" s="50">
        <v>-0.19400000000000001</v>
      </c>
      <c r="H1137" s="50">
        <v>0.38490743662900001</v>
      </c>
      <c r="I1137" s="50">
        <v>0.48829287047999997</v>
      </c>
      <c r="J1137" s="50">
        <v>0.28152200277799999</v>
      </c>
      <c r="K1137" s="50">
        <v>832.63</v>
      </c>
      <c r="L1137" s="50">
        <v>819.91</v>
      </c>
      <c r="M1137" s="50">
        <v>832.23</v>
      </c>
      <c r="N1137" s="66">
        <f t="shared" si="136"/>
        <v>1.8144022686036201E-3</v>
      </c>
      <c r="O1137" s="66">
        <f t="shared" si="137"/>
        <v>-0.14342189058313207</v>
      </c>
      <c r="P1137" s="4">
        <f t="shared" si="138"/>
        <v>-0.19400000000000003</v>
      </c>
      <c r="Q1137" s="4">
        <f t="shared" si="139"/>
        <v>-0.20057500000000003</v>
      </c>
      <c r="R1137" s="66">
        <f t="shared" si="140"/>
        <v>1.8144022686036201E-3</v>
      </c>
      <c r="S1137" s="66">
        <f t="shared" si="141"/>
        <v>-0.14342189058313207</v>
      </c>
      <c r="T1137" s="50">
        <f t="shared" si="142"/>
        <v>1</v>
      </c>
      <c r="U1137" s="50" t="str">
        <f t="shared" si="143"/>
        <v/>
      </c>
    </row>
    <row r="1138" spans="1:21" x14ac:dyDescent="0.2">
      <c r="A1138" s="38">
        <v>39856</v>
      </c>
      <c r="B1138" s="4">
        <v>0.3291</v>
      </c>
      <c r="C1138" s="4">
        <v>0.27850000000000003</v>
      </c>
      <c r="D1138" s="4">
        <v>0.39240000000000003</v>
      </c>
      <c r="E1138" s="50">
        <v>1</v>
      </c>
      <c r="F1138" s="50">
        <v>0.29912499999999997</v>
      </c>
      <c r="G1138" s="50">
        <v>-6.3299999999999995E-2</v>
      </c>
      <c r="H1138" s="50">
        <v>0.38490743662900001</v>
      </c>
      <c r="I1138" s="50">
        <v>0.48829287047999997</v>
      </c>
      <c r="J1138" s="50">
        <v>0.28152200277799999</v>
      </c>
      <c r="K1138" s="50">
        <v>829.91</v>
      </c>
      <c r="L1138" s="50">
        <v>811.35</v>
      </c>
      <c r="M1138" s="50">
        <v>833.74</v>
      </c>
      <c r="N1138" s="66">
        <f t="shared" si="136"/>
        <v>-5.4357473552906238E-2</v>
      </c>
      <c r="O1138" s="66">
        <f t="shared" si="137"/>
        <v>-0.13479022237148272</v>
      </c>
      <c r="P1138" s="4">
        <f t="shared" si="138"/>
        <v>-6.3300000000000023E-2</v>
      </c>
      <c r="Q1138" s="4">
        <f t="shared" si="139"/>
        <v>-0.16705</v>
      </c>
      <c r="R1138" s="66">
        <f t="shared" si="140"/>
        <v>-5.4357473552906238E-2</v>
      </c>
      <c r="S1138" s="66">
        <f t="shared" si="141"/>
        <v>-0.13479022237148272</v>
      </c>
      <c r="T1138" s="50" t="str">
        <f t="shared" si="142"/>
        <v/>
      </c>
      <c r="U1138" s="50" t="str">
        <f t="shared" si="143"/>
        <v/>
      </c>
    </row>
    <row r="1139" spans="1:21" x14ac:dyDescent="0.2">
      <c r="A1139" s="38">
        <v>39863</v>
      </c>
      <c r="B1139" s="4">
        <v>0.21640000000000001</v>
      </c>
      <c r="C1139" s="4">
        <v>0.21640000000000001</v>
      </c>
      <c r="D1139" s="4">
        <v>0.56720000000000004</v>
      </c>
      <c r="E1139" s="50">
        <v>1</v>
      </c>
      <c r="F1139" s="50">
        <v>0.28998750000000001</v>
      </c>
      <c r="G1139" s="50">
        <v>-0.3508</v>
      </c>
      <c r="H1139" s="50">
        <v>0.38490743662900001</v>
      </c>
      <c r="I1139" s="50">
        <v>0.48829287047999997</v>
      </c>
      <c r="J1139" s="50">
        <v>0.28152200277799999</v>
      </c>
      <c r="K1139" s="50">
        <v>797.58</v>
      </c>
      <c r="L1139" s="50">
        <v>787.91</v>
      </c>
      <c r="M1139" s="50">
        <v>788.42</v>
      </c>
      <c r="N1139" s="66">
        <f t="shared" si="136"/>
        <v>-2.9831815529793745E-2</v>
      </c>
      <c r="O1139" s="66">
        <f t="shared" si="137"/>
        <v>7.5213718576394107E-3</v>
      </c>
      <c r="P1139" s="4">
        <f t="shared" si="138"/>
        <v>-0.3508</v>
      </c>
      <c r="Q1139" s="4">
        <f t="shared" si="139"/>
        <v>-0.20697500000000002</v>
      </c>
      <c r="R1139" s="66">
        <f t="shared" si="140"/>
        <v>-2.9831815529793745E-2</v>
      </c>
      <c r="S1139" s="66">
        <f t="shared" si="141"/>
        <v>7.5213718576394107E-3</v>
      </c>
      <c r="T1139" s="50" t="str">
        <f t="shared" si="142"/>
        <v/>
      </c>
      <c r="U1139" s="50">
        <f t="shared" si="143"/>
        <v>1</v>
      </c>
    </row>
    <row r="1140" spans="1:21" x14ac:dyDescent="0.2">
      <c r="A1140" s="38">
        <v>39870</v>
      </c>
      <c r="B1140" s="4">
        <v>0.24299999999999999</v>
      </c>
      <c r="C1140" s="4">
        <v>0.2056</v>
      </c>
      <c r="D1140" s="4">
        <v>0.5514</v>
      </c>
      <c r="E1140" s="50">
        <v>1</v>
      </c>
      <c r="F1140" s="50">
        <v>0.29036250000000002</v>
      </c>
      <c r="G1140" s="50">
        <v>-0.30840000000000001</v>
      </c>
      <c r="H1140" s="50">
        <v>0.38490743662900001</v>
      </c>
      <c r="I1140" s="50">
        <v>0.48829287047999997</v>
      </c>
      <c r="J1140" s="50">
        <v>0.28152200277799999</v>
      </c>
      <c r="K1140" s="50">
        <v>779.42</v>
      </c>
      <c r="L1140" s="50">
        <v>765.76</v>
      </c>
      <c r="M1140" s="50">
        <v>764.9</v>
      </c>
      <c r="N1140" s="66">
        <f t="shared" si="136"/>
        <v>-6.8021963655379755E-2</v>
      </c>
      <c r="O1140" s="66">
        <f t="shared" si="137"/>
        <v>6.4034514315596841E-2</v>
      </c>
      <c r="P1140" s="4">
        <f t="shared" si="138"/>
        <v>-0.30840000000000001</v>
      </c>
      <c r="Q1140" s="4">
        <f t="shared" si="139"/>
        <v>-0.22912500000000002</v>
      </c>
      <c r="R1140" s="66">
        <f t="shared" si="140"/>
        <v>-6.8021963655379755E-2</v>
      </c>
      <c r="S1140" s="66">
        <f t="shared" si="141"/>
        <v>6.4034514315596841E-2</v>
      </c>
      <c r="T1140" s="50" t="str">
        <f t="shared" si="142"/>
        <v/>
      </c>
      <c r="U1140" s="50">
        <f t="shared" si="143"/>
        <v>1</v>
      </c>
    </row>
    <row r="1141" spans="1:21" x14ac:dyDescent="0.2">
      <c r="A1141" s="38">
        <v>39877</v>
      </c>
      <c r="B1141" s="4">
        <v>0.18920000000000001</v>
      </c>
      <c r="C1141" s="4">
        <v>0.1081</v>
      </c>
      <c r="D1141" s="4">
        <v>0.70269999999999999</v>
      </c>
      <c r="E1141" s="50">
        <v>1</v>
      </c>
      <c r="F1141" s="50">
        <v>0.25313750000000002</v>
      </c>
      <c r="G1141" s="50">
        <v>-0.51349999999999996</v>
      </c>
      <c r="H1141" s="50">
        <v>0.38490743662900001</v>
      </c>
      <c r="I1141" s="50">
        <v>0.48829287047999997</v>
      </c>
      <c r="J1141" s="50">
        <v>0.28152200277799999</v>
      </c>
      <c r="K1141" s="50">
        <v>708.27</v>
      </c>
      <c r="L1141" s="50">
        <v>696.27</v>
      </c>
      <c r="M1141" s="50">
        <v>712.87</v>
      </c>
      <c r="N1141" s="66">
        <f t="shared" si="136"/>
        <v>1.1909604836786523E-2</v>
      </c>
      <c r="O1141" s="66">
        <f t="shared" si="137"/>
        <v>0.13776705430162586</v>
      </c>
      <c r="P1141" s="4">
        <f t="shared" si="138"/>
        <v>-0.51349999999999996</v>
      </c>
      <c r="Q1141" s="4">
        <f t="shared" si="139"/>
        <v>-0.309</v>
      </c>
      <c r="R1141" s="66">
        <f t="shared" si="140"/>
        <v>1.1909604836786523E-2</v>
      </c>
      <c r="S1141" s="66">
        <f t="shared" si="141"/>
        <v>0.13776705430162586</v>
      </c>
      <c r="T1141" s="50">
        <f t="shared" si="142"/>
        <v>1</v>
      </c>
      <c r="U1141" s="50">
        <f t="shared" si="143"/>
        <v>1</v>
      </c>
    </row>
    <row r="1142" spans="1:21" x14ac:dyDescent="0.2">
      <c r="A1142" s="38">
        <v>39884</v>
      </c>
      <c r="B1142" s="4">
        <v>0.27639999999999998</v>
      </c>
      <c r="C1142" s="4">
        <v>0.1789</v>
      </c>
      <c r="D1142" s="4">
        <v>0.54469999999999996</v>
      </c>
      <c r="E1142" s="50">
        <v>1</v>
      </c>
      <c r="F1142" s="50">
        <v>0.25314999999999999</v>
      </c>
      <c r="G1142" s="50">
        <v>-0.26829999999999998</v>
      </c>
      <c r="H1142" s="50">
        <v>0.38490743662900001</v>
      </c>
      <c r="I1142" s="50">
        <v>0.48829287047999997</v>
      </c>
      <c r="J1142" s="50">
        <v>0.28152200277799999</v>
      </c>
      <c r="K1142" s="50">
        <v>727.47</v>
      </c>
      <c r="L1142" s="50">
        <v>714.76</v>
      </c>
      <c r="M1142" s="50">
        <v>721.36</v>
      </c>
      <c r="N1142" s="66">
        <f t="shared" si="136"/>
        <v>0.10118387490296109</v>
      </c>
      <c r="O1142" s="66">
        <f t="shared" si="137"/>
        <v>0.14389486525451917</v>
      </c>
      <c r="P1142" s="4">
        <f t="shared" si="138"/>
        <v>-0.26829999999999998</v>
      </c>
      <c r="Q1142" s="4">
        <f t="shared" si="139"/>
        <v>-0.36024999999999996</v>
      </c>
      <c r="R1142" s="66">
        <f t="shared" si="140"/>
        <v>0.10118387490296109</v>
      </c>
      <c r="S1142" s="66">
        <f t="shared" si="141"/>
        <v>0.14389486525451917</v>
      </c>
      <c r="T1142" s="50">
        <f t="shared" si="142"/>
        <v>1</v>
      </c>
      <c r="U1142" s="50">
        <f t="shared" si="143"/>
        <v>1</v>
      </c>
    </row>
    <row r="1143" spans="1:21" x14ac:dyDescent="0.2">
      <c r="A1143" s="38">
        <v>39891</v>
      </c>
      <c r="B1143" s="4">
        <v>0.4506</v>
      </c>
      <c r="C1143" s="4">
        <v>0.16669999999999999</v>
      </c>
      <c r="D1143" s="4">
        <v>0.38269999999999998</v>
      </c>
      <c r="E1143" s="50">
        <v>1</v>
      </c>
      <c r="F1143" s="50">
        <v>0.2754625</v>
      </c>
      <c r="G1143" s="50">
        <v>6.7900000000000002E-2</v>
      </c>
      <c r="H1143" s="50">
        <v>0.38490743662900001</v>
      </c>
      <c r="I1143" s="50">
        <v>0.48829287047999997</v>
      </c>
      <c r="J1143" s="50">
        <v>0.28152200277799999</v>
      </c>
      <c r="K1143" s="50">
        <v>803.24</v>
      </c>
      <c r="L1143" s="50">
        <v>788.87</v>
      </c>
      <c r="M1143" s="50">
        <v>794.35</v>
      </c>
      <c r="N1143" s="66">
        <f t="shared" si="136"/>
        <v>2.4586139611002672E-2</v>
      </c>
      <c r="O1143" s="66">
        <f t="shared" si="137"/>
        <v>5.9356706741360829E-2</v>
      </c>
      <c r="P1143" s="4">
        <f t="shared" si="138"/>
        <v>6.7900000000000016E-2</v>
      </c>
      <c r="Q1143" s="4">
        <f t="shared" si="139"/>
        <v>-0.25557499999999994</v>
      </c>
      <c r="R1143" s="66">
        <f t="shared" si="140"/>
        <v>2.4586139611002672E-2</v>
      </c>
      <c r="S1143" s="66">
        <f t="shared" si="141"/>
        <v>5.9356706741360829E-2</v>
      </c>
      <c r="T1143" s="50">
        <f t="shared" si="142"/>
        <v>1</v>
      </c>
      <c r="U1143" s="50">
        <f t="shared" si="143"/>
        <v>1</v>
      </c>
    </row>
    <row r="1144" spans="1:21" x14ac:dyDescent="0.2">
      <c r="A1144" s="38">
        <v>39898</v>
      </c>
      <c r="B1144" s="4">
        <v>0.39129999999999998</v>
      </c>
      <c r="C1144" s="4">
        <v>0.18479999999999999</v>
      </c>
      <c r="D1144" s="4">
        <v>0.4239</v>
      </c>
      <c r="E1144" s="50">
        <v>1</v>
      </c>
      <c r="F1144" s="50">
        <v>0.29278749999999998</v>
      </c>
      <c r="G1144" s="50">
        <v>-3.2599999999999997E-2</v>
      </c>
      <c r="H1144" s="50">
        <v>0.38490743662900001</v>
      </c>
      <c r="I1144" s="50">
        <v>0.48829287047999997</v>
      </c>
      <c r="J1144" s="50">
        <v>0.28152200277799999</v>
      </c>
      <c r="K1144" s="50">
        <v>826.76</v>
      </c>
      <c r="L1144" s="50">
        <v>814.06</v>
      </c>
      <c r="M1144" s="50">
        <v>813.88</v>
      </c>
      <c r="N1144" s="66">
        <f t="shared" si="136"/>
        <v>-3.4403106109008141E-3</v>
      </c>
      <c r="O1144" s="66">
        <f t="shared" si="137"/>
        <v>3.6455005651938814E-2</v>
      </c>
      <c r="P1144" s="4">
        <f t="shared" si="138"/>
        <v>-3.2600000000000018E-2</v>
      </c>
      <c r="Q1144" s="4">
        <f t="shared" si="139"/>
        <v>-0.18662499999999999</v>
      </c>
      <c r="R1144" s="66">
        <f t="shared" si="140"/>
        <v>-3.4403106109008141E-3</v>
      </c>
      <c r="S1144" s="66">
        <f t="shared" si="141"/>
        <v>3.6455005651938814E-2</v>
      </c>
      <c r="T1144" s="50" t="str">
        <f t="shared" si="142"/>
        <v/>
      </c>
      <c r="U1144" s="50">
        <f t="shared" si="143"/>
        <v>1</v>
      </c>
    </row>
    <row r="1145" spans="1:21" x14ac:dyDescent="0.2">
      <c r="A1145" s="38">
        <v>39905</v>
      </c>
      <c r="B1145" s="4">
        <v>0.42659999999999998</v>
      </c>
      <c r="C1145" s="4">
        <v>0.20280000000000001</v>
      </c>
      <c r="D1145" s="4">
        <v>0.37059999999999998</v>
      </c>
      <c r="E1145" s="50">
        <v>1</v>
      </c>
      <c r="F1145" s="50">
        <v>0.31532500000000002</v>
      </c>
      <c r="G1145" s="50">
        <v>5.6000000000000001E-2</v>
      </c>
      <c r="H1145" s="50">
        <v>0.38490743662900001</v>
      </c>
      <c r="I1145" s="50">
        <v>0.48829287047999997</v>
      </c>
      <c r="J1145" s="50">
        <v>0.28152200277799999</v>
      </c>
      <c r="K1145" s="50">
        <v>835.91</v>
      </c>
      <c r="L1145" s="50">
        <v>814.53</v>
      </c>
      <c r="M1145" s="50">
        <v>811.08</v>
      </c>
      <c r="N1145" s="66">
        <f t="shared" si="136"/>
        <v>1.7359569956107816E-2</v>
      </c>
      <c r="O1145" s="66">
        <f t="shared" si="137"/>
        <v>7.7131725600433923E-2</v>
      </c>
      <c r="P1145" s="4">
        <f t="shared" si="138"/>
        <v>5.5999999999999994E-2</v>
      </c>
      <c r="Q1145" s="4">
        <f t="shared" si="139"/>
        <v>-4.4249999999999998E-2</v>
      </c>
      <c r="R1145" s="66">
        <f t="shared" si="140"/>
        <v>1.7359569956107816E-2</v>
      </c>
      <c r="S1145" s="66">
        <f t="shared" si="141"/>
        <v>7.7131725600433923E-2</v>
      </c>
      <c r="T1145" s="50">
        <f t="shared" si="142"/>
        <v>1</v>
      </c>
      <c r="U1145" s="50">
        <f t="shared" si="143"/>
        <v>1</v>
      </c>
    </row>
    <row r="1146" spans="1:21" x14ac:dyDescent="0.2">
      <c r="A1146" s="38">
        <v>39912</v>
      </c>
      <c r="B1146" s="4">
        <v>0.35709999999999997</v>
      </c>
      <c r="C1146" s="4">
        <v>0.2</v>
      </c>
      <c r="D1146" s="4">
        <v>0.44290000000000002</v>
      </c>
      <c r="E1146" s="50">
        <v>1</v>
      </c>
      <c r="F1146" s="50">
        <v>0.31882500000000003</v>
      </c>
      <c r="G1146" s="50">
        <v>-8.5800000000000001E-2</v>
      </c>
      <c r="H1146" s="50">
        <v>0.38490743662900001</v>
      </c>
      <c r="I1146" s="50">
        <v>0.48829287047999997</v>
      </c>
      <c r="J1146" s="50">
        <v>0.28152200277799999</v>
      </c>
      <c r="K1146" s="50">
        <v>850.8</v>
      </c>
      <c r="L1146" s="50">
        <v>829.29</v>
      </c>
      <c r="M1146" s="50">
        <v>825.16</v>
      </c>
      <c r="N1146" s="66">
        <f t="shared" si="136"/>
        <v>1.980222017548116E-2</v>
      </c>
      <c r="O1146" s="66">
        <f t="shared" si="137"/>
        <v>0.11436569877357119</v>
      </c>
      <c r="P1146" s="4">
        <f t="shared" si="138"/>
        <v>-8.5800000000000043E-2</v>
      </c>
      <c r="Q1146" s="4">
        <f t="shared" si="139"/>
        <v>1.3749999999999873E-3</v>
      </c>
      <c r="R1146" s="66">
        <f t="shared" si="140"/>
        <v>1.980222017548116E-2</v>
      </c>
      <c r="S1146" s="66">
        <f t="shared" si="141"/>
        <v>0.11436569877357119</v>
      </c>
      <c r="T1146" s="50">
        <f t="shared" si="142"/>
        <v>1</v>
      </c>
      <c r="U1146" s="50">
        <f t="shared" si="143"/>
        <v>1</v>
      </c>
    </row>
    <row r="1147" spans="1:21" x14ac:dyDescent="0.2">
      <c r="A1147" s="38">
        <v>39919</v>
      </c>
      <c r="B1147" s="4">
        <v>0.44140000000000001</v>
      </c>
      <c r="C1147" s="4">
        <v>0.2</v>
      </c>
      <c r="D1147" s="4">
        <v>0.35859999999999997</v>
      </c>
      <c r="E1147" s="50">
        <v>1</v>
      </c>
      <c r="F1147" s="50">
        <v>0.34694999999999998</v>
      </c>
      <c r="G1147" s="50">
        <v>8.2799999999999999E-2</v>
      </c>
      <c r="H1147" s="50">
        <v>0.38490743662900001</v>
      </c>
      <c r="I1147" s="50">
        <v>0.48829287047999997</v>
      </c>
      <c r="J1147" s="50">
        <v>0.28152200277799999</v>
      </c>
      <c r="K1147" s="50">
        <v>852.93</v>
      </c>
      <c r="L1147" s="50">
        <v>835.58</v>
      </c>
      <c r="M1147" s="50">
        <v>841.5</v>
      </c>
      <c r="N1147" s="66">
        <f t="shared" si="136"/>
        <v>2.4361259655376762E-3</v>
      </c>
      <c r="O1147" s="66">
        <f t="shared" si="137"/>
        <v>5.0409982174688006E-2</v>
      </c>
      <c r="P1147" s="4">
        <f t="shared" si="138"/>
        <v>8.280000000000004E-2</v>
      </c>
      <c r="Q1147" s="4">
        <f t="shared" si="139"/>
        <v>5.0999999999999934E-3</v>
      </c>
      <c r="R1147" s="66">
        <f t="shared" si="140"/>
        <v>2.4361259655376762E-3</v>
      </c>
      <c r="S1147" s="66">
        <f t="shared" si="141"/>
        <v>5.0409982174688006E-2</v>
      </c>
      <c r="T1147" s="50">
        <f t="shared" si="142"/>
        <v>1</v>
      </c>
      <c r="U1147" s="50">
        <f t="shared" si="143"/>
        <v>1</v>
      </c>
    </row>
    <row r="1148" spans="1:21" x14ac:dyDescent="0.2">
      <c r="A1148" s="38">
        <v>39926</v>
      </c>
      <c r="B1148" s="4">
        <v>0.31819999999999998</v>
      </c>
      <c r="C1148" s="4">
        <v>0.29549999999999998</v>
      </c>
      <c r="D1148" s="4">
        <v>0.38640000000000002</v>
      </c>
      <c r="E1148" s="50">
        <v>1.0001</v>
      </c>
      <c r="F1148" s="50">
        <v>0.35635</v>
      </c>
      <c r="G1148" s="50">
        <v>-6.8199999999999997E-2</v>
      </c>
      <c r="H1148" s="50">
        <v>0.38490743662900001</v>
      </c>
      <c r="I1148" s="50">
        <v>0.48829287047999997</v>
      </c>
      <c r="J1148" s="50">
        <v>0.28152200277799999</v>
      </c>
      <c r="K1148" s="50">
        <v>848.22</v>
      </c>
      <c r="L1148" s="50">
        <v>835.45</v>
      </c>
      <c r="M1148" s="50">
        <v>843.55</v>
      </c>
      <c r="N1148" s="66">
        <f t="shared" si="136"/>
        <v>3.5670677493924524E-2</v>
      </c>
      <c r="O1148" s="66">
        <f t="shared" si="137"/>
        <v>7.1033133779859023E-2</v>
      </c>
      <c r="P1148" s="4">
        <f t="shared" si="138"/>
        <v>-6.8200000000000038E-2</v>
      </c>
      <c r="Q1148" s="4">
        <f t="shared" si="139"/>
        <v>-3.8000000000000117E-3</v>
      </c>
      <c r="R1148" s="66">
        <f t="shared" si="140"/>
        <v>3.5670677493924524E-2</v>
      </c>
      <c r="S1148" s="66">
        <f t="shared" si="141"/>
        <v>7.1033133779859023E-2</v>
      </c>
      <c r="T1148" s="50">
        <f t="shared" si="142"/>
        <v>1</v>
      </c>
      <c r="U1148" s="50">
        <f t="shared" si="143"/>
        <v>1</v>
      </c>
    </row>
    <row r="1149" spans="1:21" x14ac:dyDescent="0.2">
      <c r="A1149" s="38">
        <v>39933</v>
      </c>
      <c r="B1149" s="4">
        <v>0.3609</v>
      </c>
      <c r="C1149" s="4">
        <v>0.20300000000000001</v>
      </c>
      <c r="D1149" s="4">
        <v>0.43609999999999999</v>
      </c>
      <c r="E1149" s="50">
        <v>1</v>
      </c>
      <c r="F1149" s="50">
        <v>0.3778125</v>
      </c>
      <c r="G1149" s="50">
        <v>-7.5200000000000003E-2</v>
      </c>
      <c r="H1149" s="50">
        <v>0.38490743662900001</v>
      </c>
      <c r="I1149" s="50">
        <v>0.48829287047999997</v>
      </c>
      <c r="J1149" s="50">
        <v>0.28152200277799999</v>
      </c>
      <c r="K1149" s="50">
        <v>887.47</v>
      </c>
      <c r="L1149" s="50">
        <v>876.59</v>
      </c>
      <c r="M1149" s="50">
        <v>873.64</v>
      </c>
      <c r="N1149" s="66">
        <f t="shared" si="136"/>
        <v>5.2527356806007036E-2</v>
      </c>
      <c r="O1149" s="66">
        <f t="shared" si="137"/>
        <v>2.2228835676022112E-2</v>
      </c>
      <c r="P1149" s="4">
        <f t="shared" si="138"/>
        <v>-7.5199999999999989E-2</v>
      </c>
      <c r="Q1149" s="4">
        <f t="shared" si="139"/>
        <v>-3.6600000000000008E-2</v>
      </c>
      <c r="R1149" s="66">
        <f t="shared" si="140"/>
        <v>5.2527356806007036E-2</v>
      </c>
      <c r="S1149" s="66">
        <f t="shared" si="141"/>
        <v>2.2228835676022112E-2</v>
      </c>
      <c r="T1149" s="50">
        <f t="shared" si="142"/>
        <v>1</v>
      </c>
      <c r="U1149" s="50">
        <f t="shared" si="143"/>
        <v>1</v>
      </c>
    </row>
    <row r="1150" spans="1:21" x14ac:dyDescent="0.2">
      <c r="A1150" s="38">
        <v>39940</v>
      </c>
      <c r="B1150" s="4">
        <v>0.44090000000000001</v>
      </c>
      <c r="C1150" s="4">
        <v>0.2258</v>
      </c>
      <c r="D1150" s="4">
        <v>0.33329999999999999</v>
      </c>
      <c r="E1150" s="50">
        <v>1</v>
      </c>
      <c r="F1150" s="50">
        <v>0.39837499999999998</v>
      </c>
      <c r="G1150" s="50">
        <v>0.1076</v>
      </c>
      <c r="H1150" s="50">
        <v>0.38490743662900001</v>
      </c>
      <c r="I1150" s="50">
        <v>0.48829287047999997</v>
      </c>
      <c r="J1150" s="50">
        <v>0.28152200277799999</v>
      </c>
      <c r="K1150" s="50">
        <v>929.58</v>
      </c>
      <c r="L1150" s="50">
        <v>919.58</v>
      </c>
      <c r="M1150" s="50">
        <v>919.53</v>
      </c>
      <c r="N1150" s="66">
        <f t="shared" si="136"/>
        <v>-3.8726305830152373E-2</v>
      </c>
      <c r="O1150" s="66">
        <f t="shared" si="137"/>
        <v>1.3300272965536762E-2</v>
      </c>
      <c r="P1150" s="4">
        <f t="shared" si="138"/>
        <v>0.10760000000000003</v>
      </c>
      <c r="Q1150" s="4">
        <f t="shared" si="139"/>
        <v>1.175000000000001E-2</v>
      </c>
      <c r="R1150" s="66">
        <f t="shared" si="140"/>
        <v>-3.8726305830152373E-2</v>
      </c>
      <c r="S1150" s="66">
        <f t="shared" si="141"/>
        <v>1.3300272965536762E-2</v>
      </c>
      <c r="T1150" s="50" t="str">
        <f t="shared" si="142"/>
        <v/>
      </c>
      <c r="U1150" s="50">
        <f t="shared" si="143"/>
        <v>1</v>
      </c>
    </row>
    <row r="1151" spans="1:21" x14ac:dyDescent="0.2">
      <c r="A1151" s="38">
        <v>39947</v>
      </c>
      <c r="B1151" s="4">
        <v>0.43809999999999999</v>
      </c>
      <c r="C1151" s="4">
        <v>0.20949999999999999</v>
      </c>
      <c r="D1151" s="4">
        <v>0.35239999999999999</v>
      </c>
      <c r="E1151" s="50">
        <v>1</v>
      </c>
      <c r="F1151" s="50">
        <v>0.39681250000000001</v>
      </c>
      <c r="G1151" s="50">
        <v>8.5699999999999998E-2</v>
      </c>
      <c r="H1151" s="50">
        <v>0.38490743662900001</v>
      </c>
      <c r="I1151" s="50">
        <v>0.48829287047999997</v>
      </c>
      <c r="J1151" s="50">
        <v>0.28152200277799999</v>
      </c>
      <c r="K1151" s="50">
        <v>890.1</v>
      </c>
      <c r="L1151" s="50">
        <v>882.52</v>
      </c>
      <c r="M1151" s="50">
        <v>883.92</v>
      </c>
      <c r="N1151" s="66">
        <f t="shared" si="136"/>
        <v>2.2117386188795444E-2</v>
      </c>
      <c r="O1151" s="66">
        <f t="shared" si="137"/>
        <v>6.2483030138474095E-2</v>
      </c>
      <c r="P1151" s="4">
        <f t="shared" si="138"/>
        <v>8.5699999999999998E-2</v>
      </c>
      <c r="Q1151" s="4">
        <f t="shared" si="139"/>
        <v>1.2475E-2</v>
      </c>
      <c r="R1151" s="66">
        <f t="shared" si="140"/>
        <v>2.2117386188795444E-2</v>
      </c>
      <c r="S1151" s="66">
        <f t="shared" si="141"/>
        <v>6.2483030138474095E-2</v>
      </c>
      <c r="T1151" s="50">
        <f t="shared" si="142"/>
        <v>1</v>
      </c>
      <c r="U1151" s="50">
        <f t="shared" si="143"/>
        <v>1</v>
      </c>
    </row>
    <row r="1152" spans="1:21" x14ac:dyDescent="0.2">
      <c r="A1152" s="38">
        <v>39954</v>
      </c>
      <c r="B1152" s="4">
        <v>0.3372</v>
      </c>
      <c r="C1152" s="4">
        <v>0.20930000000000001</v>
      </c>
      <c r="D1152" s="4">
        <v>0.45350000000000001</v>
      </c>
      <c r="E1152" s="50">
        <v>1</v>
      </c>
      <c r="F1152" s="50">
        <v>0.39005000000000001</v>
      </c>
      <c r="G1152" s="50">
        <v>-0.1163</v>
      </c>
      <c r="H1152" s="50">
        <v>0.38490743662900001</v>
      </c>
      <c r="I1152" s="50">
        <v>0.48829287047999997</v>
      </c>
      <c r="J1152" s="50">
        <v>0.28152200277799999</v>
      </c>
      <c r="K1152" s="50">
        <v>900.42</v>
      </c>
      <c r="L1152" s="50">
        <v>884.06</v>
      </c>
      <c r="M1152" s="50">
        <v>903.47</v>
      </c>
      <c r="N1152" s="66">
        <f t="shared" si="136"/>
        <v>-1.1522242022424741E-2</v>
      </c>
      <c r="O1152" s="66">
        <f t="shared" si="137"/>
        <v>8.0135477658361751E-3</v>
      </c>
      <c r="P1152" s="4">
        <f t="shared" si="138"/>
        <v>-0.11630000000000001</v>
      </c>
      <c r="Q1152" s="4">
        <f t="shared" si="139"/>
        <v>4.5000000000000595E-4</v>
      </c>
      <c r="R1152" s="66">
        <f t="shared" si="140"/>
        <v>-1.1522242022424741E-2</v>
      </c>
      <c r="S1152" s="66">
        <f t="shared" si="141"/>
        <v>8.0135477658361751E-3</v>
      </c>
      <c r="T1152" s="50" t="str">
        <f t="shared" si="142"/>
        <v/>
      </c>
      <c r="U1152" s="50">
        <f t="shared" si="143"/>
        <v>1</v>
      </c>
    </row>
    <row r="1153" spans="1:21" x14ac:dyDescent="0.2">
      <c r="A1153" s="38">
        <v>39961</v>
      </c>
      <c r="B1153" s="4">
        <v>0.4037</v>
      </c>
      <c r="C1153" s="4">
        <v>0.1101</v>
      </c>
      <c r="D1153" s="4">
        <v>0.48620000000000002</v>
      </c>
      <c r="E1153" s="50">
        <v>1</v>
      </c>
      <c r="F1153" s="50">
        <v>0.38718750000000002</v>
      </c>
      <c r="G1153" s="50">
        <v>-8.2500000000000004E-2</v>
      </c>
      <c r="H1153" s="50">
        <v>0.38490743662900001</v>
      </c>
      <c r="I1153" s="50">
        <v>0.48829287047999997</v>
      </c>
      <c r="J1153" s="50">
        <v>0.28152200277799999</v>
      </c>
      <c r="K1153" s="50">
        <v>903.06</v>
      </c>
      <c r="L1153" s="50">
        <v>887.6</v>
      </c>
      <c r="M1153" s="50">
        <v>893.06</v>
      </c>
      <c r="N1153" s="66">
        <f t="shared" si="136"/>
        <v>4.3334154480102173E-2</v>
      </c>
      <c r="O1153" s="66">
        <f t="shared" si="137"/>
        <v>8.8235952791526993E-3</v>
      </c>
      <c r="P1153" s="4">
        <f t="shared" si="138"/>
        <v>-8.2500000000000018E-2</v>
      </c>
      <c r="Q1153" s="4">
        <f t="shared" si="139"/>
        <v>-1.3750000000000012E-3</v>
      </c>
      <c r="R1153" s="66">
        <f t="shared" si="140"/>
        <v>4.3334154480102173E-2</v>
      </c>
      <c r="S1153" s="66">
        <f t="shared" si="141"/>
        <v>8.8235952791526993E-3</v>
      </c>
      <c r="T1153" s="50">
        <f t="shared" si="142"/>
        <v>1</v>
      </c>
      <c r="U1153" s="50">
        <f t="shared" si="143"/>
        <v>1</v>
      </c>
    </row>
    <row r="1154" spans="1:21" x14ac:dyDescent="0.2">
      <c r="A1154" s="38">
        <v>39968</v>
      </c>
      <c r="B1154" s="4">
        <v>0.47560000000000002</v>
      </c>
      <c r="C1154" s="4">
        <v>0.1585</v>
      </c>
      <c r="D1154" s="4">
        <v>0.3659</v>
      </c>
      <c r="E1154" s="50">
        <v>1</v>
      </c>
      <c r="F1154" s="50">
        <v>0.40200000000000002</v>
      </c>
      <c r="G1154" s="50">
        <v>0.10970000000000001</v>
      </c>
      <c r="H1154" s="50">
        <v>0.38490743662900001</v>
      </c>
      <c r="I1154" s="50">
        <v>0.48829287047999997</v>
      </c>
      <c r="J1154" s="50">
        <v>0.28152200277799999</v>
      </c>
      <c r="K1154" s="50">
        <v>936.22</v>
      </c>
      <c r="L1154" s="50">
        <v>931.29</v>
      </c>
      <c r="M1154" s="50">
        <v>931.76</v>
      </c>
      <c r="N1154" s="66">
        <f t="shared" si="136"/>
        <v>7.931226925388498E-3</v>
      </c>
      <c r="O1154" s="66">
        <f t="shared" si="137"/>
        <v>-9.047394178758425E-3</v>
      </c>
      <c r="P1154" s="4">
        <f t="shared" si="138"/>
        <v>0.10970000000000002</v>
      </c>
      <c r="Q1154" s="4">
        <f t="shared" si="139"/>
        <v>-8.5000000000000353E-4</v>
      </c>
      <c r="R1154" s="66">
        <f t="shared" si="140"/>
        <v>7.931226925388498E-3</v>
      </c>
      <c r="S1154" s="66">
        <f t="shared" si="141"/>
        <v>-9.047394178758425E-3</v>
      </c>
      <c r="T1154" s="50">
        <f t="shared" si="142"/>
        <v>1</v>
      </c>
      <c r="U1154" s="50" t="str">
        <f t="shared" si="143"/>
        <v/>
      </c>
    </row>
    <row r="1155" spans="1:21" x14ac:dyDescent="0.2">
      <c r="A1155" s="38">
        <v>39975</v>
      </c>
      <c r="B1155" s="4">
        <v>0.39250000000000002</v>
      </c>
      <c r="C1155" s="4">
        <v>0.215</v>
      </c>
      <c r="D1155" s="4">
        <v>0.39250000000000002</v>
      </c>
      <c r="E1155" s="50">
        <v>1</v>
      </c>
      <c r="F1155" s="50">
        <v>0.3958875</v>
      </c>
      <c r="G1155" s="50">
        <v>0</v>
      </c>
      <c r="H1155" s="50">
        <v>0.38490743662900001</v>
      </c>
      <c r="I1155" s="50">
        <v>0.48829287047999997</v>
      </c>
      <c r="J1155" s="50">
        <v>0.28152200277799999</v>
      </c>
      <c r="K1155" s="50">
        <v>950.13</v>
      </c>
      <c r="L1155" s="50">
        <v>939.04</v>
      </c>
      <c r="M1155" s="50">
        <v>939.15</v>
      </c>
      <c r="N1155" s="66">
        <f t="shared" si="136"/>
        <v>-3.0282702443699027E-2</v>
      </c>
      <c r="O1155" s="66">
        <f t="shared" si="137"/>
        <v>-6.3450992919129034E-2</v>
      </c>
      <c r="P1155" s="4">
        <f t="shared" si="138"/>
        <v>0</v>
      </c>
      <c r="Q1155" s="4">
        <f t="shared" si="139"/>
        <v>-2.2275000000000003E-2</v>
      </c>
      <c r="R1155" s="66">
        <f t="shared" si="140"/>
        <v>-3.0282702443699027E-2</v>
      </c>
      <c r="S1155" s="66">
        <f t="shared" si="141"/>
        <v>-6.3450992919129034E-2</v>
      </c>
      <c r="T1155" s="50" t="str">
        <f t="shared" si="142"/>
        <v/>
      </c>
      <c r="U1155" s="50" t="str">
        <f t="shared" si="143"/>
        <v/>
      </c>
    </row>
    <row r="1156" spans="1:21" x14ac:dyDescent="0.2">
      <c r="A1156" s="38">
        <v>39982</v>
      </c>
      <c r="B1156" s="4">
        <v>0.33329999999999999</v>
      </c>
      <c r="C1156" s="4">
        <v>0.2024</v>
      </c>
      <c r="D1156" s="4">
        <v>0.46429999999999999</v>
      </c>
      <c r="E1156" s="50">
        <v>1</v>
      </c>
      <c r="F1156" s="50">
        <v>0.39777499999999999</v>
      </c>
      <c r="G1156" s="50">
        <v>-0.13100000000000001</v>
      </c>
      <c r="H1156" s="50">
        <v>0.38490743662900001</v>
      </c>
      <c r="I1156" s="50">
        <v>0.48829287047999997</v>
      </c>
      <c r="J1156" s="50">
        <v>0.28152200277799999</v>
      </c>
      <c r="K1156" s="50">
        <v>914.05</v>
      </c>
      <c r="L1156" s="50">
        <v>907.94</v>
      </c>
      <c r="M1156" s="50">
        <v>910.71</v>
      </c>
      <c r="N1156" s="66">
        <f t="shared" si="136"/>
        <v>-1.072789362146016E-2</v>
      </c>
      <c r="O1156" s="66">
        <f t="shared" si="137"/>
        <v>2.4124035093498385E-2</v>
      </c>
      <c r="P1156" s="4">
        <f t="shared" si="138"/>
        <v>-0.13100000000000001</v>
      </c>
      <c r="Q1156" s="4">
        <f t="shared" si="139"/>
        <v>-2.5950000000000001E-2</v>
      </c>
      <c r="R1156" s="66">
        <f t="shared" si="140"/>
        <v>-1.072789362146016E-2</v>
      </c>
      <c r="S1156" s="66">
        <f t="shared" si="141"/>
        <v>2.4124035093498385E-2</v>
      </c>
      <c r="T1156" s="50" t="str">
        <f t="shared" si="142"/>
        <v/>
      </c>
      <c r="U1156" s="50">
        <f t="shared" si="143"/>
        <v>1</v>
      </c>
    </row>
    <row r="1157" spans="1:21" x14ac:dyDescent="0.2">
      <c r="A1157" s="38">
        <v>39989</v>
      </c>
      <c r="B1157" s="4">
        <v>0.28000000000000003</v>
      </c>
      <c r="C1157" s="4">
        <v>0.23200000000000001</v>
      </c>
      <c r="D1157" s="4">
        <v>0.48799999999999999</v>
      </c>
      <c r="E1157" s="50">
        <v>1</v>
      </c>
      <c r="F1157" s="50">
        <v>0.38766250000000002</v>
      </c>
      <c r="G1157" s="50">
        <v>-0.20799999999999999</v>
      </c>
      <c r="H1157" s="50">
        <v>0.38490743662900001</v>
      </c>
      <c r="I1157" s="50">
        <v>0.48829287047999997</v>
      </c>
      <c r="J1157" s="50">
        <v>0.28152200277799999</v>
      </c>
      <c r="K1157" s="50">
        <v>908.84</v>
      </c>
      <c r="L1157" s="50">
        <v>896.27</v>
      </c>
      <c r="M1157" s="50">
        <v>900.94</v>
      </c>
      <c r="N1157" s="66">
        <f t="shared" si="136"/>
        <v>2.485182143094988E-2</v>
      </c>
      <c r="O1157" s="66">
        <f t="shared" si="137"/>
        <v>5.8971740626456805E-2</v>
      </c>
      <c r="P1157" s="4">
        <f t="shared" si="138"/>
        <v>-0.20799999999999996</v>
      </c>
      <c r="Q1157" s="4">
        <f t="shared" si="139"/>
        <v>-5.7324999999999987E-2</v>
      </c>
      <c r="R1157" s="66">
        <f t="shared" si="140"/>
        <v>2.485182143094988E-2</v>
      </c>
      <c r="S1157" s="66">
        <f t="shared" si="141"/>
        <v>5.8971740626456805E-2</v>
      </c>
      <c r="T1157" s="50">
        <f t="shared" si="142"/>
        <v>1</v>
      </c>
      <c r="U1157" s="50">
        <f t="shared" si="143"/>
        <v>1</v>
      </c>
    </row>
    <row r="1158" spans="1:21" x14ac:dyDescent="0.2">
      <c r="A1158" s="38">
        <v>39996</v>
      </c>
      <c r="B1158" s="4">
        <v>0.37840000000000001</v>
      </c>
      <c r="C1158" s="4">
        <v>0.1757</v>
      </c>
      <c r="D1158" s="4">
        <v>0.44590000000000002</v>
      </c>
      <c r="E1158" s="50">
        <v>1</v>
      </c>
      <c r="F1158" s="50">
        <v>0.37985000000000002</v>
      </c>
      <c r="G1158" s="50">
        <v>-6.7500000000000004E-2</v>
      </c>
      <c r="H1158" s="50">
        <v>0.38490743662900001</v>
      </c>
      <c r="I1158" s="50">
        <v>0.48829287047999997</v>
      </c>
      <c r="J1158" s="50">
        <v>0.28152200277799999</v>
      </c>
      <c r="K1158" s="50">
        <v>921.24</v>
      </c>
      <c r="L1158" s="50">
        <v>903.22</v>
      </c>
      <c r="M1158" s="50">
        <v>923.33</v>
      </c>
      <c r="N1158" s="66">
        <f t="shared" si="136"/>
        <v>-4.740450326535485E-2</v>
      </c>
      <c r="O1158" s="66">
        <f t="shared" si="137"/>
        <v>5.6122946292224807E-2</v>
      </c>
      <c r="P1158" s="4">
        <f t="shared" si="138"/>
        <v>-6.7500000000000004E-2</v>
      </c>
      <c r="Q1158" s="4">
        <f t="shared" si="139"/>
        <v>-0.10162499999999999</v>
      </c>
      <c r="R1158" s="66">
        <f t="shared" si="140"/>
        <v>-4.740450326535485E-2</v>
      </c>
      <c r="S1158" s="66">
        <f t="shared" si="141"/>
        <v>5.6122946292224807E-2</v>
      </c>
      <c r="T1158" s="50" t="str">
        <f t="shared" si="142"/>
        <v/>
      </c>
      <c r="U1158" s="50">
        <f t="shared" si="143"/>
        <v>1</v>
      </c>
    </row>
    <row r="1159" spans="1:21" x14ac:dyDescent="0.2">
      <c r="A1159" s="38">
        <v>40003</v>
      </c>
      <c r="B1159" s="4">
        <v>0.27910000000000001</v>
      </c>
      <c r="C1159" s="4">
        <v>0.1744</v>
      </c>
      <c r="D1159" s="4">
        <v>0.54649999999999999</v>
      </c>
      <c r="E1159" s="50">
        <v>1</v>
      </c>
      <c r="F1159" s="50">
        <v>0.35997499999999999</v>
      </c>
      <c r="G1159" s="50">
        <v>-0.26740000000000003</v>
      </c>
      <c r="H1159" s="50">
        <v>0.38490743662900001</v>
      </c>
      <c r="I1159" s="50">
        <v>0.48829287047999997</v>
      </c>
      <c r="J1159" s="50">
        <v>0.28152200277799999</v>
      </c>
      <c r="K1159" s="50">
        <v>886.01</v>
      </c>
      <c r="L1159" s="50">
        <v>879.35</v>
      </c>
      <c r="M1159" s="50">
        <v>879.56</v>
      </c>
      <c r="N1159" s="66">
        <f t="shared" si="136"/>
        <v>6.0393833280276511E-2</v>
      </c>
      <c r="O1159" s="66">
        <f t="shared" si="137"/>
        <v>0.14002455773341227</v>
      </c>
      <c r="P1159" s="4">
        <f t="shared" si="138"/>
        <v>-0.26739999999999997</v>
      </c>
      <c r="Q1159" s="4">
        <f t="shared" si="139"/>
        <v>-0.16847499999999999</v>
      </c>
      <c r="R1159" s="66">
        <f t="shared" si="140"/>
        <v>6.0393833280276511E-2</v>
      </c>
      <c r="S1159" s="66">
        <f t="shared" si="141"/>
        <v>0.14002455773341227</v>
      </c>
      <c r="T1159" s="50">
        <f t="shared" si="142"/>
        <v>1</v>
      </c>
      <c r="U1159" s="50">
        <f t="shared" si="143"/>
        <v>1</v>
      </c>
    </row>
    <row r="1160" spans="1:21" x14ac:dyDescent="0.2">
      <c r="A1160" s="38">
        <v>40010</v>
      </c>
      <c r="B1160" s="4">
        <v>0.2868</v>
      </c>
      <c r="C1160" s="4">
        <v>0.24260000000000001</v>
      </c>
      <c r="D1160" s="4">
        <v>0.47060000000000002</v>
      </c>
      <c r="E1160" s="50">
        <v>1</v>
      </c>
      <c r="F1160" s="50">
        <v>0.35367500000000002</v>
      </c>
      <c r="G1160" s="50">
        <v>-0.18379999999999999</v>
      </c>
      <c r="H1160" s="50">
        <v>0.38490743662900001</v>
      </c>
      <c r="I1160" s="50">
        <v>0.48829287047999997</v>
      </c>
      <c r="J1160" s="50">
        <v>0.28152200277799999</v>
      </c>
      <c r="K1160" s="50">
        <v>934.31</v>
      </c>
      <c r="L1160" s="50">
        <v>928.04</v>
      </c>
      <c r="M1160" s="50">
        <v>932.68</v>
      </c>
      <c r="N1160" s="66">
        <f t="shared" si="136"/>
        <v>2.2933910880473581E-2</v>
      </c>
      <c r="O1160" s="66">
        <f t="shared" si="137"/>
        <v>7.840845734871553E-2</v>
      </c>
      <c r="P1160" s="4">
        <f t="shared" si="138"/>
        <v>-0.18380000000000002</v>
      </c>
      <c r="Q1160" s="4">
        <f t="shared" si="139"/>
        <v>-0.18167499999999998</v>
      </c>
      <c r="R1160" s="66">
        <f t="shared" si="140"/>
        <v>2.2933910880473581E-2</v>
      </c>
      <c r="S1160" s="66">
        <f t="shared" si="141"/>
        <v>7.840845734871553E-2</v>
      </c>
      <c r="T1160" s="50">
        <f t="shared" si="142"/>
        <v>1</v>
      </c>
      <c r="U1160" s="50">
        <f t="shared" si="143"/>
        <v>1</v>
      </c>
    </row>
    <row r="1161" spans="1:21" x14ac:dyDescent="0.2">
      <c r="A1161" s="38">
        <v>40017</v>
      </c>
      <c r="B1161" s="4">
        <v>0.376</v>
      </c>
      <c r="C1161" s="4">
        <v>0.2</v>
      </c>
      <c r="D1161" s="4">
        <v>0.42399999999999999</v>
      </c>
      <c r="E1161" s="50">
        <v>1</v>
      </c>
      <c r="F1161" s="50">
        <v>0.35021249999999998</v>
      </c>
      <c r="G1161" s="50">
        <v>-4.8000000000000001E-2</v>
      </c>
      <c r="H1161" s="50">
        <v>0.38490743662900001</v>
      </c>
      <c r="I1161" s="50">
        <v>0.48829287047999997</v>
      </c>
      <c r="J1161" s="50">
        <v>0.28152200277799999</v>
      </c>
      <c r="K1161" s="50">
        <v>962.37</v>
      </c>
      <c r="L1161" s="50">
        <v>953.27</v>
      </c>
      <c r="M1161" s="50">
        <v>954.07</v>
      </c>
      <c r="N1161" s="66">
        <f t="shared" si="136"/>
        <v>2.209481484587077E-2</v>
      </c>
      <c r="O1161" s="66">
        <f t="shared" si="137"/>
        <v>4.4430702149737426E-2</v>
      </c>
      <c r="P1161" s="4">
        <f t="shared" si="138"/>
        <v>-4.7999999999999987E-2</v>
      </c>
      <c r="Q1161" s="4">
        <f t="shared" si="139"/>
        <v>-0.141675</v>
      </c>
      <c r="R1161" s="66">
        <f t="shared" si="140"/>
        <v>2.209481484587077E-2</v>
      </c>
      <c r="S1161" s="66">
        <f t="shared" si="141"/>
        <v>4.4430702149737426E-2</v>
      </c>
      <c r="T1161" s="50">
        <f t="shared" si="142"/>
        <v>1</v>
      </c>
      <c r="U1161" s="50">
        <f t="shared" si="143"/>
        <v>1</v>
      </c>
    </row>
    <row r="1162" spans="1:21" x14ac:dyDescent="0.2">
      <c r="A1162" s="38">
        <v>40024</v>
      </c>
      <c r="B1162" s="4">
        <v>0.47670000000000001</v>
      </c>
      <c r="C1162" s="4">
        <v>0.20930000000000001</v>
      </c>
      <c r="D1162" s="4">
        <v>0.314</v>
      </c>
      <c r="E1162" s="50">
        <v>1</v>
      </c>
      <c r="F1162" s="50">
        <v>0.35034999999999999</v>
      </c>
      <c r="G1162" s="50">
        <v>0.16270000000000001</v>
      </c>
      <c r="H1162" s="50">
        <v>0.38490743662900001</v>
      </c>
      <c r="I1162" s="50">
        <v>0.48829287047999997</v>
      </c>
      <c r="J1162" s="50">
        <v>0.28152200277799999</v>
      </c>
      <c r="K1162" s="50">
        <v>994.95</v>
      </c>
      <c r="L1162" s="50">
        <v>976.01</v>
      </c>
      <c r="M1162" s="50">
        <v>975.15</v>
      </c>
      <c r="N1162" s="66">
        <f t="shared" si="136"/>
        <v>2.8272573450238477E-2</v>
      </c>
      <c r="O1162" s="66">
        <f t="shared" si="137"/>
        <v>5.4319848228477581E-2</v>
      </c>
      <c r="P1162" s="4">
        <f t="shared" si="138"/>
        <v>0.16270000000000001</v>
      </c>
      <c r="Q1162" s="4">
        <f t="shared" si="139"/>
        <v>-8.4124999999999991E-2</v>
      </c>
      <c r="R1162" s="66">
        <f t="shared" si="140"/>
        <v>2.8272573450238477E-2</v>
      </c>
      <c r="S1162" s="66">
        <f t="shared" si="141"/>
        <v>5.4319848228477581E-2</v>
      </c>
      <c r="T1162" s="50">
        <f t="shared" si="142"/>
        <v>1</v>
      </c>
      <c r="U1162" s="50">
        <f t="shared" si="143"/>
        <v>1</v>
      </c>
    </row>
    <row r="1163" spans="1:21" x14ac:dyDescent="0.2">
      <c r="A1163" s="38">
        <v>40031</v>
      </c>
      <c r="B1163" s="4">
        <v>0.5</v>
      </c>
      <c r="C1163" s="4">
        <v>0.1484</v>
      </c>
      <c r="D1163" s="4">
        <v>0.35160000000000002</v>
      </c>
      <c r="E1163" s="50">
        <v>1</v>
      </c>
      <c r="F1163" s="50">
        <v>0.36378749999999999</v>
      </c>
      <c r="G1163" s="50">
        <v>0.1484</v>
      </c>
      <c r="H1163" s="50">
        <v>0.38490743662900001</v>
      </c>
      <c r="I1163" s="50">
        <v>0.48829287047999997</v>
      </c>
      <c r="J1163" s="50">
        <v>0.28152200277799999</v>
      </c>
      <c r="K1163" s="50">
        <v>1008</v>
      </c>
      <c r="L1163" s="50">
        <v>997.59</v>
      </c>
      <c r="M1163" s="50">
        <v>1002.72</v>
      </c>
      <c r="N1163" s="66">
        <f t="shared" si="136"/>
        <v>3.0816179990425224E-3</v>
      </c>
      <c r="O1163" s="66">
        <f t="shared" si="137"/>
        <v>-7.9483804052976181E-3</v>
      </c>
      <c r="P1163" s="4">
        <f t="shared" si="138"/>
        <v>0.14839999999999998</v>
      </c>
      <c r="Q1163" s="4">
        <f t="shared" si="139"/>
        <v>1.9824999999999995E-2</v>
      </c>
      <c r="R1163" s="66">
        <f t="shared" si="140"/>
        <v>3.0816179990425224E-3</v>
      </c>
      <c r="S1163" s="66">
        <f t="shared" si="141"/>
        <v>-7.9483804052976181E-3</v>
      </c>
      <c r="T1163" s="50">
        <f t="shared" si="142"/>
        <v>1</v>
      </c>
      <c r="U1163" s="50" t="str">
        <f t="shared" si="143"/>
        <v/>
      </c>
    </row>
    <row r="1164" spans="1:21" x14ac:dyDescent="0.2">
      <c r="A1164" s="38">
        <v>40038</v>
      </c>
      <c r="B1164" s="4">
        <v>0.51</v>
      </c>
      <c r="C1164" s="4">
        <v>0.16</v>
      </c>
      <c r="D1164" s="4">
        <v>0.33</v>
      </c>
      <c r="E1164" s="50">
        <v>1</v>
      </c>
      <c r="F1164" s="50">
        <v>0.38587500000000002</v>
      </c>
      <c r="G1164" s="50">
        <v>0.18</v>
      </c>
      <c r="H1164" s="50">
        <v>0.38490743662900001</v>
      </c>
      <c r="I1164" s="50">
        <v>0.48829287047999997</v>
      </c>
      <c r="J1164" s="50">
        <v>0.28152200277799999</v>
      </c>
      <c r="K1164" s="50">
        <v>1009.54</v>
      </c>
      <c r="L1164" s="50">
        <v>1000.82</v>
      </c>
      <c r="M1164" s="50">
        <v>1005.81</v>
      </c>
      <c r="N1164" s="66">
        <f t="shared" si="136"/>
        <v>-9.2959902963779539E-3</v>
      </c>
      <c r="O1164" s="66">
        <f t="shared" si="137"/>
        <v>2.7400801344190203E-2</v>
      </c>
      <c r="P1164" s="4">
        <f t="shared" si="138"/>
        <v>0.18</v>
      </c>
      <c r="Q1164" s="4">
        <f t="shared" si="139"/>
        <v>0.110775</v>
      </c>
      <c r="R1164" s="66">
        <f t="shared" si="140"/>
        <v>-9.2959902963779539E-3</v>
      </c>
      <c r="S1164" s="66">
        <f t="shared" si="141"/>
        <v>2.7400801344190203E-2</v>
      </c>
      <c r="T1164" s="50" t="str">
        <f t="shared" si="142"/>
        <v/>
      </c>
      <c r="U1164" s="50">
        <f t="shared" si="143"/>
        <v>1</v>
      </c>
    </row>
    <row r="1165" spans="1:21" x14ac:dyDescent="0.2">
      <c r="A1165" s="38">
        <v>40045</v>
      </c>
      <c r="B1165" s="4">
        <v>0.3407</v>
      </c>
      <c r="C1165" s="4">
        <v>0.25929999999999997</v>
      </c>
      <c r="D1165" s="4">
        <v>0.4</v>
      </c>
      <c r="E1165" s="50">
        <v>1</v>
      </c>
      <c r="F1165" s="50">
        <v>0.39346249999999999</v>
      </c>
      <c r="G1165" s="50">
        <v>-5.9299999999999999E-2</v>
      </c>
      <c r="H1165" s="50">
        <v>0.38490743662900001</v>
      </c>
      <c r="I1165" s="50">
        <v>0.48829287047999997</v>
      </c>
      <c r="J1165" s="50">
        <v>0.28152200277799999</v>
      </c>
      <c r="K1165" s="50">
        <v>1004.08</v>
      </c>
      <c r="L1165" s="50">
        <v>996.39</v>
      </c>
      <c r="M1165" s="50">
        <v>996.46</v>
      </c>
      <c r="N1165" s="66">
        <f t="shared" ref="N1165:N1228" si="144">(M1166-M1165)/M1165</f>
        <v>3.1772474559942046E-2</v>
      </c>
      <c r="O1165" s="66">
        <f t="shared" ref="O1165:O1228" si="145">(M1169-M1165)/M1165</f>
        <v>7.2556851253437124E-2</v>
      </c>
      <c r="P1165" s="4">
        <f t="shared" si="138"/>
        <v>-5.9300000000000019E-2</v>
      </c>
      <c r="Q1165" s="4">
        <f t="shared" si="139"/>
        <v>0.10794999999999999</v>
      </c>
      <c r="R1165" s="66">
        <f t="shared" si="140"/>
        <v>3.1772474559942046E-2</v>
      </c>
      <c r="S1165" s="66">
        <f t="shared" si="141"/>
        <v>7.2556851253437124E-2</v>
      </c>
      <c r="T1165" s="50">
        <f t="shared" si="142"/>
        <v>1</v>
      </c>
      <c r="U1165" s="50">
        <f t="shared" si="143"/>
        <v>1</v>
      </c>
    </row>
    <row r="1166" spans="1:21" x14ac:dyDescent="0.2">
      <c r="A1166" s="38">
        <v>40052</v>
      </c>
      <c r="B1166" s="4">
        <v>0.33979999999999999</v>
      </c>
      <c r="C1166" s="4">
        <v>0.17480000000000001</v>
      </c>
      <c r="D1166" s="4">
        <v>0.4854</v>
      </c>
      <c r="E1166" s="50">
        <v>1</v>
      </c>
      <c r="F1166" s="50">
        <v>0.38863750000000002</v>
      </c>
      <c r="G1166" s="50">
        <v>-0.14560000000000001</v>
      </c>
      <c r="H1166" s="50">
        <v>0.38490743662900001</v>
      </c>
      <c r="I1166" s="50">
        <v>0.48829287047999997</v>
      </c>
      <c r="J1166" s="50">
        <v>0.28152200277799999</v>
      </c>
      <c r="K1166" s="50">
        <v>1027.81</v>
      </c>
      <c r="L1166" s="50">
        <v>1016.83</v>
      </c>
      <c r="M1166" s="50">
        <v>1028.1199999999999</v>
      </c>
      <c r="N1166" s="66">
        <f t="shared" si="144"/>
        <v>-3.2457300704197854E-2</v>
      </c>
      <c r="O1166" s="66">
        <f t="shared" si="145"/>
        <v>3.1854258257790924E-2</v>
      </c>
      <c r="P1166" s="4">
        <f t="shared" ref="P1166:P1229" si="146">B1166-D1166</f>
        <v>-0.14560000000000001</v>
      </c>
      <c r="Q1166" s="4">
        <f t="shared" si="139"/>
        <v>3.0874999999999986E-2</v>
      </c>
      <c r="R1166" s="66">
        <f t="shared" si="140"/>
        <v>-3.2457300704197854E-2</v>
      </c>
      <c r="S1166" s="66">
        <f t="shared" si="141"/>
        <v>3.1854258257790924E-2</v>
      </c>
      <c r="T1166" s="50" t="str">
        <f t="shared" si="142"/>
        <v/>
      </c>
      <c r="U1166" s="50">
        <f t="shared" si="143"/>
        <v>1</v>
      </c>
    </row>
    <row r="1167" spans="1:21" x14ac:dyDescent="0.2">
      <c r="A1167" s="38">
        <v>40059</v>
      </c>
      <c r="B1167" s="4">
        <v>0.37969999999999998</v>
      </c>
      <c r="C1167" s="4">
        <v>0.24049999999999999</v>
      </c>
      <c r="D1167" s="4">
        <v>0.37969999999999998</v>
      </c>
      <c r="E1167" s="50">
        <v>0.99990000000000001</v>
      </c>
      <c r="F1167" s="50">
        <v>0.40121250000000003</v>
      </c>
      <c r="G1167" s="50">
        <v>0</v>
      </c>
      <c r="H1167" s="50">
        <v>0.38490743662900001</v>
      </c>
      <c r="I1167" s="50">
        <v>0.48829287047999997</v>
      </c>
      <c r="J1167" s="50">
        <v>0.28152200277799999</v>
      </c>
      <c r="K1167" s="50">
        <v>1001.46</v>
      </c>
      <c r="L1167" s="50">
        <v>996.12</v>
      </c>
      <c r="M1167" s="50">
        <v>994.75</v>
      </c>
      <c r="N1167" s="66">
        <f t="shared" si="144"/>
        <v>3.8823825081678705E-2</v>
      </c>
      <c r="O1167" s="66">
        <f t="shared" si="145"/>
        <v>6.2658959537572181E-2</v>
      </c>
      <c r="P1167" s="4">
        <f t="shared" si="146"/>
        <v>0</v>
      </c>
      <c r="Q1167" s="4">
        <f t="shared" si="139"/>
        <v>-6.2250000000000083E-3</v>
      </c>
      <c r="R1167" s="66">
        <f t="shared" si="140"/>
        <v>3.8823825081678705E-2</v>
      </c>
      <c r="S1167" s="66">
        <f t="shared" si="141"/>
        <v>6.2658959537572181E-2</v>
      </c>
      <c r="T1167" s="50">
        <f t="shared" si="142"/>
        <v>1</v>
      </c>
      <c r="U1167" s="50">
        <f t="shared" si="143"/>
        <v>1</v>
      </c>
    </row>
    <row r="1168" spans="1:21" x14ac:dyDescent="0.2">
      <c r="A1168" s="38">
        <v>40066</v>
      </c>
      <c r="B1168" s="4">
        <v>0.37330000000000002</v>
      </c>
      <c r="C1168" s="4">
        <v>0.1867</v>
      </c>
      <c r="D1168" s="4">
        <v>0.44</v>
      </c>
      <c r="E1168" s="50">
        <v>1</v>
      </c>
      <c r="F1168" s="50">
        <v>0.41202499999999997</v>
      </c>
      <c r="G1168" s="50">
        <v>-6.6699999999999995E-2</v>
      </c>
      <c r="H1168" s="50">
        <v>0.38490743662900001</v>
      </c>
      <c r="I1168" s="50">
        <v>0.48829287047999997</v>
      </c>
      <c r="J1168" s="50">
        <v>0.28152200277799999</v>
      </c>
      <c r="K1168" s="50">
        <v>1033.94</v>
      </c>
      <c r="L1168" s="50">
        <v>1028.04</v>
      </c>
      <c r="M1168" s="50">
        <v>1033.3699999999999</v>
      </c>
      <c r="N1168" s="66">
        <f t="shared" si="144"/>
        <v>3.4247171874546491E-2</v>
      </c>
      <c r="O1168" s="66">
        <f t="shared" si="145"/>
        <v>2.3428200934805576E-2</v>
      </c>
      <c r="P1168" s="4">
        <f t="shared" si="146"/>
        <v>-6.6699999999999982E-2</v>
      </c>
      <c r="Q1168" s="4">
        <f t="shared" si="139"/>
        <v>-6.7900000000000002E-2</v>
      </c>
      <c r="R1168" s="66">
        <f t="shared" si="140"/>
        <v>3.4247171874546491E-2</v>
      </c>
      <c r="S1168" s="66">
        <f t="shared" si="141"/>
        <v>2.3428200934805576E-2</v>
      </c>
      <c r="T1168" s="50">
        <f t="shared" si="142"/>
        <v>1</v>
      </c>
      <c r="U1168" s="50">
        <f t="shared" si="143"/>
        <v>1</v>
      </c>
    </row>
    <row r="1169" spans="1:21" x14ac:dyDescent="0.2">
      <c r="A1169" s="38">
        <v>40073</v>
      </c>
      <c r="B1169" s="4">
        <v>0.4214</v>
      </c>
      <c r="C1169" s="4">
        <v>0.17860000000000001</v>
      </c>
      <c r="D1169" s="4">
        <v>0.4</v>
      </c>
      <c r="E1169" s="50">
        <v>1</v>
      </c>
      <c r="F1169" s="50">
        <v>0.41770000000000002</v>
      </c>
      <c r="G1169" s="50">
        <v>2.1399999999999999E-2</v>
      </c>
      <c r="H1169" s="50">
        <v>0.38490743662900001</v>
      </c>
      <c r="I1169" s="50">
        <v>0.48829287047999997</v>
      </c>
      <c r="J1169" s="50">
        <v>0.28152200277799999</v>
      </c>
      <c r="K1169" s="50">
        <v>1074.77</v>
      </c>
      <c r="L1169" s="50">
        <v>1066.93</v>
      </c>
      <c r="M1169" s="50">
        <v>1068.76</v>
      </c>
      <c r="N1169" s="66">
        <f t="shared" si="144"/>
        <v>-7.3823870653842768E-3</v>
      </c>
      <c r="O1169" s="66">
        <f t="shared" si="145"/>
        <v>2.1763539054605329E-2</v>
      </c>
      <c r="P1169" s="4">
        <f t="shared" si="146"/>
        <v>2.1399999999999975E-2</v>
      </c>
      <c r="Q1169" s="4">
        <f t="shared" ref="Q1169:Q1232" si="147">AVERAGE(P1166:P1169)</f>
        <v>-4.7725000000000004E-2</v>
      </c>
      <c r="R1169" s="66">
        <f t="shared" ref="R1169:R1232" si="148">(M1170-M1169)/M1169</f>
        <v>-7.3823870653842768E-3</v>
      </c>
      <c r="S1169" s="66">
        <f t="shared" ref="S1169:S1232" si="149">(M1173-M1169)/M1169</f>
        <v>2.1763539054605329E-2</v>
      </c>
      <c r="T1169" s="50" t="str">
        <f t="shared" ref="T1169:T1232" si="150">IF(R1169&gt;0,1,"")</f>
        <v/>
      </c>
      <c r="U1169" s="50">
        <f t="shared" ref="U1169:U1232" si="151">IF(S1169&gt;0,1,"")</f>
        <v>1</v>
      </c>
    </row>
    <row r="1170" spans="1:21" x14ac:dyDescent="0.2">
      <c r="A1170" s="38">
        <v>40080</v>
      </c>
      <c r="B1170" s="4">
        <v>0.39090000000000003</v>
      </c>
      <c r="C1170" s="4">
        <v>0.1636</v>
      </c>
      <c r="D1170" s="4">
        <v>0.44550000000000001</v>
      </c>
      <c r="E1170" s="50">
        <v>1</v>
      </c>
      <c r="F1170" s="50">
        <v>0.40697499999999998</v>
      </c>
      <c r="G1170" s="50">
        <v>-5.4600000000000003E-2</v>
      </c>
      <c r="H1170" s="50">
        <v>0.38490743662900001</v>
      </c>
      <c r="I1170" s="50">
        <v>0.48829287047999997</v>
      </c>
      <c r="J1170" s="50">
        <v>0.28152200277799999</v>
      </c>
      <c r="K1170" s="50">
        <v>1066.29</v>
      </c>
      <c r="L1170" s="50">
        <v>1051.04</v>
      </c>
      <c r="M1170" s="50">
        <v>1060.8699999999999</v>
      </c>
      <c r="N1170" s="66">
        <f t="shared" si="144"/>
        <v>-3.5725395194509827E-3</v>
      </c>
      <c r="O1170" s="66">
        <f t="shared" si="145"/>
        <v>1.9352041249163614E-2</v>
      </c>
      <c r="P1170" s="4">
        <f t="shared" si="146"/>
        <v>-5.4599999999999982E-2</v>
      </c>
      <c r="Q1170" s="4">
        <f t="shared" si="147"/>
        <v>-2.4974999999999997E-2</v>
      </c>
      <c r="R1170" s="66">
        <f t="shared" si="148"/>
        <v>-3.5725395194509827E-3</v>
      </c>
      <c r="S1170" s="66">
        <f t="shared" si="149"/>
        <v>1.9352041249163614E-2</v>
      </c>
      <c r="T1170" s="50" t="str">
        <f t="shared" si="150"/>
        <v/>
      </c>
      <c r="U1170" s="50">
        <f t="shared" si="151"/>
        <v>1</v>
      </c>
    </row>
    <row r="1171" spans="1:21" x14ac:dyDescent="0.2">
      <c r="A1171" s="38">
        <v>40087</v>
      </c>
      <c r="B1171" s="4">
        <v>0.4355</v>
      </c>
      <c r="C1171" s="4">
        <v>0.2097</v>
      </c>
      <c r="D1171" s="4">
        <v>0.3548</v>
      </c>
      <c r="E1171" s="50">
        <v>1</v>
      </c>
      <c r="F1171" s="50">
        <v>0.3989125</v>
      </c>
      <c r="G1171" s="50">
        <v>8.0699999999999994E-2</v>
      </c>
      <c r="H1171" s="50">
        <v>0.38490743662900001</v>
      </c>
      <c r="I1171" s="50">
        <v>0.48829287047999997</v>
      </c>
      <c r="J1171" s="50">
        <v>0.28152200277799999</v>
      </c>
      <c r="K1171" s="50">
        <v>1054.9100000000001</v>
      </c>
      <c r="L1171" s="50">
        <v>1043.6500000000001</v>
      </c>
      <c r="M1171" s="50">
        <v>1057.08</v>
      </c>
      <c r="N1171" s="66">
        <f t="shared" si="144"/>
        <v>4.7300109736254589E-4</v>
      </c>
      <c r="O1171" s="66">
        <f t="shared" si="145"/>
        <v>-1.3669731713777404E-2</v>
      </c>
      <c r="P1171" s="4">
        <f t="shared" si="146"/>
        <v>8.0699999999999994E-2</v>
      </c>
      <c r="Q1171" s="4">
        <f t="shared" si="147"/>
        <v>-4.7999999999999987E-3</v>
      </c>
      <c r="R1171" s="66">
        <f t="shared" si="148"/>
        <v>4.7300109736254589E-4</v>
      </c>
      <c r="S1171" s="66">
        <f t="shared" si="149"/>
        <v>-1.3669731713777404E-2</v>
      </c>
      <c r="T1171" s="50">
        <f t="shared" si="150"/>
        <v>1</v>
      </c>
      <c r="U1171" s="50" t="str">
        <f t="shared" si="151"/>
        <v/>
      </c>
    </row>
    <row r="1172" spans="1:21" x14ac:dyDescent="0.2">
      <c r="A1172" s="38">
        <v>40094</v>
      </c>
      <c r="B1172" s="4">
        <v>0.35089999999999999</v>
      </c>
      <c r="C1172" s="4">
        <v>0.23680000000000001</v>
      </c>
      <c r="D1172" s="4">
        <v>0.4123</v>
      </c>
      <c r="E1172" s="50">
        <v>1</v>
      </c>
      <c r="F1172" s="50">
        <v>0.379025</v>
      </c>
      <c r="G1172" s="50">
        <v>-6.1400000000000003E-2</v>
      </c>
      <c r="H1172" s="50">
        <v>0.38490743662900001</v>
      </c>
      <c r="I1172" s="50">
        <v>0.48829287047999997</v>
      </c>
      <c r="J1172" s="50">
        <v>0.28152200277799999</v>
      </c>
      <c r="K1172" s="50">
        <v>1066.8599999999999</v>
      </c>
      <c r="L1172" s="50">
        <v>1060.03</v>
      </c>
      <c r="M1172" s="50">
        <v>1057.58</v>
      </c>
      <c r="N1172" s="66">
        <f t="shared" si="144"/>
        <v>3.2564912347056545E-2</v>
      </c>
      <c r="O1172" s="66">
        <f t="shared" si="145"/>
        <v>-1.0476748803872926E-2</v>
      </c>
      <c r="P1172" s="4">
        <f t="shared" si="146"/>
        <v>-6.140000000000001E-2</v>
      </c>
      <c r="Q1172" s="4">
        <f t="shared" si="147"/>
        <v>-3.4750000000000059E-3</v>
      </c>
      <c r="R1172" s="66">
        <f t="shared" si="148"/>
        <v>3.2564912347056545E-2</v>
      </c>
      <c r="S1172" s="66">
        <f t="shared" si="149"/>
        <v>-1.0476748803872926E-2</v>
      </c>
      <c r="T1172" s="50">
        <f t="shared" si="150"/>
        <v>1</v>
      </c>
      <c r="U1172" s="50" t="str">
        <f t="shared" si="151"/>
        <v/>
      </c>
    </row>
    <row r="1173" spans="1:21" x14ac:dyDescent="0.2">
      <c r="A1173" s="38">
        <v>40101</v>
      </c>
      <c r="B1173" s="4">
        <v>0.47299999999999998</v>
      </c>
      <c r="C1173" s="4">
        <v>0.18920000000000001</v>
      </c>
      <c r="D1173" s="4">
        <v>0.33779999999999999</v>
      </c>
      <c r="E1173" s="50">
        <v>1</v>
      </c>
      <c r="F1173" s="50">
        <v>0.39556249999999998</v>
      </c>
      <c r="G1173" s="50">
        <v>0.13519999999999999</v>
      </c>
      <c r="H1173" s="50">
        <v>0.38490743662900001</v>
      </c>
      <c r="I1173" s="50">
        <v>0.48829287047999997</v>
      </c>
      <c r="J1173" s="50">
        <v>0.28152200277799999</v>
      </c>
      <c r="K1173" s="50">
        <v>1090.8900000000001</v>
      </c>
      <c r="L1173" s="50">
        <v>1086.8800000000001</v>
      </c>
      <c r="M1173" s="50">
        <v>1092.02</v>
      </c>
      <c r="N1173" s="66">
        <f t="shared" si="144"/>
        <v>-9.7250966099520983E-3</v>
      </c>
      <c r="O1173" s="66">
        <f t="shared" si="145"/>
        <v>5.9431145949707968E-3</v>
      </c>
      <c r="P1173" s="4">
        <f t="shared" si="146"/>
        <v>0.13519999999999999</v>
      </c>
      <c r="Q1173" s="4">
        <f t="shared" si="147"/>
        <v>2.4974999999999997E-2</v>
      </c>
      <c r="R1173" s="66">
        <f t="shared" si="148"/>
        <v>-9.7250966099520983E-3</v>
      </c>
      <c r="S1173" s="66">
        <f t="shared" si="149"/>
        <v>5.9431145949707968E-3</v>
      </c>
      <c r="T1173" s="50" t="str">
        <f t="shared" si="150"/>
        <v/>
      </c>
      <c r="U1173" s="50">
        <f t="shared" si="151"/>
        <v>1</v>
      </c>
    </row>
    <row r="1174" spans="1:21" x14ac:dyDescent="0.2">
      <c r="A1174" s="38">
        <v>40108</v>
      </c>
      <c r="B1174" s="4">
        <v>0.40479999999999999</v>
      </c>
      <c r="C1174" s="4">
        <v>0.23810000000000001</v>
      </c>
      <c r="D1174" s="4">
        <v>0.35709999999999997</v>
      </c>
      <c r="E1174" s="50">
        <v>1</v>
      </c>
      <c r="F1174" s="50">
        <v>0.40368749999999998</v>
      </c>
      <c r="G1174" s="50">
        <v>4.7699999999999999E-2</v>
      </c>
      <c r="H1174" s="50">
        <v>0.38490743662900001</v>
      </c>
      <c r="I1174" s="50">
        <v>0.48829287047999997</v>
      </c>
      <c r="J1174" s="50">
        <v>0.28152200277799999</v>
      </c>
      <c r="K1174" s="50">
        <v>1101.3599999999999</v>
      </c>
      <c r="L1174" s="50">
        <v>1080.77</v>
      </c>
      <c r="M1174" s="50">
        <v>1081.4000000000001</v>
      </c>
      <c r="N1174" s="66">
        <f t="shared" si="144"/>
        <v>-3.5851673756241889E-2</v>
      </c>
      <c r="O1174" s="66">
        <f t="shared" si="145"/>
        <v>2.6262252635472407E-2</v>
      </c>
      <c r="P1174" s="4">
        <f t="shared" si="146"/>
        <v>4.770000000000002E-2</v>
      </c>
      <c r="Q1174" s="4">
        <f t="shared" si="147"/>
        <v>5.0549999999999998E-2</v>
      </c>
      <c r="R1174" s="66">
        <f t="shared" si="148"/>
        <v>-3.5851673756241889E-2</v>
      </c>
      <c r="S1174" s="66">
        <f t="shared" si="149"/>
        <v>2.6262252635472407E-2</v>
      </c>
      <c r="T1174" s="50" t="str">
        <f t="shared" si="150"/>
        <v/>
      </c>
      <c r="U1174" s="50">
        <f t="shared" si="151"/>
        <v>1</v>
      </c>
    </row>
    <row r="1175" spans="1:21" x14ac:dyDescent="0.2">
      <c r="A1175" s="38">
        <v>40115</v>
      </c>
      <c r="B1175" s="4">
        <v>0.33650000000000002</v>
      </c>
      <c r="C1175" s="4">
        <v>0.2404</v>
      </c>
      <c r="D1175" s="4">
        <v>0.42309999999999998</v>
      </c>
      <c r="E1175" s="50">
        <v>1</v>
      </c>
      <c r="F1175" s="50">
        <v>0.39828750000000002</v>
      </c>
      <c r="G1175" s="50">
        <v>-8.6599999999999996E-2</v>
      </c>
      <c r="H1175" s="50">
        <v>0.38490743662900001</v>
      </c>
      <c r="I1175" s="50">
        <v>0.48829287047999997</v>
      </c>
      <c r="J1175" s="50">
        <v>0.28152200277799999</v>
      </c>
      <c r="K1175" s="50">
        <v>1056.01</v>
      </c>
      <c r="L1175" s="50">
        <v>1043.69</v>
      </c>
      <c r="M1175" s="50">
        <v>1042.6300000000001</v>
      </c>
      <c r="N1175" s="66">
        <f t="shared" si="144"/>
        <v>3.7117673575476347E-3</v>
      </c>
      <c r="O1175" s="66">
        <f t="shared" si="145"/>
        <v>6.5219684835464156E-2</v>
      </c>
      <c r="P1175" s="4">
        <f t="shared" si="146"/>
        <v>-8.6599999999999955E-2</v>
      </c>
      <c r="Q1175" s="4">
        <f t="shared" si="147"/>
        <v>8.7250000000000105E-3</v>
      </c>
      <c r="R1175" s="66">
        <f t="shared" si="148"/>
        <v>3.7117673575476347E-3</v>
      </c>
      <c r="S1175" s="66">
        <f t="shared" si="149"/>
        <v>6.5219684835464156E-2</v>
      </c>
      <c r="T1175" s="50">
        <f t="shared" si="150"/>
        <v>1</v>
      </c>
      <c r="U1175" s="50">
        <f t="shared" si="151"/>
        <v>1</v>
      </c>
    </row>
    <row r="1176" spans="1:21" x14ac:dyDescent="0.2">
      <c r="A1176" s="38">
        <v>40122</v>
      </c>
      <c r="B1176" s="4">
        <v>0.22220000000000001</v>
      </c>
      <c r="C1176" s="4">
        <v>0.22220000000000001</v>
      </c>
      <c r="D1176" s="4">
        <v>0.55559999999999998</v>
      </c>
      <c r="E1176" s="50">
        <v>1</v>
      </c>
      <c r="F1176" s="50">
        <v>0.37940000000000002</v>
      </c>
      <c r="G1176" s="50">
        <v>-0.33339999999999997</v>
      </c>
      <c r="H1176" s="50">
        <v>0.38490743662900001</v>
      </c>
      <c r="I1176" s="50">
        <v>0.48829287047999997</v>
      </c>
      <c r="J1176" s="50">
        <v>0.28152200277799999</v>
      </c>
      <c r="K1176" s="50">
        <v>1060.98</v>
      </c>
      <c r="L1176" s="50">
        <v>1047.3</v>
      </c>
      <c r="M1176" s="50">
        <v>1046.5</v>
      </c>
      <c r="N1176" s="66">
        <f t="shared" si="144"/>
        <v>4.9698996655518385E-2</v>
      </c>
      <c r="O1176" s="66">
        <f t="shared" si="145"/>
        <v>5.9952221691352135E-2</v>
      </c>
      <c r="P1176" s="4">
        <f t="shared" si="146"/>
        <v>-0.33339999999999997</v>
      </c>
      <c r="Q1176" s="4">
        <f t="shared" si="147"/>
        <v>-5.927499999999998E-2</v>
      </c>
      <c r="R1176" s="66">
        <f t="shared" si="148"/>
        <v>4.9698996655518385E-2</v>
      </c>
      <c r="S1176" s="66">
        <f t="shared" si="149"/>
        <v>5.9952221691352135E-2</v>
      </c>
      <c r="T1176" s="50">
        <f t="shared" si="150"/>
        <v>1</v>
      </c>
      <c r="U1176" s="50">
        <f t="shared" si="151"/>
        <v>1</v>
      </c>
    </row>
    <row r="1177" spans="1:21" x14ac:dyDescent="0.2">
      <c r="A1177" s="38">
        <v>40129</v>
      </c>
      <c r="B1177" s="4">
        <v>0.38600000000000001</v>
      </c>
      <c r="C1177" s="4">
        <v>0.22800000000000001</v>
      </c>
      <c r="D1177" s="4">
        <v>0.38600000000000001</v>
      </c>
      <c r="E1177" s="50">
        <v>1</v>
      </c>
      <c r="F1177" s="50">
        <v>0.374975</v>
      </c>
      <c r="G1177" s="50">
        <v>0</v>
      </c>
      <c r="H1177" s="50">
        <v>0.38490743662900001</v>
      </c>
      <c r="I1177" s="50">
        <v>0.48829287047999997</v>
      </c>
      <c r="J1177" s="50">
        <v>0.28152200277799999</v>
      </c>
      <c r="K1177" s="50">
        <v>1105.3699999999999</v>
      </c>
      <c r="L1177" s="50">
        <v>1063.21</v>
      </c>
      <c r="M1177" s="50">
        <v>1098.51</v>
      </c>
      <c r="N1177" s="66">
        <f t="shared" si="144"/>
        <v>1.0277557782814872E-2</v>
      </c>
      <c r="O1177" s="66">
        <f t="shared" si="145"/>
        <v>-2.3304293998233474E-3</v>
      </c>
      <c r="P1177" s="4">
        <f t="shared" si="146"/>
        <v>0</v>
      </c>
      <c r="Q1177" s="4">
        <f t="shared" si="147"/>
        <v>-9.3074999999999977E-2</v>
      </c>
      <c r="R1177" s="66">
        <f t="shared" si="148"/>
        <v>1.0277557782814872E-2</v>
      </c>
      <c r="S1177" s="66">
        <f t="shared" si="149"/>
        <v>-2.3304293998233474E-3</v>
      </c>
      <c r="T1177" s="50">
        <f t="shared" si="150"/>
        <v>1</v>
      </c>
      <c r="U1177" s="50" t="str">
        <f t="shared" si="151"/>
        <v/>
      </c>
    </row>
    <row r="1178" spans="1:21" x14ac:dyDescent="0.2">
      <c r="A1178" s="38">
        <v>40136</v>
      </c>
      <c r="B1178" s="4">
        <v>0.42730000000000001</v>
      </c>
      <c r="C1178" s="4">
        <v>0.2545</v>
      </c>
      <c r="D1178" s="4">
        <v>0.31819999999999998</v>
      </c>
      <c r="E1178" s="50">
        <v>1</v>
      </c>
      <c r="F1178" s="50">
        <v>0.379525</v>
      </c>
      <c r="G1178" s="50">
        <v>0.1091</v>
      </c>
      <c r="H1178" s="50">
        <v>0.38490743662900001</v>
      </c>
      <c r="I1178" s="50">
        <v>0.48829287047999997</v>
      </c>
      <c r="J1178" s="50">
        <v>0.28152200277799999</v>
      </c>
      <c r="K1178" s="50">
        <v>1106.44</v>
      </c>
      <c r="L1178" s="50">
        <v>1089.8399999999999</v>
      </c>
      <c r="M1178" s="50">
        <v>1109.8</v>
      </c>
      <c r="N1178" s="66">
        <f t="shared" si="144"/>
        <v>7.4788250135173428E-4</v>
      </c>
      <c r="O1178" s="66">
        <f t="shared" si="145"/>
        <v>-5.586592178769967E-4</v>
      </c>
      <c r="P1178" s="4">
        <f t="shared" si="146"/>
        <v>0.10910000000000003</v>
      </c>
      <c r="Q1178" s="4">
        <f t="shared" si="147"/>
        <v>-7.7724999999999975E-2</v>
      </c>
      <c r="R1178" s="66">
        <f t="shared" si="148"/>
        <v>7.4788250135173428E-4</v>
      </c>
      <c r="S1178" s="66">
        <f t="shared" si="149"/>
        <v>-5.586592178769967E-4</v>
      </c>
      <c r="T1178" s="50">
        <f t="shared" si="150"/>
        <v>1</v>
      </c>
      <c r="U1178" s="50" t="str">
        <f t="shared" si="151"/>
        <v/>
      </c>
    </row>
    <row r="1179" spans="1:21" x14ac:dyDescent="0.2">
      <c r="A1179" s="38">
        <v>40143</v>
      </c>
      <c r="B1179" s="4">
        <v>0.41660000000000003</v>
      </c>
      <c r="C1179" s="4">
        <v>0.1666</v>
      </c>
      <c r="D1179" s="4">
        <v>0.41660000000000003</v>
      </c>
      <c r="E1179" s="50">
        <v>0.99980000000000002</v>
      </c>
      <c r="F1179" s="50">
        <v>0.37716250000000001</v>
      </c>
      <c r="G1179" s="50">
        <v>0</v>
      </c>
      <c r="H1179" s="50">
        <v>0.38490743662900001</v>
      </c>
      <c r="I1179" s="50">
        <v>0.48829287047999997</v>
      </c>
      <c r="J1179" s="50">
        <v>0.28152200277799999</v>
      </c>
      <c r="K1179" s="50">
        <v>1105.47</v>
      </c>
      <c r="L1179" s="50">
        <v>1083.74</v>
      </c>
      <c r="M1179" s="50">
        <v>1110.6300000000001</v>
      </c>
      <c r="N1179" s="66">
        <f t="shared" si="144"/>
        <v>-1.2515419176504325E-3</v>
      </c>
      <c r="O1179" s="66">
        <f t="shared" si="145"/>
        <v>1.544168625014619E-2</v>
      </c>
      <c r="P1179" s="4">
        <f t="shared" si="146"/>
        <v>0</v>
      </c>
      <c r="Q1179" s="4">
        <f t="shared" si="147"/>
        <v>-5.6074999999999986E-2</v>
      </c>
      <c r="R1179" s="66">
        <f t="shared" si="148"/>
        <v>-1.2515419176504325E-3</v>
      </c>
      <c r="S1179" s="66">
        <f t="shared" si="149"/>
        <v>1.544168625014619E-2</v>
      </c>
      <c r="T1179" s="50" t="str">
        <f t="shared" si="150"/>
        <v/>
      </c>
      <c r="U1179" s="50">
        <f t="shared" si="151"/>
        <v>1</v>
      </c>
    </row>
    <row r="1180" spans="1:21" x14ac:dyDescent="0.2">
      <c r="A1180" s="38">
        <v>40150</v>
      </c>
      <c r="B1180" s="4">
        <v>0.4158</v>
      </c>
      <c r="C1180" s="4">
        <v>0.2475</v>
      </c>
      <c r="D1180" s="4">
        <v>0.33660000000000001</v>
      </c>
      <c r="E1180" s="50">
        <v>0.99990000000000001</v>
      </c>
      <c r="F1180" s="50">
        <v>0.38527499999999998</v>
      </c>
      <c r="G1180" s="50">
        <v>7.9200000000000007E-2</v>
      </c>
      <c r="H1180" s="50">
        <v>0.38490743662900001</v>
      </c>
      <c r="I1180" s="50">
        <v>0.48829287047999997</v>
      </c>
      <c r="J1180" s="50">
        <v>0.28152200277799999</v>
      </c>
      <c r="K1180" s="50">
        <v>1117.28</v>
      </c>
      <c r="L1180" s="50">
        <v>1109.24</v>
      </c>
      <c r="M1180" s="50">
        <v>1109.24</v>
      </c>
      <c r="N1180" s="66">
        <f t="shared" si="144"/>
        <v>-1.1981176300890666E-2</v>
      </c>
      <c r="O1180" s="66">
        <f t="shared" si="145"/>
        <v>5.2828963975333557E-3</v>
      </c>
      <c r="P1180" s="4">
        <f t="shared" si="146"/>
        <v>7.9199999999999993E-2</v>
      </c>
      <c r="Q1180" s="4">
        <f t="shared" si="147"/>
        <v>4.7075000000000006E-2</v>
      </c>
      <c r="R1180" s="66">
        <f t="shared" si="148"/>
        <v>-1.1981176300890666E-2</v>
      </c>
      <c r="S1180" s="66">
        <f t="shared" si="149"/>
        <v>5.2828963975333557E-3</v>
      </c>
      <c r="T1180" s="50" t="str">
        <f t="shared" si="150"/>
        <v/>
      </c>
      <c r="U1180" s="50">
        <f t="shared" si="151"/>
        <v>1</v>
      </c>
    </row>
    <row r="1181" spans="1:21" x14ac:dyDescent="0.2">
      <c r="A1181" s="38">
        <v>40157</v>
      </c>
      <c r="B1181" s="4">
        <v>0.42680000000000001</v>
      </c>
      <c r="C1181" s="4">
        <v>0.2195</v>
      </c>
      <c r="D1181" s="4">
        <v>0.35370000000000001</v>
      </c>
      <c r="E1181" s="50">
        <v>1</v>
      </c>
      <c r="F1181" s="50">
        <v>0.3795</v>
      </c>
      <c r="G1181" s="50">
        <v>7.3099999999999998E-2</v>
      </c>
      <c r="H1181" s="50">
        <v>0.38490743662900001</v>
      </c>
      <c r="I1181" s="50">
        <v>0.48829287047999997</v>
      </c>
      <c r="J1181" s="50">
        <v>0.28152200277799999</v>
      </c>
      <c r="K1181" s="50">
        <v>1106.25</v>
      </c>
      <c r="L1181" s="50">
        <v>1098.69</v>
      </c>
      <c r="M1181" s="50">
        <v>1095.95</v>
      </c>
      <c r="N1181" s="66">
        <f t="shared" si="144"/>
        <v>1.2071718600301125E-2</v>
      </c>
      <c r="O1181" s="66">
        <f t="shared" si="145"/>
        <v>3.7583831379168806E-2</v>
      </c>
      <c r="P1181" s="4">
        <f t="shared" si="146"/>
        <v>7.3099999999999998E-2</v>
      </c>
      <c r="Q1181" s="4">
        <f t="shared" si="147"/>
        <v>6.5350000000000005E-2</v>
      </c>
      <c r="R1181" s="66">
        <f t="shared" si="148"/>
        <v>1.2071718600301125E-2</v>
      </c>
      <c r="S1181" s="66">
        <f t="shared" si="149"/>
        <v>3.7583831379168806E-2</v>
      </c>
      <c r="T1181" s="50">
        <f t="shared" si="150"/>
        <v>1</v>
      </c>
      <c r="U1181" s="50">
        <f t="shared" si="151"/>
        <v>1</v>
      </c>
    </row>
    <row r="1182" spans="1:21" x14ac:dyDescent="0.2">
      <c r="A1182" s="38">
        <v>40164</v>
      </c>
      <c r="B1182" s="4">
        <v>0.42109999999999997</v>
      </c>
      <c r="C1182" s="4">
        <v>0.29470000000000002</v>
      </c>
      <c r="D1182" s="4">
        <v>0.28420000000000001</v>
      </c>
      <c r="E1182" s="50">
        <v>1</v>
      </c>
      <c r="F1182" s="50">
        <v>0.38153749999999997</v>
      </c>
      <c r="G1182" s="50">
        <v>0.13689999999999999</v>
      </c>
      <c r="H1182" s="50">
        <v>0.38490743662900001</v>
      </c>
      <c r="I1182" s="50">
        <v>0.48829287047999997</v>
      </c>
      <c r="J1182" s="50">
        <v>0.28152200277799999</v>
      </c>
      <c r="K1182" s="50">
        <v>1106.3599999999999</v>
      </c>
      <c r="L1182" s="50">
        <v>1098.1600000000001</v>
      </c>
      <c r="M1182" s="50">
        <v>1109.18</v>
      </c>
      <c r="N1182" s="66">
        <f t="shared" si="144"/>
        <v>1.6769144773616462E-2</v>
      </c>
      <c r="O1182" s="66">
        <f t="shared" si="145"/>
        <v>3.290719270091419E-2</v>
      </c>
      <c r="P1182" s="4">
        <f t="shared" si="146"/>
        <v>0.13689999999999997</v>
      </c>
      <c r="Q1182" s="4">
        <f t="shared" si="147"/>
        <v>7.2299999999999989E-2</v>
      </c>
      <c r="R1182" s="66">
        <f t="shared" si="148"/>
        <v>1.6769144773616462E-2</v>
      </c>
      <c r="S1182" s="66">
        <f t="shared" si="149"/>
        <v>3.290719270091419E-2</v>
      </c>
      <c r="T1182" s="50">
        <f t="shared" si="150"/>
        <v>1</v>
      </c>
      <c r="U1182" s="50">
        <f t="shared" si="151"/>
        <v>1</v>
      </c>
    </row>
    <row r="1183" spans="1:21" x14ac:dyDescent="0.2">
      <c r="A1183" s="38">
        <v>40171</v>
      </c>
      <c r="B1183" s="4">
        <v>0.37680000000000002</v>
      </c>
      <c r="C1183" s="4">
        <v>0.24640000000000001</v>
      </c>
      <c r="D1183" s="4">
        <v>0.37680000000000002</v>
      </c>
      <c r="E1183" s="50">
        <v>1</v>
      </c>
      <c r="F1183" s="50">
        <v>0.386575</v>
      </c>
      <c r="G1183" s="50">
        <v>0</v>
      </c>
      <c r="H1183" s="50">
        <v>0.38490743662900001</v>
      </c>
      <c r="I1183" s="50">
        <v>0.48829287047999997</v>
      </c>
      <c r="J1183" s="50">
        <v>0.28152200277799999</v>
      </c>
      <c r="K1183" s="50">
        <v>1130.3800000000001</v>
      </c>
      <c r="L1183" s="50">
        <v>1126.17</v>
      </c>
      <c r="M1183" s="50">
        <v>1127.78</v>
      </c>
      <c r="N1183" s="66">
        <f t="shared" si="144"/>
        <v>-1.1243327599354541E-2</v>
      </c>
      <c r="O1183" s="66">
        <f t="shared" si="145"/>
        <v>9.0975190196669487E-3</v>
      </c>
      <c r="P1183" s="4">
        <f t="shared" si="146"/>
        <v>0</v>
      </c>
      <c r="Q1183" s="4">
        <f t="shared" si="147"/>
        <v>7.2299999999999989E-2</v>
      </c>
      <c r="R1183" s="66">
        <f t="shared" si="148"/>
        <v>-1.1243327599354541E-2</v>
      </c>
      <c r="S1183" s="66">
        <f t="shared" si="149"/>
        <v>9.0975190196669487E-3</v>
      </c>
      <c r="T1183" s="50" t="str">
        <f t="shared" si="150"/>
        <v/>
      </c>
      <c r="U1183" s="50">
        <f t="shared" si="151"/>
        <v>1</v>
      </c>
    </row>
    <row r="1184" spans="1:21" x14ac:dyDescent="0.2">
      <c r="A1184" s="38">
        <v>40178</v>
      </c>
      <c r="B1184" s="4">
        <v>0.49180000000000001</v>
      </c>
      <c r="C1184" s="4">
        <v>0.2787</v>
      </c>
      <c r="D1184" s="4">
        <v>0.22950000000000001</v>
      </c>
      <c r="E1184" s="50">
        <v>1</v>
      </c>
      <c r="F1184" s="50">
        <v>0.42027500000000001</v>
      </c>
      <c r="G1184" s="50">
        <v>0.26229999999999998</v>
      </c>
      <c r="H1184" s="50">
        <v>0.38490743662900001</v>
      </c>
      <c r="I1184" s="50">
        <v>0.48829287047999997</v>
      </c>
      <c r="J1184" s="50">
        <v>0.28152200277799999</v>
      </c>
      <c r="K1184" s="50">
        <v>1129.43</v>
      </c>
      <c r="L1184" s="50">
        <v>1116.56</v>
      </c>
      <c r="M1184" s="50">
        <v>1115.0999999999999</v>
      </c>
      <c r="N1184" s="66">
        <f t="shared" si="144"/>
        <v>1.9765043493857225E-2</v>
      </c>
      <c r="O1184" s="66">
        <f t="shared" si="145"/>
        <v>-1.5783337817236041E-2</v>
      </c>
      <c r="P1184" s="4">
        <f t="shared" si="146"/>
        <v>0.26229999999999998</v>
      </c>
      <c r="Q1184" s="4">
        <f t="shared" si="147"/>
        <v>0.11807499999999999</v>
      </c>
      <c r="R1184" s="66">
        <f t="shared" si="148"/>
        <v>1.9765043493857225E-2</v>
      </c>
      <c r="S1184" s="66">
        <f t="shared" si="149"/>
        <v>-1.5783337817236041E-2</v>
      </c>
      <c r="T1184" s="50">
        <f t="shared" si="150"/>
        <v>1</v>
      </c>
      <c r="U1184" s="50" t="str">
        <f t="shared" si="151"/>
        <v/>
      </c>
    </row>
    <row r="1185" spans="1:21" x14ac:dyDescent="0.2">
      <c r="A1185" s="38">
        <v>40185</v>
      </c>
      <c r="B1185" s="4">
        <v>0.41</v>
      </c>
      <c r="C1185" s="4">
        <v>0.33</v>
      </c>
      <c r="D1185" s="4">
        <v>0.26</v>
      </c>
      <c r="E1185" s="50">
        <v>1</v>
      </c>
      <c r="F1185" s="50">
        <v>0.42327500000000001</v>
      </c>
      <c r="G1185" s="50">
        <v>0.15</v>
      </c>
      <c r="H1185" s="50">
        <v>0.38490743662900001</v>
      </c>
      <c r="I1185" s="50">
        <v>0.48829287047999997</v>
      </c>
      <c r="J1185" s="50">
        <v>0.28152200277799999</v>
      </c>
      <c r="K1185" s="50">
        <v>1136.27</v>
      </c>
      <c r="L1185" s="50">
        <v>1131.32</v>
      </c>
      <c r="M1185" s="50">
        <v>1137.1400000000001</v>
      </c>
      <c r="N1185" s="66">
        <f t="shared" si="144"/>
        <v>7.5100691207766529E-3</v>
      </c>
      <c r="O1185" s="66">
        <f t="shared" si="145"/>
        <v>-3.5052851891587779E-2</v>
      </c>
      <c r="P1185" s="4">
        <f t="shared" si="146"/>
        <v>0.14999999999999997</v>
      </c>
      <c r="Q1185" s="4">
        <f t="shared" si="147"/>
        <v>0.13729999999999998</v>
      </c>
      <c r="R1185" s="66">
        <f t="shared" si="148"/>
        <v>7.5100691207766529E-3</v>
      </c>
      <c r="S1185" s="66">
        <f t="shared" si="149"/>
        <v>-3.5052851891587779E-2</v>
      </c>
      <c r="T1185" s="50">
        <f t="shared" si="150"/>
        <v>1</v>
      </c>
      <c r="U1185" s="50" t="str">
        <f t="shared" si="151"/>
        <v/>
      </c>
    </row>
    <row r="1186" spans="1:21" x14ac:dyDescent="0.2">
      <c r="A1186" s="38">
        <v>40192</v>
      </c>
      <c r="B1186" s="4">
        <v>0.47439999999999999</v>
      </c>
      <c r="C1186" s="4">
        <v>0.25640000000000002</v>
      </c>
      <c r="D1186" s="4">
        <v>0.26919999999999999</v>
      </c>
      <c r="E1186" s="50">
        <v>1</v>
      </c>
      <c r="F1186" s="50">
        <v>0.4291625</v>
      </c>
      <c r="G1186" s="50">
        <v>0.20519999999999999</v>
      </c>
      <c r="H1186" s="50">
        <v>0.38490743662900001</v>
      </c>
      <c r="I1186" s="50">
        <v>0.48829287047999997</v>
      </c>
      <c r="J1186" s="50">
        <v>0.28152200277799999</v>
      </c>
      <c r="K1186" s="50">
        <v>1147.93</v>
      </c>
      <c r="L1186" s="50">
        <v>1143.8</v>
      </c>
      <c r="M1186" s="50">
        <v>1145.68</v>
      </c>
      <c r="N1186" s="66">
        <f t="shared" si="144"/>
        <v>-6.6685287340270405E-3</v>
      </c>
      <c r="O1186" s="66">
        <f t="shared" si="145"/>
        <v>-6.7689058026674076E-2</v>
      </c>
      <c r="P1186" s="4">
        <f t="shared" si="146"/>
        <v>0.20519999999999999</v>
      </c>
      <c r="Q1186" s="4">
        <f t="shared" si="147"/>
        <v>0.15437499999999998</v>
      </c>
      <c r="R1186" s="66">
        <f t="shared" si="148"/>
        <v>-6.6685287340270405E-3</v>
      </c>
      <c r="S1186" s="66">
        <f t="shared" si="149"/>
        <v>-6.7689058026674076E-2</v>
      </c>
      <c r="T1186" s="50" t="str">
        <f t="shared" si="150"/>
        <v/>
      </c>
      <c r="U1186" s="50" t="str">
        <f t="shared" si="151"/>
        <v/>
      </c>
    </row>
    <row r="1187" spans="1:21" x14ac:dyDescent="0.2">
      <c r="A1187" s="38">
        <v>40199</v>
      </c>
      <c r="B1187" s="4">
        <v>0.4</v>
      </c>
      <c r="C1187" s="4">
        <v>0.25259999999999999</v>
      </c>
      <c r="D1187" s="4">
        <v>0.34739999999999999</v>
      </c>
      <c r="E1187" s="50">
        <v>1</v>
      </c>
      <c r="F1187" s="50">
        <v>0.42708750000000001</v>
      </c>
      <c r="G1187" s="50">
        <v>5.2600000000000001E-2</v>
      </c>
      <c r="H1187" s="50">
        <v>0.38490743662900001</v>
      </c>
      <c r="I1187" s="50">
        <v>0.48829287047999997</v>
      </c>
      <c r="J1187" s="50">
        <v>0.28152200277799999</v>
      </c>
      <c r="K1187" s="50">
        <v>1141.58</v>
      </c>
      <c r="L1187" s="50">
        <v>1136.52</v>
      </c>
      <c r="M1187" s="50">
        <v>1138.04</v>
      </c>
      <c r="N1187" s="66">
        <f t="shared" si="144"/>
        <v>-3.5622649467505506E-2</v>
      </c>
      <c r="O1187" s="66">
        <f t="shared" si="145"/>
        <v>-3.3856454957646456E-2</v>
      </c>
      <c r="P1187" s="4">
        <f t="shared" si="146"/>
        <v>5.2600000000000036E-2</v>
      </c>
      <c r="Q1187" s="4">
        <f t="shared" si="147"/>
        <v>0.16752499999999998</v>
      </c>
      <c r="R1187" s="66">
        <f t="shared" si="148"/>
        <v>-3.5622649467505506E-2</v>
      </c>
      <c r="S1187" s="66">
        <f t="shared" si="149"/>
        <v>-3.3856454957646456E-2</v>
      </c>
      <c r="T1187" s="50" t="str">
        <f t="shared" si="150"/>
        <v/>
      </c>
      <c r="U1187" s="50" t="str">
        <f t="shared" si="151"/>
        <v/>
      </c>
    </row>
    <row r="1188" spans="1:21" x14ac:dyDescent="0.2">
      <c r="A1188" s="38">
        <v>40206</v>
      </c>
      <c r="B1188" s="4">
        <v>0.35</v>
      </c>
      <c r="C1188" s="4">
        <v>0.2833</v>
      </c>
      <c r="D1188" s="4">
        <v>0.36670000000000003</v>
      </c>
      <c r="E1188" s="50">
        <v>1</v>
      </c>
      <c r="F1188" s="50">
        <v>0.41886250000000003</v>
      </c>
      <c r="G1188" s="50">
        <v>-1.67E-2</v>
      </c>
      <c r="H1188" s="50">
        <v>0.38490743662900001</v>
      </c>
      <c r="I1188" s="50">
        <v>0.48829287047999997</v>
      </c>
      <c r="J1188" s="50">
        <v>0.28152200277799999</v>
      </c>
      <c r="K1188" s="50">
        <v>1100.22</v>
      </c>
      <c r="L1188" s="50">
        <v>1092.6300000000001</v>
      </c>
      <c r="M1188" s="50">
        <v>1097.5</v>
      </c>
      <c r="N1188" s="66">
        <f t="shared" si="144"/>
        <v>-2.0045558086562851E-4</v>
      </c>
      <c r="O1188" s="66">
        <f t="shared" si="145"/>
        <v>-2.6423690205012217E-3</v>
      </c>
      <c r="P1188" s="4">
        <f t="shared" si="146"/>
        <v>-1.6700000000000048E-2</v>
      </c>
      <c r="Q1188" s="4">
        <f t="shared" si="147"/>
        <v>9.7774999999999987E-2</v>
      </c>
      <c r="R1188" s="66">
        <f t="shared" si="148"/>
        <v>-2.0045558086562851E-4</v>
      </c>
      <c r="S1188" s="66">
        <f t="shared" si="149"/>
        <v>-2.6423690205012217E-3</v>
      </c>
      <c r="T1188" s="50" t="str">
        <f t="shared" si="150"/>
        <v/>
      </c>
      <c r="U1188" s="50" t="str">
        <f t="shared" si="151"/>
        <v/>
      </c>
    </row>
    <row r="1189" spans="1:21" x14ac:dyDescent="0.2">
      <c r="A1189" s="38">
        <v>40213</v>
      </c>
      <c r="B1189" s="4">
        <v>0.2923</v>
      </c>
      <c r="C1189" s="4">
        <v>0.27689999999999998</v>
      </c>
      <c r="D1189" s="4">
        <v>0.43080000000000002</v>
      </c>
      <c r="E1189" s="50">
        <v>1</v>
      </c>
      <c r="F1189" s="50">
        <v>0.40205000000000002</v>
      </c>
      <c r="G1189" s="50">
        <v>-0.13850000000000001</v>
      </c>
      <c r="H1189" s="50">
        <v>0.38490743662900001</v>
      </c>
      <c r="I1189" s="50">
        <v>0.48829287047999997</v>
      </c>
      <c r="J1189" s="50">
        <v>0.28152200277799999</v>
      </c>
      <c r="K1189" s="50">
        <v>1097.25</v>
      </c>
      <c r="L1189" s="50">
        <v>1074.8599999999999</v>
      </c>
      <c r="M1189" s="50">
        <v>1097.28</v>
      </c>
      <c r="N1189" s="66">
        <f t="shared" si="144"/>
        <v>-2.6565689705453362E-2</v>
      </c>
      <c r="O1189" s="66">
        <f t="shared" si="145"/>
        <v>1.9603018372703403E-2</v>
      </c>
      <c r="P1189" s="4">
        <f t="shared" si="146"/>
        <v>-0.13850000000000001</v>
      </c>
      <c r="Q1189" s="4">
        <f t="shared" si="147"/>
        <v>2.5649999999999992E-2</v>
      </c>
      <c r="R1189" s="66">
        <f t="shared" si="148"/>
        <v>-2.6565689705453362E-2</v>
      </c>
      <c r="S1189" s="66">
        <f t="shared" si="149"/>
        <v>1.9603018372703403E-2</v>
      </c>
      <c r="T1189" s="50" t="str">
        <f t="shared" si="150"/>
        <v/>
      </c>
      <c r="U1189" s="50">
        <f t="shared" si="151"/>
        <v>1</v>
      </c>
    </row>
    <row r="1190" spans="1:21" x14ac:dyDescent="0.2">
      <c r="A1190" s="38">
        <v>40220</v>
      </c>
      <c r="B1190" s="4">
        <v>0.36749999999999999</v>
      </c>
      <c r="C1190" s="4">
        <v>0.2137</v>
      </c>
      <c r="D1190" s="4">
        <v>0.41880000000000001</v>
      </c>
      <c r="E1190" s="50">
        <v>1</v>
      </c>
      <c r="F1190" s="50">
        <v>0.39534999999999998</v>
      </c>
      <c r="G1190" s="50">
        <v>-5.1299999999999998E-2</v>
      </c>
      <c r="H1190" s="50">
        <v>0.38490743662900001</v>
      </c>
      <c r="I1190" s="50">
        <v>0.48829287047999997</v>
      </c>
      <c r="J1190" s="50">
        <v>0.28152200277799999</v>
      </c>
      <c r="K1190" s="50">
        <v>1069.05</v>
      </c>
      <c r="L1190" s="50">
        <v>1060.5899999999999</v>
      </c>
      <c r="M1190" s="50">
        <v>1068.1300000000001</v>
      </c>
      <c r="N1190" s="66">
        <f t="shared" si="144"/>
        <v>2.937844644378482E-2</v>
      </c>
      <c r="O1190" s="66">
        <f t="shared" si="145"/>
        <v>7.2537986949153921E-2</v>
      </c>
      <c r="P1190" s="4">
        <f t="shared" si="146"/>
        <v>-5.1300000000000012E-2</v>
      </c>
      <c r="Q1190" s="4">
        <f t="shared" si="147"/>
        <v>-3.8475000000000009E-2</v>
      </c>
      <c r="R1190" s="66">
        <f t="shared" si="148"/>
        <v>2.937844644378482E-2</v>
      </c>
      <c r="S1190" s="66">
        <f t="shared" si="149"/>
        <v>7.2537986949153921E-2</v>
      </c>
      <c r="T1190" s="50">
        <f t="shared" si="150"/>
        <v>1</v>
      </c>
      <c r="U1190" s="50">
        <f t="shared" si="151"/>
        <v>1</v>
      </c>
    </row>
    <row r="1191" spans="1:21" x14ac:dyDescent="0.2">
      <c r="A1191" s="38">
        <v>40227</v>
      </c>
      <c r="B1191" s="4">
        <v>0.35849999999999999</v>
      </c>
      <c r="C1191" s="4">
        <v>0.2893</v>
      </c>
      <c r="D1191" s="4">
        <v>0.35220000000000001</v>
      </c>
      <c r="E1191" s="50">
        <v>1</v>
      </c>
      <c r="F1191" s="50">
        <v>0.39306249999999998</v>
      </c>
      <c r="G1191" s="50">
        <v>6.3E-3</v>
      </c>
      <c r="H1191" s="50">
        <v>0.38490743662900001</v>
      </c>
      <c r="I1191" s="50">
        <v>0.48829287047999997</v>
      </c>
      <c r="J1191" s="50">
        <v>0.28152200277799999</v>
      </c>
      <c r="K1191" s="50">
        <v>1102.4000000000001</v>
      </c>
      <c r="L1191" s="50">
        <v>1097.48</v>
      </c>
      <c r="M1191" s="50">
        <v>1099.51</v>
      </c>
      <c r="N1191" s="66">
        <f t="shared" si="144"/>
        <v>-4.4656255968568564E-3</v>
      </c>
      <c r="O1191" s="66">
        <f t="shared" si="145"/>
        <v>6.0663386417586056E-2</v>
      </c>
      <c r="P1191" s="4">
        <f t="shared" si="146"/>
        <v>6.2999999999999723E-3</v>
      </c>
      <c r="Q1191" s="4">
        <f t="shared" si="147"/>
        <v>-5.0050000000000025E-2</v>
      </c>
      <c r="R1191" s="66">
        <f t="shared" si="148"/>
        <v>-4.4656255968568564E-3</v>
      </c>
      <c r="S1191" s="66">
        <f t="shared" si="149"/>
        <v>6.0663386417586056E-2</v>
      </c>
      <c r="T1191" s="50" t="str">
        <f t="shared" si="150"/>
        <v/>
      </c>
      <c r="U1191" s="50">
        <f t="shared" si="151"/>
        <v>1</v>
      </c>
    </row>
    <row r="1192" spans="1:21" x14ac:dyDescent="0.2">
      <c r="A1192" s="38">
        <v>40234</v>
      </c>
      <c r="B1192" s="4">
        <v>0.34889999999999999</v>
      </c>
      <c r="C1192" s="4">
        <v>0.35570000000000002</v>
      </c>
      <c r="D1192" s="4">
        <v>0.29530000000000001</v>
      </c>
      <c r="E1192" s="50">
        <v>0.99990000000000001</v>
      </c>
      <c r="F1192" s="50">
        <v>0.37519999999999998</v>
      </c>
      <c r="G1192" s="50">
        <v>5.3600000000000002E-2</v>
      </c>
      <c r="H1192" s="50">
        <v>0.38490743662900001</v>
      </c>
      <c r="I1192" s="50">
        <v>0.48829287047999997</v>
      </c>
      <c r="J1192" s="50">
        <v>0.28152200277799999</v>
      </c>
      <c r="K1192" s="50">
        <v>1106.42</v>
      </c>
      <c r="L1192" s="50">
        <v>1106.42</v>
      </c>
      <c r="M1192" s="50">
        <v>1094.5999999999999</v>
      </c>
      <c r="N1192" s="66">
        <f t="shared" si="144"/>
        <v>2.2099397040014668E-2</v>
      </c>
      <c r="O1192" s="66">
        <f t="shared" si="145"/>
        <v>6.680065777452962E-2</v>
      </c>
      <c r="P1192" s="4">
        <f t="shared" si="146"/>
        <v>5.3599999999999981E-2</v>
      </c>
      <c r="Q1192" s="4">
        <f t="shared" si="147"/>
        <v>-3.2475000000000018E-2</v>
      </c>
      <c r="R1192" s="66">
        <f t="shared" si="148"/>
        <v>2.2099397040014668E-2</v>
      </c>
      <c r="S1192" s="66">
        <f t="shared" si="149"/>
        <v>6.680065777452962E-2</v>
      </c>
      <c r="T1192" s="50">
        <f t="shared" si="150"/>
        <v>1</v>
      </c>
      <c r="U1192" s="50">
        <f t="shared" si="151"/>
        <v>1</v>
      </c>
    </row>
    <row r="1193" spans="1:21" x14ac:dyDescent="0.2">
      <c r="A1193" s="38">
        <v>40241</v>
      </c>
      <c r="B1193" s="4">
        <v>0.35859999999999997</v>
      </c>
      <c r="C1193" s="4">
        <v>0.37930000000000003</v>
      </c>
      <c r="D1193" s="4">
        <v>0.2621</v>
      </c>
      <c r="E1193" s="50">
        <v>1</v>
      </c>
      <c r="F1193" s="50">
        <v>0.36877500000000002</v>
      </c>
      <c r="G1193" s="50">
        <v>9.6500000000000002E-2</v>
      </c>
      <c r="H1193" s="50">
        <v>0.38490743662900001</v>
      </c>
      <c r="I1193" s="50">
        <v>0.48829287047999997</v>
      </c>
      <c r="J1193" s="50">
        <v>0.28152200277799999</v>
      </c>
      <c r="K1193" s="50">
        <v>1121.67</v>
      </c>
      <c r="L1193" s="50">
        <v>1119.1199999999999</v>
      </c>
      <c r="M1193" s="50">
        <v>1118.79</v>
      </c>
      <c r="N1193" s="66">
        <f t="shared" si="144"/>
        <v>2.3972327246400072E-2</v>
      </c>
      <c r="O1193" s="66">
        <f t="shared" si="145"/>
        <v>4.5263186120719799E-2</v>
      </c>
      <c r="P1193" s="4">
        <f t="shared" si="146"/>
        <v>9.6499999999999975E-2</v>
      </c>
      <c r="Q1193" s="4">
        <f t="shared" si="147"/>
        <v>2.6274999999999979E-2</v>
      </c>
      <c r="R1193" s="66">
        <f t="shared" si="148"/>
        <v>2.3972327246400072E-2</v>
      </c>
      <c r="S1193" s="66">
        <f t="shared" si="149"/>
        <v>4.5263186120719799E-2</v>
      </c>
      <c r="T1193" s="50">
        <f t="shared" si="150"/>
        <v>1</v>
      </c>
      <c r="U1193" s="50">
        <f t="shared" si="151"/>
        <v>1</v>
      </c>
    </row>
    <row r="1194" spans="1:21" x14ac:dyDescent="0.2">
      <c r="A1194" s="38">
        <v>40248</v>
      </c>
      <c r="B1194" s="4">
        <v>0.45290000000000002</v>
      </c>
      <c r="C1194" s="4">
        <v>0.29409999999999997</v>
      </c>
      <c r="D1194" s="4">
        <v>0.25290000000000001</v>
      </c>
      <c r="E1194" s="50">
        <v>0.99990000000000001</v>
      </c>
      <c r="F1194" s="50">
        <v>0.36608750000000001</v>
      </c>
      <c r="G1194" s="50">
        <v>0.2</v>
      </c>
      <c r="H1194" s="50">
        <v>0.38490743662900001</v>
      </c>
      <c r="I1194" s="50">
        <v>0.48829287047999997</v>
      </c>
      <c r="J1194" s="50">
        <v>0.28152200277799999</v>
      </c>
      <c r="K1194" s="50">
        <v>1143.96</v>
      </c>
      <c r="L1194" s="50">
        <v>1139.99</v>
      </c>
      <c r="M1194" s="50">
        <v>1145.6099999999999</v>
      </c>
      <c r="N1194" s="66">
        <f t="shared" si="144"/>
        <v>1.798168661237257E-2</v>
      </c>
      <c r="O1194" s="66">
        <f t="shared" si="145"/>
        <v>3.2157540524262312E-2</v>
      </c>
      <c r="P1194" s="4">
        <f t="shared" si="146"/>
        <v>0.2</v>
      </c>
      <c r="Q1194" s="4">
        <f t="shared" si="147"/>
        <v>8.9099999999999985E-2</v>
      </c>
      <c r="R1194" s="66">
        <f t="shared" si="148"/>
        <v>1.798168661237257E-2</v>
      </c>
      <c r="S1194" s="66">
        <f t="shared" si="149"/>
        <v>3.2157540524262312E-2</v>
      </c>
      <c r="T1194" s="50">
        <f t="shared" si="150"/>
        <v>1</v>
      </c>
      <c r="U1194" s="50">
        <f t="shared" si="151"/>
        <v>1</v>
      </c>
    </row>
    <row r="1195" spans="1:21" x14ac:dyDescent="0.2">
      <c r="A1195" s="38">
        <v>40255</v>
      </c>
      <c r="B1195" s="4">
        <v>0.35370000000000001</v>
      </c>
      <c r="C1195" s="4">
        <v>0.34760000000000002</v>
      </c>
      <c r="D1195" s="4">
        <v>0.29880000000000001</v>
      </c>
      <c r="E1195" s="50">
        <v>1.0001</v>
      </c>
      <c r="F1195" s="50">
        <v>0.36030000000000001</v>
      </c>
      <c r="G1195" s="50">
        <v>5.4899999999999997E-2</v>
      </c>
      <c r="H1195" s="50">
        <v>0.38490743662900001</v>
      </c>
      <c r="I1195" s="50">
        <v>0.48829287047999997</v>
      </c>
      <c r="J1195" s="50">
        <v>0.28152200277799999</v>
      </c>
      <c r="K1195" s="50">
        <v>1167.77</v>
      </c>
      <c r="L1195" s="50">
        <v>1165.07</v>
      </c>
      <c r="M1195" s="50">
        <v>1166.21</v>
      </c>
      <c r="N1195" s="66">
        <f t="shared" si="144"/>
        <v>1.2947925330772253E-3</v>
      </c>
      <c r="O1195" s="66">
        <f t="shared" si="145"/>
        <v>3.8106344483412123E-2</v>
      </c>
      <c r="P1195" s="4">
        <f t="shared" si="146"/>
        <v>5.4900000000000004E-2</v>
      </c>
      <c r="Q1195" s="4">
        <f t="shared" si="147"/>
        <v>0.10124999999999999</v>
      </c>
      <c r="R1195" s="66">
        <f t="shared" si="148"/>
        <v>1.2947925330772253E-3</v>
      </c>
      <c r="S1195" s="66">
        <f t="shared" si="149"/>
        <v>3.8106344483412123E-2</v>
      </c>
      <c r="T1195" s="50">
        <f t="shared" si="150"/>
        <v>1</v>
      </c>
      <c r="U1195" s="50">
        <f t="shared" si="151"/>
        <v>1</v>
      </c>
    </row>
    <row r="1196" spans="1:21" x14ac:dyDescent="0.2">
      <c r="A1196" s="38">
        <v>40262</v>
      </c>
      <c r="B1196" s="4">
        <v>0.32390000000000002</v>
      </c>
      <c r="C1196" s="4">
        <v>0.32950000000000002</v>
      </c>
      <c r="D1196" s="4">
        <v>0.34660000000000002</v>
      </c>
      <c r="E1196" s="50">
        <v>1</v>
      </c>
      <c r="F1196" s="50">
        <v>0.35703750000000001</v>
      </c>
      <c r="G1196" s="50">
        <v>-2.2700000000000001E-2</v>
      </c>
      <c r="H1196" s="50">
        <v>0.38490743662900001</v>
      </c>
      <c r="I1196" s="50">
        <v>0.48829287047999997</v>
      </c>
      <c r="J1196" s="50">
        <v>0.28152200277799999</v>
      </c>
      <c r="K1196" s="50">
        <v>1176.71</v>
      </c>
      <c r="L1196" s="50">
        <v>1170.03</v>
      </c>
      <c r="M1196" s="50">
        <v>1167.72</v>
      </c>
      <c r="N1196" s="66">
        <f t="shared" si="144"/>
        <v>1.4643921488028263E-3</v>
      </c>
      <c r="O1196" s="66">
        <f t="shared" si="145"/>
        <v>3.2730449080258989E-2</v>
      </c>
      <c r="P1196" s="4">
        <f t="shared" si="146"/>
        <v>-2.2699999999999998E-2</v>
      </c>
      <c r="Q1196" s="4">
        <f t="shared" si="147"/>
        <v>8.2174999999999998E-2</v>
      </c>
      <c r="R1196" s="66">
        <f t="shared" si="148"/>
        <v>1.4643921488028263E-3</v>
      </c>
      <c r="S1196" s="66">
        <f t="shared" si="149"/>
        <v>3.2730449080258989E-2</v>
      </c>
      <c r="T1196" s="50">
        <f t="shared" si="150"/>
        <v>1</v>
      </c>
      <c r="U1196" s="50">
        <f t="shared" si="151"/>
        <v>1</v>
      </c>
    </row>
    <row r="1197" spans="1:21" x14ac:dyDescent="0.2">
      <c r="A1197" s="38">
        <v>40269</v>
      </c>
      <c r="B1197" s="4">
        <v>0.41299999999999998</v>
      </c>
      <c r="C1197" s="4">
        <v>0.27539999999999998</v>
      </c>
      <c r="D1197" s="4">
        <v>0.31159999999999999</v>
      </c>
      <c r="E1197" s="50">
        <v>1</v>
      </c>
      <c r="F1197" s="50">
        <v>0.37212499999999998</v>
      </c>
      <c r="G1197" s="50">
        <v>0.1014</v>
      </c>
      <c r="H1197" s="50">
        <v>0.38490743662900001</v>
      </c>
      <c r="I1197" s="50">
        <v>0.48829287047999997</v>
      </c>
      <c r="J1197" s="50">
        <v>0.28152200277799999</v>
      </c>
      <c r="K1197" s="50">
        <v>1181.43</v>
      </c>
      <c r="L1197" s="50">
        <v>1171.23</v>
      </c>
      <c r="M1197" s="50">
        <v>1169.43</v>
      </c>
      <c r="N1197" s="66">
        <f t="shared" si="144"/>
        <v>1.113362920397115E-2</v>
      </c>
      <c r="O1197" s="66">
        <f t="shared" si="145"/>
        <v>1.8752725686872952E-2</v>
      </c>
      <c r="P1197" s="4">
        <f t="shared" si="146"/>
        <v>0.10139999999999999</v>
      </c>
      <c r="Q1197" s="4">
        <f t="shared" si="147"/>
        <v>8.3400000000000002E-2</v>
      </c>
      <c r="R1197" s="66">
        <f t="shared" si="148"/>
        <v>1.113362920397115E-2</v>
      </c>
      <c r="S1197" s="66">
        <f t="shared" si="149"/>
        <v>1.8752725686872952E-2</v>
      </c>
      <c r="T1197" s="50">
        <f t="shared" si="150"/>
        <v>1</v>
      </c>
      <c r="U1197" s="50">
        <f t="shared" si="151"/>
        <v>1</v>
      </c>
    </row>
    <row r="1198" spans="1:21" x14ac:dyDescent="0.2">
      <c r="A1198" s="38">
        <v>40276</v>
      </c>
      <c r="B1198" s="4">
        <v>0.42859999999999998</v>
      </c>
      <c r="C1198" s="4">
        <v>0.26790000000000003</v>
      </c>
      <c r="D1198" s="4">
        <v>0.30359999999999998</v>
      </c>
      <c r="E1198" s="50">
        <v>1.0001</v>
      </c>
      <c r="F1198" s="50">
        <v>0.3797625</v>
      </c>
      <c r="G1198" s="50">
        <v>0.125</v>
      </c>
      <c r="H1198" s="50">
        <v>0.38490743662900001</v>
      </c>
      <c r="I1198" s="50">
        <v>0.48829287047999997</v>
      </c>
      <c r="J1198" s="50">
        <v>0.28152200277799999</v>
      </c>
      <c r="K1198" s="50">
        <v>1181.75</v>
      </c>
      <c r="L1198" s="50">
        <v>1175.1199999999999</v>
      </c>
      <c r="M1198" s="50">
        <v>1182.45</v>
      </c>
      <c r="N1198" s="66">
        <f t="shared" si="144"/>
        <v>2.3848788532284702E-2</v>
      </c>
      <c r="O1198" s="66">
        <f t="shared" si="145"/>
        <v>-1.4021734534229908E-2</v>
      </c>
      <c r="P1198" s="4">
        <f t="shared" si="146"/>
        <v>0.125</v>
      </c>
      <c r="Q1198" s="4">
        <f t="shared" si="147"/>
        <v>6.4649999999999999E-2</v>
      </c>
      <c r="R1198" s="66">
        <f t="shared" si="148"/>
        <v>2.3848788532284702E-2</v>
      </c>
      <c r="S1198" s="66">
        <f t="shared" si="149"/>
        <v>-1.4021734534229908E-2</v>
      </c>
      <c r="T1198" s="50">
        <f t="shared" si="150"/>
        <v>1</v>
      </c>
      <c r="U1198" s="50" t="str">
        <f t="shared" si="151"/>
        <v/>
      </c>
    </row>
    <row r="1199" spans="1:21" x14ac:dyDescent="0.2">
      <c r="A1199" s="38">
        <v>40283</v>
      </c>
      <c r="B1199" s="4">
        <v>0.48480000000000001</v>
      </c>
      <c r="C1199" s="4">
        <v>0.21820000000000001</v>
      </c>
      <c r="D1199" s="4">
        <v>0.29699999999999999</v>
      </c>
      <c r="E1199" s="50">
        <v>1</v>
      </c>
      <c r="F1199" s="50">
        <v>0.39555000000000001</v>
      </c>
      <c r="G1199" s="50">
        <v>0.18779999999999999</v>
      </c>
      <c r="H1199" s="50">
        <v>0.38490743662900001</v>
      </c>
      <c r="I1199" s="50">
        <v>0.48829287047999997</v>
      </c>
      <c r="J1199" s="50">
        <v>0.28152200277799999</v>
      </c>
      <c r="K1199" s="50">
        <v>1210.77</v>
      </c>
      <c r="L1199" s="50">
        <v>1208.6400000000001</v>
      </c>
      <c r="M1199" s="50">
        <v>1210.6500000000001</v>
      </c>
      <c r="N1199" s="66">
        <f t="shared" si="144"/>
        <v>-3.8904720604634171E-3</v>
      </c>
      <c r="O1199" s="66">
        <f t="shared" si="145"/>
        <v>-3.2197579812497434E-2</v>
      </c>
      <c r="P1199" s="4">
        <f t="shared" si="146"/>
        <v>0.18780000000000002</v>
      </c>
      <c r="Q1199" s="4">
        <f t="shared" si="147"/>
        <v>9.7875000000000004E-2</v>
      </c>
      <c r="R1199" s="66">
        <f t="shared" si="148"/>
        <v>-3.8904720604634171E-3</v>
      </c>
      <c r="S1199" s="66">
        <f t="shared" si="149"/>
        <v>-3.2197579812497434E-2</v>
      </c>
      <c r="T1199" s="50" t="str">
        <f t="shared" si="150"/>
        <v/>
      </c>
      <c r="U1199" s="50" t="str">
        <f t="shared" si="151"/>
        <v/>
      </c>
    </row>
    <row r="1200" spans="1:21" x14ac:dyDescent="0.2">
      <c r="A1200" s="38">
        <v>40290</v>
      </c>
      <c r="B1200" s="4">
        <v>0.38119999999999998</v>
      </c>
      <c r="C1200" s="4">
        <v>0.2762</v>
      </c>
      <c r="D1200" s="4">
        <v>0.34250000000000003</v>
      </c>
      <c r="E1200" s="50">
        <v>0.99990000000000001</v>
      </c>
      <c r="F1200" s="50">
        <v>0.39958749999999998</v>
      </c>
      <c r="G1200" s="50">
        <v>3.8699999999999998E-2</v>
      </c>
      <c r="H1200" s="50">
        <v>0.38490743662900001</v>
      </c>
      <c r="I1200" s="50">
        <v>0.48829287047999997</v>
      </c>
      <c r="J1200" s="50">
        <v>0.28152200277799999</v>
      </c>
      <c r="K1200" s="50">
        <v>1202.52</v>
      </c>
      <c r="L1200" s="50">
        <v>1190.19</v>
      </c>
      <c r="M1200" s="50">
        <v>1205.94</v>
      </c>
      <c r="N1200" s="66">
        <f t="shared" si="144"/>
        <v>-1.2090153738992117E-2</v>
      </c>
      <c r="O1200" s="66">
        <f t="shared" si="145"/>
        <v>-7.5368592135595547E-2</v>
      </c>
      <c r="P1200" s="4">
        <f t="shared" si="146"/>
        <v>3.8699999999999957E-2</v>
      </c>
      <c r="Q1200" s="4">
        <f t="shared" si="147"/>
        <v>0.11322499999999999</v>
      </c>
      <c r="R1200" s="66">
        <f t="shared" si="148"/>
        <v>-1.2090153738992117E-2</v>
      </c>
      <c r="S1200" s="66">
        <f t="shared" si="149"/>
        <v>-7.5368592135595547E-2</v>
      </c>
      <c r="T1200" s="50" t="str">
        <f t="shared" si="150"/>
        <v/>
      </c>
      <c r="U1200" s="50" t="str">
        <f t="shared" si="151"/>
        <v/>
      </c>
    </row>
    <row r="1201" spans="1:21" x14ac:dyDescent="0.2">
      <c r="A1201" s="38">
        <v>40297</v>
      </c>
      <c r="B1201" s="4">
        <v>0.41360000000000002</v>
      </c>
      <c r="C1201" s="4">
        <v>0.3</v>
      </c>
      <c r="D1201" s="4">
        <v>0.28639999999999999</v>
      </c>
      <c r="E1201" s="50">
        <v>1</v>
      </c>
      <c r="F1201" s="50">
        <v>0.4064625</v>
      </c>
      <c r="G1201" s="50">
        <v>0.12720000000000001</v>
      </c>
      <c r="H1201" s="50">
        <v>0.38490743662900001</v>
      </c>
      <c r="I1201" s="50">
        <v>0.48829287047999997</v>
      </c>
      <c r="J1201" s="50">
        <v>0.28152200277799999</v>
      </c>
      <c r="K1201" s="50">
        <v>1202.5899999999999</v>
      </c>
      <c r="L1201" s="50">
        <v>1193.3</v>
      </c>
      <c r="M1201" s="50">
        <v>1191.3599999999999</v>
      </c>
      <c r="N1201" s="66">
        <f t="shared" si="144"/>
        <v>-2.1395715820574816E-2</v>
      </c>
      <c r="O1201" s="66">
        <f t="shared" si="145"/>
        <v>-0.1035874966424925</v>
      </c>
      <c r="P1201" s="4">
        <f t="shared" si="146"/>
        <v>0.12720000000000004</v>
      </c>
      <c r="Q1201" s="4">
        <f t="shared" si="147"/>
        <v>0.119675</v>
      </c>
      <c r="R1201" s="66">
        <f t="shared" si="148"/>
        <v>-2.1395715820574816E-2</v>
      </c>
      <c r="S1201" s="66">
        <f t="shared" si="149"/>
        <v>-0.1035874966424925</v>
      </c>
      <c r="T1201" s="50" t="str">
        <f t="shared" si="150"/>
        <v/>
      </c>
      <c r="U1201" s="50" t="str">
        <f t="shared" si="151"/>
        <v/>
      </c>
    </row>
    <row r="1202" spans="1:21" x14ac:dyDescent="0.2">
      <c r="A1202" s="38">
        <v>40304</v>
      </c>
      <c r="B1202" s="4">
        <v>0.39129999999999998</v>
      </c>
      <c r="C1202" s="4">
        <v>0.32300000000000001</v>
      </c>
      <c r="D1202" s="4">
        <v>0.28570000000000001</v>
      </c>
      <c r="E1202" s="50">
        <v>1</v>
      </c>
      <c r="F1202" s="50">
        <v>0.39876250000000002</v>
      </c>
      <c r="G1202" s="50">
        <v>0.1056</v>
      </c>
      <c r="H1202" s="50">
        <v>0.38490743662900001</v>
      </c>
      <c r="I1202" s="50">
        <v>0.48829287047999997</v>
      </c>
      <c r="J1202" s="50">
        <v>0.28152200277799999</v>
      </c>
      <c r="K1202" s="50">
        <v>1166.6500000000001</v>
      </c>
      <c r="L1202" s="50">
        <v>1161.74</v>
      </c>
      <c r="M1202" s="50">
        <v>1165.8699999999999</v>
      </c>
      <c r="N1202" s="66">
        <f t="shared" si="144"/>
        <v>4.9748256666696826E-3</v>
      </c>
      <c r="O1202" s="66">
        <f t="shared" si="145"/>
        <v>-5.7888100731642279E-2</v>
      </c>
      <c r="P1202" s="4">
        <f t="shared" si="146"/>
        <v>0.10559999999999997</v>
      </c>
      <c r="Q1202" s="4">
        <f t="shared" si="147"/>
        <v>0.114825</v>
      </c>
      <c r="R1202" s="66">
        <f t="shared" si="148"/>
        <v>4.9748256666696826E-3</v>
      </c>
      <c r="S1202" s="66">
        <f t="shared" si="149"/>
        <v>-5.7888100731642279E-2</v>
      </c>
      <c r="T1202" s="50">
        <f t="shared" si="150"/>
        <v>1</v>
      </c>
      <c r="U1202" s="50" t="str">
        <f t="shared" si="151"/>
        <v/>
      </c>
    </row>
    <row r="1203" spans="1:21" x14ac:dyDescent="0.2">
      <c r="A1203" s="38">
        <v>40311</v>
      </c>
      <c r="B1203" s="4">
        <v>0.36599999999999999</v>
      </c>
      <c r="C1203" s="4">
        <v>0.26800000000000002</v>
      </c>
      <c r="D1203" s="4">
        <v>0.36599999999999999</v>
      </c>
      <c r="E1203" s="50">
        <v>1</v>
      </c>
      <c r="F1203" s="50">
        <v>0.40029999999999999</v>
      </c>
      <c r="G1203" s="50">
        <v>0</v>
      </c>
      <c r="H1203" s="50">
        <v>0.38490743662900001</v>
      </c>
      <c r="I1203" s="50">
        <v>0.48829287047999997</v>
      </c>
      <c r="J1203" s="50">
        <v>0.28152200277799999</v>
      </c>
      <c r="K1203" s="50">
        <v>1170.6099999999999</v>
      </c>
      <c r="L1203" s="50">
        <v>1164.48</v>
      </c>
      <c r="M1203" s="50">
        <v>1171.67</v>
      </c>
      <c r="N1203" s="66">
        <f t="shared" si="144"/>
        <v>-4.8324186844418748E-2</v>
      </c>
      <c r="O1203" s="66">
        <f t="shared" si="145"/>
        <v>-9.8986916111191731E-2</v>
      </c>
      <c r="P1203" s="4">
        <f t="shared" si="146"/>
        <v>0</v>
      </c>
      <c r="Q1203" s="4">
        <f t="shared" si="147"/>
        <v>6.7874999999999991E-2</v>
      </c>
      <c r="R1203" s="66">
        <f t="shared" si="148"/>
        <v>-4.8324186844418748E-2</v>
      </c>
      <c r="S1203" s="66">
        <f t="shared" si="149"/>
        <v>-9.8986916111191731E-2</v>
      </c>
      <c r="T1203" s="50" t="str">
        <f t="shared" si="150"/>
        <v/>
      </c>
      <c r="U1203" s="50" t="str">
        <f t="shared" si="151"/>
        <v/>
      </c>
    </row>
    <row r="1204" spans="1:21" x14ac:dyDescent="0.2">
      <c r="A1204" s="38">
        <v>40318</v>
      </c>
      <c r="B1204" s="4">
        <v>0.41299999999999998</v>
      </c>
      <c r="C1204" s="4">
        <v>0.25</v>
      </c>
      <c r="D1204" s="4">
        <v>0.33700000000000002</v>
      </c>
      <c r="E1204" s="50">
        <v>1</v>
      </c>
      <c r="F1204" s="50">
        <v>0.41143750000000001</v>
      </c>
      <c r="G1204" s="50">
        <v>7.5999999999999998E-2</v>
      </c>
      <c r="H1204" s="50">
        <v>0.38490743662900001</v>
      </c>
      <c r="I1204" s="50">
        <v>0.48829287047999997</v>
      </c>
      <c r="J1204" s="50">
        <v>0.28152200277799999</v>
      </c>
      <c r="K1204" s="50">
        <v>1107.3399999999999</v>
      </c>
      <c r="L1204" s="50">
        <v>1088.33</v>
      </c>
      <c r="M1204" s="50">
        <v>1115.05</v>
      </c>
      <c r="N1204" s="66">
        <f t="shared" si="144"/>
        <v>-4.2240258284381785E-2</v>
      </c>
      <c r="O1204" s="66">
        <f t="shared" si="145"/>
        <v>-3.946011389624273E-4</v>
      </c>
      <c r="P1204" s="4">
        <f t="shared" si="146"/>
        <v>7.5999999999999956E-2</v>
      </c>
      <c r="Q1204" s="4">
        <f t="shared" si="147"/>
        <v>7.7199999999999991E-2</v>
      </c>
      <c r="R1204" s="66">
        <f t="shared" si="148"/>
        <v>-4.2240258284381785E-2</v>
      </c>
      <c r="S1204" s="66">
        <f t="shared" si="149"/>
        <v>-3.946011389624273E-4</v>
      </c>
      <c r="T1204" s="50" t="str">
        <f t="shared" si="150"/>
        <v/>
      </c>
      <c r="U1204" s="50" t="str">
        <f t="shared" si="151"/>
        <v/>
      </c>
    </row>
    <row r="1205" spans="1:21" x14ac:dyDescent="0.2">
      <c r="A1205" s="38">
        <v>40325</v>
      </c>
      <c r="B1205" s="4">
        <v>0.29830000000000001</v>
      </c>
      <c r="C1205" s="4">
        <v>0.193</v>
      </c>
      <c r="D1205" s="4">
        <v>0.50880000000000003</v>
      </c>
      <c r="E1205" s="50">
        <v>1.0001</v>
      </c>
      <c r="F1205" s="50">
        <v>0.39710000000000001</v>
      </c>
      <c r="G1205" s="50">
        <v>-0.21049999999999999</v>
      </c>
      <c r="H1205" s="50">
        <v>0.38490743662900001</v>
      </c>
      <c r="I1205" s="50">
        <v>0.48829287047999997</v>
      </c>
      <c r="J1205" s="50">
        <v>0.28152200277799999</v>
      </c>
      <c r="K1205" s="50">
        <v>1089.5999999999999</v>
      </c>
      <c r="L1205" s="50">
        <v>1074.27</v>
      </c>
      <c r="M1205" s="50">
        <v>1067.95</v>
      </c>
      <c r="N1205" s="66">
        <f t="shared" si="144"/>
        <v>2.8493843344725937E-2</v>
      </c>
      <c r="O1205" s="66">
        <f t="shared" si="145"/>
        <v>2.2557235825647191E-2</v>
      </c>
      <c r="P1205" s="4">
        <f t="shared" si="146"/>
        <v>-0.21050000000000002</v>
      </c>
      <c r="Q1205" s="4">
        <f t="shared" si="147"/>
        <v>-7.2250000000000231E-3</v>
      </c>
      <c r="R1205" s="66">
        <f t="shared" si="148"/>
        <v>2.8493843344725937E-2</v>
      </c>
      <c r="S1205" s="66">
        <f t="shared" si="149"/>
        <v>2.2557235825647191E-2</v>
      </c>
      <c r="T1205" s="50">
        <f t="shared" si="150"/>
        <v>1</v>
      </c>
      <c r="U1205" s="50">
        <f t="shared" si="151"/>
        <v>1</v>
      </c>
    </row>
    <row r="1206" spans="1:21" x14ac:dyDescent="0.2">
      <c r="A1206" s="38">
        <v>40332</v>
      </c>
      <c r="B1206" s="4">
        <v>0.37090000000000001</v>
      </c>
      <c r="C1206" s="4">
        <v>0.22070000000000001</v>
      </c>
      <c r="D1206" s="4">
        <v>0.40849999999999997</v>
      </c>
      <c r="E1206" s="50">
        <v>1.0001</v>
      </c>
      <c r="F1206" s="50">
        <v>0.3898875</v>
      </c>
      <c r="G1206" s="50">
        <v>-3.7600000000000001E-2</v>
      </c>
      <c r="H1206" s="50">
        <v>0.38490743662900001</v>
      </c>
      <c r="I1206" s="50">
        <v>0.48829287047999997</v>
      </c>
      <c r="J1206" s="50">
        <v>0.28152200277799999</v>
      </c>
      <c r="K1206" s="50">
        <v>1105.67</v>
      </c>
      <c r="L1206" s="50">
        <v>1098.82</v>
      </c>
      <c r="M1206" s="50">
        <v>1098.3800000000001</v>
      </c>
      <c r="N1206" s="66">
        <f t="shared" si="144"/>
        <v>-3.8866330413882308E-2</v>
      </c>
      <c r="O1206" s="66">
        <f t="shared" si="145"/>
        <v>-6.1608914947468146E-2</v>
      </c>
      <c r="P1206" s="4">
        <f t="shared" si="146"/>
        <v>-3.7599999999999967E-2</v>
      </c>
      <c r="Q1206" s="4">
        <f t="shared" si="147"/>
        <v>-4.3025000000000008E-2</v>
      </c>
      <c r="R1206" s="66">
        <f t="shared" si="148"/>
        <v>-3.8866330413882308E-2</v>
      </c>
      <c r="S1206" s="66">
        <f t="shared" si="149"/>
        <v>-6.1608914947468146E-2</v>
      </c>
      <c r="T1206" s="50" t="str">
        <f t="shared" si="150"/>
        <v/>
      </c>
      <c r="U1206" s="50" t="str">
        <f t="shared" si="151"/>
        <v/>
      </c>
    </row>
    <row r="1207" spans="1:21" x14ac:dyDescent="0.2">
      <c r="A1207" s="38">
        <v>40339</v>
      </c>
      <c r="B1207" s="4">
        <v>0.3448</v>
      </c>
      <c r="C1207" s="4">
        <v>0.22409999999999999</v>
      </c>
      <c r="D1207" s="4">
        <v>0.43099999999999999</v>
      </c>
      <c r="E1207" s="50">
        <v>0.99990000000000001</v>
      </c>
      <c r="F1207" s="50">
        <v>0.37238749999999998</v>
      </c>
      <c r="G1207" s="50">
        <v>-8.6199999999999999E-2</v>
      </c>
      <c r="H1207" s="50">
        <v>0.38490743662900001</v>
      </c>
      <c r="I1207" s="50">
        <v>0.48829287047999997</v>
      </c>
      <c r="J1207" s="50">
        <v>0.28152200277799999</v>
      </c>
      <c r="K1207" s="50">
        <v>1083.05</v>
      </c>
      <c r="L1207" s="50">
        <v>1058.77</v>
      </c>
      <c r="M1207" s="50">
        <v>1055.69</v>
      </c>
      <c r="N1207" s="66">
        <f t="shared" si="144"/>
        <v>5.5811838702649302E-2</v>
      </c>
      <c r="O1207" s="66">
        <f t="shared" si="145"/>
        <v>4.338394793926178E-3</v>
      </c>
      <c r="P1207" s="4">
        <f t="shared" si="146"/>
        <v>-8.6199999999999999E-2</v>
      </c>
      <c r="Q1207" s="4">
        <f t="shared" si="147"/>
        <v>-6.4575000000000007E-2</v>
      </c>
      <c r="R1207" s="66">
        <f t="shared" si="148"/>
        <v>5.5811838702649302E-2</v>
      </c>
      <c r="S1207" s="66">
        <f t="shared" si="149"/>
        <v>4.338394793926178E-3</v>
      </c>
      <c r="T1207" s="50">
        <f t="shared" si="150"/>
        <v>1</v>
      </c>
      <c r="U1207" s="50">
        <f t="shared" si="151"/>
        <v>1</v>
      </c>
    </row>
    <row r="1208" spans="1:21" x14ac:dyDescent="0.2">
      <c r="A1208" s="38">
        <v>40346</v>
      </c>
      <c r="B1208" s="4">
        <v>0.42449999999999999</v>
      </c>
      <c r="C1208" s="4">
        <v>0.26889999999999997</v>
      </c>
      <c r="D1208" s="4">
        <v>0.30659999999999998</v>
      </c>
      <c r="E1208" s="50">
        <v>1</v>
      </c>
      <c r="F1208" s="50">
        <v>0.37780000000000002</v>
      </c>
      <c r="G1208" s="50">
        <v>0.1179</v>
      </c>
      <c r="H1208" s="50">
        <v>0.38490743662900001</v>
      </c>
      <c r="I1208" s="50">
        <v>0.48829287047999997</v>
      </c>
      <c r="J1208" s="50">
        <v>0.28152200277799999</v>
      </c>
      <c r="K1208" s="50">
        <v>1117.72</v>
      </c>
      <c r="L1208" s="50">
        <v>1106.3800000000001</v>
      </c>
      <c r="M1208" s="50">
        <v>1114.6099999999999</v>
      </c>
      <c r="N1208" s="66">
        <f t="shared" si="144"/>
        <v>-2.0249235158485871E-2</v>
      </c>
      <c r="O1208" s="66">
        <f t="shared" si="145"/>
        <v>-1.7441078045235401E-2</v>
      </c>
      <c r="P1208" s="4">
        <f t="shared" si="146"/>
        <v>0.1179</v>
      </c>
      <c r="Q1208" s="4">
        <f t="shared" si="147"/>
        <v>-5.4099999999999995E-2</v>
      </c>
      <c r="R1208" s="66">
        <f t="shared" si="148"/>
        <v>-2.0249235158485871E-2</v>
      </c>
      <c r="S1208" s="66">
        <f t="shared" si="149"/>
        <v>-1.7441078045235401E-2</v>
      </c>
      <c r="T1208" s="50" t="str">
        <f t="shared" si="150"/>
        <v/>
      </c>
      <c r="U1208" s="50" t="str">
        <f t="shared" si="151"/>
        <v/>
      </c>
    </row>
    <row r="1209" spans="1:21" x14ac:dyDescent="0.2">
      <c r="A1209" s="38">
        <v>40353</v>
      </c>
      <c r="B1209" s="4">
        <v>0.34460000000000002</v>
      </c>
      <c r="C1209" s="4">
        <v>0.33110000000000001</v>
      </c>
      <c r="D1209" s="4">
        <v>0.32429999999999998</v>
      </c>
      <c r="E1209" s="50">
        <v>1</v>
      </c>
      <c r="F1209" s="50">
        <v>0.36917499999999998</v>
      </c>
      <c r="G1209" s="50">
        <v>2.0299999999999999E-2</v>
      </c>
      <c r="H1209" s="50">
        <v>0.38490743662900001</v>
      </c>
      <c r="I1209" s="50">
        <v>0.48829287047999997</v>
      </c>
      <c r="J1209" s="50">
        <v>0.28152200277799999</v>
      </c>
      <c r="K1209" s="50">
        <v>1090.93</v>
      </c>
      <c r="L1209" s="50">
        <v>1079.17</v>
      </c>
      <c r="M1209" s="50">
        <v>1092.04</v>
      </c>
      <c r="N1209" s="66">
        <f t="shared" si="144"/>
        <v>-5.6160946485476655E-2</v>
      </c>
      <c r="O1209" s="66">
        <f t="shared" si="145"/>
        <v>-2.0557855023625549E-2</v>
      </c>
      <c r="P1209" s="4">
        <f t="shared" si="146"/>
        <v>2.030000000000004E-2</v>
      </c>
      <c r="Q1209" s="4">
        <f t="shared" si="147"/>
        <v>3.6000000000000199E-3</v>
      </c>
      <c r="R1209" s="66">
        <f t="shared" si="148"/>
        <v>-5.6160946485476655E-2</v>
      </c>
      <c r="S1209" s="66">
        <f t="shared" si="149"/>
        <v>-2.0557855023625549E-2</v>
      </c>
      <c r="T1209" s="50" t="str">
        <f t="shared" si="150"/>
        <v/>
      </c>
      <c r="U1209" s="50" t="str">
        <f t="shared" si="151"/>
        <v/>
      </c>
    </row>
    <row r="1210" spans="1:21" x14ac:dyDescent="0.2">
      <c r="A1210" s="38">
        <v>40360</v>
      </c>
      <c r="B1210" s="4">
        <v>0.24679999999999999</v>
      </c>
      <c r="C1210" s="4">
        <v>0.33329999999999999</v>
      </c>
      <c r="D1210" s="4">
        <v>0.4199</v>
      </c>
      <c r="E1210" s="50">
        <v>1</v>
      </c>
      <c r="F1210" s="50">
        <v>0.35111249999999999</v>
      </c>
      <c r="G1210" s="50">
        <v>-0.1731</v>
      </c>
      <c r="H1210" s="50">
        <v>0.38490743662900001</v>
      </c>
      <c r="I1210" s="50">
        <v>0.48829287047999997</v>
      </c>
      <c r="J1210" s="50">
        <v>0.28152200277799999</v>
      </c>
      <c r="K1210" s="50">
        <v>1033.58</v>
      </c>
      <c r="L1210" s="50">
        <v>1021.65</v>
      </c>
      <c r="M1210" s="50">
        <v>1030.71</v>
      </c>
      <c r="N1210" s="66">
        <f t="shared" si="144"/>
        <v>2.8679259927622654E-2</v>
      </c>
      <c r="O1210" s="66">
        <f t="shared" si="145"/>
        <v>7.3172861425619296E-2</v>
      </c>
      <c r="P1210" s="4">
        <f t="shared" si="146"/>
        <v>-0.1731</v>
      </c>
      <c r="Q1210" s="4">
        <f t="shared" si="147"/>
        <v>-3.0274999999999989E-2</v>
      </c>
      <c r="R1210" s="66">
        <f t="shared" si="148"/>
        <v>2.8679259927622654E-2</v>
      </c>
      <c r="S1210" s="66">
        <f t="shared" si="149"/>
        <v>7.3172861425619296E-2</v>
      </c>
      <c r="T1210" s="50">
        <f t="shared" si="150"/>
        <v>1</v>
      </c>
      <c r="U1210" s="50">
        <f t="shared" si="151"/>
        <v>1</v>
      </c>
    </row>
    <row r="1211" spans="1:21" x14ac:dyDescent="0.2">
      <c r="A1211" s="38">
        <v>40367</v>
      </c>
      <c r="B1211" s="4">
        <v>0.2094</v>
      </c>
      <c r="C1211" s="4">
        <v>0.21990000000000001</v>
      </c>
      <c r="D1211" s="4">
        <v>0.57069999999999999</v>
      </c>
      <c r="E1211" s="50">
        <v>1</v>
      </c>
      <c r="F1211" s="50">
        <v>0.33153749999999998</v>
      </c>
      <c r="G1211" s="50">
        <v>-0.36130000000000001</v>
      </c>
      <c r="H1211" s="50">
        <v>0.38490743662900001</v>
      </c>
      <c r="I1211" s="50">
        <v>0.48829287047999997</v>
      </c>
      <c r="J1211" s="50">
        <v>0.28152200277799999</v>
      </c>
      <c r="K1211" s="50">
        <v>1071.25</v>
      </c>
      <c r="L1211" s="50">
        <v>1062.92</v>
      </c>
      <c r="M1211" s="50">
        <v>1060.27</v>
      </c>
      <c r="N1211" s="66">
        <f t="shared" si="144"/>
        <v>3.291614400105642E-2</v>
      </c>
      <c r="O1211" s="66">
        <f t="shared" si="145"/>
        <v>6.3163156554462571E-2</v>
      </c>
      <c r="P1211" s="4">
        <f t="shared" si="146"/>
        <v>-0.36129999999999995</v>
      </c>
      <c r="Q1211" s="4">
        <f t="shared" si="147"/>
        <v>-9.9049999999999971E-2</v>
      </c>
      <c r="R1211" s="66">
        <f t="shared" si="148"/>
        <v>3.291614400105642E-2</v>
      </c>
      <c r="S1211" s="66">
        <f t="shared" si="149"/>
        <v>6.3163156554462571E-2</v>
      </c>
      <c r="T1211" s="50">
        <f t="shared" si="150"/>
        <v>1</v>
      </c>
      <c r="U1211" s="50">
        <f t="shared" si="151"/>
        <v>1</v>
      </c>
    </row>
    <row r="1212" spans="1:21" x14ac:dyDescent="0.2">
      <c r="A1212" s="38">
        <v>40374</v>
      </c>
      <c r="B1212" s="4">
        <v>0.39369999999999999</v>
      </c>
      <c r="C1212" s="4">
        <v>0.22839999999999999</v>
      </c>
      <c r="D1212" s="4">
        <v>0.378</v>
      </c>
      <c r="E1212" s="50">
        <v>1.0001</v>
      </c>
      <c r="F1212" s="50">
        <v>0.329125</v>
      </c>
      <c r="G1212" s="50">
        <v>1.5699999999999999E-2</v>
      </c>
      <c r="H1212" s="50">
        <v>0.38490743662900001</v>
      </c>
      <c r="I1212" s="50">
        <v>0.48829287047999997</v>
      </c>
      <c r="J1212" s="50">
        <v>0.28152200277799999</v>
      </c>
      <c r="K1212" s="50">
        <v>1095.17</v>
      </c>
      <c r="L1212" s="50">
        <v>1080.53</v>
      </c>
      <c r="M1212" s="50">
        <v>1095.17</v>
      </c>
      <c r="N1212" s="66">
        <f t="shared" si="144"/>
        <v>-2.3357104376489635E-2</v>
      </c>
      <c r="O1212" s="66">
        <f t="shared" si="145"/>
        <v>-5.204671420875339E-3</v>
      </c>
      <c r="P1212" s="4">
        <f t="shared" si="146"/>
        <v>1.5699999999999992E-2</v>
      </c>
      <c r="Q1212" s="4">
        <f t="shared" si="147"/>
        <v>-0.12459999999999997</v>
      </c>
      <c r="R1212" s="66">
        <f t="shared" si="148"/>
        <v>-2.3357104376489635E-2</v>
      </c>
      <c r="S1212" s="66">
        <f t="shared" si="149"/>
        <v>-5.204671420875339E-3</v>
      </c>
      <c r="T1212" s="50" t="str">
        <f t="shared" si="150"/>
        <v/>
      </c>
      <c r="U1212" s="50" t="str">
        <f t="shared" si="151"/>
        <v/>
      </c>
    </row>
    <row r="1213" spans="1:21" x14ac:dyDescent="0.2">
      <c r="A1213" s="38">
        <v>40381</v>
      </c>
      <c r="B1213" s="4">
        <v>0.3216</v>
      </c>
      <c r="C1213" s="4">
        <v>0.2281</v>
      </c>
      <c r="D1213" s="4">
        <v>0.45029999999999998</v>
      </c>
      <c r="E1213" s="50">
        <v>1</v>
      </c>
      <c r="F1213" s="50">
        <v>0.33203749999999999</v>
      </c>
      <c r="G1213" s="50">
        <v>-0.12870000000000001</v>
      </c>
      <c r="H1213" s="50">
        <v>0.38490743662900001</v>
      </c>
      <c r="I1213" s="50">
        <v>0.48829287047999997</v>
      </c>
      <c r="J1213" s="50">
        <v>0.28152200277799999</v>
      </c>
      <c r="K1213" s="50">
        <v>1094.5899999999999</v>
      </c>
      <c r="L1213" s="50">
        <v>1072.1400000000001</v>
      </c>
      <c r="M1213" s="50">
        <v>1069.5899999999999</v>
      </c>
      <c r="N1213" s="66">
        <f t="shared" si="144"/>
        <v>3.4162623061173153E-2</v>
      </c>
      <c r="O1213" s="66">
        <f t="shared" si="145"/>
        <v>2.2971418954926808E-2</v>
      </c>
      <c r="P1213" s="4">
        <f t="shared" si="146"/>
        <v>-0.12869999999999998</v>
      </c>
      <c r="Q1213" s="4">
        <f t="shared" si="147"/>
        <v>-0.16184999999999999</v>
      </c>
      <c r="R1213" s="66">
        <f t="shared" si="148"/>
        <v>3.4162623061173153E-2</v>
      </c>
      <c r="S1213" s="66">
        <f t="shared" si="149"/>
        <v>2.2971418954926808E-2</v>
      </c>
      <c r="T1213" s="50">
        <f t="shared" si="150"/>
        <v>1</v>
      </c>
      <c r="U1213" s="50">
        <f t="shared" si="151"/>
        <v>1</v>
      </c>
    </row>
    <row r="1214" spans="1:21" x14ac:dyDescent="0.2">
      <c r="A1214" s="38">
        <v>40388</v>
      </c>
      <c r="B1214" s="4">
        <v>0.4</v>
      </c>
      <c r="C1214" s="4">
        <v>0.26669999999999999</v>
      </c>
      <c r="D1214" s="4">
        <v>0.33329999999999999</v>
      </c>
      <c r="E1214" s="50">
        <v>1</v>
      </c>
      <c r="F1214" s="50">
        <v>0.335675</v>
      </c>
      <c r="G1214" s="50">
        <v>6.6699999999999995E-2</v>
      </c>
      <c r="H1214" s="50">
        <v>0.38490743662900001</v>
      </c>
      <c r="I1214" s="50">
        <v>0.48829287047999997</v>
      </c>
      <c r="J1214" s="50">
        <v>0.28152200277799999</v>
      </c>
      <c r="K1214" s="50">
        <v>1115.9000000000001</v>
      </c>
      <c r="L1214" s="50">
        <v>1109.6300000000001</v>
      </c>
      <c r="M1214" s="50">
        <v>1106.1300000000001</v>
      </c>
      <c r="N1214" s="66">
        <f t="shared" si="144"/>
        <v>1.9084556064838578E-2</v>
      </c>
      <c r="O1214" s="66">
        <f t="shared" si="145"/>
        <v>-4.5925885745798575E-2</v>
      </c>
      <c r="P1214" s="4">
        <f t="shared" si="146"/>
        <v>6.6700000000000037E-2</v>
      </c>
      <c r="Q1214" s="4">
        <f t="shared" si="147"/>
        <v>-0.10189999999999998</v>
      </c>
      <c r="R1214" s="66">
        <f t="shared" si="148"/>
        <v>1.9084556064838578E-2</v>
      </c>
      <c r="S1214" s="66">
        <f t="shared" si="149"/>
        <v>-4.5925885745798575E-2</v>
      </c>
      <c r="T1214" s="50">
        <f t="shared" si="150"/>
        <v>1</v>
      </c>
      <c r="U1214" s="50" t="str">
        <f t="shared" si="151"/>
        <v/>
      </c>
    </row>
    <row r="1215" spans="1:21" x14ac:dyDescent="0.2">
      <c r="A1215" s="38">
        <v>40395</v>
      </c>
      <c r="B1215" s="4">
        <v>0.3039</v>
      </c>
      <c r="C1215" s="4">
        <v>0.31369999999999998</v>
      </c>
      <c r="D1215" s="4">
        <v>0.38240000000000002</v>
      </c>
      <c r="E1215" s="50">
        <v>1</v>
      </c>
      <c r="F1215" s="50">
        <v>0.33056249999999998</v>
      </c>
      <c r="G1215" s="50">
        <v>-7.85E-2</v>
      </c>
      <c r="H1215" s="50">
        <v>0.38490743662900001</v>
      </c>
      <c r="I1215" s="50">
        <v>0.48829287047999997</v>
      </c>
      <c r="J1215" s="50">
        <v>0.28152200277799999</v>
      </c>
      <c r="K1215" s="50">
        <v>1124.75</v>
      </c>
      <c r="L1215" s="50">
        <v>1118.81</v>
      </c>
      <c r="M1215" s="50">
        <v>1127.24</v>
      </c>
      <c r="N1215" s="66">
        <f t="shared" si="144"/>
        <v>-3.350661793406904E-2</v>
      </c>
      <c r="O1215" s="66">
        <f t="shared" si="145"/>
        <v>-4.1650402753628371E-2</v>
      </c>
      <c r="P1215" s="4">
        <f t="shared" si="146"/>
        <v>-7.8500000000000014E-2</v>
      </c>
      <c r="Q1215" s="4">
        <f t="shared" si="147"/>
        <v>-3.1199999999999992E-2</v>
      </c>
      <c r="R1215" s="66">
        <f t="shared" si="148"/>
        <v>-3.350661793406904E-2</v>
      </c>
      <c r="S1215" s="66">
        <f t="shared" si="149"/>
        <v>-4.1650402753628371E-2</v>
      </c>
      <c r="T1215" s="50" t="str">
        <f t="shared" si="150"/>
        <v/>
      </c>
      <c r="U1215" s="50" t="str">
        <f t="shared" si="151"/>
        <v/>
      </c>
    </row>
    <row r="1216" spans="1:21" x14ac:dyDescent="0.2">
      <c r="A1216" s="38">
        <v>40402</v>
      </c>
      <c r="B1216" s="4">
        <v>0.39760000000000001</v>
      </c>
      <c r="C1216" s="4">
        <v>0.30120000000000002</v>
      </c>
      <c r="D1216" s="4">
        <v>0.30120000000000002</v>
      </c>
      <c r="E1216" s="50">
        <v>1</v>
      </c>
      <c r="F1216" s="50">
        <v>0.32719999999999999</v>
      </c>
      <c r="G1216" s="50">
        <v>9.64E-2</v>
      </c>
      <c r="H1216" s="50">
        <v>0.38490743662900001</v>
      </c>
      <c r="I1216" s="50">
        <v>0.48829287047999997</v>
      </c>
      <c r="J1216" s="50">
        <v>0.28152200277799999</v>
      </c>
      <c r="K1216" s="50">
        <v>1083.8800000000001</v>
      </c>
      <c r="L1216" s="50">
        <v>1076.69</v>
      </c>
      <c r="M1216" s="50">
        <v>1089.47</v>
      </c>
      <c r="N1216" s="66">
        <f t="shared" si="144"/>
        <v>4.3048454753229137E-3</v>
      </c>
      <c r="O1216" s="66">
        <f t="shared" si="145"/>
        <v>2.1753696751630525E-3</v>
      </c>
      <c r="P1216" s="4">
        <f t="shared" si="146"/>
        <v>9.6399999999999986E-2</v>
      </c>
      <c r="Q1216" s="4">
        <f t="shared" si="147"/>
        <v>-1.1024999999999993E-2</v>
      </c>
      <c r="R1216" s="66">
        <f t="shared" si="148"/>
        <v>4.3048454753229137E-3</v>
      </c>
      <c r="S1216" s="66">
        <f t="shared" si="149"/>
        <v>2.1753696751630525E-3</v>
      </c>
      <c r="T1216" s="50">
        <f t="shared" si="150"/>
        <v>1</v>
      </c>
      <c r="U1216" s="50">
        <f t="shared" si="151"/>
        <v>1</v>
      </c>
    </row>
    <row r="1217" spans="1:21" x14ac:dyDescent="0.2">
      <c r="A1217" s="38">
        <v>40409</v>
      </c>
      <c r="B1217" s="4">
        <v>0.30109999999999998</v>
      </c>
      <c r="C1217" s="4">
        <v>0.2742</v>
      </c>
      <c r="D1217" s="4">
        <v>0.42470000000000002</v>
      </c>
      <c r="E1217" s="50">
        <v>1</v>
      </c>
      <c r="F1217" s="50">
        <v>0.32176250000000001</v>
      </c>
      <c r="G1217" s="50">
        <v>-0.1236</v>
      </c>
      <c r="H1217" s="50">
        <v>0.38490743662900001</v>
      </c>
      <c r="I1217" s="50">
        <v>0.48829287047999997</v>
      </c>
      <c r="J1217" s="50">
        <v>0.28152200277799999</v>
      </c>
      <c r="K1217" s="50">
        <v>1092.44</v>
      </c>
      <c r="L1217" s="50">
        <v>1077.3499999999999</v>
      </c>
      <c r="M1217" s="50">
        <v>1094.1600000000001</v>
      </c>
      <c r="N1217" s="66">
        <f t="shared" si="144"/>
        <v>-3.5488411201286971E-2</v>
      </c>
      <c r="O1217" s="66">
        <f t="shared" si="145"/>
        <v>2.8249981721137542E-2</v>
      </c>
      <c r="P1217" s="4">
        <f t="shared" si="146"/>
        <v>-0.12360000000000004</v>
      </c>
      <c r="Q1217" s="4">
        <f t="shared" si="147"/>
        <v>-9.7500000000000087E-3</v>
      </c>
      <c r="R1217" s="66">
        <f t="shared" si="148"/>
        <v>-3.5488411201286971E-2</v>
      </c>
      <c r="S1217" s="66">
        <f t="shared" si="149"/>
        <v>2.8249981721137542E-2</v>
      </c>
      <c r="T1217" s="50" t="str">
        <f t="shared" si="150"/>
        <v/>
      </c>
      <c r="U1217" s="50">
        <f t="shared" si="151"/>
        <v>1</v>
      </c>
    </row>
    <row r="1218" spans="1:21" x14ac:dyDescent="0.2">
      <c r="A1218" s="38">
        <v>40416</v>
      </c>
      <c r="B1218" s="4">
        <v>0.2074</v>
      </c>
      <c r="C1218" s="4">
        <v>0.2979</v>
      </c>
      <c r="D1218" s="4">
        <v>0.49469999999999997</v>
      </c>
      <c r="E1218" s="50">
        <v>1</v>
      </c>
      <c r="F1218" s="50">
        <v>0.31683749999999999</v>
      </c>
      <c r="G1218" s="50">
        <v>-0.2873</v>
      </c>
      <c r="H1218" s="50">
        <v>0.38490743662900001</v>
      </c>
      <c r="I1218" s="50">
        <v>0.48829287047999997</v>
      </c>
      <c r="J1218" s="50">
        <v>0.28152200277799999</v>
      </c>
      <c r="K1218" s="50">
        <v>1060.25</v>
      </c>
      <c r="L1218" s="50">
        <v>1055.3800000000001</v>
      </c>
      <c r="M1218" s="50">
        <v>1055.33</v>
      </c>
      <c r="N1218" s="66">
        <f t="shared" si="144"/>
        <v>2.3651369713738865E-2</v>
      </c>
      <c r="O1218" s="66">
        <f t="shared" si="145"/>
        <v>7.4772819876247329E-2</v>
      </c>
      <c r="P1218" s="4">
        <f t="shared" si="146"/>
        <v>-0.2873</v>
      </c>
      <c r="Q1218" s="4">
        <f t="shared" si="147"/>
        <v>-9.8250000000000018E-2</v>
      </c>
      <c r="R1218" s="66">
        <f t="shared" si="148"/>
        <v>2.3651369713738865E-2</v>
      </c>
      <c r="S1218" s="66">
        <f t="shared" si="149"/>
        <v>7.4772819876247329E-2</v>
      </c>
      <c r="T1218" s="50">
        <f t="shared" si="150"/>
        <v>1</v>
      </c>
      <c r="U1218" s="50">
        <f t="shared" si="151"/>
        <v>1</v>
      </c>
    </row>
    <row r="1219" spans="1:21" x14ac:dyDescent="0.2">
      <c r="A1219" s="38">
        <v>40423</v>
      </c>
      <c r="B1219" s="4">
        <v>0.308</v>
      </c>
      <c r="C1219" s="4">
        <v>0.27</v>
      </c>
      <c r="D1219" s="4">
        <v>0.42209999999999998</v>
      </c>
      <c r="E1219" s="50">
        <v>1.0001</v>
      </c>
      <c r="F1219" s="50">
        <v>0.32916250000000002</v>
      </c>
      <c r="G1219" s="50">
        <v>-0.11409999999999999</v>
      </c>
      <c r="H1219" s="50">
        <v>0.38490743662900001</v>
      </c>
      <c r="I1219" s="50">
        <v>0.48829287047999997</v>
      </c>
      <c r="J1219" s="50">
        <v>0.28152200277799999</v>
      </c>
      <c r="K1219" s="50">
        <v>1086.55</v>
      </c>
      <c r="L1219" s="50">
        <v>1080.3900000000001</v>
      </c>
      <c r="M1219" s="50">
        <v>1080.29</v>
      </c>
      <c r="N1219" s="66">
        <f t="shared" si="144"/>
        <v>1.0691573558951721E-2</v>
      </c>
      <c r="O1219" s="66">
        <f t="shared" si="145"/>
        <v>5.9650649362671185E-2</v>
      </c>
      <c r="P1219" s="4">
        <f t="shared" si="146"/>
        <v>-0.11409999999999998</v>
      </c>
      <c r="Q1219" s="4">
        <f t="shared" si="147"/>
        <v>-0.10715000000000001</v>
      </c>
      <c r="R1219" s="66">
        <f t="shared" si="148"/>
        <v>1.0691573558951721E-2</v>
      </c>
      <c r="S1219" s="66">
        <f t="shared" si="149"/>
        <v>5.9650649362671185E-2</v>
      </c>
      <c r="T1219" s="50">
        <f t="shared" si="150"/>
        <v>1</v>
      </c>
      <c r="U1219" s="50">
        <f t="shared" si="151"/>
        <v>1</v>
      </c>
    </row>
    <row r="1220" spans="1:21" x14ac:dyDescent="0.2">
      <c r="A1220" s="38">
        <v>40430</v>
      </c>
      <c r="B1220" s="4">
        <v>0.43869999999999998</v>
      </c>
      <c r="C1220" s="4">
        <v>0.24510000000000001</v>
      </c>
      <c r="D1220" s="4">
        <v>0.31609999999999999</v>
      </c>
      <c r="E1220" s="50">
        <v>0.99990000000000001</v>
      </c>
      <c r="F1220" s="50">
        <v>0.33478750000000002</v>
      </c>
      <c r="G1220" s="50">
        <v>0.1226</v>
      </c>
      <c r="H1220" s="50">
        <v>0.38490743662900001</v>
      </c>
      <c r="I1220" s="50">
        <v>0.48829287047999997</v>
      </c>
      <c r="J1220" s="50">
        <v>0.28152200277799999</v>
      </c>
      <c r="K1220" s="50">
        <v>1103.26</v>
      </c>
      <c r="L1220" s="50">
        <v>1092.3599999999999</v>
      </c>
      <c r="M1220" s="50">
        <v>1091.8399999999999</v>
      </c>
      <c r="N1220" s="66">
        <f t="shared" si="144"/>
        <v>3.0434862250879269E-2</v>
      </c>
      <c r="O1220" s="66">
        <f t="shared" si="145"/>
        <v>6.2399252637749224E-2</v>
      </c>
      <c r="P1220" s="4">
        <f t="shared" si="146"/>
        <v>0.12259999999999999</v>
      </c>
      <c r="Q1220" s="4">
        <f t="shared" si="147"/>
        <v>-0.10060000000000001</v>
      </c>
      <c r="R1220" s="66">
        <f t="shared" si="148"/>
        <v>3.0434862250879269E-2</v>
      </c>
      <c r="S1220" s="66">
        <f t="shared" si="149"/>
        <v>6.2399252637749224E-2</v>
      </c>
      <c r="T1220" s="50">
        <f t="shared" si="150"/>
        <v>1</v>
      </c>
      <c r="U1220" s="50">
        <f t="shared" si="151"/>
        <v>1</v>
      </c>
    </row>
    <row r="1221" spans="1:21" x14ac:dyDescent="0.2">
      <c r="A1221" s="38">
        <v>40437</v>
      </c>
      <c r="B1221" s="4">
        <v>0.50890000000000002</v>
      </c>
      <c r="C1221" s="4">
        <v>0.2485</v>
      </c>
      <c r="D1221" s="4">
        <v>0.24260000000000001</v>
      </c>
      <c r="E1221" s="50">
        <v>1</v>
      </c>
      <c r="F1221" s="50">
        <v>0.35820000000000002</v>
      </c>
      <c r="G1221" s="50">
        <v>0.26629999999999998</v>
      </c>
      <c r="H1221" s="50">
        <v>0.38490743662900001</v>
      </c>
      <c r="I1221" s="50">
        <v>0.48829287047999997</v>
      </c>
      <c r="J1221" s="50">
        <v>0.28152200277799999</v>
      </c>
      <c r="K1221" s="50">
        <v>1123.8900000000001</v>
      </c>
      <c r="L1221" s="50">
        <v>1118.9000000000001</v>
      </c>
      <c r="M1221" s="50">
        <v>1125.07</v>
      </c>
      <c r="N1221" s="66">
        <f t="shared" si="144"/>
        <v>8.1506039624201811E-3</v>
      </c>
      <c r="O1221" s="66">
        <f t="shared" si="145"/>
        <v>4.7134844942981306E-2</v>
      </c>
      <c r="P1221" s="4">
        <f t="shared" si="146"/>
        <v>0.26629999999999998</v>
      </c>
      <c r="Q1221" s="4">
        <f t="shared" si="147"/>
        <v>-3.1250000000000028E-3</v>
      </c>
      <c r="R1221" s="66">
        <f t="shared" si="148"/>
        <v>8.1506039624201811E-3</v>
      </c>
      <c r="S1221" s="66">
        <f t="shared" si="149"/>
        <v>4.7134844942981306E-2</v>
      </c>
      <c r="T1221" s="50">
        <f t="shared" si="150"/>
        <v>1</v>
      </c>
      <c r="U1221" s="50">
        <f t="shared" si="151"/>
        <v>1</v>
      </c>
    </row>
    <row r="1222" spans="1:21" x14ac:dyDescent="0.2">
      <c r="A1222" s="38">
        <v>40444</v>
      </c>
      <c r="B1222" s="4">
        <v>0.44969999999999999</v>
      </c>
      <c r="C1222" s="4">
        <v>0.29630000000000001</v>
      </c>
      <c r="D1222" s="4">
        <v>0.254</v>
      </c>
      <c r="E1222" s="50">
        <v>1</v>
      </c>
      <c r="F1222" s="50">
        <v>0.36441249999999997</v>
      </c>
      <c r="G1222" s="50">
        <v>0.19570000000000001</v>
      </c>
      <c r="H1222" s="50">
        <v>0.38490743662900001</v>
      </c>
      <c r="I1222" s="50">
        <v>0.48829287047999997</v>
      </c>
      <c r="J1222" s="50">
        <v>0.28152200277799999</v>
      </c>
      <c r="K1222" s="50">
        <v>1132.97</v>
      </c>
      <c r="L1222" s="50">
        <v>1123.46</v>
      </c>
      <c r="M1222" s="50">
        <v>1134.24</v>
      </c>
      <c r="N1222" s="66">
        <f t="shared" si="144"/>
        <v>9.2484835660883134E-3</v>
      </c>
      <c r="O1222" s="66">
        <f t="shared" si="145"/>
        <v>3.8730780081816955E-2</v>
      </c>
      <c r="P1222" s="4">
        <f t="shared" si="146"/>
        <v>0.19569999999999999</v>
      </c>
      <c r="Q1222" s="4">
        <f t="shared" si="147"/>
        <v>0.11762499999999999</v>
      </c>
      <c r="R1222" s="66">
        <f t="shared" si="148"/>
        <v>9.2484835660883134E-3</v>
      </c>
      <c r="S1222" s="66">
        <f t="shared" si="149"/>
        <v>3.8730780081816955E-2</v>
      </c>
      <c r="T1222" s="50">
        <f t="shared" si="150"/>
        <v>1</v>
      </c>
      <c r="U1222" s="50">
        <f t="shared" si="151"/>
        <v>1</v>
      </c>
    </row>
    <row r="1223" spans="1:21" x14ac:dyDescent="0.2">
      <c r="A1223" s="38">
        <v>40451</v>
      </c>
      <c r="B1223" s="4">
        <v>0.42530000000000001</v>
      </c>
      <c r="C1223" s="4">
        <v>0.2586</v>
      </c>
      <c r="D1223" s="4">
        <v>0.31609999999999999</v>
      </c>
      <c r="E1223" s="50">
        <v>1</v>
      </c>
      <c r="F1223" s="50">
        <v>0.37958750000000002</v>
      </c>
      <c r="G1223" s="50">
        <v>0.10920000000000001</v>
      </c>
      <c r="H1223" s="50">
        <v>0.38490743662900001</v>
      </c>
      <c r="I1223" s="50">
        <v>0.48829287047999997</v>
      </c>
      <c r="J1223" s="50">
        <v>0.28152200277799999</v>
      </c>
      <c r="K1223" s="50">
        <v>1157.1600000000001</v>
      </c>
      <c r="L1223" s="50">
        <v>1145.97</v>
      </c>
      <c r="M1223" s="50">
        <v>1144.73</v>
      </c>
      <c r="N1223" s="66">
        <f t="shared" si="144"/>
        <v>1.3313183021323814E-2</v>
      </c>
      <c r="O1223" s="66">
        <f t="shared" si="145"/>
        <v>3.2951001546216163E-2</v>
      </c>
      <c r="P1223" s="4">
        <f t="shared" si="146"/>
        <v>0.10920000000000002</v>
      </c>
      <c r="Q1223" s="4">
        <f t="shared" si="147"/>
        <v>0.17344999999999999</v>
      </c>
      <c r="R1223" s="66">
        <f t="shared" si="148"/>
        <v>1.3313183021323814E-2</v>
      </c>
      <c r="S1223" s="66">
        <f t="shared" si="149"/>
        <v>3.2951001546216163E-2</v>
      </c>
      <c r="T1223" s="50">
        <f t="shared" si="150"/>
        <v>1</v>
      </c>
      <c r="U1223" s="50">
        <f t="shared" si="151"/>
        <v>1</v>
      </c>
    </row>
    <row r="1224" spans="1:21" x14ac:dyDescent="0.2">
      <c r="A1224" s="38">
        <v>40458</v>
      </c>
      <c r="B1224" s="4">
        <v>0.49030000000000001</v>
      </c>
      <c r="C1224" s="4">
        <v>0.23230000000000001</v>
      </c>
      <c r="D1224" s="4">
        <v>0.27739999999999998</v>
      </c>
      <c r="E1224" s="50">
        <v>1</v>
      </c>
      <c r="F1224" s="50">
        <v>0.39117499999999999</v>
      </c>
      <c r="G1224" s="50">
        <v>0.21290000000000001</v>
      </c>
      <c r="H1224" s="50">
        <v>0.38490743662900001</v>
      </c>
      <c r="I1224" s="50">
        <v>0.48829287047999997</v>
      </c>
      <c r="J1224" s="50">
        <v>0.28152200277799999</v>
      </c>
      <c r="K1224" s="50">
        <v>1163.8699999999999</v>
      </c>
      <c r="L1224" s="50">
        <v>1156.5</v>
      </c>
      <c r="M1224" s="50">
        <v>1159.97</v>
      </c>
      <c r="N1224" s="66">
        <f t="shared" si="144"/>
        <v>1.5629714561583387E-2</v>
      </c>
      <c r="O1224" s="66">
        <f t="shared" si="145"/>
        <v>3.2750847004663922E-2</v>
      </c>
      <c r="P1224" s="4">
        <f t="shared" si="146"/>
        <v>0.21290000000000003</v>
      </c>
      <c r="Q1224" s="4">
        <f t="shared" si="147"/>
        <v>0.196025</v>
      </c>
      <c r="R1224" s="66">
        <f t="shared" si="148"/>
        <v>1.5629714561583387E-2</v>
      </c>
      <c r="S1224" s="66">
        <f t="shared" si="149"/>
        <v>3.2750847004663922E-2</v>
      </c>
      <c r="T1224" s="50">
        <f t="shared" si="150"/>
        <v>1</v>
      </c>
      <c r="U1224" s="50">
        <f t="shared" si="151"/>
        <v>1</v>
      </c>
    </row>
    <row r="1225" spans="1:21" x14ac:dyDescent="0.2">
      <c r="A1225" s="38">
        <v>40465</v>
      </c>
      <c r="B1225" s="4">
        <v>0.47099999999999997</v>
      </c>
      <c r="C1225" s="4">
        <v>0.26090000000000002</v>
      </c>
      <c r="D1225" s="4">
        <v>0.2681</v>
      </c>
      <c r="E1225" s="50">
        <v>1</v>
      </c>
      <c r="F1225" s="50">
        <v>0.41241250000000002</v>
      </c>
      <c r="G1225" s="50">
        <v>0.2029</v>
      </c>
      <c r="H1225" s="50">
        <v>0.38490743662900001</v>
      </c>
      <c r="I1225" s="50">
        <v>0.48829287047999997</v>
      </c>
      <c r="J1225" s="50">
        <v>0.28152200277799999</v>
      </c>
      <c r="K1225" s="50">
        <v>1177.95</v>
      </c>
      <c r="L1225" s="50">
        <v>1174.04</v>
      </c>
      <c r="M1225" s="50">
        <v>1178.0999999999999</v>
      </c>
      <c r="N1225" s="66">
        <f t="shared" si="144"/>
        <v>5.9417706476668972E-5</v>
      </c>
      <c r="O1225" s="66">
        <f t="shared" si="145"/>
        <v>4.0531364060775829E-2</v>
      </c>
      <c r="P1225" s="4">
        <f t="shared" si="146"/>
        <v>0.20289999999999997</v>
      </c>
      <c r="Q1225" s="4">
        <f t="shared" si="147"/>
        <v>0.180175</v>
      </c>
      <c r="R1225" s="66">
        <f t="shared" si="148"/>
        <v>5.9417706476668972E-5</v>
      </c>
      <c r="S1225" s="66">
        <f t="shared" si="149"/>
        <v>4.0531364060775829E-2</v>
      </c>
      <c r="T1225" s="50">
        <f t="shared" si="150"/>
        <v>1</v>
      </c>
      <c r="U1225" s="50">
        <f t="shared" si="151"/>
        <v>1</v>
      </c>
    </row>
    <row r="1226" spans="1:21" x14ac:dyDescent="0.2">
      <c r="A1226" s="38">
        <v>40472</v>
      </c>
      <c r="B1226" s="4">
        <v>0.49619999999999997</v>
      </c>
      <c r="C1226" s="4">
        <v>0.25190000000000001</v>
      </c>
      <c r="D1226" s="4">
        <v>0.25190000000000001</v>
      </c>
      <c r="E1226" s="50">
        <v>1</v>
      </c>
      <c r="F1226" s="50">
        <v>0.44851249999999998</v>
      </c>
      <c r="G1226" s="50">
        <v>0.24429999999999999</v>
      </c>
      <c r="H1226" s="50">
        <v>0.38490743662900001</v>
      </c>
      <c r="I1226" s="50">
        <v>0.48829287047999997</v>
      </c>
      <c r="J1226" s="50">
        <v>0.28152200277799999</v>
      </c>
      <c r="K1226" s="50">
        <v>1188.52</v>
      </c>
      <c r="L1226" s="50">
        <v>1179.82</v>
      </c>
      <c r="M1226" s="50">
        <v>1178.17</v>
      </c>
      <c r="N1226" s="66">
        <f t="shared" si="144"/>
        <v>3.6327524890295733E-3</v>
      </c>
      <c r="O1226" s="66">
        <f t="shared" si="145"/>
        <v>3.8262729487255592E-2</v>
      </c>
      <c r="P1226" s="4">
        <f t="shared" si="146"/>
        <v>0.24429999999999996</v>
      </c>
      <c r="Q1226" s="4">
        <f t="shared" si="147"/>
        <v>0.192325</v>
      </c>
      <c r="R1226" s="66">
        <f t="shared" si="148"/>
        <v>3.6327524890295733E-3</v>
      </c>
      <c r="S1226" s="66">
        <f t="shared" si="149"/>
        <v>3.8262729487255592E-2</v>
      </c>
      <c r="T1226" s="50">
        <f t="shared" si="150"/>
        <v>1</v>
      </c>
      <c r="U1226" s="50">
        <f t="shared" si="151"/>
        <v>1</v>
      </c>
    </row>
    <row r="1227" spans="1:21" x14ac:dyDescent="0.2">
      <c r="A1227" s="38">
        <v>40479</v>
      </c>
      <c r="B1227" s="4">
        <v>0.51229999999999998</v>
      </c>
      <c r="C1227" s="4">
        <v>0.27160000000000001</v>
      </c>
      <c r="D1227" s="4">
        <v>0.216</v>
      </c>
      <c r="E1227" s="50">
        <v>0.99990000000000001</v>
      </c>
      <c r="F1227" s="50">
        <v>0.47405000000000003</v>
      </c>
      <c r="G1227" s="50">
        <v>0.29630000000000001</v>
      </c>
      <c r="H1227" s="50">
        <v>0.38490743662900001</v>
      </c>
      <c r="I1227" s="50">
        <v>0.48829287047999997</v>
      </c>
      <c r="J1227" s="50">
        <v>0.28152200277799999</v>
      </c>
      <c r="K1227" s="50">
        <v>1189.53</v>
      </c>
      <c r="L1227" s="50">
        <v>1184.47</v>
      </c>
      <c r="M1227" s="50">
        <v>1182.45</v>
      </c>
      <c r="N1227" s="66">
        <f t="shared" si="144"/>
        <v>1.3116833692756557E-2</v>
      </c>
      <c r="O1227" s="66">
        <f t="shared" si="145"/>
        <v>1.4613725738931854E-2</v>
      </c>
      <c r="P1227" s="4">
        <f t="shared" si="146"/>
        <v>0.29630000000000001</v>
      </c>
      <c r="Q1227" s="4">
        <f t="shared" si="147"/>
        <v>0.23909999999999998</v>
      </c>
      <c r="R1227" s="66">
        <f t="shared" si="148"/>
        <v>1.3116833692756557E-2</v>
      </c>
      <c r="S1227" s="66">
        <f t="shared" si="149"/>
        <v>1.4613725738931854E-2</v>
      </c>
      <c r="T1227" s="50">
        <f t="shared" si="150"/>
        <v>1</v>
      </c>
      <c r="U1227" s="50">
        <f t="shared" si="151"/>
        <v>1</v>
      </c>
    </row>
    <row r="1228" spans="1:21" x14ac:dyDescent="0.2">
      <c r="A1228" s="38">
        <v>40486</v>
      </c>
      <c r="B1228" s="4">
        <v>0.48230000000000001</v>
      </c>
      <c r="C1228" s="4">
        <v>0.21990000000000001</v>
      </c>
      <c r="D1228" s="4">
        <v>0.2979</v>
      </c>
      <c r="E1228" s="50">
        <v>1.0001</v>
      </c>
      <c r="F1228" s="50">
        <v>0.47949999999999998</v>
      </c>
      <c r="G1228" s="50">
        <v>0.18440000000000001</v>
      </c>
      <c r="H1228" s="50">
        <v>0.38490743662900001</v>
      </c>
      <c r="I1228" s="50">
        <v>0.48829287047999997</v>
      </c>
      <c r="J1228" s="50">
        <v>0.28152200277799999</v>
      </c>
      <c r="K1228" s="50">
        <v>1213.05</v>
      </c>
      <c r="L1228" s="50">
        <v>1198.3399999999999</v>
      </c>
      <c r="M1228" s="50">
        <v>1197.96</v>
      </c>
      <c r="N1228" s="66">
        <f t="shared" si="144"/>
        <v>2.3281244782797316E-2</v>
      </c>
      <c r="O1228" s="66">
        <f t="shared" si="145"/>
        <v>6.7698420648434838E-3</v>
      </c>
      <c r="P1228" s="4">
        <f t="shared" si="146"/>
        <v>0.18440000000000001</v>
      </c>
      <c r="Q1228" s="4">
        <f t="shared" si="147"/>
        <v>0.23197499999999999</v>
      </c>
      <c r="R1228" s="66">
        <f t="shared" si="148"/>
        <v>2.3281244782797316E-2</v>
      </c>
      <c r="S1228" s="66">
        <f t="shared" si="149"/>
        <v>6.7698420648434838E-3</v>
      </c>
      <c r="T1228" s="50">
        <f t="shared" si="150"/>
        <v>1</v>
      </c>
      <c r="U1228" s="50">
        <f t="shared" si="151"/>
        <v>1</v>
      </c>
    </row>
    <row r="1229" spans="1:21" x14ac:dyDescent="0.2">
      <c r="A1229" s="38">
        <v>40493</v>
      </c>
      <c r="B1229" s="4">
        <v>0.5756</v>
      </c>
      <c r="C1229" s="4">
        <v>0.13950000000000001</v>
      </c>
      <c r="D1229" s="4">
        <v>0.28489999999999999</v>
      </c>
      <c r="E1229" s="50">
        <v>1</v>
      </c>
      <c r="F1229" s="50">
        <v>0.48783749999999998</v>
      </c>
      <c r="G1229" s="50">
        <v>0.29070000000000001</v>
      </c>
      <c r="H1229" s="50">
        <v>0.38490743662900001</v>
      </c>
      <c r="I1229" s="50">
        <v>0.48829287047999997</v>
      </c>
      <c r="J1229" s="50">
        <v>0.28152200277799999</v>
      </c>
      <c r="K1229" s="50">
        <v>1227.08</v>
      </c>
      <c r="L1229" s="50">
        <v>1220.29</v>
      </c>
      <c r="M1229" s="50">
        <v>1225.8499999999999</v>
      </c>
      <c r="N1229" s="66">
        <f t="shared" ref="N1229:N1292" si="152">(M1230-M1229)/M1229</f>
        <v>-2.1209772810702036E-3</v>
      </c>
      <c r="O1229" s="66">
        <f t="shared" ref="O1229:O1292" si="153">(M1233-M1229)/M1229</f>
        <v>1.9822979973080426E-3</v>
      </c>
      <c r="P1229" s="4">
        <f t="shared" si="146"/>
        <v>0.29070000000000001</v>
      </c>
      <c r="Q1229" s="4">
        <f t="shared" si="147"/>
        <v>0.25392500000000001</v>
      </c>
      <c r="R1229" s="66">
        <f t="shared" si="148"/>
        <v>-2.1209772810702036E-3</v>
      </c>
      <c r="S1229" s="66">
        <f t="shared" si="149"/>
        <v>1.9822979973080426E-3</v>
      </c>
      <c r="T1229" s="50" t="str">
        <f t="shared" si="150"/>
        <v/>
      </c>
      <c r="U1229" s="50">
        <f t="shared" si="151"/>
        <v>1</v>
      </c>
    </row>
    <row r="1230" spans="1:21" x14ac:dyDescent="0.2">
      <c r="A1230" s="38">
        <v>40500</v>
      </c>
      <c r="B1230" s="4">
        <v>0.4</v>
      </c>
      <c r="C1230" s="4">
        <v>0.27500000000000002</v>
      </c>
      <c r="D1230" s="4">
        <v>0.32500000000000001</v>
      </c>
      <c r="E1230" s="50">
        <v>1</v>
      </c>
      <c r="F1230" s="50">
        <v>0.48162500000000003</v>
      </c>
      <c r="G1230" s="50">
        <v>7.4999999999999997E-2</v>
      </c>
      <c r="H1230" s="50">
        <v>0.38490743662900001</v>
      </c>
      <c r="I1230" s="50">
        <v>0.48829287047999997</v>
      </c>
      <c r="J1230" s="50">
        <v>0.28152200277799999</v>
      </c>
      <c r="K1230" s="50">
        <v>1226.8399999999999</v>
      </c>
      <c r="L1230" s="50">
        <v>1173</v>
      </c>
      <c r="M1230" s="50">
        <v>1223.25</v>
      </c>
      <c r="N1230" s="66">
        <f t="shared" si="152"/>
        <v>-1.9227467811158784E-2</v>
      </c>
      <c r="O1230" s="66">
        <f t="shared" si="153"/>
        <v>1.4992846924177329E-2</v>
      </c>
      <c r="P1230" s="4">
        <f t="shared" ref="P1230:P1293" si="154">B1230-D1230</f>
        <v>7.5000000000000011E-2</v>
      </c>
      <c r="Q1230" s="4">
        <f t="shared" si="147"/>
        <v>0.21160000000000001</v>
      </c>
      <c r="R1230" s="66">
        <f t="shared" si="148"/>
        <v>-1.9227467811158784E-2</v>
      </c>
      <c r="S1230" s="66">
        <f t="shared" si="149"/>
        <v>1.4992846924177329E-2</v>
      </c>
      <c r="T1230" s="50" t="str">
        <f t="shared" si="150"/>
        <v/>
      </c>
      <c r="U1230" s="50">
        <f t="shared" si="151"/>
        <v>1</v>
      </c>
    </row>
    <row r="1231" spans="1:21" x14ac:dyDescent="0.2">
      <c r="A1231" s="38">
        <v>40507</v>
      </c>
      <c r="B1231" s="4">
        <v>0.47399999999999998</v>
      </c>
      <c r="C1231" s="4">
        <v>0.2792</v>
      </c>
      <c r="D1231" s="4">
        <v>0.24679999999999999</v>
      </c>
      <c r="E1231" s="50">
        <v>1</v>
      </c>
      <c r="F1231" s="50">
        <v>0.48771249999999999</v>
      </c>
      <c r="G1231" s="50">
        <v>0.22720000000000001</v>
      </c>
      <c r="H1231" s="50">
        <v>0.38490743662900001</v>
      </c>
      <c r="I1231" s="50">
        <v>0.48829287047999997</v>
      </c>
      <c r="J1231" s="50">
        <v>0.28152200277799999</v>
      </c>
      <c r="K1231" s="50">
        <v>1200.29</v>
      </c>
      <c r="L1231" s="50">
        <v>1198.3499999999999</v>
      </c>
      <c r="M1231" s="50">
        <v>1199.73</v>
      </c>
      <c r="N1231" s="66">
        <f t="shared" si="152"/>
        <v>5.2845223508622089E-3</v>
      </c>
      <c r="O1231" s="66">
        <f t="shared" si="153"/>
        <v>4.9269418952597586E-2</v>
      </c>
      <c r="P1231" s="4">
        <f t="shared" si="154"/>
        <v>0.22719999999999999</v>
      </c>
      <c r="Q1231" s="4">
        <f t="shared" si="147"/>
        <v>0.194325</v>
      </c>
      <c r="R1231" s="66">
        <f t="shared" si="148"/>
        <v>5.2845223508622089E-3</v>
      </c>
      <c r="S1231" s="66">
        <f t="shared" si="149"/>
        <v>4.9269418952597586E-2</v>
      </c>
      <c r="T1231" s="50">
        <f t="shared" si="150"/>
        <v>1</v>
      </c>
      <c r="U1231" s="50">
        <f t="shared" si="151"/>
        <v>1</v>
      </c>
    </row>
    <row r="1232" spans="1:21" x14ac:dyDescent="0.2">
      <c r="A1232" s="38">
        <v>40514</v>
      </c>
      <c r="B1232" s="4">
        <v>0.49659999999999999</v>
      </c>
      <c r="C1232" s="4">
        <v>0.2414</v>
      </c>
      <c r="D1232" s="4">
        <v>0.2621</v>
      </c>
      <c r="E1232" s="50">
        <v>1.0001</v>
      </c>
      <c r="F1232" s="50">
        <v>0.48849999999999999</v>
      </c>
      <c r="G1232" s="50">
        <v>0.23449999999999999</v>
      </c>
      <c r="H1232" s="50">
        <v>0.38490743662900001</v>
      </c>
      <c r="I1232" s="50">
        <v>0.48829287047999997</v>
      </c>
      <c r="J1232" s="50">
        <v>0.28152200277799999</v>
      </c>
      <c r="K1232" s="50">
        <v>1207.6099999999999</v>
      </c>
      <c r="L1232" s="50">
        <v>1186.93</v>
      </c>
      <c r="M1232" s="50">
        <v>1206.07</v>
      </c>
      <c r="N1232" s="66">
        <f t="shared" si="152"/>
        <v>1.8415183198321854E-2</v>
      </c>
      <c r="O1232" s="66">
        <f t="shared" si="153"/>
        <v>4.4533070219804856E-2</v>
      </c>
      <c r="P1232" s="4">
        <f t="shared" si="154"/>
        <v>0.23449999999999999</v>
      </c>
      <c r="Q1232" s="4">
        <f t="shared" si="147"/>
        <v>0.20684999999999998</v>
      </c>
      <c r="R1232" s="66">
        <f t="shared" si="148"/>
        <v>1.8415183198321854E-2</v>
      </c>
      <c r="S1232" s="66">
        <f t="shared" si="149"/>
        <v>4.4533070219804856E-2</v>
      </c>
      <c r="T1232" s="50">
        <f t="shared" si="150"/>
        <v>1</v>
      </c>
      <c r="U1232" s="50">
        <f t="shared" si="151"/>
        <v>1</v>
      </c>
    </row>
    <row r="1233" spans="1:21" x14ac:dyDescent="0.2">
      <c r="A1233" s="38">
        <v>40521</v>
      </c>
      <c r="B1233" s="4">
        <v>0.53049999999999997</v>
      </c>
      <c r="C1233" s="4">
        <v>0.24390000000000001</v>
      </c>
      <c r="D1233" s="4">
        <v>0.22559999999999999</v>
      </c>
      <c r="E1233" s="50">
        <v>1</v>
      </c>
      <c r="F1233" s="50">
        <v>0.49593749999999998</v>
      </c>
      <c r="G1233" s="50">
        <v>0.3049</v>
      </c>
      <c r="H1233" s="50">
        <v>0.38490743662900001</v>
      </c>
      <c r="I1233" s="50">
        <v>0.48829287047999997</v>
      </c>
      <c r="J1233" s="50">
        <v>0.28152200277799999</v>
      </c>
      <c r="K1233" s="50">
        <v>1235.05</v>
      </c>
      <c r="L1233" s="50">
        <v>1186.5999999999999</v>
      </c>
      <c r="M1233" s="50">
        <v>1228.28</v>
      </c>
      <c r="N1233" s="66">
        <f t="shared" si="152"/>
        <v>1.0836291399355151E-2</v>
      </c>
      <c r="O1233" s="66">
        <f t="shared" si="153"/>
        <v>3.9306998404272618E-2</v>
      </c>
      <c r="P1233" s="4">
        <f t="shared" si="154"/>
        <v>0.30489999999999995</v>
      </c>
      <c r="Q1233" s="4">
        <f t="shared" ref="Q1233:Q1296" si="155">AVERAGE(P1230:P1233)</f>
        <v>0.21039999999999998</v>
      </c>
      <c r="R1233" s="66">
        <f t="shared" ref="R1233:R1296" si="156">(M1234-M1233)/M1233</f>
        <v>1.0836291399355151E-2</v>
      </c>
      <c r="S1233" s="66">
        <f t="shared" ref="S1233:S1296" si="157">(M1237-M1233)/M1233</f>
        <v>3.9306998404272618E-2</v>
      </c>
      <c r="T1233" s="50">
        <f t="shared" ref="T1233:T1296" si="158">IF(R1233&gt;0,1,"")</f>
        <v>1</v>
      </c>
      <c r="U1233" s="50">
        <f t="shared" ref="U1233:U1296" si="159">IF(S1233&gt;0,1,"")</f>
        <v>1</v>
      </c>
    </row>
    <row r="1234" spans="1:21" x14ac:dyDescent="0.2">
      <c r="A1234" s="38">
        <v>40528</v>
      </c>
      <c r="B1234" s="4">
        <v>0.50229999999999997</v>
      </c>
      <c r="C1234" s="4">
        <v>0.22620000000000001</v>
      </c>
      <c r="D1234" s="4">
        <v>0.27150000000000002</v>
      </c>
      <c r="E1234" s="50">
        <v>1</v>
      </c>
      <c r="F1234" s="50">
        <v>0.49669999999999997</v>
      </c>
      <c r="G1234" s="50">
        <v>0.23080000000000001</v>
      </c>
      <c r="H1234" s="50">
        <v>0.38490743662900001</v>
      </c>
      <c r="I1234" s="50">
        <v>0.48829287047999997</v>
      </c>
      <c r="J1234" s="50">
        <v>0.28152200277799999</v>
      </c>
      <c r="K1234" s="50">
        <v>1246.72</v>
      </c>
      <c r="L1234" s="50">
        <v>1240.3399999999999</v>
      </c>
      <c r="M1234" s="50">
        <v>1241.5899999999999</v>
      </c>
      <c r="N1234" s="66">
        <f t="shared" si="152"/>
        <v>1.3893475301830717E-2</v>
      </c>
      <c r="O1234" s="66">
        <f t="shared" si="153"/>
        <v>3.5736434732882932E-2</v>
      </c>
      <c r="P1234" s="4">
        <f t="shared" si="154"/>
        <v>0.23079999999999995</v>
      </c>
      <c r="Q1234" s="4">
        <f t="shared" si="155"/>
        <v>0.24934999999999996</v>
      </c>
      <c r="R1234" s="66">
        <f t="shared" si="156"/>
        <v>1.3893475301830717E-2</v>
      </c>
      <c r="S1234" s="66">
        <f t="shared" si="157"/>
        <v>3.5736434732882932E-2</v>
      </c>
      <c r="T1234" s="50">
        <f t="shared" si="158"/>
        <v>1</v>
      </c>
      <c r="U1234" s="50">
        <f t="shared" si="159"/>
        <v>1</v>
      </c>
    </row>
    <row r="1235" spans="1:21" x14ac:dyDescent="0.2">
      <c r="A1235" s="38">
        <v>40535</v>
      </c>
      <c r="B1235" s="4">
        <v>0.63280000000000003</v>
      </c>
      <c r="C1235" s="4">
        <v>0.2031</v>
      </c>
      <c r="D1235" s="4">
        <v>0.16400000000000001</v>
      </c>
      <c r="E1235" s="50">
        <v>0.99990000000000001</v>
      </c>
      <c r="F1235" s="50">
        <v>0.51176250000000001</v>
      </c>
      <c r="G1235" s="50">
        <v>0.46879999999999999</v>
      </c>
      <c r="H1235" s="50">
        <v>0.38490743662900001</v>
      </c>
      <c r="I1235" s="50">
        <v>0.48829287047999997</v>
      </c>
      <c r="J1235" s="50">
        <v>0.28152200277799999</v>
      </c>
      <c r="K1235" s="50">
        <v>1259.3900000000001</v>
      </c>
      <c r="L1235" s="50">
        <v>1254.94</v>
      </c>
      <c r="M1235" s="50">
        <v>1258.8399999999999</v>
      </c>
      <c r="N1235" s="66">
        <f t="shared" si="152"/>
        <v>7.4671920180487963E-4</v>
      </c>
      <c r="O1235" s="66">
        <f t="shared" si="153"/>
        <v>2.8740745448190452E-2</v>
      </c>
      <c r="P1235" s="4">
        <f t="shared" si="154"/>
        <v>0.46879999999999999</v>
      </c>
      <c r="Q1235" s="4">
        <f t="shared" si="155"/>
        <v>0.30974999999999997</v>
      </c>
      <c r="R1235" s="66">
        <f t="shared" si="156"/>
        <v>7.4671920180487963E-4</v>
      </c>
      <c r="S1235" s="66">
        <f t="shared" si="157"/>
        <v>2.8740745448190452E-2</v>
      </c>
      <c r="T1235" s="50">
        <f t="shared" si="158"/>
        <v>1</v>
      </c>
      <c r="U1235" s="50">
        <f t="shared" si="159"/>
        <v>1</v>
      </c>
    </row>
    <row r="1236" spans="1:21" x14ac:dyDescent="0.2">
      <c r="A1236" s="38">
        <v>40542</v>
      </c>
      <c r="B1236" s="4">
        <v>0.5161</v>
      </c>
      <c r="C1236" s="4">
        <v>0.28339999999999999</v>
      </c>
      <c r="D1236" s="4">
        <v>0.20050000000000001</v>
      </c>
      <c r="E1236" s="50">
        <v>1</v>
      </c>
      <c r="F1236" s="50">
        <v>0.51598750000000004</v>
      </c>
      <c r="G1236" s="50">
        <v>0.31559999999999999</v>
      </c>
      <c r="H1236" s="50">
        <v>0.38490743662900001</v>
      </c>
      <c r="I1236" s="50">
        <v>0.48829287047999997</v>
      </c>
      <c r="J1236" s="50">
        <v>0.28152200277799999</v>
      </c>
      <c r="K1236" s="50">
        <v>1262.5999999999999</v>
      </c>
      <c r="L1236" s="50">
        <v>1258.78</v>
      </c>
      <c r="M1236" s="50">
        <v>1259.78</v>
      </c>
      <c r="N1236" s="66">
        <f t="shared" si="152"/>
        <v>1.3319785994379951E-2</v>
      </c>
      <c r="O1236" s="66">
        <f t="shared" si="153"/>
        <v>2.925113908777734E-2</v>
      </c>
      <c r="P1236" s="4">
        <f t="shared" si="154"/>
        <v>0.31559999999999999</v>
      </c>
      <c r="Q1236" s="4">
        <f t="shared" si="155"/>
        <v>0.3300249999999999</v>
      </c>
      <c r="R1236" s="66">
        <f t="shared" si="156"/>
        <v>1.3319785994379951E-2</v>
      </c>
      <c r="S1236" s="66">
        <f t="shared" si="157"/>
        <v>2.925113908777734E-2</v>
      </c>
      <c r="T1236" s="50">
        <f t="shared" si="158"/>
        <v>1</v>
      </c>
      <c r="U1236" s="50">
        <f t="shared" si="159"/>
        <v>1</v>
      </c>
    </row>
    <row r="1237" spans="1:21" x14ac:dyDescent="0.2">
      <c r="A1237" s="38">
        <v>40549</v>
      </c>
      <c r="B1237" s="4">
        <v>0.55879999999999996</v>
      </c>
      <c r="C1237" s="4">
        <v>0.2586</v>
      </c>
      <c r="D1237" s="4">
        <v>0.1825</v>
      </c>
      <c r="E1237" s="50">
        <v>0.99990000000000001</v>
      </c>
      <c r="F1237" s="50">
        <v>0.51388750000000005</v>
      </c>
      <c r="G1237" s="50">
        <v>0.37630000000000002</v>
      </c>
      <c r="H1237" s="50">
        <v>0.38490743662900001</v>
      </c>
      <c r="I1237" s="50">
        <v>0.48829287047999997</v>
      </c>
      <c r="J1237" s="50">
        <v>0.28152200277799999</v>
      </c>
      <c r="K1237" s="50">
        <v>1277.6300000000001</v>
      </c>
      <c r="L1237" s="50">
        <v>1254.19</v>
      </c>
      <c r="M1237" s="50">
        <v>1276.56</v>
      </c>
      <c r="N1237" s="66">
        <f t="shared" si="152"/>
        <v>7.3635395124397535E-3</v>
      </c>
      <c r="O1237" s="66">
        <f t="shared" si="153"/>
        <v>2.1518769192204072E-2</v>
      </c>
      <c r="P1237" s="4">
        <f t="shared" si="154"/>
        <v>0.37629999999999997</v>
      </c>
      <c r="Q1237" s="4">
        <f t="shared" si="155"/>
        <v>0.34787500000000005</v>
      </c>
      <c r="R1237" s="66">
        <f t="shared" si="156"/>
        <v>7.3635395124397535E-3</v>
      </c>
      <c r="S1237" s="66">
        <f t="shared" si="157"/>
        <v>2.1518769192204072E-2</v>
      </c>
      <c r="T1237" s="50">
        <f t="shared" si="158"/>
        <v>1</v>
      </c>
      <c r="U1237" s="50">
        <f t="shared" si="159"/>
        <v>1</v>
      </c>
    </row>
    <row r="1238" spans="1:21" x14ac:dyDescent="0.2">
      <c r="A1238" s="38">
        <v>40556</v>
      </c>
      <c r="B1238" s="4">
        <v>0.52339999999999998</v>
      </c>
      <c r="C1238" s="4">
        <v>0.2422</v>
      </c>
      <c r="D1238" s="4">
        <v>0.2344</v>
      </c>
      <c r="E1238" s="50">
        <v>1</v>
      </c>
      <c r="F1238" s="50">
        <v>0.52931249999999996</v>
      </c>
      <c r="G1238" s="50">
        <v>0.28899999999999998</v>
      </c>
      <c r="H1238" s="50">
        <v>0.38490743662900001</v>
      </c>
      <c r="I1238" s="50">
        <v>0.48829287047999997</v>
      </c>
      <c r="J1238" s="50">
        <v>0.28152200277799999</v>
      </c>
      <c r="K1238" s="50">
        <v>1286.8699999999999</v>
      </c>
      <c r="L1238" s="50">
        <v>1275.6500000000001</v>
      </c>
      <c r="M1238" s="50">
        <v>1285.96</v>
      </c>
      <c r="N1238" s="66">
        <f t="shared" si="152"/>
        <v>7.0453202276897766E-3</v>
      </c>
      <c r="O1238" s="66">
        <f t="shared" si="153"/>
        <v>3.0024262029923091E-2</v>
      </c>
      <c r="P1238" s="4">
        <f t="shared" si="154"/>
        <v>0.28899999999999998</v>
      </c>
      <c r="Q1238" s="4">
        <f t="shared" si="155"/>
        <v>0.36242499999999994</v>
      </c>
      <c r="R1238" s="66">
        <f t="shared" si="156"/>
        <v>7.0453202276897766E-3</v>
      </c>
      <c r="S1238" s="66">
        <f t="shared" si="157"/>
        <v>3.0024262029923091E-2</v>
      </c>
      <c r="T1238" s="50">
        <f t="shared" si="158"/>
        <v>1</v>
      </c>
      <c r="U1238" s="50">
        <f t="shared" si="159"/>
        <v>1</v>
      </c>
    </row>
    <row r="1239" spans="1:21" x14ac:dyDescent="0.2">
      <c r="A1239" s="38">
        <v>40563</v>
      </c>
      <c r="B1239" s="4">
        <v>0.50749999999999995</v>
      </c>
      <c r="C1239" s="4">
        <v>0.20150000000000001</v>
      </c>
      <c r="D1239" s="4">
        <v>0.29099999999999998</v>
      </c>
      <c r="E1239" s="50">
        <v>1</v>
      </c>
      <c r="F1239" s="50">
        <v>0.53349999999999997</v>
      </c>
      <c r="G1239" s="50">
        <v>0.2165</v>
      </c>
      <c r="H1239" s="50">
        <v>0.38490743662900001</v>
      </c>
      <c r="I1239" s="50">
        <v>0.48829287047999997</v>
      </c>
      <c r="J1239" s="50">
        <v>0.28152200277799999</v>
      </c>
      <c r="K1239" s="50">
        <v>1296.06</v>
      </c>
      <c r="L1239" s="50">
        <v>1290.1600000000001</v>
      </c>
      <c r="M1239" s="50">
        <v>1295.02</v>
      </c>
      <c r="N1239" s="66">
        <f t="shared" si="152"/>
        <v>1.243224042872023E-3</v>
      </c>
      <c r="O1239" s="66">
        <f t="shared" si="153"/>
        <v>3.1891399360627598E-2</v>
      </c>
      <c r="P1239" s="4">
        <f t="shared" si="154"/>
        <v>0.21649999999999997</v>
      </c>
      <c r="Q1239" s="4">
        <f t="shared" si="155"/>
        <v>0.29934999999999995</v>
      </c>
      <c r="R1239" s="66">
        <f t="shared" si="156"/>
        <v>1.243224042872023E-3</v>
      </c>
      <c r="S1239" s="66">
        <f t="shared" si="157"/>
        <v>3.1891399360627598E-2</v>
      </c>
      <c r="T1239" s="50">
        <f t="shared" si="158"/>
        <v>1</v>
      </c>
      <c r="U1239" s="50">
        <f t="shared" si="159"/>
        <v>1</v>
      </c>
    </row>
    <row r="1240" spans="1:21" x14ac:dyDescent="0.2">
      <c r="A1240" s="38">
        <v>40570</v>
      </c>
      <c r="B1240" s="4">
        <v>0.4204</v>
      </c>
      <c r="C1240" s="4">
        <v>0.23669999999999999</v>
      </c>
      <c r="D1240" s="4">
        <v>0.34289999999999998</v>
      </c>
      <c r="E1240" s="50">
        <v>1</v>
      </c>
      <c r="F1240" s="50">
        <v>0.52397499999999997</v>
      </c>
      <c r="G1240" s="50">
        <v>7.7499999999999999E-2</v>
      </c>
      <c r="H1240" s="50">
        <v>0.38490743662900001</v>
      </c>
      <c r="I1240" s="50">
        <v>0.48829287047999997</v>
      </c>
      <c r="J1240" s="50">
        <v>0.28152200277799999</v>
      </c>
      <c r="K1240" s="50">
        <v>1299.74</v>
      </c>
      <c r="L1240" s="50">
        <v>1291.97</v>
      </c>
      <c r="M1240" s="50">
        <v>1296.6300000000001</v>
      </c>
      <c r="N1240" s="66">
        <f t="shared" si="152"/>
        <v>5.7071022573902059E-3</v>
      </c>
      <c r="O1240" s="66">
        <f t="shared" si="153"/>
        <v>3.5769649013211079E-2</v>
      </c>
      <c r="P1240" s="4">
        <f t="shared" si="154"/>
        <v>7.7500000000000013E-2</v>
      </c>
      <c r="Q1240" s="4">
        <f t="shared" si="155"/>
        <v>0.23982499999999998</v>
      </c>
      <c r="R1240" s="66">
        <f t="shared" si="156"/>
        <v>5.7071022573902059E-3</v>
      </c>
      <c r="S1240" s="66">
        <f t="shared" si="157"/>
        <v>3.5769649013211079E-2</v>
      </c>
      <c r="T1240" s="50">
        <f t="shared" si="158"/>
        <v>1</v>
      </c>
      <c r="U1240" s="50">
        <f t="shared" si="159"/>
        <v>1</v>
      </c>
    </row>
    <row r="1241" spans="1:21" x14ac:dyDescent="0.2">
      <c r="A1241" s="38">
        <v>40577</v>
      </c>
      <c r="B1241" s="4">
        <v>0.51539999999999997</v>
      </c>
      <c r="C1241" s="4">
        <v>0.21590000000000001</v>
      </c>
      <c r="D1241" s="4">
        <v>0.26869999999999999</v>
      </c>
      <c r="E1241" s="50">
        <v>1</v>
      </c>
      <c r="F1241" s="50">
        <v>0.52208750000000004</v>
      </c>
      <c r="G1241" s="50">
        <v>0.2467</v>
      </c>
      <c r="H1241" s="50">
        <v>0.38490743662900001</v>
      </c>
      <c r="I1241" s="50">
        <v>0.48829287047999997</v>
      </c>
      <c r="J1241" s="50">
        <v>0.28152200277799999</v>
      </c>
      <c r="K1241" s="50">
        <v>1308.8599999999999</v>
      </c>
      <c r="L1241" s="50">
        <v>1275.0999999999999</v>
      </c>
      <c r="M1241" s="50">
        <v>1304.03</v>
      </c>
      <c r="N1241" s="66">
        <f t="shared" si="152"/>
        <v>1.5751171368756825E-2</v>
      </c>
      <c r="O1241" s="66">
        <f t="shared" si="153"/>
        <v>1.7783333205524453E-2</v>
      </c>
      <c r="P1241" s="4">
        <f t="shared" si="154"/>
        <v>0.24669999999999997</v>
      </c>
      <c r="Q1241" s="4">
        <f t="shared" si="155"/>
        <v>0.20742499999999997</v>
      </c>
      <c r="R1241" s="66">
        <f t="shared" si="156"/>
        <v>1.5751171368756825E-2</v>
      </c>
      <c r="S1241" s="66">
        <f t="shared" si="157"/>
        <v>1.7783333205524453E-2</v>
      </c>
      <c r="T1241" s="50">
        <f t="shared" si="158"/>
        <v>1</v>
      </c>
      <c r="U1241" s="50">
        <f t="shared" si="159"/>
        <v>1</v>
      </c>
    </row>
    <row r="1242" spans="1:21" x14ac:dyDescent="0.2">
      <c r="A1242" s="38">
        <v>40584</v>
      </c>
      <c r="B1242" s="4">
        <v>0.49399999999999999</v>
      </c>
      <c r="C1242" s="4">
        <v>0.2369</v>
      </c>
      <c r="D1242" s="4">
        <v>0.26910000000000001</v>
      </c>
      <c r="E1242" s="50">
        <v>1</v>
      </c>
      <c r="F1242" s="50">
        <v>0.52105000000000001</v>
      </c>
      <c r="G1242" s="50">
        <v>0.22489999999999999</v>
      </c>
      <c r="H1242" s="50">
        <v>0.38490743662900001</v>
      </c>
      <c r="I1242" s="50">
        <v>0.48829287047999997</v>
      </c>
      <c r="J1242" s="50">
        <v>0.28152200277799999</v>
      </c>
      <c r="K1242" s="50">
        <v>1324.87</v>
      </c>
      <c r="L1242" s="50">
        <v>1316.03</v>
      </c>
      <c r="M1242" s="50">
        <v>1324.57</v>
      </c>
      <c r="N1242" s="66">
        <f t="shared" si="152"/>
        <v>8.8708033550510736E-3</v>
      </c>
      <c r="O1242" s="66">
        <f t="shared" si="153"/>
        <v>-2.0761454660757832E-3</v>
      </c>
      <c r="P1242" s="4">
        <f t="shared" si="154"/>
        <v>0.22489999999999999</v>
      </c>
      <c r="Q1242" s="4">
        <f t="shared" si="155"/>
        <v>0.19139999999999999</v>
      </c>
      <c r="R1242" s="66">
        <f t="shared" si="156"/>
        <v>8.8708033550510736E-3</v>
      </c>
      <c r="S1242" s="66">
        <f t="shared" si="157"/>
        <v>-2.0761454660757832E-3</v>
      </c>
      <c r="T1242" s="50">
        <f t="shared" si="158"/>
        <v>1</v>
      </c>
      <c r="U1242" s="50" t="str">
        <f t="shared" si="159"/>
        <v/>
      </c>
    </row>
    <row r="1243" spans="1:21" x14ac:dyDescent="0.2">
      <c r="A1243" s="38">
        <v>40591</v>
      </c>
      <c r="B1243" s="4">
        <v>0.46579999999999999</v>
      </c>
      <c r="C1243" s="4">
        <v>0.27850000000000003</v>
      </c>
      <c r="D1243" s="4">
        <v>0.25569999999999998</v>
      </c>
      <c r="E1243" s="50">
        <v>1</v>
      </c>
      <c r="F1243" s="50">
        <v>0.50017500000000004</v>
      </c>
      <c r="G1243" s="50">
        <v>0.21010000000000001</v>
      </c>
      <c r="H1243" s="50">
        <v>0.38490743662900001</v>
      </c>
      <c r="I1243" s="50">
        <v>0.48829287047999997</v>
      </c>
      <c r="J1243" s="50">
        <v>0.28152200277799999</v>
      </c>
      <c r="K1243" s="50">
        <v>1337.61</v>
      </c>
      <c r="L1243" s="50">
        <v>1329.51</v>
      </c>
      <c r="M1243" s="50">
        <v>1336.32</v>
      </c>
      <c r="N1243" s="66">
        <f t="shared" si="152"/>
        <v>5.0062859195402713E-3</v>
      </c>
      <c r="O1243" s="66">
        <f t="shared" si="153"/>
        <v>-2.3976293103448249E-2</v>
      </c>
      <c r="P1243" s="4">
        <f t="shared" si="154"/>
        <v>0.21010000000000001</v>
      </c>
      <c r="Q1243" s="4">
        <f t="shared" si="155"/>
        <v>0.18979999999999997</v>
      </c>
      <c r="R1243" s="66">
        <f t="shared" si="156"/>
        <v>5.0062859195402713E-3</v>
      </c>
      <c r="S1243" s="66">
        <f t="shared" si="157"/>
        <v>-2.3976293103448249E-2</v>
      </c>
      <c r="T1243" s="50">
        <f t="shared" si="158"/>
        <v>1</v>
      </c>
      <c r="U1243" s="50" t="str">
        <f t="shared" si="159"/>
        <v/>
      </c>
    </row>
    <row r="1244" spans="1:21" x14ac:dyDescent="0.2">
      <c r="A1244" s="38">
        <v>40598</v>
      </c>
      <c r="B1244" s="4">
        <v>0.36630000000000001</v>
      </c>
      <c r="C1244" s="4">
        <v>0.27229999999999999</v>
      </c>
      <c r="D1244" s="4">
        <v>0.3614</v>
      </c>
      <c r="E1244" s="50">
        <v>1</v>
      </c>
      <c r="F1244" s="50">
        <v>0.48144999999999999</v>
      </c>
      <c r="G1244" s="50">
        <v>4.8999999999999998E-3</v>
      </c>
      <c r="H1244" s="50">
        <v>0.38490743662900001</v>
      </c>
      <c r="I1244" s="50">
        <v>0.48829287047999997</v>
      </c>
      <c r="J1244" s="50">
        <v>0.28152200277799999</v>
      </c>
      <c r="K1244" s="50">
        <v>1344.07</v>
      </c>
      <c r="L1244" s="50">
        <v>1338.12</v>
      </c>
      <c r="M1244" s="50">
        <v>1343.01</v>
      </c>
      <c r="N1244" s="66">
        <f t="shared" si="152"/>
        <v>-1.1757172321873972E-2</v>
      </c>
      <c r="O1244" s="66">
        <f t="shared" si="153"/>
        <v>-3.3231323668475948E-2</v>
      </c>
      <c r="P1244" s="4">
        <f t="shared" si="154"/>
        <v>4.9000000000000155E-3</v>
      </c>
      <c r="Q1244" s="4">
        <f t="shared" si="155"/>
        <v>0.17165</v>
      </c>
      <c r="R1244" s="66">
        <f t="shared" si="156"/>
        <v>-1.1757172321873972E-2</v>
      </c>
      <c r="S1244" s="66">
        <f t="shared" si="157"/>
        <v>-3.3231323668475948E-2</v>
      </c>
      <c r="T1244" s="50" t="str">
        <f t="shared" si="158"/>
        <v/>
      </c>
      <c r="U1244" s="50" t="str">
        <f t="shared" si="159"/>
        <v/>
      </c>
    </row>
    <row r="1245" spans="1:21" x14ac:dyDescent="0.2">
      <c r="A1245" s="38">
        <v>40605</v>
      </c>
      <c r="B1245" s="4">
        <v>0.3679</v>
      </c>
      <c r="C1245" s="4">
        <v>0.30049999999999999</v>
      </c>
      <c r="D1245" s="4">
        <v>0.33160000000000001</v>
      </c>
      <c r="E1245" s="50">
        <v>1</v>
      </c>
      <c r="F1245" s="50">
        <v>0.45758749999999998</v>
      </c>
      <c r="G1245" s="50">
        <v>3.6299999999999999E-2</v>
      </c>
      <c r="H1245" s="50">
        <v>0.38490743662900001</v>
      </c>
      <c r="I1245" s="50">
        <v>0.48829287047999997</v>
      </c>
      <c r="J1245" s="50">
        <v>0.28152200277799999</v>
      </c>
      <c r="K1245" s="50">
        <v>1332.09</v>
      </c>
      <c r="L1245" s="50">
        <v>1320.55</v>
      </c>
      <c r="M1245" s="50">
        <v>1327.22</v>
      </c>
      <c r="N1245" s="66">
        <f t="shared" si="152"/>
        <v>-4.0686547821763468E-3</v>
      </c>
      <c r="O1245" s="66">
        <f t="shared" si="153"/>
        <v>7.8359277286355208E-4</v>
      </c>
      <c r="P1245" s="4">
        <f t="shared" si="154"/>
        <v>3.6299999999999999E-2</v>
      </c>
      <c r="Q1245" s="4">
        <f t="shared" si="155"/>
        <v>0.11905</v>
      </c>
      <c r="R1245" s="66">
        <f t="shared" si="156"/>
        <v>-4.0686547821763468E-3</v>
      </c>
      <c r="S1245" s="66">
        <f t="shared" si="157"/>
        <v>7.8359277286355208E-4</v>
      </c>
      <c r="T1245" s="50" t="str">
        <f t="shared" si="158"/>
        <v/>
      </c>
      <c r="U1245" s="50">
        <f t="shared" si="159"/>
        <v>1</v>
      </c>
    </row>
    <row r="1246" spans="1:21" x14ac:dyDescent="0.2">
      <c r="A1246" s="38">
        <v>40612</v>
      </c>
      <c r="B1246" s="4">
        <v>0.35970000000000002</v>
      </c>
      <c r="C1246" s="4">
        <v>0.31709999999999999</v>
      </c>
      <c r="D1246" s="4">
        <v>0.32319999999999999</v>
      </c>
      <c r="E1246" s="50">
        <v>1</v>
      </c>
      <c r="F1246" s="50">
        <v>0.43712499999999999</v>
      </c>
      <c r="G1246" s="50">
        <v>3.6499999999999998E-2</v>
      </c>
      <c r="H1246" s="50">
        <v>0.38490743662900001</v>
      </c>
      <c r="I1246" s="50">
        <v>0.48829287047999997</v>
      </c>
      <c r="J1246" s="50">
        <v>0.28152200277799999</v>
      </c>
      <c r="K1246" s="50">
        <v>1332.28</v>
      </c>
      <c r="L1246" s="50">
        <v>1312.59</v>
      </c>
      <c r="M1246" s="50">
        <v>1321.82</v>
      </c>
      <c r="N1246" s="66">
        <f t="shared" si="152"/>
        <v>-1.3269582847891516E-2</v>
      </c>
      <c r="O1246" s="66">
        <f t="shared" si="153"/>
        <v>1.0379628088544604E-2</v>
      </c>
      <c r="P1246" s="4">
        <f t="shared" si="154"/>
        <v>3.6500000000000032E-2</v>
      </c>
      <c r="Q1246" s="4">
        <f t="shared" si="155"/>
        <v>7.1950000000000014E-2</v>
      </c>
      <c r="R1246" s="66">
        <f t="shared" si="156"/>
        <v>-1.3269582847891516E-2</v>
      </c>
      <c r="S1246" s="66">
        <f t="shared" si="157"/>
        <v>1.0379628088544604E-2</v>
      </c>
      <c r="T1246" s="50" t="str">
        <f t="shared" si="158"/>
        <v/>
      </c>
      <c r="U1246" s="50">
        <f t="shared" si="159"/>
        <v>1</v>
      </c>
    </row>
    <row r="1247" spans="1:21" x14ac:dyDescent="0.2">
      <c r="A1247" s="38">
        <v>40619</v>
      </c>
      <c r="B1247" s="4">
        <v>0.28489999999999999</v>
      </c>
      <c r="C1247" s="4">
        <v>0.31390000000000001</v>
      </c>
      <c r="D1247" s="4">
        <v>0.4012</v>
      </c>
      <c r="E1247" s="50">
        <v>1</v>
      </c>
      <c r="F1247" s="50">
        <v>0.4093</v>
      </c>
      <c r="G1247" s="50">
        <v>-0.1163</v>
      </c>
      <c r="H1247" s="50">
        <v>0.38490743662900001</v>
      </c>
      <c r="I1247" s="50">
        <v>0.48829287047999997</v>
      </c>
      <c r="J1247" s="50">
        <v>0.28152200277799999</v>
      </c>
      <c r="K1247" s="50">
        <v>1315.72</v>
      </c>
      <c r="L1247" s="50">
        <v>1294.21</v>
      </c>
      <c r="M1247" s="50">
        <v>1304.28</v>
      </c>
      <c r="N1247" s="66">
        <f t="shared" si="152"/>
        <v>-4.5235685588982917E-3</v>
      </c>
      <c r="O1247" s="66">
        <f t="shared" si="153"/>
        <v>7.7667372036680079E-3</v>
      </c>
      <c r="P1247" s="4">
        <f t="shared" si="154"/>
        <v>-0.11630000000000001</v>
      </c>
      <c r="Q1247" s="4">
        <f t="shared" si="155"/>
        <v>-9.6499999999999919E-3</v>
      </c>
      <c r="R1247" s="66">
        <f t="shared" si="156"/>
        <v>-4.5235685588982917E-3</v>
      </c>
      <c r="S1247" s="66">
        <f t="shared" si="157"/>
        <v>7.7667372036680079E-3</v>
      </c>
      <c r="T1247" s="50" t="str">
        <f t="shared" si="158"/>
        <v/>
      </c>
      <c r="U1247" s="50">
        <f t="shared" si="159"/>
        <v>1</v>
      </c>
    </row>
    <row r="1248" spans="1:21" x14ac:dyDescent="0.2">
      <c r="A1248" s="38">
        <v>40626</v>
      </c>
      <c r="B1248" s="4">
        <v>0.37740000000000001</v>
      </c>
      <c r="C1248" s="4">
        <v>0.2727</v>
      </c>
      <c r="D1248" s="4">
        <v>0.34970000000000001</v>
      </c>
      <c r="E1248" s="50">
        <v>0.99980000000000002</v>
      </c>
      <c r="F1248" s="50">
        <v>0.40392499999999998</v>
      </c>
      <c r="G1248" s="50">
        <v>2.7699999999999999E-2</v>
      </c>
      <c r="H1248" s="50">
        <v>0.38490743662900001</v>
      </c>
      <c r="I1248" s="50">
        <v>0.48829287047999997</v>
      </c>
      <c r="J1248" s="50">
        <v>0.28152200277799999</v>
      </c>
      <c r="K1248" s="50">
        <v>1300.58</v>
      </c>
      <c r="L1248" s="50">
        <v>1292.7</v>
      </c>
      <c r="M1248" s="50">
        <v>1298.3800000000001</v>
      </c>
      <c r="N1248" s="66">
        <f t="shared" si="152"/>
        <v>2.3013293488809039E-2</v>
      </c>
      <c r="O1248" s="66">
        <f t="shared" si="153"/>
        <v>2.4630693633604792E-2</v>
      </c>
      <c r="P1248" s="4">
        <f t="shared" si="154"/>
        <v>2.7700000000000002E-2</v>
      </c>
      <c r="Q1248" s="4">
        <f t="shared" si="155"/>
        <v>-3.9499999999999952E-3</v>
      </c>
      <c r="R1248" s="66">
        <f t="shared" si="156"/>
        <v>2.3013293488809039E-2</v>
      </c>
      <c r="S1248" s="66">
        <f t="shared" si="157"/>
        <v>2.4630693633604792E-2</v>
      </c>
      <c r="T1248" s="50">
        <f t="shared" si="158"/>
        <v>1</v>
      </c>
      <c r="U1248" s="50">
        <f t="shared" si="159"/>
        <v>1</v>
      </c>
    </row>
    <row r="1249" spans="1:21" x14ac:dyDescent="0.2">
      <c r="A1249" s="38">
        <v>40633</v>
      </c>
      <c r="B1249" s="4">
        <v>0.41810000000000003</v>
      </c>
      <c r="C1249" s="4">
        <v>0.2712</v>
      </c>
      <c r="D1249" s="4">
        <v>0.31069999999999998</v>
      </c>
      <c r="E1249" s="50">
        <v>1</v>
      </c>
      <c r="F1249" s="50">
        <v>0.39176250000000001</v>
      </c>
      <c r="G1249" s="50">
        <v>0.1074</v>
      </c>
      <c r="H1249" s="50">
        <v>0.38490743662900001</v>
      </c>
      <c r="I1249" s="50">
        <v>0.48829287047999997</v>
      </c>
      <c r="J1249" s="50">
        <v>0.28152200277799999</v>
      </c>
      <c r="K1249" s="50">
        <v>1331.74</v>
      </c>
      <c r="L1249" s="50">
        <v>1321.89</v>
      </c>
      <c r="M1249" s="50">
        <v>1328.26</v>
      </c>
      <c r="N1249" s="66">
        <f t="shared" si="152"/>
        <v>5.4808546519506517E-3</v>
      </c>
      <c r="O1249" s="66">
        <f t="shared" si="153"/>
        <v>1.4289371056871409E-2</v>
      </c>
      <c r="P1249" s="4">
        <f t="shared" si="154"/>
        <v>0.10740000000000005</v>
      </c>
      <c r="Q1249" s="4">
        <f t="shared" si="155"/>
        <v>1.3825000000000018E-2</v>
      </c>
      <c r="R1249" s="66">
        <f t="shared" si="156"/>
        <v>5.4808546519506517E-3</v>
      </c>
      <c r="S1249" s="66">
        <f t="shared" si="157"/>
        <v>1.4289371056871409E-2</v>
      </c>
      <c r="T1249" s="50">
        <f t="shared" si="158"/>
        <v>1</v>
      </c>
      <c r="U1249" s="50">
        <f t="shared" si="159"/>
        <v>1</v>
      </c>
    </row>
    <row r="1250" spans="1:21" x14ac:dyDescent="0.2">
      <c r="A1250" s="38">
        <v>40640</v>
      </c>
      <c r="B1250" s="4">
        <v>0.43590000000000001</v>
      </c>
      <c r="C1250" s="4">
        <v>0.27560000000000001</v>
      </c>
      <c r="D1250" s="4">
        <v>0.28849999999999998</v>
      </c>
      <c r="E1250" s="50">
        <v>1</v>
      </c>
      <c r="F1250" s="50">
        <v>0.38450000000000001</v>
      </c>
      <c r="G1250" s="50">
        <v>0.1474</v>
      </c>
      <c r="H1250" s="50">
        <v>0.38490743662900001</v>
      </c>
      <c r="I1250" s="50">
        <v>0.48829287047999997</v>
      </c>
      <c r="J1250" s="50">
        <v>0.28152200277799999</v>
      </c>
      <c r="K1250" s="50">
        <v>1339.38</v>
      </c>
      <c r="L1250" s="50">
        <v>1328.89</v>
      </c>
      <c r="M1250" s="50">
        <v>1335.54</v>
      </c>
      <c r="N1250" s="66">
        <f t="shared" si="152"/>
        <v>-1.5821315722479207E-2</v>
      </c>
      <c r="O1250" s="66">
        <f t="shared" si="153"/>
        <v>2.1017715680548645E-2</v>
      </c>
      <c r="P1250" s="4">
        <f t="shared" si="154"/>
        <v>0.14740000000000003</v>
      </c>
      <c r="Q1250" s="4">
        <f t="shared" si="155"/>
        <v>4.1550000000000017E-2</v>
      </c>
      <c r="R1250" s="66">
        <f t="shared" si="156"/>
        <v>-1.5821315722479207E-2</v>
      </c>
      <c r="S1250" s="66">
        <f t="shared" si="157"/>
        <v>2.1017715680548645E-2</v>
      </c>
      <c r="T1250" s="50" t="str">
        <f t="shared" si="158"/>
        <v/>
      </c>
      <c r="U1250" s="50">
        <f t="shared" si="159"/>
        <v>1</v>
      </c>
    </row>
    <row r="1251" spans="1:21" x14ac:dyDescent="0.2">
      <c r="A1251" s="38">
        <v>40647</v>
      </c>
      <c r="B1251" s="4">
        <v>0.42249999999999999</v>
      </c>
      <c r="C1251" s="4">
        <v>0.2676</v>
      </c>
      <c r="D1251" s="4">
        <v>0.30990000000000001</v>
      </c>
      <c r="E1251" s="50">
        <v>1</v>
      </c>
      <c r="F1251" s="50">
        <v>0.37908750000000002</v>
      </c>
      <c r="G1251" s="50">
        <v>0.11260000000000001</v>
      </c>
      <c r="H1251" s="50">
        <v>0.38490743662900001</v>
      </c>
      <c r="I1251" s="50">
        <v>0.48829287047999997</v>
      </c>
      <c r="J1251" s="50">
        <v>0.28152200277799999</v>
      </c>
      <c r="K1251" s="50">
        <v>1339.46</v>
      </c>
      <c r="L1251" s="50">
        <v>1309.19</v>
      </c>
      <c r="M1251" s="50">
        <v>1314.41</v>
      </c>
      <c r="N1251" s="66">
        <f t="shared" si="152"/>
        <v>1.2134722042589311E-2</v>
      </c>
      <c r="O1251" s="66">
        <f t="shared" si="153"/>
        <v>3.2524098264620625E-2</v>
      </c>
      <c r="P1251" s="4">
        <f t="shared" si="154"/>
        <v>0.11259999999999998</v>
      </c>
      <c r="Q1251" s="4">
        <f t="shared" si="155"/>
        <v>9.8775000000000016E-2</v>
      </c>
      <c r="R1251" s="66">
        <f t="shared" si="156"/>
        <v>1.2134722042589311E-2</v>
      </c>
      <c r="S1251" s="66">
        <f t="shared" si="157"/>
        <v>3.2524098264620625E-2</v>
      </c>
      <c r="T1251" s="50">
        <f t="shared" si="158"/>
        <v>1</v>
      </c>
      <c r="U1251" s="50">
        <f t="shared" si="159"/>
        <v>1</v>
      </c>
    </row>
    <row r="1252" spans="1:21" x14ac:dyDescent="0.2">
      <c r="A1252" s="38">
        <v>40654</v>
      </c>
      <c r="B1252" s="4">
        <v>0.3216</v>
      </c>
      <c r="C1252" s="4">
        <v>0.36840000000000001</v>
      </c>
      <c r="D1252" s="4">
        <v>0.30990000000000001</v>
      </c>
      <c r="E1252" s="50">
        <v>0.99990000000000001</v>
      </c>
      <c r="F1252" s="50">
        <v>0.3735</v>
      </c>
      <c r="G1252" s="50">
        <v>1.17E-2</v>
      </c>
      <c r="H1252" s="50">
        <v>0.38490743662900001</v>
      </c>
      <c r="I1252" s="50">
        <v>0.48829287047999997</v>
      </c>
      <c r="J1252" s="50">
        <v>0.28152200277799999</v>
      </c>
      <c r="K1252" s="50">
        <v>1332.66</v>
      </c>
      <c r="L1252" s="50">
        <v>1319.12</v>
      </c>
      <c r="M1252" s="50">
        <v>1330.36</v>
      </c>
      <c r="N1252" s="66">
        <f t="shared" si="152"/>
        <v>1.268829489762178E-2</v>
      </c>
      <c r="O1252" s="66">
        <f t="shared" si="153"/>
        <v>1.3748158393217018E-2</v>
      </c>
      <c r="P1252" s="4">
        <f t="shared" si="154"/>
        <v>1.1699999999999988E-2</v>
      </c>
      <c r="Q1252" s="4">
        <f t="shared" si="155"/>
        <v>9.4775000000000012E-2</v>
      </c>
      <c r="R1252" s="66">
        <f t="shared" si="156"/>
        <v>1.268829489762178E-2</v>
      </c>
      <c r="S1252" s="66">
        <f t="shared" si="157"/>
        <v>1.3748158393217018E-2</v>
      </c>
      <c r="T1252" s="50">
        <f t="shared" si="158"/>
        <v>1</v>
      </c>
      <c r="U1252" s="50">
        <f t="shared" si="159"/>
        <v>1</v>
      </c>
    </row>
    <row r="1253" spans="1:21" x14ac:dyDescent="0.2">
      <c r="A1253" s="38">
        <v>40661</v>
      </c>
      <c r="B1253" s="4">
        <v>0.379</v>
      </c>
      <c r="C1253" s="4">
        <v>0.3145</v>
      </c>
      <c r="D1253" s="4">
        <v>0.30649999999999999</v>
      </c>
      <c r="E1253" s="50">
        <v>1</v>
      </c>
      <c r="F1253" s="50">
        <v>0.37488749999999998</v>
      </c>
      <c r="G1253" s="50">
        <v>7.2499999999999995E-2</v>
      </c>
      <c r="H1253" s="50">
        <v>0.38490743662900001</v>
      </c>
      <c r="I1253" s="50">
        <v>0.48829287047999997</v>
      </c>
      <c r="J1253" s="50">
        <v>0.28152200277799999</v>
      </c>
      <c r="K1253" s="50">
        <v>1349.55</v>
      </c>
      <c r="L1253" s="50">
        <v>1336.75</v>
      </c>
      <c r="M1253" s="50">
        <v>1347.24</v>
      </c>
      <c r="N1253" s="66">
        <f t="shared" si="152"/>
        <v>1.2150767495026788E-2</v>
      </c>
      <c r="O1253" s="66">
        <f t="shared" si="153"/>
        <v>-2.7018200172204657E-3</v>
      </c>
      <c r="P1253" s="4">
        <f t="shared" si="154"/>
        <v>7.2500000000000009E-2</v>
      </c>
      <c r="Q1253" s="4">
        <f t="shared" si="155"/>
        <v>8.6050000000000001E-2</v>
      </c>
      <c r="R1253" s="66">
        <f t="shared" si="156"/>
        <v>1.2150767495026788E-2</v>
      </c>
      <c r="S1253" s="66">
        <f t="shared" si="157"/>
        <v>-2.7018200172204657E-3</v>
      </c>
      <c r="T1253" s="50">
        <f t="shared" si="158"/>
        <v>1</v>
      </c>
      <c r="U1253" s="50" t="str">
        <f t="shared" si="159"/>
        <v/>
      </c>
    </row>
    <row r="1254" spans="1:21" x14ac:dyDescent="0.2">
      <c r="A1254" s="38">
        <v>40668</v>
      </c>
      <c r="B1254" s="4">
        <v>0.35460000000000003</v>
      </c>
      <c r="C1254" s="4">
        <v>0.32669999999999999</v>
      </c>
      <c r="D1254" s="4">
        <v>0.31869999999999998</v>
      </c>
      <c r="E1254" s="50">
        <v>1</v>
      </c>
      <c r="F1254" s="50">
        <v>0.37425000000000003</v>
      </c>
      <c r="G1254" s="50">
        <v>3.5900000000000001E-2</v>
      </c>
      <c r="H1254" s="50">
        <v>0.38490743662900001</v>
      </c>
      <c r="I1254" s="50">
        <v>0.48829287047999997</v>
      </c>
      <c r="J1254" s="50">
        <v>0.28152200277799999</v>
      </c>
      <c r="K1254" s="50">
        <v>1370.58</v>
      </c>
      <c r="L1254" s="50">
        <v>1358.69</v>
      </c>
      <c r="M1254" s="50">
        <v>1363.61</v>
      </c>
      <c r="N1254" s="66">
        <f t="shared" si="152"/>
        <v>-4.7300914484345365E-3</v>
      </c>
      <c r="O1254" s="66">
        <f t="shared" si="153"/>
        <v>-3.5978028908558862E-2</v>
      </c>
      <c r="P1254" s="4">
        <f t="shared" si="154"/>
        <v>3.5900000000000043E-2</v>
      </c>
      <c r="Q1254" s="4">
        <f t="shared" si="155"/>
        <v>5.8175000000000004E-2</v>
      </c>
      <c r="R1254" s="66">
        <f t="shared" si="156"/>
        <v>-4.7300914484345365E-3</v>
      </c>
      <c r="S1254" s="66">
        <f t="shared" si="157"/>
        <v>-3.5978028908558862E-2</v>
      </c>
      <c r="T1254" s="50" t="str">
        <f t="shared" si="158"/>
        <v/>
      </c>
      <c r="U1254" s="50" t="str">
        <f t="shared" si="159"/>
        <v/>
      </c>
    </row>
    <row r="1255" spans="1:21" x14ac:dyDescent="0.2">
      <c r="A1255" s="38">
        <v>40675</v>
      </c>
      <c r="B1255" s="4">
        <v>0.30769999999999997</v>
      </c>
      <c r="C1255" s="4">
        <v>0.33729999999999999</v>
      </c>
      <c r="D1255" s="4">
        <v>0.35499999999999998</v>
      </c>
      <c r="E1255" s="50">
        <v>1</v>
      </c>
      <c r="F1255" s="50">
        <v>0.37709999999999999</v>
      </c>
      <c r="G1255" s="50">
        <v>-4.7300000000000002E-2</v>
      </c>
      <c r="H1255" s="50">
        <v>0.38490743662900001</v>
      </c>
      <c r="I1255" s="50">
        <v>0.48829287047999997</v>
      </c>
      <c r="J1255" s="50">
        <v>0.28152200277799999</v>
      </c>
      <c r="K1255" s="50">
        <v>1359.44</v>
      </c>
      <c r="L1255" s="50">
        <v>1348.34</v>
      </c>
      <c r="M1255" s="50">
        <v>1357.16</v>
      </c>
      <c r="N1255" s="66">
        <f t="shared" si="152"/>
        <v>-6.2704471101417596E-3</v>
      </c>
      <c r="O1255" s="66">
        <f t="shared" si="153"/>
        <v>-4.1999469480385507E-2</v>
      </c>
      <c r="P1255" s="4">
        <f t="shared" si="154"/>
        <v>-4.7300000000000009E-2</v>
      </c>
      <c r="Q1255" s="4">
        <f t="shared" si="155"/>
        <v>1.8200000000000008E-2</v>
      </c>
      <c r="R1255" s="66">
        <f t="shared" si="156"/>
        <v>-6.2704471101417596E-3</v>
      </c>
      <c r="S1255" s="66">
        <f t="shared" si="157"/>
        <v>-4.1999469480385507E-2</v>
      </c>
      <c r="T1255" s="50" t="str">
        <f t="shared" si="158"/>
        <v/>
      </c>
      <c r="U1255" s="50" t="str">
        <f t="shared" si="159"/>
        <v/>
      </c>
    </row>
    <row r="1256" spans="1:21" x14ac:dyDescent="0.2">
      <c r="A1256" s="38">
        <v>40682</v>
      </c>
      <c r="B1256" s="4">
        <v>0.26690000000000003</v>
      </c>
      <c r="C1256" s="4">
        <v>0.32019999999999998</v>
      </c>
      <c r="D1256" s="4">
        <v>0.41289999999999999</v>
      </c>
      <c r="E1256" s="50">
        <v>1</v>
      </c>
      <c r="F1256" s="50">
        <v>0.36328749999999999</v>
      </c>
      <c r="G1256" s="50">
        <v>-0.14599999999999999</v>
      </c>
      <c r="H1256" s="50">
        <v>0.38490743662900001</v>
      </c>
      <c r="I1256" s="50">
        <v>0.48829287047999997</v>
      </c>
      <c r="J1256" s="50">
        <v>0.28152200277799999</v>
      </c>
      <c r="K1256" s="50">
        <v>1351.05</v>
      </c>
      <c r="L1256" s="50">
        <v>1333.36</v>
      </c>
      <c r="M1256" s="50">
        <v>1348.65</v>
      </c>
      <c r="N1256" s="66">
        <f t="shared" si="152"/>
        <v>-3.7444852259668421E-3</v>
      </c>
      <c r="O1256" s="66">
        <f t="shared" si="153"/>
        <v>-4.4229414599785036E-2</v>
      </c>
      <c r="P1256" s="4">
        <f t="shared" si="154"/>
        <v>-0.14599999999999996</v>
      </c>
      <c r="Q1256" s="4">
        <f t="shared" si="155"/>
        <v>-2.122499999999998E-2</v>
      </c>
      <c r="R1256" s="66">
        <f t="shared" si="156"/>
        <v>-3.7444852259668421E-3</v>
      </c>
      <c r="S1256" s="66">
        <f t="shared" si="157"/>
        <v>-4.4229414599785036E-2</v>
      </c>
      <c r="T1256" s="50" t="str">
        <f t="shared" si="158"/>
        <v/>
      </c>
      <c r="U1256" s="50" t="str">
        <f t="shared" si="159"/>
        <v/>
      </c>
    </row>
    <row r="1257" spans="1:21" x14ac:dyDescent="0.2">
      <c r="A1257" s="38">
        <v>40689</v>
      </c>
      <c r="B1257" s="4">
        <v>0.25609999999999999</v>
      </c>
      <c r="C1257" s="4">
        <v>0.32969999999999999</v>
      </c>
      <c r="D1257" s="4">
        <v>0.41420000000000001</v>
      </c>
      <c r="E1257" s="50">
        <v>1</v>
      </c>
      <c r="F1257" s="50">
        <v>0.3430375</v>
      </c>
      <c r="G1257" s="50">
        <v>-0.15809999999999999</v>
      </c>
      <c r="H1257" s="50">
        <v>0.38490743662900001</v>
      </c>
      <c r="I1257" s="50">
        <v>0.48829287047999997</v>
      </c>
      <c r="J1257" s="50">
        <v>0.28152200277799999</v>
      </c>
      <c r="K1257" s="50">
        <v>1346.82</v>
      </c>
      <c r="L1257" s="50">
        <v>1336.36</v>
      </c>
      <c r="M1257" s="50">
        <v>1343.6</v>
      </c>
      <c r="N1257" s="66">
        <f t="shared" si="152"/>
        <v>-2.1621018160166684E-2</v>
      </c>
      <c r="O1257" s="66">
        <f t="shared" si="153"/>
        <v>-3.5784459660613228E-2</v>
      </c>
      <c r="P1257" s="4">
        <f t="shared" si="154"/>
        <v>-0.15810000000000002</v>
      </c>
      <c r="Q1257" s="4">
        <f t="shared" si="155"/>
        <v>-7.8874999999999987E-2</v>
      </c>
      <c r="R1257" s="66">
        <f t="shared" si="156"/>
        <v>-2.1621018160166684E-2</v>
      </c>
      <c r="S1257" s="66">
        <f t="shared" si="157"/>
        <v>-3.5784459660613228E-2</v>
      </c>
      <c r="T1257" s="50" t="str">
        <f t="shared" si="158"/>
        <v/>
      </c>
      <c r="U1257" s="50" t="str">
        <f t="shared" si="159"/>
        <v/>
      </c>
    </row>
    <row r="1258" spans="1:21" x14ac:dyDescent="0.2">
      <c r="A1258" s="38">
        <v>40696</v>
      </c>
      <c r="B1258" s="4">
        <v>0.30180000000000001</v>
      </c>
      <c r="C1258" s="4">
        <v>0.3639</v>
      </c>
      <c r="D1258" s="4">
        <v>0.33429999999999999</v>
      </c>
      <c r="E1258" s="50">
        <v>1</v>
      </c>
      <c r="F1258" s="50">
        <v>0.32627499999999998</v>
      </c>
      <c r="G1258" s="50">
        <v>-3.2500000000000001E-2</v>
      </c>
      <c r="H1258" s="50">
        <v>0.38490743662900001</v>
      </c>
      <c r="I1258" s="50">
        <v>0.48829287047999997</v>
      </c>
      <c r="J1258" s="50">
        <v>0.28152200277799999</v>
      </c>
      <c r="K1258" s="50">
        <v>1345.2</v>
      </c>
      <c r="L1258" s="50">
        <v>1314.41</v>
      </c>
      <c r="M1258" s="50">
        <v>1314.55</v>
      </c>
      <c r="N1258" s="66">
        <f t="shared" si="152"/>
        <v>-1.0946711802517875E-2</v>
      </c>
      <c r="O1258" s="66">
        <f t="shared" si="153"/>
        <v>-5.431516488532101E-3</v>
      </c>
      <c r="P1258" s="4">
        <f t="shared" si="154"/>
        <v>-3.2499999999999973E-2</v>
      </c>
      <c r="Q1258" s="4">
        <f t="shared" si="155"/>
        <v>-9.5974999999999991E-2</v>
      </c>
      <c r="R1258" s="66">
        <f t="shared" si="156"/>
        <v>-1.0946711802517875E-2</v>
      </c>
      <c r="S1258" s="66">
        <f t="shared" si="157"/>
        <v>-5.431516488532101E-3</v>
      </c>
      <c r="T1258" s="50" t="str">
        <f t="shared" si="158"/>
        <v/>
      </c>
      <c r="U1258" s="50" t="str">
        <f t="shared" si="159"/>
        <v/>
      </c>
    </row>
    <row r="1259" spans="1:21" x14ac:dyDescent="0.2">
      <c r="A1259" s="38">
        <v>40703</v>
      </c>
      <c r="B1259" s="4">
        <v>0.2442</v>
      </c>
      <c r="C1259" s="4">
        <v>0.27910000000000001</v>
      </c>
      <c r="D1259" s="4">
        <v>0.47670000000000001</v>
      </c>
      <c r="E1259" s="50">
        <v>1</v>
      </c>
      <c r="F1259" s="50">
        <v>0.30398750000000002</v>
      </c>
      <c r="G1259" s="50">
        <v>-0.23250000000000001</v>
      </c>
      <c r="H1259" s="50">
        <v>0.38490743662900001</v>
      </c>
      <c r="I1259" s="50">
        <v>0.48829287047999997</v>
      </c>
      <c r="J1259" s="50">
        <v>0.28152200277799999</v>
      </c>
      <c r="K1259" s="50">
        <v>1312.94</v>
      </c>
      <c r="L1259" s="50">
        <v>1297.9000000000001</v>
      </c>
      <c r="M1259" s="50">
        <v>1300.1600000000001</v>
      </c>
      <c r="N1259" s="66">
        <f t="shared" si="152"/>
        <v>-8.5835589465912514E-3</v>
      </c>
      <c r="O1259" s="66">
        <f t="shared" si="153"/>
        <v>3.0388567560915569E-2</v>
      </c>
      <c r="P1259" s="4">
        <f t="shared" si="154"/>
        <v>-0.23250000000000001</v>
      </c>
      <c r="Q1259" s="4">
        <f t="shared" si="155"/>
        <v>-0.14227499999999998</v>
      </c>
      <c r="R1259" s="66">
        <f t="shared" si="156"/>
        <v>-8.5835589465912514E-3</v>
      </c>
      <c r="S1259" s="66">
        <f t="shared" si="157"/>
        <v>3.0388567560915569E-2</v>
      </c>
      <c r="T1259" s="50" t="str">
        <f t="shared" si="158"/>
        <v/>
      </c>
      <c r="U1259" s="50">
        <f t="shared" si="159"/>
        <v>1</v>
      </c>
    </row>
    <row r="1260" spans="1:21" x14ac:dyDescent="0.2">
      <c r="A1260" s="38">
        <v>40710</v>
      </c>
      <c r="B1260" s="4">
        <v>0.28999999999999998</v>
      </c>
      <c r="C1260" s="4">
        <v>0.28249999999999997</v>
      </c>
      <c r="D1260" s="4">
        <v>0.42749999999999999</v>
      </c>
      <c r="E1260" s="50">
        <v>1</v>
      </c>
      <c r="F1260" s="50">
        <v>0.30003750000000001</v>
      </c>
      <c r="G1260" s="50">
        <v>-0.13750000000000001</v>
      </c>
      <c r="H1260" s="50">
        <v>0.38490743662900001</v>
      </c>
      <c r="I1260" s="50">
        <v>0.48829287047999997</v>
      </c>
      <c r="J1260" s="50">
        <v>0.28152200277799999</v>
      </c>
      <c r="K1260" s="50">
        <v>1294.54</v>
      </c>
      <c r="L1260" s="50">
        <v>1279.6300000000001</v>
      </c>
      <c r="M1260" s="50">
        <v>1289</v>
      </c>
      <c r="N1260" s="66">
        <f t="shared" si="152"/>
        <v>5.0581846392552228E-3</v>
      </c>
      <c r="O1260" s="66">
        <f t="shared" si="153"/>
        <v>2.2280837858805295E-2</v>
      </c>
      <c r="P1260" s="4">
        <f t="shared" si="154"/>
        <v>-0.13750000000000001</v>
      </c>
      <c r="Q1260" s="4">
        <f t="shared" si="155"/>
        <v>-0.14015</v>
      </c>
      <c r="R1260" s="66">
        <f t="shared" si="156"/>
        <v>5.0581846392552228E-3</v>
      </c>
      <c r="S1260" s="66">
        <f t="shared" si="157"/>
        <v>2.2280837858805295E-2</v>
      </c>
      <c r="T1260" s="50">
        <f t="shared" si="158"/>
        <v>1</v>
      </c>
      <c r="U1260" s="50">
        <f t="shared" si="159"/>
        <v>1</v>
      </c>
    </row>
    <row r="1261" spans="1:21" x14ac:dyDescent="0.2">
      <c r="A1261" s="38">
        <v>40717</v>
      </c>
      <c r="B1261" s="4">
        <v>0.37459999999999999</v>
      </c>
      <c r="C1261" s="4">
        <v>0.26800000000000002</v>
      </c>
      <c r="D1261" s="4">
        <v>0.3574</v>
      </c>
      <c r="E1261" s="50">
        <v>1</v>
      </c>
      <c r="F1261" s="50">
        <v>0.29948750000000002</v>
      </c>
      <c r="G1261" s="50">
        <v>1.72E-2</v>
      </c>
      <c r="H1261" s="50">
        <v>0.38490743662900001</v>
      </c>
      <c r="I1261" s="50">
        <v>0.48829287047999997</v>
      </c>
      <c r="J1261" s="50">
        <v>0.28152200277799999</v>
      </c>
      <c r="K1261" s="50">
        <v>1298.6099999999999</v>
      </c>
      <c r="L1261" s="50">
        <v>1286.79</v>
      </c>
      <c r="M1261" s="50">
        <v>1295.52</v>
      </c>
      <c r="N1261" s="66">
        <f t="shared" si="152"/>
        <v>9.1777818945289157E-3</v>
      </c>
      <c r="O1261" s="66">
        <f t="shared" si="153"/>
        <v>2.340372977646037E-2</v>
      </c>
      <c r="P1261" s="4">
        <f t="shared" si="154"/>
        <v>1.7199999999999993E-2</v>
      </c>
      <c r="Q1261" s="4">
        <f t="shared" si="155"/>
        <v>-9.6325000000000008E-2</v>
      </c>
      <c r="R1261" s="66">
        <f t="shared" si="156"/>
        <v>9.1777818945289157E-3</v>
      </c>
      <c r="S1261" s="66">
        <f t="shared" si="157"/>
        <v>2.340372977646037E-2</v>
      </c>
      <c r="T1261" s="50">
        <f t="shared" si="158"/>
        <v>1</v>
      </c>
      <c r="U1261" s="50">
        <f t="shared" si="159"/>
        <v>1</v>
      </c>
    </row>
    <row r="1262" spans="1:21" x14ac:dyDescent="0.2">
      <c r="A1262" s="38">
        <v>40724</v>
      </c>
      <c r="B1262" s="4">
        <v>0.3831</v>
      </c>
      <c r="C1262" s="4">
        <v>0.31490000000000001</v>
      </c>
      <c r="D1262" s="4">
        <v>0.3019</v>
      </c>
      <c r="E1262" s="50">
        <v>0.99990000000000001</v>
      </c>
      <c r="F1262" s="50">
        <v>0.30304999999999999</v>
      </c>
      <c r="G1262" s="50">
        <v>8.1199999999999994E-2</v>
      </c>
      <c r="H1262" s="50">
        <v>0.38490743662900001</v>
      </c>
      <c r="I1262" s="50">
        <v>0.48829287047999997</v>
      </c>
      <c r="J1262" s="50">
        <v>0.28152200277799999</v>
      </c>
      <c r="K1262" s="50">
        <v>1309.21</v>
      </c>
      <c r="L1262" s="50">
        <v>1296.8499999999999</v>
      </c>
      <c r="M1262" s="50">
        <v>1307.4100000000001</v>
      </c>
      <c r="N1262" s="66">
        <f t="shared" si="152"/>
        <v>2.4674738605334201E-2</v>
      </c>
      <c r="O1262" s="66">
        <f t="shared" si="153"/>
        <v>-1.9274749313528132E-3</v>
      </c>
      <c r="P1262" s="4">
        <f t="shared" si="154"/>
        <v>8.1199999999999994E-2</v>
      </c>
      <c r="Q1262" s="4">
        <f t="shared" si="155"/>
        <v>-6.7900000000000002E-2</v>
      </c>
      <c r="R1262" s="66">
        <f t="shared" si="156"/>
        <v>2.4674738605334201E-2</v>
      </c>
      <c r="S1262" s="66">
        <f t="shared" si="157"/>
        <v>-1.9274749313528132E-3</v>
      </c>
      <c r="T1262" s="50">
        <f t="shared" si="158"/>
        <v>1</v>
      </c>
      <c r="U1262" s="50" t="str">
        <f t="shared" si="159"/>
        <v/>
      </c>
    </row>
    <row r="1263" spans="1:21" x14ac:dyDescent="0.2">
      <c r="A1263" s="38">
        <v>40731</v>
      </c>
      <c r="B1263" s="4">
        <v>0.41770000000000002</v>
      </c>
      <c r="C1263" s="4">
        <v>0.33539999999999998</v>
      </c>
      <c r="D1263" s="4">
        <v>0.24679999999999999</v>
      </c>
      <c r="E1263" s="50">
        <v>0.99990000000000001</v>
      </c>
      <c r="F1263" s="50">
        <v>0.31680000000000003</v>
      </c>
      <c r="G1263" s="50">
        <v>0.1709</v>
      </c>
      <c r="H1263" s="50">
        <v>0.38490743662900001</v>
      </c>
      <c r="I1263" s="50">
        <v>0.48829287047999997</v>
      </c>
      <c r="J1263" s="50">
        <v>0.28152200277799999</v>
      </c>
      <c r="K1263" s="50">
        <v>1341.01</v>
      </c>
      <c r="L1263" s="50">
        <v>1334.3</v>
      </c>
      <c r="M1263" s="50">
        <v>1339.67</v>
      </c>
      <c r="N1263" s="66">
        <f t="shared" si="152"/>
        <v>-1.6384632036247765E-2</v>
      </c>
      <c r="O1263" s="66">
        <f t="shared" si="153"/>
        <v>-5.9216075600707747E-2</v>
      </c>
      <c r="P1263" s="4">
        <f t="shared" si="154"/>
        <v>0.17090000000000002</v>
      </c>
      <c r="Q1263" s="4">
        <f t="shared" si="155"/>
        <v>3.295E-2</v>
      </c>
      <c r="R1263" s="66">
        <f t="shared" si="156"/>
        <v>-1.6384632036247765E-2</v>
      </c>
      <c r="S1263" s="66">
        <f t="shared" si="157"/>
        <v>-5.9216075600707747E-2</v>
      </c>
      <c r="T1263" s="50" t="str">
        <f t="shared" si="158"/>
        <v/>
      </c>
      <c r="U1263" s="50" t="str">
        <f t="shared" si="159"/>
        <v/>
      </c>
    </row>
    <row r="1264" spans="1:21" x14ac:dyDescent="0.2">
      <c r="A1264" s="38">
        <v>40738</v>
      </c>
      <c r="B1264" s="4">
        <v>0.3931</v>
      </c>
      <c r="C1264" s="4">
        <v>0.3145</v>
      </c>
      <c r="D1264" s="4">
        <v>0.29249999999999998</v>
      </c>
      <c r="E1264" s="50">
        <v>1.0001</v>
      </c>
      <c r="F1264" s="50">
        <v>0.33257500000000001</v>
      </c>
      <c r="G1264" s="50">
        <v>0.10059999999999999</v>
      </c>
      <c r="H1264" s="50">
        <v>0.38490743662900001</v>
      </c>
      <c r="I1264" s="50">
        <v>0.48829287047999997</v>
      </c>
      <c r="J1264" s="50">
        <v>0.28152200277799999</v>
      </c>
      <c r="K1264" s="50">
        <v>1356.48</v>
      </c>
      <c r="L1264" s="50">
        <v>1313.33</v>
      </c>
      <c r="M1264" s="50">
        <v>1317.72</v>
      </c>
      <c r="N1264" s="66">
        <f t="shared" si="152"/>
        <v>6.162158880490461E-3</v>
      </c>
      <c r="O1264" s="66">
        <f t="shared" si="153"/>
        <v>-0.14947029717997756</v>
      </c>
      <c r="P1264" s="4">
        <f t="shared" si="154"/>
        <v>0.10060000000000002</v>
      </c>
      <c r="Q1264" s="4">
        <f t="shared" si="155"/>
        <v>9.2475000000000002E-2</v>
      </c>
      <c r="R1264" s="66">
        <f t="shared" si="156"/>
        <v>6.162158880490461E-3</v>
      </c>
      <c r="S1264" s="66">
        <f t="shared" si="157"/>
        <v>-0.14947029717997756</v>
      </c>
      <c r="T1264" s="50">
        <f t="shared" si="158"/>
        <v>1</v>
      </c>
      <c r="U1264" s="50" t="str">
        <f t="shared" si="159"/>
        <v/>
      </c>
    </row>
    <row r="1265" spans="1:21" x14ac:dyDescent="0.2">
      <c r="A1265" s="38">
        <v>40745</v>
      </c>
      <c r="B1265" s="4">
        <v>0.39860000000000001</v>
      </c>
      <c r="C1265" s="4">
        <v>0.2954</v>
      </c>
      <c r="D1265" s="4">
        <v>0.30609999999999998</v>
      </c>
      <c r="E1265" s="50">
        <v>1.0001</v>
      </c>
      <c r="F1265" s="50">
        <v>0.35038750000000002</v>
      </c>
      <c r="G1265" s="50">
        <v>9.2499999999999999E-2</v>
      </c>
      <c r="H1265" s="50">
        <v>0.38490743662900001</v>
      </c>
      <c r="I1265" s="50">
        <v>0.48829287047999997</v>
      </c>
      <c r="J1265" s="50">
        <v>0.28152200277799999</v>
      </c>
      <c r="K1265" s="50">
        <v>1330.43</v>
      </c>
      <c r="L1265" s="50">
        <v>1295.92</v>
      </c>
      <c r="M1265" s="50">
        <v>1325.84</v>
      </c>
      <c r="N1265" s="66">
        <f t="shared" si="152"/>
        <v>-1.5801303324684591E-2</v>
      </c>
      <c r="O1265" s="66">
        <f t="shared" si="153"/>
        <v>-9.9529354974959128E-2</v>
      </c>
      <c r="P1265" s="4">
        <f t="shared" si="154"/>
        <v>9.2500000000000027E-2</v>
      </c>
      <c r="Q1265" s="4">
        <f t="shared" si="155"/>
        <v>0.11130000000000001</v>
      </c>
      <c r="R1265" s="66">
        <f t="shared" si="156"/>
        <v>-1.5801303324684591E-2</v>
      </c>
      <c r="S1265" s="66">
        <f t="shared" si="157"/>
        <v>-9.9529354974959128E-2</v>
      </c>
      <c r="T1265" s="50" t="str">
        <f t="shared" si="158"/>
        <v/>
      </c>
      <c r="U1265" s="50" t="str">
        <f t="shared" si="159"/>
        <v/>
      </c>
    </row>
    <row r="1266" spans="1:21" x14ac:dyDescent="0.2">
      <c r="A1266" s="38">
        <v>40752</v>
      </c>
      <c r="B1266" s="4">
        <v>0.37840000000000001</v>
      </c>
      <c r="C1266" s="4">
        <v>0.30740000000000001</v>
      </c>
      <c r="D1266" s="4">
        <v>0.31419999999999998</v>
      </c>
      <c r="E1266" s="50">
        <v>1</v>
      </c>
      <c r="F1266" s="50">
        <v>0.35996250000000002</v>
      </c>
      <c r="G1266" s="50">
        <v>6.4199999999999993E-2</v>
      </c>
      <c r="H1266" s="50">
        <v>0.38490743662900001</v>
      </c>
      <c r="I1266" s="50">
        <v>0.48829287047999997</v>
      </c>
      <c r="J1266" s="50">
        <v>0.28152200277799999</v>
      </c>
      <c r="K1266" s="50">
        <v>1347</v>
      </c>
      <c r="L1266" s="50">
        <v>1303.49</v>
      </c>
      <c r="M1266" s="50">
        <v>1304.8900000000001</v>
      </c>
      <c r="N1266" s="66">
        <f t="shared" si="152"/>
        <v>-3.4140808803807356E-2</v>
      </c>
      <c r="O1266" s="66">
        <f t="shared" si="153"/>
        <v>-0.11159561342335378</v>
      </c>
      <c r="P1266" s="4">
        <f t="shared" si="154"/>
        <v>6.4200000000000035E-2</v>
      </c>
      <c r="Q1266" s="4">
        <f t="shared" si="155"/>
        <v>0.10705000000000003</v>
      </c>
      <c r="R1266" s="66">
        <f t="shared" si="156"/>
        <v>-3.4140808803807356E-2</v>
      </c>
      <c r="S1266" s="66">
        <f t="shared" si="157"/>
        <v>-0.11159561342335378</v>
      </c>
      <c r="T1266" s="50" t="str">
        <f t="shared" si="158"/>
        <v/>
      </c>
      <c r="U1266" s="50" t="str">
        <f t="shared" si="159"/>
        <v/>
      </c>
    </row>
    <row r="1267" spans="1:21" x14ac:dyDescent="0.2">
      <c r="A1267" s="38">
        <v>40759</v>
      </c>
      <c r="B1267" s="4">
        <v>0.27160000000000001</v>
      </c>
      <c r="C1267" s="4">
        <v>0.22989999999999999</v>
      </c>
      <c r="D1267" s="4">
        <v>0.4985</v>
      </c>
      <c r="E1267" s="50">
        <v>1</v>
      </c>
      <c r="F1267" s="50">
        <v>0.36338749999999997</v>
      </c>
      <c r="G1267" s="50">
        <v>-0.22689999999999999</v>
      </c>
      <c r="H1267" s="50">
        <v>0.38490743662900001</v>
      </c>
      <c r="I1267" s="50">
        <v>0.48829287047999997</v>
      </c>
      <c r="J1267" s="50">
        <v>0.28152200277799999</v>
      </c>
      <c r="K1267" s="50">
        <v>1316.32</v>
      </c>
      <c r="L1267" s="50">
        <v>1234.56</v>
      </c>
      <c r="M1267" s="50">
        <v>1260.3399999999999</v>
      </c>
      <c r="N1267" s="66">
        <f t="shared" si="152"/>
        <v>-0.11074789342558353</v>
      </c>
      <c r="O1267" s="66">
        <f t="shared" si="153"/>
        <v>-3.2887950870399911E-2</v>
      </c>
      <c r="P1267" s="4">
        <f t="shared" si="154"/>
        <v>-0.22689999999999999</v>
      </c>
      <c r="Q1267" s="4">
        <f t="shared" si="155"/>
        <v>7.6000000000000234E-3</v>
      </c>
      <c r="R1267" s="66">
        <f t="shared" si="156"/>
        <v>-0.11074789342558353</v>
      </c>
      <c r="S1267" s="66">
        <f t="shared" si="157"/>
        <v>-3.2887950870399911E-2</v>
      </c>
      <c r="T1267" s="50" t="str">
        <f t="shared" si="158"/>
        <v/>
      </c>
      <c r="U1267" s="50" t="str">
        <f t="shared" si="159"/>
        <v/>
      </c>
    </row>
    <row r="1268" spans="1:21" x14ac:dyDescent="0.2">
      <c r="A1268" s="38">
        <v>40766</v>
      </c>
      <c r="B1268" s="4">
        <v>0.33429999999999999</v>
      </c>
      <c r="C1268" s="4">
        <v>0.21790000000000001</v>
      </c>
      <c r="D1268" s="4">
        <v>0.44779999999999998</v>
      </c>
      <c r="E1268" s="50">
        <v>1</v>
      </c>
      <c r="F1268" s="50">
        <v>0.368925</v>
      </c>
      <c r="G1268" s="50">
        <v>-0.1135</v>
      </c>
      <c r="H1268" s="50">
        <v>0.38490743662900001</v>
      </c>
      <c r="I1268" s="50">
        <v>0.48829287047999997</v>
      </c>
      <c r="J1268" s="50">
        <v>0.28152200277799999</v>
      </c>
      <c r="K1268" s="50">
        <v>1260.23</v>
      </c>
      <c r="L1268" s="50">
        <v>1101.54</v>
      </c>
      <c r="M1268" s="50">
        <v>1120.76</v>
      </c>
      <c r="N1268" s="66">
        <f t="shared" si="152"/>
        <v>6.5241443306327959E-2</v>
      </c>
      <c r="O1268" s="66">
        <f t="shared" si="153"/>
        <v>6.947071629965372E-2</v>
      </c>
      <c r="P1268" s="4">
        <f t="shared" si="154"/>
        <v>-0.11349999999999999</v>
      </c>
      <c r="Q1268" s="4">
        <f t="shared" si="155"/>
        <v>-4.592499999999998E-2</v>
      </c>
      <c r="R1268" s="66">
        <f t="shared" si="156"/>
        <v>6.5241443306327959E-2</v>
      </c>
      <c r="S1268" s="66">
        <f t="shared" si="157"/>
        <v>6.947071629965372E-2</v>
      </c>
      <c r="T1268" s="50">
        <f t="shared" si="158"/>
        <v>1</v>
      </c>
      <c r="U1268" s="50">
        <f t="shared" si="159"/>
        <v>1</v>
      </c>
    </row>
    <row r="1269" spans="1:21" x14ac:dyDescent="0.2">
      <c r="A1269" s="38">
        <v>40773</v>
      </c>
      <c r="B1269" s="4">
        <v>0.35560000000000003</v>
      </c>
      <c r="C1269" s="4">
        <v>0.2462</v>
      </c>
      <c r="D1269" s="4">
        <v>0.3982</v>
      </c>
      <c r="E1269" s="50">
        <v>1</v>
      </c>
      <c r="F1269" s="50">
        <v>0.36654999999999999</v>
      </c>
      <c r="G1269" s="50">
        <v>-4.2599999999999999E-2</v>
      </c>
      <c r="H1269" s="50">
        <v>0.38490743662900001</v>
      </c>
      <c r="I1269" s="50">
        <v>0.48829287047999997</v>
      </c>
      <c r="J1269" s="50">
        <v>0.28152200277799999</v>
      </c>
      <c r="K1269" s="50">
        <v>1208.47</v>
      </c>
      <c r="L1269" s="50">
        <v>1121.3</v>
      </c>
      <c r="M1269" s="50">
        <v>1193.8800000000001</v>
      </c>
      <c r="N1269" s="66">
        <f t="shared" si="152"/>
        <v>-2.8989513183904685E-2</v>
      </c>
      <c r="O1269" s="66">
        <f t="shared" si="153"/>
        <v>-4.3555466211009858E-3</v>
      </c>
      <c r="P1269" s="4">
        <f t="shared" si="154"/>
        <v>-4.2599999999999971E-2</v>
      </c>
      <c r="Q1269" s="4">
        <f t="shared" si="155"/>
        <v>-7.9699999999999979E-2</v>
      </c>
      <c r="R1269" s="66">
        <f t="shared" si="156"/>
        <v>-2.8989513183904685E-2</v>
      </c>
      <c r="S1269" s="66">
        <f t="shared" si="157"/>
        <v>-4.3555466211009858E-3</v>
      </c>
      <c r="T1269" s="50" t="str">
        <f t="shared" si="158"/>
        <v/>
      </c>
      <c r="U1269" s="50" t="str">
        <f t="shared" si="159"/>
        <v/>
      </c>
    </row>
    <row r="1270" spans="1:21" x14ac:dyDescent="0.2">
      <c r="A1270" s="38">
        <v>40780</v>
      </c>
      <c r="B1270" s="4">
        <v>0.3644</v>
      </c>
      <c r="C1270" s="4">
        <v>0.22600000000000001</v>
      </c>
      <c r="D1270" s="4">
        <v>0.40960000000000002</v>
      </c>
      <c r="E1270" s="50">
        <v>1</v>
      </c>
      <c r="F1270" s="50">
        <v>0.36421249999999999</v>
      </c>
      <c r="G1270" s="50">
        <v>-4.5199999999999997E-2</v>
      </c>
      <c r="H1270" s="50">
        <v>0.38490743662900001</v>
      </c>
      <c r="I1270" s="50">
        <v>0.48829287047999997</v>
      </c>
      <c r="J1270" s="50">
        <v>0.28152200277799999</v>
      </c>
      <c r="K1270" s="50">
        <v>1190.68</v>
      </c>
      <c r="L1270" s="50">
        <v>1121.0899999999999</v>
      </c>
      <c r="M1270" s="50">
        <v>1159.27</v>
      </c>
      <c r="N1270" s="66">
        <f t="shared" si="152"/>
        <v>5.1428916473297955E-2</v>
      </c>
      <c r="O1270" s="66">
        <f t="shared" si="153"/>
        <v>6.4609625022643636E-3</v>
      </c>
      <c r="P1270" s="4">
        <f t="shared" si="154"/>
        <v>-4.5200000000000018E-2</v>
      </c>
      <c r="Q1270" s="4">
        <f t="shared" si="155"/>
        <v>-0.10704999999999999</v>
      </c>
      <c r="R1270" s="66">
        <f t="shared" si="156"/>
        <v>5.1428916473297955E-2</v>
      </c>
      <c r="S1270" s="66">
        <f t="shared" si="157"/>
        <v>6.4609625022643636E-3</v>
      </c>
      <c r="T1270" s="50">
        <f t="shared" si="158"/>
        <v>1</v>
      </c>
      <c r="U1270" s="50">
        <f t="shared" si="159"/>
        <v>1</v>
      </c>
    </row>
    <row r="1271" spans="1:21" x14ac:dyDescent="0.2">
      <c r="A1271" s="38">
        <v>40787</v>
      </c>
      <c r="B1271" s="4">
        <v>0.38619999999999999</v>
      </c>
      <c r="C1271" s="4">
        <v>0.29039999999999999</v>
      </c>
      <c r="D1271" s="4">
        <v>0.32340000000000002</v>
      </c>
      <c r="E1271" s="50">
        <v>1</v>
      </c>
      <c r="F1271" s="50">
        <v>0.36027500000000001</v>
      </c>
      <c r="G1271" s="50">
        <v>6.2799999999999995E-2</v>
      </c>
      <c r="H1271" s="50">
        <v>0.38490743662900001</v>
      </c>
      <c r="I1271" s="50">
        <v>0.48829287047999997</v>
      </c>
      <c r="J1271" s="50">
        <v>0.28152200277799999</v>
      </c>
      <c r="K1271" s="50">
        <v>1230.71</v>
      </c>
      <c r="L1271" s="50">
        <v>1135.9100000000001</v>
      </c>
      <c r="M1271" s="50">
        <v>1218.8900000000001</v>
      </c>
      <c r="N1271" s="66">
        <f t="shared" si="152"/>
        <v>-1.6629884567106307E-2</v>
      </c>
      <c r="O1271" s="66">
        <f t="shared" si="153"/>
        <v>-5.564899211577759E-2</v>
      </c>
      <c r="P1271" s="4">
        <f t="shared" si="154"/>
        <v>6.2799999999999967E-2</v>
      </c>
      <c r="Q1271" s="4">
        <f t="shared" si="155"/>
        <v>-3.4625000000000003E-2</v>
      </c>
      <c r="R1271" s="66">
        <f t="shared" si="156"/>
        <v>-1.6629884567106307E-2</v>
      </c>
      <c r="S1271" s="66">
        <f t="shared" si="157"/>
        <v>-5.564899211577759E-2</v>
      </c>
      <c r="T1271" s="50" t="str">
        <f t="shared" si="158"/>
        <v/>
      </c>
      <c r="U1271" s="50" t="str">
        <f t="shared" si="159"/>
        <v/>
      </c>
    </row>
    <row r="1272" spans="1:21" x14ac:dyDescent="0.2">
      <c r="A1272" s="38">
        <v>40794</v>
      </c>
      <c r="B1272" s="4">
        <v>0.30220000000000002</v>
      </c>
      <c r="C1272" s="4">
        <v>0.29499999999999998</v>
      </c>
      <c r="D1272" s="4">
        <v>0.40289999999999998</v>
      </c>
      <c r="E1272" s="50">
        <v>1.0001</v>
      </c>
      <c r="F1272" s="50">
        <v>0.34891250000000001</v>
      </c>
      <c r="G1272" s="50">
        <v>-0.1007</v>
      </c>
      <c r="H1272" s="50">
        <v>0.38490743662900001</v>
      </c>
      <c r="I1272" s="50">
        <v>0.48829287047999997</v>
      </c>
      <c r="J1272" s="50">
        <v>0.28152200277799999</v>
      </c>
      <c r="K1272" s="50">
        <v>1229.29</v>
      </c>
      <c r="L1272" s="50">
        <v>1140.1300000000001</v>
      </c>
      <c r="M1272" s="50">
        <v>1198.6199999999999</v>
      </c>
      <c r="N1272" s="66">
        <f t="shared" si="152"/>
        <v>-8.2928701339872752E-3</v>
      </c>
      <c r="O1272" s="66">
        <f t="shared" si="153"/>
        <v>-4.5535699387629053E-2</v>
      </c>
      <c r="P1272" s="4">
        <f t="shared" si="154"/>
        <v>-0.10069999999999996</v>
      </c>
      <c r="Q1272" s="4">
        <f t="shared" si="155"/>
        <v>-3.1424999999999995E-2</v>
      </c>
      <c r="R1272" s="66">
        <f t="shared" si="156"/>
        <v>-8.2928701339872752E-3</v>
      </c>
      <c r="S1272" s="66">
        <f t="shared" si="157"/>
        <v>-4.5535699387629053E-2</v>
      </c>
      <c r="T1272" s="50" t="str">
        <f t="shared" si="158"/>
        <v/>
      </c>
      <c r="U1272" s="50" t="str">
        <f t="shared" si="159"/>
        <v/>
      </c>
    </row>
    <row r="1273" spans="1:21" x14ac:dyDescent="0.2">
      <c r="A1273" s="38">
        <v>40801</v>
      </c>
      <c r="B1273" s="4">
        <v>0.30499999999999999</v>
      </c>
      <c r="C1273" s="4">
        <v>0.28149999999999997</v>
      </c>
      <c r="D1273" s="4">
        <v>0.41349999999999998</v>
      </c>
      <c r="E1273" s="50">
        <v>1</v>
      </c>
      <c r="F1273" s="50">
        <v>0.33721250000000003</v>
      </c>
      <c r="G1273" s="50">
        <v>-0.1085</v>
      </c>
      <c r="H1273" s="50">
        <v>0.38490743662900001</v>
      </c>
      <c r="I1273" s="50">
        <v>0.48829287047999997</v>
      </c>
      <c r="J1273" s="50">
        <v>0.28152200277799999</v>
      </c>
      <c r="K1273" s="50">
        <v>1204.4000000000001</v>
      </c>
      <c r="L1273" s="50">
        <v>1136.07</v>
      </c>
      <c r="M1273" s="50">
        <v>1188.68</v>
      </c>
      <c r="N1273" s="66">
        <f t="shared" si="152"/>
        <v>-1.8440623212302783E-2</v>
      </c>
      <c r="O1273" s="66">
        <f t="shared" si="153"/>
        <v>1.5622371033415162E-2</v>
      </c>
      <c r="P1273" s="4">
        <f t="shared" si="154"/>
        <v>-0.10849999999999999</v>
      </c>
      <c r="Q1273" s="4">
        <f t="shared" si="155"/>
        <v>-4.7899999999999998E-2</v>
      </c>
      <c r="R1273" s="66">
        <f t="shared" si="156"/>
        <v>-1.8440623212302783E-2</v>
      </c>
      <c r="S1273" s="66">
        <f t="shared" si="157"/>
        <v>1.5622371033415162E-2</v>
      </c>
      <c r="T1273" s="50" t="str">
        <f t="shared" si="158"/>
        <v/>
      </c>
      <c r="U1273" s="50">
        <f t="shared" si="159"/>
        <v>1</v>
      </c>
    </row>
    <row r="1274" spans="1:21" x14ac:dyDescent="0.2">
      <c r="A1274" s="38">
        <v>40808</v>
      </c>
      <c r="B1274" s="4">
        <v>0.25330000000000003</v>
      </c>
      <c r="C1274" s="4">
        <v>0.26669999999999999</v>
      </c>
      <c r="D1274" s="4">
        <v>0.48</v>
      </c>
      <c r="E1274" s="50">
        <v>1</v>
      </c>
      <c r="F1274" s="50">
        <v>0.321575</v>
      </c>
      <c r="G1274" s="50">
        <v>-0.22670000000000001</v>
      </c>
      <c r="H1274" s="50">
        <v>0.38490743662900001</v>
      </c>
      <c r="I1274" s="50">
        <v>0.48829287047999997</v>
      </c>
      <c r="J1274" s="50">
        <v>0.28152200277799999</v>
      </c>
      <c r="K1274" s="50">
        <v>1220.3900000000001</v>
      </c>
      <c r="L1274" s="50">
        <v>1157.44</v>
      </c>
      <c r="M1274" s="50">
        <v>1166.76</v>
      </c>
      <c r="N1274" s="66">
        <f t="shared" si="152"/>
        <v>-1.345606637183315E-2</v>
      </c>
      <c r="O1274" s="66">
        <f t="shared" si="153"/>
        <v>3.6957043436525179E-2</v>
      </c>
      <c r="P1274" s="4">
        <f t="shared" si="154"/>
        <v>-0.22669999999999996</v>
      </c>
      <c r="Q1274" s="4">
        <f t="shared" si="155"/>
        <v>-9.3274999999999983E-2</v>
      </c>
      <c r="R1274" s="66">
        <f t="shared" si="156"/>
        <v>-1.345606637183315E-2</v>
      </c>
      <c r="S1274" s="66">
        <f t="shared" si="157"/>
        <v>3.6957043436525179E-2</v>
      </c>
      <c r="T1274" s="50" t="str">
        <f t="shared" si="158"/>
        <v/>
      </c>
      <c r="U1274" s="50">
        <f t="shared" si="159"/>
        <v>1</v>
      </c>
    </row>
    <row r="1275" spans="1:21" x14ac:dyDescent="0.2">
      <c r="A1275" s="38">
        <v>40815</v>
      </c>
      <c r="B1275" s="4">
        <v>0.3251</v>
      </c>
      <c r="C1275" s="4">
        <v>0.20680000000000001</v>
      </c>
      <c r="D1275" s="4">
        <v>0.46789999999999998</v>
      </c>
      <c r="E1275" s="50">
        <v>0.99980000000000002</v>
      </c>
      <c r="F1275" s="50">
        <v>0.32826250000000001</v>
      </c>
      <c r="G1275" s="50">
        <v>-0.14280000000000001</v>
      </c>
      <c r="H1275" s="50">
        <v>0.38490743662900001</v>
      </c>
      <c r="I1275" s="50">
        <v>0.48829287047999997</v>
      </c>
      <c r="J1275" s="50">
        <v>0.28152200277799999</v>
      </c>
      <c r="K1275" s="50">
        <v>1220.3900000000001</v>
      </c>
      <c r="L1275" s="50">
        <v>1114.22</v>
      </c>
      <c r="M1275" s="50">
        <v>1151.06</v>
      </c>
      <c r="N1275" s="66">
        <f t="shared" si="152"/>
        <v>-6.0987263913262401E-3</v>
      </c>
      <c r="O1275" s="66">
        <f t="shared" si="153"/>
        <v>7.9005438465414538E-2</v>
      </c>
      <c r="P1275" s="4">
        <f t="shared" si="154"/>
        <v>-0.14279999999999998</v>
      </c>
      <c r="Q1275" s="4">
        <f t="shared" si="155"/>
        <v>-0.14467499999999997</v>
      </c>
      <c r="R1275" s="66">
        <f t="shared" si="156"/>
        <v>-6.0987263913262401E-3</v>
      </c>
      <c r="S1275" s="66">
        <f t="shared" si="157"/>
        <v>7.9005438465414538E-2</v>
      </c>
      <c r="T1275" s="50" t="str">
        <f t="shared" si="158"/>
        <v/>
      </c>
      <c r="U1275" s="50">
        <f t="shared" si="159"/>
        <v>1</v>
      </c>
    </row>
    <row r="1276" spans="1:21" x14ac:dyDescent="0.2">
      <c r="A1276" s="38">
        <v>40822</v>
      </c>
      <c r="B1276" s="4">
        <v>0.3523</v>
      </c>
      <c r="C1276" s="4">
        <v>0.19040000000000001</v>
      </c>
      <c r="D1276" s="4">
        <v>0.45710000000000001</v>
      </c>
      <c r="E1276" s="50">
        <v>0.99980000000000002</v>
      </c>
      <c r="F1276" s="50">
        <v>0.33051249999999999</v>
      </c>
      <c r="G1276" s="50">
        <v>-0.1048</v>
      </c>
      <c r="H1276" s="50">
        <v>0.38490743662900001</v>
      </c>
      <c r="I1276" s="50">
        <v>0.48829287047999997</v>
      </c>
      <c r="J1276" s="50">
        <v>0.28152200277799999</v>
      </c>
      <c r="K1276" s="50">
        <v>1195.8599999999999</v>
      </c>
      <c r="L1276" s="50">
        <v>1074.77</v>
      </c>
      <c r="M1276" s="50">
        <v>1144.04</v>
      </c>
      <c r="N1276" s="66">
        <f t="shared" si="152"/>
        <v>5.5251564630607354E-2</v>
      </c>
      <c r="O1276" s="66">
        <f t="shared" si="153"/>
        <v>8.2042585923569222E-2</v>
      </c>
      <c r="P1276" s="4">
        <f t="shared" si="154"/>
        <v>-0.1048</v>
      </c>
      <c r="Q1276" s="4">
        <f t="shared" si="155"/>
        <v>-0.1457</v>
      </c>
      <c r="R1276" s="66">
        <f t="shared" si="156"/>
        <v>5.5251564630607354E-2</v>
      </c>
      <c r="S1276" s="66">
        <f t="shared" si="157"/>
        <v>8.2042585923569222E-2</v>
      </c>
      <c r="T1276" s="50">
        <f t="shared" si="158"/>
        <v>1</v>
      </c>
      <c r="U1276" s="50">
        <f t="shared" si="159"/>
        <v>1</v>
      </c>
    </row>
    <row r="1277" spans="1:21" x14ac:dyDescent="0.2">
      <c r="A1277" s="38">
        <v>40829</v>
      </c>
      <c r="B1277" s="4">
        <v>0.3977</v>
      </c>
      <c r="C1277" s="4">
        <v>0.23860000000000001</v>
      </c>
      <c r="D1277" s="4">
        <v>0.36359999999999998</v>
      </c>
      <c r="E1277" s="50">
        <v>0.99990000000000001</v>
      </c>
      <c r="F1277" s="50">
        <v>0.33577499999999999</v>
      </c>
      <c r="G1277" s="50">
        <v>3.4099999999999998E-2</v>
      </c>
      <c r="H1277" s="50">
        <v>0.38490743662900001</v>
      </c>
      <c r="I1277" s="50">
        <v>0.48829287047999997</v>
      </c>
      <c r="J1277" s="50">
        <v>0.28152200277799999</v>
      </c>
      <c r="K1277" s="50">
        <v>1220.25</v>
      </c>
      <c r="L1277" s="50">
        <v>1074.77</v>
      </c>
      <c r="M1277" s="50">
        <v>1207.25</v>
      </c>
      <c r="N1277" s="66">
        <f t="shared" si="152"/>
        <v>2.1785048664320641E-3</v>
      </c>
      <c r="O1277" s="66">
        <f t="shared" si="153"/>
        <v>1.80989852971629E-2</v>
      </c>
      <c r="P1277" s="4">
        <f t="shared" si="154"/>
        <v>3.4100000000000019E-2</v>
      </c>
      <c r="Q1277" s="4">
        <f t="shared" si="155"/>
        <v>-0.11004999999999998</v>
      </c>
      <c r="R1277" s="66">
        <f t="shared" si="156"/>
        <v>2.1785048664320641E-3</v>
      </c>
      <c r="S1277" s="66">
        <f t="shared" si="157"/>
        <v>1.80989852971629E-2</v>
      </c>
      <c r="T1277" s="50">
        <f t="shared" si="158"/>
        <v>1</v>
      </c>
      <c r="U1277" s="50">
        <f t="shared" si="159"/>
        <v>1</v>
      </c>
    </row>
    <row r="1278" spans="1:21" x14ac:dyDescent="0.2">
      <c r="A1278" s="38">
        <v>40836</v>
      </c>
      <c r="B1278" s="4">
        <v>0.35980000000000001</v>
      </c>
      <c r="C1278" s="4">
        <v>0.29409999999999997</v>
      </c>
      <c r="D1278" s="4">
        <v>0.34599999999999997</v>
      </c>
      <c r="E1278" s="50">
        <v>0.99990000000000001</v>
      </c>
      <c r="F1278" s="50">
        <v>0.3352</v>
      </c>
      <c r="G1278" s="50">
        <v>1.38E-2</v>
      </c>
      <c r="H1278" s="50">
        <v>0.38490743662900001</v>
      </c>
      <c r="I1278" s="50">
        <v>0.48829287047999997</v>
      </c>
      <c r="J1278" s="50">
        <v>0.28152200277799999</v>
      </c>
      <c r="K1278" s="50">
        <v>1233.0999999999999</v>
      </c>
      <c r="L1278" s="50">
        <v>1187.3</v>
      </c>
      <c r="M1278" s="50">
        <v>1209.8800000000001</v>
      </c>
      <c r="N1278" s="66">
        <f t="shared" si="152"/>
        <v>2.6548087413627706E-2</v>
      </c>
      <c r="O1278" s="66">
        <f t="shared" si="153"/>
        <v>2.2341058617383516E-2</v>
      </c>
      <c r="P1278" s="4">
        <f t="shared" si="154"/>
        <v>1.3800000000000034E-2</v>
      </c>
      <c r="Q1278" s="4">
        <f t="shared" si="155"/>
        <v>-4.9924999999999983E-2</v>
      </c>
      <c r="R1278" s="66">
        <f t="shared" si="156"/>
        <v>2.6548087413627706E-2</v>
      </c>
      <c r="S1278" s="66">
        <f t="shared" si="157"/>
        <v>2.2341058617383516E-2</v>
      </c>
      <c r="T1278" s="50">
        <f t="shared" si="158"/>
        <v>1</v>
      </c>
      <c r="U1278" s="50">
        <f t="shared" si="159"/>
        <v>1</v>
      </c>
    </row>
    <row r="1279" spans="1:21" x14ac:dyDescent="0.2">
      <c r="A1279" s="38">
        <v>40843</v>
      </c>
      <c r="B1279" s="4">
        <v>0.43</v>
      </c>
      <c r="C1279" s="4">
        <v>0.32</v>
      </c>
      <c r="D1279" s="4">
        <v>0.25</v>
      </c>
      <c r="E1279" s="50">
        <v>1</v>
      </c>
      <c r="F1279" s="50">
        <v>0.34067500000000001</v>
      </c>
      <c r="G1279" s="50">
        <v>0.18</v>
      </c>
      <c r="H1279" s="50">
        <v>0.38490743662900001</v>
      </c>
      <c r="I1279" s="50">
        <v>0.48829287047999997</v>
      </c>
      <c r="J1279" s="50">
        <v>0.28152200277799999</v>
      </c>
      <c r="K1279" s="50">
        <v>1256.55</v>
      </c>
      <c r="L1279" s="50">
        <v>1191.48</v>
      </c>
      <c r="M1279" s="50">
        <v>1242</v>
      </c>
      <c r="N1279" s="66">
        <f t="shared" si="152"/>
        <v>-3.3011272141706192E-3</v>
      </c>
      <c r="O1279" s="66">
        <f t="shared" si="153"/>
        <v>-6.7093397745571604E-2</v>
      </c>
      <c r="P1279" s="4">
        <f t="shared" si="154"/>
        <v>0.18</v>
      </c>
      <c r="Q1279" s="4">
        <f t="shared" si="155"/>
        <v>3.0775000000000011E-2</v>
      </c>
      <c r="R1279" s="66">
        <f t="shared" si="156"/>
        <v>-3.3011272141706192E-3</v>
      </c>
      <c r="S1279" s="66">
        <f t="shared" si="157"/>
        <v>-6.7093397745571604E-2</v>
      </c>
      <c r="T1279" s="50" t="str">
        <f t="shared" si="158"/>
        <v/>
      </c>
      <c r="U1279" s="50" t="str">
        <f t="shared" si="159"/>
        <v/>
      </c>
    </row>
    <row r="1280" spans="1:21" x14ac:dyDescent="0.2">
      <c r="A1280" s="38">
        <v>40850</v>
      </c>
      <c r="B1280" s="4">
        <v>0.40179999999999999</v>
      </c>
      <c r="C1280" s="4">
        <v>0.30199999999999999</v>
      </c>
      <c r="D1280" s="4">
        <v>0.29620000000000002</v>
      </c>
      <c r="E1280" s="50">
        <v>1</v>
      </c>
      <c r="F1280" s="50">
        <v>0.35312500000000002</v>
      </c>
      <c r="G1280" s="50">
        <v>0.1056</v>
      </c>
      <c r="H1280" s="50">
        <v>0.38490743662900001</v>
      </c>
      <c r="I1280" s="50">
        <v>0.48829287047999997</v>
      </c>
      <c r="J1280" s="50">
        <v>0.28152200277799999</v>
      </c>
      <c r="K1280" s="50">
        <v>1292.6600000000001</v>
      </c>
      <c r="L1280" s="50">
        <v>1215.42</v>
      </c>
      <c r="M1280" s="50">
        <v>1237.9000000000001</v>
      </c>
      <c r="N1280" s="66">
        <f t="shared" si="152"/>
        <v>-7.1088133128687139E-3</v>
      </c>
      <c r="O1280" s="66">
        <f t="shared" si="153"/>
        <v>7.3188464334760037E-3</v>
      </c>
      <c r="P1280" s="4">
        <f t="shared" si="154"/>
        <v>0.10559999999999997</v>
      </c>
      <c r="Q1280" s="4">
        <f t="shared" si="155"/>
        <v>8.3375000000000005E-2</v>
      </c>
      <c r="R1280" s="66">
        <f t="shared" si="156"/>
        <v>-7.1088133128687139E-3</v>
      </c>
      <c r="S1280" s="66">
        <f t="shared" si="157"/>
        <v>7.3188464334760037E-3</v>
      </c>
      <c r="T1280" s="50" t="str">
        <f t="shared" si="158"/>
        <v/>
      </c>
      <c r="U1280" s="50">
        <f t="shared" si="159"/>
        <v>1</v>
      </c>
    </row>
    <row r="1281" spans="1:21" x14ac:dyDescent="0.2">
      <c r="A1281" s="38">
        <v>40857</v>
      </c>
      <c r="B1281" s="4">
        <v>0.44729999999999998</v>
      </c>
      <c r="C1281" s="4">
        <v>0.307</v>
      </c>
      <c r="D1281" s="4">
        <v>0.24560000000000001</v>
      </c>
      <c r="E1281" s="50">
        <v>0.99990000000000001</v>
      </c>
      <c r="F1281" s="50">
        <v>0.37091249999999998</v>
      </c>
      <c r="G1281" s="50">
        <v>0.20169999999999999</v>
      </c>
      <c r="H1281" s="50">
        <v>0.38490743662900001</v>
      </c>
      <c r="I1281" s="50">
        <v>0.48829287047999997</v>
      </c>
      <c r="J1281" s="50">
        <v>0.28152200277799999</v>
      </c>
      <c r="K1281" s="50">
        <v>1277.55</v>
      </c>
      <c r="L1281" s="50">
        <v>1215.42</v>
      </c>
      <c r="M1281" s="50">
        <v>1229.0999999999999</v>
      </c>
      <c r="N1281" s="66">
        <f t="shared" si="152"/>
        <v>6.3542429419902154E-3</v>
      </c>
      <c r="O1281" s="66">
        <f t="shared" si="153"/>
        <v>2.5962086079245043E-2</v>
      </c>
      <c r="P1281" s="4">
        <f t="shared" si="154"/>
        <v>0.20169999999999996</v>
      </c>
      <c r="Q1281" s="4">
        <f t="shared" si="155"/>
        <v>0.125275</v>
      </c>
      <c r="R1281" s="66">
        <f t="shared" si="156"/>
        <v>6.3542429419902154E-3</v>
      </c>
      <c r="S1281" s="66">
        <f t="shared" si="157"/>
        <v>2.5962086079245043E-2</v>
      </c>
      <c r="T1281" s="50">
        <f t="shared" si="158"/>
        <v>1</v>
      </c>
      <c r="U1281" s="50">
        <f t="shared" si="159"/>
        <v>1</v>
      </c>
    </row>
    <row r="1282" spans="1:21" x14ac:dyDescent="0.2">
      <c r="A1282" s="38">
        <v>40864</v>
      </c>
      <c r="B1282" s="4">
        <v>0.41930000000000001</v>
      </c>
      <c r="C1282" s="4">
        <v>0.27010000000000001</v>
      </c>
      <c r="D1282" s="4">
        <v>0.31040000000000001</v>
      </c>
      <c r="E1282" s="50">
        <v>0.99980000000000002</v>
      </c>
      <c r="F1282" s="50">
        <v>0.39166250000000002</v>
      </c>
      <c r="G1282" s="50">
        <v>0.1089</v>
      </c>
      <c r="H1282" s="50">
        <v>0.38490743662900001</v>
      </c>
      <c r="I1282" s="50">
        <v>0.48829287047999997</v>
      </c>
      <c r="J1282" s="50">
        <v>0.28152200277799999</v>
      </c>
      <c r="K1282" s="50">
        <v>1277.55</v>
      </c>
      <c r="L1282" s="50">
        <v>1226.6400000000001</v>
      </c>
      <c r="M1282" s="50">
        <v>1236.9100000000001</v>
      </c>
      <c r="N1282" s="66">
        <f t="shared" si="152"/>
        <v>-6.3254400077612766E-2</v>
      </c>
      <c r="O1282" s="66">
        <f t="shared" si="153"/>
        <v>-2.028441842979695E-2</v>
      </c>
      <c r="P1282" s="4">
        <f t="shared" si="154"/>
        <v>0.1089</v>
      </c>
      <c r="Q1282" s="4">
        <f t="shared" si="155"/>
        <v>0.14904999999999999</v>
      </c>
      <c r="R1282" s="66">
        <f t="shared" si="156"/>
        <v>-6.3254400077612766E-2</v>
      </c>
      <c r="S1282" s="66">
        <f t="shared" si="157"/>
        <v>-2.028441842979695E-2</v>
      </c>
      <c r="T1282" s="50" t="str">
        <f t="shared" si="158"/>
        <v/>
      </c>
      <c r="U1282" s="50" t="str">
        <f t="shared" si="159"/>
        <v/>
      </c>
    </row>
    <row r="1283" spans="1:21" x14ac:dyDescent="0.2">
      <c r="A1283" s="38">
        <v>40871</v>
      </c>
      <c r="B1283" s="4">
        <v>0.3271</v>
      </c>
      <c r="C1283" s="4">
        <v>0.29010000000000002</v>
      </c>
      <c r="D1283" s="4">
        <v>0.38269999999999998</v>
      </c>
      <c r="E1283" s="50">
        <v>0.99990000000000001</v>
      </c>
      <c r="F1283" s="50">
        <v>0.3919125</v>
      </c>
      <c r="G1283" s="50">
        <v>-5.5599999999999997E-2</v>
      </c>
      <c r="H1283" s="50">
        <v>0.38490743662900001</v>
      </c>
      <c r="I1283" s="50">
        <v>0.48829287047999997</v>
      </c>
      <c r="J1283" s="50">
        <v>0.28152200277799999</v>
      </c>
      <c r="K1283" s="50">
        <v>1259.6099999999999</v>
      </c>
      <c r="L1283" s="50">
        <v>1158.6600000000001</v>
      </c>
      <c r="M1283" s="50">
        <v>1158.67</v>
      </c>
      <c r="N1283" s="66">
        <f t="shared" si="152"/>
        <v>7.6199435559736559E-2</v>
      </c>
      <c r="O1283" s="66">
        <f t="shared" si="153"/>
        <v>7.340312599791135E-2</v>
      </c>
      <c r="P1283" s="4">
        <f t="shared" si="154"/>
        <v>-5.5599999999999983E-2</v>
      </c>
      <c r="Q1283" s="4">
        <f t="shared" si="155"/>
        <v>9.014999999999998E-2</v>
      </c>
      <c r="R1283" s="66">
        <f t="shared" si="156"/>
        <v>7.6199435559736559E-2</v>
      </c>
      <c r="S1283" s="66">
        <f t="shared" si="157"/>
        <v>7.340312599791135E-2</v>
      </c>
      <c r="T1283" s="50">
        <f t="shared" si="158"/>
        <v>1</v>
      </c>
      <c r="U1283" s="50">
        <f t="shared" si="159"/>
        <v>1</v>
      </c>
    </row>
    <row r="1284" spans="1:21" x14ac:dyDescent="0.2">
      <c r="A1284" s="38">
        <v>40878</v>
      </c>
      <c r="B1284" s="4">
        <v>0.33040000000000003</v>
      </c>
      <c r="C1284" s="4">
        <v>0.27529999999999999</v>
      </c>
      <c r="D1284" s="4">
        <v>0.39419999999999999</v>
      </c>
      <c r="E1284" s="50">
        <v>0.99990000000000001</v>
      </c>
      <c r="F1284" s="50">
        <v>0.38917499999999999</v>
      </c>
      <c r="G1284" s="50">
        <v>-6.3799999999999996E-2</v>
      </c>
      <c r="H1284" s="50">
        <v>0.38490743662900001</v>
      </c>
      <c r="I1284" s="50">
        <v>0.48829287047999997</v>
      </c>
      <c r="J1284" s="50">
        <v>0.28152200277799999</v>
      </c>
      <c r="K1284" s="50">
        <v>1247.1099999999999</v>
      </c>
      <c r="L1284" s="50">
        <v>1158.6600000000001</v>
      </c>
      <c r="M1284" s="50">
        <v>1246.96</v>
      </c>
      <c r="N1284" s="66">
        <f t="shared" si="152"/>
        <v>1.1267402322448158E-2</v>
      </c>
      <c r="O1284" s="66">
        <f t="shared" si="153"/>
        <v>2.1492269198691728E-3</v>
      </c>
      <c r="P1284" s="4">
        <f t="shared" si="154"/>
        <v>-6.3799999999999968E-2</v>
      </c>
      <c r="Q1284" s="4">
        <f t="shared" si="155"/>
        <v>4.7800000000000009E-2</v>
      </c>
      <c r="R1284" s="66">
        <f t="shared" si="156"/>
        <v>1.1267402322448158E-2</v>
      </c>
      <c r="S1284" s="66">
        <f t="shared" si="157"/>
        <v>2.1492269198691728E-3</v>
      </c>
      <c r="T1284" s="50">
        <f t="shared" si="158"/>
        <v>1</v>
      </c>
      <c r="U1284" s="50">
        <f t="shared" si="159"/>
        <v>1</v>
      </c>
    </row>
    <row r="1285" spans="1:21" x14ac:dyDescent="0.2">
      <c r="A1285" s="38">
        <v>40885</v>
      </c>
      <c r="B1285" s="4">
        <v>0.38569999999999999</v>
      </c>
      <c r="C1285" s="4">
        <v>0.2666</v>
      </c>
      <c r="D1285" s="4">
        <v>0.34760000000000002</v>
      </c>
      <c r="E1285" s="50">
        <v>0.99990000000000001</v>
      </c>
      <c r="F1285" s="50">
        <v>0.38767499999999999</v>
      </c>
      <c r="G1285" s="50">
        <v>3.8100000000000002E-2</v>
      </c>
      <c r="H1285" s="50">
        <v>0.38490743662900001</v>
      </c>
      <c r="I1285" s="50">
        <v>0.48829287047999997</v>
      </c>
      <c r="J1285" s="50">
        <v>0.28152200277799999</v>
      </c>
      <c r="K1285" s="50">
        <v>1267.06</v>
      </c>
      <c r="L1285" s="50">
        <v>1191.8</v>
      </c>
      <c r="M1285" s="50">
        <v>1261.01</v>
      </c>
      <c r="N1285" s="66">
        <f t="shared" si="152"/>
        <v>-3.9008413890452932E-2</v>
      </c>
      <c r="O1285" s="66">
        <f t="shared" si="153"/>
        <v>1.2918216350385774E-2</v>
      </c>
      <c r="P1285" s="4">
        <f t="shared" si="154"/>
        <v>3.8099999999999967E-2</v>
      </c>
      <c r="Q1285" s="4">
        <f t="shared" si="155"/>
        <v>6.9000000000000034E-3</v>
      </c>
      <c r="R1285" s="66">
        <f t="shared" si="156"/>
        <v>-3.9008413890452932E-2</v>
      </c>
      <c r="S1285" s="66">
        <f t="shared" si="157"/>
        <v>1.2918216350385774E-2</v>
      </c>
      <c r="T1285" s="50" t="str">
        <f t="shared" si="158"/>
        <v/>
      </c>
      <c r="U1285" s="50">
        <f t="shared" si="159"/>
        <v>1</v>
      </c>
    </row>
    <row r="1286" spans="1:21" x14ac:dyDescent="0.2">
      <c r="A1286" s="38">
        <v>40892</v>
      </c>
      <c r="B1286" s="4">
        <v>0.40179999999999999</v>
      </c>
      <c r="C1286" s="4">
        <v>0.2616</v>
      </c>
      <c r="D1286" s="4">
        <v>0.33639999999999998</v>
      </c>
      <c r="E1286" s="50">
        <v>0.99980000000000002</v>
      </c>
      <c r="F1286" s="50">
        <v>0.39292500000000002</v>
      </c>
      <c r="G1286" s="50">
        <v>6.54E-2</v>
      </c>
      <c r="H1286" s="50">
        <v>0.38490743662900001</v>
      </c>
      <c r="I1286" s="50">
        <v>0.48829287047999997</v>
      </c>
      <c r="J1286" s="50">
        <v>0.28152200277799999</v>
      </c>
      <c r="K1286" s="50">
        <v>1267.06</v>
      </c>
      <c r="L1286" s="50">
        <v>1209.47</v>
      </c>
      <c r="M1286" s="50">
        <v>1211.82</v>
      </c>
      <c r="N1286" s="66">
        <f t="shared" si="152"/>
        <v>2.6324041524318869E-2</v>
      </c>
      <c r="O1286" s="66">
        <f t="shared" si="153"/>
        <v>6.9053159710188036E-2</v>
      </c>
      <c r="P1286" s="4">
        <f t="shared" si="154"/>
        <v>6.5400000000000014E-2</v>
      </c>
      <c r="Q1286" s="4">
        <f t="shared" si="155"/>
        <v>-3.9749999999999924E-3</v>
      </c>
      <c r="R1286" s="66">
        <f t="shared" si="156"/>
        <v>2.6324041524318869E-2</v>
      </c>
      <c r="S1286" s="66">
        <f t="shared" si="157"/>
        <v>6.9053159710188036E-2</v>
      </c>
      <c r="T1286" s="50">
        <f t="shared" si="158"/>
        <v>1</v>
      </c>
      <c r="U1286" s="50">
        <f t="shared" si="159"/>
        <v>1</v>
      </c>
    </row>
    <row r="1287" spans="1:21" x14ac:dyDescent="0.2">
      <c r="A1287" s="38">
        <v>40899</v>
      </c>
      <c r="B1287" s="4">
        <v>0.33724999999999999</v>
      </c>
      <c r="C1287" s="4">
        <v>0.38039000000000001</v>
      </c>
      <c r="D1287" s="4">
        <v>0.28234999999999999</v>
      </c>
      <c r="E1287" s="50">
        <v>0.99999000000000005</v>
      </c>
      <c r="F1287" s="50">
        <v>0.38133125000000001</v>
      </c>
      <c r="G1287" s="50">
        <v>5.4899999999999997E-2</v>
      </c>
      <c r="H1287" s="50">
        <v>0.38490743662900001</v>
      </c>
      <c r="I1287" s="50">
        <v>0.48829287047999997</v>
      </c>
      <c r="J1287" s="50">
        <v>0.28152200277799999</v>
      </c>
      <c r="K1287" s="50">
        <v>1249.8599999999999</v>
      </c>
      <c r="L1287" s="50">
        <v>1202.3699999999999</v>
      </c>
      <c r="M1287" s="50">
        <v>1243.72</v>
      </c>
      <c r="N1287" s="66">
        <f t="shared" si="152"/>
        <v>4.759913806966257E-3</v>
      </c>
      <c r="O1287" s="66">
        <f t="shared" si="153"/>
        <v>5.1715820281092152E-2</v>
      </c>
      <c r="P1287" s="4">
        <f t="shared" si="154"/>
        <v>5.4900000000000004E-2</v>
      </c>
      <c r="Q1287" s="4">
        <f t="shared" si="155"/>
        <v>2.3650000000000004E-2</v>
      </c>
      <c r="R1287" s="66">
        <f t="shared" si="156"/>
        <v>4.759913806966257E-3</v>
      </c>
      <c r="S1287" s="66">
        <f t="shared" si="157"/>
        <v>5.1715820281092152E-2</v>
      </c>
      <c r="T1287" s="50">
        <f t="shared" si="158"/>
        <v>1</v>
      </c>
      <c r="U1287" s="50">
        <f t="shared" si="159"/>
        <v>1</v>
      </c>
    </row>
    <row r="1288" spans="1:21" x14ac:dyDescent="0.2">
      <c r="A1288" s="38">
        <v>40906</v>
      </c>
      <c r="B1288" s="4">
        <v>0.40600000000000003</v>
      </c>
      <c r="C1288" s="4">
        <v>0.28570000000000001</v>
      </c>
      <c r="D1288" s="4">
        <v>0.30826999999999999</v>
      </c>
      <c r="E1288" s="50">
        <v>0.99997000000000003</v>
      </c>
      <c r="F1288" s="50">
        <v>0.38185625000000001</v>
      </c>
      <c r="G1288" s="50">
        <v>9.7729999999999997E-2</v>
      </c>
      <c r="H1288" s="50">
        <v>0.38490743662900001</v>
      </c>
      <c r="I1288" s="50">
        <v>0.48829287047999997</v>
      </c>
      <c r="J1288" s="50">
        <v>0.28152200277799999</v>
      </c>
      <c r="K1288" s="50">
        <v>1269.3699999999999</v>
      </c>
      <c r="L1288" s="50">
        <v>1202.3699999999999</v>
      </c>
      <c r="M1288" s="50">
        <v>1249.6400000000001</v>
      </c>
      <c r="N1288" s="66">
        <f t="shared" si="152"/>
        <v>2.2134374699913455E-2</v>
      </c>
      <c r="O1288" s="66">
        <f t="shared" si="153"/>
        <v>6.1153612240325082E-2</v>
      </c>
      <c r="P1288" s="4">
        <f t="shared" si="154"/>
        <v>9.7730000000000039E-2</v>
      </c>
      <c r="Q1288" s="4">
        <f t="shared" si="155"/>
        <v>6.4032500000000006E-2</v>
      </c>
      <c r="R1288" s="66">
        <f t="shared" si="156"/>
        <v>2.2134374699913455E-2</v>
      </c>
      <c r="S1288" s="66">
        <f t="shared" si="157"/>
        <v>6.1153612240325082E-2</v>
      </c>
      <c r="T1288" s="50">
        <f t="shared" si="158"/>
        <v>1</v>
      </c>
      <c r="U1288" s="50">
        <f t="shared" si="159"/>
        <v>1</v>
      </c>
    </row>
    <row r="1289" spans="1:21" x14ac:dyDescent="0.2">
      <c r="A1289" s="38">
        <v>40913</v>
      </c>
      <c r="B1289" s="4">
        <v>0.48880000000000001</v>
      </c>
      <c r="C1289" s="4">
        <v>0.33950000000000002</v>
      </c>
      <c r="D1289" s="4">
        <v>0.1716</v>
      </c>
      <c r="E1289" s="50">
        <v>0.99990000000000001</v>
      </c>
      <c r="F1289" s="50">
        <v>0.38704375000000002</v>
      </c>
      <c r="G1289" s="50">
        <v>0.31719999999999998</v>
      </c>
      <c r="H1289" s="50">
        <v>0.38490743662900001</v>
      </c>
      <c r="I1289" s="50">
        <v>0.48829287047999997</v>
      </c>
      <c r="J1289" s="50">
        <v>0.28152200277799999</v>
      </c>
      <c r="K1289" s="50">
        <v>1284.6199999999999</v>
      </c>
      <c r="L1289" s="50">
        <v>1248.6400000000001</v>
      </c>
      <c r="M1289" s="50">
        <v>1277.3</v>
      </c>
      <c r="N1289" s="66">
        <f t="shared" si="152"/>
        <v>1.4248806075315154E-2</v>
      </c>
      <c r="O1289" s="66">
        <f t="shared" si="153"/>
        <v>3.6631958036483177E-2</v>
      </c>
      <c r="P1289" s="4">
        <f t="shared" si="154"/>
        <v>0.31720000000000004</v>
      </c>
      <c r="Q1289" s="4">
        <f t="shared" si="155"/>
        <v>0.13380750000000002</v>
      </c>
      <c r="R1289" s="66">
        <f t="shared" si="156"/>
        <v>1.4248806075315154E-2</v>
      </c>
      <c r="S1289" s="66">
        <f t="shared" si="157"/>
        <v>3.6631958036483177E-2</v>
      </c>
      <c r="T1289" s="50">
        <f t="shared" si="158"/>
        <v>1</v>
      </c>
      <c r="U1289" s="50">
        <f t="shared" si="159"/>
        <v>1</v>
      </c>
    </row>
    <row r="1290" spans="1:21" x14ac:dyDescent="0.2">
      <c r="A1290" s="38">
        <v>40920</v>
      </c>
      <c r="B1290" s="4">
        <v>0.4914</v>
      </c>
      <c r="C1290" s="4">
        <v>0.33679999999999999</v>
      </c>
      <c r="D1290" s="4">
        <v>0.17180000000000001</v>
      </c>
      <c r="E1290" s="50">
        <v>1</v>
      </c>
      <c r="F1290" s="50">
        <v>0.39605625</v>
      </c>
      <c r="G1290" s="50">
        <v>0.3196</v>
      </c>
      <c r="H1290" s="50">
        <v>0.38490743662900001</v>
      </c>
      <c r="I1290" s="50">
        <v>0.48829287047999997</v>
      </c>
      <c r="J1290" s="50">
        <v>0.28152200277799999</v>
      </c>
      <c r="K1290" s="50">
        <v>1296.82</v>
      </c>
      <c r="L1290" s="50">
        <v>1265.26</v>
      </c>
      <c r="M1290" s="50">
        <v>1295.5</v>
      </c>
      <c r="N1290" s="66">
        <f t="shared" si="152"/>
        <v>9.6796603627942596E-3</v>
      </c>
      <c r="O1290" s="66">
        <f t="shared" si="153"/>
        <v>4.2037823234272513E-2</v>
      </c>
      <c r="P1290" s="4">
        <f t="shared" si="154"/>
        <v>0.3196</v>
      </c>
      <c r="Q1290" s="4">
        <f t="shared" si="155"/>
        <v>0.19735750000000002</v>
      </c>
      <c r="R1290" s="66">
        <f t="shared" si="156"/>
        <v>9.6796603627942596E-3</v>
      </c>
      <c r="S1290" s="66">
        <f t="shared" si="157"/>
        <v>4.2037823234272513E-2</v>
      </c>
      <c r="T1290" s="50">
        <f t="shared" si="158"/>
        <v>1</v>
      </c>
      <c r="U1290" s="50">
        <f t="shared" si="159"/>
        <v>1</v>
      </c>
    </row>
    <row r="1291" spans="1:21" x14ac:dyDescent="0.2">
      <c r="A1291" s="38">
        <v>40927</v>
      </c>
      <c r="B1291" s="4">
        <v>0.4723</v>
      </c>
      <c r="C1291" s="4">
        <v>0.29149999999999998</v>
      </c>
      <c r="D1291" s="4">
        <v>0.2361</v>
      </c>
      <c r="E1291" s="50">
        <v>0.99990000000000001</v>
      </c>
      <c r="F1291" s="50">
        <v>0.41420625</v>
      </c>
      <c r="G1291" s="50">
        <v>0.23619999999999999</v>
      </c>
      <c r="H1291" s="50">
        <v>0.38490743662900001</v>
      </c>
      <c r="I1291" s="50">
        <v>0.48829287047999997</v>
      </c>
      <c r="J1291" s="50">
        <v>0.28152200277799999</v>
      </c>
      <c r="K1291" s="50">
        <v>1308.1099999999999</v>
      </c>
      <c r="L1291" s="50">
        <v>1274.55</v>
      </c>
      <c r="M1291" s="50">
        <v>1308.04</v>
      </c>
      <c r="N1291" s="66">
        <f t="shared" si="152"/>
        <v>1.377633711507292E-2</v>
      </c>
      <c r="O1291" s="66">
        <f t="shared" si="153"/>
        <v>2.6902847007736808E-2</v>
      </c>
      <c r="P1291" s="4">
        <f t="shared" si="154"/>
        <v>0.23619999999999999</v>
      </c>
      <c r="Q1291" s="4">
        <f t="shared" si="155"/>
        <v>0.24268250000000002</v>
      </c>
      <c r="R1291" s="66">
        <f t="shared" si="156"/>
        <v>1.377633711507292E-2</v>
      </c>
      <c r="S1291" s="66">
        <f t="shared" si="157"/>
        <v>2.6902847007736808E-2</v>
      </c>
      <c r="T1291" s="50">
        <f t="shared" si="158"/>
        <v>1</v>
      </c>
      <c r="U1291" s="50">
        <f t="shared" si="159"/>
        <v>1</v>
      </c>
    </row>
    <row r="1292" spans="1:21" x14ac:dyDescent="0.2">
      <c r="A1292" s="38">
        <v>40934</v>
      </c>
      <c r="B1292" s="4">
        <v>0.48397400000000002</v>
      </c>
      <c r="C1292" s="4">
        <v>0.32691999999999999</v>
      </c>
      <c r="D1292" s="4">
        <v>0.18909999999999999</v>
      </c>
      <c r="E1292" s="50">
        <v>0.99999400000000005</v>
      </c>
      <c r="F1292" s="50">
        <v>0.43340299999999998</v>
      </c>
      <c r="G1292" s="50">
        <v>0.29487400000000002</v>
      </c>
      <c r="H1292" s="50">
        <v>0.38490743662900001</v>
      </c>
      <c r="I1292" s="50">
        <v>0.48829287047999997</v>
      </c>
      <c r="J1292" s="50">
        <v>0.28152200277799999</v>
      </c>
      <c r="K1292" s="50">
        <v>1328.3</v>
      </c>
      <c r="L1292" s="50">
        <v>1290.22</v>
      </c>
      <c r="M1292" s="50">
        <v>1326.06</v>
      </c>
      <c r="N1292" s="66">
        <f t="shared" si="152"/>
        <v>-1.4856039696544857E-3</v>
      </c>
      <c r="O1292" s="66">
        <f t="shared" si="153"/>
        <v>2.3829992609685938E-2</v>
      </c>
      <c r="P1292" s="4">
        <f t="shared" si="154"/>
        <v>0.29487400000000002</v>
      </c>
      <c r="Q1292" s="4">
        <f t="shared" si="155"/>
        <v>0.29196850000000002</v>
      </c>
      <c r="R1292" s="66">
        <f t="shared" si="156"/>
        <v>-1.4856039696544857E-3</v>
      </c>
      <c r="S1292" s="66">
        <f t="shared" si="157"/>
        <v>2.3829992609685938E-2</v>
      </c>
      <c r="T1292" s="50" t="str">
        <f t="shared" si="158"/>
        <v/>
      </c>
      <c r="U1292" s="50">
        <f t="shared" si="159"/>
        <v>1</v>
      </c>
    </row>
    <row r="1293" spans="1:21" x14ac:dyDescent="0.2">
      <c r="A1293" s="38">
        <v>40941</v>
      </c>
      <c r="B1293" s="4">
        <v>0.43806</v>
      </c>
      <c r="C1293" s="4">
        <v>0.31117</v>
      </c>
      <c r="D1293" s="4">
        <v>0.25074999999999997</v>
      </c>
      <c r="E1293" s="50">
        <v>0.99997999999999998</v>
      </c>
      <c r="F1293" s="50">
        <v>0.43994800000000001</v>
      </c>
      <c r="G1293" s="50">
        <v>0.18731</v>
      </c>
      <c r="H1293" s="50">
        <v>0.38490743662900001</v>
      </c>
      <c r="I1293" s="50">
        <v>0.48829287047999997</v>
      </c>
      <c r="J1293" s="50">
        <v>0.28152200277799999</v>
      </c>
      <c r="K1293" s="50">
        <v>1333.47</v>
      </c>
      <c r="L1293" s="50">
        <v>1300.49</v>
      </c>
      <c r="M1293" s="50">
        <v>1324.09</v>
      </c>
      <c r="N1293" s="66">
        <f t="shared" ref="N1293:N1356" si="160">(M1294-M1293)/M1293</f>
        <v>1.9537946816304119E-2</v>
      </c>
      <c r="O1293" s="66">
        <f t="shared" ref="O1293:O1356" si="161">(M1297-M1293)/M1293</f>
        <v>3.141025156900222E-2</v>
      </c>
      <c r="P1293" s="4">
        <f t="shared" si="154"/>
        <v>0.18731000000000003</v>
      </c>
      <c r="Q1293" s="4">
        <f t="shared" si="155"/>
        <v>0.259496</v>
      </c>
      <c r="R1293" s="66">
        <f t="shared" si="156"/>
        <v>1.9537946816304119E-2</v>
      </c>
      <c r="S1293" s="66">
        <f t="shared" si="157"/>
        <v>3.141025156900222E-2</v>
      </c>
      <c r="T1293" s="50">
        <f t="shared" si="158"/>
        <v>1</v>
      </c>
      <c r="U1293" s="50">
        <f t="shared" si="159"/>
        <v>1</v>
      </c>
    </row>
    <row r="1294" spans="1:21" x14ac:dyDescent="0.2">
      <c r="A1294" s="38">
        <v>40948</v>
      </c>
      <c r="B1294" s="4">
        <v>0.51642999999999994</v>
      </c>
      <c r="C1294" s="4">
        <v>0.28169</v>
      </c>
      <c r="D1294" s="4">
        <v>0.20186999999999999</v>
      </c>
      <c r="E1294" s="50">
        <v>0.99999000000000005</v>
      </c>
      <c r="F1294" s="50">
        <v>0.45427675000000001</v>
      </c>
      <c r="G1294" s="50">
        <v>0.31456000000000001</v>
      </c>
      <c r="H1294" s="50">
        <v>0.38490743662900001</v>
      </c>
      <c r="I1294" s="50">
        <v>0.48829287047999997</v>
      </c>
      <c r="J1294" s="50">
        <v>0.28152200277799999</v>
      </c>
      <c r="K1294" s="50">
        <v>1351</v>
      </c>
      <c r="L1294" s="50">
        <v>1306.69</v>
      </c>
      <c r="M1294" s="50">
        <v>1349.96</v>
      </c>
      <c r="N1294" s="66">
        <f t="shared" si="160"/>
        <v>-4.9853328987525692E-3</v>
      </c>
      <c r="O1294" s="66">
        <f t="shared" si="161"/>
        <v>1.9778363803372489E-3</v>
      </c>
      <c r="P1294" s="4">
        <f t="shared" ref="P1294:P1357" si="162">B1294-D1294</f>
        <v>0.31455999999999995</v>
      </c>
      <c r="Q1294" s="4">
        <f t="shared" si="155"/>
        <v>0.25823600000000002</v>
      </c>
      <c r="R1294" s="66">
        <f t="shared" si="156"/>
        <v>-4.9853328987525692E-3</v>
      </c>
      <c r="S1294" s="66">
        <f t="shared" si="157"/>
        <v>1.9778363803372489E-3</v>
      </c>
      <c r="T1294" s="50" t="str">
        <f t="shared" si="158"/>
        <v/>
      </c>
      <c r="U1294" s="50">
        <f t="shared" si="159"/>
        <v>1</v>
      </c>
    </row>
    <row r="1295" spans="1:21" x14ac:dyDescent="0.2">
      <c r="A1295" s="38">
        <v>40955</v>
      </c>
      <c r="B1295" s="4">
        <v>0.42713000000000001</v>
      </c>
      <c r="C1295" s="4">
        <v>0.30653000000000002</v>
      </c>
      <c r="D1295" s="4">
        <v>0.26633000000000001</v>
      </c>
      <c r="E1295" s="50">
        <v>0.99999000000000005</v>
      </c>
      <c r="F1295" s="50">
        <v>0.46551175</v>
      </c>
      <c r="G1295" s="50">
        <v>0.1608</v>
      </c>
      <c r="H1295" s="50">
        <v>0.38490743662900001</v>
      </c>
      <c r="I1295" s="50">
        <v>0.48829287047999997</v>
      </c>
      <c r="J1295" s="50">
        <v>0.28152200277799999</v>
      </c>
      <c r="K1295" s="50">
        <v>1355.87</v>
      </c>
      <c r="L1295" s="50">
        <v>1335.92</v>
      </c>
      <c r="M1295" s="50">
        <v>1343.23</v>
      </c>
      <c r="N1295" s="66">
        <f t="shared" si="160"/>
        <v>1.0742761850167181E-2</v>
      </c>
      <c r="O1295" s="66">
        <f t="shared" si="161"/>
        <v>3.8005404882261382E-2</v>
      </c>
      <c r="P1295" s="4">
        <f t="shared" si="162"/>
        <v>0.1608</v>
      </c>
      <c r="Q1295" s="4">
        <f t="shared" si="155"/>
        <v>0.23938599999999999</v>
      </c>
      <c r="R1295" s="66">
        <f t="shared" si="156"/>
        <v>1.0742761850167181E-2</v>
      </c>
      <c r="S1295" s="66">
        <f t="shared" si="157"/>
        <v>3.8005404882261382E-2</v>
      </c>
      <c r="T1295" s="50">
        <f t="shared" si="158"/>
        <v>1</v>
      </c>
      <c r="U1295" s="50">
        <f t="shared" si="159"/>
        <v>1</v>
      </c>
    </row>
    <row r="1296" spans="1:21" x14ac:dyDescent="0.2">
      <c r="A1296" s="38">
        <v>40962</v>
      </c>
      <c r="B1296" s="4">
        <v>0.43689</v>
      </c>
      <c r="C1296" s="4">
        <v>0.28802</v>
      </c>
      <c r="D1296" s="4">
        <v>0.27507999999999999</v>
      </c>
      <c r="E1296" s="50">
        <v>0.99999000000000005</v>
      </c>
      <c r="F1296" s="50">
        <v>0.46937299999999998</v>
      </c>
      <c r="G1296" s="50">
        <v>0.16181000000000001</v>
      </c>
      <c r="H1296" s="50">
        <v>0.38490743662900001</v>
      </c>
      <c r="I1296" s="50">
        <v>0.48829287047999997</v>
      </c>
      <c r="J1296" s="50">
        <v>0.28152200277799999</v>
      </c>
      <c r="K1296" s="50">
        <v>1367.76</v>
      </c>
      <c r="L1296" s="50">
        <v>1340.8</v>
      </c>
      <c r="M1296" s="50">
        <v>1357.66</v>
      </c>
      <c r="N1296" s="66">
        <f t="shared" si="160"/>
        <v>5.9072227214471825E-3</v>
      </c>
      <c r="O1296" s="66">
        <f t="shared" si="161"/>
        <v>3.3314673776939745E-2</v>
      </c>
      <c r="P1296" s="4">
        <f t="shared" si="162"/>
        <v>0.16181000000000001</v>
      </c>
      <c r="Q1296" s="4">
        <f t="shared" si="155"/>
        <v>0.20612000000000003</v>
      </c>
      <c r="R1296" s="66">
        <f t="shared" si="156"/>
        <v>5.9072227214471825E-3</v>
      </c>
      <c r="S1296" s="66">
        <f t="shared" si="157"/>
        <v>3.3314673776939745E-2</v>
      </c>
      <c r="T1296" s="50">
        <f t="shared" si="158"/>
        <v>1</v>
      </c>
      <c r="U1296" s="50">
        <f t="shared" si="159"/>
        <v>1</v>
      </c>
    </row>
    <row r="1297" spans="1:21" x14ac:dyDescent="0.2">
      <c r="A1297" s="38">
        <v>40969</v>
      </c>
      <c r="B1297" s="4">
        <v>0.44512000000000002</v>
      </c>
      <c r="C1297" s="4">
        <v>0.28658</v>
      </c>
      <c r="D1297" s="4">
        <v>0.26828999999999997</v>
      </c>
      <c r="E1297" s="50">
        <v>0.99999000000000005</v>
      </c>
      <c r="F1297" s="50">
        <v>0.46391300000000002</v>
      </c>
      <c r="G1297" s="50">
        <v>0.17682999999999999</v>
      </c>
      <c r="H1297" s="50">
        <v>0.38490743662900001</v>
      </c>
      <c r="I1297" s="50">
        <v>0.48829287047999997</v>
      </c>
      <c r="J1297" s="50">
        <v>0.28152200277799999</v>
      </c>
      <c r="K1297" s="50">
        <v>1378.04</v>
      </c>
      <c r="L1297" s="50">
        <v>1352.28</v>
      </c>
      <c r="M1297" s="50">
        <v>1365.68</v>
      </c>
      <c r="N1297" s="66">
        <f t="shared" si="160"/>
        <v>-9.5556792220724864E-3</v>
      </c>
      <c r="O1297" s="66">
        <f t="shared" si="161"/>
        <v>2.9186925194774688E-2</v>
      </c>
      <c r="P1297" s="4">
        <f t="shared" si="162"/>
        <v>0.17683000000000004</v>
      </c>
      <c r="Q1297" s="4">
        <f t="shared" ref="Q1297:Q1360" si="163">AVERAGE(P1294:P1297)</f>
        <v>0.20350000000000001</v>
      </c>
      <c r="R1297" s="66">
        <f t="shared" ref="R1297:R1360" si="164">(M1298-M1297)/M1297</f>
        <v>-9.5556792220724864E-3</v>
      </c>
      <c r="S1297" s="66">
        <f t="shared" ref="S1297:S1360" si="165">(M1301-M1297)/M1297</f>
        <v>2.9186925194774688E-2</v>
      </c>
      <c r="T1297" s="50" t="str">
        <f t="shared" ref="T1297:T1360" si="166">IF(R1297&gt;0,1,"")</f>
        <v/>
      </c>
      <c r="U1297" s="50">
        <f t="shared" ref="U1297:U1360" si="167">IF(S1297&gt;0,1,"")</f>
        <v>1</v>
      </c>
    </row>
    <row r="1298" spans="1:21" x14ac:dyDescent="0.2">
      <c r="A1298" s="38">
        <v>40976</v>
      </c>
      <c r="B1298" s="4">
        <v>0.42379</v>
      </c>
      <c r="C1298" s="4">
        <v>0.28623999999999999</v>
      </c>
      <c r="D1298" s="4">
        <v>0.28996</v>
      </c>
      <c r="E1298" s="50">
        <v>0.99999000000000005</v>
      </c>
      <c r="F1298" s="50">
        <v>0.45546175</v>
      </c>
      <c r="G1298" s="50">
        <v>0.13383</v>
      </c>
      <c r="H1298" s="50">
        <v>0.38490743662900001</v>
      </c>
      <c r="I1298" s="50">
        <v>0.48829287047999997</v>
      </c>
      <c r="J1298" s="50">
        <v>0.28152200277799999</v>
      </c>
      <c r="K1298" s="50">
        <v>1378.04</v>
      </c>
      <c r="L1298" s="50">
        <v>1340.03</v>
      </c>
      <c r="M1298" s="50">
        <v>1352.63</v>
      </c>
      <c r="N1298" s="66">
        <f t="shared" si="160"/>
        <v>3.0791864737585193E-2</v>
      </c>
      <c r="O1298" s="66">
        <f t="shared" si="161"/>
        <v>3.4251790955397945E-2</v>
      </c>
      <c r="P1298" s="4">
        <f t="shared" si="162"/>
        <v>0.13383</v>
      </c>
      <c r="Q1298" s="4">
        <f t="shared" si="163"/>
        <v>0.1583175</v>
      </c>
      <c r="R1298" s="66">
        <f t="shared" si="164"/>
        <v>3.0791864737585193E-2</v>
      </c>
      <c r="S1298" s="66">
        <f t="shared" si="165"/>
        <v>3.4251790955397945E-2</v>
      </c>
      <c r="T1298" s="50">
        <f t="shared" si="166"/>
        <v>1</v>
      </c>
      <c r="U1298" s="50">
        <f t="shared" si="167"/>
        <v>1</v>
      </c>
    </row>
    <row r="1299" spans="1:21" x14ac:dyDescent="0.2">
      <c r="A1299" s="38">
        <v>40983</v>
      </c>
      <c r="B1299" s="4">
        <v>0.456067</v>
      </c>
      <c r="C1299" s="4">
        <v>0.27196700000000001</v>
      </c>
      <c r="D1299" s="4">
        <v>0.27196700000000001</v>
      </c>
      <c r="E1299" s="50">
        <v>1.0000009999999999</v>
      </c>
      <c r="F1299" s="50">
        <v>0.45343262499999998</v>
      </c>
      <c r="G1299" s="50">
        <v>0.18410000000000001</v>
      </c>
      <c r="H1299" s="50">
        <v>0.38490743662900001</v>
      </c>
      <c r="I1299" s="50">
        <v>0.48829287047999997</v>
      </c>
      <c r="J1299" s="50">
        <v>0.28152200277799999</v>
      </c>
      <c r="K1299" s="50">
        <v>1399.42</v>
      </c>
      <c r="L1299" s="50">
        <v>1340.03</v>
      </c>
      <c r="M1299" s="50">
        <v>1394.28</v>
      </c>
      <c r="N1299" s="66">
        <f t="shared" si="160"/>
        <v>6.1752302263534779E-3</v>
      </c>
      <c r="O1299" s="66">
        <f t="shared" si="161"/>
        <v>-1.8339214504977434E-2</v>
      </c>
      <c r="P1299" s="4">
        <f t="shared" si="162"/>
        <v>0.18409999999999999</v>
      </c>
      <c r="Q1299" s="4">
        <f t="shared" si="163"/>
        <v>0.16414250000000002</v>
      </c>
      <c r="R1299" s="66">
        <f t="shared" si="164"/>
        <v>6.1752302263534779E-3</v>
      </c>
      <c r="S1299" s="66">
        <f t="shared" si="165"/>
        <v>-1.8339214504977434E-2</v>
      </c>
      <c r="T1299" s="50">
        <f t="shared" si="166"/>
        <v>1</v>
      </c>
      <c r="U1299" s="50" t="str">
        <f t="shared" si="167"/>
        <v/>
      </c>
    </row>
    <row r="1300" spans="1:21" x14ac:dyDescent="0.2">
      <c r="A1300" s="38">
        <v>40990</v>
      </c>
      <c r="B1300" s="4">
        <v>0.42384100000000002</v>
      </c>
      <c r="C1300" s="4">
        <v>0.29801299999999997</v>
      </c>
      <c r="D1300" s="4">
        <v>0.278146</v>
      </c>
      <c r="E1300" s="50">
        <v>1</v>
      </c>
      <c r="F1300" s="50">
        <v>0.44591599999999998</v>
      </c>
      <c r="G1300" s="50">
        <v>0.14569499999999999</v>
      </c>
      <c r="H1300" s="50">
        <v>0.38490743662900001</v>
      </c>
      <c r="I1300" s="50">
        <v>0.48829287047999997</v>
      </c>
      <c r="J1300" s="50">
        <v>0.28152200277799999</v>
      </c>
      <c r="K1300" s="50">
        <v>1414</v>
      </c>
      <c r="L1300" s="50">
        <v>1371.92</v>
      </c>
      <c r="M1300" s="50">
        <v>1402.89</v>
      </c>
      <c r="N1300" s="66">
        <f t="shared" si="160"/>
        <v>1.8889577942674503E-3</v>
      </c>
      <c r="O1300" s="66">
        <f t="shared" si="161"/>
        <v>-1.2652453150282629E-2</v>
      </c>
      <c r="P1300" s="4">
        <f t="shared" si="162"/>
        <v>0.14569500000000002</v>
      </c>
      <c r="Q1300" s="4">
        <f t="shared" si="163"/>
        <v>0.16011375</v>
      </c>
      <c r="R1300" s="66">
        <f t="shared" si="164"/>
        <v>1.8889577942674503E-3</v>
      </c>
      <c r="S1300" s="66">
        <f t="shared" si="165"/>
        <v>-1.2652453150282629E-2</v>
      </c>
      <c r="T1300" s="50">
        <f t="shared" si="166"/>
        <v>1</v>
      </c>
      <c r="U1300" s="50" t="str">
        <f t="shared" si="167"/>
        <v/>
      </c>
    </row>
    <row r="1301" spans="1:21" x14ac:dyDescent="0.2">
      <c r="A1301" s="38">
        <v>40997</v>
      </c>
      <c r="B1301" s="4">
        <v>0.42470000000000002</v>
      </c>
      <c r="C1301" s="4">
        <v>0.32050000000000001</v>
      </c>
      <c r="D1301" s="4">
        <v>0.25480000000000003</v>
      </c>
      <c r="E1301" s="50">
        <v>1</v>
      </c>
      <c r="F1301" s="50">
        <v>0.44424599999999997</v>
      </c>
      <c r="G1301" s="50">
        <v>0.1699</v>
      </c>
      <c r="H1301" s="50">
        <v>0.38490743662900001</v>
      </c>
      <c r="I1301" s="50">
        <v>0.48829287047999997</v>
      </c>
      <c r="J1301" s="50">
        <v>0.28152200277799999</v>
      </c>
      <c r="K1301" s="50">
        <v>1419.15</v>
      </c>
      <c r="L1301" s="50">
        <v>1386.87</v>
      </c>
      <c r="M1301" s="50">
        <v>1405.54</v>
      </c>
      <c r="N1301" s="66">
        <f t="shared" si="160"/>
        <v>-4.6814747356887232E-3</v>
      </c>
      <c r="O1301" s="66">
        <f t="shared" si="161"/>
        <v>-1.0565334319905452E-2</v>
      </c>
      <c r="P1301" s="4">
        <f t="shared" si="162"/>
        <v>0.1699</v>
      </c>
      <c r="Q1301" s="4">
        <f t="shared" si="163"/>
        <v>0.15838125</v>
      </c>
      <c r="R1301" s="66">
        <f t="shared" si="164"/>
        <v>-4.6814747356887232E-3</v>
      </c>
      <c r="S1301" s="66">
        <f t="shared" si="165"/>
        <v>-1.0565334319905452E-2</v>
      </c>
      <c r="T1301" s="50" t="str">
        <f t="shared" si="166"/>
        <v/>
      </c>
      <c r="U1301" s="50" t="str">
        <f t="shared" si="167"/>
        <v/>
      </c>
    </row>
    <row r="1302" spans="1:21" x14ac:dyDescent="0.2">
      <c r="A1302" s="38">
        <v>41004</v>
      </c>
      <c r="B1302" s="4">
        <v>0.381743</v>
      </c>
      <c r="C1302" s="4">
        <v>0.34024900000000002</v>
      </c>
      <c r="D1302" s="4">
        <v>0.27800799999999998</v>
      </c>
      <c r="E1302" s="50">
        <v>1</v>
      </c>
      <c r="F1302" s="50">
        <v>0.42741012499999997</v>
      </c>
      <c r="G1302" s="50">
        <v>0.10373499999999999</v>
      </c>
      <c r="H1302" s="50">
        <v>0.38490743662900001</v>
      </c>
      <c r="I1302" s="50">
        <v>0.48829287047999997</v>
      </c>
      <c r="J1302" s="50">
        <v>0.28152200277799999</v>
      </c>
      <c r="K1302" s="50">
        <v>1422.38</v>
      </c>
      <c r="L1302" s="50">
        <v>1391.56</v>
      </c>
      <c r="M1302" s="50">
        <v>1398.96</v>
      </c>
      <c r="N1302" s="66">
        <f t="shared" si="160"/>
        <v>-2.1623205810030306E-2</v>
      </c>
      <c r="O1302" s="66">
        <f t="shared" si="161"/>
        <v>2.3946360153256053E-3</v>
      </c>
      <c r="P1302" s="4">
        <f t="shared" si="162"/>
        <v>0.10373500000000002</v>
      </c>
      <c r="Q1302" s="4">
        <f t="shared" si="163"/>
        <v>0.15085750000000001</v>
      </c>
      <c r="R1302" s="66">
        <f t="shared" si="164"/>
        <v>-2.1623205810030306E-2</v>
      </c>
      <c r="S1302" s="66">
        <f t="shared" si="165"/>
        <v>2.3946360153256053E-3</v>
      </c>
      <c r="T1302" s="50" t="str">
        <f t="shared" si="166"/>
        <v/>
      </c>
      <c r="U1302" s="50">
        <f t="shared" si="167"/>
        <v>1</v>
      </c>
    </row>
    <row r="1303" spans="1:21" x14ac:dyDescent="0.2">
      <c r="A1303" s="38">
        <v>41011</v>
      </c>
      <c r="B1303" s="4">
        <v>0.281385</v>
      </c>
      <c r="C1303" s="4">
        <v>0.30303000000000002</v>
      </c>
      <c r="D1303" s="4">
        <v>0.41558400000000001</v>
      </c>
      <c r="E1303" s="50">
        <v>0.99999899999999997</v>
      </c>
      <c r="F1303" s="50">
        <v>0.409192</v>
      </c>
      <c r="G1303" s="50">
        <v>-0.13419900000000001</v>
      </c>
      <c r="H1303" s="50">
        <v>0.38490743662900001</v>
      </c>
      <c r="I1303" s="50">
        <v>0.48829287047999997</v>
      </c>
      <c r="J1303" s="50">
        <v>0.28152200277799999</v>
      </c>
      <c r="K1303" s="50">
        <v>1422.38</v>
      </c>
      <c r="L1303" s="50">
        <v>1357.38</v>
      </c>
      <c r="M1303" s="50">
        <v>1368.71</v>
      </c>
      <c r="N1303" s="66">
        <f t="shared" si="160"/>
        <v>1.2004003769973232E-2</v>
      </c>
      <c r="O1303" s="66">
        <f t="shared" si="161"/>
        <v>-1.0323589365168742E-2</v>
      </c>
      <c r="P1303" s="4">
        <f t="shared" si="162"/>
        <v>-0.13419900000000001</v>
      </c>
      <c r="Q1303" s="4">
        <f t="shared" si="163"/>
        <v>7.1282750000000006E-2</v>
      </c>
      <c r="R1303" s="66">
        <f t="shared" si="164"/>
        <v>1.2004003769973232E-2</v>
      </c>
      <c r="S1303" s="66">
        <f t="shared" si="165"/>
        <v>-1.0323589365168742E-2</v>
      </c>
      <c r="T1303" s="50">
        <f t="shared" si="166"/>
        <v>1</v>
      </c>
      <c r="U1303" s="50" t="str">
        <f t="shared" si="167"/>
        <v/>
      </c>
    </row>
    <row r="1304" spans="1:21" x14ac:dyDescent="0.2">
      <c r="A1304" s="38">
        <v>41018</v>
      </c>
      <c r="B1304" s="4">
        <v>0.31178699999999998</v>
      </c>
      <c r="C1304" s="4">
        <v>0.34981000000000001</v>
      </c>
      <c r="D1304" s="4">
        <v>0.33840300000000001</v>
      </c>
      <c r="E1304" s="50">
        <v>1</v>
      </c>
      <c r="F1304" s="50">
        <v>0.39355412499999998</v>
      </c>
      <c r="G1304" s="50">
        <v>-2.6616000000000001E-2</v>
      </c>
      <c r="H1304" s="50">
        <v>0.38490743662900001</v>
      </c>
      <c r="I1304" s="50">
        <v>0.48829287047999997</v>
      </c>
      <c r="J1304" s="50">
        <v>0.28152200277799999</v>
      </c>
      <c r="K1304" s="50">
        <v>1392.76</v>
      </c>
      <c r="L1304" s="50">
        <v>1357.38</v>
      </c>
      <c r="M1304" s="50">
        <v>1385.14</v>
      </c>
      <c r="N1304" s="66">
        <f t="shared" si="160"/>
        <v>4.0068151955758658E-3</v>
      </c>
      <c r="O1304" s="66">
        <f t="shared" si="161"/>
        <v>-4.3562383585774828E-2</v>
      </c>
      <c r="P1304" s="4">
        <f t="shared" si="162"/>
        <v>-2.6616000000000029E-2</v>
      </c>
      <c r="Q1304" s="4">
        <f t="shared" si="163"/>
        <v>2.8204999999999994E-2</v>
      </c>
      <c r="R1304" s="66">
        <f t="shared" si="164"/>
        <v>4.0068151955758658E-3</v>
      </c>
      <c r="S1304" s="66">
        <f t="shared" si="165"/>
        <v>-4.3562383585774828E-2</v>
      </c>
      <c r="T1304" s="50">
        <f t="shared" si="166"/>
        <v>1</v>
      </c>
      <c r="U1304" s="50" t="str">
        <f t="shared" si="167"/>
        <v/>
      </c>
    </row>
    <row r="1305" spans="1:21" x14ac:dyDescent="0.2">
      <c r="A1305" s="38">
        <v>41025</v>
      </c>
      <c r="B1305" s="4">
        <v>0.27642299999999997</v>
      </c>
      <c r="C1305" s="4">
        <v>0.34959299999999999</v>
      </c>
      <c r="D1305" s="4">
        <v>0.37398399999999998</v>
      </c>
      <c r="E1305" s="50">
        <v>1</v>
      </c>
      <c r="F1305" s="50">
        <v>0.37246699999999999</v>
      </c>
      <c r="G1305" s="50">
        <v>-9.7560999999999995E-2</v>
      </c>
      <c r="H1305" s="50">
        <v>0.38490743662900001</v>
      </c>
      <c r="I1305" s="50">
        <v>0.48829287047999997</v>
      </c>
      <c r="J1305" s="50">
        <v>0.28152200277799999</v>
      </c>
      <c r="K1305" s="50">
        <v>1392.76</v>
      </c>
      <c r="L1305" s="50">
        <v>1358.79</v>
      </c>
      <c r="M1305" s="50">
        <v>1390.69</v>
      </c>
      <c r="N1305" s="66">
        <f t="shared" si="160"/>
        <v>8.3555645039511978E-3</v>
      </c>
      <c r="O1305" s="66">
        <f t="shared" si="161"/>
        <v>-5.1650619476662774E-2</v>
      </c>
      <c r="P1305" s="4">
        <f t="shared" si="162"/>
        <v>-9.7561000000000009E-2</v>
      </c>
      <c r="Q1305" s="4">
        <f t="shared" si="163"/>
        <v>-3.8660250000000007E-2</v>
      </c>
      <c r="R1305" s="66">
        <f t="shared" si="164"/>
        <v>8.3555645039511978E-3</v>
      </c>
      <c r="S1305" s="66">
        <f t="shared" si="165"/>
        <v>-5.1650619476662774E-2</v>
      </c>
      <c r="T1305" s="50">
        <f t="shared" si="166"/>
        <v>1</v>
      </c>
      <c r="U1305" s="50" t="str">
        <f t="shared" si="167"/>
        <v/>
      </c>
    </row>
    <row r="1306" spans="1:21" x14ac:dyDescent="0.2">
      <c r="A1306" s="38">
        <v>41032</v>
      </c>
      <c r="B1306" s="4">
        <v>0.35401500000000002</v>
      </c>
      <c r="C1306" s="4">
        <v>0.36131400000000002</v>
      </c>
      <c r="D1306" s="4">
        <v>0.28467199999999998</v>
      </c>
      <c r="E1306" s="50">
        <v>1.0000009999999999</v>
      </c>
      <c r="F1306" s="50">
        <v>0.363745125</v>
      </c>
      <c r="G1306" s="50">
        <v>6.9343000000000002E-2</v>
      </c>
      <c r="H1306" s="50">
        <v>0.38490743662900001</v>
      </c>
      <c r="I1306" s="50">
        <v>0.48829287047999997</v>
      </c>
      <c r="J1306" s="50">
        <v>0.28152200277799999</v>
      </c>
      <c r="K1306" s="50">
        <v>1415.32</v>
      </c>
      <c r="L1306" s="50">
        <v>1366.82</v>
      </c>
      <c r="M1306" s="50">
        <v>1402.31</v>
      </c>
      <c r="N1306" s="66">
        <f t="shared" si="160"/>
        <v>-3.4036696593477918E-2</v>
      </c>
      <c r="O1306" s="66">
        <f t="shared" si="161"/>
        <v>-6.3459577411556653E-2</v>
      </c>
      <c r="P1306" s="4">
        <f t="shared" si="162"/>
        <v>6.9343000000000043E-2</v>
      </c>
      <c r="Q1306" s="4">
        <f t="shared" si="163"/>
        <v>-4.7258250000000002E-2</v>
      </c>
      <c r="R1306" s="66">
        <f t="shared" si="164"/>
        <v>-3.4036696593477918E-2</v>
      </c>
      <c r="S1306" s="66">
        <f t="shared" si="165"/>
        <v>-6.3459577411556653E-2</v>
      </c>
      <c r="T1306" s="50" t="str">
        <f t="shared" si="166"/>
        <v/>
      </c>
      <c r="U1306" s="50" t="str">
        <f t="shared" si="167"/>
        <v/>
      </c>
    </row>
    <row r="1307" spans="1:21" x14ac:dyDescent="0.2">
      <c r="A1307" s="38">
        <v>41039</v>
      </c>
      <c r="B1307" s="4">
        <v>0.25396800000000003</v>
      </c>
      <c r="C1307" s="4">
        <v>0.32539699999999999</v>
      </c>
      <c r="D1307" s="4">
        <v>0.42063499999999998</v>
      </c>
      <c r="E1307" s="50">
        <v>1</v>
      </c>
      <c r="F1307" s="50">
        <v>0.33848275</v>
      </c>
      <c r="G1307" s="50">
        <v>-0.16666700000000001</v>
      </c>
      <c r="H1307" s="50">
        <v>0.38490743662900001</v>
      </c>
      <c r="I1307" s="50">
        <v>0.48829287047999997</v>
      </c>
      <c r="J1307" s="50">
        <v>0.28152200277799999</v>
      </c>
      <c r="K1307" s="50">
        <v>1415.32</v>
      </c>
      <c r="L1307" s="50">
        <v>1343.13</v>
      </c>
      <c r="M1307" s="50">
        <v>1354.58</v>
      </c>
      <c r="N1307" s="66">
        <f t="shared" si="160"/>
        <v>-2.1984674216362247E-2</v>
      </c>
      <c r="O1307" s="66">
        <f t="shared" si="161"/>
        <v>-2.912341832892839E-2</v>
      </c>
      <c r="P1307" s="4">
        <f t="shared" si="162"/>
        <v>-0.16666699999999995</v>
      </c>
      <c r="Q1307" s="4">
        <f t="shared" si="163"/>
        <v>-5.5375249999999987E-2</v>
      </c>
      <c r="R1307" s="66">
        <f t="shared" si="164"/>
        <v>-2.1984674216362247E-2</v>
      </c>
      <c r="S1307" s="66">
        <f t="shared" si="165"/>
        <v>-2.912341832892839E-2</v>
      </c>
      <c r="T1307" s="50" t="str">
        <f t="shared" si="166"/>
        <v/>
      </c>
      <c r="U1307" s="50" t="str">
        <f t="shared" si="167"/>
        <v/>
      </c>
    </row>
    <row r="1308" spans="1:21" x14ac:dyDescent="0.2">
      <c r="A1308" s="38">
        <v>41046</v>
      </c>
      <c r="B1308" s="4">
        <v>0.235821</v>
      </c>
      <c r="C1308" s="4">
        <v>0.30447800000000003</v>
      </c>
      <c r="D1308" s="4">
        <v>0.45970100000000003</v>
      </c>
      <c r="E1308" s="50">
        <v>1</v>
      </c>
      <c r="F1308" s="50">
        <v>0.31498025000000002</v>
      </c>
      <c r="G1308" s="50">
        <v>-0.22388</v>
      </c>
      <c r="H1308" s="50">
        <v>0.38490743662900001</v>
      </c>
      <c r="I1308" s="50">
        <v>0.48829287047999997</v>
      </c>
      <c r="J1308" s="50">
        <v>0.28152200277799999</v>
      </c>
      <c r="K1308" s="50">
        <v>1369.16</v>
      </c>
      <c r="L1308" s="50">
        <v>1324.79</v>
      </c>
      <c r="M1308" s="50">
        <v>1324.8</v>
      </c>
      <c r="N1308" s="66">
        <f t="shared" si="160"/>
        <v>-4.4836956521739548E-3</v>
      </c>
      <c r="O1308" s="66">
        <f t="shared" si="161"/>
        <v>-7.4879227053138934E-3</v>
      </c>
      <c r="P1308" s="4">
        <f t="shared" si="162"/>
        <v>-0.22388000000000002</v>
      </c>
      <c r="Q1308" s="4">
        <f t="shared" si="163"/>
        <v>-0.10469124999999999</v>
      </c>
      <c r="R1308" s="66">
        <f t="shared" si="164"/>
        <v>-4.4836956521739548E-3</v>
      </c>
      <c r="S1308" s="66">
        <f t="shared" si="165"/>
        <v>-7.4879227053138934E-3</v>
      </c>
      <c r="T1308" s="50" t="str">
        <f t="shared" si="166"/>
        <v/>
      </c>
      <c r="U1308" s="50" t="str">
        <f t="shared" si="167"/>
        <v/>
      </c>
    </row>
    <row r="1309" spans="1:21" x14ac:dyDescent="0.2">
      <c r="A1309" s="38">
        <v>41053</v>
      </c>
      <c r="B1309" s="4">
        <v>0.30468800000000001</v>
      </c>
      <c r="C1309" s="4">
        <v>0.30859399999999998</v>
      </c>
      <c r="D1309" s="4">
        <v>0.38671899999999998</v>
      </c>
      <c r="E1309" s="50">
        <v>1.0000009999999999</v>
      </c>
      <c r="F1309" s="50">
        <v>0.29997875000000002</v>
      </c>
      <c r="G1309" s="50">
        <v>-8.2031000000000007E-2</v>
      </c>
      <c r="H1309" s="50">
        <v>0.38490743662900001</v>
      </c>
      <c r="I1309" s="50">
        <v>0.48829287047999997</v>
      </c>
      <c r="J1309" s="50">
        <v>0.28152200277799999</v>
      </c>
      <c r="K1309" s="50">
        <v>1344.94</v>
      </c>
      <c r="L1309" s="50">
        <v>1291.98</v>
      </c>
      <c r="M1309" s="50">
        <v>1318.86</v>
      </c>
      <c r="N1309" s="66">
        <f t="shared" si="160"/>
        <v>-4.2005974857073263E-3</v>
      </c>
      <c r="O1309" s="66">
        <f t="shared" si="161"/>
        <v>2.7925632743430052E-2</v>
      </c>
      <c r="P1309" s="4">
        <f t="shared" si="162"/>
        <v>-8.2030999999999965E-2</v>
      </c>
      <c r="Q1309" s="4">
        <f t="shared" si="163"/>
        <v>-0.10080874999999997</v>
      </c>
      <c r="R1309" s="66">
        <f t="shared" si="164"/>
        <v>-4.2005974857073263E-3</v>
      </c>
      <c r="S1309" s="66">
        <f t="shared" si="165"/>
        <v>2.7925632743430052E-2</v>
      </c>
      <c r="T1309" s="50" t="str">
        <f t="shared" si="166"/>
        <v/>
      </c>
      <c r="U1309" s="50">
        <f t="shared" si="167"/>
        <v>1</v>
      </c>
    </row>
    <row r="1310" spans="1:21" x14ac:dyDescent="0.2">
      <c r="A1310" s="38">
        <v>41060</v>
      </c>
      <c r="B1310" s="4">
        <v>0.28015600000000002</v>
      </c>
      <c r="C1310" s="4">
        <v>0.29961100000000002</v>
      </c>
      <c r="D1310" s="4">
        <v>0.42023300000000002</v>
      </c>
      <c r="E1310" s="50">
        <v>1</v>
      </c>
      <c r="F1310" s="50">
        <v>0.28728037499999998</v>
      </c>
      <c r="G1310" s="50">
        <v>-0.14007700000000001</v>
      </c>
      <c r="H1310" s="50">
        <v>0.38490743662900001</v>
      </c>
      <c r="I1310" s="50">
        <v>0.48829287047999997</v>
      </c>
      <c r="J1310" s="50">
        <v>0.28152200277799999</v>
      </c>
      <c r="K1310" s="50">
        <v>1334.93</v>
      </c>
      <c r="L1310" s="50">
        <v>1295.73</v>
      </c>
      <c r="M1310" s="50">
        <v>1313.32</v>
      </c>
      <c r="N1310" s="66">
        <f t="shared" si="160"/>
        <v>1.3781865805745537E-3</v>
      </c>
      <c r="O1310" s="66">
        <f t="shared" si="161"/>
        <v>1.4109280297261882E-2</v>
      </c>
      <c r="P1310" s="4">
        <f t="shared" si="162"/>
        <v>-0.14007700000000001</v>
      </c>
      <c r="Q1310" s="4">
        <f t="shared" si="163"/>
        <v>-0.15316374999999999</v>
      </c>
      <c r="R1310" s="66">
        <f t="shared" si="164"/>
        <v>1.3781865805745537E-3</v>
      </c>
      <c r="S1310" s="66">
        <f t="shared" si="165"/>
        <v>1.4109280297261882E-2</v>
      </c>
      <c r="T1310" s="50">
        <f t="shared" si="166"/>
        <v>1</v>
      </c>
      <c r="U1310" s="50">
        <f t="shared" si="167"/>
        <v>1</v>
      </c>
    </row>
    <row r="1311" spans="1:21" x14ac:dyDescent="0.2">
      <c r="A1311" s="38">
        <v>41067</v>
      </c>
      <c r="B1311" s="4">
        <v>0.27450999999999998</v>
      </c>
      <c r="C1311" s="4">
        <v>0.26797399999999999</v>
      </c>
      <c r="D1311" s="4">
        <v>0.45751599999999998</v>
      </c>
      <c r="E1311" s="50">
        <v>1</v>
      </c>
      <c r="F1311" s="50">
        <v>0.28642099999999998</v>
      </c>
      <c r="G1311" s="50">
        <v>-0.183006</v>
      </c>
      <c r="H1311" s="50">
        <v>0.38490743662900001</v>
      </c>
      <c r="I1311" s="50">
        <v>0.48829287047999997</v>
      </c>
      <c r="J1311" s="50">
        <v>0.28152200277799999</v>
      </c>
      <c r="K1311" s="50">
        <v>1334.93</v>
      </c>
      <c r="L1311" s="50">
        <v>1266.74</v>
      </c>
      <c r="M1311" s="50">
        <v>1315.13</v>
      </c>
      <c r="N1311" s="66">
        <f t="shared" si="160"/>
        <v>-1.90095275752207E-4</v>
      </c>
      <c r="O1311" s="66">
        <f t="shared" si="161"/>
        <v>4.4778843156189782E-2</v>
      </c>
      <c r="P1311" s="4">
        <f t="shared" si="162"/>
        <v>-0.183006</v>
      </c>
      <c r="Q1311" s="4">
        <f t="shared" si="163"/>
        <v>-0.15724850000000001</v>
      </c>
      <c r="R1311" s="66">
        <f t="shared" si="164"/>
        <v>-1.90095275752207E-4</v>
      </c>
      <c r="S1311" s="66">
        <f t="shared" si="165"/>
        <v>4.4778843156189782E-2</v>
      </c>
      <c r="T1311" s="50" t="str">
        <f t="shared" si="166"/>
        <v/>
      </c>
      <c r="U1311" s="50">
        <f t="shared" si="167"/>
        <v>1</v>
      </c>
    </row>
    <row r="1312" spans="1:21" x14ac:dyDescent="0.2">
      <c r="A1312" s="38">
        <v>41074</v>
      </c>
      <c r="B1312" s="4">
        <v>0.34035100000000001</v>
      </c>
      <c r="C1312" s="4">
        <v>0.30175400000000002</v>
      </c>
      <c r="D1312" s="4">
        <v>0.35789500000000002</v>
      </c>
      <c r="E1312" s="50">
        <v>1</v>
      </c>
      <c r="F1312" s="50">
        <v>0.28999150000000001</v>
      </c>
      <c r="G1312" s="50">
        <v>-1.7544000000000001E-2</v>
      </c>
      <c r="H1312" s="50">
        <v>0.38490743662900001</v>
      </c>
      <c r="I1312" s="50">
        <v>0.48829287047999997</v>
      </c>
      <c r="J1312" s="50">
        <v>0.28152200277799999</v>
      </c>
      <c r="K1312" s="50">
        <v>1335.52</v>
      </c>
      <c r="L1312" s="50">
        <v>1274.1600000000001</v>
      </c>
      <c r="M1312" s="50">
        <v>1314.88</v>
      </c>
      <c r="N1312" s="66">
        <f t="shared" si="160"/>
        <v>3.1037052810902851E-2</v>
      </c>
      <c r="O1312" s="66">
        <f t="shared" si="161"/>
        <v>2.0207167193964419E-2</v>
      </c>
      <c r="P1312" s="4">
        <f t="shared" si="162"/>
        <v>-1.7544000000000004E-2</v>
      </c>
      <c r="Q1312" s="4">
        <f t="shared" si="163"/>
        <v>-0.10566449999999999</v>
      </c>
      <c r="R1312" s="66">
        <f t="shared" si="164"/>
        <v>3.1037052810902851E-2</v>
      </c>
      <c r="S1312" s="66">
        <f t="shared" si="165"/>
        <v>2.0207167193964419E-2</v>
      </c>
      <c r="T1312" s="50">
        <f t="shared" si="166"/>
        <v>1</v>
      </c>
      <c r="U1312" s="50">
        <f t="shared" si="167"/>
        <v>1</v>
      </c>
    </row>
    <row r="1313" spans="1:21" x14ac:dyDescent="0.2">
      <c r="A1313" s="38">
        <v>41081</v>
      </c>
      <c r="B1313" s="4">
        <v>0.32890399999999997</v>
      </c>
      <c r="C1313" s="4">
        <v>0.31229200000000001</v>
      </c>
      <c r="D1313" s="4">
        <v>0.35880400000000001</v>
      </c>
      <c r="E1313" s="50">
        <v>1</v>
      </c>
      <c r="F1313" s="50">
        <v>0.29655162499999999</v>
      </c>
      <c r="G1313" s="50">
        <v>-2.9899999999999999E-2</v>
      </c>
      <c r="H1313" s="50">
        <v>0.38490743662900001</v>
      </c>
      <c r="I1313" s="50">
        <v>0.48829287047999997</v>
      </c>
      <c r="J1313" s="50">
        <v>0.28152200277799999</v>
      </c>
      <c r="K1313" s="50">
        <v>1363.46</v>
      </c>
      <c r="L1313" s="50">
        <v>1306.6199999999999</v>
      </c>
      <c r="M1313" s="50">
        <v>1355.69</v>
      </c>
      <c r="N1313" s="66">
        <f t="shared" si="160"/>
        <v>-1.7585141145837282E-2</v>
      </c>
      <c r="O1313" s="66">
        <f t="shared" si="161"/>
        <v>1.2606126769394122E-2</v>
      </c>
      <c r="P1313" s="4">
        <f t="shared" si="162"/>
        <v>-2.9900000000000038E-2</v>
      </c>
      <c r="Q1313" s="4">
        <f t="shared" si="163"/>
        <v>-9.2631750000000013E-2</v>
      </c>
      <c r="R1313" s="66">
        <f t="shared" si="164"/>
        <v>-1.7585141145837282E-2</v>
      </c>
      <c r="S1313" s="66">
        <f t="shared" si="165"/>
        <v>1.2606126769394122E-2</v>
      </c>
      <c r="T1313" s="50" t="str">
        <f t="shared" si="166"/>
        <v/>
      </c>
      <c r="U1313" s="50">
        <f t="shared" si="167"/>
        <v>1</v>
      </c>
    </row>
    <row r="1314" spans="1:21" x14ac:dyDescent="0.2">
      <c r="A1314" s="38">
        <v>41088</v>
      </c>
      <c r="B1314" s="4">
        <v>0.28668900000000003</v>
      </c>
      <c r="C1314" s="4">
        <v>0.269625</v>
      </c>
      <c r="D1314" s="4">
        <v>0.44368600000000002</v>
      </c>
      <c r="E1314" s="50">
        <v>1</v>
      </c>
      <c r="F1314" s="50">
        <v>0.28813587499999999</v>
      </c>
      <c r="G1314" s="50">
        <v>-0.156997</v>
      </c>
      <c r="H1314" s="50">
        <v>0.38490743662900001</v>
      </c>
      <c r="I1314" s="50">
        <v>0.48829287047999997</v>
      </c>
      <c r="J1314" s="50">
        <v>0.28152200277799999</v>
      </c>
      <c r="K1314" s="50">
        <v>1363.46</v>
      </c>
      <c r="L1314" s="50">
        <v>1309.27</v>
      </c>
      <c r="M1314" s="50">
        <v>1331.85</v>
      </c>
      <c r="N1314" s="66">
        <f t="shared" si="160"/>
        <v>3.1662724781319276E-2</v>
      </c>
      <c r="O1314" s="66">
        <f t="shared" si="161"/>
        <v>4.5350452378272264E-3</v>
      </c>
      <c r="P1314" s="4">
        <f t="shared" si="162"/>
        <v>-0.156997</v>
      </c>
      <c r="Q1314" s="4">
        <f t="shared" si="163"/>
        <v>-9.686175000000001E-2</v>
      </c>
      <c r="R1314" s="66">
        <f t="shared" si="164"/>
        <v>3.1662724781319276E-2</v>
      </c>
      <c r="S1314" s="66">
        <f t="shared" si="165"/>
        <v>4.5350452378272264E-3</v>
      </c>
      <c r="T1314" s="50">
        <f t="shared" si="166"/>
        <v>1</v>
      </c>
      <c r="U1314" s="50">
        <f t="shared" si="167"/>
        <v>1</v>
      </c>
    </row>
    <row r="1315" spans="1:21" x14ac:dyDescent="0.2">
      <c r="A1315" s="38">
        <v>41095</v>
      </c>
      <c r="B1315" s="4">
        <v>0.32640000000000002</v>
      </c>
      <c r="C1315" s="4">
        <v>0.34029999999999999</v>
      </c>
      <c r="D1315" s="4">
        <v>0.33329999999999999</v>
      </c>
      <c r="E1315" s="50">
        <v>1</v>
      </c>
      <c r="F1315" s="50">
        <v>0.29718987499999999</v>
      </c>
      <c r="G1315" s="50">
        <v>-6.8999999999999999E-3</v>
      </c>
      <c r="H1315" s="50">
        <v>0.38490743662900001</v>
      </c>
      <c r="I1315" s="50">
        <v>0.48829287047999997</v>
      </c>
      <c r="J1315" s="50">
        <v>0.28152200277799999</v>
      </c>
      <c r="K1315" s="50">
        <v>1374.81</v>
      </c>
      <c r="L1315" s="50">
        <v>1313.29</v>
      </c>
      <c r="M1315" s="50">
        <v>1374.02</v>
      </c>
      <c r="N1315" s="66">
        <f t="shared" si="160"/>
        <v>-2.3704167333808777E-2</v>
      </c>
      <c r="O1315" s="66">
        <f t="shared" si="161"/>
        <v>8.151264173739234E-4</v>
      </c>
      <c r="P1315" s="4">
        <f t="shared" si="162"/>
        <v>-6.8999999999999617E-3</v>
      </c>
      <c r="Q1315" s="4">
        <f t="shared" si="163"/>
        <v>-5.283525E-2</v>
      </c>
      <c r="R1315" s="66">
        <f t="shared" si="164"/>
        <v>-2.3704167333808777E-2</v>
      </c>
      <c r="S1315" s="66">
        <f t="shared" si="165"/>
        <v>8.151264173739234E-4</v>
      </c>
      <c r="T1315" s="50" t="str">
        <f t="shared" si="166"/>
        <v/>
      </c>
      <c r="U1315" s="50">
        <f t="shared" si="167"/>
        <v>1</v>
      </c>
    </row>
    <row r="1316" spans="1:21" x14ac:dyDescent="0.2">
      <c r="A1316" s="38">
        <v>41102</v>
      </c>
      <c r="B1316" s="4">
        <v>0.30225099999999999</v>
      </c>
      <c r="C1316" s="4">
        <v>0.35048200000000002</v>
      </c>
      <c r="D1316" s="4">
        <v>0.34726699999999999</v>
      </c>
      <c r="E1316" s="50">
        <v>1</v>
      </c>
      <c r="F1316" s="50">
        <v>0.30549362499999999</v>
      </c>
      <c r="G1316" s="50">
        <v>-4.5016E-2</v>
      </c>
      <c r="H1316" s="50">
        <v>0.38490743662900001</v>
      </c>
      <c r="I1316" s="50">
        <v>0.48829287047999997</v>
      </c>
      <c r="J1316" s="50">
        <v>0.28152200277799999</v>
      </c>
      <c r="K1316" s="50">
        <v>1374.81</v>
      </c>
      <c r="L1316" s="50">
        <v>1333.25</v>
      </c>
      <c r="M1316" s="50">
        <v>1341.45</v>
      </c>
      <c r="N1316" s="66">
        <f t="shared" si="160"/>
        <v>2.3355324462335476E-2</v>
      </c>
      <c r="O1316" s="66">
        <f t="shared" si="161"/>
        <v>4.5301725744530161E-2</v>
      </c>
      <c r="P1316" s="4">
        <f t="shared" si="162"/>
        <v>-4.5016E-2</v>
      </c>
      <c r="Q1316" s="4">
        <f t="shared" si="163"/>
        <v>-5.9703249999999999E-2</v>
      </c>
      <c r="R1316" s="66">
        <f t="shared" si="164"/>
        <v>2.3355324462335476E-2</v>
      </c>
      <c r="S1316" s="66">
        <f t="shared" si="165"/>
        <v>4.5301725744530161E-2</v>
      </c>
      <c r="T1316" s="50">
        <f t="shared" si="166"/>
        <v>1</v>
      </c>
      <c r="U1316" s="50">
        <f t="shared" si="167"/>
        <v>1</v>
      </c>
    </row>
    <row r="1317" spans="1:21" x14ac:dyDescent="0.2">
      <c r="A1317" s="38">
        <v>41109</v>
      </c>
      <c r="B1317" s="4">
        <v>0.22189999999999999</v>
      </c>
      <c r="C1317" s="4">
        <v>0.36023100000000002</v>
      </c>
      <c r="D1317" s="4">
        <v>0.41786699999999999</v>
      </c>
      <c r="E1317" s="50">
        <v>0.99999800000000005</v>
      </c>
      <c r="F1317" s="50">
        <v>0.29514512500000001</v>
      </c>
      <c r="G1317" s="50">
        <v>-0.195967</v>
      </c>
      <c r="H1317" s="50">
        <v>0.38490743662900001</v>
      </c>
      <c r="I1317" s="50">
        <v>0.48829287047999997</v>
      </c>
      <c r="J1317" s="50">
        <v>0.28152200277799999</v>
      </c>
      <c r="K1317" s="50">
        <v>1375.26</v>
      </c>
      <c r="L1317" s="50">
        <v>1325.41</v>
      </c>
      <c r="M1317" s="50">
        <v>1372.78</v>
      </c>
      <c r="N1317" s="66">
        <f t="shared" si="160"/>
        <v>-2.5415580063812025E-2</v>
      </c>
      <c r="O1317" s="66">
        <f t="shared" si="161"/>
        <v>2.3856699543991024E-2</v>
      </c>
      <c r="P1317" s="4">
        <f t="shared" si="162"/>
        <v>-0.195967</v>
      </c>
      <c r="Q1317" s="4">
        <f t="shared" si="163"/>
        <v>-0.10121999999999999</v>
      </c>
      <c r="R1317" s="66">
        <f t="shared" si="164"/>
        <v>-2.5415580063812025E-2</v>
      </c>
      <c r="S1317" s="66">
        <f t="shared" si="165"/>
        <v>2.3856699543991024E-2</v>
      </c>
      <c r="T1317" s="50" t="str">
        <f t="shared" si="166"/>
        <v/>
      </c>
      <c r="U1317" s="50">
        <f t="shared" si="167"/>
        <v>1</v>
      </c>
    </row>
    <row r="1318" spans="1:21" x14ac:dyDescent="0.2">
      <c r="A1318" s="38">
        <v>41116</v>
      </c>
      <c r="B1318" s="4">
        <v>0.28115000000000001</v>
      </c>
      <c r="C1318" s="4">
        <v>0.28754000000000002</v>
      </c>
      <c r="D1318" s="4">
        <v>0.43131000000000003</v>
      </c>
      <c r="E1318" s="50">
        <v>1</v>
      </c>
      <c r="F1318" s="50">
        <v>0.295269375</v>
      </c>
      <c r="G1318" s="50">
        <v>-0.15015999999999999</v>
      </c>
      <c r="H1318" s="50">
        <v>0.38490743662900001</v>
      </c>
      <c r="I1318" s="50">
        <v>0.48829287047999997</v>
      </c>
      <c r="J1318" s="50">
        <v>0.28152200277799999</v>
      </c>
      <c r="K1318" s="50">
        <v>1380.39</v>
      </c>
      <c r="L1318" s="50">
        <v>1329.24</v>
      </c>
      <c r="M1318" s="50">
        <v>1337.89</v>
      </c>
      <c r="N1318" s="66">
        <f t="shared" si="160"/>
        <v>2.784234877306804E-2</v>
      </c>
      <c r="O1318" s="66">
        <f t="shared" si="161"/>
        <v>5.6506887711246741E-2</v>
      </c>
      <c r="P1318" s="4">
        <f t="shared" si="162"/>
        <v>-0.15016000000000002</v>
      </c>
      <c r="Q1318" s="4">
        <f t="shared" si="163"/>
        <v>-9.9510749999999995E-2</v>
      </c>
      <c r="R1318" s="66">
        <f t="shared" si="164"/>
        <v>2.784234877306804E-2</v>
      </c>
      <c r="S1318" s="66">
        <f t="shared" si="165"/>
        <v>5.6506887711246741E-2</v>
      </c>
      <c r="T1318" s="50">
        <f t="shared" si="166"/>
        <v>1</v>
      </c>
      <c r="U1318" s="50">
        <f t="shared" si="167"/>
        <v>1</v>
      </c>
    </row>
    <row r="1319" spans="1:21" x14ac:dyDescent="0.2">
      <c r="A1319" s="38">
        <v>41123</v>
      </c>
      <c r="B1319" s="4">
        <v>0.30447800000000003</v>
      </c>
      <c r="C1319" s="4">
        <v>0.34626899999999999</v>
      </c>
      <c r="D1319" s="4">
        <v>0.34925400000000001</v>
      </c>
      <c r="E1319" s="50">
        <v>1.0000009999999999</v>
      </c>
      <c r="F1319" s="50">
        <v>0.29901537500000003</v>
      </c>
      <c r="G1319" s="50">
        <v>-4.4776000000000003E-2</v>
      </c>
      <c r="H1319" s="50">
        <v>0.38490743662900001</v>
      </c>
      <c r="I1319" s="50">
        <v>0.48829287047999997</v>
      </c>
      <c r="J1319" s="50">
        <v>0.28152200277799999</v>
      </c>
      <c r="K1319" s="50">
        <v>1391.74</v>
      </c>
      <c r="L1319" s="50">
        <v>1329.24</v>
      </c>
      <c r="M1319" s="50">
        <v>1375.14</v>
      </c>
      <c r="N1319" s="66">
        <f t="shared" si="160"/>
        <v>1.9692540395886911E-2</v>
      </c>
      <c r="O1319" s="66">
        <f t="shared" si="161"/>
        <v>2.5706473522695804E-2</v>
      </c>
      <c r="P1319" s="4">
        <f t="shared" si="162"/>
        <v>-4.4775999999999982E-2</v>
      </c>
      <c r="Q1319" s="4">
        <f t="shared" si="163"/>
        <v>-0.10897975</v>
      </c>
      <c r="R1319" s="66">
        <f t="shared" si="164"/>
        <v>1.9692540395886911E-2</v>
      </c>
      <c r="S1319" s="66">
        <f t="shared" si="165"/>
        <v>2.5706473522695804E-2</v>
      </c>
      <c r="T1319" s="50">
        <f t="shared" si="166"/>
        <v>1</v>
      </c>
      <c r="U1319" s="50">
        <f t="shared" si="167"/>
        <v>1</v>
      </c>
    </row>
    <row r="1320" spans="1:21" x14ac:dyDescent="0.2">
      <c r="A1320" s="38">
        <v>41130</v>
      </c>
      <c r="B1320" s="4">
        <v>0.36470599999999997</v>
      </c>
      <c r="C1320" s="4">
        <v>0.361765</v>
      </c>
      <c r="D1320" s="4">
        <v>0.27352900000000002</v>
      </c>
      <c r="E1320" s="50">
        <v>1</v>
      </c>
      <c r="F1320" s="50">
        <v>0.30205975000000002</v>
      </c>
      <c r="G1320" s="50">
        <v>9.1176999999999994E-2</v>
      </c>
      <c r="H1320" s="50">
        <v>0.38490743662900001</v>
      </c>
      <c r="I1320" s="50">
        <v>0.48829287047999997</v>
      </c>
      <c r="J1320" s="50">
        <v>0.28152200277799999</v>
      </c>
      <c r="K1320" s="50">
        <v>1407.14</v>
      </c>
      <c r="L1320" s="50">
        <v>1354.65</v>
      </c>
      <c r="M1320" s="50">
        <v>1402.22</v>
      </c>
      <c r="N1320" s="66">
        <f t="shared" si="160"/>
        <v>2.3605425682132228E-3</v>
      </c>
      <c r="O1320" s="66">
        <f t="shared" si="161"/>
        <v>8.7004892242303433E-4</v>
      </c>
      <c r="P1320" s="4">
        <f t="shared" si="162"/>
        <v>9.1176999999999953E-2</v>
      </c>
      <c r="Q1320" s="4">
        <f t="shared" si="163"/>
        <v>-7.4931500000000012E-2</v>
      </c>
      <c r="R1320" s="66">
        <f t="shared" si="164"/>
        <v>2.3605425682132228E-3</v>
      </c>
      <c r="S1320" s="66">
        <f t="shared" si="165"/>
        <v>8.7004892242303433E-4</v>
      </c>
      <c r="T1320" s="50">
        <f t="shared" si="166"/>
        <v>1</v>
      </c>
      <c r="U1320" s="50">
        <f t="shared" si="167"/>
        <v>1</v>
      </c>
    </row>
    <row r="1321" spans="1:21" x14ac:dyDescent="0.2">
      <c r="A1321" s="38">
        <v>41137</v>
      </c>
      <c r="B1321" s="4">
        <v>0.368421</v>
      </c>
      <c r="C1321" s="4">
        <v>0.35087699999999999</v>
      </c>
      <c r="D1321" s="4">
        <v>0.28070200000000001</v>
      </c>
      <c r="E1321" s="50">
        <v>1</v>
      </c>
      <c r="F1321" s="50">
        <v>0.30699937500000002</v>
      </c>
      <c r="G1321" s="50">
        <v>8.7719000000000005E-2</v>
      </c>
      <c r="H1321" s="50">
        <v>0.38490743662900001</v>
      </c>
      <c r="I1321" s="50">
        <v>0.48829287047999997</v>
      </c>
      <c r="J1321" s="50">
        <v>0.28152200277799999</v>
      </c>
      <c r="K1321" s="50">
        <v>1410.03</v>
      </c>
      <c r="L1321" s="50">
        <v>1394.46</v>
      </c>
      <c r="M1321" s="50">
        <v>1405.53</v>
      </c>
      <c r="N1321" s="66">
        <f t="shared" si="160"/>
        <v>5.663344076611696E-3</v>
      </c>
      <c r="O1321" s="66">
        <f t="shared" si="161"/>
        <v>2.2077081243374368E-2</v>
      </c>
      <c r="P1321" s="4">
        <f t="shared" si="162"/>
        <v>8.7718999999999991E-2</v>
      </c>
      <c r="Q1321" s="4">
        <f t="shared" si="163"/>
        <v>-4.0100000000000136E-3</v>
      </c>
      <c r="R1321" s="66">
        <f t="shared" si="164"/>
        <v>5.663344076611696E-3</v>
      </c>
      <c r="S1321" s="66">
        <f t="shared" si="165"/>
        <v>2.2077081243374368E-2</v>
      </c>
      <c r="T1321" s="50">
        <f t="shared" si="166"/>
        <v>1</v>
      </c>
      <c r="U1321" s="50">
        <f t="shared" si="167"/>
        <v>1</v>
      </c>
    </row>
    <row r="1322" spans="1:21" x14ac:dyDescent="0.2">
      <c r="A1322" s="38">
        <v>41144</v>
      </c>
      <c r="B1322" s="4">
        <v>0.41958000000000001</v>
      </c>
      <c r="C1322" s="4">
        <v>0.32167800000000002</v>
      </c>
      <c r="D1322" s="4">
        <v>0.258741</v>
      </c>
      <c r="E1322" s="50">
        <v>0.99999899999999997</v>
      </c>
      <c r="F1322" s="50">
        <v>0.32361075</v>
      </c>
      <c r="G1322" s="50">
        <v>0.16083900000000001</v>
      </c>
      <c r="H1322" s="50">
        <v>0.38490743662900001</v>
      </c>
      <c r="I1322" s="50">
        <v>0.48829287047999997</v>
      </c>
      <c r="J1322" s="50">
        <v>0.28152200277799999</v>
      </c>
      <c r="K1322" s="50">
        <v>1426.68</v>
      </c>
      <c r="L1322" s="50">
        <v>1400.6</v>
      </c>
      <c r="M1322" s="50">
        <v>1413.49</v>
      </c>
      <c r="N1322" s="66">
        <f t="shared" si="160"/>
        <v>-2.1224062427042285E-3</v>
      </c>
      <c r="O1322" s="66">
        <f t="shared" si="161"/>
        <v>3.3647213634337661E-2</v>
      </c>
      <c r="P1322" s="4">
        <f t="shared" si="162"/>
        <v>0.16083900000000001</v>
      </c>
      <c r="Q1322" s="4">
        <f t="shared" si="163"/>
        <v>7.3739749999999993E-2</v>
      </c>
      <c r="R1322" s="66">
        <f t="shared" si="164"/>
        <v>-2.1224062427042285E-3</v>
      </c>
      <c r="S1322" s="66">
        <f t="shared" si="165"/>
        <v>3.3647213634337661E-2</v>
      </c>
      <c r="T1322" s="50" t="str">
        <f t="shared" si="166"/>
        <v/>
      </c>
      <c r="U1322" s="50">
        <f t="shared" si="167"/>
        <v>1</v>
      </c>
    </row>
    <row r="1323" spans="1:21" x14ac:dyDescent="0.2">
      <c r="A1323" s="38">
        <v>41151</v>
      </c>
      <c r="B1323" s="4">
        <v>0.34722199999999998</v>
      </c>
      <c r="C1323" s="4">
        <v>0.32638899999999998</v>
      </c>
      <c r="D1323" s="4">
        <v>0.32638899999999998</v>
      </c>
      <c r="E1323" s="50">
        <v>1</v>
      </c>
      <c r="F1323" s="50">
        <v>0.32621349999999999</v>
      </c>
      <c r="G1323" s="50">
        <v>2.0833000000000001E-2</v>
      </c>
      <c r="H1323" s="50">
        <v>0.38490743662900001</v>
      </c>
      <c r="I1323" s="50">
        <v>0.48829287047999997</v>
      </c>
      <c r="J1323" s="50">
        <v>0.28152200277799999</v>
      </c>
      <c r="K1323" s="50">
        <v>1426.68</v>
      </c>
      <c r="L1323" s="50">
        <v>1398.04</v>
      </c>
      <c r="M1323" s="50">
        <v>1410.49</v>
      </c>
      <c r="N1323" s="66">
        <f t="shared" si="160"/>
        <v>-4.9982630149805777E-3</v>
      </c>
      <c r="O1323" s="66">
        <f t="shared" si="161"/>
        <v>1.6185864486809497E-2</v>
      </c>
      <c r="P1323" s="4">
        <f t="shared" si="162"/>
        <v>2.083299999999999E-2</v>
      </c>
      <c r="Q1323" s="4">
        <f t="shared" si="163"/>
        <v>9.0141999999999986E-2</v>
      </c>
      <c r="R1323" s="66">
        <f t="shared" si="164"/>
        <v>-4.9982630149805777E-3</v>
      </c>
      <c r="S1323" s="66">
        <f t="shared" si="165"/>
        <v>1.6185864486809497E-2</v>
      </c>
      <c r="T1323" s="50" t="str">
        <f t="shared" si="166"/>
        <v/>
      </c>
      <c r="U1323" s="50">
        <f t="shared" si="167"/>
        <v>1</v>
      </c>
    </row>
    <row r="1324" spans="1:21" x14ac:dyDescent="0.2">
      <c r="A1324" s="38">
        <v>41158</v>
      </c>
      <c r="B1324" s="4">
        <v>0.33057900000000001</v>
      </c>
      <c r="C1324" s="4">
        <v>0.33884300000000001</v>
      </c>
      <c r="D1324" s="4">
        <v>0.33057900000000001</v>
      </c>
      <c r="E1324" s="50">
        <v>1.0000009999999999</v>
      </c>
      <c r="F1324" s="50">
        <v>0.32975450000000001</v>
      </c>
      <c r="G1324" s="50">
        <v>0</v>
      </c>
      <c r="H1324" s="50">
        <v>0.38490743662900001</v>
      </c>
      <c r="I1324" s="50">
        <v>0.48829287047999997</v>
      </c>
      <c r="J1324" s="50">
        <v>0.28152200277799999</v>
      </c>
      <c r="K1324" s="50">
        <v>1416.17</v>
      </c>
      <c r="L1324" s="50">
        <v>1396.56</v>
      </c>
      <c r="M1324" s="50">
        <v>1403.44</v>
      </c>
      <c r="N1324" s="66">
        <f t="shared" si="160"/>
        <v>2.3599156358661496E-2</v>
      </c>
      <c r="O1324" s="66">
        <f t="shared" si="161"/>
        <v>3.3881035170723335E-2</v>
      </c>
      <c r="P1324" s="4">
        <f t="shared" si="162"/>
        <v>0</v>
      </c>
      <c r="Q1324" s="4">
        <f t="shared" si="163"/>
        <v>6.7347749999999998E-2</v>
      </c>
      <c r="R1324" s="66">
        <f t="shared" si="164"/>
        <v>2.3599156358661496E-2</v>
      </c>
      <c r="S1324" s="66">
        <f t="shared" si="165"/>
        <v>3.3881035170723335E-2</v>
      </c>
      <c r="T1324" s="50">
        <f t="shared" si="166"/>
        <v>1</v>
      </c>
      <c r="U1324" s="50">
        <f t="shared" si="167"/>
        <v>1</v>
      </c>
    </row>
    <row r="1325" spans="1:21" x14ac:dyDescent="0.2">
      <c r="A1325" s="38">
        <v>41165</v>
      </c>
      <c r="B1325" s="4">
        <v>0.36458299999999999</v>
      </c>
      <c r="C1325" s="4">
        <v>0.30555599999999999</v>
      </c>
      <c r="D1325" s="4">
        <v>0.32986100000000002</v>
      </c>
      <c r="E1325" s="50">
        <v>1</v>
      </c>
      <c r="F1325" s="50">
        <v>0.34758987499999999</v>
      </c>
      <c r="G1325" s="50">
        <v>3.4722000000000003E-2</v>
      </c>
      <c r="H1325" s="50">
        <v>0.38490743662900001</v>
      </c>
      <c r="I1325" s="50">
        <v>0.48829287047999997</v>
      </c>
      <c r="J1325" s="50">
        <v>0.28152200277799999</v>
      </c>
      <c r="K1325" s="50">
        <v>1439.15</v>
      </c>
      <c r="L1325" s="50">
        <v>1396.56</v>
      </c>
      <c r="M1325" s="50">
        <v>1436.56</v>
      </c>
      <c r="N1325" s="66">
        <f t="shared" si="160"/>
        <v>1.7047669432533281E-2</v>
      </c>
      <c r="O1325" s="66">
        <f t="shared" si="161"/>
        <v>-2.7844294704015148E-3</v>
      </c>
      <c r="P1325" s="4">
        <f t="shared" si="162"/>
        <v>3.4721999999999975E-2</v>
      </c>
      <c r="Q1325" s="4">
        <f t="shared" si="163"/>
        <v>5.4098499999999994E-2</v>
      </c>
      <c r="R1325" s="66">
        <f t="shared" si="164"/>
        <v>1.7047669432533281E-2</v>
      </c>
      <c r="S1325" s="66">
        <f t="shared" si="165"/>
        <v>-2.7844294704015148E-3</v>
      </c>
      <c r="T1325" s="50">
        <f t="shared" si="166"/>
        <v>1</v>
      </c>
      <c r="U1325" s="50" t="str">
        <f t="shared" si="167"/>
        <v/>
      </c>
    </row>
    <row r="1326" spans="1:21" x14ac:dyDescent="0.2">
      <c r="A1326" s="38">
        <v>41172</v>
      </c>
      <c r="B1326" s="4">
        <v>0.375</v>
      </c>
      <c r="C1326" s="4">
        <v>0.28716199999999997</v>
      </c>
      <c r="D1326" s="4">
        <v>0.33783800000000003</v>
      </c>
      <c r="E1326" s="50">
        <v>1</v>
      </c>
      <c r="F1326" s="50">
        <v>0.35932112500000002</v>
      </c>
      <c r="G1326" s="50">
        <v>3.7162000000000001E-2</v>
      </c>
      <c r="H1326" s="50">
        <v>0.38490743662900001</v>
      </c>
      <c r="I1326" s="50">
        <v>0.48829287047999997</v>
      </c>
      <c r="J1326" s="50">
        <v>0.28152200277799999</v>
      </c>
      <c r="K1326" s="50">
        <v>1474.51</v>
      </c>
      <c r="L1326" s="50">
        <v>1429.13</v>
      </c>
      <c r="M1326" s="50">
        <v>1461.05</v>
      </c>
      <c r="N1326" s="66">
        <f t="shared" si="160"/>
        <v>-1.8979501043769904E-2</v>
      </c>
      <c r="O1326" s="66">
        <f t="shared" si="161"/>
        <v>-9.5821498237481725E-5</v>
      </c>
      <c r="P1326" s="4">
        <f t="shared" si="162"/>
        <v>3.7161999999999973E-2</v>
      </c>
      <c r="Q1326" s="4">
        <f t="shared" si="163"/>
        <v>2.3179249999999985E-2</v>
      </c>
      <c r="R1326" s="66">
        <f t="shared" si="164"/>
        <v>-1.8979501043769904E-2</v>
      </c>
      <c r="S1326" s="66">
        <f t="shared" si="165"/>
        <v>-9.5821498237481725E-5</v>
      </c>
      <c r="T1326" s="50" t="str">
        <f t="shared" si="166"/>
        <v/>
      </c>
      <c r="U1326" s="50" t="str">
        <f t="shared" si="167"/>
        <v/>
      </c>
    </row>
    <row r="1327" spans="1:21" x14ac:dyDescent="0.2">
      <c r="A1327" s="38">
        <v>41179</v>
      </c>
      <c r="B1327" s="4">
        <v>0.36101100000000003</v>
      </c>
      <c r="C1327" s="4">
        <v>0.274368</v>
      </c>
      <c r="D1327" s="4">
        <v>0.36462099999999997</v>
      </c>
      <c r="E1327" s="50">
        <v>1</v>
      </c>
      <c r="F1327" s="50">
        <v>0.36638775000000001</v>
      </c>
      <c r="G1327" s="50">
        <v>-3.6099999999999999E-3</v>
      </c>
      <c r="H1327" s="50">
        <v>0.38490743662900001</v>
      </c>
      <c r="I1327" s="50">
        <v>0.48829287047999997</v>
      </c>
      <c r="J1327" s="50">
        <v>0.28152200277799999</v>
      </c>
      <c r="K1327" s="50">
        <v>1467.07</v>
      </c>
      <c r="L1327" s="50">
        <v>1430.53</v>
      </c>
      <c r="M1327" s="50">
        <v>1433.32</v>
      </c>
      <c r="N1327" s="66">
        <f t="shared" si="160"/>
        <v>1.2328021656015455E-2</v>
      </c>
      <c r="O1327" s="66">
        <f t="shared" si="161"/>
        <v>-1.7142019925766708E-2</v>
      </c>
      <c r="P1327" s="4">
        <f t="shared" si="162"/>
        <v>-3.6099999999999466E-3</v>
      </c>
      <c r="Q1327" s="4">
        <f t="shared" si="163"/>
        <v>1.70685E-2</v>
      </c>
      <c r="R1327" s="66">
        <f t="shared" si="164"/>
        <v>1.2328021656015455E-2</v>
      </c>
      <c r="S1327" s="66">
        <f t="shared" si="165"/>
        <v>-1.7142019925766708E-2</v>
      </c>
      <c r="T1327" s="50">
        <f t="shared" si="166"/>
        <v>1</v>
      </c>
      <c r="U1327" s="50" t="str">
        <f t="shared" si="167"/>
        <v/>
      </c>
    </row>
    <row r="1328" spans="1:21" x14ac:dyDescent="0.2">
      <c r="A1328" s="38">
        <v>41186</v>
      </c>
      <c r="B1328" s="4">
        <v>0.33860800000000002</v>
      </c>
      <c r="C1328" s="4">
        <v>0.32911400000000002</v>
      </c>
      <c r="D1328" s="4">
        <v>0.33227800000000002</v>
      </c>
      <c r="E1328" s="50">
        <v>1</v>
      </c>
      <c r="F1328" s="50">
        <v>0.36312549999999999</v>
      </c>
      <c r="G1328" s="50">
        <v>6.3299999999999997E-3</v>
      </c>
      <c r="H1328" s="50">
        <v>0.38490743662900001</v>
      </c>
      <c r="I1328" s="50">
        <v>0.48829287047999997</v>
      </c>
      <c r="J1328" s="50">
        <v>0.28152200277799999</v>
      </c>
      <c r="K1328" s="50">
        <v>1463.24</v>
      </c>
      <c r="L1328" s="50">
        <v>1430.53</v>
      </c>
      <c r="M1328" s="50">
        <v>1450.99</v>
      </c>
      <c r="N1328" s="66">
        <f t="shared" si="160"/>
        <v>-1.2701672651086543E-2</v>
      </c>
      <c r="O1328" s="66">
        <f t="shared" si="161"/>
        <v>-2.6761039014741608E-2</v>
      </c>
      <c r="P1328" s="4">
        <f t="shared" si="162"/>
        <v>6.3300000000000023E-3</v>
      </c>
      <c r="Q1328" s="4">
        <f t="shared" si="163"/>
        <v>1.8651000000000001E-2</v>
      </c>
      <c r="R1328" s="66">
        <f t="shared" si="164"/>
        <v>-1.2701672651086543E-2</v>
      </c>
      <c r="S1328" s="66">
        <f t="shared" si="165"/>
        <v>-2.6761039014741608E-2</v>
      </c>
      <c r="T1328" s="50" t="str">
        <f t="shared" si="166"/>
        <v/>
      </c>
      <c r="U1328" s="50" t="str">
        <f t="shared" si="167"/>
        <v/>
      </c>
    </row>
    <row r="1329" spans="1:21" x14ac:dyDescent="0.2">
      <c r="A1329" s="38">
        <v>41193</v>
      </c>
      <c r="B1329" s="4">
        <v>0.305755</v>
      </c>
      <c r="C1329" s="4">
        <v>0.305755</v>
      </c>
      <c r="D1329" s="4">
        <v>0.38848899999999997</v>
      </c>
      <c r="E1329" s="50">
        <v>0.99999899999999997</v>
      </c>
      <c r="F1329" s="50">
        <v>0.35529224999999998</v>
      </c>
      <c r="G1329" s="50">
        <v>-8.2734000000000002E-2</v>
      </c>
      <c r="H1329" s="50">
        <v>0.38490743662900001</v>
      </c>
      <c r="I1329" s="50">
        <v>0.48829287047999997</v>
      </c>
      <c r="J1329" s="50">
        <v>0.28152200277799999</v>
      </c>
      <c r="K1329" s="50">
        <v>1470.96</v>
      </c>
      <c r="L1329" s="50">
        <v>1430.64</v>
      </c>
      <c r="M1329" s="50">
        <v>1432.56</v>
      </c>
      <c r="N1329" s="66">
        <f t="shared" si="160"/>
        <v>1.9789747026302658E-2</v>
      </c>
      <c r="O1329" s="66">
        <f t="shared" si="161"/>
        <v>-2.6546881107946594E-2</v>
      </c>
      <c r="P1329" s="4">
        <f t="shared" si="162"/>
        <v>-8.2733999999999974E-2</v>
      </c>
      <c r="Q1329" s="4">
        <f t="shared" si="163"/>
        <v>-1.0712999999999986E-2</v>
      </c>
      <c r="R1329" s="66">
        <f t="shared" si="164"/>
        <v>1.9789747026302658E-2</v>
      </c>
      <c r="S1329" s="66">
        <f t="shared" si="165"/>
        <v>-2.6546881107946594E-2</v>
      </c>
      <c r="T1329" s="50">
        <f t="shared" si="166"/>
        <v>1</v>
      </c>
      <c r="U1329" s="50" t="str">
        <f t="shared" si="167"/>
        <v/>
      </c>
    </row>
    <row r="1330" spans="1:21" x14ac:dyDescent="0.2">
      <c r="A1330" s="38">
        <v>41200</v>
      </c>
      <c r="B1330" s="4">
        <v>0.28660400000000003</v>
      </c>
      <c r="C1330" s="4">
        <v>0.26791300000000001</v>
      </c>
      <c r="D1330" s="4">
        <v>0.44548300000000002</v>
      </c>
      <c r="E1330" s="50">
        <v>1</v>
      </c>
      <c r="F1330" s="50">
        <v>0.33867025000000001</v>
      </c>
      <c r="G1330" s="50">
        <v>-0.15887899999999999</v>
      </c>
      <c r="H1330" s="50">
        <v>0.38490743662900001</v>
      </c>
      <c r="I1330" s="50">
        <v>0.48829287047999997</v>
      </c>
      <c r="J1330" s="50">
        <v>0.28152200277799999</v>
      </c>
      <c r="K1330" s="50">
        <v>1462.2</v>
      </c>
      <c r="L1330" s="50">
        <v>1425.53</v>
      </c>
      <c r="M1330" s="50">
        <v>1460.91</v>
      </c>
      <c r="N1330" s="66">
        <f t="shared" si="160"/>
        <v>-3.5703773675312016E-2</v>
      </c>
      <c r="O1330" s="66">
        <f t="shared" si="161"/>
        <v>-7.2160502700371734E-2</v>
      </c>
      <c r="P1330" s="4">
        <f t="shared" si="162"/>
        <v>-0.15887899999999999</v>
      </c>
      <c r="Q1330" s="4">
        <f t="shared" si="163"/>
        <v>-5.9723249999999978E-2</v>
      </c>
      <c r="R1330" s="66">
        <f t="shared" si="164"/>
        <v>-3.5703773675312016E-2</v>
      </c>
      <c r="S1330" s="66">
        <f t="shared" si="165"/>
        <v>-7.2160502700371734E-2</v>
      </c>
      <c r="T1330" s="50" t="str">
        <f t="shared" si="166"/>
        <v/>
      </c>
      <c r="U1330" s="50" t="str">
        <f t="shared" si="167"/>
        <v/>
      </c>
    </row>
    <row r="1331" spans="1:21" x14ac:dyDescent="0.2">
      <c r="A1331" s="38">
        <v>41207</v>
      </c>
      <c r="B1331" s="4">
        <v>0.29245300000000002</v>
      </c>
      <c r="C1331" s="4">
        <v>0.27672999999999998</v>
      </c>
      <c r="D1331" s="4">
        <v>0.43081799999999998</v>
      </c>
      <c r="E1331" s="50">
        <v>1.0000009999999999</v>
      </c>
      <c r="F1331" s="50">
        <v>0.33182412500000003</v>
      </c>
      <c r="G1331" s="50">
        <v>-0.13836499999999999</v>
      </c>
      <c r="H1331" s="50">
        <v>0.38490743662900001</v>
      </c>
      <c r="I1331" s="50">
        <v>0.48829287047999997</v>
      </c>
      <c r="J1331" s="50">
        <v>0.28152200277799999</v>
      </c>
      <c r="K1331" s="50">
        <v>1464.02</v>
      </c>
      <c r="L1331" s="50">
        <v>1407.1</v>
      </c>
      <c r="M1331" s="50">
        <v>1408.75</v>
      </c>
      <c r="N1331" s="66">
        <f t="shared" si="160"/>
        <v>2.4205856255546279E-3</v>
      </c>
      <c r="O1331" s="66">
        <f t="shared" si="161"/>
        <v>-1.2578527062999133E-2</v>
      </c>
      <c r="P1331" s="4">
        <f t="shared" si="162"/>
        <v>-0.13836499999999996</v>
      </c>
      <c r="Q1331" s="4">
        <f t="shared" si="163"/>
        <v>-9.3411999999999981E-2</v>
      </c>
      <c r="R1331" s="66">
        <f t="shared" si="164"/>
        <v>2.4205856255546279E-3</v>
      </c>
      <c r="S1331" s="66">
        <f t="shared" si="165"/>
        <v>-1.2578527062999133E-2</v>
      </c>
      <c r="T1331" s="50">
        <f t="shared" si="166"/>
        <v>1</v>
      </c>
      <c r="U1331" s="50" t="str">
        <f t="shared" si="167"/>
        <v/>
      </c>
    </row>
    <row r="1332" spans="1:21" x14ac:dyDescent="0.2">
      <c r="A1332" s="38">
        <v>41214</v>
      </c>
      <c r="B1332" s="4">
        <v>0.357377</v>
      </c>
      <c r="C1332" s="4">
        <v>0.23278699999999999</v>
      </c>
      <c r="D1332" s="4">
        <v>0.40983599999999998</v>
      </c>
      <c r="E1332" s="50">
        <v>1</v>
      </c>
      <c r="F1332" s="50">
        <v>0.33517387500000001</v>
      </c>
      <c r="G1332" s="50">
        <v>-5.2458999999999999E-2</v>
      </c>
      <c r="H1332" s="50">
        <v>0.38490743662900001</v>
      </c>
      <c r="I1332" s="50">
        <v>0.48829287047999997</v>
      </c>
      <c r="J1332" s="50">
        <v>0.28152200277799999</v>
      </c>
      <c r="K1332" s="50">
        <v>1457.34</v>
      </c>
      <c r="L1332" s="50">
        <v>1403.28</v>
      </c>
      <c r="M1332" s="50">
        <v>1412.16</v>
      </c>
      <c r="N1332" s="66">
        <f t="shared" si="160"/>
        <v>-1.2484421028778685E-2</v>
      </c>
      <c r="O1332" s="66">
        <f t="shared" si="161"/>
        <v>-1.5791411738046808E-3</v>
      </c>
      <c r="P1332" s="4">
        <f t="shared" si="162"/>
        <v>-5.2458999999999978E-2</v>
      </c>
      <c r="Q1332" s="4">
        <f t="shared" si="163"/>
        <v>-0.10810924999999998</v>
      </c>
      <c r="R1332" s="66">
        <f t="shared" si="164"/>
        <v>-1.2484421028778685E-2</v>
      </c>
      <c r="S1332" s="66">
        <f t="shared" si="165"/>
        <v>-1.5791411738046808E-3</v>
      </c>
      <c r="T1332" s="50" t="str">
        <f t="shared" si="166"/>
        <v/>
      </c>
      <c r="U1332" s="50" t="str">
        <f t="shared" si="167"/>
        <v/>
      </c>
    </row>
    <row r="1333" spans="1:21" x14ac:dyDescent="0.2">
      <c r="A1333" s="38">
        <v>41221</v>
      </c>
      <c r="B1333" s="4">
        <v>0.38497700000000001</v>
      </c>
      <c r="C1333" s="4">
        <v>0.21596199999999999</v>
      </c>
      <c r="D1333" s="4">
        <v>0.399061</v>
      </c>
      <c r="E1333" s="50">
        <v>1</v>
      </c>
      <c r="F1333" s="50">
        <v>0.33772312500000001</v>
      </c>
      <c r="G1333" s="50">
        <v>-1.4083999999999999E-2</v>
      </c>
      <c r="H1333" s="50">
        <v>0.38490743662900001</v>
      </c>
      <c r="I1333" s="50">
        <v>0.48829287047999997</v>
      </c>
      <c r="J1333" s="50">
        <v>0.28152200277799999</v>
      </c>
      <c r="K1333" s="50">
        <v>1433.38</v>
      </c>
      <c r="L1333" s="50">
        <v>1388.14</v>
      </c>
      <c r="M1333" s="50">
        <v>1394.53</v>
      </c>
      <c r="N1333" s="66">
        <f t="shared" si="160"/>
        <v>-2.7995095121653865E-2</v>
      </c>
      <c r="O1333" s="66">
        <f t="shared" si="161"/>
        <v>1.0577040293145362E-2</v>
      </c>
      <c r="P1333" s="4">
        <f t="shared" si="162"/>
        <v>-1.4083999999999985E-2</v>
      </c>
      <c r="Q1333" s="4">
        <f t="shared" si="163"/>
        <v>-9.0946749999999979E-2</v>
      </c>
      <c r="R1333" s="66">
        <f t="shared" si="164"/>
        <v>-2.7995095121653865E-2</v>
      </c>
      <c r="S1333" s="66">
        <f t="shared" si="165"/>
        <v>1.0577040293145362E-2</v>
      </c>
      <c r="T1333" s="50" t="str">
        <f t="shared" si="166"/>
        <v/>
      </c>
      <c r="U1333" s="50">
        <f t="shared" si="167"/>
        <v>1</v>
      </c>
    </row>
    <row r="1334" spans="1:21" x14ac:dyDescent="0.2">
      <c r="A1334" s="38">
        <v>41228</v>
      </c>
      <c r="B1334" s="4">
        <v>0.28823500000000002</v>
      </c>
      <c r="C1334" s="4">
        <v>0.22352900000000001</v>
      </c>
      <c r="D1334" s="4">
        <v>0.48823499999999997</v>
      </c>
      <c r="E1334" s="50">
        <v>0.99999899999999997</v>
      </c>
      <c r="F1334" s="50">
        <v>0.32687749999999999</v>
      </c>
      <c r="G1334" s="50">
        <v>-0.2</v>
      </c>
      <c r="H1334" s="50">
        <v>0.38490743662900001</v>
      </c>
      <c r="I1334" s="50">
        <v>0.48829287047999997</v>
      </c>
      <c r="J1334" s="50">
        <v>0.28152200277799999</v>
      </c>
      <c r="K1334" s="50">
        <v>1433.38</v>
      </c>
      <c r="L1334" s="50">
        <v>1352.5</v>
      </c>
      <c r="M1334" s="50">
        <v>1355.49</v>
      </c>
      <c r="N1334" s="66">
        <f t="shared" si="160"/>
        <v>2.6219300769463414E-2</v>
      </c>
      <c r="O1334" s="66">
        <f t="shared" si="161"/>
        <v>5.3847686076621742E-2</v>
      </c>
      <c r="P1334" s="4">
        <f t="shared" si="162"/>
        <v>-0.19999999999999996</v>
      </c>
      <c r="Q1334" s="4">
        <f t="shared" si="163"/>
        <v>-0.10122699999999997</v>
      </c>
      <c r="R1334" s="66">
        <f t="shared" si="164"/>
        <v>2.6219300769463414E-2</v>
      </c>
      <c r="S1334" s="66">
        <f t="shared" si="165"/>
        <v>5.3847686076621742E-2</v>
      </c>
      <c r="T1334" s="50">
        <f t="shared" si="166"/>
        <v>1</v>
      </c>
      <c r="U1334" s="50">
        <f t="shared" si="167"/>
        <v>1</v>
      </c>
    </row>
    <row r="1335" spans="1:21" x14ac:dyDescent="0.2">
      <c r="A1335" s="38">
        <v>41235</v>
      </c>
      <c r="B1335" s="4">
        <v>0.35815599999999997</v>
      </c>
      <c r="C1335" s="4">
        <v>0.234043</v>
      </c>
      <c r="D1335" s="4">
        <v>0.40780100000000002</v>
      </c>
      <c r="E1335" s="50">
        <v>1</v>
      </c>
      <c r="F1335" s="50">
        <v>0.32652062500000001</v>
      </c>
      <c r="G1335" s="50">
        <v>-4.9645000000000002E-2</v>
      </c>
      <c r="H1335" s="50">
        <v>0.38490743662900001</v>
      </c>
      <c r="I1335" s="50">
        <v>0.48829287047999997</v>
      </c>
      <c r="J1335" s="50">
        <v>0.28152200277799999</v>
      </c>
      <c r="K1335" s="50">
        <v>1391.25</v>
      </c>
      <c r="L1335" s="50">
        <v>1343.35</v>
      </c>
      <c r="M1335" s="50">
        <v>1391.03</v>
      </c>
      <c r="N1335" s="66">
        <f t="shared" si="160"/>
        <v>1.3587054197249586E-2</v>
      </c>
      <c r="O1335" s="66">
        <f t="shared" si="161"/>
        <v>3.2191972854647255E-2</v>
      </c>
      <c r="P1335" s="4">
        <f t="shared" si="162"/>
        <v>-4.964500000000005E-2</v>
      </c>
      <c r="Q1335" s="4">
        <f t="shared" si="163"/>
        <v>-7.9046999999999992E-2</v>
      </c>
      <c r="R1335" s="66">
        <f t="shared" si="164"/>
        <v>1.3587054197249586E-2</v>
      </c>
      <c r="S1335" s="66">
        <f t="shared" si="165"/>
        <v>3.2191972854647255E-2</v>
      </c>
      <c r="T1335" s="50">
        <f t="shared" si="166"/>
        <v>1</v>
      </c>
      <c r="U1335" s="50">
        <f t="shared" si="167"/>
        <v>1</v>
      </c>
    </row>
    <row r="1336" spans="1:21" x14ac:dyDescent="0.2">
      <c r="A1336" s="38">
        <v>41241</v>
      </c>
      <c r="B1336" s="4">
        <v>0.40926600000000002</v>
      </c>
      <c r="C1336" s="4">
        <v>0.24710399999999999</v>
      </c>
      <c r="D1336" s="4">
        <v>0.34362900000000002</v>
      </c>
      <c r="E1336" s="50">
        <v>0.99999899999999997</v>
      </c>
      <c r="F1336" s="50">
        <v>0.33535287499999999</v>
      </c>
      <c r="G1336" s="50">
        <v>6.5637000000000001E-2</v>
      </c>
      <c r="H1336" s="50">
        <v>0.38490743662900001</v>
      </c>
      <c r="I1336" s="50">
        <v>0.48829287047999997</v>
      </c>
      <c r="J1336" s="50">
        <v>0.28152200277799999</v>
      </c>
      <c r="K1336" s="50">
        <v>1409.15</v>
      </c>
      <c r="L1336" s="50">
        <v>1359.88</v>
      </c>
      <c r="M1336" s="50">
        <v>1409.93</v>
      </c>
      <c r="N1336" s="66">
        <f t="shared" si="160"/>
        <v>-4.6101579511046006E-4</v>
      </c>
      <c r="O1336" s="66">
        <f t="shared" si="161"/>
        <v>7.0216251870659271E-3</v>
      </c>
      <c r="P1336" s="4">
        <f t="shared" si="162"/>
        <v>6.5637000000000001E-2</v>
      </c>
      <c r="Q1336" s="4">
        <f t="shared" si="163"/>
        <v>-4.9522999999999998E-2</v>
      </c>
      <c r="R1336" s="66">
        <f t="shared" si="164"/>
        <v>-4.6101579511046006E-4</v>
      </c>
      <c r="S1336" s="66">
        <f t="shared" si="165"/>
        <v>7.0216251870659271E-3</v>
      </c>
      <c r="T1336" s="50" t="str">
        <f t="shared" si="166"/>
        <v/>
      </c>
      <c r="U1336" s="50">
        <f t="shared" si="167"/>
        <v>1</v>
      </c>
    </row>
    <row r="1337" spans="1:21" x14ac:dyDescent="0.2">
      <c r="A1337" s="38">
        <v>41249</v>
      </c>
      <c r="B1337" s="4">
        <v>0.42222199999999999</v>
      </c>
      <c r="C1337" s="4">
        <v>0.23174600000000001</v>
      </c>
      <c r="D1337" s="4">
        <v>0.34603200000000001</v>
      </c>
      <c r="E1337" s="50">
        <v>1</v>
      </c>
      <c r="F1337" s="50">
        <v>0.34991125000000001</v>
      </c>
      <c r="G1337" s="50">
        <v>7.6189999999999994E-2</v>
      </c>
      <c r="H1337" s="50">
        <v>0.38490743662900001</v>
      </c>
      <c r="I1337" s="50">
        <v>0.48829287047999997</v>
      </c>
      <c r="J1337" s="50">
        <v>0.28152200277799999</v>
      </c>
      <c r="K1337" s="50">
        <v>1416.34</v>
      </c>
      <c r="L1337" s="50">
        <v>1385.43</v>
      </c>
      <c r="M1337" s="50">
        <v>1409.28</v>
      </c>
      <c r="N1337" s="66">
        <f t="shared" si="160"/>
        <v>1.362397820163491E-2</v>
      </c>
      <c r="O1337" s="66">
        <f t="shared" si="161"/>
        <v>3.77071980018166E-2</v>
      </c>
      <c r="P1337" s="4">
        <f t="shared" si="162"/>
        <v>7.618999999999998E-2</v>
      </c>
      <c r="Q1337" s="4">
        <f t="shared" si="163"/>
        <v>-2.6954500000000006E-2</v>
      </c>
      <c r="R1337" s="66">
        <f t="shared" si="164"/>
        <v>1.362397820163491E-2</v>
      </c>
      <c r="S1337" s="66">
        <f t="shared" si="165"/>
        <v>3.77071980018166E-2</v>
      </c>
      <c r="T1337" s="50">
        <f t="shared" si="166"/>
        <v>1</v>
      </c>
      <c r="U1337" s="50">
        <f t="shared" si="167"/>
        <v>1</v>
      </c>
    </row>
    <row r="1338" spans="1:21" x14ac:dyDescent="0.2">
      <c r="A1338" s="38">
        <v>41256</v>
      </c>
      <c r="B1338" s="4">
        <v>0.43233100000000002</v>
      </c>
      <c r="C1338" s="4">
        <v>0.26691700000000002</v>
      </c>
      <c r="D1338" s="4">
        <v>0.30075200000000002</v>
      </c>
      <c r="E1338" s="50">
        <v>1</v>
      </c>
      <c r="F1338" s="50">
        <v>0.368127125</v>
      </c>
      <c r="G1338" s="50">
        <v>0.131579</v>
      </c>
      <c r="H1338" s="50">
        <v>0.38490743662900001</v>
      </c>
      <c r="I1338" s="50">
        <v>0.48829287047999997</v>
      </c>
      <c r="J1338" s="50">
        <v>0.28152200277799999</v>
      </c>
      <c r="K1338" s="50">
        <v>1438.59</v>
      </c>
      <c r="L1338" s="50">
        <v>1398.23</v>
      </c>
      <c r="M1338" s="50">
        <v>1428.48</v>
      </c>
      <c r="N1338" s="66">
        <f t="shared" si="160"/>
        <v>5.13132840501787E-3</v>
      </c>
      <c r="O1338" s="66">
        <f t="shared" si="161"/>
        <v>2.2779457885304635E-2</v>
      </c>
      <c r="P1338" s="4">
        <f t="shared" si="162"/>
        <v>0.131579</v>
      </c>
      <c r="Q1338" s="4">
        <f t="shared" si="163"/>
        <v>5.5940249999999983E-2</v>
      </c>
      <c r="R1338" s="66">
        <f t="shared" si="164"/>
        <v>5.13132840501787E-3</v>
      </c>
      <c r="S1338" s="66">
        <f t="shared" si="165"/>
        <v>2.2779457885304635E-2</v>
      </c>
      <c r="T1338" s="50">
        <f t="shared" si="166"/>
        <v>1</v>
      </c>
      <c r="U1338" s="50">
        <f t="shared" si="167"/>
        <v>1</v>
      </c>
    </row>
    <row r="1339" spans="1:21" x14ac:dyDescent="0.2">
      <c r="A1339" s="38">
        <v>41263</v>
      </c>
      <c r="B1339" s="4">
        <v>0.46400000000000002</v>
      </c>
      <c r="C1339" s="4">
        <v>0.28799999999999998</v>
      </c>
      <c r="D1339" s="4">
        <v>0.248</v>
      </c>
      <c r="E1339" s="50">
        <v>1</v>
      </c>
      <c r="F1339" s="50">
        <v>0.38957049999999999</v>
      </c>
      <c r="G1339" s="50">
        <v>0.216</v>
      </c>
      <c r="H1339" s="50">
        <v>0.38490743662900001</v>
      </c>
      <c r="I1339" s="50">
        <v>0.48829287047999997</v>
      </c>
      <c r="J1339" s="50">
        <v>0.28152200277799999</v>
      </c>
      <c r="K1339" s="50">
        <v>1448</v>
      </c>
      <c r="L1339" s="50">
        <v>1411.88</v>
      </c>
      <c r="M1339" s="50">
        <v>1435.81</v>
      </c>
      <c r="N1339" s="66">
        <f t="shared" si="160"/>
        <v>-1.1129606284954151E-2</v>
      </c>
      <c r="O1339" s="66">
        <f t="shared" si="161"/>
        <v>2.5644061540176042E-2</v>
      </c>
      <c r="P1339" s="4">
        <f t="shared" si="162"/>
        <v>0.21600000000000003</v>
      </c>
      <c r="Q1339" s="4">
        <f t="shared" si="163"/>
        <v>0.1223515</v>
      </c>
      <c r="R1339" s="66">
        <f t="shared" si="164"/>
        <v>-1.1129606284954151E-2</v>
      </c>
      <c r="S1339" s="66">
        <f t="shared" si="165"/>
        <v>2.5644061540176042E-2</v>
      </c>
      <c r="T1339" s="50" t="str">
        <f t="shared" si="166"/>
        <v/>
      </c>
      <c r="U1339" s="50">
        <f t="shared" si="167"/>
        <v>1</v>
      </c>
    </row>
    <row r="1340" spans="1:21" x14ac:dyDescent="0.2">
      <c r="A1340" s="38">
        <v>41270</v>
      </c>
      <c r="B1340" s="4">
        <v>0.44402999999999998</v>
      </c>
      <c r="C1340" s="4">
        <v>0.25373099999999998</v>
      </c>
      <c r="D1340" s="4">
        <v>0.30223899999999998</v>
      </c>
      <c r="E1340" s="50">
        <v>1</v>
      </c>
      <c r="F1340" s="50">
        <v>0.400402125</v>
      </c>
      <c r="G1340" s="50">
        <v>0.141791</v>
      </c>
      <c r="H1340" s="50">
        <v>0.38490743662900001</v>
      </c>
      <c r="I1340" s="50">
        <v>0.48829287047999997</v>
      </c>
      <c r="J1340" s="50">
        <v>0.28152200277799999</v>
      </c>
      <c r="K1340" s="50">
        <v>1443.7</v>
      </c>
      <c r="L1340" s="50">
        <v>1416.43</v>
      </c>
      <c r="M1340" s="50">
        <v>1419.83</v>
      </c>
      <c r="N1340" s="66">
        <f t="shared" si="160"/>
        <v>2.9996548882612811E-2</v>
      </c>
      <c r="O1340" s="66">
        <f t="shared" si="161"/>
        <v>5.2809139122289302E-2</v>
      </c>
      <c r="P1340" s="4">
        <f t="shared" si="162"/>
        <v>0.141791</v>
      </c>
      <c r="Q1340" s="4">
        <f t="shared" si="163"/>
        <v>0.14139000000000002</v>
      </c>
      <c r="R1340" s="66">
        <f t="shared" si="164"/>
        <v>2.9996548882612811E-2</v>
      </c>
      <c r="S1340" s="66">
        <f t="shared" si="165"/>
        <v>5.2809139122289302E-2</v>
      </c>
      <c r="T1340" s="50">
        <f t="shared" si="166"/>
        <v>1</v>
      </c>
      <c r="U1340" s="50">
        <f t="shared" si="167"/>
        <v>1</v>
      </c>
    </row>
    <row r="1341" spans="1:21" x14ac:dyDescent="0.2">
      <c r="A1341" s="38">
        <v>41277</v>
      </c>
      <c r="B1341" s="4">
        <v>0.38709700000000002</v>
      </c>
      <c r="C1341" s="4">
        <v>0.25089600000000001</v>
      </c>
      <c r="D1341" s="4">
        <v>0.36200700000000002</v>
      </c>
      <c r="E1341" s="50">
        <v>1</v>
      </c>
      <c r="F1341" s="50">
        <v>0.40066712500000001</v>
      </c>
      <c r="G1341" s="50">
        <v>2.5090000000000001E-2</v>
      </c>
      <c r="H1341" s="50">
        <v>0.38490743662900001</v>
      </c>
      <c r="I1341" s="50">
        <v>0.48829287047999997</v>
      </c>
      <c r="J1341" s="50">
        <v>0.28152200277799999</v>
      </c>
      <c r="K1341" s="50">
        <v>1462.43</v>
      </c>
      <c r="L1341" s="50">
        <v>1398.11</v>
      </c>
      <c r="M1341" s="50">
        <v>1462.42</v>
      </c>
      <c r="N1341" s="66">
        <f t="shared" si="160"/>
        <v>-9.5731732334082607E-4</v>
      </c>
      <c r="O1341" s="66">
        <f t="shared" si="161"/>
        <v>2.7037376403495551E-2</v>
      </c>
      <c r="P1341" s="4">
        <f t="shared" si="162"/>
        <v>2.5090000000000001E-2</v>
      </c>
      <c r="Q1341" s="4">
        <f t="shared" si="163"/>
        <v>0.12861500000000001</v>
      </c>
      <c r="R1341" s="66">
        <f t="shared" si="164"/>
        <v>-9.5731732334082607E-4</v>
      </c>
      <c r="S1341" s="66">
        <f t="shared" si="165"/>
        <v>2.7037376403495551E-2</v>
      </c>
      <c r="T1341" s="50" t="str">
        <f t="shared" si="166"/>
        <v/>
      </c>
      <c r="U1341" s="50">
        <f t="shared" si="167"/>
        <v>1</v>
      </c>
    </row>
    <row r="1342" spans="1:21" x14ac:dyDescent="0.2">
      <c r="A1342" s="38">
        <v>41284</v>
      </c>
      <c r="B1342" s="4">
        <v>0.46449699999999999</v>
      </c>
      <c r="C1342" s="4">
        <v>0.26627200000000001</v>
      </c>
      <c r="D1342" s="4">
        <v>0.269231</v>
      </c>
      <c r="E1342" s="50">
        <v>1</v>
      </c>
      <c r="F1342" s="50">
        <v>0.422699875</v>
      </c>
      <c r="G1342" s="50">
        <v>0.195266</v>
      </c>
      <c r="H1342" s="50">
        <v>0.38490743662900001</v>
      </c>
      <c r="I1342" s="50">
        <v>0.48829287047999997</v>
      </c>
      <c r="J1342" s="50">
        <v>0.28152200277799999</v>
      </c>
      <c r="K1342" s="50">
        <v>1467.94</v>
      </c>
      <c r="L1342" s="50">
        <v>1398.11</v>
      </c>
      <c r="M1342" s="50">
        <v>1461.02</v>
      </c>
      <c r="N1342" s="66">
        <f t="shared" si="160"/>
        <v>7.9465031279517921E-3</v>
      </c>
      <c r="O1342" s="66">
        <f t="shared" si="161"/>
        <v>3.4975565016221483E-2</v>
      </c>
      <c r="P1342" s="4">
        <f t="shared" si="162"/>
        <v>0.195266</v>
      </c>
      <c r="Q1342" s="4">
        <f t="shared" si="163"/>
        <v>0.14453674999999999</v>
      </c>
      <c r="R1342" s="66">
        <f t="shared" si="164"/>
        <v>7.9465031279517921E-3</v>
      </c>
      <c r="S1342" s="66">
        <f t="shared" si="165"/>
        <v>3.4975565016221483E-2</v>
      </c>
      <c r="T1342" s="50">
        <f t="shared" si="166"/>
        <v>1</v>
      </c>
      <c r="U1342" s="50">
        <f t="shared" si="167"/>
        <v>1</v>
      </c>
    </row>
    <row r="1343" spans="1:21" x14ac:dyDescent="0.2">
      <c r="A1343" s="38">
        <v>41291</v>
      </c>
      <c r="B1343" s="4">
        <v>0.43943700000000002</v>
      </c>
      <c r="C1343" s="4">
        <v>0.28732400000000002</v>
      </c>
      <c r="D1343" s="4">
        <v>0.27323900000000001</v>
      </c>
      <c r="E1343" s="50">
        <v>1</v>
      </c>
      <c r="F1343" s="50">
        <v>0.43286000000000002</v>
      </c>
      <c r="G1343" s="50">
        <v>0.16619800000000001</v>
      </c>
      <c r="H1343" s="50">
        <v>0.38490743662900001</v>
      </c>
      <c r="I1343" s="50">
        <v>0.48829287047999997</v>
      </c>
      <c r="J1343" s="50">
        <v>0.28152200277799999</v>
      </c>
      <c r="K1343" s="50">
        <v>1473.96</v>
      </c>
      <c r="L1343" s="50">
        <v>1451.64</v>
      </c>
      <c r="M1343" s="50">
        <v>1472.63</v>
      </c>
      <c r="N1343" s="66">
        <f t="shared" si="160"/>
        <v>1.5061488629187124E-2</v>
      </c>
      <c r="O1343" s="66">
        <f t="shared" si="161"/>
        <v>3.2391028296313275E-2</v>
      </c>
      <c r="P1343" s="4">
        <f t="shared" si="162"/>
        <v>0.16619800000000001</v>
      </c>
      <c r="Q1343" s="4">
        <f t="shared" si="163"/>
        <v>0.13208625000000002</v>
      </c>
      <c r="R1343" s="66">
        <f t="shared" si="164"/>
        <v>1.5061488629187124E-2</v>
      </c>
      <c r="S1343" s="66">
        <f t="shared" si="165"/>
        <v>3.2391028296313275E-2</v>
      </c>
      <c r="T1343" s="50">
        <f t="shared" si="166"/>
        <v>1</v>
      </c>
      <c r="U1343" s="50">
        <f t="shared" si="167"/>
        <v>1</v>
      </c>
    </row>
    <row r="1344" spans="1:21" x14ac:dyDescent="0.2">
      <c r="A1344" s="38">
        <v>41298</v>
      </c>
      <c r="B1344" s="4">
        <v>0.52339199999999997</v>
      </c>
      <c r="C1344" s="4">
        <v>0.23391799999999999</v>
      </c>
      <c r="D1344" s="4">
        <v>0.24268999999999999</v>
      </c>
      <c r="E1344" s="50">
        <v>1</v>
      </c>
      <c r="F1344" s="50">
        <v>0.44712574999999999</v>
      </c>
      <c r="G1344" s="50">
        <v>0.28070200000000001</v>
      </c>
      <c r="H1344" s="50">
        <v>0.38490743662900001</v>
      </c>
      <c r="I1344" s="50">
        <v>0.48829287047999997</v>
      </c>
      <c r="J1344" s="50">
        <v>0.28152200277799999</v>
      </c>
      <c r="K1344" s="50">
        <v>1496.13</v>
      </c>
      <c r="L1344" s="50">
        <v>1463.76</v>
      </c>
      <c r="M1344" s="50">
        <v>1494.81</v>
      </c>
      <c r="N1344" s="66">
        <f t="shared" si="160"/>
        <v>4.7832165960891961E-3</v>
      </c>
      <c r="O1344" s="66">
        <f t="shared" si="161"/>
        <v>1.1466340203771784E-2</v>
      </c>
      <c r="P1344" s="4">
        <f t="shared" si="162"/>
        <v>0.28070200000000001</v>
      </c>
      <c r="Q1344" s="4">
        <f t="shared" si="163"/>
        <v>0.16681400000000002</v>
      </c>
      <c r="R1344" s="66">
        <f t="shared" si="164"/>
        <v>4.7832165960891961E-3</v>
      </c>
      <c r="S1344" s="66">
        <f t="shared" si="165"/>
        <v>1.1466340203771784E-2</v>
      </c>
      <c r="T1344" s="50">
        <f t="shared" si="166"/>
        <v>1</v>
      </c>
      <c r="U1344" s="50">
        <f t="shared" si="167"/>
        <v>1</v>
      </c>
    </row>
    <row r="1345" spans="1:21" x14ac:dyDescent="0.2">
      <c r="A1345" s="38">
        <v>41305</v>
      </c>
      <c r="B1345" s="4">
        <v>0.48044700000000001</v>
      </c>
      <c r="C1345" s="4">
        <v>0.276536</v>
      </c>
      <c r="D1345" s="4">
        <v>0.24301700000000001</v>
      </c>
      <c r="E1345" s="50">
        <v>1</v>
      </c>
      <c r="F1345" s="50">
        <v>0.45440387500000001</v>
      </c>
      <c r="G1345" s="50">
        <v>0.23743</v>
      </c>
      <c r="H1345" s="50">
        <v>0.38490743662900001</v>
      </c>
      <c r="I1345" s="50">
        <v>0.48829287047999997</v>
      </c>
      <c r="J1345" s="50">
        <v>0.28152200277799999</v>
      </c>
      <c r="K1345" s="50">
        <v>1509.94</v>
      </c>
      <c r="L1345" s="50">
        <v>1481.16</v>
      </c>
      <c r="M1345" s="50">
        <v>1501.96</v>
      </c>
      <c r="N1345" s="66">
        <f t="shared" si="160"/>
        <v>6.7644943939917535E-3</v>
      </c>
      <c r="O1345" s="66">
        <f t="shared" si="161"/>
        <v>9.3411275932780979E-3</v>
      </c>
      <c r="P1345" s="4">
        <f t="shared" si="162"/>
        <v>0.23743</v>
      </c>
      <c r="Q1345" s="4">
        <f t="shared" si="163"/>
        <v>0.21989900000000001</v>
      </c>
      <c r="R1345" s="66">
        <f t="shared" si="164"/>
        <v>6.7644943939917535E-3</v>
      </c>
      <c r="S1345" s="66">
        <f t="shared" si="165"/>
        <v>9.3411275932780979E-3</v>
      </c>
      <c r="T1345" s="50">
        <f t="shared" si="166"/>
        <v>1</v>
      </c>
      <c r="U1345" s="50">
        <f t="shared" si="167"/>
        <v>1</v>
      </c>
    </row>
    <row r="1346" spans="1:21" x14ac:dyDescent="0.2">
      <c r="A1346" s="38">
        <v>41312</v>
      </c>
      <c r="B1346" s="4">
        <v>0.42767300000000003</v>
      </c>
      <c r="C1346" s="4">
        <v>0.27672999999999998</v>
      </c>
      <c r="D1346" s="4">
        <v>0.295597</v>
      </c>
      <c r="E1346" s="50">
        <v>1</v>
      </c>
      <c r="F1346" s="50">
        <v>0.45382162500000001</v>
      </c>
      <c r="G1346" s="50">
        <v>0.132076</v>
      </c>
      <c r="H1346" s="50">
        <v>0.38490743662900001</v>
      </c>
      <c r="I1346" s="50">
        <v>0.48829287047999997</v>
      </c>
      <c r="J1346" s="50">
        <v>0.28152200277799999</v>
      </c>
      <c r="K1346" s="50">
        <v>1514.96</v>
      </c>
      <c r="L1346" s="50">
        <v>1495.02</v>
      </c>
      <c r="M1346" s="50">
        <v>1512.12</v>
      </c>
      <c r="N1346" s="66">
        <f t="shared" si="160"/>
        <v>5.4294632701108623E-3</v>
      </c>
      <c r="O1346" s="66">
        <f t="shared" si="161"/>
        <v>1.9403221966510693E-2</v>
      </c>
      <c r="P1346" s="4">
        <f t="shared" si="162"/>
        <v>0.13207600000000003</v>
      </c>
      <c r="Q1346" s="4">
        <f t="shared" si="163"/>
        <v>0.20410149999999999</v>
      </c>
      <c r="R1346" s="66">
        <f t="shared" si="164"/>
        <v>5.4294632701108623E-3</v>
      </c>
      <c r="S1346" s="66">
        <f t="shared" si="165"/>
        <v>1.9403221966510693E-2</v>
      </c>
      <c r="T1346" s="50">
        <f t="shared" si="166"/>
        <v>1</v>
      </c>
      <c r="U1346" s="50">
        <f t="shared" si="167"/>
        <v>1</v>
      </c>
    </row>
    <row r="1347" spans="1:21" x14ac:dyDescent="0.2">
      <c r="A1347" s="38">
        <v>41319</v>
      </c>
      <c r="B1347" s="4">
        <v>0.42253499999999999</v>
      </c>
      <c r="C1347" s="4">
        <v>0.29014099999999998</v>
      </c>
      <c r="D1347" s="4">
        <v>0.28732400000000002</v>
      </c>
      <c r="E1347" s="50">
        <v>1</v>
      </c>
      <c r="F1347" s="50">
        <v>0.4486385</v>
      </c>
      <c r="G1347" s="50">
        <v>0.135211</v>
      </c>
      <c r="H1347" s="50">
        <v>0.38490743662900001</v>
      </c>
      <c r="I1347" s="50">
        <v>0.48829287047999997</v>
      </c>
      <c r="J1347" s="50">
        <v>0.28152200277799999</v>
      </c>
      <c r="K1347" s="50">
        <v>1524.69</v>
      </c>
      <c r="L1347" s="50">
        <v>1495.71</v>
      </c>
      <c r="M1347" s="50">
        <v>1520.33</v>
      </c>
      <c r="N1347" s="66">
        <f t="shared" si="160"/>
        <v>-5.5119612189458095E-3</v>
      </c>
      <c r="O1347" s="66">
        <f t="shared" si="161"/>
        <v>2.248853867252508E-2</v>
      </c>
      <c r="P1347" s="4">
        <f t="shared" si="162"/>
        <v>0.13521099999999997</v>
      </c>
      <c r="Q1347" s="4">
        <f t="shared" si="163"/>
        <v>0.19635475000000002</v>
      </c>
      <c r="R1347" s="66">
        <f t="shared" si="164"/>
        <v>-5.5119612189458095E-3</v>
      </c>
      <c r="S1347" s="66">
        <f t="shared" si="165"/>
        <v>2.248853867252508E-2</v>
      </c>
      <c r="T1347" s="50" t="str">
        <f t="shared" si="166"/>
        <v/>
      </c>
      <c r="U1347" s="50">
        <f t="shared" si="167"/>
        <v>1</v>
      </c>
    </row>
    <row r="1348" spans="1:21" x14ac:dyDescent="0.2">
      <c r="A1348" s="38">
        <v>41326</v>
      </c>
      <c r="B1348" s="4">
        <v>0.41785699999999998</v>
      </c>
      <c r="C1348" s="4">
        <v>0.25714300000000001</v>
      </c>
      <c r="D1348" s="4">
        <v>0.32500000000000001</v>
      </c>
      <c r="E1348" s="50">
        <v>1</v>
      </c>
      <c r="F1348" s="50">
        <v>0.445366875</v>
      </c>
      <c r="G1348" s="50">
        <v>9.2856999999999995E-2</v>
      </c>
      <c r="H1348" s="50">
        <v>0.38490743662900001</v>
      </c>
      <c r="I1348" s="50">
        <v>0.48829287047999997</v>
      </c>
      <c r="J1348" s="50">
        <v>0.28152200277799999</v>
      </c>
      <c r="K1348" s="50">
        <v>1530.94</v>
      </c>
      <c r="L1348" s="50">
        <v>1511.41</v>
      </c>
      <c r="M1348" s="50">
        <v>1511.95</v>
      </c>
      <c r="N1348" s="66">
        <f t="shared" si="160"/>
        <v>2.6720460332682718E-3</v>
      </c>
      <c r="O1348" s="66">
        <f t="shared" si="161"/>
        <v>3.0926948642481557E-2</v>
      </c>
      <c r="P1348" s="4">
        <f t="shared" si="162"/>
        <v>9.2856999999999967E-2</v>
      </c>
      <c r="Q1348" s="4">
        <f t="shared" si="163"/>
        <v>0.14939349999999998</v>
      </c>
      <c r="R1348" s="66">
        <f t="shared" si="164"/>
        <v>2.6720460332682718E-3</v>
      </c>
      <c r="S1348" s="66">
        <f t="shared" si="165"/>
        <v>3.0926948642481557E-2</v>
      </c>
      <c r="T1348" s="50">
        <f t="shared" si="166"/>
        <v>1</v>
      </c>
      <c r="U1348" s="50">
        <f t="shared" si="167"/>
        <v>1</v>
      </c>
    </row>
    <row r="1349" spans="1:21" x14ac:dyDescent="0.2">
      <c r="A1349" s="38">
        <v>41333</v>
      </c>
      <c r="B1349" s="4">
        <v>0.283912</v>
      </c>
      <c r="C1349" s="4">
        <v>0.35015800000000002</v>
      </c>
      <c r="D1349" s="4">
        <v>0.36593100000000001</v>
      </c>
      <c r="E1349" s="50">
        <v>1.0000009999999999</v>
      </c>
      <c r="F1349" s="50">
        <v>0.43246875000000001</v>
      </c>
      <c r="G1349" s="50">
        <v>-8.2018999999999995E-2</v>
      </c>
      <c r="H1349" s="50">
        <v>0.38490743662900001</v>
      </c>
      <c r="I1349" s="50">
        <v>0.48829287047999997</v>
      </c>
      <c r="J1349" s="50">
        <v>0.28152200277799999</v>
      </c>
      <c r="K1349" s="50">
        <v>1530.94</v>
      </c>
      <c r="L1349" s="50">
        <v>1485.01</v>
      </c>
      <c r="M1349" s="50">
        <v>1515.99</v>
      </c>
      <c r="N1349" s="66">
        <f t="shared" si="160"/>
        <v>1.6800902380622582E-2</v>
      </c>
      <c r="O1349" s="66">
        <f t="shared" si="161"/>
        <v>3.0910494132546984E-2</v>
      </c>
      <c r="P1349" s="4">
        <f t="shared" si="162"/>
        <v>-8.2019000000000009E-2</v>
      </c>
      <c r="Q1349" s="4">
        <f t="shared" si="163"/>
        <v>6.9531249999999989E-2</v>
      </c>
      <c r="R1349" s="66">
        <f t="shared" si="164"/>
        <v>1.6800902380622582E-2</v>
      </c>
      <c r="S1349" s="66">
        <f t="shared" si="165"/>
        <v>3.0910494132546984E-2</v>
      </c>
      <c r="T1349" s="50">
        <f t="shared" si="166"/>
        <v>1</v>
      </c>
      <c r="U1349" s="50">
        <f t="shared" si="167"/>
        <v>1</v>
      </c>
    </row>
    <row r="1350" spans="1:21" x14ac:dyDescent="0.2">
      <c r="A1350" s="38">
        <v>41340</v>
      </c>
      <c r="B1350" s="4">
        <v>0.31055899999999997</v>
      </c>
      <c r="C1350" s="4">
        <v>0.30434800000000001</v>
      </c>
      <c r="D1350" s="4">
        <v>0.38509300000000002</v>
      </c>
      <c r="E1350" s="50">
        <v>1</v>
      </c>
      <c r="F1350" s="50">
        <v>0.4132265</v>
      </c>
      <c r="G1350" s="50">
        <v>-7.4534000000000003E-2</v>
      </c>
      <c r="H1350" s="50">
        <v>0.38490743662900001</v>
      </c>
      <c r="I1350" s="50">
        <v>0.48829287047999997</v>
      </c>
      <c r="J1350" s="50">
        <v>0.28152200277799999</v>
      </c>
      <c r="K1350" s="50">
        <v>1545.25</v>
      </c>
      <c r="L1350" s="50">
        <v>1485.01</v>
      </c>
      <c r="M1350" s="50">
        <v>1541.46</v>
      </c>
      <c r="N1350" s="66">
        <f t="shared" si="160"/>
        <v>8.472487122598021E-3</v>
      </c>
      <c r="O1350" s="66">
        <f t="shared" si="161"/>
        <v>7.9340365627392322E-3</v>
      </c>
      <c r="P1350" s="4">
        <f t="shared" si="162"/>
        <v>-7.4534000000000045E-2</v>
      </c>
      <c r="Q1350" s="4">
        <f t="shared" si="163"/>
        <v>1.7878749999999971E-2</v>
      </c>
      <c r="R1350" s="66">
        <f t="shared" si="164"/>
        <v>8.472487122598021E-3</v>
      </c>
      <c r="S1350" s="66">
        <f t="shared" si="165"/>
        <v>7.9340365627392322E-3</v>
      </c>
      <c r="T1350" s="50">
        <f t="shared" si="166"/>
        <v>1</v>
      </c>
      <c r="U1350" s="50">
        <f t="shared" si="167"/>
        <v>1</v>
      </c>
    </row>
    <row r="1351" spans="1:21" x14ac:dyDescent="0.2">
      <c r="A1351" s="38">
        <v>41347</v>
      </c>
      <c r="B1351" s="4">
        <v>0.45419999999999999</v>
      </c>
      <c r="C1351" s="4">
        <v>0.22550000000000001</v>
      </c>
      <c r="D1351" s="4">
        <v>0.32029999999999997</v>
      </c>
      <c r="E1351" s="50">
        <v>1</v>
      </c>
      <c r="F1351" s="50">
        <v>0.41507187499999998</v>
      </c>
      <c r="G1351" s="50">
        <v>0.13389999999999999</v>
      </c>
      <c r="H1351" s="50">
        <v>0.38490743662900001</v>
      </c>
      <c r="I1351" s="50">
        <v>0.48829287047999997</v>
      </c>
      <c r="J1351" s="50">
        <v>0.28152200277799999</v>
      </c>
      <c r="K1351" s="50">
        <v>1556.77</v>
      </c>
      <c r="L1351" s="50">
        <v>1541.46</v>
      </c>
      <c r="M1351" s="50">
        <v>1554.52</v>
      </c>
      <c r="N1351" s="66">
        <f t="shared" si="160"/>
        <v>2.6953657720711569E-3</v>
      </c>
      <c r="O1351" s="66">
        <f t="shared" si="161"/>
        <v>2.1363507706558961E-2</v>
      </c>
      <c r="P1351" s="4">
        <f t="shared" si="162"/>
        <v>0.13390000000000002</v>
      </c>
      <c r="Q1351" s="4">
        <f t="shared" si="163"/>
        <v>1.7550999999999983E-2</v>
      </c>
      <c r="R1351" s="66">
        <f t="shared" si="164"/>
        <v>2.6953657720711569E-3</v>
      </c>
      <c r="S1351" s="66">
        <f t="shared" si="165"/>
        <v>2.1363507706558961E-2</v>
      </c>
      <c r="T1351" s="50">
        <f t="shared" si="166"/>
        <v>1</v>
      </c>
      <c r="U1351" s="50">
        <f t="shared" si="167"/>
        <v>1</v>
      </c>
    </row>
    <row r="1352" spans="1:21" x14ac:dyDescent="0.2">
      <c r="A1352" s="38">
        <v>41354</v>
      </c>
      <c r="B1352" s="4">
        <v>0.38943899999999998</v>
      </c>
      <c r="C1352" s="4">
        <v>0.27722799999999997</v>
      </c>
      <c r="D1352" s="4">
        <v>0.33333299999999999</v>
      </c>
      <c r="E1352" s="50">
        <v>1</v>
      </c>
      <c r="F1352" s="50">
        <v>0.39832774999999998</v>
      </c>
      <c r="G1352" s="50">
        <v>5.6106000000000003E-2</v>
      </c>
      <c r="H1352" s="50">
        <v>0.38490743662900001</v>
      </c>
      <c r="I1352" s="50">
        <v>0.48829287047999997</v>
      </c>
      <c r="J1352" s="50">
        <v>0.28152200277799999</v>
      </c>
      <c r="K1352" s="50">
        <v>1563.62</v>
      </c>
      <c r="L1352" s="50">
        <v>1538.57</v>
      </c>
      <c r="M1352" s="50">
        <v>1558.71</v>
      </c>
      <c r="N1352" s="66">
        <f t="shared" si="160"/>
        <v>2.6560424966798652E-3</v>
      </c>
      <c r="O1352" s="66">
        <f t="shared" si="161"/>
        <v>-4.2984262627429387E-3</v>
      </c>
      <c r="P1352" s="4">
        <f t="shared" si="162"/>
        <v>5.6105999999999989E-2</v>
      </c>
      <c r="Q1352" s="4">
        <f t="shared" si="163"/>
        <v>8.3632499999999887E-3</v>
      </c>
      <c r="R1352" s="66">
        <f t="shared" si="164"/>
        <v>2.6560424966798652E-3</v>
      </c>
      <c r="S1352" s="66">
        <f t="shared" si="165"/>
        <v>-4.2984262627429387E-3</v>
      </c>
      <c r="T1352" s="50">
        <f t="shared" si="166"/>
        <v>1</v>
      </c>
      <c r="U1352" s="50" t="str">
        <f t="shared" si="167"/>
        <v/>
      </c>
    </row>
    <row r="1353" spans="1:21" x14ac:dyDescent="0.2">
      <c r="A1353" s="38">
        <v>41361</v>
      </c>
      <c r="B1353" s="4">
        <v>0.38395400000000002</v>
      </c>
      <c r="C1353" s="4">
        <v>0.329513</v>
      </c>
      <c r="D1353" s="4">
        <v>0.28653299999999998</v>
      </c>
      <c r="E1353" s="50">
        <v>1</v>
      </c>
      <c r="F1353" s="50">
        <v>0.38626612500000002</v>
      </c>
      <c r="G1353" s="50">
        <v>9.7420999999999994E-2</v>
      </c>
      <c r="H1353" s="50">
        <v>0.38490743662900001</v>
      </c>
      <c r="I1353" s="50">
        <v>0.48829287047999997</v>
      </c>
      <c r="J1353" s="50">
        <v>0.28152200277799999</v>
      </c>
      <c r="K1353" s="50">
        <v>1564.91</v>
      </c>
      <c r="L1353" s="50">
        <v>1538.57</v>
      </c>
      <c r="M1353" s="50">
        <v>1562.85</v>
      </c>
      <c r="N1353" s="66">
        <f t="shared" si="160"/>
        <v>-5.8610871164858141E-3</v>
      </c>
      <c r="O1353" s="66">
        <f t="shared" si="161"/>
        <v>1.0199315353360883E-2</v>
      </c>
      <c r="P1353" s="4">
        <f t="shared" si="162"/>
        <v>9.7421000000000035E-2</v>
      </c>
      <c r="Q1353" s="4">
        <f t="shared" si="163"/>
        <v>5.322325E-2</v>
      </c>
      <c r="R1353" s="66">
        <f t="shared" si="164"/>
        <v>-5.8610871164858141E-3</v>
      </c>
      <c r="S1353" s="66">
        <f t="shared" si="165"/>
        <v>1.0199315353360883E-2</v>
      </c>
      <c r="T1353" s="50" t="str">
        <f t="shared" si="166"/>
        <v/>
      </c>
      <c r="U1353" s="50">
        <f t="shared" si="167"/>
        <v>1</v>
      </c>
    </row>
    <row r="1354" spans="1:21" x14ac:dyDescent="0.2">
      <c r="A1354" s="38">
        <v>41368</v>
      </c>
      <c r="B1354" s="4">
        <v>0.35493000000000002</v>
      </c>
      <c r="C1354" s="4">
        <v>0.36337999999999998</v>
      </c>
      <c r="D1354" s="4">
        <v>0.28169</v>
      </c>
      <c r="E1354" s="50">
        <v>1</v>
      </c>
      <c r="F1354" s="50">
        <v>0.37717325000000002</v>
      </c>
      <c r="G1354" s="50">
        <v>7.324E-2</v>
      </c>
      <c r="H1354" s="50">
        <v>0.38490743662900001</v>
      </c>
      <c r="I1354" s="50">
        <v>0.48829287047999997</v>
      </c>
      <c r="J1354" s="50">
        <v>0.28152200277799999</v>
      </c>
      <c r="K1354" s="50">
        <v>1573.66</v>
      </c>
      <c r="L1354" s="50">
        <v>1546.22</v>
      </c>
      <c r="M1354" s="50">
        <v>1553.69</v>
      </c>
      <c r="N1354" s="66">
        <f t="shared" si="160"/>
        <v>2.19091324524197E-2</v>
      </c>
      <c r="O1354" s="66">
        <f t="shared" si="161"/>
        <v>1.8671678391442303E-2</v>
      </c>
      <c r="P1354" s="4">
        <f t="shared" si="162"/>
        <v>7.3240000000000027E-2</v>
      </c>
      <c r="Q1354" s="4">
        <f t="shared" si="163"/>
        <v>9.0166750000000018E-2</v>
      </c>
      <c r="R1354" s="66">
        <f t="shared" si="164"/>
        <v>2.19091324524197E-2</v>
      </c>
      <c r="S1354" s="66">
        <f t="shared" si="165"/>
        <v>1.8671678391442303E-2</v>
      </c>
      <c r="T1354" s="50">
        <f t="shared" si="166"/>
        <v>1</v>
      </c>
      <c r="U1354" s="50">
        <f t="shared" si="167"/>
        <v>1</v>
      </c>
    </row>
    <row r="1355" spans="1:21" x14ac:dyDescent="0.2">
      <c r="A1355" s="38">
        <v>41375</v>
      </c>
      <c r="B1355" s="4">
        <v>0.193103</v>
      </c>
      <c r="C1355" s="4">
        <v>0.262069</v>
      </c>
      <c r="D1355" s="4">
        <v>0.54482799999999998</v>
      </c>
      <c r="E1355" s="50">
        <v>1</v>
      </c>
      <c r="F1355" s="50">
        <v>0.34849425000000001</v>
      </c>
      <c r="G1355" s="50">
        <v>-0.35172500000000001</v>
      </c>
      <c r="H1355" s="50">
        <v>0.38490743662900001</v>
      </c>
      <c r="I1355" s="50">
        <v>0.48829287047999997</v>
      </c>
      <c r="J1355" s="50">
        <v>0.28152200277799999</v>
      </c>
      <c r="K1355" s="50">
        <v>1589.07</v>
      </c>
      <c r="L1355" s="50">
        <v>1539.5</v>
      </c>
      <c r="M1355" s="50">
        <v>1587.73</v>
      </c>
      <c r="N1355" s="66">
        <f t="shared" si="160"/>
        <v>-2.2497527917215161E-2</v>
      </c>
      <c r="O1355" s="66">
        <f t="shared" si="161"/>
        <v>2.8317157199271938E-2</v>
      </c>
      <c r="P1355" s="4">
        <f t="shared" si="162"/>
        <v>-0.35172499999999995</v>
      </c>
      <c r="Q1355" s="4">
        <f t="shared" si="163"/>
        <v>-3.1239499999999976E-2</v>
      </c>
      <c r="R1355" s="66">
        <f t="shared" si="164"/>
        <v>-2.2497527917215161E-2</v>
      </c>
      <c r="S1355" s="66">
        <f t="shared" si="165"/>
        <v>2.8317157199271938E-2</v>
      </c>
      <c r="T1355" s="50" t="str">
        <f t="shared" si="166"/>
        <v/>
      </c>
      <c r="U1355" s="50">
        <f t="shared" si="167"/>
        <v>1</v>
      </c>
    </row>
    <row r="1356" spans="1:21" x14ac:dyDescent="0.2">
      <c r="A1356" s="38">
        <v>41382</v>
      </c>
      <c r="B1356" s="4">
        <v>0.26849299999999998</v>
      </c>
      <c r="C1356" s="4">
        <v>0.24931500000000001</v>
      </c>
      <c r="D1356" s="4">
        <v>0.48219200000000001</v>
      </c>
      <c r="E1356" s="50">
        <v>1</v>
      </c>
      <c r="F1356" s="50">
        <v>0.32982375000000003</v>
      </c>
      <c r="G1356" s="50">
        <v>-0.213699</v>
      </c>
      <c r="H1356" s="50">
        <v>0.38490743662900001</v>
      </c>
      <c r="I1356" s="50">
        <v>0.48829287047999997</v>
      </c>
      <c r="J1356" s="50">
        <v>0.28152200277799999</v>
      </c>
      <c r="K1356" s="50">
        <v>1597.35</v>
      </c>
      <c r="L1356" s="50">
        <v>1543.69</v>
      </c>
      <c r="M1356" s="50">
        <v>1552.01</v>
      </c>
      <c r="N1356" s="66">
        <f t="shared" si="160"/>
        <v>1.7255043459771503E-2</v>
      </c>
      <c r="O1356" s="66">
        <f t="shared" si="161"/>
        <v>6.8794659828222748E-2</v>
      </c>
      <c r="P1356" s="4">
        <f t="shared" si="162"/>
        <v>-0.21369900000000003</v>
      </c>
      <c r="Q1356" s="4">
        <f t="shared" si="163"/>
        <v>-9.869074999999998E-2</v>
      </c>
      <c r="R1356" s="66">
        <f t="shared" si="164"/>
        <v>1.7255043459771503E-2</v>
      </c>
      <c r="S1356" s="66">
        <f t="shared" si="165"/>
        <v>6.8794659828222748E-2</v>
      </c>
      <c r="T1356" s="50">
        <f t="shared" si="166"/>
        <v>1</v>
      </c>
      <c r="U1356" s="50">
        <f t="shared" si="167"/>
        <v>1</v>
      </c>
    </row>
    <row r="1357" spans="1:21" x14ac:dyDescent="0.2">
      <c r="A1357" s="38">
        <v>41389</v>
      </c>
      <c r="B1357" s="4">
        <v>0.28289500000000001</v>
      </c>
      <c r="C1357" s="4">
        <v>0.32894699999999999</v>
      </c>
      <c r="D1357" s="4">
        <v>0.388158</v>
      </c>
      <c r="E1357" s="50">
        <v>1</v>
      </c>
      <c r="F1357" s="50">
        <v>0.32969662500000002</v>
      </c>
      <c r="G1357" s="50">
        <v>-0.105263</v>
      </c>
      <c r="H1357" s="50">
        <v>0.38490743662900001</v>
      </c>
      <c r="I1357" s="50">
        <v>0.48829287047999997</v>
      </c>
      <c r="J1357" s="50">
        <v>0.28152200277799999</v>
      </c>
      <c r="K1357" s="50">
        <v>1583</v>
      </c>
      <c r="L1357" s="50">
        <v>1536.03</v>
      </c>
      <c r="M1357" s="50">
        <v>1578.79</v>
      </c>
      <c r="N1357" s="66">
        <f t="shared" ref="N1357:N1420" si="168">(M1358-M1357)/M1357</f>
        <v>2.4765801658232457E-3</v>
      </c>
      <c r="O1357" s="66">
        <f t="shared" ref="O1357:O1420" si="169">(M1361-M1357)/M1357</f>
        <v>4.8492833119034164E-2</v>
      </c>
      <c r="P1357" s="4">
        <f t="shared" si="162"/>
        <v>-0.105263</v>
      </c>
      <c r="Q1357" s="4">
        <f t="shared" si="163"/>
        <v>-0.14936174999999999</v>
      </c>
      <c r="R1357" s="66">
        <f t="shared" si="164"/>
        <v>2.4765801658232457E-3</v>
      </c>
      <c r="S1357" s="66">
        <f t="shared" si="165"/>
        <v>4.8492833119034164E-2</v>
      </c>
      <c r="T1357" s="50">
        <f t="shared" si="166"/>
        <v>1</v>
      </c>
      <c r="U1357" s="50">
        <f t="shared" si="167"/>
        <v>1</v>
      </c>
    </row>
    <row r="1358" spans="1:21" x14ac:dyDescent="0.2">
      <c r="A1358" s="38">
        <v>41396</v>
      </c>
      <c r="B1358" s="4">
        <v>0.309859</v>
      </c>
      <c r="C1358" s="4">
        <v>0.330986</v>
      </c>
      <c r="D1358" s="4">
        <v>0.359155</v>
      </c>
      <c r="E1358" s="50">
        <v>1</v>
      </c>
      <c r="F1358" s="50">
        <v>0.329609125</v>
      </c>
      <c r="G1358" s="50">
        <v>-4.9296E-2</v>
      </c>
      <c r="H1358" s="50">
        <v>0.38490743662900001</v>
      </c>
      <c r="I1358" s="50">
        <v>0.48829287047999997</v>
      </c>
      <c r="J1358" s="50">
        <v>0.28152200277799999</v>
      </c>
      <c r="K1358" s="50">
        <v>1597.57</v>
      </c>
      <c r="L1358" s="50">
        <v>1562.5</v>
      </c>
      <c r="M1358" s="50">
        <v>1582.7</v>
      </c>
      <c r="N1358" s="66">
        <f t="shared" si="168"/>
        <v>3.1585265685221464E-2</v>
      </c>
      <c r="O1358" s="66">
        <f t="shared" si="169"/>
        <v>4.1486068111455013E-2</v>
      </c>
      <c r="P1358" s="4">
        <f t="shared" ref="P1358:P1421" si="170">B1358-D1358</f>
        <v>-4.9296000000000006E-2</v>
      </c>
      <c r="Q1358" s="4">
        <f t="shared" si="163"/>
        <v>-0.17999574999999998</v>
      </c>
      <c r="R1358" s="66">
        <f t="shared" si="164"/>
        <v>3.1585265685221464E-2</v>
      </c>
      <c r="S1358" s="66">
        <f t="shared" si="165"/>
        <v>4.1486068111455013E-2</v>
      </c>
      <c r="T1358" s="50">
        <f t="shared" si="166"/>
        <v>1</v>
      </c>
      <c r="U1358" s="50">
        <f t="shared" si="167"/>
        <v>1</v>
      </c>
    </row>
    <row r="1359" spans="1:21" x14ac:dyDescent="0.2">
      <c r="A1359" s="38">
        <v>41403</v>
      </c>
      <c r="B1359" s="4">
        <v>0.40794200000000003</v>
      </c>
      <c r="C1359" s="4">
        <v>0.31768999999999997</v>
      </c>
      <c r="D1359" s="4">
        <v>0.274368</v>
      </c>
      <c r="E1359" s="50">
        <v>1</v>
      </c>
      <c r="F1359" s="50">
        <v>0.32382687500000001</v>
      </c>
      <c r="G1359" s="50">
        <v>0.133574</v>
      </c>
      <c r="H1359" s="50">
        <v>0.38490743662900001</v>
      </c>
      <c r="I1359" s="50">
        <v>0.48829287047999997</v>
      </c>
      <c r="J1359" s="50">
        <v>0.28152200277799999</v>
      </c>
      <c r="K1359" s="50">
        <v>1632.78</v>
      </c>
      <c r="L1359" s="50">
        <v>1581.28</v>
      </c>
      <c r="M1359" s="50">
        <v>1632.69</v>
      </c>
      <c r="N1359" s="66">
        <f t="shared" si="168"/>
        <v>1.5979763457851716E-2</v>
      </c>
      <c r="O1359" s="66">
        <f t="shared" si="169"/>
        <v>-1.4571045330099383E-2</v>
      </c>
      <c r="P1359" s="4">
        <f t="shared" si="170"/>
        <v>0.13357400000000003</v>
      </c>
      <c r="Q1359" s="4">
        <f t="shared" si="163"/>
        <v>-5.8671000000000001E-2</v>
      </c>
      <c r="R1359" s="66">
        <f t="shared" si="164"/>
        <v>1.5979763457851716E-2</v>
      </c>
      <c r="S1359" s="66">
        <f t="shared" si="165"/>
        <v>-1.4571045330099383E-2</v>
      </c>
      <c r="T1359" s="50">
        <f t="shared" si="166"/>
        <v>1</v>
      </c>
      <c r="U1359" s="50" t="str">
        <f t="shared" si="167"/>
        <v/>
      </c>
    </row>
    <row r="1360" spans="1:21" x14ac:dyDescent="0.2">
      <c r="A1360" s="38">
        <v>41410</v>
      </c>
      <c r="B1360" s="4">
        <v>0.38485799999999998</v>
      </c>
      <c r="C1360" s="4">
        <v>0.32176700000000003</v>
      </c>
      <c r="D1360" s="4">
        <v>0.293375</v>
      </c>
      <c r="E1360" s="50">
        <v>1</v>
      </c>
      <c r="F1360" s="50">
        <v>0.32325425000000002</v>
      </c>
      <c r="G1360" s="50">
        <v>9.1482999999999995E-2</v>
      </c>
      <c r="H1360" s="50">
        <v>0.38490743662900001</v>
      </c>
      <c r="I1360" s="50">
        <v>0.48829287047999997</v>
      </c>
      <c r="J1360" s="50">
        <v>0.28152200277799999</v>
      </c>
      <c r="K1360" s="50">
        <v>1661.49</v>
      </c>
      <c r="L1360" s="50">
        <v>1616.64</v>
      </c>
      <c r="M1360" s="50">
        <v>1658.78</v>
      </c>
      <c r="N1360" s="66">
        <f t="shared" si="168"/>
        <v>-2.0677847574723978E-3</v>
      </c>
      <c r="O1360" s="66">
        <f t="shared" si="169"/>
        <v>-2.7887965854423127E-2</v>
      </c>
      <c r="P1360" s="4">
        <f t="shared" si="170"/>
        <v>9.1482999999999981E-2</v>
      </c>
      <c r="Q1360" s="4">
        <f t="shared" si="163"/>
        <v>1.7624500000000001E-2</v>
      </c>
      <c r="R1360" s="66">
        <f t="shared" si="164"/>
        <v>-2.0677847574723978E-3</v>
      </c>
      <c r="S1360" s="66">
        <f t="shared" si="165"/>
        <v>-2.7887965854423127E-2</v>
      </c>
      <c r="T1360" s="50" t="str">
        <f t="shared" si="166"/>
        <v/>
      </c>
      <c r="U1360" s="50" t="str">
        <f t="shared" si="167"/>
        <v/>
      </c>
    </row>
    <row r="1361" spans="1:21" x14ac:dyDescent="0.2">
      <c r="A1361" s="38">
        <v>41417</v>
      </c>
      <c r="B1361" s="4">
        <v>0.48972599999999999</v>
      </c>
      <c r="C1361" s="4">
        <v>0.29452099999999998</v>
      </c>
      <c r="D1361" s="4">
        <v>0.215753</v>
      </c>
      <c r="E1361" s="50">
        <v>1</v>
      </c>
      <c r="F1361" s="50">
        <v>0.33647575000000002</v>
      </c>
      <c r="G1361" s="50">
        <v>0.27397300000000002</v>
      </c>
      <c r="H1361" s="50">
        <v>0.38490743662900001</v>
      </c>
      <c r="I1361" s="50">
        <v>0.48829287047999997</v>
      </c>
      <c r="J1361" s="50">
        <v>0.28152200277799999</v>
      </c>
      <c r="K1361" s="50">
        <v>1687.18</v>
      </c>
      <c r="L1361" s="50">
        <v>1633.75</v>
      </c>
      <c r="M1361" s="50">
        <v>1655.35</v>
      </c>
      <c r="N1361" s="66">
        <f t="shared" si="168"/>
        <v>-4.2226719424895091E-3</v>
      </c>
      <c r="O1361" s="66">
        <f t="shared" si="169"/>
        <v>-1.5960370918536772E-2</v>
      </c>
      <c r="P1361" s="4">
        <f t="shared" si="170"/>
        <v>0.27397300000000002</v>
      </c>
      <c r="Q1361" s="4">
        <f t="shared" ref="Q1361:Q1424" si="171">AVERAGE(P1358:P1361)</f>
        <v>0.11243350000000001</v>
      </c>
      <c r="R1361" s="66">
        <f t="shared" ref="R1361:R1424" si="172">(M1362-M1361)/M1361</f>
        <v>-4.2226719424895091E-3</v>
      </c>
      <c r="S1361" s="66">
        <f t="shared" ref="S1361:S1424" si="173">(M1365-M1361)/M1361</f>
        <v>-1.5960370918536772E-2</v>
      </c>
      <c r="T1361" s="50" t="str">
        <f t="shared" ref="T1361:T1424" si="174">IF(R1361&gt;0,1,"")</f>
        <v/>
      </c>
      <c r="U1361" s="50" t="str">
        <f t="shared" ref="U1361:U1424" si="175">IF(S1361&gt;0,1,"")</f>
        <v/>
      </c>
    </row>
    <row r="1362" spans="1:21" x14ac:dyDescent="0.2">
      <c r="A1362" s="38">
        <v>41424</v>
      </c>
      <c r="B1362" s="4">
        <v>0.359684</v>
      </c>
      <c r="C1362" s="4">
        <v>0.34387400000000001</v>
      </c>
      <c r="D1362" s="4">
        <v>0.29644300000000001</v>
      </c>
      <c r="E1362" s="50">
        <v>1.0000009999999999</v>
      </c>
      <c r="F1362" s="50">
        <v>0.33706999999999998</v>
      </c>
      <c r="G1362" s="50">
        <v>6.3241000000000006E-2</v>
      </c>
      <c r="H1362" s="50">
        <v>0.38490743662900001</v>
      </c>
      <c r="I1362" s="50">
        <v>0.48829287047999997</v>
      </c>
      <c r="J1362" s="50">
        <v>0.28152200277799999</v>
      </c>
      <c r="K1362" s="50">
        <v>1663.52</v>
      </c>
      <c r="L1362" s="50">
        <v>1636.42</v>
      </c>
      <c r="M1362" s="50">
        <v>1648.36</v>
      </c>
      <c r="N1362" s="66">
        <f t="shared" si="168"/>
        <v>-2.393894537600998E-2</v>
      </c>
      <c r="O1362" s="66">
        <f t="shared" si="169"/>
        <v>-2.736052803999121E-2</v>
      </c>
      <c r="P1362" s="4">
        <f t="shared" si="170"/>
        <v>6.3240999999999992E-2</v>
      </c>
      <c r="Q1362" s="4">
        <f t="shared" si="171"/>
        <v>0.14056774999999999</v>
      </c>
      <c r="R1362" s="66">
        <f t="shared" si="172"/>
        <v>-2.393894537600998E-2</v>
      </c>
      <c r="S1362" s="66">
        <f t="shared" si="173"/>
        <v>-2.736052803999121E-2</v>
      </c>
      <c r="T1362" s="50" t="str">
        <f t="shared" si="174"/>
        <v/>
      </c>
      <c r="U1362" s="50" t="str">
        <f t="shared" si="175"/>
        <v/>
      </c>
    </row>
    <row r="1363" spans="1:21" x14ac:dyDescent="0.2">
      <c r="A1363" s="38">
        <v>41431</v>
      </c>
      <c r="B1363" s="4">
        <v>0.29473700000000003</v>
      </c>
      <c r="C1363" s="4">
        <v>0.31578899999999999</v>
      </c>
      <c r="D1363" s="4">
        <v>0.38947399999999999</v>
      </c>
      <c r="E1363" s="50">
        <v>1</v>
      </c>
      <c r="F1363" s="50">
        <v>0.34977425000000001</v>
      </c>
      <c r="G1363" s="50">
        <v>-9.4737000000000002E-2</v>
      </c>
      <c r="H1363" s="50">
        <v>0.38490743662900001</v>
      </c>
      <c r="I1363" s="50">
        <v>0.48829287047999997</v>
      </c>
      <c r="J1363" s="50">
        <v>0.28152200277799999</v>
      </c>
      <c r="K1363" s="50">
        <v>1674.21</v>
      </c>
      <c r="L1363" s="50">
        <v>1607.09</v>
      </c>
      <c r="M1363" s="50">
        <v>1608.9</v>
      </c>
      <c r="N1363" s="66">
        <f t="shared" si="168"/>
        <v>2.2499844614332094E-3</v>
      </c>
      <c r="O1363" s="66">
        <f t="shared" si="169"/>
        <v>1.4289265958108029E-2</v>
      </c>
      <c r="P1363" s="4">
        <f t="shared" si="170"/>
        <v>-9.473699999999996E-2</v>
      </c>
      <c r="Q1363" s="4">
        <f t="shared" si="171"/>
        <v>8.3490000000000009E-2</v>
      </c>
      <c r="R1363" s="66">
        <f t="shared" si="172"/>
        <v>2.2499844614332094E-3</v>
      </c>
      <c r="S1363" s="66">
        <f t="shared" si="173"/>
        <v>1.4289265958108029E-2</v>
      </c>
      <c r="T1363" s="50">
        <f t="shared" si="174"/>
        <v>1</v>
      </c>
      <c r="U1363" s="50">
        <f t="shared" si="175"/>
        <v>1</v>
      </c>
    </row>
    <row r="1364" spans="1:21" x14ac:dyDescent="0.2">
      <c r="A1364" s="38">
        <v>41438</v>
      </c>
      <c r="B1364" s="4">
        <v>0.32973000000000002</v>
      </c>
      <c r="C1364" s="4">
        <v>0.324324</v>
      </c>
      <c r="D1364" s="4">
        <v>0.34594599999999998</v>
      </c>
      <c r="E1364" s="50">
        <v>1</v>
      </c>
      <c r="F1364" s="50">
        <v>0.35742887499999998</v>
      </c>
      <c r="G1364" s="50">
        <v>-1.6216000000000001E-2</v>
      </c>
      <c r="H1364" s="50">
        <v>0.38490743662900001</v>
      </c>
      <c r="I1364" s="50">
        <v>0.48829287047999997</v>
      </c>
      <c r="J1364" s="50">
        <v>0.28152200277799999</v>
      </c>
      <c r="K1364" s="50">
        <v>1648.69</v>
      </c>
      <c r="L1364" s="50">
        <v>1598.23</v>
      </c>
      <c r="M1364" s="50">
        <v>1612.52</v>
      </c>
      <c r="N1364" s="66">
        <f t="shared" si="168"/>
        <v>1.0176617964428399E-2</v>
      </c>
      <c r="O1364" s="66">
        <f t="shared" si="169"/>
        <v>2.4867908615086889E-2</v>
      </c>
      <c r="P1364" s="4">
        <f t="shared" si="170"/>
        <v>-1.6215999999999953E-2</v>
      </c>
      <c r="Q1364" s="4">
        <f t="shared" si="171"/>
        <v>5.6565250000000025E-2</v>
      </c>
      <c r="R1364" s="66">
        <f t="shared" si="172"/>
        <v>1.0176617964428399E-2</v>
      </c>
      <c r="S1364" s="66">
        <f t="shared" si="173"/>
        <v>2.4867908615086889E-2</v>
      </c>
      <c r="T1364" s="50">
        <f t="shared" si="174"/>
        <v>1</v>
      </c>
      <c r="U1364" s="50">
        <f t="shared" si="175"/>
        <v>1</v>
      </c>
    </row>
    <row r="1365" spans="1:21" x14ac:dyDescent="0.2">
      <c r="A1365" s="38">
        <v>41445</v>
      </c>
      <c r="B1365" s="4">
        <v>0.37453199999999998</v>
      </c>
      <c r="C1365" s="4">
        <v>0.32584299999999999</v>
      </c>
      <c r="D1365" s="4">
        <v>0.29962499999999997</v>
      </c>
      <c r="E1365" s="50">
        <v>1</v>
      </c>
      <c r="F1365" s="50">
        <v>0.36888349999999998</v>
      </c>
      <c r="G1365" s="50">
        <v>7.4907000000000001E-2</v>
      </c>
      <c r="H1365" s="50">
        <v>0.38490743662900001</v>
      </c>
      <c r="I1365" s="50">
        <v>0.48829287047999997</v>
      </c>
      <c r="J1365" s="50">
        <v>0.28152200277799999</v>
      </c>
      <c r="K1365" s="50">
        <v>1654.19</v>
      </c>
      <c r="L1365" s="50">
        <v>1608.07</v>
      </c>
      <c r="M1365" s="50">
        <v>1628.93</v>
      </c>
      <c r="N1365" s="66">
        <f t="shared" si="168"/>
        <v>-1.5758810998631047E-2</v>
      </c>
      <c r="O1365" s="66">
        <f t="shared" si="169"/>
        <v>3.1910517947364228E-2</v>
      </c>
      <c r="P1365" s="4">
        <f t="shared" si="170"/>
        <v>7.4907000000000001E-2</v>
      </c>
      <c r="Q1365" s="4">
        <f t="shared" si="171"/>
        <v>6.7987500000000201E-3</v>
      </c>
      <c r="R1365" s="66">
        <f t="shared" si="172"/>
        <v>-1.5758810998631047E-2</v>
      </c>
      <c r="S1365" s="66">
        <f t="shared" si="173"/>
        <v>3.1910517947364228E-2</v>
      </c>
      <c r="T1365" s="50" t="str">
        <f t="shared" si="174"/>
        <v/>
      </c>
      <c r="U1365" s="50">
        <f t="shared" si="175"/>
        <v>1</v>
      </c>
    </row>
    <row r="1366" spans="1:21" x14ac:dyDescent="0.2">
      <c r="A1366" s="38">
        <v>41452</v>
      </c>
      <c r="B1366" s="4">
        <v>0.30275200000000002</v>
      </c>
      <c r="C1366" s="4">
        <v>0.34556599999999998</v>
      </c>
      <c r="D1366" s="4">
        <v>0.35168199999999999</v>
      </c>
      <c r="E1366" s="50">
        <v>1</v>
      </c>
      <c r="F1366" s="50">
        <v>0.36799512499999998</v>
      </c>
      <c r="G1366" s="50">
        <v>-4.8930000000000001E-2</v>
      </c>
      <c r="H1366" s="50">
        <v>0.38490743662900001</v>
      </c>
      <c r="I1366" s="50">
        <v>0.48829287047999997</v>
      </c>
      <c r="J1366" s="50">
        <v>0.28152200277799999</v>
      </c>
      <c r="K1366" s="50">
        <v>1654.19</v>
      </c>
      <c r="L1366" s="50">
        <v>1560.33</v>
      </c>
      <c r="M1366" s="50">
        <v>1603.26</v>
      </c>
      <c r="N1366" s="66">
        <f t="shared" si="168"/>
        <v>1.7857365617554303E-2</v>
      </c>
      <c r="O1366" s="66">
        <f t="shared" si="169"/>
        <v>5.1569926275214291E-2</v>
      </c>
      <c r="P1366" s="4">
        <f t="shared" si="170"/>
        <v>-4.8929999999999974E-2</v>
      </c>
      <c r="Q1366" s="4">
        <f t="shared" si="171"/>
        <v>-2.1243999999999971E-2</v>
      </c>
      <c r="R1366" s="66">
        <f t="shared" si="172"/>
        <v>1.7857365617554303E-2</v>
      </c>
      <c r="S1366" s="66">
        <f t="shared" si="173"/>
        <v>5.1569926275214291E-2</v>
      </c>
      <c r="T1366" s="50">
        <f t="shared" si="174"/>
        <v>1</v>
      </c>
      <c r="U1366" s="50">
        <f t="shared" si="175"/>
        <v>1</v>
      </c>
    </row>
    <row r="1367" spans="1:21" x14ac:dyDescent="0.2">
      <c r="A1367" s="38">
        <v>41459</v>
      </c>
      <c r="B1367" s="4">
        <v>0.419929</v>
      </c>
      <c r="C1367" s="4">
        <v>0.34163700000000002</v>
      </c>
      <c r="D1367" s="4">
        <v>0.23843400000000001</v>
      </c>
      <c r="E1367" s="50">
        <v>1</v>
      </c>
      <c r="F1367" s="50">
        <v>0.36949349999999997</v>
      </c>
      <c r="G1367" s="50">
        <v>0.18149499999999999</v>
      </c>
      <c r="H1367" s="50">
        <v>0.38490743662900001</v>
      </c>
      <c r="I1367" s="50">
        <v>0.48829287047999997</v>
      </c>
      <c r="J1367" s="50">
        <v>0.28152200277799999</v>
      </c>
      <c r="K1367" s="50">
        <v>1632.07</v>
      </c>
      <c r="L1367" s="50">
        <v>1592.27</v>
      </c>
      <c r="M1367" s="50">
        <v>1631.89</v>
      </c>
      <c r="N1367" s="66">
        <f t="shared" si="168"/>
        <v>1.2703062093645889E-2</v>
      </c>
      <c r="O1367" s="66">
        <f t="shared" si="169"/>
        <v>3.2992419832219032E-2</v>
      </c>
      <c r="P1367" s="4">
        <f t="shared" si="170"/>
        <v>0.18149499999999999</v>
      </c>
      <c r="Q1367" s="4">
        <f t="shared" si="171"/>
        <v>4.7814000000000016E-2</v>
      </c>
      <c r="R1367" s="66">
        <f t="shared" si="172"/>
        <v>1.2703062093645889E-2</v>
      </c>
      <c r="S1367" s="66">
        <f t="shared" si="173"/>
        <v>3.2992419832219032E-2</v>
      </c>
      <c r="T1367" s="50">
        <f t="shared" si="174"/>
        <v>1</v>
      </c>
      <c r="U1367" s="50">
        <f t="shared" si="175"/>
        <v>1</v>
      </c>
    </row>
    <row r="1368" spans="1:21" x14ac:dyDescent="0.2">
      <c r="A1368" s="38">
        <v>41466</v>
      </c>
      <c r="B1368" s="4">
        <v>0.48936200000000002</v>
      </c>
      <c r="C1368" s="4">
        <v>0.32766000000000001</v>
      </c>
      <c r="D1368" s="4">
        <v>0.182979</v>
      </c>
      <c r="E1368" s="50">
        <v>1.0000009999999999</v>
      </c>
      <c r="F1368" s="50">
        <v>0.38255650000000002</v>
      </c>
      <c r="G1368" s="50">
        <v>0.30638300000000002</v>
      </c>
      <c r="H1368" s="50">
        <v>0.38490743662900001</v>
      </c>
      <c r="I1368" s="50">
        <v>0.48829287047999997</v>
      </c>
      <c r="J1368" s="50">
        <v>0.28152200277799999</v>
      </c>
      <c r="K1368" s="50">
        <v>1657.92</v>
      </c>
      <c r="L1368" s="50">
        <v>1604.57</v>
      </c>
      <c r="M1368" s="50">
        <v>1652.62</v>
      </c>
      <c r="N1368" s="66">
        <f t="shared" si="168"/>
        <v>1.7118272803185362E-2</v>
      </c>
      <c r="O1368" s="66">
        <f t="shared" si="169"/>
        <v>2.3169270612724155E-2</v>
      </c>
      <c r="P1368" s="4">
        <f t="shared" si="170"/>
        <v>0.30638300000000002</v>
      </c>
      <c r="Q1368" s="4">
        <f t="shared" si="171"/>
        <v>0.12846375000000002</v>
      </c>
      <c r="R1368" s="66">
        <f t="shared" si="172"/>
        <v>1.7118272803185362E-2</v>
      </c>
      <c r="S1368" s="66">
        <f t="shared" si="173"/>
        <v>2.3169270612724155E-2</v>
      </c>
      <c r="T1368" s="50">
        <f t="shared" si="174"/>
        <v>1</v>
      </c>
      <c r="U1368" s="50">
        <f t="shared" si="175"/>
        <v>1</v>
      </c>
    </row>
    <row r="1369" spans="1:21" x14ac:dyDescent="0.2">
      <c r="A1369" s="38">
        <v>41473</v>
      </c>
      <c r="B1369" s="4">
        <v>0.477352</v>
      </c>
      <c r="C1369" s="4">
        <v>0.31010500000000002</v>
      </c>
      <c r="D1369" s="4">
        <v>0.21254400000000001</v>
      </c>
      <c r="E1369" s="50">
        <v>1.0000009999999999</v>
      </c>
      <c r="F1369" s="50">
        <v>0.38100974999999998</v>
      </c>
      <c r="G1369" s="50">
        <v>0.26480799999999999</v>
      </c>
      <c r="H1369" s="50">
        <v>0.38490743662900001</v>
      </c>
      <c r="I1369" s="50">
        <v>0.48829287047999997</v>
      </c>
      <c r="J1369" s="50">
        <v>0.28152200277799999</v>
      </c>
      <c r="K1369" s="50">
        <v>1684.75</v>
      </c>
      <c r="L1369" s="50">
        <v>1642.89</v>
      </c>
      <c r="M1369" s="50">
        <v>1680.91</v>
      </c>
      <c r="N1369" s="66">
        <f t="shared" si="168"/>
        <v>2.992426721240264E-3</v>
      </c>
      <c r="O1369" s="66">
        <f t="shared" si="169"/>
        <v>2.6652230042060656E-3</v>
      </c>
      <c r="P1369" s="4">
        <f t="shared" si="170"/>
        <v>0.26480799999999999</v>
      </c>
      <c r="Q1369" s="4">
        <f t="shared" si="171"/>
        <v>0.17593900000000001</v>
      </c>
      <c r="R1369" s="66">
        <f t="shared" si="172"/>
        <v>2.992426721240264E-3</v>
      </c>
      <c r="S1369" s="66">
        <f t="shared" si="173"/>
        <v>2.6652230042060656E-3</v>
      </c>
      <c r="T1369" s="50">
        <f t="shared" si="174"/>
        <v>1</v>
      </c>
      <c r="U1369" s="50">
        <f t="shared" si="175"/>
        <v>1</v>
      </c>
    </row>
    <row r="1370" spans="1:21" x14ac:dyDescent="0.2">
      <c r="A1370" s="38">
        <v>41480</v>
      </c>
      <c r="B1370" s="4">
        <v>0.45117800000000002</v>
      </c>
      <c r="C1370" s="4">
        <v>0.32323200000000002</v>
      </c>
      <c r="D1370" s="4">
        <v>0.22558900000000001</v>
      </c>
      <c r="E1370" s="50">
        <v>0.99999899999999997</v>
      </c>
      <c r="F1370" s="50">
        <v>0.39244649999999998</v>
      </c>
      <c r="G1370" s="50">
        <v>0.22558900000000001</v>
      </c>
      <c r="H1370" s="50">
        <v>0.38490743662900001</v>
      </c>
      <c r="I1370" s="50">
        <v>0.48829287047999997</v>
      </c>
      <c r="J1370" s="50">
        <v>0.28152200277799999</v>
      </c>
      <c r="K1370" s="50">
        <v>1698.78</v>
      </c>
      <c r="L1370" s="50">
        <v>1671.84</v>
      </c>
      <c r="M1370" s="50">
        <v>1685.94</v>
      </c>
      <c r="N1370" s="66">
        <f t="shared" si="168"/>
        <v>-1.2455959286809516E-4</v>
      </c>
      <c r="O1370" s="66">
        <f t="shared" si="169"/>
        <v>-2.5588099220612892E-2</v>
      </c>
      <c r="P1370" s="4">
        <f t="shared" si="170"/>
        <v>0.22558900000000001</v>
      </c>
      <c r="Q1370" s="4">
        <f t="shared" si="171"/>
        <v>0.24456875</v>
      </c>
      <c r="R1370" s="66">
        <f t="shared" si="172"/>
        <v>-1.2455959286809516E-4</v>
      </c>
      <c r="S1370" s="66">
        <f t="shared" si="173"/>
        <v>-2.5588099220612892E-2</v>
      </c>
      <c r="T1370" s="50" t="str">
        <f t="shared" si="174"/>
        <v/>
      </c>
      <c r="U1370" s="50" t="str">
        <f t="shared" si="175"/>
        <v/>
      </c>
    </row>
    <row r="1371" spans="1:21" x14ac:dyDescent="0.2">
      <c r="A1371" s="38">
        <v>41487</v>
      </c>
      <c r="B1371" s="4">
        <v>0.35616399999999998</v>
      </c>
      <c r="C1371" s="4">
        <v>0.39383600000000002</v>
      </c>
      <c r="D1371" s="4">
        <v>0.25</v>
      </c>
      <c r="E1371" s="50">
        <v>1</v>
      </c>
      <c r="F1371" s="50">
        <v>0.40012487499999999</v>
      </c>
      <c r="G1371" s="50">
        <v>0.10616399999999999</v>
      </c>
      <c r="H1371" s="50">
        <v>0.38490743662900001</v>
      </c>
      <c r="I1371" s="50">
        <v>0.48829287047999997</v>
      </c>
      <c r="J1371" s="50">
        <v>0.28152200277799999</v>
      </c>
      <c r="K1371" s="50">
        <v>1698.78</v>
      </c>
      <c r="L1371" s="50">
        <v>1676.03</v>
      </c>
      <c r="M1371" s="50">
        <v>1685.73</v>
      </c>
      <c r="N1371" s="66">
        <f t="shared" si="168"/>
        <v>3.0728527106951074E-3</v>
      </c>
      <c r="O1371" s="66">
        <f t="shared" si="169"/>
        <v>-3.0117515853665761E-2</v>
      </c>
      <c r="P1371" s="4">
        <f t="shared" si="170"/>
        <v>0.10616399999999998</v>
      </c>
      <c r="Q1371" s="4">
        <f t="shared" si="171"/>
        <v>0.22573599999999999</v>
      </c>
      <c r="R1371" s="66">
        <f t="shared" si="172"/>
        <v>3.0728527106951074E-3</v>
      </c>
      <c r="S1371" s="66">
        <f t="shared" si="173"/>
        <v>-3.0117515853665761E-2</v>
      </c>
      <c r="T1371" s="50">
        <f t="shared" si="174"/>
        <v>1</v>
      </c>
      <c r="U1371" s="50" t="str">
        <f t="shared" si="175"/>
        <v/>
      </c>
    </row>
    <row r="1372" spans="1:21" x14ac:dyDescent="0.2">
      <c r="A1372" s="38">
        <v>41494</v>
      </c>
      <c r="B1372" s="4">
        <v>0.394984</v>
      </c>
      <c r="C1372" s="4">
        <v>0.33855800000000003</v>
      </c>
      <c r="D1372" s="4">
        <v>0.26645799999999997</v>
      </c>
      <c r="E1372" s="50">
        <v>1</v>
      </c>
      <c r="F1372" s="50">
        <v>0.40828162499999998</v>
      </c>
      <c r="G1372" s="50">
        <v>0.128526</v>
      </c>
      <c r="H1372" s="50">
        <v>0.38490743662900001</v>
      </c>
      <c r="I1372" s="50">
        <v>0.48829287047999997</v>
      </c>
      <c r="J1372" s="50">
        <v>0.28152200277799999</v>
      </c>
      <c r="K1372" s="50">
        <v>1709.67</v>
      </c>
      <c r="L1372" s="50">
        <v>1682.42</v>
      </c>
      <c r="M1372" s="50">
        <v>1690.91</v>
      </c>
      <c r="N1372" s="66">
        <f t="shared" si="168"/>
        <v>-3.2645143739169925E-3</v>
      </c>
      <c r="O1372" s="66">
        <f t="shared" si="169"/>
        <v>-2.2372568616898684E-2</v>
      </c>
      <c r="P1372" s="4">
        <f t="shared" si="170"/>
        <v>0.12852600000000003</v>
      </c>
      <c r="Q1372" s="4">
        <f t="shared" si="171"/>
        <v>0.18127174999999998</v>
      </c>
      <c r="R1372" s="66">
        <f t="shared" si="172"/>
        <v>-3.2645143739169925E-3</v>
      </c>
      <c r="S1372" s="66">
        <f t="shared" si="173"/>
        <v>-2.2372568616898684E-2</v>
      </c>
      <c r="T1372" s="50" t="str">
        <f t="shared" si="174"/>
        <v/>
      </c>
      <c r="U1372" s="50" t="str">
        <f t="shared" si="175"/>
        <v/>
      </c>
    </row>
    <row r="1373" spans="1:21" x14ac:dyDescent="0.2">
      <c r="A1373" s="38">
        <v>41501</v>
      </c>
      <c r="B1373" s="4">
        <v>0.34506999999999999</v>
      </c>
      <c r="C1373" s="4">
        <v>0.37323899999999999</v>
      </c>
      <c r="D1373" s="4">
        <v>0.28169</v>
      </c>
      <c r="E1373" s="50">
        <v>0.99999899999999997</v>
      </c>
      <c r="F1373" s="50">
        <v>0.40459887500000002</v>
      </c>
      <c r="G1373" s="50">
        <v>6.3380000000000006E-2</v>
      </c>
      <c r="H1373" s="50">
        <v>0.38490743662900001</v>
      </c>
      <c r="I1373" s="50">
        <v>0.48829287047999997</v>
      </c>
      <c r="J1373" s="50">
        <v>0.28152200277799999</v>
      </c>
      <c r="K1373" s="50">
        <v>1705.79</v>
      </c>
      <c r="L1373" s="50">
        <v>1682.62</v>
      </c>
      <c r="M1373" s="50">
        <v>1685.39</v>
      </c>
      <c r="N1373" s="66">
        <f t="shared" si="168"/>
        <v>-2.5270115522223427E-2</v>
      </c>
      <c r="O1373" s="66">
        <f t="shared" si="169"/>
        <v>2.2190709568705217E-3</v>
      </c>
      <c r="P1373" s="4">
        <f t="shared" si="170"/>
        <v>6.3379999999999992E-2</v>
      </c>
      <c r="Q1373" s="4">
        <f t="shared" si="171"/>
        <v>0.13091475</v>
      </c>
      <c r="R1373" s="66">
        <f t="shared" si="172"/>
        <v>-2.5270115522223427E-2</v>
      </c>
      <c r="S1373" s="66">
        <f t="shared" si="173"/>
        <v>2.2190709568705217E-3</v>
      </c>
      <c r="T1373" s="50" t="str">
        <f t="shared" si="174"/>
        <v/>
      </c>
      <c r="U1373" s="50">
        <f t="shared" si="175"/>
        <v>1</v>
      </c>
    </row>
    <row r="1374" spans="1:21" x14ac:dyDescent="0.2">
      <c r="A1374" s="38">
        <v>41508</v>
      </c>
      <c r="B1374" s="4">
        <v>0.28957500000000003</v>
      </c>
      <c r="C1374" s="4">
        <v>0.28185300000000002</v>
      </c>
      <c r="D1374" s="4">
        <v>0.42857099999999998</v>
      </c>
      <c r="E1374" s="50">
        <v>0.99999899999999997</v>
      </c>
      <c r="F1374" s="50">
        <v>0.40295175</v>
      </c>
      <c r="G1374" s="50">
        <v>-0.13899600000000001</v>
      </c>
      <c r="H1374" s="50">
        <v>0.38490743662900001</v>
      </c>
      <c r="I1374" s="50">
        <v>0.48829287047999997</v>
      </c>
      <c r="J1374" s="50">
        <v>0.28152200277799999</v>
      </c>
      <c r="K1374" s="50">
        <v>1696.81</v>
      </c>
      <c r="L1374" s="50">
        <v>1639.43</v>
      </c>
      <c r="M1374" s="50">
        <v>1642.8</v>
      </c>
      <c r="N1374" s="66">
        <f t="shared" si="168"/>
        <v>-4.7723399074749932E-3</v>
      </c>
      <c r="O1374" s="66">
        <f t="shared" si="169"/>
        <v>5.0353055758461183E-2</v>
      </c>
      <c r="P1374" s="4">
        <f t="shared" si="170"/>
        <v>-0.13899599999999995</v>
      </c>
      <c r="Q1374" s="4">
        <f t="shared" si="171"/>
        <v>3.9768500000000012E-2</v>
      </c>
      <c r="R1374" s="66">
        <f t="shared" si="172"/>
        <v>-4.7723399074749932E-3</v>
      </c>
      <c r="S1374" s="66">
        <f t="shared" si="173"/>
        <v>5.0353055758461183E-2</v>
      </c>
      <c r="T1374" s="50" t="str">
        <f t="shared" si="174"/>
        <v/>
      </c>
      <c r="U1374" s="50">
        <f t="shared" si="175"/>
        <v>1</v>
      </c>
    </row>
    <row r="1375" spans="1:21" x14ac:dyDescent="0.2">
      <c r="A1375" s="38">
        <v>41515</v>
      </c>
      <c r="B1375" s="4">
        <v>0.33540399999999998</v>
      </c>
      <c r="C1375" s="4">
        <v>0.35714299999999999</v>
      </c>
      <c r="D1375" s="4">
        <v>0.30745299999999998</v>
      </c>
      <c r="E1375" s="50">
        <v>1</v>
      </c>
      <c r="F1375" s="50">
        <v>0.39238612499999997</v>
      </c>
      <c r="G1375" s="50">
        <v>2.7951E-2</v>
      </c>
      <c r="H1375" s="50">
        <v>0.38490743662900001</v>
      </c>
      <c r="I1375" s="50">
        <v>0.48829287047999997</v>
      </c>
      <c r="J1375" s="50">
        <v>0.28152200277799999</v>
      </c>
      <c r="K1375" s="50">
        <v>1669.51</v>
      </c>
      <c r="L1375" s="50">
        <v>1627.47</v>
      </c>
      <c r="M1375" s="50">
        <v>1634.96</v>
      </c>
      <c r="N1375" s="66">
        <f t="shared" si="168"/>
        <v>1.1082839947154604E-2</v>
      </c>
      <c r="O1375" s="66">
        <f t="shared" si="169"/>
        <v>3.535866320888581E-2</v>
      </c>
      <c r="P1375" s="4">
        <f t="shared" si="170"/>
        <v>2.7951000000000004E-2</v>
      </c>
      <c r="Q1375" s="4">
        <f t="shared" si="171"/>
        <v>2.0215250000000018E-2</v>
      </c>
      <c r="R1375" s="66">
        <f t="shared" si="172"/>
        <v>1.1082839947154604E-2</v>
      </c>
      <c r="S1375" s="66">
        <f t="shared" si="173"/>
        <v>3.535866320888581E-2</v>
      </c>
      <c r="T1375" s="50">
        <f t="shared" si="174"/>
        <v>1</v>
      </c>
      <c r="U1375" s="50">
        <f t="shared" si="175"/>
        <v>1</v>
      </c>
    </row>
    <row r="1376" spans="1:21" x14ac:dyDescent="0.2">
      <c r="A1376" s="38">
        <v>41522</v>
      </c>
      <c r="B1376" s="4">
        <v>0.3553</v>
      </c>
      <c r="C1376" s="4">
        <v>0.3322</v>
      </c>
      <c r="D1376" s="4">
        <v>0.3125</v>
      </c>
      <c r="E1376" s="50">
        <v>1</v>
      </c>
      <c r="F1376" s="50">
        <v>0.37562837500000001</v>
      </c>
      <c r="G1376" s="50">
        <v>4.2799999999999998E-2</v>
      </c>
      <c r="H1376" s="50">
        <v>0.38490743662900001</v>
      </c>
      <c r="I1376" s="50">
        <v>0.48829287047999997</v>
      </c>
      <c r="J1376" s="50">
        <v>0.28152200277799999</v>
      </c>
      <c r="K1376" s="50">
        <v>1655.72</v>
      </c>
      <c r="L1376" s="50">
        <v>1628.05</v>
      </c>
      <c r="M1376" s="50">
        <v>1653.08</v>
      </c>
      <c r="N1376" s="66">
        <f t="shared" si="168"/>
        <v>2.1807776998088529E-2</v>
      </c>
      <c r="O1376" s="66">
        <f t="shared" si="169"/>
        <v>2.4675151837781576E-2</v>
      </c>
      <c r="P1376" s="4">
        <f t="shared" si="170"/>
        <v>4.2800000000000005E-2</v>
      </c>
      <c r="Q1376" s="4">
        <f t="shared" si="171"/>
        <v>-1.2162499999999882E-3</v>
      </c>
      <c r="R1376" s="66">
        <f t="shared" si="172"/>
        <v>2.1807776998088529E-2</v>
      </c>
      <c r="S1376" s="66">
        <f t="shared" si="173"/>
        <v>2.4675151837781576E-2</v>
      </c>
      <c r="T1376" s="50">
        <f t="shared" si="174"/>
        <v>1</v>
      </c>
      <c r="U1376" s="50">
        <f t="shared" si="175"/>
        <v>1</v>
      </c>
    </row>
    <row r="1377" spans="1:21" x14ac:dyDescent="0.2">
      <c r="A1377" s="38">
        <v>41529</v>
      </c>
      <c r="B1377" s="4">
        <v>0.45515</v>
      </c>
      <c r="C1377" s="4">
        <v>0.29900300000000002</v>
      </c>
      <c r="D1377" s="4">
        <v>0.24584700000000001</v>
      </c>
      <c r="E1377" s="50">
        <v>1</v>
      </c>
      <c r="F1377" s="50">
        <v>0.37285312500000001</v>
      </c>
      <c r="G1377" s="50">
        <v>0.20930299999999999</v>
      </c>
      <c r="H1377" s="50">
        <v>0.38490743662900001</v>
      </c>
      <c r="I1377" s="50">
        <v>0.48829287047999997</v>
      </c>
      <c r="J1377" s="50">
        <v>0.28152200277799999</v>
      </c>
      <c r="K1377" s="50">
        <v>1689.13</v>
      </c>
      <c r="L1377" s="50">
        <v>1633.41</v>
      </c>
      <c r="M1377" s="50">
        <v>1689.13</v>
      </c>
      <c r="N1377" s="66">
        <f t="shared" si="168"/>
        <v>2.1543634888966434E-2</v>
      </c>
      <c r="O1377" s="66">
        <f t="shared" si="169"/>
        <v>-1.9376838964437322E-2</v>
      </c>
      <c r="P1377" s="4">
        <f t="shared" si="170"/>
        <v>0.20930299999999999</v>
      </c>
      <c r="Q1377" s="4">
        <f t="shared" si="171"/>
        <v>3.5264500000000011E-2</v>
      </c>
      <c r="R1377" s="66">
        <f t="shared" si="172"/>
        <v>2.1543634888966434E-2</v>
      </c>
      <c r="S1377" s="66">
        <f t="shared" si="173"/>
        <v>-1.9376838964437322E-2</v>
      </c>
      <c r="T1377" s="50">
        <f t="shared" si="174"/>
        <v>1</v>
      </c>
      <c r="U1377" s="50" t="str">
        <f t="shared" si="175"/>
        <v/>
      </c>
    </row>
    <row r="1378" spans="1:21" x14ac:dyDescent="0.2">
      <c r="A1378" s="38">
        <v>41536</v>
      </c>
      <c r="B1378" s="4">
        <v>0.45112799999999997</v>
      </c>
      <c r="C1378" s="4">
        <v>0.25187999999999999</v>
      </c>
      <c r="D1378" s="4">
        <v>0.29699199999999998</v>
      </c>
      <c r="E1378" s="50">
        <v>1</v>
      </c>
      <c r="F1378" s="50">
        <v>0.37284687500000002</v>
      </c>
      <c r="G1378" s="50">
        <v>0.154136</v>
      </c>
      <c r="H1378" s="50">
        <v>0.38490743662900001</v>
      </c>
      <c r="I1378" s="50">
        <v>0.48829287047999997</v>
      </c>
      <c r="J1378" s="50">
        <v>0.28152200277799999</v>
      </c>
      <c r="K1378" s="50">
        <v>1729.44</v>
      </c>
      <c r="L1378" s="50">
        <v>1674.32</v>
      </c>
      <c r="M1378" s="50">
        <v>1725.52</v>
      </c>
      <c r="N1378" s="66">
        <f t="shared" si="168"/>
        <v>-1.8979785803699755E-2</v>
      </c>
      <c r="O1378" s="66">
        <f t="shared" si="169"/>
        <v>-2.3065510686633701E-3</v>
      </c>
      <c r="P1378" s="4">
        <f t="shared" si="170"/>
        <v>0.154136</v>
      </c>
      <c r="Q1378" s="4">
        <f t="shared" si="171"/>
        <v>0.10854750000000001</v>
      </c>
      <c r="R1378" s="66">
        <f t="shared" si="172"/>
        <v>-1.8979785803699755E-2</v>
      </c>
      <c r="S1378" s="66">
        <f t="shared" si="173"/>
        <v>-2.3065510686633701E-3</v>
      </c>
      <c r="T1378" s="50" t="str">
        <f t="shared" si="174"/>
        <v/>
      </c>
      <c r="U1378" s="50" t="str">
        <f t="shared" si="175"/>
        <v/>
      </c>
    </row>
    <row r="1379" spans="1:21" x14ac:dyDescent="0.2">
      <c r="A1379" s="38">
        <v>41543</v>
      </c>
      <c r="B1379" s="4">
        <v>0.36054399999999998</v>
      </c>
      <c r="C1379" s="4">
        <v>0.33333299999999999</v>
      </c>
      <c r="D1379" s="4">
        <v>0.30612200000000001</v>
      </c>
      <c r="E1379" s="50">
        <v>0.99999899999999997</v>
      </c>
      <c r="F1379" s="50">
        <v>0.373394375</v>
      </c>
      <c r="G1379" s="50">
        <v>5.4421999999999998E-2</v>
      </c>
      <c r="H1379" s="50">
        <v>0.38490743662900001</v>
      </c>
      <c r="I1379" s="50">
        <v>0.48829287047999997</v>
      </c>
      <c r="J1379" s="50">
        <v>0.28152200277799999</v>
      </c>
      <c r="K1379" s="50">
        <v>1729.86</v>
      </c>
      <c r="L1379" s="50">
        <v>1691.7</v>
      </c>
      <c r="M1379" s="50">
        <v>1692.77</v>
      </c>
      <c r="N1379" s="66">
        <f t="shared" si="168"/>
        <v>6.4982248031327883E-4</v>
      </c>
      <c r="O1379" s="66">
        <f t="shared" si="169"/>
        <v>3.1669984699634404E-2</v>
      </c>
      <c r="P1379" s="4">
        <f t="shared" si="170"/>
        <v>5.442199999999997E-2</v>
      </c>
      <c r="Q1379" s="4">
        <f t="shared" si="171"/>
        <v>0.11516524999999998</v>
      </c>
      <c r="R1379" s="66">
        <f t="shared" si="172"/>
        <v>6.4982248031327883E-4</v>
      </c>
      <c r="S1379" s="66">
        <f t="shared" si="173"/>
        <v>3.1669984699634404E-2</v>
      </c>
      <c r="T1379" s="50">
        <f t="shared" si="174"/>
        <v>1</v>
      </c>
      <c r="U1379" s="50">
        <f t="shared" si="175"/>
        <v>1</v>
      </c>
    </row>
    <row r="1380" spans="1:21" x14ac:dyDescent="0.2">
      <c r="A1380" s="38">
        <v>41550</v>
      </c>
      <c r="B1380" s="4">
        <v>0.37837799999999999</v>
      </c>
      <c r="C1380" s="4">
        <v>0.32094600000000001</v>
      </c>
      <c r="D1380" s="4">
        <v>0.300676</v>
      </c>
      <c r="E1380" s="50">
        <v>1</v>
      </c>
      <c r="F1380" s="50">
        <v>0.37131862500000001</v>
      </c>
      <c r="G1380" s="50">
        <v>7.7701999999999993E-2</v>
      </c>
      <c r="H1380" s="50">
        <v>0.38490743662900001</v>
      </c>
      <c r="I1380" s="50">
        <v>0.48829287047999997</v>
      </c>
      <c r="J1380" s="50">
        <v>0.28152200277799999</v>
      </c>
      <c r="K1380" s="50">
        <v>1725.23</v>
      </c>
      <c r="L1380" s="50">
        <v>1674.99</v>
      </c>
      <c r="M1380" s="50">
        <v>1693.87</v>
      </c>
      <c r="N1380" s="66">
        <f t="shared" si="168"/>
        <v>-2.2120941984921986E-2</v>
      </c>
      <c r="O1380" s="66">
        <f t="shared" si="169"/>
        <v>4.0994881543447881E-2</v>
      </c>
      <c r="P1380" s="4">
        <f t="shared" si="170"/>
        <v>7.7701999999999993E-2</v>
      </c>
      <c r="Q1380" s="4">
        <f t="shared" si="171"/>
        <v>0.12389074999999998</v>
      </c>
      <c r="R1380" s="66">
        <f t="shared" si="172"/>
        <v>-2.2120941984921986E-2</v>
      </c>
      <c r="S1380" s="66">
        <f t="shared" si="173"/>
        <v>4.0994881543447881E-2</v>
      </c>
      <c r="T1380" s="50" t="str">
        <f t="shared" si="174"/>
        <v/>
      </c>
      <c r="U1380" s="50">
        <f t="shared" si="175"/>
        <v>1</v>
      </c>
    </row>
    <row r="1381" spans="1:21" x14ac:dyDescent="0.2">
      <c r="A1381" s="38">
        <v>41557</v>
      </c>
      <c r="B1381" s="4">
        <v>0.41328399999999998</v>
      </c>
      <c r="C1381" s="4">
        <v>0.25092300000000001</v>
      </c>
      <c r="D1381" s="4">
        <v>0.33579300000000001</v>
      </c>
      <c r="E1381" s="50">
        <v>1</v>
      </c>
      <c r="F1381" s="50">
        <v>0.37984537499999999</v>
      </c>
      <c r="G1381" s="50">
        <v>7.7491000000000004E-2</v>
      </c>
      <c r="H1381" s="50">
        <v>0.38490743662900001</v>
      </c>
      <c r="I1381" s="50">
        <v>0.48829287047999997</v>
      </c>
      <c r="J1381" s="50">
        <v>0.28152200277799999</v>
      </c>
      <c r="K1381" s="50">
        <v>1696.55</v>
      </c>
      <c r="L1381" s="50">
        <v>1646.47</v>
      </c>
      <c r="M1381" s="50">
        <v>1656.4</v>
      </c>
      <c r="N1381" s="66">
        <f t="shared" si="168"/>
        <v>3.932624969814047E-2</v>
      </c>
      <c r="O1381" s="66">
        <f t="shared" si="169"/>
        <v>6.8878290268051146E-2</v>
      </c>
      <c r="P1381" s="4">
        <f t="shared" si="170"/>
        <v>7.7490999999999977E-2</v>
      </c>
      <c r="Q1381" s="4">
        <f t="shared" si="171"/>
        <v>9.0937749999999984E-2</v>
      </c>
      <c r="R1381" s="66">
        <f t="shared" si="172"/>
        <v>3.932624969814047E-2</v>
      </c>
      <c r="S1381" s="66">
        <f t="shared" si="173"/>
        <v>6.8878290268051146E-2</v>
      </c>
      <c r="T1381" s="50">
        <f t="shared" si="174"/>
        <v>1</v>
      </c>
      <c r="U1381" s="50">
        <f t="shared" si="175"/>
        <v>1</v>
      </c>
    </row>
    <row r="1382" spans="1:21" x14ac:dyDescent="0.2">
      <c r="A1382" s="38">
        <v>41564</v>
      </c>
      <c r="B1382" s="4">
        <v>0.462783</v>
      </c>
      <c r="C1382" s="4">
        <v>0.288026</v>
      </c>
      <c r="D1382" s="4">
        <v>0.249191</v>
      </c>
      <c r="E1382" s="50">
        <v>1</v>
      </c>
      <c r="F1382" s="50">
        <v>0.40149637500000002</v>
      </c>
      <c r="G1382" s="50">
        <v>0.213592</v>
      </c>
      <c r="H1382" s="50">
        <v>0.38490743662900001</v>
      </c>
      <c r="I1382" s="50">
        <v>0.48829287047999997</v>
      </c>
      <c r="J1382" s="50">
        <v>0.28152200277799999</v>
      </c>
      <c r="K1382" s="50">
        <v>1721.76</v>
      </c>
      <c r="L1382" s="50">
        <v>1646.47</v>
      </c>
      <c r="M1382" s="50">
        <v>1721.54</v>
      </c>
      <c r="N1382" s="66">
        <f t="shared" si="168"/>
        <v>1.4428941529096127E-2</v>
      </c>
      <c r="O1382" s="66">
        <f t="shared" si="169"/>
        <v>3.5119718391672591E-2</v>
      </c>
      <c r="P1382" s="4">
        <f t="shared" si="170"/>
        <v>0.213592</v>
      </c>
      <c r="Q1382" s="4">
        <f t="shared" si="171"/>
        <v>0.10580174999999999</v>
      </c>
      <c r="R1382" s="66">
        <f t="shared" si="172"/>
        <v>1.4428941529096127E-2</v>
      </c>
      <c r="S1382" s="66">
        <f t="shared" si="173"/>
        <v>3.5119718391672591E-2</v>
      </c>
      <c r="T1382" s="50">
        <f t="shared" si="174"/>
        <v>1</v>
      </c>
      <c r="U1382" s="50">
        <f t="shared" si="175"/>
        <v>1</v>
      </c>
    </row>
    <row r="1383" spans="1:21" x14ac:dyDescent="0.2">
      <c r="A1383" s="38">
        <v>41571</v>
      </c>
      <c r="B1383" s="4">
        <v>0.49201299999999998</v>
      </c>
      <c r="C1383" s="4">
        <v>0.33226800000000001</v>
      </c>
      <c r="D1383" s="4">
        <v>0.17571899999999999</v>
      </c>
      <c r="E1383" s="50">
        <v>1</v>
      </c>
      <c r="F1383" s="50">
        <v>0.42107250000000002</v>
      </c>
      <c r="G1383" s="50">
        <v>0.31629400000000002</v>
      </c>
      <c r="H1383" s="50">
        <v>0.38490743662900001</v>
      </c>
      <c r="I1383" s="50">
        <v>0.48829287047999997</v>
      </c>
      <c r="J1383" s="50">
        <v>0.28152200277799999</v>
      </c>
      <c r="K1383" s="50">
        <v>1759.33</v>
      </c>
      <c r="L1383" s="50">
        <v>1695.93</v>
      </c>
      <c r="M1383" s="50">
        <v>1746.38</v>
      </c>
      <c r="N1383" s="66">
        <f t="shared" si="168"/>
        <v>9.6943391472645336E-3</v>
      </c>
      <c r="O1383" s="66">
        <f t="shared" si="169"/>
        <v>2.0035731055096703E-2</v>
      </c>
      <c r="P1383" s="4">
        <f t="shared" si="170"/>
        <v>0.31629399999999996</v>
      </c>
      <c r="Q1383" s="4">
        <f t="shared" si="171"/>
        <v>0.17126975</v>
      </c>
      <c r="R1383" s="66">
        <f t="shared" si="172"/>
        <v>9.6943391472645336E-3</v>
      </c>
      <c r="S1383" s="66">
        <f t="shared" si="173"/>
        <v>2.0035731055096703E-2</v>
      </c>
      <c r="T1383" s="50">
        <f t="shared" si="174"/>
        <v>1</v>
      </c>
      <c r="U1383" s="50">
        <f t="shared" si="175"/>
        <v>1</v>
      </c>
    </row>
    <row r="1384" spans="1:21" x14ac:dyDescent="0.2">
      <c r="A1384" s="38">
        <v>41578</v>
      </c>
      <c r="B1384" s="4">
        <v>0.44966400000000001</v>
      </c>
      <c r="C1384" s="4">
        <v>0.33556999999999998</v>
      </c>
      <c r="D1384" s="4">
        <v>0.21476500000000001</v>
      </c>
      <c r="E1384" s="50">
        <v>0.99999899999999997</v>
      </c>
      <c r="F1384" s="50">
        <v>0.43286799999999998</v>
      </c>
      <c r="G1384" s="50">
        <v>0.234899</v>
      </c>
      <c r="H1384" s="50">
        <v>0.38490743662900001</v>
      </c>
      <c r="I1384" s="50">
        <v>0.48829287047999997</v>
      </c>
      <c r="J1384" s="50">
        <v>0.28152200277799999</v>
      </c>
      <c r="K1384" s="50">
        <v>1775.22</v>
      </c>
      <c r="L1384" s="50">
        <v>1740.5</v>
      </c>
      <c r="M1384" s="50">
        <v>1763.31</v>
      </c>
      <c r="N1384" s="66">
        <f t="shared" si="168"/>
        <v>4.0718875297026981E-3</v>
      </c>
      <c r="O1384" s="66">
        <f t="shared" si="169"/>
        <v>2.4907701992275932E-2</v>
      </c>
      <c r="P1384" s="4">
        <f t="shared" si="170"/>
        <v>0.234899</v>
      </c>
      <c r="Q1384" s="4">
        <f t="shared" si="171"/>
        <v>0.21056899999999998</v>
      </c>
      <c r="R1384" s="66">
        <f t="shared" si="172"/>
        <v>4.0718875297026981E-3</v>
      </c>
      <c r="S1384" s="66">
        <f t="shared" si="173"/>
        <v>2.4907701992275932E-2</v>
      </c>
      <c r="T1384" s="50">
        <f t="shared" si="174"/>
        <v>1</v>
      </c>
      <c r="U1384" s="50">
        <f t="shared" si="175"/>
        <v>1</v>
      </c>
    </row>
    <row r="1385" spans="1:21" x14ac:dyDescent="0.2">
      <c r="A1385" s="38">
        <v>41585</v>
      </c>
      <c r="B1385" s="4">
        <v>0.45482899999999998</v>
      </c>
      <c r="C1385" s="4">
        <v>0.32710299999999998</v>
      </c>
      <c r="D1385" s="4">
        <v>0.21806900000000001</v>
      </c>
      <c r="E1385" s="50">
        <v>1.0000009999999999</v>
      </c>
      <c r="F1385" s="50">
        <v>0.43282787499999997</v>
      </c>
      <c r="G1385" s="50">
        <v>0.23676</v>
      </c>
      <c r="H1385" s="50">
        <v>0.38490743662900001</v>
      </c>
      <c r="I1385" s="50">
        <v>0.48829287047999997</v>
      </c>
      <c r="J1385" s="50">
        <v>0.28152200277799999</v>
      </c>
      <c r="K1385" s="50">
        <v>1775.22</v>
      </c>
      <c r="L1385" s="50">
        <v>1752.7</v>
      </c>
      <c r="M1385" s="50">
        <v>1770.49</v>
      </c>
      <c r="N1385" s="66">
        <f t="shared" si="168"/>
        <v>6.5010251399330076E-3</v>
      </c>
      <c r="O1385" s="66">
        <f t="shared" si="169"/>
        <v>1.2606679506803165E-2</v>
      </c>
      <c r="P1385" s="4">
        <f t="shared" si="170"/>
        <v>0.23675999999999997</v>
      </c>
      <c r="Q1385" s="4">
        <f t="shared" si="171"/>
        <v>0.25038624999999998</v>
      </c>
      <c r="R1385" s="66">
        <f t="shared" si="172"/>
        <v>6.5010251399330076E-3</v>
      </c>
      <c r="S1385" s="66">
        <f t="shared" si="173"/>
        <v>1.2606679506803165E-2</v>
      </c>
      <c r="T1385" s="50">
        <f t="shared" si="174"/>
        <v>1</v>
      </c>
      <c r="U1385" s="50">
        <f t="shared" si="175"/>
        <v>1</v>
      </c>
    </row>
    <row r="1386" spans="1:21" x14ac:dyDescent="0.2">
      <c r="A1386" s="38">
        <v>41592</v>
      </c>
      <c r="B1386" s="4">
        <v>0.39197500000000002</v>
      </c>
      <c r="C1386" s="4">
        <v>0.33333299999999999</v>
      </c>
      <c r="D1386" s="4">
        <v>0.27469100000000002</v>
      </c>
      <c r="E1386" s="50">
        <v>0.99999899999999997</v>
      </c>
      <c r="F1386" s="50">
        <v>0.42543375</v>
      </c>
      <c r="G1386" s="50">
        <v>0.117284</v>
      </c>
      <c r="H1386" s="50">
        <v>0.38490743662900001</v>
      </c>
      <c r="I1386" s="50">
        <v>0.48829287047999997</v>
      </c>
      <c r="J1386" s="50">
        <v>0.28152200277799999</v>
      </c>
      <c r="K1386" s="50">
        <v>1782</v>
      </c>
      <c r="L1386" s="50">
        <v>1746.2</v>
      </c>
      <c r="M1386" s="50">
        <v>1782</v>
      </c>
      <c r="N1386" s="66">
        <f t="shared" si="168"/>
        <v>-3.5353535353541479E-4</v>
      </c>
      <c r="O1386" s="66">
        <f t="shared" si="169"/>
        <v>1.2345679012347211E-4</v>
      </c>
      <c r="P1386" s="4">
        <f t="shared" si="170"/>
        <v>0.117284</v>
      </c>
      <c r="Q1386" s="4">
        <f t="shared" si="171"/>
        <v>0.22630924999999996</v>
      </c>
      <c r="R1386" s="66">
        <f t="shared" si="172"/>
        <v>-3.5353535353541479E-4</v>
      </c>
      <c r="S1386" s="66">
        <f t="shared" si="173"/>
        <v>1.2345679012347211E-4</v>
      </c>
      <c r="T1386" s="50" t="str">
        <f t="shared" si="174"/>
        <v/>
      </c>
      <c r="U1386" s="50">
        <f t="shared" si="175"/>
        <v>1</v>
      </c>
    </row>
    <row r="1387" spans="1:21" x14ac:dyDescent="0.2">
      <c r="A1387" s="38">
        <v>41599</v>
      </c>
      <c r="B1387" s="4">
        <v>0.34393099999999999</v>
      </c>
      <c r="C1387" s="4">
        <v>0.36127199999999998</v>
      </c>
      <c r="D1387" s="4">
        <v>0.294798</v>
      </c>
      <c r="E1387" s="50">
        <v>1.0000009999999999</v>
      </c>
      <c r="F1387" s="50">
        <v>0.423357125</v>
      </c>
      <c r="G1387" s="50">
        <v>4.9133000000000003E-2</v>
      </c>
      <c r="H1387" s="50">
        <v>0.38490743662900001</v>
      </c>
      <c r="I1387" s="50">
        <v>0.48829287047999997</v>
      </c>
      <c r="J1387" s="50">
        <v>0.28152200277799999</v>
      </c>
      <c r="K1387" s="50">
        <v>1802.33</v>
      </c>
      <c r="L1387" s="50">
        <v>1760.64</v>
      </c>
      <c r="M1387" s="50">
        <v>1781.37</v>
      </c>
      <c r="N1387" s="66">
        <f t="shared" si="168"/>
        <v>1.4516916755081835E-2</v>
      </c>
      <c r="O1387" s="66">
        <f t="shared" si="169"/>
        <v>1.6436787416426797E-2</v>
      </c>
      <c r="P1387" s="4">
        <f t="shared" si="170"/>
        <v>4.9132999999999982E-2</v>
      </c>
      <c r="Q1387" s="4">
        <f t="shared" si="171"/>
        <v>0.15951899999999999</v>
      </c>
      <c r="R1387" s="66">
        <f t="shared" si="172"/>
        <v>1.4516916755081835E-2</v>
      </c>
      <c r="S1387" s="66">
        <f t="shared" si="173"/>
        <v>1.6436787416426797E-2</v>
      </c>
      <c r="T1387" s="50">
        <f t="shared" si="174"/>
        <v>1</v>
      </c>
      <c r="U1387" s="50">
        <f t="shared" si="175"/>
        <v>1</v>
      </c>
    </row>
    <row r="1388" spans="1:21" x14ac:dyDescent="0.2">
      <c r="A1388" s="38">
        <v>41606</v>
      </c>
      <c r="B1388" s="4">
        <v>0.47301599999999999</v>
      </c>
      <c r="C1388" s="4">
        <v>0.24444399999999999</v>
      </c>
      <c r="D1388" s="4">
        <v>0.28254000000000001</v>
      </c>
      <c r="E1388" s="50">
        <v>1</v>
      </c>
      <c r="F1388" s="50">
        <v>0.43518687499999997</v>
      </c>
      <c r="G1388" s="50">
        <v>0.19047600000000001</v>
      </c>
      <c r="H1388" s="50">
        <v>0.38490743662900001</v>
      </c>
      <c r="I1388" s="50">
        <v>0.48829287047999997</v>
      </c>
      <c r="J1388" s="50">
        <v>0.28152200277799999</v>
      </c>
      <c r="K1388" s="50">
        <v>1808.42</v>
      </c>
      <c r="L1388" s="50">
        <v>1777.23</v>
      </c>
      <c r="M1388" s="50">
        <v>1807.23</v>
      </c>
      <c r="N1388" s="66">
        <f t="shared" si="168"/>
        <v>-7.9790618792295789E-3</v>
      </c>
      <c r="O1388" s="66">
        <f t="shared" si="169"/>
        <v>1.4436458004791819E-2</v>
      </c>
      <c r="P1388" s="4">
        <f t="shared" si="170"/>
        <v>0.19047599999999998</v>
      </c>
      <c r="Q1388" s="4">
        <f t="shared" si="171"/>
        <v>0.14841325</v>
      </c>
      <c r="R1388" s="66">
        <f t="shared" si="172"/>
        <v>-7.9790618792295789E-3</v>
      </c>
      <c r="S1388" s="66">
        <f t="shared" si="173"/>
        <v>1.4436458004791819E-2</v>
      </c>
      <c r="T1388" s="50" t="str">
        <f t="shared" si="174"/>
        <v/>
      </c>
      <c r="U1388" s="50">
        <f t="shared" si="175"/>
        <v>1</v>
      </c>
    </row>
    <row r="1389" spans="1:21" x14ac:dyDescent="0.2">
      <c r="A1389" s="38">
        <v>41613</v>
      </c>
      <c r="B1389" s="4">
        <v>0.42641499999999999</v>
      </c>
      <c r="C1389" s="4">
        <v>0.29811300000000002</v>
      </c>
      <c r="D1389" s="4">
        <v>0.27547199999999999</v>
      </c>
      <c r="E1389" s="50">
        <v>1</v>
      </c>
      <c r="F1389" s="50">
        <v>0.43682824999999997</v>
      </c>
      <c r="G1389" s="50">
        <v>0.15094299999999999</v>
      </c>
      <c r="H1389" s="50">
        <v>0.38490743662900001</v>
      </c>
      <c r="I1389" s="50">
        <v>0.48829287047999997</v>
      </c>
      <c r="J1389" s="50">
        <v>0.28152200277799999</v>
      </c>
      <c r="K1389" s="50">
        <v>1813.55</v>
      </c>
      <c r="L1389" s="50">
        <v>1779.09</v>
      </c>
      <c r="M1389" s="50">
        <v>1792.81</v>
      </c>
      <c r="N1389" s="66">
        <f t="shared" si="168"/>
        <v>-5.9069282299852848E-3</v>
      </c>
      <c r="O1389" s="66">
        <f t="shared" si="169"/>
        <v>3.0984878486844648E-2</v>
      </c>
      <c r="P1389" s="4">
        <f t="shared" si="170"/>
        <v>0.15094299999999999</v>
      </c>
      <c r="Q1389" s="4">
        <f t="shared" si="171"/>
        <v>0.12695899999999999</v>
      </c>
      <c r="R1389" s="66">
        <f t="shared" si="172"/>
        <v>-5.9069282299852848E-3</v>
      </c>
      <c r="S1389" s="66">
        <f t="shared" si="173"/>
        <v>3.0984878486844648E-2</v>
      </c>
      <c r="T1389" s="50" t="str">
        <f t="shared" si="174"/>
        <v/>
      </c>
      <c r="U1389" s="50">
        <f t="shared" si="175"/>
        <v>1</v>
      </c>
    </row>
    <row r="1390" spans="1:21" x14ac:dyDescent="0.2">
      <c r="A1390" s="38">
        <v>41620</v>
      </c>
      <c r="B1390" s="4">
        <v>0.41265099999999999</v>
      </c>
      <c r="C1390" s="4">
        <v>0.33734900000000001</v>
      </c>
      <c r="D1390" s="4">
        <v>0.25</v>
      </c>
      <c r="E1390" s="50">
        <v>1</v>
      </c>
      <c r="F1390" s="50">
        <v>0.43056175000000002</v>
      </c>
      <c r="G1390" s="50">
        <v>0.16265099999999999</v>
      </c>
      <c r="H1390" s="50">
        <v>0.38490743662900001</v>
      </c>
      <c r="I1390" s="50">
        <v>0.48829287047999997</v>
      </c>
      <c r="J1390" s="50">
        <v>0.28152200277799999</v>
      </c>
      <c r="K1390" s="50">
        <v>1811.52</v>
      </c>
      <c r="L1390" s="50">
        <v>1779.09</v>
      </c>
      <c r="M1390" s="50">
        <v>1782.22</v>
      </c>
      <c r="N1390" s="66">
        <f t="shared" si="168"/>
        <v>1.5952014902761758E-2</v>
      </c>
      <c r="O1390" s="66">
        <f t="shared" si="169"/>
        <v>3.1011884054718261E-2</v>
      </c>
      <c r="P1390" s="4">
        <f t="shared" si="170"/>
        <v>0.16265099999999999</v>
      </c>
      <c r="Q1390" s="4">
        <f t="shared" si="171"/>
        <v>0.13830074999999997</v>
      </c>
      <c r="R1390" s="66">
        <f t="shared" si="172"/>
        <v>1.5952014902761758E-2</v>
      </c>
      <c r="S1390" s="66">
        <f t="shared" si="173"/>
        <v>3.1011884054718261E-2</v>
      </c>
      <c r="T1390" s="50">
        <f t="shared" si="174"/>
        <v>1</v>
      </c>
      <c r="U1390" s="50">
        <f t="shared" si="175"/>
        <v>1</v>
      </c>
    </row>
    <row r="1391" spans="1:21" x14ac:dyDescent="0.2">
      <c r="A1391" s="38">
        <v>41627</v>
      </c>
      <c r="B1391" s="4">
        <v>0.474576</v>
      </c>
      <c r="C1391" s="4">
        <v>0.27457599999999999</v>
      </c>
      <c r="D1391" s="4">
        <v>0.25084699999999999</v>
      </c>
      <c r="E1391" s="50">
        <v>0.99999899999999997</v>
      </c>
      <c r="F1391" s="50">
        <v>0.428382125</v>
      </c>
      <c r="G1391" s="50">
        <v>0.22372900000000001</v>
      </c>
      <c r="H1391" s="50">
        <v>0.38490743662900001</v>
      </c>
      <c r="I1391" s="50">
        <v>0.48829287047999997</v>
      </c>
      <c r="J1391" s="50">
        <v>0.28152200277799999</v>
      </c>
      <c r="K1391" s="50">
        <v>1811.08</v>
      </c>
      <c r="L1391" s="50">
        <v>1767.99</v>
      </c>
      <c r="M1391" s="50">
        <v>1810.65</v>
      </c>
      <c r="N1391" s="66">
        <f t="shared" si="168"/>
        <v>1.2520365614558222E-2</v>
      </c>
      <c r="O1391" s="66">
        <f t="shared" si="169"/>
        <v>2.0837820672134324E-2</v>
      </c>
      <c r="P1391" s="4">
        <f t="shared" si="170"/>
        <v>0.22372900000000001</v>
      </c>
      <c r="Q1391" s="4">
        <f t="shared" si="171"/>
        <v>0.18194975000000002</v>
      </c>
      <c r="R1391" s="66">
        <f t="shared" si="172"/>
        <v>1.2520365614558222E-2</v>
      </c>
      <c r="S1391" s="66">
        <f t="shared" si="173"/>
        <v>2.0837820672134324E-2</v>
      </c>
      <c r="T1391" s="50">
        <f t="shared" si="174"/>
        <v>1</v>
      </c>
      <c r="U1391" s="50">
        <f t="shared" si="175"/>
        <v>1</v>
      </c>
    </row>
    <row r="1392" spans="1:21" x14ac:dyDescent="0.2">
      <c r="A1392" s="38">
        <v>41634</v>
      </c>
      <c r="B1392" s="4">
        <v>0.550562</v>
      </c>
      <c r="C1392" s="4">
        <v>0.26404499999999997</v>
      </c>
      <c r="D1392" s="4">
        <v>0.185393</v>
      </c>
      <c r="E1392" s="50">
        <v>1</v>
      </c>
      <c r="F1392" s="50">
        <v>0.44099437499999999</v>
      </c>
      <c r="G1392" s="50">
        <v>0.36516900000000002</v>
      </c>
      <c r="H1392" s="50">
        <v>0.38490743662900001</v>
      </c>
      <c r="I1392" s="50">
        <v>0.48829287047999997</v>
      </c>
      <c r="J1392" s="50">
        <v>0.28152200277799999</v>
      </c>
      <c r="K1392" s="50">
        <v>1833.32</v>
      </c>
      <c r="L1392" s="50">
        <v>1767.99</v>
      </c>
      <c r="M1392" s="50">
        <v>1833.32</v>
      </c>
      <c r="N1392" s="66">
        <f t="shared" si="168"/>
        <v>8.2036960268801751E-3</v>
      </c>
      <c r="O1392" s="66">
        <f t="shared" si="169"/>
        <v>6.2945912333907689E-3</v>
      </c>
      <c r="P1392" s="4">
        <f t="shared" si="170"/>
        <v>0.36516899999999997</v>
      </c>
      <c r="Q1392" s="4">
        <f t="shared" si="171"/>
        <v>0.22562299999999999</v>
      </c>
      <c r="R1392" s="66">
        <f t="shared" si="172"/>
        <v>8.2036960268801751E-3</v>
      </c>
      <c r="S1392" s="66">
        <f t="shared" si="173"/>
        <v>6.2945912333907689E-3</v>
      </c>
      <c r="T1392" s="50">
        <f t="shared" si="174"/>
        <v>1</v>
      </c>
      <c r="U1392" s="50">
        <f t="shared" si="175"/>
        <v>1</v>
      </c>
    </row>
    <row r="1393" spans="1:21" x14ac:dyDescent="0.2">
      <c r="A1393" s="38">
        <v>41641</v>
      </c>
      <c r="B1393" s="4">
        <v>0.430894</v>
      </c>
      <c r="C1393" s="4">
        <v>0.27642299999999997</v>
      </c>
      <c r="D1393" s="4">
        <v>0.29268300000000003</v>
      </c>
      <c r="E1393" s="50">
        <v>1</v>
      </c>
      <c r="F1393" s="50">
        <v>0.43800250000000002</v>
      </c>
      <c r="G1393" s="50">
        <v>0.138211</v>
      </c>
      <c r="H1393" s="50">
        <v>0.38490743662900001</v>
      </c>
      <c r="I1393" s="50">
        <v>0.48829287047999997</v>
      </c>
      <c r="J1393" s="50">
        <v>0.28152200277799999</v>
      </c>
      <c r="K1393" s="50">
        <v>1849.44</v>
      </c>
      <c r="L1393" s="50">
        <v>1810.25</v>
      </c>
      <c r="M1393" s="50">
        <v>1848.36</v>
      </c>
      <c r="N1393" s="66">
        <f t="shared" si="168"/>
        <v>-5.8808890043064617E-3</v>
      </c>
      <c r="O1393" s="66">
        <f t="shared" si="169"/>
        <v>-1.8935705165660369E-3</v>
      </c>
      <c r="P1393" s="4">
        <f t="shared" si="170"/>
        <v>0.13821099999999997</v>
      </c>
      <c r="Q1393" s="4">
        <f t="shared" si="171"/>
        <v>0.22244</v>
      </c>
      <c r="R1393" s="66">
        <f t="shared" si="172"/>
        <v>-5.8808890043064617E-3</v>
      </c>
      <c r="S1393" s="66">
        <f t="shared" si="173"/>
        <v>-1.8935705165660369E-3</v>
      </c>
      <c r="T1393" s="50" t="str">
        <f t="shared" si="174"/>
        <v/>
      </c>
      <c r="U1393" s="50" t="str">
        <f t="shared" si="175"/>
        <v/>
      </c>
    </row>
    <row r="1394" spans="1:21" x14ac:dyDescent="0.2">
      <c r="A1394" s="38">
        <v>41648</v>
      </c>
      <c r="B1394" s="4">
        <v>0.43617</v>
      </c>
      <c r="C1394" s="4">
        <v>0.31383</v>
      </c>
      <c r="D1394" s="4">
        <v>0.25</v>
      </c>
      <c r="E1394" s="50">
        <v>1</v>
      </c>
      <c r="F1394" s="50">
        <v>0.44352687499999999</v>
      </c>
      <c r="G1394" s="50">
        <v>0.18617</v>
      </c>
      <c r="H1394" s="50">
        <v>0.38490743662900001</v>
      </c>
      <c r="I1394" s="50">
        <v>0.48829287047999997</v>
      </c>
      <c r="J1394" s="50">
        <v>0.28152200277799999</v>
      </c>
      <c r="K1394" s="50">
        <v>1849.44</v>
      </c>
      <c r="L1394" s="50">
        <v>1823.73</v>
      </c>
      <c r="M1394" s="50">
        <v>1837.49</v>
      </c>
      <c r="N1394" s="66">
        <f t="shared" si="168"/>
        <v>5.9265628656483028E-3</v>
      </c>
      <c r="O1394" s="66">
        <f t="shared" si="169"/>
        <v>-4.672134270118472E-2</v>
      </c>
      <c r="P1394" s="4">
        <f t="shared" si="170"/>
        <v>0.18617</v>
      </c>
      <c r="Q1394" s="4">
        <f t="shared" si="171"/>
        <v>0.22831974999999999</v>
      </c>
      <c r="R1394" s="66">
        <f t="shared" si="172"/>
        <v>5.9265628656483028E-3</v>
      </c>
      <c r="S1394" s="66">
        <f t="shared" si="173"/>
        <v>-4.672134270118472E-2</v>
      </c>
      <c r="T1394" s="50">
        <f t="shared" si="174"/>
        <v>1</v>
      </c>
      <c r="U1394" s="50" t="str">
        <f t="shared" si="175"/>
        <v/>
      </c>
    </row>
    <row r="1395" spans="1:21" x14ac:dyDescent="0.2">
      <c r="A1395" s="38">
        <v>41655</v>
      </c>
      <c r="B1395" s="4">
        <v>0.38991999999999999</v>
      </c>
      <c r="C1395" s="4">
        <v>0.39522499999999999</v>
      </c>
      <c r="D1395" s="4">
        <v>0.21485399999999999</v>
      </c>
      <c r="E1395" s="50">
        <v>0.99999899999999997</v>
      </c>
      <c r="F1395" s="50">
        <v>0.44927549999999999</v>
      </c>
      <c r="G1395" s="50">
        <v>0.175066</v>
      </c>
      <c r="H1395" s="50">
        <v>0.38490743662900001</v>
      </c>
      <c r="I1395" s="50">
        <v>0.48829287047999997</v>
      </c>
      <c r="J1395" s="50">
        <v>0.28152200277799999</v>
      </c>
      <c r="K1395" s="50">
        <v>1850.84</v>
      </c>
      <c r="L1395" s="50">
        <v>1815.52</v>
      </c>
      <c r="M1395" s="50">
        <v>1848.38</v>
      </c>
      <c r="N1395" s="66">
        <f t="shared" si="168"/>
        <v>-1.9043703134637947E-3</v>
      </c>
      <c r="O1395" s="66">
        <f t="shared" si="169"/>
        <v>-1.5754336229563248E-2</v>
      </c>
      <c r="P1395" s="4">
        <f t="shared" si="170"/>
        <v>0.175066</v>
      </c>
      <c r="Q1395" s="4">
        <f t="shared" si="171"/>
        <v>0.21615399999999996</v>
      </c>
      <c r="R1395" s="66">
        <f t="shared" si="172"/>
        <v>-1.9043703134637947E-3</v>
      </c>
      <c r="S1395" s="66">
        <f t="shared" si="173"/>
        <v>-1.5754336229563248E-2</v>
      </c>
      <c r="T1395" s="50" t="str">
        <f t="shared" si="174"/>
        <v/>
      </c>
      <c r="U1395" s="50" t="str">
        <f t="shared" si="175"/>
        <v/>
      </c>
    </row>
    <row r="1396" spans="1:21" x14ac:dyDescent="0.2">
      <c r="A1396" s="38">
        <v>41662</v>
      </c>
      <c r="B1396" s="4">
        <v>0.38120100000000001</v>
      </c>
      <c r="C1396" s="4">
        <v>0.38120100000000001</v>
      </c>
      <c r="D1396" s="4">
        <v>0.237598</v>
      </c>
      <c r="E1396" s="50">
        <v>1</v>
      </c>
      <c r="F1396" s="50">
        <v>0.437798625</v>
      </c>
      <c r="G1396" s="50">
        <v>0.14360300000000001</v>
      </c>
      <c r="H1396" s="50">
        <v>0.38490743662900001</v>
      </c>
      <c r="I1396" s="50">
        <v>0.48829287047999997</v>
      </c>
      <c r="J1396" s="50">
        <v>0.28152200277799999</v>
      </c>
      <c r="K1396" s="50">
        <v>1850.84</v>
      </c>
      <c r="L1396" s="50">
        <v>1815.52</v>
      </c>
      <c r="M1396" s="50">
        <v>1844.86</v>
      </c>
      <c r="N1396" s="66">
        <f t="shared" si="168"/>
        <v>0</v>
      </c>
      <c r="O1396" s="66">
        <f t="shared" si="169"/>
        <v>-8.7323699359300438E-3</v>
      </c>
      <c r="P1396" s="4">
        <f t="shared" si="170"/>
        <v>0.14360300000000001</v>
      </c>
      <c r="Q1396" s="4">
        <f t="shared" si="171"/>
        <v>0.1607625</v>
      </c>
      <c r="R1396" s="66">
        <f t="shared" si="172"/>
        <v>0</v>
      </c>
      <c r="S1396" s="66">
        <f t="shared" si="173"/>
        <v>-8.7323699359300438E-3</v>
      </c>
      <c r="T1396" s="50" t="str">
        <f t="shared" si="174"/>
        <v/>
      </c>
      <c r="U1396" s="50" t="str">
        <f t="shared" si="175"/>
        <v/>
      </c>
    </row>
    <row r="1397" spans="1:21" x14ac:dyDescent="0.2">
      <c r="A1397" s="38">
        <v>41669</v>
      </c>
      <c r="B1397" s="4">
        <v>0.32183899999999999</v>
      </c>
      <c r="C1397" s="4">
        <v>0.35057500000000003</v>
      </c>
      <c r="D1397" s="4">
        <v>0.32758599999999999</v>
      </c>
      <c r="E1397" s="50">
        <v>1</v>
      </c>
      <c r="F1397" s="50">
        <v>0.42472662500000002</v>
      </c>
      <c r="G1397" s="50">
        <v>-5.7470000000000004E-3</v>
      </c>
      <c r="H1397" s="50">
        <v>0.38490743662900001</v>
      </c>
      <c r="I1397" s="50">
        <v>0.48829287047999997</v>
      </c>
      <c r="J1397" s="50">
        <v>0.28152200277799999</v>
      </c>
      <c r="K1397" s="50">
        <v>1850.84</v>
      </c>
      <c r="L1397" s="50">
        <v>1815.52</v>
      </c>
      <c r="M1397" s="50">
        <v>1844.86</v>
      </c>
      <c r="N1397" s="66">
        <f t="shared" si="168"/>
        <v>-5.0529579480285663E-2</v>
      </c>
      <c r="O1397" s="66">
        <f t="shared" si="169"/>
        <v>1.6261396528743748E-4</v>
      </c>
      <c r="P1397" s="4">
        <f t="shared" si="170"/>
        <v>-5.7470000000000021E-3</v>
      </c>
      <c r="Q1397" s="4">
        <f t="shared" si="171"/>
        <v>0.12477300000000001</v>
      </c>
      <c r="R1397" s="66">
        <f t="shared" si="172"/>
        <v>-5.0529579480285663E-2</v>
      </c>
      <c r="S1397" s="66">
        <f t="shared" si="173"/>
        <v>1.6261396528743748E-4</v>
      </c>
      <c r="T1397" s="50" t="str">
        <f t="shared" si="174"/>
        <v/>
      </c>
      <c r="U1397" s="50">
        <f t="shared" si="175"/>
        <v>1</v>
      </c>
    </row>
    <row r="1398" spans="1:21" x14ac:dyDescent="0.2">
      <c r="A1398" s="38">
        <v>41676</v>
      </c>
      <c r="B1398" s="4">
        <v>0.27895999999999999</v>
      </c>
      <c r="C1398" s="4">
        <v>0.35697400000000001</v>
      </c>
      <c r="D1398" s="4">
        <v>0.364066</v>
      </c>
      <c r="E1398" s="50">
        <v>1</v>
      </c>
      <c r="F1398" s="50">
        <v>0.40801525</v>
      </c>
      <c r="G1398" s="50">
        <v>-8.5106000000000001E-2</v>
      </c>
      <c r="H1398" s="50">
        <v>0.38490743662900001</v>
      </c>
      <c r="I1398" s="50">
        <v>0.48829287047999997</v>
      </c>
      <c r="J1398" s="50">
        <v>0.28152200277799999</v>
      </c>
      <c r="K1398" s="50">
        <v>1798.77</v>
      </c>
      <c r="L1398" s="50">
        <v>1737.92</v>
      </c>
      <c r="M1398" s="50">
        <v>1751.64</v>
      </c>
      <c r="N1398" s="66">
        <f t="shared" si="168"/>
        <v>3.8603822703295133E-2</v>
      </c>
      <c r="O1398" s="66">
        <f t="shared" si="169"/>
        <v>6.9746066543353566E-2</v>
      </c>
      <c r="P1398" s="4">
        <f t="shared" si="170"/>
        <v>-8.5106000000000015E-2</v>
      </c>
      <c r="Q1398" s="4">
        <f t="shared" si="171"/>
        <v>5.6953999999999991E-2</v>
      </c>
      <c r="R1398" s="66">
        <f t="shared" si="172"/>
        <v>3.8603822703295133E-2</v>
      </c>
      <c r="S1398" s="66">
        <f t="shared" si="173"/>
        <v>6.9746066543353566E-2</v>
      </c>
      <c r="T1398" s="50">
        <f t="shared" si="174"/>
        <v>1</v>
      </c>
      <c r="U1398" s="50">
        <f t="shared" si="175"/>
        <v>1</v>
      </c>
    </row>
    <row r="1399" spans="1:21" x14ac:dyDescent="0.2">
      <c r="A1399" s="38">
        <v>41683</v>
      </c>
      <c r="B1399" s="4">
        <v>0.401478</v>
      </c>
      <c r="C1399" s="4">
        <v>0.325123</v>
      </c>
      <c r="D1399" s="4">
        <v>0.273399</v>
      </c>
      <c r="E1399" s="50">
        <v>1</v>
      </c>
      <c r="F1399" s="50">
        <v>0.39887800000000001</v>
      </c>
      <c r="G1399" s="50">
        <v>0.128079</v>
      </c>
      <c r="H1399" s="50">
        <v>0.38490743662900001</v>
      </c>
      <c r="I1399" s="50">
        <v>0.48829287047999997</v>
      </c>
      <c r="J1399" s="50">
        <v>0.28152200277799999</v>
      </c>
      <c r="K1399" s="50">
        <v>1826.55</v>
      </c>
      <c r="L1399" s="50">
        <v>1737.92</v>
      </c>
      <c r="M1399" s="50">
        <v>1819.26</v>
      </c>
      <c r="N1399" s="66">
        <f t="shared" si="168"/>
        <v>5.2164066708441943E-3</v>
      </c>
      <c r="O1399" s="66">
        <f t="shared" si="169"/>
        <v>2.6901047678726545E-2</v>
      </c>
      <c r="P1399" s="4">
        <f t="shared" si="170"/>
        <v>0.128079</v>
      </c>
      <c r="Q1399" s="4">
        <f t="shared" si="171"/>
        <v>4.5207249999999997E-2</v>
      </c>
      <c r="R1399" s="66">
        <f t="shared" si="172"/>
        <v>5.2164066708441943E-3</v>
      </c>
      <c r="S1399" s="66">
        <f t="shared" si="173"/>
        <v>2.6901047678726545E-2</v>
      </c>
      <c r="T1399" s="50">
        <f t="shared" si="174"/>
        <v>1</v>
      </c>
      <c r="U1399" s="50">
        <f t="shared" si="175"/>
        <v>1</v>
      </c>
    </row>
    <row r="1400" spans="1:21" x14ac:dyDescent="0.2">
      <c r="A1400" s="38">
        <v>41690</v>
      </c>
      <c r="B1400" s="4">
        <v>0.42199999999999999</v>
      </c>
      <c r="C1400" s="4">
        <v>0.35</v>
      </c>
      <c r="D1400" s="4">
        <v>0.22800000000000001</v>
      </c>
      <c r="E1400" s="50">
        <v>1</v>
      </c>
      <c r="F1400" s="50">
        <v>0.38280775</v>
      </c>
      <c r="G1400" s="50">
        <v>0.19400000000000001</v>
      </c>
      <c r="H1400" s="50">
        <v>0.38490743662900001</v>
      </c>
      <c r="I1400" s="50">
        <v>0.48829287047999997</v>
      </c>
      <c r="J1400" s="50">
        <v>0.28152200277799999</v>
      </c>
      <c r="K1400" s="50">
        <v>1847.5</v>
      </c>
      <c r="L1400" s="50">
        <v>1826.99</v>
      </c>
      <c r="M1400" s="50">
        <v>1828.75</v>
      </c>
      <c r="N1400" s="66">
        <f t="shared" si="168"/>
        <v>8.9733424470267026E-3</v>
      </c>
      <c r="O1400" s="66">
        <f t="shared" si="169"/>
        <v>1.7509227614490763E-2</v>
      </c>
      <c r="P1400" s="4">
        <f t="shared" si="170"/>
        <v>0.19399999999999998</v>
      </c>
      <c r="Q1400" s="4">
        <f t="shared" si="171"/>
        <v>5.780649999999999E-2</v>
      </c>
      <c r="R1400" s="66">
        <f t="shared" si="172"/>
        <v>8.9733424470267026E-3</v>
      </c>
      <c r="S1400" s="66">
        <f t="shared" si="173"/>
        <v>1.7509227614490763E-2</v>
      </c>
      <c r="T1400" s="50">
        <f t="shared" si="174"/>
        <v>1</v>
      </c>
      <c r="U1400" s="50">
        <f t="shared" si="175"/>
        <v>1</v>
      </c>
    </row>
    <row r="1401" spans="1:21" x14ac:dyDescent="0.2">
      <c r="A1401" s="38">
        <v>41697</v>
      </c>
      <c r="B1401" s="4">
        <v>0.39690700000000001</v>
      </c>
      <c r="C1401" s="4">
        <v>0.39175300000000002</v>
      </c>
      <c r="D1401" s="4">
        <v>0.21134</v>
      </c>
      <c r="E1401" s="50">
        <v>1</v>
      </c>
      <c r="F1401" s="50">
        <v>0.37855937499999998</v>
      </c>
      <c r="G1401" s="50">
        <v>0.18556700000000001</v>
      </c>
      <c r="H1401" s="50">
        <v>0.38490743662900001</v>
      </c>
      <c r="I1401" s="50">
        <v>0.48829287047999997</v>
      </c>
      <c r="J1401" s="50">
        <v>0.28152200277799999</v>
      </c>
      <c r="K1401" s="50">
        <v>1858.71</v>
      </c>
      <c r="L1401" s="50">
        <v>1824.58</v>
      </c>
      <c r="M1401" s="50">
        <v>1845.16</v>
      </c>
      <c r="N1401" s="66">
        <f t="shared" si="168"/>
        <v>1.5527108760215841E-2</v>
      </c>
      <c r="O1401" s="66">
        <f t="shared" si="169"/>
        <v>4.0104923150295164E-3</v>
      </c>
      <c r="P1401" s="4">
        <f t="shared" si="170"/>
        <v>0.18556700000000001</v>
      </c>
      <c r="Q1401" s="4">
        <f t="shared" si="171"/>
        <v>0.10563499999999999</v>
      </c>
      <c r="R1401" s="66">
        <f t="shared" si="172"/>
        <v>1.5527108760215841E-2</v>
      </c>
      <c r="S1401" s="66">
        <f t="shared" si="173"/>
        <v>4.0104923150295164E-3</v>
      </c>
      <c r="T1401" s="50">
        <f t="shared" si="174"/>
        <v>1</v>
      </c>
      <c r="U1401" s="50">
        <f t="shared" si="175"/>
        <v>1</v>
      </c>
    </row>
    <row r="1402" spans="1:21" x14ac:dyDescent="0.2">
      <c r="A1402" s="38">
        <v>41704</v>
      </c>
      <c r="B1402" s="4">
        <v>0.40509899999999999</v>
      </c>
      <c r="C1402" s="4">
        <v>0.32861200000000002</v>
      </c>
      <c r="D1402" s="4">
        <v>0.266289</v>
      </c>
      <c r="E1402" s="50">
        <v>1</v>
      </c>
      <c r="F1402" s="50">
        <v>0.37467549999999999</v>
      </c>
      <c r="G1402" s="50">
        <v>0.13880999999999999</v>
      </c>
      <c r="H1402" s="50">
        <v>0.38490743662900001</v>
      </c>
      <c r="I1402" s="50">
        <v>0.48829287047999997</v>
      </c>
      <c r="J1402" s="50">
        <v>0.28152200277799999</v>
      </c>
      <c r="K1402" s="50">
        <v>1876.53</v>
      </c>
      <c r="L1402" s="50">
        <v>1834.44</v>
      </c>
      <c r="M1402" s="50">
        <v>1873.81</v>
      </c>
      <c r="N1402" s="66">
        <f t="shared" si="168"/>
        <v>-2.9939001286149076E-3</v>
      </c>
      <c r="O1402" s="66">
        <f t="shared" si="169"/>
        <v>9.1204551155133901E-3</v>
      </c>
      <c r="P1402" s="4">
        <f t="shared" si="170"/>
        <v>0.13880999999999999</v>
      </c>
      <c r="Q1402" s="4">
        <f t="shared" si="171"/>
        <v>0.16161400000000001</v>
      </c>
      <c r="R1402" s="66">
        <f t="shared" si="172"/>
        <v>-2.9939001286149076E-3</v>
      </c>
      <c r="S1402" s="66">
        <f t="shared" si="173"/>
        <v>9.1204551155133901E-3</v>
      </c>
      <c r="T1402" s="50" t="str">
        <f t="shared" si="174"/>
        <v/>
      </c>
      <c r="U1402" s="50">
        <f t="shared" si="175"/>
        <v>1</v>
      </c>
    </row>
    <row r="1403" spans="1:21" x14ac:dyDescent="0.2">
      <c r="A1403" s="38">
        <v>41711</v>
      </c>
      <c r="B1403" s="4">
        <v>0.413408</v>
      </c>
      <c r="C1403" s="4">
        <v>0.318436</v>
      </c>
      <c r="D1403" s="4">
        <v>0.26815600000000001</v>
      </c>
      <c r="E1403" s="50">
        <v>1</v>
      </c>
      <c r="F1403" s="50">
        <v>0.37761149999999999</v>
      </c>
      <c r="G1403" s="50">
        <v>0.14525199999999999</v>
      </c>
      <c r="H1403" s="50">
        <v>0.38490743662900001</v>
      </c>
      <c r="I1403" s="50">
        <v>0.48829287047999997</v>
      </c>
      <c r="J1403" s="50">
        <v>0.28152200277799999</v>
      </c>
      <c r="K1403" s="50">
        <v>1883.57</v>
      </c>
      <c r="L1403" s="50">
        <v>1849.23</v>
      </c>
      <c r="M1403" s="50">
        <v>1868.2</v>
      </c>
      <c r="N1403" s="66">
        <f t="shared" si="168"/>
        <v>-3.9770902472968973E-3</v>
      </c>
      <c r="O1403" s="66">
        <f t="shared" si="169"/>
        <v>2.1303928915533767E-3</v>
      </c>
      <c r="P1403" s="4">
        <f t="shared" si="170"/>
        <v>0.14525199999999999</v>
      </c>
      <c r="Q1403" s="4">
        <f t="shared" si="171"/>
        <v>0.16590725000000001</v>
      </c>
      <c r="R1403" s="66">
        <f t="shared" si="172"/>
        <v>-3.9770902472968973E-3</v>
      </c>
      <c r="S1403" s="66">
        <f t="shared" si="173"/>
        <v>2.1303928915533767E-3</v>
      </c>
      <c r="T1403" s="50" t="str">
        <f t="shared" si="174"/>
        <v/>
      </c>
      <c r="U1403" s="50">
        <f t="shared" si="175"/>
        <v>1</v>
      </c>
    </row>
    <row r="1404" spans="1:21" x14ac:dyDescent="0.2">
      <c r="A1404" s="38">
        <v>41718</v>
      </c>
      <c r="B1404" s="4">
        <v>0.36781599999999998</v>
      </c>
      <c r="C1404" s="4">
        <v>0.37069000000000002</v>
      </c>
      <c r="D1404" s="4">
        <v>0.261494</v>
      </c>
      <c r="E1404" s="50">
        <v>1</v>
      </c>
      <c r="F1404" s="50">
        <v>0.37593837499999999</v>
      </c>
      <c r="G1404" s="50">
        <v>0.106322</v>
      </c>
      <c r="H1404" s="50">
        <v>0.38490743662900001</v>
      </c>
      <c r="I1404" s="50">
        <v>0.48829287047999997</v>
      </c>
      <c r="J1404" s="50">
        <v>0.28152200277799999</v>
      </c>
      <c r="K1404" s="50">
        <v>1882.35</v>
      </c>
      <c r="L1404" s="50">
        <v>1839.57</v>
      </c>
      <c r="M1404" s="50">
        <v>1860.77</v>
      </c>
      <c r="N1404" s="66">
        <f t="shared" si="168"/>
        <v>-4.412151958597804E-3</v>
      </c>
      <c r="O1404" s="66">
        <f t="shared" si="169"/>
        <v>8.2761437469432739E-4</v>
      </c>
      <c r="P1404" s="4">
        <f t="shared" si="170"/>
        <v>0.10632199999999997</v>
      </c>
      <c r="Q1404" s="4">
        <f t="shared" si="171"/>
        <v>0.14398775</v>
      </c>
      <c r="R1404" s="66">
        <f t="shared" si="172"/>
        <v>-4.412151958597804E-3</v>
      </c>
      <c r="S1404" s="66">
        <f t="shared" si="173"/>
        <v>8.2761437469432739E-4</v>
      </c>
      <c r="T1404" s="50" t="str">
        <f t="shared" si="174"/>
        <v/>
      </c>
      <c r="U1404" s="50">
        <f t="shared" si="175"/>
        <v>1</v>
      </c>
    </row>
    <row r="1405" spans="1:21" x14ac:dyDescent="0.2">
      <c r="A1405" s="38">
        <v>41725</v>
      </c>
      <c r="B1405" s="4">
        <v>0.31161499999999998</v>
      </c>
      <c r="C1405" s="4">
        <v>0.40226600000000001</v>
      </c>
      <c r="D1405" s="4">
        <v>0.28611900000000001</v>
      </c>
      <c r="E1405" s="50">
        <v>1</v>
      </c>
      <c r="F1405" s="50">
        <v>0.37466037499999999</v>
      </c>
      <c r="G1405" s="50">
        <v>2.5496000000000001E-2</v>
      </c>
      <c r="H1405" s="50">
        <v>0.38490743662900001</v>
      </c>
      <c r="I1405" s="50">
        <v>0.48829287047999997</v>
      </c>
      <c r="J1405" s="50">
        <v>0.28152200277799999</v>
      </c>
      <c r="K1405" s="50">
        <v>1883.97</v>
      </c>
      <c r="L1405" s="50">
        <v>1849.69</v>
      </c>
      <c r="M1405" s="50">
        <v>1852.56</v>
      </c>
      <c r="N1405" s="66">
        <f t="shared" si="168"/>
        <v>2.0695685969685271E-2</v>
      </c>
      <c r="O1405" s="66">
        <f t="shared" si="169"/>
        <v>1.2323487498380702E-2</v>
      </c>
      <c r="P1405" s="4">
        <f t="shared" si="170"/>
        <v>2.5495999999999963E-2</v>
      </c>
      <c r="Q1405" s="4">
        <f t="shared" si="171"/>
        <v>0.10396999999999998</v>
      </c>
      <c r="R1405" s="66">
        <f t="shared" si="172"/>
        <v>2.0695685969685271E-2</v>
      </c>
      <c r="S1405" s="66">
        <f t="shared" si="173"/>
        <v>1.2323487498380702E-2</v>
      </c>
      <c r="T1405" s="50">
        <f t="shared" si="174"/>
        <v>1</v>
      </c>
      <c r="U1405" s="50">
        <f t="shared" si="175"/>
        <v>1</v>
      </c>
    </row>
    <row r="1406" spans="1:21" x14ac:dyDescent="0.2">
      <c r="A1406" s="38">
        <v>41732</v>
      </c>
      <c r="B1406" s="4">
        <v>0.35357100000000002</v>
      </c>
      <c r="C1406" s="4">
        <v>0.37857099999999999</v>
      </c>
      <c r="D1406" s="4">
        <v>0.26785700000000001</v>
      </c>
      <c r="E1406" s="50">
        <v>0.99999899999999997</v>
      </c>
      <c r="F1406" s="50">
        <v>0.38398674999999999</v>
      </c>
      <c r="G1406" s="50">
        <v>8.5713999999999999E-2</v>
      </c>
      <c r="H1406" s="50">
        <v>0.38490743662900001</v>
      </c>
      <c r="I1406" s="50">
        <v>0.48829287047999997</v>
      </c>
      <c r="J1406" s="50">
        <v>0.28152200277799999</v>
      </c>
      <c r="K1406" s="50">
        <v>1893.17</v>
      </c>
      <c r="L1406" s="50">
        <v>1842.11</v>
      </c>
      <c r="M1406" s="50">
        <v>1890.9</v>
      </c>
      <c r="N1406" s="66">
        <f t="shared" si="168"/>
        <v>-9.9000475963826884E-3</v>
      </c>
      <c r="O1406" s="66">
        <f t="shared" si="169"/>
        <v>-3.6754984398963695E-3</v>
      </c>
      <c r="P1406" s="4">
        <f t="shared" si="170"/>
        <v>8.5714000000000012E-2</v>
      </c>
      <c r="Q1406" s="4">
        <f t="shared" si="171"/>
        <v>9.0695999999999985E-2</v>
      </c>
      <c r="R1406" s="66">
        <f t="shared" si="172"/>
        <v>-9.9000475963826884E-3</v>
      </c>
      <c r="S1406" s="66">
        <f t="shared" si="173"/>
        <v>-3.6754984398963695E-3</v>
      </c>
      <c r="T1406" s="50" t="str">
        <f t="shared" si="174"/>
        <v/>
      </c>
      <c r="U1406" s="50" t="str">
        <f t="shared" si="175"/>
        <v/>
      </c>
    </row>
    <row r="1407" spans="1:21" x14ac:dyDescent="0.2">
      <c r="A1407" s="38">
        <v>41739</v>
      </c>
      <c r="B1407" s="4">
        <v>0.28476800000000002</v>
      </c>
      <c r="C1407" s="4">
        <v>0.374172</v>
      </c>
      <c r="D1407" s="4">
        <v>0.34105999999999997</v>
      </c>
      <c r="E1407" s="50">
        <v>1</v>
      </c>
      <c r="F1407" s="50">
        <v>0.369398</v>
      </c>
      <c r="G1407" s="50">
        <v>-5.6292000000000002E-2</v>
      </c>
      <c r="H1407" s="50">
        <v>0.38490743662900001</v>
      </c>
      <c r="I1407" s="50">
        <v>0.48829287047999997</v>
      </c>
      <c r="J1407" s="50">
        <v>0.28152200277799999</v>
      </c>
      <c r="K1407" s="50">
        <v>1897.28</v>
      </c>
      <c r="L1407" s="50">
        <v>1837.49</v>
      </c>
      <c r="M1407" s="50">
        <v>1872.18</v>
      </c>
      <c r="N1407" s="66">
        <f t="shared" si="168"/>
        <v>-5.2719289811877694E-3</v>
      </c>
      <c r="O1407" s="66">
        <f t="shared" si="169"/>
        <v>3.2208441496009853E-3</v>
      </c>
      <c r="P1407" s="4">
        <f t="shared" si="170"/>
        <v>-5.6291999999999953E-2</v>
      </c>
      <c r="Q1407" s="4">
        <f t="shared" si="171"/>
        <v>4.0309999999999999E-2</v>
      </c>
      <c r="R1407" s="66">
        <f t="shared" si="172"/>
        <v>-5.2719289811877694E-3</v>
      </c>
      <c r="S1407" s="66">
        <f t="shared" si="173"/>
        <v>3.2208441496009853E-3</v>
      </c>
      <c r="T1407" s="50" t="str">
        <f t="shared" si="174"/>
        <v/>
      </c>
      <c r="U1407" s="50">
        <f t="shared" si="175"/>
        <v>1</v>
      </c>
    </row>
    <row r="1408" spans="1:21" x14ac:dyDescent="0.2">
      <c r="A1408" s="38">
        <v>41746</v>
      </c>
      <c r="B1408" s="4">
        <v>0.272171</v>
      </c>
      <c r="C1408" s="4">
        <v>0.38532100000000002</v>
      </c>
      <c r="D1408" s="4">
        <v>0.34250799999999998</v>
      </c>
      <c r="E1408" s="50">
        <v>1</v>
      </c>
      <c r="F1408" s="50">
        <v>0.35066937500000001</v>
      </c>
      <c r="G1408" s="50">
        <v>-7.0336999999999997E-2</v>
      </c>
      <c r="H1408" s="50">
        <v>0.38490743662900001</v>
      </c>
      <c r="I1408" s="50">
        <v>0.48829287047999997</v>
      </c>
      <c r="J1408" s="50">
        <v>0.28152200277799999</v>
      </c>
      <c r="K1408" s="50">
        <v>1872.53</v>
      </c>
      <c r="L1408" s="50">
        <v>1814.36</v>
      </c>
      <c r="M1408" s="50">
        <v>1862.31</v>
      </c>
      <c r="N1408" s="66">
        <f t="shared" si="168"/>
        <v>7.023535286821289E-3</v>
      </c>
      <c r="O1408" s="66">
        <f t="shared" si="169"/>
        <v>1.4079288625416837E-2</v>
      </c>
      <c r="P1408" s="4">
        <f t="shared" si="170"/>
        <v>-7.0336999999999983E-2</v>
      </c>
      <c r="Q1408" s="4">
        <f t="shared" si="171"/>
        <v>-3.8547499999999901E-3</v>
      </c>
      <c r="R1408" s="66">
        <f t="shared" si="172"/>
        <v>7.023535286821289E-3</v>
      </c>
      <c r="S1408" s="66">
        <f t="shared" si="173"/>
        <v>1.4079288625416837E-2</v>
      </c>
      <c r="T1408" s="50">
        <f t="shared" si="174"/>
        <v>1</v>
      </c>
      <c r="U1408" s="50">
        <f t="shared" si="175"/>
        <v>1</v>
      </c>
    </row>
    <row r="1409" spans="1:21" x14ac:dyDescent="0.2">
      <c r="A1409" s="38">
        <v>41753</v>
      </c>
      <c r="B1409" s="4">
        <v>0.34502899999999997</v>
      </c>
      <c r="C1409" s="4">
        <v>0.394737</v>
      </c>
      <c r="D1409" s="4">
        <v>0.26023400000000002</v>
      </c>
      <c r="E1409" s="50">
        <v>1</v>
      </c>
      <c r="F1409" s="50">
        <v>0.34418462500000002</v>
      </c>
      <c r="G1409" s="50">
        <v>8.4794999999999995E-2</v>
      </c>
      <c r="H1409" s="50">
        <v>0.38490743662900001</v>
      </c>
      <c r="I1409" s="50">
        <v>0.48829287047999997</v>
      </c>
      <c r="J1409" s="50">
        <v>0.28152200277799999</v>
      </c>
      <c r="K1409" s="50">
        <v>1884.89</v>
      </c>
      <c r="L1409" s="50">
        <v>1815.8</v>
      </c>
      <c r="M1409" s="50">
        <v>1875.39</v>
      </c>
      <c r="N1409" s="66">
        <f t="shared" si="168"/>
        <v>4.5643839414734773E-3</v>
      </c>
      <c r="O1409" s="66">
        <f t="shared" si="169"/>
        <v>6.7399314275963249E-3</v>
      </c>
      <c r="P1409" s="4">
        <f t="shared" si="170"/>
        <v>8.4794999999999954E-2</v>
      </c>
      <c r="Q1409" s="4">
        <f t="shared" si="171"/>
        <v>1.0970000000000008E-2</v>
      </c>
      <c r="R1409" s="66">
        <f t="shared" si="172"/>
        <v>4.5643839414734773E-3</v>
      </c>
      <c r="S1409" s="66">
        <f t="shared" si="173"/>
        <v>6.7399314275963249E-3</v>
      </c>
      <c r="T1409" s="50">
        <f t="shared" si="174"/>
        <v>1</v>
      </c>
      <c r="U1409" s="50">
        <f t="shared" si="175"/>
        <v>1</v>
      </c>
    </row>
    <row r="1410" spans="1:21" x14ac:dyDescent="0.2">
      <c r="A1410" s="38">
        <v>41760</v>
      </c>
      <c r="B1410" s="4">
        <v>0.29773500000000003</v>
      </c>
      <c r="C1410" s="4">
        <v>0.40776699999999999</v>
      </c>
      <c r="D1410" s="4">
        <v>0.29449799999999998</v>
      </c>
      <c r="E1410" s="50">
        <v>1</v>
      </c>
      <c r="F1410" s="50">
        <v>0.33076412500000002</v>
      </c>
      <c r="G1410" s="50">
        <v>3.2369999999999999E-3</v>
      </c>
      <c r="H1410" s="50">
        <v>0.38490743662900001</v>
      </c>
      <c r="I1410" s="50">
        <v>0.48829287047999997</v>
      </c>
      <c r="J1410" s="50">
        <v>0.28152200277799999</v>
      </c>
      <c r="K1410" s="50">
        <v>1885.2</v>
      </c>
      <c r="L1410" s="50">
        <v>1850.61</v>
      </c>
      <c r="M1410" s="50">
        <v>1883.95</v>
      </c>
      <c r="N1410" s="66">
        <f t="shared" si="168"/>
        <v>-3.0467899891186119E-3</v>
      </c>
      <c r="O1410" s="66">
        <f t="shared" si="169"/>
        <v>1.3710554951033693E-2</v>
      </c>
      <c r="P1410" s="4">
        <f t="shared" si="170"/>
        <v>3.2370000000000454E-3</v>
      </c>
      <c r="Q1410" s="4">
        <f t="shared" si="171"/>
        <v>-9.6492499999999842E-3</v>
      </c>
      <c r="R1410" s="66">
        <f t="shared" si="172"/>
        <v>-3.0467899891186119E-3</v>
      </c>
      <c r="S1410" s="66">
        <f t="shared" si="173"/>
        <v>1.3710554951033693E-2</v>
      </c>
      <c r="T1410" s="50" t="str">
        <f t="shared" si="174"/>
        <v/>
      </c>
      <c r="U1410" s="50">
        <f t="shared" si="175"/>
        <v>1</v>
      </c>
    </row>
    <row r="1411" spans="1:21" x14ac:dyDescent="0.2">
      <c r="A1411" s="38">
        <v>41767</v>
      </c>
      <c r="B1411" s="4">
        <v>0.283439</v>
      </c>
      <c r="C1411" s="4">
        <v>0.42993599999999998</v>
      </c>
      <c r="D1411" s="4">
        <v>0.28662399999999999</v>
      </c>
      <c r="E1411" s="50">
        <v>0.99999899999999997</v>
      </c>
      <c r="F1411" s="50">
        <v>0.31451800000000002</v>
      </c>
      <c r="G1411" s="50">
        <v>-3.1849999999999999E-3</v>
      </c>
      <c r="H1411" s="50">
        <v>0.38490743662900001</v>
      </c>
      <c r="I1411" s="50">
        <v>0.48829287047999997</v>
      </c>
      <c r="J1411" s="50">
        <v>0.28152200277799999</v>
      </c>
      <c r="K1411" s="50">
        <v>1891.33</v>
      </c>
      <c r="L1411" s="50">
        <v>1859.79</v>
      </c>
      <c r="M1411" s="50">
        <v>1878.21</v>
      </c>
      <c r="N1411" s="66">
        <f t="shared" si="168"/>
        <v>5.494593256345103E-3</v>
      </c>
      <c r="O1411" s="66">
        <f t="shared" si="169"/>
        <v>2.6445392155296836E-2</v>
      </c>
      <c r="P1411" s="4">
        <f t="shared" si="170"/>
        <v>-3.1849999999999934E-3</v>
      </c>
      <c r="Q1411" s="4">
        <f t="shared" si="171"/>
        <v>3.6275000000000057E-3</v>
      </c>
      <c r="R1411" s="66">
        <f t="shared" si="172"/>
        <v>5.494593256345103E-3</v>
      </c>
      <c r="S1411" s="66">
        <f t="shared" si="173"/>
        <v>2.6445392155296836E-2</v>
      </c>
      <c r="T1411" s="50">
        <f t="shared" si="174"/>
        <v>1</v>
      </c>
      <c r="U1411" s="50">
        <f t="shared" si="175"/>
        <v>1</v>
      </c>
    </row>
    <row r="1412" spans="1:21" x14ac:dyDescent="0.2">
      <c r="A1412" s="38">
        <v>41774</v>
      </c>
      <c r="B1412" s="4">
        <v>0.33121</v>
      </c>
      <c r="C1412" s="4">
        <v>0.44267499999999999</v>
      </c>
      <c r="D1412" s="4">
        <v>0.22611500000000001</v>
      </c>
      <c r="E1412" s="50">
        <v>1</v>
      </c>
      <c r="F1412" s="50">
        <v>0.30994224999999997</v>
      </c>
      <c r="G1412" s="50">
        <v>0.10509499999999999</v>
      </c>
      <c r="H1412" s="50">
        <v>0.38490743662900001</v>
      </c>
      <c r="I1412" s="50">
        <v>0.48829287047999997</v>
      </c>
      <c r="J1412" s="50">
        <v>0.28152200277799999</v>
      </c>
      <c r="K1412" s="50">
        <v>1902.17</v>
      </c>
      <c r="L1412" s="50">
        <v>1859.79</v>
      </c>
      <c r="M1412" s="50">
        <v>1888.53</v>
      </c>
      <c r="N1412" s="66">
        <f t="shared" si="168"/>
        <v>-2.6475618602828658E-4</v>
      </c>
      <c r="O1412" s="66">
        <f t="shared" si="169"/>
        <v>2.9313804917051954E-2</v>
      </c>
      <c r="P1412" s="4">
        <f t="shared" si="170"/>
        <v>0.10509499999999999</v>
      </c>
      <c r="Q1412" s="4">
        <f t="shared" si="171"/>
        <v>4.74855E-2</v>
      </c>
      <c r="R1412" s="66">
        <f t="shared" si="172"/>
        <v>-2.6475618602828658E-4</v>
      </c>
      <c r="S1412" s="66">
        <f t="shared" si="173"/>
        <v>2.9313804917051954E-2</v>
      </c>
      <c r="T1412" s="50" t="str">
        <f t="shared" si="174"/>
        <v/>
      </c>
      <c r="U1412" s="50">
        <f t="shared" si="175"/>
        <v>1</v>
      </c>
    </row>
    <row r="1413" spans="1:21" x14ac:dyDescent="0.2">
      <c r="A1413" s="38">
        <v>41781</v>
      </c>
      <c r="B1413" s="4">
        <v>0.30434800000000001</v>
      </c>
      <c r="C1413" s="4">
        <v>0.43167699999999998</v>
      </c>
      <c r="D1413" s="4">
        <v>0.26397500000000002</v>
      </c>
      <c r="E1413" s="50">
        <v>1</v>
      </c>
      <c r="F1413" s="50">
        <v>0.30903387500000001</v>
      </c>
      <c r="G1413" s="50">
        <v>4.0372999999999999E-2</v>
      </c>
      <c r="H1413" s="50">
        <v>0.38490743662900001</v>
      </c>
      <c r="I1413" s="50">
        <v>0.48829287047999997</v>
      </c>
      <c r="J1413" s="50">
        <v>0.28152200277799999</v>
      </c>
      <c r="K1413" s="50">
        <v>1902.17</v>
      </c>
      <c r="L1413" s="50">
        <v>1862.36</v>
      </c>
      <c r="M1413" s="50">
        <v>1888.03</v>
      </c>
      <c r="N1413" s="66">
        <f t="shared" si="168"/>
        <v>1.151994406868535E-2</v>
      </c>
      <c r="O1413" s="66">
        <f t="shared" si="169"/>
        <v>3.6519546829234729E-2</v>
      </c>
      <c r="P1413" s="4">
        <f t="shared" si="170"/>
        <v>4.0372999999999992E-2</v>
      </c>
      <c r="Q1413" s="4">
        <f t="shared" si="171"/>
        <v>3.638000000000001E-2</v>
      </c>
      <c r="R1413" s="66">
        <f t="shared" si="172"/>
        <v>1.151994406868535E-2</v>
      </c>
      <c r="S1413" s="66">
        <f t="shared" si="173"/>
        <v>3.6519546829234729E-2</v>
      </c>
      <c r="T1413" s="50">
        <f t="shared" si="174"/>
        <v>1</v>
      </c>
      <c r="U1413" s="50">
        <f t="shared" si="175"/>
        <v>1</v>
      </c>
    </row>
    <row r="1414" spans="1:21" x14ac:dyDescent="0.2">
      <c r="A1414" s="38">
        <v>41788</v>
      </c>
      <c r="B1414" s="4">
        <v>0.36464099999999999</v>
      </c>
      <c r="C1414" s="4">
        <v>0.40331499999999998</v>
      </c>
      <c r="D1414" s="4">
        <v>0.232044</v>
      </c>
      <c r="E1414" s="50">
        <v>1</v>
      </c>
      <c r="F1414" s="50">
        <v>0.31041762499999997</v>
      </c>
      <c r="G1414" s="50">
        <v>0.13259699999999999</v>
      </c>
      <c r="H1414" s="50">
        <v>0.38490743662900001</v>
      </c>
      <c r="I1414" s="50">
        <v>0.48829287047999997</v>
      </c>
      <c r="J1414" s="50">
        <v>0.28152200277799999</v>
      </c>
      <c r="K1414" s="50">
        <v>1914.46</v>
      </c>
      <c r="L1414" s="50">
        <v>1868.14</v>
      </c>
      <c r="M1414" s="50">
        <v>1909.78</v>
      </c>
      <c r="N1414" s="66">
        <f t="shared" si="168"/>
        <v>9.4775314434124014E-3</v>
      </c>
      <c r="O1414" s="66">
        <f t="shared" si="169"/>
        <v>2.605012095634052E-2</v>
      </c>
      <c r="P1414" s="4">
        <f t="shared" si="170"/>
        <v>0.13259699999999999</v>
      </c>
      <c r="Q1414" s="4">
        <f t="shared" si="171"/>
        <v>6.8720000000000003E-2</v>
      </c>
      <c r="R1414" s="66">
        <f t="shared" si="172"/>
        <v>9.4775314434124014E-3</v>
      </c>
      <c r="S1414" s="66">
        <f t="shared" si="173"/>
        <v>2.605012095634052E-2</v>
      </c>
      <c r="T1414" s="50">
        <f t="shared" si="174"/>
        <v>1</v>
      </c>
      <c r="U1414" s="50">
        <f t="shared" si="175"/>
        <v>1</v>
      </c>
    </row>
    <row r="1415" spans="1:21" x14ac:dyDescent="0.2">
      <c r="A1415" s="38">
        <v>41795</v>
      </c>
      <c r="B1415" s="4">
        <v>0.39506200000000002</v>
      </c>
      <c r="C1415" s="4">
        <v>0.382716</v>
      </c>
      <c r="D1415" s="4">
        <v>0.222222</v>
      </c>
      <c r="E1415" s="50">
        <v>1</v>
      </c>
      <c r="F1415" s="50">
        <v>0.32420437499999999</v>
      </c>
      <c r="G1415" s="50">
        <v>0.17283999999999999</v>
      </c>
      <c r="H1415" s="50">
        <v>0.38490743662900001</v>
      </c>
      <c r="I1415" s="50">
        <v>0.48829287047999997</v>
      </c>
      <c r="J1415" s="50">
        <v>0.28152200277799999</v>
      </c>
      <c r="K1415" s="50">
        <v>1928.63</v>
      </c>
      <c r="L1415" s="50">
        <v>1902.01</v>
      </c>
      <c r="M1415" s="50">
        <v>1927.88</v>
      </c>
      <c r="N1415" s="66">
        <f t="shared" si="168"/>
        <v>8.3044587837417215E-3</v>
      </c>
      <c r="O1415" s="66">
        <f t="shared" si="169"/>
        <v>2.4244247567275858E-2</v>
      </c>
      <c r="P1415" s="4">
        <f t="shared" si="170"/>
        <v>0.17284000000000002</v>
      </c>
      <c r="Q1415" s="4">
        <f t="shared" si="171"/>
        <v>0.11272625</v>
      </c>
      <c r="R1415" s="66">
        <f t="shared" si="172"/>
        <v>8.3044587837417215E-3</v>
      </c>
      <c r="S1415" s="66">
        <f t="shared" si="173"/>
        <v>2.4244247567275858E-2</v>
      </c>
      <c r="T1415" s="50">
        <f t="shared" si="174"/>
        <v>1</v>
      </c>
      <c r="U1415" s="50">
        <f t="shared" si="175"/>
        <v>1</v>
      </c>
    </row>
    <row r="1416" spans="1:21" x14ac:dyDescent="0.2">
      <c r="A1416" s="38">
        <v>41802</v>
      </c>
      <c r="B1416" s="4">
        <v>0.44687500000000002</v>
      </c>
      <c r="C1416" s="4">
        <v>0.34062500000000001</v>
      </c>
      <c r="D1416" s="4">
        <v>0.21249999999999999</v>
      </c>
      <c r="E1416" s="50">
        <v>1</v>
      </c>
      <c r="F1416" s="50">
        <v>0.34604237500000001</v>
      </c>
      <c r="G1416" s="50">
        <v>0.234375</v>
      </c>
      <c r="H1416" s="50">
        <v>0.38490743662900001</v>
      </c>
      <c r="I1416" s="50">
        <v>0.48829287047999997</v>
      </c>
      <c r="J1416" s="50">
        <v>0.28152200277799999</v>
      </c>
      <c r="K1416" s="50">
        <v>1955.55</v>
      </c>
      <c r="L1416" s="50">
        <v>1918.6</v>
      </c>
      <c r="M1416" s="50">
        <v>1943.89</v>
      </c>
      <c r="N1416" s="66">
        <f t="shared" si="168"/>
        <v>6.7339201292253769E-3</v>
      </c>
      <c r="O1416" s="66">
        <f t="shared" si="169"/>
        <v>1.4887673685239302E-2</v>
      </c>
      <c r="P1416" s="4">
        <f t="shared" si="170"/>
        <v>0.23437500000000003</v>
      </c>
      <c r="Q1416" s="4">
        <f t="shared" si="171"/>
        <v>0.14504625000000002</v>
      </c>
      <c r="R1416" s="66">
        <f t="shared" si="172"/>
        <v>6.7339201292253769E-3</v>
      </c>
      <c r="S1416" s="66">
        <f t="shared" si="173"/>
        <v>1.4887673685239302E-2</v>
      </c>
      <c r="T1416" s="50">
        <f t="shared" si="174"/>
        <v>1</v>
      </c>
      <c r="U1416" s="50">
        <f t="shared" si="175"/>
        <v>1</v>
      </c>
    </row>
    <row r="1417" spans="1:21" x14ac:dyDescent="0.2">
      <c r="A1417" s="38">
        <v>41809</v>
      </c>
      <c r="B1417" s="4">
        <v>0.351744</v>
      </c>
      <c r="C1417" s="4">
        <v>0.40697699999999998</v>
      </c>
      <c r="D1417" s="4">
        <v>0.24127899999999999</v>
      </c>
      <c r="E1417" s="50">
        <v>1</v>
      </c>
      <c r="F1417" s="50">
        <v>0.34688174999999999</v>
      </c>
      <c r="G1417" s="50">
        <v>0.11046499999999999</v>
      </c>
      <c r="H1417" s="50">
        <v>0.38490743662900001</v>
      </c>
      <c r="I1417" s="50">
        <v>0.48829287047999997</v>
      </c>
      <c r="J1417" s="50">
        <v>0.28152200277799999</v>
      </c>
      <c r="K1417" s="50">
        <v>1957.74</v>
      </c>
      <c r="L1417" s="50">
        <v>1925.78</v>
      </c>
      <c r="M1417" s="50">
        <v>1956.98</v>
      </c>
      <c r="N1417" s="66">
        <f t="shared" si="168"/>
        <v>1.3030281351878682E-3</v>
      </c>
      <c r="O1417" s="66">
        <f t="shared" si="169"/>
        <v>1.2565279154615744E-2</v>
      </c>
      <c r="P1417" s="4">
        <f t="shared" si="170"/>
        <v>0.11046500000000001</v>
      </c>
      <c r="Q1417" s="4">
        <f t="shared" si="171"/>
        <v>0.16256925000000003</v>
      </c>
      <c r="R1417" s="66">
        <f t="shared" si="172"/>
        <v>1.3030281351878682E-3</v>
      </c>
      <c r="S1417" s="66">
        <f t="shared" si="173"/>
        <v>1.2565279154615744E-2</v>
      </c>
      <c r="T1417" s="50">
        <f t="shared" si="174"/>
        <v>1</v>
      </c>
      <c r="U1417" s="50">
        <f t="shared" si="175"/>
        <v>1</v>
      </c>
    </row>
    <row r="1418" spans="1:21" x14ac:dyDescent="0.2">
      <c r="A1418" s="38">
        <v>41816</v>
      </c>
      <c r="B1418" s="4">
        <v>0.37220799999999998</v>
      </c>
      <c r="C1418" s="4">
        <v>0.41687299999999999</v>
      </c>
      <c r="D1418" s="4">
        <v>0.21091799999999999</v>
      </c>
      <c r="E1418" s="50">
        <v>0.99999899999999997</v>
      </c>
      <c r="F1418" s="50">
        <v>0.35619087500000002</v>
      </c>
      <c r="G1418" s="50">
        <v>0.16128999999999999</v>
      </c>
      <c r="H1418" s="50">
        <v>0.38490743662900001</v>
      </c>
      <c r="I1418" s="50">
        <v>0.48829287047999997</v>
      </c>
      <c r="J1418" s="50">
        <v>0.28152200277799999</v>
      </c>
      <c r="K1418" s="50">
        <v>1968.17</v>
      </c>
      <c r="L1418" s="50">
        <v>1933.55</v>
      </c>
      <c r="M1418" s="50">
        <v>1959.53</v>
      </c>
      <c r="N1418" s="66">
        <f t="shared" si="168"/>
        <v>7.700826218531953E-3</v>
      </c>
      <c r="O1418" s="66">
        <f t="shared" si="169"/>
        <v>1.4023771006312748E-2</v>
      </c>
      <c r="P1418" s="4">
        <f t="shared" si="170"/>
        <v>0.16128999999999999</v>
      </c>
      <c r="Q1418" s="4">
        <f t="shared" si="171"/>
        <v>0.16974250000000002</v>
      </c>
      <c r="R1418" s="66">
        <f t="shared" si="172"/>
        <v>7.700826218531953E-3</v>
      </c>
      <c r="S1418" s="66">
        <f t="shared" si="173"/>
        <v>1.4023771006312748E-2</v>
      </c>
      <c r="T1418" s="50">
        <f t="shared" si="174"/>
        <v>1</v>
      </c>
      <c r="U1418" s="50">
        <f t="shared" si="175"/>
        <v>1</v>
      </c>
    </row>
    <row r="1419" spans="1:21" x14ac:dyDescent="0.2">
      <c r="A1419" s="38">
        <v>41823</v>
      </c>
      <c r="B1419" s="4">
        <v>0.385075</v>
      </c>
      <c r="C1419" s="4">
        <v>0.39104499999999998</v>
      </c>
      <c r="D1419" s="4">
        <v>0.223881</v>
      </c>
      <c r="E1419" s="50">
        <v>1.0000009999999999</v>
      </c>
      <c r="F1419" s="50">
        <v>0.36889537500000003</v>
      </c>
      <c r="G1419" s="50">
        <v>0.161194</v>
      </c>
      <c r="H1419" s="50">
        <v>0.38490743662900001</v>
      </c>
      <c r="I1419" s="50">
        <v>0.48829287047999997</v>
      </c>
      <c r="J1419" s="50">
        <v>0.28152200277799999</v>
      </c>
      <c r="K1419" s="50">
        <v>1978.58</v>
      </c>
      <c r="L1419" s="50">
        <v>1944.69</v>
      </c>
      <c r="M1419" s="50">
        <v>1974.62</v>
      </c>
      <c r="N1419" s="66">
        <f t="shared" si="168"/>
        <v>-9.0650352979305569E-4</v>
      </c>
      <c r="O1419" s="66">
        <f t="shared" si="169"/>
        <v>-2.3042408159544394E-3</v>
      </c>
      <c r="P1419" s="4">
        <f t="shared" si="170"/>
        <v>0.161194</v>
      </c>
      <c r="Q1419" s="4">
        <f t="shared" si="171"/>
        <v>0.16683100000000001</v>
      </c>
      <c r="R1419" s="66">
        <f t="shared" si="172"/>
        <v>-9.0650352979305569E-4</v>
      </c>
      <c r="S1419" s="66">
        <f t="shared" si="173"/>
        <v>-2.3042408159544394E-3</v>
      </c>
      <c r="T1419" s="50" t="str">
        <f t="shared" si="174"/>
        <v/>
      </c>
      <c r="U1419" s="50" t="str">
        <f t="shared" si="175"/>
        <v/>
      </c>
    </row>
    <row r="1420" spans="1:21" x14ac:dyDescent="0.2">
      <c r="A1420" s="38">
        <v>41830</v>
      </c>
      <c r="B1420" s="4">
        <v>0.37640400000000002</v>
      </c>
      <c r="C1420" s="4">
        <v>0.33707900000000002</v>
      </c>
      <c r="D1420" s="4">
        <v>0.28651700000000002</v>
      </c>
      <c r="E1420" s="50">
        <v>1</v>
      </c>
      <c r="F1420" s="50">
        <v>0.37454462500000002</v>
      </c>
      <c r="G1420" s="50">
        <v>8.9886999999999995E-2</v>
      </c>
      <c r="H1420" s="50">
        <v>0.38490743662900001</v>
      </c>
      <c r="I1420" s="50">
        <v>0.48829287047999997</v>
      </c>
      <c r="J1420" s="50">
        <v>0.28152200277799999</v>
      </c>
      <c r="K1420" s="50">
        <v>1985.59</v>
      </c>
      <c r="L1420" s="50">
        <v>1958.22</v>
      </c>
      <c r="M1420" s="50">
        <v>1972.83</v>
      </c>
      <c r="N1420" s="66">
        <f t="shared" si="168"/>
        <v>4.4301840503236517E-3</v>
      </c>
      <c r="O1420" s="66">
        <f t="shared" si="169"/>
        <v>-2.6657137208984008E-2</v>
      </c>
      <c r="P1420" s="4">
        <f t="shared" si="170"/>
        <v>8.9886999999999995E-2</v>
      </c>
      <c r="Q1420" s="4">
        <f t="shared" si="171"/>
        <v>0.13070899999999999</v>
      </c>
      <c r="R1420" s="66">
        <f t="shared" si="172"/>
        <v>4.4301840503236517E-3</v>
      </c>
      <c r="S1420" s="66">
        <f t="shared" si="173"/>
        <v>-2.6657137208984008E-2</v>
      </c>
      <c r="T1420" s="50">
        <f t="shared" si="174"/>
        <v>1</v>
      </c>
      <c r="U1420" s="50" t="str">
        <f t="shared" si="175"/>
        <v/>
      </c>
    </row>
    <row r="1421" spans="1:21" x14ac:dyDescent="0.2">
      <c r="A1421" s="38">
        <v>41837</v>
      </c>
      <c r="B1421" s="4">
        <v>0.323625</v>
      </c>
      <c r="C1421" s="4">
        <v>0.39158599999999999</v>
      </c>
      <c r="D1421" s="4">
        <v>0.28478999999999999</v>
      </c>
      <c r="E1421" s="50">
        <v>1.0000009999999999</v>
      </c>
      <c r="F1421" s="50">
        <v>0.37695424999999999</v>
      </c>
      <c r="G1421" s="50">
        <v>3.8835000000000001E-2</v>
      </c>
      <c r="H1421" s="50">
        <v>0.38490743662900001</v>
      </c>
      <c r="I1421" s="50">
        <v>0.48829287047999997</v>
      </c>
      <c r="J1421" s="50">
        <v>0.28152200277799999</v>
      </c>
      <c r="K1421" s="50">
        <v>1983.94</v>
      </c>
      <c r="L1421" s="50">
        <v>1952.86</v>
      </c>
      <c r="M1421" s="50">
        <v>1981.57</v>
      </c>
      <c r="N1421" s="66">
        <f t="shared" ref="N1421:N1484" si="176">(M1422-M1421)/M1421</f>
        <v>2.7452979203359228E-3</v>
      </c>
      <c r="O1421" s="66">
        <f t="shared" ref="O1421:O1484" si="177">(M1425-M1421)/M1421</f>
        <v>-1.7587064802151785E-2</v>
      </c>
      <c r="P1421" s="4">
        <f t="shared" si="170"/>
        <v>3.8835000000000008E-2</v>
      </c>
      <c r="Q1421" s="4">
        <f t="shared" si="171"/>
        <v>0.1128015</v>
      </c>
      <c r="R1421" s="66">
        <f t="shared" si="172"/>
        <v>2.7452979203359228E-3</v>
      </c>
      <c r="S1421" s="66">
        <f t="shared" si="173"/>
        <v>-1.7587064802151785E-2</v>
      </c>
      <c r="T1421" s="50">
        <f t="shared" si="174"/>
        <v>1</v>
      </c>
      <c r="U1421" s="50" t="str">
        <f t="shared" si="175"/>
        <v/>
      </c>
    </row>
    <row r="1422" spans="1:21" x14ac:dyDescent="0.2">
      <c r="A1422" s="38">
        <v>41844</v>
      </c>
      <c r="B1422" s="4">
        <v>0.296296</v>
      </c>
      <c r="C1422" s="4">
        <v>0.40432099999999999</v>
      </c>
      <c r="D1422" s="4">
        <v>0.29938300000000001</v>
      </c>
      <c r="E1422" s="50">
        <v>1</v>
      </c>
      <c r="F1422" s="50">
        <v>0.36841112500000001</v>
      </c>
      <c r="G1422" s="50">
        <v>-3.0869999999999999E-3</v>
      </c>
      <c r="H1422" s="50">
        <v>0.38490743662900001</v>
      </c>
      <c r="I1422" s="50">
        <v>0.48829287047999997</v>
      </c>
      <c r="J1422" s="50">
        <v>0.28152200277799999</v>
      </c>
      <c r="K1422" s="50">
        <v>1989.23</v>
      </c>
      <c r="L1422" s="50">
        <v>1955.59</v>
      </c>
      <c r="M1422" s="50">
        <v>1987.01</v>
      </c>
      <c r="N1422" s="66">
        <f t="shared" si="176"/>
        <v>-8.5253722930433446E-3</v>
      </c>
      <c r="O1422" s="66">
        <f t="shared" si="177"/>
        <v>-2.5163436520198691E-4</v>
      </c>
      <c r="P1422" s="4">
        <f t="shared" ref="P1422:P1485" si="178">B1422-D1422</f>
        <v>-3.0870000000000064E-3</v>
      </c>
      <c r="Q1422" s="4">
        <f t="shared" si="171"/>
        <v>7.170725E-2</v>
      </c>
      <c r="R1422" s="66">
        <f t="shared" si="172"/>
        <v>-8.5253722930433446E-3</v>
      </c>
      <c r="S1422" s="66">
        <f t="shared" si="173"/>
        <v>-2.5163436520198691E-4</v>
      </c>
      <c r="T1422" s="50" t="str">
        <f t="shared" si="174"/>
        <v/>
      </c>
      <c r="U1422" s="50" t="str">
        <f t="shared" si="175"/>
        <v/>
      </c>
    </row>
    <row r="1423" spans="1:21" x14ac:dyDescent="0.2">
      <c r="A1423" s="38">
        <v>41851</v>
      </c>
      <c r="B1423" s="4">
        <v>0.311224</v>
      </c>
      <c r="C1423" s="4">
        <v>0.37755100000000003</v>
      </c>
      <c r="D1423" s="4">
        <v>0.311224</v>
      </c>
      <c r="E1423" s="50">
        <v>0.99999899999999997</v>
      </c>
      <c r="F1423" s="50">
        <v>0.357931375</v>
      </c>
      <c r="G1423" s="50">
        <v>0</v>
      </c>
      <c r="H1423" s="50">
        <v>0.38490743662900001</v>
      </c>
      <c r="I1423" s="50">
        <v>0.48829287047999997</v>
      </c>
      <c r="J1423" s="50">
        <v>0.28152200277799999</v>
      </c>
      <c r="K1423" s="50">
        <v>1991.39</v>
      </c>
      <c r="L1423" s="50">
        <v>1962.42</v>
      </c>
      <c r="M1423" s="50">
        <v>1970.07</v>
      </c>
      <c r="N1423" s="66">
        <f t="shared" si="176"/>
        <v>-2.5293517489226234E-2</v>
      </c>
      <c r="O1423" s="66">
        <f t="shared" si="177"/>
        <v>1.5253265112407152E-2</v>
      </c>
      <c r="P1423" s="4">
        <f t="shared" si="178"/>
        <v>0</v>
      </c>
      <c r="Q1423" s="4">
        <f t="shared" si="171"/>
        <v>3.1408749999999999E-2</v>
      </c>
      <c r="R1423" s="66">
        <f t="shared" si="172"/>
        <v>-2.5293517489226234E-2</v>
      </c>
      <c r="S1423" s="66">
        <f t="shared" si="173"/>
        <v>1.5253265112407152E-2</v>
      </c>
      <c r="T1423" s="50" t="str">
        <f t="shared" si="174"/>
        <v/>
      </c>
      <c r="U1423" s="50">
        <f t="shared" si="175"/>
        <v>1</v>
      </c>
    </row>
    <row r="1424" spans="1:21" x14ac:dyDescent="0.2">
      <c r="A1424" s="38">
        <v>41858</v>
      </c>
      <c r="B1424" s="4">
        <v>0.308869</v>
      </c>
      <c r="C1424" s="4">
        <v>0.308869</v>
      </c>
      <c r="D1424" s="4">
        <v>0.38226300000000002</v>
      </c>
      <c r="E1424" s="50">
        <v>1.0000009999999999</v>
      </c>
      <c r="F1424" s="50">
        <v>0.34068062500000001</v>
      </c>
      <c r="G1424" s="50">
        <v>-7.3394000000000001E-2</v>
      </c>
      <c r="H1424" s="50">
        <v>0.38490743662900001</v>
      </c>
      <c r="I1424" s="50">
        <v>0.48829287047999997</v>
      </c>
      <c r="J1424" s="50">
        <v>0.28152200277799999</v>
      </c>
      <c r="K1424" s="50">
        <v>1984.85</v>
      </c>
      <c r="L1424" s="50">
        <v>1911.45</v>
      </c>
      <c r="M1424" s="50">
        <v>1920.24</v>
      </c>
      <c r="N1424" s="66">
        <f t="shared" si="176"/>
        <v>1.3789942923801202E-2</v>
      </c>
      <c r="O1424" s="66">
        <f t="shared" si="177"/>
        <v>4.1911427738199399E-2</v>
      </c>
      <c r="P1424" s="4">
        <f t="shared" si="178"/>
        <v>-7.3394000000000015E-2</v>
      </c>
      <c r="Q1424" s="4">
        <f t="shared" si="171"/>
        <v>-9.4115000000000032E-3</v>
      </c>
      <c r="R1424" s="66">
        <f t="shared" si="172"/>
        <v>1.3789942923801202E-2</v>
      </c>
      <c r="S1424" s="66">
        <f t="shared" si="173"/>
        <v>4.1911427738199399E-2</v>
      </c>
      <c r="T1424" s="50">
        <f t="shared" si="174"/>
        <v>1</v>
      </c>
      <c r="U1424" s="50">
        <f t="shared" si="175"/>
        <v>1</v>
      </c>
    </row>
    <row r="1425" spans="1:21" x14ac:dyDescent="0.2">
      <c r="A1425" s="38">
        <v>41865</v>
      </c>
      <c r="B1425" s="4">
        <v>0.398119</v>
      </c>
      <c r="C1425" s="4">
        <v>0.33228799999999997</v>
      </c>
      <c r="D1425" s="4">
        <v>0.269592</v>
      </c>
      <c r="E1425" s="50">
        <v>0.99999899999999997</v>
      </c>
      <c r="F1425" s="50">
        <v>0.34647749999999999</v>
      </c>
      <c r="G1425" s="50">
        <v>0.128527</v>
      </c>
      <c r="H1425" s="50">
        <v>0.38490743662900001</v>
      </c>
      <c r="I1425" s="50">
        <v>0.48829287047999997</v>
      </c>
      <c r="J1425" s="50">
        <v>0.28152200277799999</v>
      </c>
      <c r="K1425" s="50">
        <v>1936.34</v>
      </c>
      <c r="L1425" s="50">
        <v>1904.78</v>
      </c>
      <c r="M1425" s="50">
        <v>1946.72</v>
      </c>
      <c r="N1425" s="66">
        <f t="shared" si="176"/>
        <v>2.0439508506616237E-2</v>
      </c>
      <c r="O1425" s="66">
        <f t="shared" si="177"/>
        <v>2.5155132736089436E-2</v>
      </c>
      <c r="P1425" s="4">
        <f t="shared" si="178"/>
        <v>0.128527</v>
      </c>
      <c r="Q1425" s="4">
        <f t="shared" ref="Q1425:Q1488" si="179">AVERAGE(P1422:P1425)</f>
        <v>1.3011499999999995E-2</v>
      </c>
      <c r="R1425" s="66">
        <f t="shared" ref="R1425:R1488" si="180">(M1426-M1425)/M1425</f>
        <v>2.0439508506616237E-2</v>
      </c>
      <c r="S1425" s="66">
        <f t="shared" ref="S1425:S1488" si="181">(M1429-M1425)/M1425</f>
        <v>2.5155132736089436E-2</v>
      </c>
      <c r="T1425" s="50">
        <f t="shared" ref="T1425:T1488" si="182">IF(R1425&gt;0,1,"")</f>
        <v>1</v>
      </c>
      <c r="U1425" s="50">
        <f t="shared" ref="U1425:U1488" si="183">IF(S1425&gt;0,1,"")</f>
        <v>1</v>
      </c>
    </row>
    <row r="1426" spans="1:21" x14ac:dyDescent="0.2">
      <c r="A1426" s="38">
        <v>41872</v>
      </c>
      <c r="B1426" s="4">
        <v>0.46107799999999999</v>
      </c>
      <c r="C1426" s="4">
        <v>0.30239500000000002</v>
      </c>
      <c r="D1426" s="4">
        <v>0.23652699999999999</v>
      </c>
      <c r="E1426" s="50">
        <v>1</v>
      </c>
      <c r="F1426" s="50">
        <v>0.35758624999999999</v>
      </c>
      <c r="G1426" s="50">
        <v>0.224551</v>
      </c>
      <c r="H1426" s="50">
        <v>0.38490743662900001</v>
      </c>
      <c r="I1426" s="50">
        <v>0.48829287047999997</v>
      </c>
      <c r="J1426" s="50">
        <v>0.28152200277799999</v>
      </c>
      <c r="K1426" s="50">
        <v>1988.57</v>
      </c>
      <c r="L1426" s="50">
        <v>1928.29</v>
      </c>
      <c r="M1426" s="50">
        <v>1986.51</v>
      </c>
      <c r="N1426" s="66">
        <f t="shared" si="176"/>
        <v>6.8512114210348297E-3</v>
      </c>
      <c r="O1426" s="66">
        <f t="shared" si="177"/>
        <v>7.5811347539151306E-3</v>
      </c>
      <c r="P1426" s="4">
        <f t="shared" si="178"/>
        <v>0.224551</v>
      </c>
      <c r="Q1426" s="4">
        <f t="shared" si="179"/>
        <v>6.9920999999999997E-2</v>
      </c>
      <c r="R1426" s="66">
        <f t="shared" si="180"/>
        <v>6.8512114210348297E-3</v>
      </c>
      <c r="S1426" s="66">
        <f t="shared" si="181"/>
        <v>7.5811347539151306E-3</v>
      </c>
      <c r="T1426" s="50">
        <f t="shared" si="182"/>
        <v>1</v>
      </c>
      <c r="U1426" s="50">
        <f t="shared" si="183"/>
        <v>1</v>
      </c>
    </row>
    <row r="1427" spans="1:21" x14ac:dyDescent="0.2">
      <c r="A1427" s="38">
        <v>41879</v>
      </c>
      <c r="B1427" s="4">
        <v>0.519231</v>
      </c>
      <c r="C1427" s="4">
        <v>0.288462</v>
      </c>
      <c r="D1427" s="4">
        <v>0.19230800000000001</v>
      </c>
      <c r="E1427" s="50">
        <v>1.0000009999999999</v>
      </c>
      <c r="F1427" s="50">
        <v>0.37435574999999999</v>
      </c>
      <c r="G1427" s="50">
        <v>0.32692300000000002</v>
      </c>
      <c r="H1427" s="50">
        <v>0.38490743662900001</v>
      </c>
      <c r="I1427" s="50">
        <v>0.48829287047999997</v>
      </c>
      <c r="J1427" s="50">
        <v>0.28152200277799999</v>
      </c>
      <c r="K1427" s="50">
        <v>2005.04</v>
      </c>
      <c r="L1427" s="50">
        <v>1972.73</v>
      </c>
      <c r="M1427" s="50">
        <v>2000.12</v>
      </c>
      <c r="N1427" s="66">
        <f t="shared" si="176"/>
        <v>2.9998200108000345E-4</v>
      </c>
      <c r="O1427" s="66">
        <f t="shared" si="177"/>
        <v>-9.0994540327577172E-4</v>
      </c>
      <c r="P1427" s="4">
        <f t="shared" si="178"/>
        <v>0.32692299999999996</v>
      </c>
      <c r="Q1427" s="4">
        <f t="shared" si="179"/>
        <v>0.15165174999999997</v>
      </c>
      <c r="R1427" s="66">
        <f t="shared" si="180"/>
        <v>2.9998200108000345E-4</v>
      </c>
      <c r="S1427" s="66">
        <f t="shared" si="181"/>
        <v>-9.0994540327577172E-4</v>
      </c>
      <c r="T1427" s="50">
        <f t="shared" si="182"/>
        <v>1</v>
      </c>
      <c r="U1427" s="50" t="str">
        <f t="shared" si="183"/>
        <v/>
      </c>
    </row>
    <row r="1428" spans="1:21" x14ac:dyDescent="0.2">
      <c r="A1428" s="38">
        <v>41886</v>
      </c>
      <c r="B1428" s="4">
        <v>0.44674599999999998</v>
      </c>
      <c r="C1428" s="4">
        <v>0.31360900000000003</v>
      </c>
      <c r="D1428" s="4">
        <v>0.239645</v>
      </c>
      <c r="E1428" s="50">
        <v>1</v>
      </c>
      <c r="F1428" s="50">
        <v>0.3831485</v>
      </c>
      <c r="G1428" s="50">
        <v>0.20710100000000001</v>
      </c>
      <c r="H1428" s="50">
        <v>0.38490743662900001</v>
      </c>
      <c r="I1428" s="50">
        <v>0.48829287047999997</v>
      </c>
      <c r="J1428" s="50">
        <v>0.28152200277799999</v>
      </c>
      <c r="K1428" s="50">
        <v>2009.28</v>
      </c>
      <c r="L1428" s="50">
        <v>1990.52</v>
      </c>
      <c r="M1428" s="50">
        <v>2000.72</v>
      </c>
      <c r="N1428" s="66">
        <f t="shared" si="176"/>
        <v>-2.5140949258266889E-3</v>
      </c>
      <c r="O1428" s="66">
        <f t="shared" si="177"/>
        <v>-2.7270182734215654E-2</v>
      </c>
      <c r="P1428" s="4">
        <f t="shared" si="178"/>
        <v>0.20710099999999998</v>
      </c>
      <c r="Q1428" s="4">
        <f t="shared" si="179"/>
        <v>0.22177549999999999</v>
      </c>
      <c r="R1428" s="66">
        <f t="shared" si="180"/>
        <v>-2.5140949258266889E-3</v>
      </c>
      <c r="S1428" s="66">
        <f t="shared" si="181"/>
        <v>-2.7270182734215654E-2</v>
      </c>
      <c r="T1428" s="50" t="str">
        <f t="shared" si="182"/>
        <v/>
      </c>
      <c r="U1428" s="50" t="str">
        <f t="shared" si="183"/>
        <v/>
      </c>
    </row>
    <row r="1429" spans="1:21" x14ac:dyDescent="0.2">
      <c r="A1429" s="38">
        <v>41893</v>
      </c>
      <c r="B1429" s="4">
        <v>0.40384599999999998</v>
      </c>
      <c r="C1429" s="4">
        <v>0.33012799999999998</v>
      </c>
      <c r="D1429" s="4">
        <v>0.26602599999999998</v>
      </c>
      <c r="E1429" s="50">
        <v>1</v>
      </c>
      <c r="F1429" s="50">
        <v>0.39317612499999999</v>
      </c>
      <c r="G1429" s="50">
        <v>0.13782</v>
      </c>
      <c r="H1429" s="50">
        <v>0.38490743662900001</v>
      </c>
      <c r="I1429" s="50">
        <v>0.48829287047999997</v>
      </c>
      <c r="J1429" s="50">
        <v>0.28152200277799999</v>
      </c>
      <c r="K1429" s="50">
        <v>2011.17</v>
      </c>
      <c r="L1429" s="50">
        <v>1982.99</v>
      </c>
      <c r="M1429" s="50">
        <v>1995.69</v>
      </c>
      <c r="N1429" s="66">
        <f t="shared" si="176"/>
        <v>2.9463493829201336E-3</v>
      </c>
      <c r="O1429" s="66">
        <f t="shared" si="177"/>
        <v>-1.3428939364330109E-2</v>
      </c>
      <c r="P1429" s="4">
        <f t="shared" si="178"/>
        <v>0.13782</v>
      </c>
      <c r="Q1429" s="4">
        <f t="shared" si="179"/>
        <v>0.22409875000000001</v>
      </c>
      <c r="R1429" s="66">
        <f t="shared" si="180"/>
        <v>2.9463493829201336E-3</v>
      </c>
      <c r="S1429" s="66">
        <f t="shared" si="181"/>
        <v>-1.3428939364330109E-2</v>
      </c>
      <c r="T1429" s="50">
        <f t="shared" si="182"/>
        <v>1</v>
      </c>
      <c r="U1429" s="50" t="str">
        <f t="shared" si="183"/>
        <v/>
      </c>
    </row>
    <row r="1430" spans="1:21" x14ac:dyDescent="0.2">
      <c r="A1430" s="38">
        <v>41900</v>
      </c>
      <c r="B1430" s="4">
        <v>0.42236000000000001</v>
      </c>
      <c r="C1430" s="4">
        <v>0.34782600000000002</v>
      </c>
      <c r="D1430" s="4">
        <v>0.22981399999999999</v>
      </c>
      <c r="E1430" s="50">
        <v>1</v>
      </c>
      <c r="F1430" s="50">
        <v>0.40893412499999998</v>
      </c>
      <c r="G1430" s="50">
        <v>0.19254599999999999</v>
      </c>
      <c r="H1430" s="50">
        <v>0.38490743662900001</v>
      </c>
      <c r="I1430" s="50">
        <v>0.48829287047999997</v>
      </c>
      <c r="J1430" s="50">
        <v>0.28152200277799999</v>
      </c>
      <c r="K1430" s="50">
        <v>2010.74</v>
      </c>
      <c r="L1430" s="50">
        <v>1978.48</v>
      </c>
      <c r="M1430" s="50">
        <v>2001.57</v>
      </c>
      <c r="N1430" s="66">
        <f t="shared" si="176"/>
        <v>-1.633717531737577E-3</v>
      </c>
      <c r="O1430" s="66">
        <f t="shared" si="177"/>
        <v>-6.9485453918673806E-2</v>
      </c>
      <c r="P1430" s="4">
        <f t="shared" si="178"/>
        <v>0.19254600000000002</v>
      </c>
      <c r="Q1430" s="4">
        <f t="shared" si="179"/>
        <v>0.21609749999999997</v>
      </c>
      <c r="R1430" s="66">
        <f t="shared" si="180"/>
        <v>-1.633717531737577E-3</v>
      </c>
      <c r="S1430" s="66">
        <f t="shared" si="181"/>
        <v>-6.9485453918673806E-2</v>
      </c>
      <c r="T1430" s="50" t="str">
        <f t="shared" si="182"/>
        <v/>
      </c>
      <c r="U1430" s="50" t="str">
        <f t="shared" si="183"/>
        <v/>
      </c>
    </row>
    <row r="1431" spans="1:21" x14ac:dyDescent="0.2">
      <c r="A1431" s="38">
        <v>41907</v>
      </c>
      <c r="B1431" s="4">
        <v>0.41836699999999999</v>
      </c>
      <c r="C1431" s="4">
        <v>0.29931999999999997</v>
      </c>
      <c r="D1431" s="4">
        <v>0.28231299999999998</v>
      </c>
      <c r="E1431" s="50">
        <v>1</v>
      </c>
      <c r="F1431" s="50">
        <v>0.42232700000000001</v>
      </c>
      <c r="G1431" s="50">
        <v>0.13605400000000001</v>
      </c>
      <c r="H1431" s="50">
        <v>0.38490743662900001</v>
      </c>
      <c r="I1431" s="50">
        <v>0.48829287047999997</v>
      </c>
      <c r="J1431" s="50">
        <v>0.28152200277799999</v>
      </c>
      <c r="K1431" s="50">
        <v>2019.26</v>
      </c>
      <c r="L1431" s="50">
        <v>1978.63</v>
      </c>
      <c r="M1431" s="50">
        <v>1998.3</v>
      </c>
      <c r="N1431" s="66">
        <f t="shared" si="176"/>
        <v>-2.6092178351598796E-2</v>
      </c>
      <c r="O1431" s="66">
        <f t="shared" si="177"/>
        <v>-3.5625281489265907E-2</v>
      </c>
      <c r="P1431" s="4">
        <f t="shared" si="178"/>
        <v>0.13605400000000001</v>
      </c>
      <c r="Q1431" s="4">
        <f t="shared" si="179"/>
        <v>0.16838025000000001</v>
      </c>
      <c r="R1431" s="66">
        <f t="shared" si="180"/>
        <v>-2.6092178351598796E-2</v>
      </c>
      <c r="S1431" s="66">
        <f t="shared" si="181"/>
        <v>-3.5625281489265907E-2</v>
      </c>
      <c r="T1431" s="50" t="str">
        <f t="shared" si="182"/>
        <v/>
      </c>
      <c r="U1431" s="50" t="str">
        <f t="shared" si="183"/>
        <v/>
      </c>
    </row>
    <row r="1432" spans="1:21" x14ac:dyDescent="0.2">
      <c r="A1432" s="38">
        <v>41914</v>
      </c>
      <c r="B1432" s="4">
        <v>0.35416700000000001</v>
      </c>
      <c r="C1432" s="4">
        <v>0.33680599999999999</v>
      </c>
      <c r="D1432" s="4">
        <v>0.30902800000000002</v>
      </c>
      <c r="E1432" s="50">
        <v>1.0000009999999999</v>
      </c>
      <c r="F1432" s="50">
        <v>0.42798924999999999</v>
      </c>
      <c r="G1432" s="50">
        <v>4.5138999999999999E-2</v>
      </c>
      <c r="H1432" s="50">
        <v>0.38490743662900001</v>
      </c>
      <c r="I1432" s="50">
        <v>0.48829287047999997</v>
      </c>
      <c r="J1432" s="50">
        <v>0.28152200277799999</v>
      </c>
      <c r="K1432" s="50">
        <v>1999.79</v>
      </c>
      <c r="L1432" s="50">
        <v>1941.72</v>
      </c>
      <c r="M1432" s="50">
        <v>1946.16</v>
      </c>
      <c r="N1432" s="66">
        <f t="shared" si="176"/>
        <v>1.1679409709376422E-2</v>
      </c>
      <c r="O1432" s="66">
        <f t="shared" si="177"/>
        <v>1.8569901755251302E-2</v>
      </c>
      <c r="P1432" s="4">
        <f t="shared" si="178"/>
        <v>4.5138999999999985E-2</v>
      </c>
      <c r="Q1432" s="4">
        <f t="shared" si="179"/>
        <v>0.12788975000000002</v>
      </c>
      <c r="R1432" s="66">
        <f t="shared" si="180"/>
        <v>1.1679409709376422E-2</v>
      </c>
      <c r="S1432" s="66">
        <f t="shared" si="181"/>
        <v>1.8569901755251302E-2</v>
      </c>
      <c r="T1432" s="50">
        <f t="shared" si="182"/>
        <v>1</v>
      </c>
      <c r="U1432" s="50">
        <f t="shared" si="183"/>
        <v>1</v>
      </c>
    </row>
    <row r="1433" spans="1:21" x14ac:dyDescent="0.2">
      <c r="A1433" s="38">
        <v>41921</v>
      </c>
      <c r="B1433" s="4">
        <v>0.39877299999999999</v>
      </c>
      <c r="C1433" s="4">
        <v>0.29141099999999998</v>
      </c>
      <c r="D1433" s="4">
        <v>0.30981599999999998</v>
      </c>
      <c r="E1433" s="50">
        <v>1</v>
      </c>
      <c r="F1433" s="50">
        <v>0.42807099999999998</v>
      </c>
      <c r="G1433" s="50">
        <v>8.8956999999999994E-2</v>
      </c>
      <c r="H1433" s="50">
        <v>0.38490743662900001</v>
      </c>
      <c r="I1433" s="50">
        <v>0.48829287047999997</v>
      </c>
      <c r="J1433" s="50">
        <v>0.28152200277799999</v>
      </c>
      <c r="K1433" s="50">
        <v>1985.17</v>
      </c>
      <c r="L1433" s="50">
        <v>1925.25</v>
      </c>
      <c r="M1433" s="50">
        <v>1968.89</v>
      </c>
      <c r="N1433" s="66">
        <f t="shared" si="176"/>
        <v>-5.4040601557222644E-2</v>
      </c>
      <c r="O1433" s="66">
        <f t="shared" si="177"/>
        <v>2.7771993356662805E-2</v>
      </c>
      <c r="P1433" s="4">
        <f t="shared" si="178"/>
        <v>8.8957000000000008E-2</v>
      </c>
      <c r="Q1433" s="4">
        <f t="shared" si="179"/>
        <v>0.115674</v>
      </c>
      <c r="R1433" s="66">
        <f t="shared" si="180"/>
        <v>-5.4040601557222644E-2</v>
      </c>
      <c r="S1433" s="66">
        <f t="shared" si="181"/>
        <v>2.7771993356662805E-2</v>
      </c>
      <c r="T1433" s="50" t="str">
        <f t="shared" si="182"/>
        <v/>
      </c>
      <c r="U1433" s="50">
        <f t="shared" si="183"/>
        <v>1</v>
      </c>
    </row>
    <row r="1434" spans="1:21" x14ac:dyDescent="0.2">
      <c r="A1434" s="38">
        <v>41928</v>
      </c>
      <c r="B1434" s="4">
        <v>0.42663000000000001</v>
      </c>
      <c r="C1434" s="4">
        <v>0.23641300000000001</v>
      </c>
      <c r="D1434" s="4">
        <v>0.33695700000000001</v>
      </c>
      <c r="E1434" s="50">
        <v>1</v>
      </c>
      <c r="F1434" s="50">
        <v>0.423765</v>
      </c>
      <c r="G1434" s="50">
        <v>8.9673000000000003E-2</v>
      </c>
      <c r="H1434" s="50">
        <v>0.38490743662900001</v>
      </c>
      <c r="I1434" s="50">
        <v>0.48829287047999997</v>
      </c>
      <c r="J1434" s="50">
        <v>0.28152200277799999</v>
      </c>
      <c r="K1434" s="50">
        <v>1970.36</v>
      </c>
      <c r="L1434" s="50">
        <v>1820.66</v>
      </c>
      <c r="M1434" s="50">
        <v>1862.49</v>
      </c>
      <c r="N1434" s="66">
        <f t="shared" si="176"/>
        <v>3.4695488297923689E-2</v>
      </c>
      <c r="O1434" s="66">
        <f t="shared" si="177"/>
        <v>9.4368291910292126E-2</v>
      </c>
      <c r="P1434" s="4">
        <f t="shared" si="178"/>
        <v>8.9673000000000003E-2</v>
      </c>
      <c r="Q1434" s="4">
        <f t="shared" si="179"/>
        <v>8.9955750000000001E-2</v>
      </c>
      <c r="R1434" s="66">
        <f t="shared" si="180"/>
        <v>3.4695488297923689E-2</v>
      </c>
      <c r="S1434" s="66">
        <f t="shared" si="181"/>
        <v>9.4368291910292126E-2</v>
      </c>
      <c r="T1434" s="50">
        <f t="shared" si="182"/>
        <v>1</v>
      </c>
      <c r="U1434" s="50">
        <f t="shared" si="183"/>
        <v>1</v>
      </c>
    </row>
    <row r="1435" spans="1:21" x14ac:dyDescent="0.2">
      <c r="A1435" s="38">
        <v>41935</v>
      </c>
      <c r="B1435" s="4">
        <v>0.49687500000000001</v>
      </c>
      <c r="C1435" s="4">
        <v>0.27812500000000001</v>
      </c>
      <c r="D1435" s="4">
        <v>0.22500000000000001</v>
      </c>
      <c r="E1435" s="50">
        <v>1</v>
      </c>
      <c r="F1435" s="50">
        <v>0.42097050000000003</v>
      </c>
      <c r="G1435" s="50">
        <v>0.27187499999999998</v>
      </c>
      <c r="H1435" s="50">
        <v>0.38490743662900001</v>
      </c>
      <c r="I1435" s="50">
        <v>0.48829287047999997</v>
      </c>
      <c r="J1435" s="50">
        <v>0.28152200277799999</v>
      </c>
      <c r="K1435" s="50">
        <v>1949.31</v>
      </c>
      <c r="L1435" s="50">
        <v>1820.66</v>
      </c>
      <c r="M1435" s="50">
        <v>1927.11</v>
      </c>
      <c r="N1435" s="66">
        <f t="shared" si="176"/>
        <v>2.8638738836911259E-2</v>
      </c>
      <c r="O1435" s="66">
        <f t="shared" si="177"/>
        <v>6.3104856494958728E-2</v>
      </c>
      <c r="P1435" s="4">
        <f t="shared" si="178"/>
        <v>0.27187499999999998</v>
      </c>
      <c r="Q1435" s="4">
        <f t="shared" si="179"/>
        <v>0.12391099999999999</v>
      </c>
      <c r="R1435" s="66">
        <f t="shared" si="180"/>
        <v>2.8638738836911259E-2</v>
      </c>
      <c r="S1435" s="66">
        <f t="shared" si="181"/>
        <v>6.3104856494958728E-2</v>
      </c>
      <c r="T1435" s="50">
        <f t="shared" si="182"/>
        <v>1</v>
      </c>
      <c r="U1435" s="50">
        <f t="shared" si="183"/>
        <v>1</v>
      </c>
    </row>
    <row r="1436" spans="1:21" x14ac:dyDescent="0.2">
      <c r="A1436" s="38">
        <v>41942</v>
      </c>
      <c r="B1436" s="4">
        <v>0.49371100000000001</v>
      </c>
      <c r="C1436" s="4">
        <v>0.295597</v>
      </c>
      <c r="D1436" s="4">
        <v>0.21069199999999999</v>
      </c>
      <c r="E1436" s="50">
        <v>1</v>
      </c>
      <c r="F1436" s="50">
        <v>0.42684112499999999</v>
      </c>
      <c r="G1436" s="50">
        <v>0.28301900000000002</v>
      </c>
      <c r="H1436" s="50">
        <v>0.38490743662900001</v>
      </c>
      <c r="I1436" s="50">
        <v>0.48829287047999997</v>
      </c>
      <c r="J1436" s="50">
        <v>0.28152200277799999</v>
      </c>
      <c r="K1436" s="50">
        <v>1991.4</v>
      </c>
      <c r="L1436" s="50">
        <v>1909.38</v>
      </c>
      <c r="M1436" s="50">
        <v>1982.3</v>
      </c>
      <c r="N1436" s="66">
        <f t="shared" si="176"/>
        <v>2.0819250365736761E-2</v>
      </c>
      <c r="O1436" s="66">
        <f t="shared" si="177"/>
        <v>4.3010644201180441E-2</v>
      </c>
      <c r="P1436" s="4">
        <f t="shared" si="178"/>
        <v>0.28301900000000002</v>
      </c>
      <c r="Q1436" s="4">
        <f t="shared" si="179"/>
        <v>0.18338100000000002</v>
      </c>
      <c r="R1436" s="66">
        <f t="shared" si="180"/>
        <v>2.0819250365736761E-2</v>
      </c>
      <c r="S1436" s="66">
        <f t="shared" si="181"/>
        <v>4.3010644201180441E-2</v>
      </c>
      <c r="T1436" s="50">
        <f t="shared" si="182"/>
        <v>1</v>
      </c>
      <c r="U1436" s="50">
        <f t="shared" si="183"/>
        <v>1</v>
      </c>
    </row>
    <row r="1437" spans="1:21" x14ac:dyDescent="0.2">
      <c r="A1437" s="38">
        <v>41949</v>
      </c>
      <c r="B1437" s="4">
        <v>0.52688199999999996</v>
      </c>
      <c r="C1437" s="4">
        <v>0.32258100000000001</v>
      </c>
      <c r="D1437" s="4">
        <v>0.15053800000000001</v>
      </c>
      <c r="E1437" s="50">
        <v>1.0000009999999999</v>
      </c>
      <c r="F1437" s="50">
        <v>0.44222062499999998</v>
      </c>
      <c r="G1437" s="50">
        <v>0.37634400000000001</v>
      </c>
      <c r="H1437" s="50">
        <v>0.38490743662900001</v>
      </c>
      <c r="I1437" s="50">
        <v>0.48829287047999997</v>
      </c>
      <c r="J1437" s="50">
        <v>0.28152200277799999</v>
      </c>
      <c r="K1437" s="50">
        <v>2024.46</v>
      </c>
      <c r="L1437" s="50">
        <v>1964.14</v>
      </c>
      <c r="M1437" s="50">
        <v>2023.57</v>
      </c>
      <c r="N1437" s="66">
        <f t="shared" si="176"/>
        <v>7.2545056509041271E-3</v>
      </c>
      <c r="O1437" s="66">
        <f t="shared" si="177"/>
        <v>2.5084380574924511E-2</v>
      </c>
      <c r="P1437" s="4">
        <f t="shared" si="178"/>
        <v>0.37634399999999996</v>
      </c>
      <c r="Q1437" s="4">
        <f t="shared" si="179"/>
        <v>0.25522774999999998</v>
      </c>
      <c r="R1437" s="66">
        <f t="shared" si="180"/>
        <v>7.2545056509041271E-3</v>
      </c>
      <c r="S1437" s="66">
        <f t="shared" si="181"/>
        <v>2.5084380574924511E-2</v>
      </c>
      <c r="T1437" s="50">
        <f t="shared" si="182"/>
        <v>1</v>
      </c>
      <c r="U1437" s="50">
        <f t="shared" si="183"/>
        <v>1</v>
      </c>
    </row>
    <row r="1438" spans="1:21" x14ac:dyDescent="0.2">
      <c r="A1438" s="38">
        <v>41956</v>
      </c>
      <c r="B1438" s="4">
        <v>0.57930999999999999</v>
      </c>
      <c r="C1438" s="4">
        <v>0.22758600000000001</v>
      </c>
      <c r="D1438" s="4">
        <v>0.193103</v>
      </c>
      <c r="E1438" s="50">
        <v>0.99999899999999997</v>
      </c>
      <c r="F1438" s="50">
        <v>0.461839375</v>
      </c>
      <c r="G1438" s="50">
        <v>0.38620700000000002</v>
      </c>
      <c r="H1438" s="50">
        <v>0.38490743662900001</v>
      </c>
      <c r="I1438" s="50">
        <v>0.48829287047999997</v>
      </c>
      <c r="J1438" s="50">
        <v>0.28152200277799999</v>
      </c>
      <c r="K1438" s="50">
        <v>2041.28</v>
      </c>
      <c r="L1438" s="50">
        <v>2001.01</v>
      </c>
      <c r="M1438" s="50">
        <v>2038.25</v>
      </c>
      <c r="N1438" s="66">
        <f t="shared" si="176"/>
        <v>5.1367594750397648E-3</v>
      </c>
      <c r="O1438" s="66">
        <f t="shared" si="177"/>
        <v>-5.9413712743774808E-3</v>
      </c>
      <c r="P1438" s="4">
        <f t="shared" si="178"/>
        <v>0.38620699999999997</v>
      </c>
      <c r="Q1438" s="4">
        <f t="shared" si="179"/>
        <v>0.32936124999999999</v>
      </c>
      <c r="R1438" s="66">
        <f t="shared" si="180"/>
        <v>5.1367594750397648E-3</v>
      </c>
      <c r="S1438" s="66">
        <f t="shared" si="181"/>
        <v>-5.9413712743774808E-3</v>
      </c>
      <c r="T1438" s="50">
        <f t="shared" si="182"/>
        <v>1</v>
      </c>
      <c r="U1438" s="50" t="str">
        <f t="shared" si="183"/>
        <v/>
      </c>
    </row>
    <row r="1439" spans="1:21" x14ac:dyDescent="0.2">
      <c r="A1439" s="38">
        <v>41963</v>
      </c>
      <c r="B1439" s="4">
        <v>0.491176</v>
      </c>
      <c r="C1439" s="4">
        <v>0.270588</v>
      </c>
      <c r="D1439" s="4">
        <v>0.238235</v>
      </c>
      <c r="E1439" s="50">
        <v>0.99999899999999997</v>
      </c>
      <c r="F1439" s="50">
        <v>0.47094049999999998</v>
      </c>
      <c r="G1439" s="50">
        <v>0.25294100000000003</v>
      </c>
      <c r="H1439" s="50">
        <v>0.38490743662900001</v>
      </c>
      <c r="I1439" s="50">
        <v>0.48829287047999997</v>
      </c>
      <c r="J1439" s="50">
        <v>0.28152200277799999</v>
      </c>
      <c r="K1439" s="50">
        <v>2056.08</v>
      </c>
      <c r="L1439" s="50">
        <v>2030.44</v>
      </c>
      <c r="M1439" s="50">
        <v>2048.7199999999998</v>
      </c>
      <c r="N1439" s="66">
        <f t="shared" si="176"/>
        <v>9.1959857862470937E-3</v>
      </c>
      <c r="O1439" s="66">
        <f t="shared" si="177"/>
        <v>-1.7488968721933552E-2</v>
      </c>
      <c r="P1439" s="4">
        <f t="shared" si="178"/>
        <v>0.25294099999999997</v>
      </c>
      <c r="Q1439" s="4">
        <f t="shared" si="179"/>
        <v>0.32462774999999999</v>
      </c>
      <c r="R1439" s="66">
        <f t="shared" si="180"/>
        <v>9.1959857862470937E-3</v>
      </c>
      <c r="S1439" s="66">
        <f t="shared" si="181"/>
        <v>-1.7488968721933552E-2</v>
      </c>
      <c r="T1439" s="50">
        <f t="shared" si="182"/>
        <v>1</v>
      </c>
      <c r="U1439" s="50" t="str">
        <f t="shared" si="183"/>
        <v/>
      </c>
    </row>
    <row r="1440" spans="1:21" x14ac:dyDescent="0.2">
      <c r="A1440" s="38">
        <v>41970</v>
      </c>
      <c r="B1440" s="4">
        <v>0.52145200000000003</v>
      </c>
      <c r="C1440" s="4">
        <v>0.27062700000000001</v>
      </c>
      <c r="D1440" s="4">
        <v>0.20792099999999999</v>
      </c>
      <c r="E1440" s="50">
        <v>1</v>
      </c>
      <c r="F1440" s="50">
        <v>0.491851125</v>
      </c>
      <c r="G1440" s="50">
        <v>0.313531</v>
      </c>
      <c r="H1440" s="50">
        <v>0.38490743662900001</v>
      </c>
      <c r="I1440" s="50">
        <v>0.48829287047999997</v>
      </c>
      <c r="J1440" s="50">
        <v>0.28152200277799999</v>
      </c>
      <c r="K1440" s="50">
        <v>2075.7600000000002</v>
      </c>
      <c r="L1440" s="50">
        <v>2040.37</v>
      </c>
      <c r="M1440" s="50">
        <v>2067.56</v>
      </c>
      <c r="N1440" s="66">
        <f t="shared" si="176"/>
        <v>3.2743910696666515E-3</v>
      </c>
      <c r="O1440" s="66">
        <f t="shared" si="177"/>
        <v>1.1129060341658873E-2</v>
      </c>
      <c r="P1440" s="4">
        <f t="shared" si="178"/>
        <v>0.313531</v>
      </c>
      <c r="Q1440" s="4">
        <f t="shared" si="179"/>
        <v>0.33225575000000002</v>
      </c>
      <c r="R1440" s="66">
        <f t="shared" si="180"/>
        <v>3.2743910696666515E-3</v>
      </c>
      <c r="S1440" s="66">
        <f t="shared" si="181"/>
        <v>1.1129060341658873E-2</v>
      </c>
      <c r="T1440" s="50">
        <f t="shared" si="182"/>
        <v>1</v>
      </c>
      <c r="U1440" s="50">
        <f t="shared" si="183"/>
        <v>1</v>
      </c>
    </row>
    <row r="1441" spans="1:21" x14ac:dyDescent="0.2">
      <c r="A1441" s="38">
        <v>41977</v>
      </c>
      <c r="B1441" s="4">
        <v>0.42677799999999999</v>
      </c>
      <c r="C1441" s="4">
        <v>0.31380799999999998</v>
      </c>
      <c r="D1441" s="4">
        <v>0.25941399999999998</v>
      </c>
      <c r="E1441" s="50">
        <v>1</v>
      </c>
      <c r="F1441" s="50">
        <v>0.49535174999999998</v>
      </c>
      <c r="G1441" s="50">
        <v>0.16736400000000001</v>
      </c>
      <c r="H1441" s="50">
        <v>0.38490743662900001</v>
      </c>
      <c r="I1441" s="50">
        <v>0.48829287047999997</v>
      </c>
      <c r="J1441" s="50">
        <v>0.28152200277799999</v>
      </c>
      <c r="K1441" s="50">
        <v>2076.2800000000002</v>
      </c>
      <c r="L1441" s="50">
        <v>2049.5700000000002</v>
      </c>
      <c r="M1441" s="50">
        <v>2074.33</v>
      </c>
      <c r="N1441" s="66">
        <f t="shared" si="176"/>
        <v>-2.3231597672501401E-2</v>
      </c>
      <c r="O1441" s="66">
        <f t="shared" si="177"/>
        <v>-2.5911981218031847E-2</v>
      </c>
      <c r="P1441" s="4">
        <f t="shared" si="178"/>
        <v>0.16736400000000001</v>
      </c>
      <c r="Q1441" s="4">
        <f t="shared" si="179"/>
        <v>0.28001074999999997</v>
      </c>
      <c r="R1441" s="66">
        <f t="shared" si="180"/>
        <v>-2.3231597672501401E-2</v>
      </c>
      <c r="S1441" s="66">
        <f t="shared" si="181"/>
        <v>-2.5911981218031847E-2</v>
      </c>
      <c r="T1441" s="50" t="str">
        <f t="shared" si="182"/>
        <v/>
      </c>
      <c r="U1441" s="50" t="str">
        <f t="shared" si="183"/>
        <v/>
      </c>
    </row>
    <row r="1442" spans="1:21" x14ac:dyDescent="0.2">
      <c r="A1442" s="38">
        <v>41984</v>
      </c>
      <c r="B1442" s="4">
        <v>0.45017200000000002</v>
      </c>
      <c r="C1442" s="4">
        <v>0.32645999999999997</v>
      </c>
      <c r="D1442" s="4">
        <v>0.22336800000000001</v>
      </c>
      <c r="E1442" s="50">
        <v>1</v>
      </c>
      <c r="F1442" s="50">
        <v>0.49829449999999997</v>
      </c>
      <c r="G1442" s="50">
        <v>0.22680400000000001</v>
      </c>
      <c r="H1442" s="50">
        <v>0.38490743662900001</v>
      </c>
      <c r="I1442" s="50">
        <v>0.48829287047999997</v>
      </c>
      <c r="J1442" s="50">
        <v>0.28152200277799999</v>
      </c>
      <c r="K1442" s="50">
        <v>2079.4699999999998</v>
      </c>
      <c r="L1442" s="50">
        <v>2024.26</v>
      </c>
      <c r="M1442" s="50">
        <v>2026.14</v>
      </c>
      <c r="N1442" s="66">
        <f t="shared" si="176"/>
        <v>-6.5395283642788746E-3</v>
      </c>
      <c r="O1442" s="66">
        <f t="shared" si="177"/>
        <v>-1.1845183452279166E-4</v>
      </c>
      <c r="P1442" s="4">
        <f t="shared" si="178"/>
        <v>0.22680400000000001</v>
      </c>
      <c r="Q1442" s="4">
        <f t="shared" si="179"/>
        <v>0.24015999999999998</v>
      </c>
      <c r="R1442" s="66">
        <f t="shared" si="180"/>
        <v>-6.5395283642788746E-3</v>
      </c>
      <c r="S1442" s="66">
        <f t="shared" si="181"/>
        <v>-1.1845183452279166E-4</v>
      </c>
      <c r="T1442" s="50" t="str">
        <f t="shared" si="182"/>
        <v/>
      </c>
      <c r="U1442" s="50" t="str">
        <f t="shared" si="183"/>
        <v/>
      </c>
    </row>
    <row r="1443" spans="1:21" x14ac:dyDescent="0.2">
      <c r="A1443" s="38">
        <v>41991</v>
      </c>
      <c r="B1443" s="4">
        <v>0.38735199999999997</v>
      </c>
      <c r="C1443" s="4">
        <v>0.34387400000000001</v>
      </c>
      <c r="D1443" s="4">
        <v>0.26877499999999999</v>
      </c>
      <c r="E1443" s="50">
        <v>1.0000009999999999</v>
      </c>
      <c r="F1443" s="50">
        <v>0.484604125</v>
      </c>
      <c r="G1443" s="50">
        <v>0.118577</v>
      </c>
      <c r="H1443" s="50">
        <v>0.38490743662900001</v>
      </c>
      <c r="I1443" s="50">
        <v>0.48829287047999997</v>
      </c>
      <c r="J1443" s="50">
        <v>0.28152200277799999</v>
      </c>
      <c r="K1443" s="50">
        <v>2060.6</v>
      </c>
      <c r="L1443" s="50">
        <v>2002.33</v>
      </c>
      <c r="M1443" s="50">
        <v>2012.89</v>
      </c>
      <c r="N1443" s="66">
        <f t="shared" si="176"/>
        <v>3.8591279205520454E-2</v>
      </c>
      <c r="O1443" s="66">
        <f t="shared" si="177"/>
        <v>-8.0481298034175647E-4</v>
      </c>
      <c r="P1443" s="4">
        <f t="shared" si="178"/>
        <v>0.11857699999999999</v>
      </c>
      <c r="Q1443" s="4">
        <f t="shared" si="179"/>
        <v>0.206569</v>
      </c>
      <c r="R1443" s="66">
        <f t="shared" si="180"/>
        <v>3.8591279205520454E-2</v>
      </c>
      <c r="S1443" s="66">
        <f t="shared" si="181"/>
        <v>-8.0481298034175647E-4</v>
      </c>
      <c r="T1443" s="50">
        <f t="shared" si="182"/>
        <v>1</v>
      </c>
      <c r="U1443" s="50" t="str">
        <f t="shared" si="183"/>
        <v/>
      </c>
    </row>
    <row r="1444" spans="1:21" x14ac:dyDescent="0.2">
      <c r="A1444" s="38">
        <v>41998</v>
      </c>
      <c r="B1444" s="4">
        <v>0.50943400000000005</v>
      </c>
      <c r="C1444" s="4">
        <v>0.30188700000000002</v>
      </c>
      <c r="D1444" s="4">
        <v>0.18867900000000001</v>
      </c>
      <c r="E1444" s="50">
        <v>1</v>
      </c>
      <c r="F1444" s="50">
        <v>0.48656949999999999</v>
      </c>
      <c r="G1444" s="50">
        <v>0.32075500000000001</v>
      </c>
      <c r="H1444" s="50">
        <v>0.38490743662900001</v>
      </c>
      <c r="I1444" s="50">
        <v>0.48829287047999997</v>
      </c>
      <c r="J1444" s="50">
        <v>0.28152200277799999</v>
      </c>
      <c r="K1444" s="50">
        <v>2093.5500000000002</v>
      </c>
      <c r="L1444" s="50">
        <v>2018.98</v>
      </c>
      <c r="M1444" s="50">
        <v>2090.5700000000002</v>
      </c>
      <c r="N1444" s="66">
        <f t="shared" si="176"/>
        <v>-3.3478907666330347E-2</v>
      </c>
      <c r="O1444" s="66">
        <f t="shared" si="177"/>
        <v>-2.7958882027389789E-2</v>
      </c>
      <c r="P1444" s="4">
        <f t="shared" si="178"/>
        <v>0.32075500000000001</v>
      </c>
      <c r="Q1444" s="4">
        <f t="shared" si="179"/>
        <v>0.208375</v>
      </c>
      <c r="R1444" s="66">
        <f t="shared" si="180"/>
        <v>-3.3478907666330347E-2</v>
      </c>
      <c r="S1444" s="66">
        <f t="shared" si="181"/>
        <v>-2.7958882027389789E-2</v>
      </c>
      <c r="T1444" s="50" t="str">
        <f t="shared" si="182"/>
        <v/>
      </c>
      <c r="U1444" s="50" t="str">
        <f t="shared" si="183"/>
        <v/>
      </c>
    </row>
    <row r="1445" spans="1:21" x14ac:dyDescent="0.2">
      <c r="A1445" s="38">
        <v>42005</v>
      </c>
      <c r="B1445" s="4">
        <v>0.51737500000000003</v>
      </c>
      <c r="C1445" s="4">
        <v>0.28957500000000003</v>
      </c>
      <c r="D1445" s="4">
        <v>0.19305</v>
      </c>
      <c r="E1445" s="50">
        <v>1</v>
      </c>
      <c r="F1445" s="50">
        <v>0.48538112500000002</v>
      </c>
      <c r="G1445" s="50">
        <v>0.32432499999999997</v>
      </c>
      <c r="H1445" s="50">
        <v>0.38490743662900001</v>
      </c>
      <c r="I1445" s="50">
        <v>0.48829287047999997</v>
      </c>
      <c r="J1445" s="50">
        <v>0.28152200277799999</v>
      </c>
      <c r="K1445" s="50">
        <v>2093.5500000000002</v>
      </c>
      <c r="L1445" s="50">
        <v>2017.34</v>
      </c>
      <c r="M1445" s="50">
        <v>2020.58</v>
      </c>
      <c r="N1445" s="66">
        <f t="shared" si="176"/>
        <v>2.6329073830287163E-3</v>
      </c>
      <c r="O1445" s="66">
        <f t="shared" si="177"/>
        <v>-9.1161943600351607E-3</v>
      </c>
      <c r="P1445" s="4">
        <f t="shared" si="178"/>
        <v>0.32432500000000003</v>
      </c>
      <c r="Q1445" s="4">
        <f t="shared" si="179"/>
        <v>0.24761525000000001</v>
      </c>
      <c r="R1445" s="66">
        <f t="shared" si="180"/>
        <v>2.6329073830287163E-3</v>
      </c>
      <c r="S1445" s="66">
        <f t="shared" si="181"/>
        <v>-9.1161943600351607E-3</v>
      </c>
      <c r="T1445" s="50">
        <f t="shared" si="182"/>
        <v>1</v>
      </c>
      <c r="U1445" s="50" t="str">
        <f t="shared" si="183"/>
        <v/>
      </c>
    </row>
    <row r="1446" spans="1:21" x14ac:dyDescent="0.2">
      <c r="A1446" s="38">
        <v>42012</v>
      </c>
      <c r="B1446" s="4">
        <v>0.41007199999999999</v>
      </c>
      <c r="C1446" s="4">
        <v>0.31295000000000001</v>
      </c>
      <c r="D1446" s="4">
        <v>0.276978</v>
      </c>
      <c r="E1446" s="50">
        <v>1</v>
      </c>
      <c r="F1446" s="50">
        <v>0.46422637500000002</v>
      </c>
      <c r="G1446" s="50">
        <v>0.13309399999999999</v>
      </c>
      <c r="H1446" s="50">
        <v>0.38490743662900001</v>
      </c>
      <c r="I1446" s="50">
        <v>0.48829287047999997</v>
      </c>
      <c r="J1446" s="50">
        <v>0.28152200277799999</v>
      </c>
      <c r="K1446" s="50">
        <v>2093.5500000000002</v>
      </c>
      <c r="L1446" s="50">
        <v>1992.44</v>
      </c>
      <c r="M1446" s="50">
        <v>2025.9</v>
      </c>
      <c r="N1446" s="66">
        <f t="shared" si="176"/>
        <v>-7.2214818105533875E-3</v>
      </c>
      <c r="O1446" s="66">
        <f t="shared" si="177"/>
        <v>1.1910755713510099E-2</v>
      </c>
      <c r="P1446" s="4">
        <f t="shared" si="178"/>
        <v>0.13309399999999999</v>
      </c>
      <c r="Q1446" s="4">
        <f t="shared" si="179"/>
        <v>0.22418775000000002</v>
      </c>
      <c r="R1446" s="66">
        <f t="shared" si="180"/>
        <v>-7.2214818105533875E-3</v>
      </c>
      <c r="S1446" s="66">
        <f t="shared" si="181"/>
        <v>1.1910755713510099E-2</v>
      </c>
      <c r="T1446" s="50" t="str">
        <f t="shared" si="182"/>
        <v/>
      </c>
      <c r="U1446" s="50">
        <f t="shared" si="183"/>
        <v>1</v>
      </c>
    </row>
    <row r="1447" spans="1:21" x14ac:dyDescent="0.2">
      <c r="A1447" s="38">
        <v>42019</v>
      </c>
      <c r="B1447" s="4">
        <v>0.461059</v>
      </c>
      <c r="C1447" s="4">
        <v>0.323988</v>
      </c>
      <c r="D1447" s="4">
        <v>0.21495300000000001</v>
      </c>
      <c r="E1447" s="50">
        <v>1</v>
      </c>
      <c r="F1447" s="50">
        <v>0.46046175</v>
      </c>
      <c r="G1447" s="50">
        <v>0.24610599999999999</v>
      </c>
      <c r="H1447" s="50">
        <v>0.38490743662900001</v>
      </c>
      <c r="I1447" s="50">
        <v>0.48829287047999997</v>
      </c>
      <c r="J1447" s="50">
        <v>0.28152200277799999</v>
      </c>
      <c r="K1447" s="50">
        <v>2064.4299999999998</v>
      </c>
      <c r="L1447" s="50">
        <v>1988.44</v>
      </c>
      <c r="M1447" s="50">
        <v>2011.27</v>
      </c>
      <c r="N1447" s="66">
        <f t="shared" si="176"/>
        <v>1.0366584297483635E-2</v>
      </c>
      <c r="O1447" s="66">
        <f t="shared" si="177"/>
        <v>2.8469573950787423E-2</v>
      </c>
      <c r="P1447" s="4">
        <f t="shared" si="178"/>
        <v>0.24610599999999999</v>
      </c>
      <c r="Q1447" s="4">
        <f t="shared" si="179"/>
        <v>0.25607000000000002</v>
      </c>
      <c r="R1447" s="66">
        <f t="shared" si="180"/>
        <v>1.0366584297483635E-2</v>
      </c>
      <c r="S1447" s="66">
        <f t="shared" si="181"/>
        <v>2.8469573950787423E-2</v>
      </c>
      <c r="T1447" s="50">
        <f t="shared" si="182"/>
        <v>1</v>
      </c>
      <c r="U1447" s="50">
        <f t="shared" si="183"/>
        <v>1</v>
      </c>
    </row>
    <row r="1448" spans="1:21" x14ac:dyDescent="0.2">
      <c r="A1448" s="38">
        <v>42026</v>
      </c>
      <c r="B1448" s="4">
        <v>0.37142900000000001</v>
      </c>
      <c r="C1448" s="4">
        <v>0.320635</v>
      </c>
      <c r="D1448" s="4">
        <v>0.30793700000000002</v>
      </c>
      <c r="E1448" s="50">
        <v>1.0000009999999999</v>
      </c>
      <c r="F1448" s="50">
        <v>0.441708875</v>
      </c>
      <c r="G1448" s="50">
        <v>6.3492000000000007E-2</v>
      </c>
      <c r="H1448" s="50">
        <v>0.38490743662900001</v>
      </c>
      <c r="I1448" s="50">
        <v>0.48829287047999997</v>
      </c>
      <c r="J1448" s="50">
        <v>0.28152200277799999</v>
      </c>
      <c r="K1448" s="50">
        <v>2056.9299999999998</v>
      </c>
      <c r="L1448" s="50">
        <v>1988.12</v>
      </c>
      <c r="M1448" s="50">
        <v>2032.12</v>
      </c>
      <c r="N1448" s="66">
        <f t="shared" si="176"/>
        <v>-1.4743223825364551E-2</v>
      </c>
      <c r="O1448" s="66">
        <f t="shared" si="177"/>
        <v>3.3246068145581932E-2</v>
      </c>
      <c r="P1448" s="4">
        <f t="shared" si="178"/>
        <v>6.3491999999999993E-2</v>
      </c>
      <c r="Q1448" s="4">
        <f t="shared" si="179"/>
        <v>0.19175424999999999</v>
      </c>
      <c r="R1448" s="66">
        <f t="shared" si="180"/>
        <v>-1.4743223825364551E-2</v>
      </c>
      <c r="S1448" s="66">
        <f t="shared" si="181"/>
        <v>3.3246068145581932E-2</v>
      </c>
      <c r="T1448" s="50" t="str">
        <f t="shared" si="182"/>
        <v/>
      </c>
      <c r="U1448" s="50">
        <f t="shared" si="183"/>
        <v>1</v>
      </c>
    </row>
    <row r="1449" spans="1:21" x14ac:dyDescent="0.2">
      <c r="A1449" s="38">
        <v>42033</v>
      </c>
      <c r="B1449" s="4">
        <v>0.441718</v>
      </c>
      <c r="C1449" s="4">
        <v>0.33435599999999999</v>
      </c>
      <c r="D1449" s="4">
        <v>0.22392599999999999</v>
      </c>
      <c r="E1449" s="50">
        <v>1</v>
      </c>
      <c r="F1449" s="50">
        <v>0.44357637500000002</v>
      </c>
      <c r="G1449" s="50">
        <v>0.21779200000000001</v>
      </c>
      <c r="H1449" s="50">
        <v>0.38490743662900001</v>
      </c>
      <c r="I1449" s="50">
        <v>0.48829287047999997</v>
      </c>
      <c r="J1449" s="50">
        <v>0.28152200277799999</v>
      </c>
      <c r="K1449" s="50">
        <v>2064.62</v>
      </c>
      <c r="L1449" s="50">
        <v>2001.49</v>
      </c>
      <c r="M1449" s="50">
        <v>2002.16</v>
      </c>
      <c r="N1449" s="66">
        <f t="shared" si="176"/>
        <v>2.3909178087665378E-2</v>
      </c>
      <c r="O1449" s="66">
        <f t="shared" si="177"/>
        <v>5.5789747073161006E-2</v>
      </c>
      <c r="P1449" s="4">
        <f t="shared" si="178"/>
        <v>0.21779200000000001</v>
      </c>
      <c r="Q1449" s="4">
        <f t="shared" si="179"/>
        <v>0.16512099999999999</v>
      </c>
      <c r="R1449" s="66">
        <f t="shared" si="180"/>
        <v>2.3909178087665378E-2</v>
      </c>
      <c r="S1449" s="66">
        <f t="shared" si="181"/>
        <v>5.5789747073161006E-2</v>
      </c>
      <c r="T1449" s="50">
        <f t="shared" si="182"/>
        <v>1</v>
      </c>
      <c r="U1449" s="50">
        <f t="shared" si="183"/>
        <v>1</v>
      </c>
    </row>
    <row r="1450" spans="1:21" x14ac:dyDescent="0.2">
      <c r="A1450" s="38">
        <v>42040</v>
      </c>
      <c r="B1450" s="4">
        <v>0.35494900000000001</v>
      </c>
      <c r="C1450" s="4">
        <v>0.32081900000000002</v>
      </c>
      <c r="D1450" s="4">
        <v>0.32423200000000002</v>
      </c>
      <c r="E1450" s="50">
        <v>1</v>
      </c>
      <c r="F1450" s="50">
        <v>0.43167349999999999</v>
      </c>
      <c r="G1450" s="50">
        <v>3.0717000000000001E-2</v>
      </c>
      <c r="H1450" s="50">
        <v>0.38490743662900001</v>
      </c>
      <c r="I1450" s="50">
        <v>0.48829287047999997</v>
      </c>
      <c r="J1450" s="50">
        <v>0.28152200277799999</v>
      </c>
      <c r="K1450" s="50">
        <v>2057.62</v>
      </c>
      <c r="L1450" s="50">
        <v>1980.9</v>
      </c>
      <c r="M1450" s="50">
        <v>2050.0300000000002</v>
      </c>
      <c r="N1450" s="66">
        <f t="shared" si="176"/>
        <v>9.0242581815875855E-3</v>
      </c>
      <c r="O1450" s="66">
        <f t="shared" si="177"/>
        <v>2.3658190367945833E-2</v>
      </c>
      <c r="P1450" s="4">
        <f t="shared" si="178"/>
        <v>3.0716999999999994E-2</v>
      </c>
      <c r="Q1450" s="4">
        <f t="shared" si="179"/>
        <v>0.13952675</v>
      </c>
      <c r="R1450" s="66">
        <f t="shared" si="180"/>
        <v>9.0242581815875855E-3</v>
      </c>
      <c r="S1450" s="66">
        <f t="shared" si="181"/>
        <v>2.3658190367945833E-2</v>
      </c>
      <c r="T1450" s="50">
        <f t="shared" si="182"/>
        <v>1</v>
      </c>
      <c r="U1450" s="50">
        <f t="shared" si="183"/>
        <v>1</v>
      </c>
    </row>
    <row r="1451" spans="1:21" x14ac:dyDescent="0.2">
      <c r="A1451" s="38">
        <v>42047</v>
      </c>
      <c r="B1451" s="4">
        <v>0.4</v>
      </c>
      <c r="C1451" s="4">
        <v>0.39672099999999999</v>
      </c>
      <c r="D1451" s="4">
        <v>0.20327899999999999</v>
      </c>
      <c r="E1451" s="50">
        <v>1</v>
      </c>
      <c r="F1451" s="50">
        <v>0.43325449999999999</v>
      </c>
      <c r="G1451" s="50">
        <v>0.19672100000000001</v>
      </c>
      <c r="H1451" s="50">
        <v>0.38490743662900001</v>
      </c>
      <c r="I1451" s="50">
        <v>0.48829287047999997</v>
      </c>
      <c r="J1451" s="50">
        <v>0.28152200277799999</v>
      </c>
      <c r="K1451" s="50">
        <v>2073.48</v>
      </c>
      <c r="L1451" s="50">
        <v>2022.71</v>
      </c>
      <c r="M1451" s="50">
        <v>2068.5300000000002</v>
      </c>
      <c r="N1451" s="66">
        <f t="shared" si="176"/>
        <v>1.5059003253518022E-2</v>
      </c>
      <c r="O1451" s="66">
        <f t="shared" si="177"/>
        <v>-1.3676378877753859E-2</v>
      </c>
      <c r="P1451" s="4">
        <f t="shared" si="178"/>
        <v>0.19672100000000003</v>
      </c>
      <c r="Q1451" s="4">
        <f t="shared" si="179"/>
        <v>0.1271805</v>
      </c>
      <c r="R1451" s="66">
        <f t="shared" si="180"/>
        <v>1.5059003253518022E-2</v>
      </c>
      <c r="S1451" s="66">
        <f t="shared" si="181"/>
        <v>-1.3676378877753859E-2</v>
      </c>
      <c r="T1451" s="50">
        <f t="shared" si="182"/>
        <v>1</v>
      </c>
      <c r="U1451" s="50" t="str">
        <f t="shared" si="183"/>
        <v/>
      </c>
    </row>
    <row r="1452" spans="1:21" x14ac:dyDescent="0.2">
      <c r="A1452" s="38">
        <v>42054</v>
      </c>
      <c r="B1452" s="4">
        <v>0.47019899999999998</v>
      </c>
      <c r="C1452" s="4">
        <v>0.350993</v>
      </c>
      <c r="D1452" s="4">
        <v>0.17880799999999999</v>
      </c>
      <c r="E1452" s="50">
        <v>1</v>
      </c>
      <c r="F1452" s="50">
        <v>0.42835012500000003</v>
      </c>
      <c r="G1452" s="50">
        <v>0.29139100000000001</v>
      </c>
      <c r="H1452" s="50">
        <v>0.38490743662900001</v>
      </c>
      <c r="I1452" s="50">
        <v>0.48829287047999997</v>
      </c>
      <c r="J1452" s="50">
        <v>0.28152200277799999</v>
      </c>
      <c r="K1452" s="50">
        <v>2101.3000000000002</v>
      </c>
      <c r="L1452" s="50">
        <v>2041.88</v>
      </c>
      <c r="M1452" s="50">
        <v>2099.6799999999998</v>
      </c>
      <c r="N1452" s="66">
        <f t="shared" si="176"/>
        <v>6.7534100434353296E-3</v>
      </c>
      <c r="O1452" s="66">
        <f t="shared" si="177"/>
        <v>-8.5727348929282699E-5</v>
      </c>
      <c r="P1452" s="4">
        <f t="shared" si="178"/>
        <v>0.29139099999999996</v>
      </c>
      <c r="Q1452" s="4">
        <f t="shared" si="179"/>
        <v>0.18415524999999999</v>
      </c>
      <c r="R1452" s="66">
        <f t="shared" si="180"/>
        <v>6.7534100434353296E-3</v>
      </c>
      <c r="S1452" s="66">
        <f t="shared" si="181"/>
        <v>-8.5727348929282699E-5</v>
      </c>
      <c r="T1452" s="50">
        <f t="shared" si="182"/>
        <v>1</v>
      </c>
      <c r="U1452" s="50" t="str">
        <f t="shared" si="183"/>
        <v/>
      </c>
    </row>
    <row r="1453" spans="1:21" x14ac:dyDescent="0.2">
      <c r="A1453" s="38">
        <v>42061</v>
      </c>
      <c r="B1453" s="4">
        <v>0.453731</v>
      </c>
      <c r="C1453" s="4">
        <v>0.34328399999999998</v>
      </c>
      <c r="D1453" s="4">
        <v>0.202985</v>
      </c>
      <c r="E1453" s="50">
        <v>1</v>
      </c>
      <c r="F1453" s="50">
        <v>0.42039462500000002</v>
      </c>
      <c r="G1453" s="50">
        <v>0.25074600000000002</v>
      </c>
      <c r="H1453" s="50">
        <v>0.38490743662900001</v>
      </c>
      <c r="I1453" s="50">
        <v>0.48829287047999997</v>
      </c>
      <c r="J1453" s="50">
        <v>0.28152200277799999</v>
      </c>
      <c r="K1453" s="50">
        <v>2119.59</v>
      </c>
      <c r="L1453" s="50">
        <v>2085.44</v>
      </c>
      <c r="M1453" s="50">
        <v>2113.86</v>
      </c>
      <c r="N1453" s="66">
        <f t="shared" si="176"/>
        <v>-7.2521359030399014E-3</v>
      </c>
      <c r="O1453" s="66">
        <f t="shared" si="177"/>
        <v>-2.4982733009754638E-2</v>
      </c>
      <c r="P1453" s="4">
        <f t="shared" si="178"/>
        <v>0.25074600000000002</v>
      </c>
      <c r="Q1453" s="4">
        <f t="shared" si="179"/>
        <v>0.19239375</v>
      </c>
      <c r="R1453" s="66">
        <f t="shared" si="180"/>
        <v>-7.2521359030399014E-3</v>
      </c>
      <c r="S1453" s="66">
        <f t="shared" si="181"/>
        <v>-2.4982733009754638E-2</v>
      </c>
      <c r="T1453" s="50" t="str">
        <f t="shared" si="182"/>
        <v/>
      </c>
      <c r="U1453" s="50" t="str">
        <f t="shared" si="183"/>
        <v/>
      </c>
    </row>
    <row r="1454" spans="1:21" x14ac:dyDescent="0.2">
      <c r="A1454" s="38">
        <v>42068</v>
      </c>
      <c r="B1454" s="4">
        <v>0.39802599999999999</v>
      </c>
      <c r="C1454" s="4">
        <v>0.368421</v>
      </c>
      <c r="D1454" s="4">
        <v>0.23355300000000001</v>
      </c>
      <c r="E1454" s="50">
        <v>1</v>
      </c>
      <c r="F1454" s="50">
        <v>0.41888887499999999</v>
      </c>
      <c r="G1454" s="50">
        <v>0.16447300000000001</v>
      </c>
      <c r="H1454" s="50">
        <v>0.38490743662900001</v>
      </c>
      <c r="I1454" s="50">
        <v>0.48829287047999997</v>
      </c>
      <c r="J1454" s="50">
        <v>0.28152200277799999</v>
      </c>
      <c r="K1454" s="50">
        <v>2119.59</v>
      </c>
      <c r="L1454" s="50">
        <v>2087.62</v>
      </c>
      <c r="M1454" s="50">
        <v>2098.5300000000002</v>
      </c>
      <c r="N1454" s="66">
        <f t="shared" si="176"/>
        <v>-2.7776586467670315E-2</v>
      </c>
      <c r="O1454" s="66">
        <f t="shared" si="177"/>
        <v>-1.8508193830919808E-2</v>
      </c>
      <c r="P1454" s="4">
        <f t="shared" si="178"/>
        <v>0.16447299999999998</v>
      </c>
      <c r="Q1454" s="4">
        <f t="shared" si="179"/>
        <v>0.22583275</v>
      </c>
      <c r="R1454" s="66">
        <f t="shared" si="180"/>
        <v>-2.7776586467670315E-2</v>
      </c>
      <c r="S1454" s="66">
        <f t="shared" si="181"/>
        <v>-1.8508193830919808E-2</v>
      </c>
      <c r="T1454" s="50" t="str">
        <f t="shared" si="182"/>
        <v/>
      </c>
      <c r="U1454" s="50" t="str">
        <f t="shared" si="183"/>
        <v/>
      </c>
    </row>
    <row r="1455" spans="1:21" x14ac:dyDescent="0.2">
      <c r="A1455" s="38">
        <v>42075</v>
      </c>
      <c r="B1455" s="4">
        <v>0.31596099999999999</v>
      </c>
      <c r="C1455" s="4">
        <v>0.42996699999999999</v>
      </c>
      <c r="D1455" s="4">
        <v>0.25407200000000002</v>
      </c>
      <c r="E1455" s="50">
        <v>1</v>
      </c>
      <c r="F1455" s="50">
        <v>0.400751625</v>
      </c>
      <c r="G1455" s="50">
        <v>6.1889E-2</v>
      </c>
      <c r="H1455" s="50">
        <v>0.38490743662900001</v>
      </c>
      <c r="I1455" s="50">
        <v>0.48829287047999997</v>
      </c>
      <c r="J1455" s="50">
        <v>0.28152200277799999</v>
      </c>
      <c r="K1455" s="50">
        <v>2115.7600000000002</v>
      </c>
      <c r="L1455" s="50">
        <v>2039.69</v>
      </c>
      <c r="M1455" s="50">
        <v>2040.24</v>
      </c>
      <c r="N1455" s="66">
        <f t="shared" si="176"/>
        <v>2.9045602478139823E-2</v>
      </c>
      <c r="O1455" s="66">
        <f t="shared" si="177"/>
        <v>2.0419166372583657E-2</v>
      </c>
      <c r="P1455" s="4">
        <f t="shared" si="178"/>
        <v>6.1888999999999972E-2</v>
      </c>
      <c r="Q1455" s="4">
        <f t="shared" si="179"/>
        <v>0.19212474999999998</v>
      </c>
      <c r="R1455" s="66">
        <f t="shared" si="180"/>
        <v>2.9045602478139823E-2</v>
      </c>
      <c r="S1455" s="66">
        <f t="shared" si="181"/>
        <v>2.0419166372583657E-2</v>
      </c>
      <c r="T1455" s="50">
        <f t="shared" si="182"/>
        <v>1</v>
      </c>
      <c r="U1455" s="50">
        <f t="shared" si="183"/>
        <v>1</v>
      </c>
    </row>
    <row r="1456" spans="1:21" x14ac:dyDescent="0.2">
      <c r="A1456" s="38">
        <v>42082</v>
      </c>
      <c r="B1456" s="4">
        <v>0.27160499999999999</v>
      </c>
      <c r="C1456" s="4">
        <v>0.41358</v>
      </c>
      <c r="D1456" s="4">
        <v>0.31481500000000001</v>
      </c>
      <c r="E1456" s="50">
        <v>1</v>
      </c>
      <c r="F1456" s="50">
        <v>0.38827362500000001</v>
      </c>
      <c r="G1456" s="50">
        <v>-4.3209999999999998E-2</v>
      </c>
      <c r="H1456" s="50">
        <v>0.38490743662900001</v>
      </c>
      <c r="I1456" s="50">
        <v>0.48829287047999997</v>
      </c>
      <c r="J1456" s="50">
        <v>0.28152200277799999</v>
      </c>
      <c r="K1456" s="50">
        <v>2106.85</v>
      </c>
      <c r="L1456" s="50">
        <v>2039.69</v>
      </c>
      <c r="M1456" s="50">
        <v>2099.5</v>
      </c>
      <c r="N1456" s="66">
        <f t="shared" si="176"/>
        <v>-1.8313884258156617E-2</v>
      </c>
      <c r="O1456" s="66">
        <f t="shared" si="177"/>
        <v>3.3960466777804761E-3</v>
      </c>
      <c r="P1456" s="4">
        <f t="shared" si="178"/>
        <v>-4.3210000000000026E-2</v>
      </c>
      <c r="Q1456" s="4">
        <f t="shared" si="179"/>
        <v>0.10847449999999999</v>
      </c>
      <c r="R1456" s="66">
        <f t="shared" si="180"/>
        <v>-1.8313884258156617E-2</v>
      </c>
      <c r="S1456" s="66">
        <f t="shared" si="181"/>
        <v>3.3960466777804761E-3</v>
      </c>
      <c r="T1456" s="50" t="str">
        <f t="shared" si="182"/>
        <v/>
      </c>
      <c r="U1456" s="50">
        <f t="shared" si="183"/>
        <v>1</v>
      </c>
    </row>
    <row r="1457" spans="1:21" x14ac:dyDescent="0.2">
      <c r="A1457" s="38">
        <v>42089</v>
      </c>
      <c r="B1457" s="4">
        <v>0.38429799999999997</v>
      </c>
      <c r="C1457" s="4">
        <v>0.37190099999999998</v>
      </c>
      <c r="D1457" s="4">
        <v>0.24380199999999999</v>
      </c>
      <c r="E1457" s="50">
        <v>1.0000009999999999</v>
      </c>
      <c r="F1457" s="50">
        <v>0.38109612500000001</v>
      </c>
      <c r="G1457" s="50">
        <v>0.14049600000000001</v>
      </c>
      <c r="H1457" s="50">
        <v>0.38490743662900001</v>
      </c>
      <c r="I1457" s="50">
        <v>0.48829287047999997</v>
      </c>
      <c r="J1457" s="50">
        <v>0.28152200277799999</v>
      </c>
      <c r="K1457" s="50">
        <v>2114.86</v>
      </c>
      <c r="L1457" s="50">
        <v>2061.0500000000002</v>
      </c>
      <c r="M1457" s="50">
        <v>2061.0500000000002</v>
      </c>
      <c r="N1457" s="66">
        <f t="shared" si="176"/>
        <v>-6.5985783945082712E-4</v>
      </c>
      <c r="O1457" s="66">
        <f t="shared" si="177"/>
        <v>2.2760243565173019E-2</v>
      </c>
      <c r="P1457" s="4">
        <f t="shared" si="178"/>
        <v>0.14049599999999998</v>
      </c>
      <c r="Q1457" s="4">
        <f t="shared" si="179"/>
        <v>8.0911999999999984E-2</v>
      </c>
      <c r="R1457" s="66">
        <f t="shared" si="180"/>
        <v>-6.5985783945082712E-4</v>
      </c>
      <c r="S1457" s="66">
        <f t="shared" si="181"/>
        <v>2.2760243565173019E-2</v>
      </c>
      <c r="T1457" s="50" t="str">
        <f t="shared" si="182"/>
        <v/>
      </c>
      <c r="U1457" s="50">
        <f t="shared" si="183"/>
        <v>1</v>
      </c>
    </row>
    <row r="1458" spans="1:21" x14ac:dyDescent="0.2">
      <c r="A1458" s="38">
        <v>42096</v>
      </c>
      <c r="B1458" s="4">
        <v>0.35395199999999999</v>
      </c>
      <c r="C1458" s="4">
        <v>0.32645999999999997</v>
      </c>
      <c r="D1458" s="4">
        <v>0.31958799999999998</v>
      </c>
      <c r="E1458" s="50">
        <v>1</v>
      </c>
      <c r="F1458" s="50">
        <v>0.38097150000000002</v>
      </c>
      <c r="G1458" s="50">
        <v>3.4363999999999999E-2</v>
      </c>
      <c r="H1458" s="50">
        <v>0.38490743662900001</v>
      </c>
      <c r="I1458" s="50">
        <v>0.48829287047999997</v>
      </c>
      <c r="J1458" s="50">
        <v>0.28152200277799999</v>
      </c>
      <c r="K1458" s="50">
        <v>2107.63</v>
      </c>
      <c r="L1458" s="50">
        <v>2045.5</v>
      </c>
      <c r="M1458" s="50">
        <v>2059.69</v>
      </c>
      <c r="N1458" s="66">
        <f t="shared" si="176"/>
        <v>1.0783176109026132E-2</v>
      </c>
      <c r="O1458" s="66">
        <f t="shared" si="177"/>
        <v>2.2896649495797838E-2</v>
      </c>
      <c r="P1458" s="4">
        <f t="shared" si="178"/>
        <v>3.4364000000000006E-2</v>
      </c>
      <c r="Q1458" s="4">
        <f t="shared" si="179"/>
        <v>4.8384749999999983E-2</v>
      </c>
      <c r="R1458" s="66">
        <f t="shared" si="180"/>
        <v>1.0783176109026132E-2</v>
      </c>
      <c r="S1458" s="66">
        <f t="shared" si="181"/>
        <v>2.2896649495797838E-2</v>
      </c>
      <c r="T1458" s="50">
        <f t="shared" si="182"/>
        <v>1</v>
      </c>
      <c r="U1458" s="50">
        <f t="shared" si="183"/>
        <v>1</v>
      </c>
    </row>
    <row r="1459" spans="1:21" x14ac:dyDescent="0.2">
      <c r="A1459" s="38">
        <v>42103</v>
      </c>
      <c r="B1459" s="4">
        <v>0.28701599999999999</v>
      </c>
      <c r="C1459" s="4">
        <v>0.471526</v>
      </c>
      <c r="D1459" s="4">
        <v>0.24145800000000001</v>
      </c>
      <c r="E1459" s="50">
        <v>1</v>
      </c>
      <c r="F1459" s="50">
        <v>0.36684850000000002</v>
      </c>
      <c r="G1459" s="50">
        <v>4.5558000000000001E-2</v>
      </c>
      <c r="H1459" s="50">
        <v>0.38490743662900001</v>
      </c>
      <c r="I1459" s="50">
        <v>0.48829287047999997</v>
      </c>
      <c r="J1459" s="50">
        <v>0.28152200277799999</v>
      </c>
      <c r="K1459" s="50">
        <v>2089.81</v>
      </c>
      <c r="L1459" s="50">
        <v>2048.38</v>
      </c>
      <c r="M1459" s="50">
        <v>2081.9</v>
      </c>
      <c r="N1459" s="66">
        <f t="shared" si="176"/>
        <v>1.1878572457851009E-2</v>
      </c>
      <c r="O1459" s="66">
        <f t="shared" si="177"/>
        <v>-8.4057831788270326E-4</v>
      </c>
      <c r="P1459" s="4">
        <f t="shared" si="178"/>
        <v>4.5557999999999987E-2</v>
      </c>
      <c r="Q1459" s="4">
        <f t="shared" si="179"/>
        <v>4.4301999999999987E-2</v>
      </c>
      <c r="R1459" s="66">
        <f t="shared" si="180"/>
        <v>1.1878572457851009E-2</v>
      </c>
      <c r="S1459" s="66">
        <f t="shared" si="181"/>
        <v>-8.4057831788270326E-4</v>
      </c>
      <c r="T1459" s="50">
        <f t="shared" si="182"/>
        <v>1</v>
      </c>
      <c r="U1459" s="50" t="str">
        <f t="shared" si="183"/>
        <v/>
      </c>
    </row>
    <row r="1460" spans="1:21" x14ac:dyDescent="0.2">
      <c r="A1460" s="38">
        <v>42110</v>
      </c>
      <c r="B1460" s="4">
        <v>0.32067499999999999</v>
      </c>
      <c r="C1460" s="4">
        <v>0.45147700000000002</v>
      </c>
      <c r="D1460" s="4">
        <v>0.22784799999999999</v>
      </c>
      <c r="E1460" s="50">
        <v>1</v>
      </c>
      <c r="F1460" s="50">
        <v>0.34815800000000002</v>
      </c>
      <c r="G1460" s="50">
        <v>9.2827000000000007E-2</v>
      </c>
      <c r="H1460" s="50">
        <v>0.38490743662900001</v>
      </c>
      <c r="I1460" s="50">
        <v>0.48829287047999997</v>
      </c>
      <c r="J1460" s="50">
        <v>0.28152200277799999</v>
      </c>
      <c r="K1460" s="50">
        <v>2111.91</v>
      </c>
      <c r="L1460" s="50">
        <v>2073.3000000000002</v>
      </c>
      <c r="M1460" s="50">
        <v>2106.63</v>
      </c>
      <c r="N1460" s="66">
        <f t="shared" si="176"/>
        <v>6.3134010243845722E-4</v>
      </c>
      <c r="O1460" s="66">
        <f t="shared" si="177"/>
        <v>-3.8687382217095982E-3</v>
      </c>
      <c r="P1460" s="4">
        <f t="shared" si="178"/>
        <v>9.2826999999999993E-2</v>
      </c>
      <c r="Q1460" s="4">
        <f t="shared" si="179"/>
        <v>7.8311249999999999E-2</v>
      </c>
      <c r="R1460" s="66">
        <f t="shared" si="180"/>
        <v>6.3134010243845722E-4</v>
      </c>
      <c r="S1460" s="66">
        <f t="shared" si="181"/>
        <v>-3.8687382217095982E-3</v>
      </c>
      <c r="T1460" s="50">
        <f t="shared" si="182"/>
        <v>1</v>
      </c>
      <c r="U1460" s="50" t="str">
        <f t="shared" si="183"/>
        <v/>
      </c>
    </row>
    <row r="1461" spans="1:21" x14ac:dyDescent="0.2">
      <c r="A1461" s="38">
        <v>42117</v>
      </c>
      <c r="B1461" s="4">
        <v>0.31469999999999998</v>
      </c>
      <c r="C1461" s="4">
        <v>0.45341599999999999</v>
      </c>
      <c r="D1461" s="4">
        <v>0.23188400000000001</v>
      </c>
      <c r="E1461" s="50">
        <v>1</v>
      </c>
      <c r="F1461" s="50">
        <v>0.33077912500000001</v>
      </c>
      <c r="G1461" s="50">
        <v>8.2816000000000001E-2</v>
      </c>
      <c r="H1461" s="50">
        <v>0.38490743662900001</v>
      </c>
      <c r="I1461" s="50">
        <v>0.48829287047999997</v>
      </c>
      <c r="J1461" s="50">
        <v>0.28152200277799999</v>
      </c>
      <c r="K1461" s="50">
        <v>2111.91</v>
      </c>
      <c r="L1461" s="50">
        <v>2072.37</v>
      </c>
      <c r="M1461" s="50">
        <v>2107.96</v>
      </c>
      <c r="N1461" s="66">
        <f t="shared" si="176"/>
        <v>-5.2657545683984866E-4</v>
      </c>
      <c r="O1461" s="66">
        <f t="shared" si="177"/>
        <v>8.4868783088862566E-3</v>
      </c>
      <c r="P1461" s="4">
        <f t="shared" si="178"/>
        <v>8.2815999999999973E-2</v>
      </c>
      <c r="Q1461" s="4">
        <f t="shared" si="179"/>
        <v>6.3891249999999983E-2</v>
      </c>
      <c r="R1461" s="66">
        <f t="shared" si="180"/>
        <v>-5.2657545683984866E-4</v>
      </c>
      <c r="S1461" s="66">
        <f t="shared" si="181"/>
        <v>8.4868783088862566E-3</v>
      </c>
      <c r="T1461" s="50" t="str">
        <f t="shared" si="182"/>
        <v/>
      </c>
      <c r="U1461" s="50">
        <f t="shared" si="183"/>
        <v>1</v>
      </c>
    </row>
    <row r="1462" spans="1:21" x14ac:dyDescent="0.2">
      <c r="A1462" s="38">
        <v>42124</v>
      </c>
      <c r="B1462" s="4">
        <v>0.30836200000000002</v>
      </c>
      <c r="C1462" s="4">
        <v>0.47212500000000002</v>
      </c>
      <c r="D1462" s="4">
        <v>0.21951200000000001</v>
      </c>
      <c r="E1462" s="50">
        <v>0.99999899999999997</v>
      </c>
      <c r="F1462" s="50">
        <v>0.31957112500000001</v>
      </c>
      <c r="G1462" s="50">
        <v>8.8849999999999998E-2</v>
      </c>
      <c r="H1462" s="50">
        <v>0.38490743662900001</v>
      </c>
      <c r="I1462" s="50">
        <v>0.48829287047999997</v>
      </c>
      <c r="J1462" s="50">
        <v>0.28152200277799999</v>
      </c>
      <c r="K1462" s="50">
        <v>2125.92</v>
      </c>
      <c r="L1462" s="50">
        <v>2091.0500000000002</v>
      </c>
      <c r="M1462" s="50">
        <v>2106.85</v>
      </c>
      <c r="N1462" s="66">
        <f t="shared" si="176"/>
        <v>-1.2672947765621577E-2</v>
      </c>
      <c r="O1462" s="66">
        <f t="shared" si="177"/>
        <v>7.8933004248048552E-3</v>
      </c>
      <c r="P1462" s="4">
        <f t="shared" si="178"/>
        <v>8.8850000000000012E-2</v>
      </c>
      <c r="Q1462" s="4">
        <f t="shared" si="179"/>
        <v>7.7512749999999991E-2</v>
      </c>
      <c r="R1462" s="66">
        <f t="shared" si="180"/>
        <v>-1.2672947765621577E-2</v>
      </c>
      <c r="S1462" s="66">
        <f t="shared" si="181"/>
        <v>7.8933004248048552E-3</v>
      </c>
      <c r="T1462" s="50" t="str">
        <f t="shared" si="182"/>
        <v/>
      </c>
      <c r="U1462" s="50">
        <f t="shared" si="183"/>
        <v>1</v>
      </c>
    </row>
    <row r="1463" spans="1:21" x14ac:dyDescent="0.2">
      <c r="A1463" s="38">
        <v>42131</v>
      </c>
      <c r="B1463" s="4">
        <v>0.270563</v>
      </c>
      <c r="C1463" s="4">
        <v>0.46103899999999998</v>
      </c>
      <c r="D1463" s="4">
        <v>0.26839800000000003</v>
      </c>
      <c r="E1463" s="50">
        <v>1</v>
      </c>
      <c r="F1463" s="50">
        <v>0.31389637500000001</v>
      </c>
      <c r="G1463" s="50">
        <v>2.1649999999999998E-3</v>
      </c>
      <c r="H1463" s="50">
        <v>0.38479788063699999</v>
      </c>
      <c r="I1463" s="50">
        <v>0.48823653456299998</v>
      </c>
      <c r="J1463" s="50">
        <v>0.28135922671000002</v>
      </c>
      <c r="K1463" s="50">
        <v>2120.9499999999998</v>
      </c>
      <c r="L1463" s="50">
        <v>2067.9299999999998</v>
      </c>
      <c r="M1463" s="50">
        <v>2080.15</v>
      </c>
      <c r="N1463" s="66">
        <f t="shared" si="176"/>
        <v>8.8118645290002767E-3</v>
      </c>
      <c r="O1463" s="66">
        <f t="shared" si="177"/>
        <v>1.6306516356993522E-2</v>
      </c>
      <c r="P1463" s="4">
        <f t="shared" si="178"/>
        <v>2.1649999999999725E-3</v>
      </c>
      <c r="Q1463" s="4">
        <f t="shared" si="179"/>
        <v>6.6664499999999988E-2</v>
      </c>
      <c r="R1463" s="66">
        <f t="shared" si="180"/>
        <v>8.8118645290002767E-3</v>
      </c>
      <c r="S1463" s="66">
        <f t="shared" si="181"/>
        <v>1.6306516356993522E-2</v>
      </c>
      <c r="T1463" s="50">
        <f t="shared" si="182"/>
        <v>1</v>
      </c>
      <c r="U1463" s="50">
        <f t="shared" si="183"/>
        <v>1</v>
      </c>
    </row>
    <row r="1464" spans="1:21" x14ac:dyDescent="0.2">
      <c r="A1464" s="38">
        <v>42138</v>
      </c>
      <c r="B1464" s="4">
        <v>0.26744200000000001</v>
      </c>
      <c r="C1464" s="4">
        <v>0.46899200000000002</v>
      </c>
      <c r="D1464" s="4">
        <v>0.26356600000000002</v>
      </c>
      <c r="E1464" s="50">
        <v>1</v>
      </c>
      <c r="F1464" s="50">
        <v>0.31337599999999999</v>
      </c>
      <c r="G1464" s="50">
        <v>3.8760000000000001E-3</v>
      </c>
      <c r="H1464" s="50">
        <v>0.38473447912499997</v>
      </c>
      <c r="I1464" s="50">
        <v>0.48816815708200001</v>
      </c>
      <c r="J1464" s="50">
        <v>0.28130080116900003</v>
      </c>
      <c r="K1464" s="50">
        <v>2117.69</v>
      </c>
      <c r="L1464" s="50">
        <v>2067.9299999999998</v>
      </c>
      <c r="M1464" s="50">
        <v>2098.48</v>
      </c>
      <c r="N1464" s="66">
        <f t="shared" si="176"/>
        <v>1.3042773817239093E-2</v>
      </c>
      <c r="O1464" s="66">
        <f t="shared" si="177"/>
        <v>3.2023178681711523E-3</v>
      </c>
      <c r="P1464" s="4">
        <f t="shared" si="178"/>
        <v>3.8759999999999906E-3</v>
      </c>
      <c r="Q1464" s="4">
        <f t="shared" si="179"/>
        <v>4.4426749999999987E-2</v>
      </c>
      <c r="R1464" s="66">
        <f t="shared" si="180"/>
        <v>1.3042773817239093E-2</v>
      </c>
      <c r="S1464" s="66">
        <f t="shared" si="181"/>
        <v>3.2023178681711523E-3</v>
      </c>
      <c r="T1464" s="50">
        <f t="shared" si="182"/>
        <v>1</v>
      </c>
      <c r="U1464" s="50">
        <f t="shared" si="183"/>
        <v>1</v>
      </c>
    </row>
    <row r="1465" spans="1:21" x14ac:dyDescent="0.2">
      <c r="A1465" s="38">
        <v>42145</v>
      </c>
      <c r="B1465" s="4">
        <v>0.25211899999999998</v>
      </c>
      <c r="C1465" s="4">
        <v>0.49788100000000002</v>
      </c>
      <c r="D1465" s="4">
        <v>0.25</v>
      </c>
      <c r="E1465" s="50">
        <v>1</v>
      </c>
      <c r="F1465" s="50">
        <v>0.29685362500000001</v>
      </c>
      <c r="G1465" s="50">
        <v>2.1189999999999998E-3</v>
      </c>
      <c r="H1465" s="50">
        <v>0.38468536556299998</v>
      </c>
      <c r="I1465" s="50">
        <v>0.488102377019</v>
      </c>
      <c r="J1465" s="50">
        <v>0.28126835410700002</v>
      </c>
      <c r="K1465" s="50">
        <v>2134.7199999999998</v>
      </c>
      <c r="L1465" s="50">
        <v>2085.5700000000002</v>
      </c>
      <c r="M1465" s="50">
        <v>2125.85</v>
      </c>
      <c r="N1465" s="66">
        <f t="shared" si="176"/>
        <v>-1.1148481783756572E-3</v>
      </c>
      <c r="O1465" s="66">
        <f t="shared" si="177"/>
        <v>-1.1952865912458479E-2</v>
      </c>
      <c r="P1465" s="4">
        <f t="shared" si="178"/>
        <v>2.118999999999982E-3</v>
      </c>
      <c r="Q1465" s="4">
        <f t="shared" si="179"/>
        <v>2.4252499999999989E-2</v>
      </c>
      <c r="R1465" s="66">
        <f t="shared" si="180"/>
        <v>-1.1148481783756572E-3</v>
      </c>
      <c r="S1465" s="66">
        <f t="shared" si="181"/>
        <v>-1.1952865912458479E-2</v>
      </c>
      <c r="T1465" s="50" t="str">
        <f t="shared" si="182"/>
        <v/>
      </c>
      <c r="U1465" s="50" t="str">
        <f t="shared" si="183"/>
        <v/>
      </c>
    </row>
    <row r="1466" spans="1:21" x14ac:dyDescent="0.2">
      <c r="A1466" s="38">
        <v>42152</v>
      </c>
      <c r="B1466" s="4">
        <v>0.27001900000000001</v>
      </c>
      <c r="C1466" s="4">
        <v>0.47858499999999998</v>
      </c>
      <c r="D1466" s="4">
        <v>0.25139699999999998</v>
      </c>
      <c r="E1466" s="50">
        <v>1.0000009999999999</v>
      </c>
      <c r="F1466" s="50">
        <v>0.28636200000000001</v>
      </c>
      <c r="G1466" s="50">
        <v>1.8622E-2</v>
      </c>
      <c r="H1466" s="50">
        <v>0.384674762409</v>
      </c>
      <c r="I1466" s="50">
        <v>0.48805834573899998</v>
      </c>
      <c r="J1466" s="50">
        <v>0.28129117907899998</v>
      </c>
      <c r="K1466" s="50">
        <v>2134.7199999999998</v>
      </c>
      <c r="L1466" s="50">
        <v>2099.1799999999998</v>
      </c>
      <c r="M1466" s="50">
        <v>2123.48</v>
      </c>
      <c r="N1466" s="66">
        <f t="shared" si="176"/>
        <v>-4.431405052084246E-3</v>
      </c>
      <c r="O1466" s="66">
        <f t="shared" si="177"/>
        <v>-7.0167837700379054E-3</v>
      </c>
      <c r="P1466" s="4">
        <f t="shared" si="178"/>
        <v>1.8622000000000027E-2</v>
      </c>
      <c r="Q1466" s="4">
        <f t="shared" si="179"/>
        <v>6.6954999999999931E-3</v>
      </c>
      <c r="R1466" s="66">
        <f t="shared" si="180"/>
        <v>-4.431405052084246E-3</v>
      </c>
      <c r="S1466" s="66">
        <f t="shared" si="181"/>
        <v>-7.0167837700379054E-3</v>
      </c>
      <c r="T1466" s="50" t="str">
        <f t="shared" si="182"/>
        <v/>
      </c>
      <c r="U1466" s="50" t="str">
        <f t="shared" si="183"/>
        <v/>
      </c>
    </row>
    <row r="1467" spans="1:21" x14ac:dyDescent="0.2">
      <c r="A1467" s="38">
        <v>42159</v>
      </c>
      <c r="B1467" s="4">
        <v>0.273399</v>
      </c>
      <c r="C1467" s="4">
        <v>0.480296</v>
      </c>
      <c r="D1467" s="4">
        <v>0.246305</v>
      </c>
      <c r="E1467" s="50">
        <v>1</v>
      </c>
      <c r="F1467" s="50">
        <v>0.28465987500000001</v>
      </c>
      <c r="G1467" s="50">
        <v>2.7094E-2</v>
      </c>
      <c r="H1467" s="50">
        <v>0.384654640873</v>
      </c>
      <c r="I1467" s="50">
        <v>0.48800696984699998</v>
      </c>
      <c r="J1467" s="50">
        <v>0.28130231189900001</v>
      </c>
      <c r="K1467" s="50">
        <v>2126.2199999999998</v>
      </c>
      <c r="L1467" s="50">
        <v>2099.14</v>
      </c>
      <c r="M1467" s="50">
        <v>2114.0700000000002</v>
      </c>
      <c r="N1467" s="66">
        <f t="shared" si="176"/>
        <v>-4.1956983448988659E-3</v>
      </c>
      <c r="O1467" s="66">
        <f t="shared" si="177"/>
        <v>-1.7336228223284986E-2</v>
      </c>
      <c r="P1467" s="4">
        <f t="shared" si="178"/>
        <v>2.7094000000000007E-2</v>
      </c>
      <c r="Q1467" s="4">
        <f t="shared" si="179"/>
        <v>1.2927750000000002E-2</v>
      </c>
      <c r="R1467" s="66">
        <f t="shared" si="180"/>
        <v>-4.1956983448988659E-3</v>
      </c>
      <c r="S1467" s="66">
        <f t="shared" si="181"/>
        <v>-1.7336228223284986E-2</v>
      </c>
      <c r="T1467" s="50" t="str">
        <f t="shared" si="182"/>
        <v/>
      </c>
      <c r="U1467" s="50" t="str">
        <f t="shared" si="183"/>
        <v/>
      </c>
    </row>
    <row r="1468" spans="1:21" x14ac:dyDescent="0.2">
      <c r="A1468" s="38">
        <v>42166</v>
      </c>
      <c r="B1468" s="4">
        <v>0.200375</v>
      </c>
      <c r="C1468" s="4">
        <v>0.47378300000000001</v>
      </c>
      <c r="D1468" s="4">
        <v>0.32584299999999999</v>
      </c>
      <c r="E1468" s="50">
        <v>1.0000009999999999</v>
      </c>
      <c r="F1468" s="50">
        <v>0.26962237500000003</v>
      </c>
      <c r="G1468" s="50">
        <v>-0.125468</v>
      </c>
      <c r="H1468" s="50">
        <v>0.38460695109100002</v>
      </c>
      <c r="I1468" s="50">
        <v>0.487941748349</v>
      </c>
      <c r="J1468" s="50">
        <v>0.28127215383199999</v>
      </c>
      <c r="K1468" s="50">
        <v>2121.92</v>
      </c>
      <c r="L1468" s="50">
        <v>2072.14</v>
      </c>
      <c r="M1468" s="50">
        <v>2105.1999999999998</v>
      </c>
      <c r="N1468" s="66">
        <f t="shared" si="176"/>
        <v>-2.2610678320348489E-3</v>
      </c>
      <c r="O1468" s="66">
        <f t="shared" si="177"/>
        <v>-2.7797833935017936E-2</v>
      </c>
      <c r="P1468" s="4">
        <f t="shared" si="178"/>
        <v>-0.125468</v>
      </c>
      <c r="Q1468" s="4">
        <f t="shared" si="179"/>
        <v>-1.9408249999999995E-2</v>
      </c>
      <c r="R1468" s="66">
        <f t="shared" si="180"/>
        <v>-2.2610678320348489E-3</v>
      </c>
      <c r="S1468" s="66">
        <f t="shared" si="181"/>
        <v>-2.7797833935017936E-2</v>
      </c>
      <c r="T1468" s="50" t="str">
        <f t="shared" si="182"/>
        <v/>
      </c>
      <c r="U1468" s="50" t="str">
        <f t="shared" si="183"/>
        <v/>
      </c>
    </row>
    <row r="1469" spans="1:21" x14ac:dyDescent="0.2">
      <c r="A1469" s="38">
        <v>42173</v>
      </c>
      <c r="B1469" s="4">
        <v>0.254083</v>
      </c>
      <c r="C1469" s="4">
        <v>0.40290399999999998</v>
      </c>
      <c r="D1469" s="4">
        <v>0.34301300000000001</v>
      </c>
      <c r="E1469" s="50">
        <v>1</v>
      </c>
      <c r="F1469" s="50">
        <v>0.26204525000000001</v>
      </c>
      <c r="G1469" s="50">
        <v>-8.8929999999999995E-2</v>
      </c>
      <c r="H1469" s="50">
        <v>0.38460695109100002</v>
      </c>
      <c r="I1469" s="50">
        <v>0.487941748349</v>
      </c>
      <c r="J1469" s="50">
        <v>0.28127215383199999</v>
      </c>
      <c r="K1469" s="50">
        <v>2115.02</v>
      </c>
      <c r="L1469" s="50">
        <v>2072.14</v>
      </c>
      <c r="M1469" s="50">
        <v>2100.44</v>
      </c>
      <c r="N1469" s="66">
        <f t="shared" si="176"/>
        <v>3.8753784921253987E-3</v>
      </c>
      <c r="O1469" s="66">
        <f t="shared" si="177"/>
        <v>3.3135914379844394E-3</v>
      </c>
      <c r="P1469" s="4">
        <f t="shared" si="178"/>
        <v>-8.8930000000000009E-2</v>
      </c>
      <c r="Q1469" s="4">
        <f t="shared" si="179"/>
        <v>-4.2170499999999993E-2</v>
      </c>
      <c r="R1469" s="66">
        <f t="shared" si="180"/>
        <v>3.8753784921253987E-3</v>
      </c>
      <c r="S1469" s="66">
        <f t="shared" si="181"/>
        <v>3.3135914379844394E-3</v>
      </c>
      <c r="T1469" s="50">
        <f t="shared" si="182"/>
        <v>1</v>
      </c>
      <c r="U1469" s="50">
        <f t="shared" si="183"/>
        <v>1</v>
      </c>
    </row>
    <row r="1470" spans="1:21" x14ac:dyDescent="0.2">
      <c r="A1470" s="38">
        <v>42180</v>
      </c>
      <c r="B1470" s="4">
        <v>0.35555599999999998</v>
      </c>
      <c r="C1470" s="4">
        <v>0.42777799999999999</v>
      </c>
      <c r="D1470" s="4">
        <v>0.216667</v>
      </c>
      <c r="E1470" s="50">
        <v>1.0000009999999999</v>
      </c>
      <c r="F1470" s="50">
        <v>0.26794449999999997</v>
      </c>
      <c r="G1470" s="50">
        <v>0.13888900000000001</v>
      </c>
      <c r="H1470" s="50">
        <v>0.38450238547900001</v>
      </c>
      <c r="I1470" s="50">
        <v>0.48780933771399998</v>
      </c>
      <c r="J1470" s="50">
        <v>0.28119543324399998</v>
      </c>
      <c r="K1470" s="50">
        <v>2129.87</v>
      </c>
      <c r="L1470" s="50">
        <v>2082.1</v>
      </c>
      <c r="M1470" s="50">
        <v>2108.58</v>
      </c>
      <c r="N1470" s="66">
        <f t="shared" si="176"/>
        <v>-1.4777717705754515E-2</v>
      </c>
      <c r="O1470" s="66">
        <f t="shared" si="177"/>
        <v>2.6415881778259131E-3</v>
      </c>
      <c r="P1470" s="4">
        <f t="shared" si="178"/>
        <v>0.13888899999999998</v>
      </c>
      <c r="Q1470" s="4">
        <f t="shared" si="179"/>
        <v>-1.2103750000000003E-2</v>
      </c>
      <c r="R1470" s="66">
        <f t="shared" si="180"/>
        <v>-1.4777717705754515E-2</v>
      </c>
      <c r="S1470" s="66">
        <f t="shared" si="181"/>
        <v>2.6415881778259131E-3</v>
      </c>
      <c r="T1470" s="50" t="str">
        <f t="shared" si="182"/>
        <v/>
      </c>
      <c r="U1470" s="50">
        <f t="shared" si="183"/>
        <v>1</v>
      </c>
    </row>
    <row r="1471" spans="1:21" x14ac:dyDescent="0.2">
      <c r="A1471" s="38">
        <v>42187</v>
      </c>
      <c r="B1471" s="4">
        <v>0.22612099999999999</v>
      </c>
      <c r="C1471" s="4">
        <v>0.42300199999999999</v>
      </c>
      <c r="D1471" s="4">
        <v>0.35087699999999999</v>
      </c>
      <c r="E1471" s="50">
        <v>1</v>
      </c>
      <c r="F1471" s="50">
        <v>0.26238925000000002</v>
      </c>
      <c r="G1471" s="50">
        <v>-0.12475600000000001</v>
      </c>
      <c r="H1471" s="50">
        <v>0.38448335290199998</v>
      </c>
      <c r="I1471" s="50">
        <v>0.48775886352600001</v>
      </c>
      <c r="J1471" s="50">
        <v>0.28120784227899998</v>
      </c>
      <c r="K1471" s="50">
        <v>2128.0300000000002</v>
      </c>
      <c r="L1471" s="50">
        <v>2056.3200000000002</v>
      </c>
      <c r="M1471" s="50">
        <v>2077.42</v>
      </c>
      <c r="N1471" s="66">
        <f t="shared" si="176"/>
        <v>-1.4797200373540261E-2</v>
      </c>
      <c r="O1471" s="66">
        <f t="shared" si="177"/>
        <v>1.4994560560695522E-2</v>
      </c>
      <c r="P1471" s="4">
        <f t="shared" si="178"/>
        <v>-0.12475600000000001</v>
      </c>
      <c r="Q1471" s="4">
        <f t="shared" si="179"/>
        <v>-5.0066250000000007E-2</v>
      </c>
      <c r="R1471" s="66">
        <f t="shared" si="180"/>
        <v>-1.4797200373540261E-2</v>
      </c>
      <c r="S1471" s="66">
        <f t="shared" si="181"/>
        <v>1.4994560560695522E-2</v>
      </c>
      <c r="T1471" s="50" t="str">
        <f t="shared" si="182"/>
        <v/>
      </c>
      <c r="U1471" s="50">
        <f t="shared" si="183"/>
        <v>1</v>
      </c>
    </row>
    <row r="1472" spans="1:21" x14ac:dyDescent="0.2">
      <c r="A1472" s="38">
        <v>42194</v>
      </c>
      <c r="B1472" s="4">
        <v>0.27906999999999998</v>
      </c>
      <c r="C1472" s="4">
        <v>0.42917499999999997</v>
      </c>
      <c r="D1472" s="4">
        <v>0.29175499999999999</v>
      </c>
      <c r="E1472" s="50">
        <v>1</v>
      </c>
      <c r="F1472" s="50">
        <v>0.26384275000000001</v>
      </c>
      <c r="G1472" s="50">
        <v>-1.2685E-2</v>
      </c>
      <c r="H1472" s="50">
        <v>0.38442386684199997</v>
      </c>
      <c r="I1472" s="50">
        <v>0.48769130425099999</v>
      </c>
      <c r="J1472" s="50">
        <v>0.28115642943399999</v>
      </c>
      <c r="K1472" s="50">
        <v>2098.63</v>
      </c>
      <c r="L1472" s="50">
        <v>2044.02</v>
      </c>
      <c r="M1472" s="50">
        <v>2046.68</v>
      </c>
      <c r="N1472" s="66">
        <f t="shared" si="176"/>
        <v>2.9667559168995654E-2</v>
      </c>
      <c r="O1472" s="66">
        <f t="shared" si="177"/>
        <v>2.5973772157836146E-2</v>
      </c>
      <c r="P1472" s="4">
        <f t="shared" si="178"/>
        <v>-1.2685000000000002E-2</v>
      </c>
      <c r="Q1472" s="4">
        <f t="shared" si="179"/>
        <v>-2.1870500000000008E-2</v>
      </c>
      <c r="R1472" s="66">
        <f t="shared" si="180"/>
        <v>2.9667559168995654E-2</v>
      </c>
      <c r="S1472" s="66">
        <f t="shared" si="181"/>
        <v>2.5973772157836146E-2</v>
      </c>
      <c r="T1472" s="50">
        <f t="shared" si="182"/>
        <v>1</v>
      </c>
      <c r="U1472" s="50">
        <f t="shared" si="183"/>
        <v>1</v>
      </c>
    </row>
    <row r="1473" spans="1:21" x14ac:dyDescent="0.2">
      <c r="A1473" s="38">
        <v>42201</v>
      </c>
      <c r="B1473" s="4">
        <v>0.30810799999999999</v>
      </c>
      <c r="C1473" s="4">
        <v>0.45945900000000001</v>
      </c>
      <c r="D1473" s="4">
        <v>0.232432</v>
      </c>
      <c r="E1473" s="50">
        <v>0.99999899999999997</v>
      </c>
      <c r="F1473" s="50">
        <v>0.270841375</v>
      </c>
      <c r="G1473" s="50">
        <v>7.5675999999999993E-2</v>
      </c>
      <c r="H1473" s="50">
        <v>0.38442386684199997</v>
      </c>
      <c r="I1473" s="50">
        <v>0.48769130425099999</v>
      </c>
      <c r="J1473" s="50">
        <v>0.28115642943399999</v>
      </c>
      <c r="K1473" s="50">
        <v>2114.14</v>
      </c>
      <c r="L1473" s="50">
        <v>2044.02</v>
      </c>
      <c r="M1473" s="50">
        <v>2107.4</v>
      </c>
      <c r="N1473" s="66">
        <f t="shared" si="176"/>
        <v>3.2029989560595994E-3</v>
      </c>
      <c r="O1473" s="66">
        <f t="shared" si="177"/>
        <v>-1.0130967068425504E-2</v>
      </c>
      <c r="P1473" s="4">
        <f t="shared" si="178"/>
        <v>7.5675999999999993E-2</v>
      </c>
      <c r="Q1473" s="4">
        <f t="shared" si="179"/>
        <v>1.9280999999999993E-2</v>
      </c>
      <c r="R1473" s="66">
        <f t="shared" si="180"/>
        <v>3.2029989560595994E-3</v>
      </c>
      <c r="S1473" s="66">
        <f t="shared" si="181"/>
        <v>-1.0130967068425504E-2</v>
      </c>
      <c r="T1473" s="50">
        <f t="shared" si="182"/>
        <v>1</v>
      </c>
      <c r="U1473" s="50" t="str">
        <f t="shared" si="183"/>
        <v/>
      </c>
    </row>
    <row r="1474" spans="1:21" x14ac:dyDescent="0.2">
      <c r="A1474" s="38">
        <v>42208</v>
      </c>
      <c r="B1474" s="4">
        <v>0.32540000000000002</v>
      </c>
      <c r="C1474" s="4">
        <v>0.41870000000000002</v>
      </c>
      <c r="D1474" s="4">
        <v>0.25600000000000001</v>
      </c>
      <c r="E1474" s="50">
        <v>1.0001</v>
      </c>
      <c r="F1474" s="50">
        <v>0.27776400000000001</v>
      </c>
      <c r="G1474" s="50">
        <v>6.9400000000000003E-2</v>
      </c>
      <c r="H1474" s="50">
        <v>0.38430182620100001</v>
      </c>
      <c r="I1474" s="50">
        <v>0.48755617790099998</v>
      </c>
      <c r="J1474" s="50">
        <v>0.28104747450200002</v>
      </c>
      <c r="K1474" s="50">
        <v>2132.8200000000002</v>
      </c>
      <c r="L1474" s="50">
        <v>2102.4899999999998</v>
      </c>
      <c r="M1474" s="50">
        <v>2114.15</v>
      </c>
      <c r="N1474" s="66">
        <f t="shared" si="176"/>
        <v>-2.6393586074781481E-3</v>
      </c>
      <c r="O1474" s="66">
        <f t="shared" si="177"/>
        <v>-1.6337535179622997E-2</v>
      </c>
      <c r="P1474" s="4">
        <f t="shared" si="178"/>
        <v>6.9400000000000017E-2</v>
      </c>
      <c r="Q1474" s="4">
        <f t="shared" si="179"/>
        <v>1.9087500000000007E-3</v>
      </c>
      <c r="R1474" s="66">
        <f t="shared" si="180"/>
        <v>-2.6393586074781481E-3</v>
      </c>
      <c r="S1474" s="66">
        <f t="shared" si="181"/>
        <v>-1.6337535179622997E-2</v>
      </c>
      <c r="T1474" s="50" t="str">
        <f t="shared" si="182"/>
        <v/>
      </c>
      <c r="U1474" s="50" t="str">
        <f t="shared" si="183"/>
        <v/>
      </c>
    </row>
    <row r="1475" spans="1:21" x14ac:dyDescent="0.2">
      <c r="A1475" s="38">
        <v>42215</v>
      </c>
      <c r="B1475" s="4">
        <v>0.21105499999999999</v>
      </c>
      <c r="C1475" s="4">
        <v>0.38191000000000003</v>
      </c>
      <c r="D1475" s="4">
        <v>0.40703499999999998</v>
      </c>
      <c r="E1475" s="50">
        <v>1</v>
      </c>
      <c r="F1475" s="50">
        <v>0.26997100000000002</v>
      </c>
      <c r="G1475" s="50">
        <v>-0.19597999999999999</v>
      </c>
      <c r="H1475" s="50">
        <v>0.38423279802600002</v>
      </c>
      <c r="I1475" s="50">
        <v>0.48748823390899998</v>
      </c>
      <c r="J1475" s="50">
        <v>0.28097736214399999</v>
      </c>
      <c r="K1475" s="50">
        <v>2132.8200000000002</v>
      </c>
      <c r="L1475" s="50">
        <v>2063.52</v>
      </c>
      <c r="M1475" s="50">
        <v>2108.5700000000002</v>
      </c>
      <c r="N1475" s="66">
        <f t="shared" si="176"/>
        <v>-4.1402467074842277E-3</v>
      </c>
      <c r="O1475" s="66">
        <f t="shared" si="177"/>
        <v>-7.9703306032050239E-2</v>
      </c>
      <c r="P1475" s="4">
        <f t="shared" si="178"/>
        <v>-0.19597999999999999</v>
      </c>
      <c r="Q1475" s="4">
        <f t="shared" si="179"/>
        <v>-1.5897249999999995E-2</v>
      </c>
      <c r="R1475" s="66">
        <f t="shared" si="180"/>
        <v>-4.1402467074842277E-3</v>
      </c>
      <c r="S1475" s="66">
        <f t="shared" si="181"/>
        <v>-7.9703306032050239E-2</v>
      </c>
      <c r="T1475" s="50" t="str">
        <f t="shared" si="182"/>
        <v/>
      </c>
      <c r="U1475" s="50" t="str">
        <f t="shared" si="183"/>
        <v/>
      </c>
    </row>
    <row r="1476" spans="1:21" x14ac:dyDescent="0.2">
      <c r="A1476" s="38">
        <v>42222</v>
      </c>
      <c r="B1476" s="4">
        <v>0.24318699999999999</v>
      </c>
      <c r="C1476" s="4">
        <v>0.44025199999999998</v>
      </c>
      <c r="D1476" s="4">
        <v>0.31656200000000001</v>
      </c>
      <c r="E1476" s="50">
        <v>1.0000009999999999</v>
      </c>
      <c r="F1476" s="50">
        <v>0.27532250000000003</v>
      </c>
      <c r="G1476" s="50">
        <v>-7.3374999999999996E-2</v>
      </c>
      <c r="H1476" s="50">
        <v>0.38414340105200001</v>
      </c>
      <c r="I1476" s="50">
        <v>0.48742372991299998</v>
      </c>
      <c r="J1476" s="50">
        <v>0.28086307219099999</v>
      </c>
      <c r="K1476" s="50">
        <v>2114.2399999999998</v>
      </c>
      <c r="L1476" s="50">
        <v>2063.52</v>
      </c>
      <c r="M1476" s="50">
        <v>2099.84</v>
      </c>
      <c r="N1476" s="66">
        <f t="shared" si="176"/>
        <v>-6.5671670222492966E-3</v>
      </c>
      <c r="O1476" s="66">
        <f t="shared" si="177"/>
        <v>-7.1900716245047347E-2</v>
      </c>
      <c r="P1476" s="4">
        <f t="shared" si="178"/>
        <v>-7.3375000000000024E-2</v>
      </c>
      <c r="Q1476" s="4">
        <f t="shared" si="179"/>
        <v>-3.106975E-2</v>
      </c>
      <c r="R1476" s="66">
        <f t="shared" si="180"/>
        <v>-6.5671670222492966E-3</v>
      </c>
      <c r="S1476" s="66">
        <f t="shared" si="181"/>
        <v>-7.1900716245047347E-2</v>
      </c>
      <c r="T1476" s="50" t="str">
        <f t="shared" si="182"/>
        <v/>
      </c>
      <c r="U1476" s="50" t="str">
        <f t="shared" si="183"/>
        <v/>
      </c>
    </row>
    <row r="1477" spans="1:21" x14ac:dyDescent="0.2">
      <c r="A1477" s="38">
        <v>42229</v>
      </c>
      <c r="B1477" s="4">
        <v>0.30451899999999998</v>
      </c>
      <c r="C1477" s="4">
        <v>0.33398800000000001</v>
      </c>
      <c r="D1477" s="4">
        <v>0.36149300000000001</v>
      </c>
      <c r="E1477" s="50">
        <v>1</v>
      </c>
      <c r="F1477" s="50">
        <v>0.28162700000000002</v>
      </c>
      <c r="G1477" s="50">
        <v>-5.6973999999999997E-2</v>
      </c>
      <c r="H1477" s="50">
        <v>0.38404869448099999</v>
      </c>
      <c r="I1477" s="50">
        <v>0.48736115559600002</v>
      </c>
      <c r="J1477" s="50">
        <v>0.28073623336499998</v>
      </c>
      <c r="K1477" s="50">
        <v>2112.66</v>
      </c>
      <c r="L1477" s="50">
        <v>2052.09</v>
      </c>
      <c r="M1477" s="50">
        <v>2086.0500000000002</v>
      </c>
      <c r="N1477" s="66">
        <f t="shared" si="176"/>
        <v>-3.0871743246806424E-3</v>
      </c>
      <c r="O1477" s="66">
        <f t="shared" si="177"/>
        <v>-6.903477864864227E-2</v>
      </c>
      <c r="P1477" s="4">
        <f t="shared" si="178"/>
        <v>-5.6974000000000025E-2</v>
      </c>
      <c r="Q1477" s="4">
        <f t="shared" si="179"/>
        <v>-6.4232250000000005E-2</v>
      </c>
      <c r="R1477" s="66">
        <f t="shared" si="180"/>
        <v>-3.0871743246806424E-3</v>
      </c>
      <c r="S1477" s="66">
        <f t="shared" si="181"/>
        <v>-6.903477864864227E-2</v>
      </c>
      <c r="T1477" s="50" t="str">
        <f t="shared" si="182"/>
        <v/>
      </c>
      <c r="U1477" s="50" t="str">
        <f t="shared" si="183"/>
        <v/>
      </c>
    </row>
    <row r="1478" spans="1:21" x14ac:dyDescent="0.2">
      <c r="A1478" s="38">
        <v>42236</v>
      </c>
      <c r="B1478" s="4">
        <v>0.26819900000000002</v>
      </c>
      <c r="C1478" s="4">
        <v>0.39846700000000002</v>
      </c>
      <c r="D1478" s="4">
        <v>0.33333299999999999</v>
      </c>
      <c r="E1478" s="50">
        <v>0.99999899999999997</v>
      </c>
      <c r="F1478" s="50">
        <v>0.27070737499999997</v>
      </c>
      <c r="G1478" s="50">
        <v>-6.5133999999999997E-2</v>
      </c>
      <c r="H1478" s="50">
        <v>0.38398559356500001</v>
      </c>
      <c r="I1478" s="50">
        <v>0.48729346355100001</v>
      </c>
      <c r="J1478" s="50">
        <v>0.28067772357999998</v>
      </c>
      <c r="K1478" s="50">
        <v>2103.4699999999998</v>
      </c>
      <c r="L1478" s="50">
        <v>2052.09</v>
      </c>
      <c r="M1478" s="50">
        <v>2079.61</v>
      </c>
      <c r="N1478" s="66">
        <f t="shared" si="176"/>
        <v>-6.6887541414015192E-2</v>
      </c>
      <c r="O1478" s="66">
        <f t="shared" si="177"/>
        <v>-4.053644673760954E-2</v>
      </c>
      <c r="P1478" s="4">
        <f t="shared" si="178"/>
        <v>-6.513399999999997E-2</v>
      </c>
      <c r="Q1478" s="4">
        <f t="shared" si="179"/>
        <v>-9.7865750000000001E-2</v>
      </c>
      <c r="R1478" s="66">
        <f t="shared" si="180"/>
        <v>-6.6887541414015192E-2</v>
      </c>
      <c r="S1478" s="66">
        <f t="shared" si="181"/>
        <v>-4.053644673760954E-2</v>
      </c>
      <c r="T1478" s="50" t="str">
        <f t="shared" si="182"/>
        <v/>
      </c>
      <c r="U1478" s="50" t="str">
        <f t="shared" si="183"/>
        <v/>
      </c>
    </row>
    <row r="1479" spans="1:21" x14ac:dyDescent="0.2">
      <c r="A1479" s="38">
        <v>42243</v>
      </c>
      <c r="B1479" s="4">
        <v>0.32500000000000001</v>
      </c>
      <c r="C1479" s="4">
        <v>0.29230800000000001</v>
      </c>
      <c r="D1479" s="4">
        <v>0.38269199999999998</v>
      </c>
      <c r="E1479" s="50">
        <v>1</v>
      </c>
      <c r="F1479" s="50">
        <v>0.28306724999999999</v>
      </c>
      <c r="G1479" s="50">
        <v>-5.7692E-2</v>
      </c>
      <c r="H1479" s="50">
        <v>0.38390077165399999</v>
      </c>
      <c r="I1479" s="50">
        <v>0.48722779255699999</v>
      </c>
      <c r="J1479" s="50">
        <v>0.28057375075000002</v>
      </c>
      <c r="K1479" s="50">
        <v>2103.4699999999998</v>
      </c>
      <c r="L1479" s="50">
        <v>1867.01</v>
      </c>
      <c r="M1479" s="50">
        <v>1940.51</v>
      </c>
      <c r="N1479" s="66">
        <f t="shared" si="176"/>
        <v>4.3029925122776537E-3</v>
      </c>
      <c r="O1479" s="66">
        <f t="shared" si="177"/>
        <v>1.3635590643696779E-2</v>
      </c>
      <c r="P1479" s="4">
        <f t="shared" si="178"/>
        <v>-5.7691999999999966E-2</v>
      </c>
      <c r="Q1479" s="4">
        <f t="shared" si="179"/>
        <v>-6.3293749999999996E-2</v>
      </c>
      <c r="R1479" s="66">
        <f t="shared" si="180"/>
        <v>4.3029925122776537E-3</v>
      </c>
      <c r="S1479" s="66">
        <f t="shared" si="181"/>
        <v>1.3635590643696779E-2</v>
      </c>
      <c r="T1479" s="50">
        <f t="shared" si="182"/>
        <v>1</v>
      </c>
      <c r="U1479" s="50">
        <f t="shared" si="183"/>
        <v>1</v>
      </c>
    </row>
    <row r="1480" spans="1:21" x14ac:dyDescent="0.2">
      <c r="A1480" s="38">
        <v>42250</v>
      </c>
      <c r="B1480" s="4">
        <v>0.32384299999999999</v>
      </c>
      <c r="C1480" s="4">
        <v>0.359431</v>
      </c>
      <c r="D1480" s="4">
        <v>0.31672600000000001</v>
      </c>
      <c r="E1480" s="50">
        <v>1</v>
      </c>
      <c r="F1480" s="50">
        <v>0.28866387500000001</v>
      </c>
      <c r="G1480" s="50">
        <v>7.1170000000000001E-3</v>
      </c>
      <c r="H1480" s="50">
        <v>0.38380470229500002</v>
      </c>
      <c r="I1480" s="50">
        <v>0.48716592521899998</v>
      </c>
      <c r="J1480" s="50">
        <v>0.280443479371</v>
      </c>
      <c r="K1480" s="50">
        <v>1993.48</v>
      </c>
      <c r="L1480" s="50">
        <v>1867.08</v>
      </c>
      <c r="M1480" s="50">
        <v>1948.86</v>
      </c>
      <c r="N1480" s="66">
        <f t="shared" si="176"/>
        <v>-3.4994817483041045E-3</v>
      </c>
      <c r="O1480" s="66">
        <f t="shared" si="177"/>
        <v>-3.323481419907022E-2</v>
      </c>
      <c r="P1480" s="4">
        <f t="shared" si="178"/>
        <v>7.1169999999999844E-3</v>
      </c>
      <c r="Q1480" s="4">
        <f t="shared" si="179"/>
        <v>-4.3170749999999994E-2</v>
      </c>
      <c r="R1480" s="66">
        <f t="shared" si="180"/>
        <v>-3.4994817483041045E-3</v>
      </c>
      <c r="S1480" s="66">
        <f t="shared" si="181"/>
        <v>-3.323481419907022E-2</v>
      </c>
      <c r="T1480" s="50" t="str">
        <f t="shared" si="182"/>
        <v/>
      </c>
      <c r="U1480" s="50" t="str">
        <f t="shared" si="183"/>
        <v/>
      </c>
    </row>
    <row r="1481" spans="1:21" x14ac:dyDescent="0.2">
      <c r="A1481" s="38">
        <v>42257</v>
      </c>
      <c r="B1481" s="4">
        <v>0.346499</v>
      </c>
      <c r="C1481" s="4">
        <v>0.30341099999999999</v>
      </c>
      <c r="D1481" s="4">
        <v>0.35009000000000001</v>
      </c>
      <c r="E1481" s="50">
        <v>1</v>
      </c>
      <c r="F1481" s="50">
        <v>0.29346274999999999</v>
      </c>
      <c r="G1481" s="50">
        <v>-3.591E-3</v>
      </c>
      <c r="H1481" s="50">
        <v>0.38371541284400001</v>
      </c>
      <c r="I1481" s="50">
        <v>0.48710159663899999</v>
      </c>
      <c r="J1481" s="50">
        <v>0.28032922904899998</v>
      </c>
      <c r="K1481" s="50">
        <v>1988.63</v>
      </c>
      <c r="L1481" s="50">
        <v>1903.07</v>
      </c>
      <c r="M1481" s="50">
        <v>1942.04</v>
      </c>
      <c r="N1481" s="66">
        <f t="shared" si="176"/>
        <v>2.742991905419043E-2</v>
      </c>
      <c r="O1481" s="66">
        <f t="shared" si="177"/>
        <v>2.7697678729583307E-2</v>
      </c>
      <c r="P1481" s="4">
        <f t="shared" si="178"/>
        <v>-3.5910000000000108E-3</v>
      </c>
      <c r="Q1481" s="4">
        <f t="shared" si="179"/>
        <v>-2.982499999999999E-2</v>
      </c>
      <c r="R1481" s="66">
        <f t="shared" si="180"/>
        <v>2.742991905419043E-2</v>
      </c>
      <c r="S1481" s="66">
        <f t="shared" si="181"/>
        <v>2.7697678729583307E-2</v>
      </c>
      <c r="T1481" s="50">
        <f t="shared" si="182"/>
        <v>1</v>
      </c>
      <c r="U1481" s="50">
        <f t="shared" si="183"/>
        <v>1</v>
      </c>
    </row>
    <row r="1482" spans="1:21" x14ac:dyDescent="0.2">
      <c r="A1482" s="38">
        <v>42264</v>
      </c>
      <c r="B1482" s="4">
        <v>0.33264500000000002</v>
      </c>
      <c r="C1482" s="4">
        <v>0.37603300000000001</v>
      </c>
      <c r="D1482" s="4">
        <v>0.29132200000000003</v>
      </c>
      <c r="E1482" s="50">
        <v>1</v>
      </c>
      <c r="F1482" s="50">
        <v>0.29436837500000002</v>
      </c>
      <c r="G1482" s="50">
        <v>4.1322999999999999E-2</v>
      </c>
      <c r="H1482" s="50">
        <v>0.38361891552100003</v>
      </c>
      <c r="I1482" s="50">
        <v>0.48703998505700002</v>
      </c>
      <c r="J1482" s="50">
        <v>0.28019784598399999</v>
      </c>
      <c r="K1482" s="50">
        <v>1997.26</v>
      </c>
      <c r="L1482" s="50">
        <v>1927.3</v>
      </c>
      <c r="M1482" s="50">
        <v>1995.31</v>
      </c>
      <c r="N1482" s="66">
        <f t="shared" si="176"/>
        <v>-1.4203306754338884E-2</v>
      </c>
      <c r="O1482" s="66">
        <f t="shared" si="177"/>
        <v>-5.3625752389349841E-4</v>
      </c>
      <c r="P1482" s="4">
        <f t="shared" si="178"/>
        <v>4.1322999999999999E-2</v>
      </c>
      <c r="Q1482" s="4">
        <f t="shared" si="179"/>
        <v>-3.2107499999999983E-3</v>
      </c>
      <c r="R1482" s="66">
        <f t="shared" si="180"/>
        <v>-1.4203306754338884E-2</v>
      </c>
      <c r="S1482" s="66">
        <f t="shared" si="181"/>
        <v>-5.3625752389349841E-4</v>
      </c>
      <c r="T1482" s="50" t="str">
        <f t="shared" si="182"/>
        <v/>
      </c>
      <c r="U1482" s="50" t="str">
        <f t="shared" si="183"/>
        <v/>
      </c>
    </row>
    <row r="1483" spans="1:21" x14ac:dyDescent="0.2">
      <c r="A1483" s="38">
        <v>42271</v>
      </c>
      <c r="B1483" s="4">
        <v>0.32119900000000001</v>
      </c>
      <c r="C1483" s="4">
        <v>0.39186300000000002</v>
      </c>
      <c r="D1483" s="4">
        <v>0.28693800000000003</v>
      </c>
      <c r="E1483" s="50">
        <v>1</v>
      </c>
      <c r="F1483" s="50">
        <v>0.30813637500000002</v>
      </c>
      <c r="G1483" s="50">
        <v>3.4261E-2</v>
      </c>
      <c r="H1483" s="50">
        <v>0.383622364529</v>
      </c>
      <c r="I1483" s="50">
        <v>0.48700965228900001</v>
      </c>
      <c r="J1483" s="50">
        <v>0.28023507676800002</v>
      </c>
      <c r="K1483" s="50">
        <v>2020.86</v>
      </c>
      <c r="L1483" s="50">
        <v>1939.19</v>
      </c>
      <c r="M1483" s="50">
        <v>1966.97</v>
      </c>
      <c r="N1483" s="66">
        <f t="shared" si="176"/>
        <v>-4.2135873958423414E-2</v>
      </c>
      <c r="O1483" s="66">
        <f t="shared" si="177"/>
        <v>2.6421348571660994E-2</v>
      </c>
      <c r="P1483" s="4">
        <f t="shared" si="178"/>
        <v>3.4260999999999986E-2</v>
      </c>
      <c r="Q1483" s="4">
        <f t="shared" si="179"/>
        <v>1.977749999999999E-2</v>
      </c>
      <c r="R1483" s="66">
        <f t="shared" si="180"/>
        <v>-4.2135873958423414E-2</v>
      </c>
      <c r="S1483" s="66">
        <f t="shared" si="181"/>
        <v>2.6421348571660994E-2</v>
      </c>
      <c r="T1483" s="50" t="str">
        <f t="shared" si="182"/>
        <v/>
      </c>
      <c r="U1483" s="50">
        <f t="shared" si="183"/>
        <v>1</v>
      </c>
    </row>
    <row r="1484" spans="1:21" x14ac:dyDescent="0.2">
      <c r="A1484" s="38">
        <v>42278</v>
      </c>
      <c r="B1484" s="4">
        <v>0.281059</v>
      </c>
      <c r="C1484" s="4">
        <v>0.31975599999999998</v>
      </c>
      <c r="D1484" s="4">
        <v>0.39918500000000001</v>
      </c>
      <c r="E1484" s="50">
        <v>1</v>
      </c>
      <c r="F1484" s="50">
        <v>0.31287037499999998</v>
      </c>
      <c r="G1484" s="50">
        <v>-0.11812599999999999</v>
      </c>
      <c r="H1484" s="50">
        <v>0.38367658861999998</v>
      </c>
      <c r="I1484" s="50">
        <v>0.48705178652499997</v>
      </c>
      <c r="J1484" s="50">
        <v>0.28030139071499999</v>
      </c>
      <c r="K1484" s="50">
        <v>1979.64</v>
      </c>
      <c r="L1484" s="50">
        <v>1871.91</v>
      </c>
      <c r="M1484" s="50">
        <v>1884.09</v>
      </c>
      <c r="N1484" s="66">
        <f t="shared" si="176"/>
        <v>5.9307145624678231E-2</v>
      </c>
      <c r="O1484" s="66">
        <f t="shared" si="177"/>
        <v>0.10947460047025355</v>
      </c>
      <c r="P1484" s="4">
        <f t="shared" si="178"/>
        <v>-0.11812600000000001</v>
      </c>
      <c r="Q1484" s="4">
        <f t="shared" si="179"/>
        <v>-1.1533250000000009E-2</v>
      </c>
      <c r="R1484" s="66">
        <f t="shared" si="180"/>
        <v>5.9307145624678231E-2</v>
      </c>
      <c r="S1484" s="66">
        <f t="shared" si="181"/>
        <v>0.10947460047025355</v>
      </c>
      <c r="T1484" s="50">
        <f t="shared" si="182"/>
        <v>1</v>
      </c>
      <c r="U1484" s="50">
        <f t="shared" si="183"/>
        <v>1</v>
      </c>
    </row>
    <row r="1485" spans="1:21" x14ac:dyDescent="0.2">
      <c r="A1485" s="38">
        <v>42285</v>
      </c>
      <c r="B1485" s="4">
        <v>0.37523800000000002</v>
      </c>
      <c r="C1485" s="4">
        <v>0.34285700000000002</v>
      </c>
      <c r="D1485" s="4">
        <v>0.28190500000000002</v>
      </c>
      <c r="E1485" s="50">
        <v>1</v>
      </c>
      <c r="F1485" s="50">
        <v>0.32171024999999998</v>
      </c>
      <c r="G1485" s="50">
        <v>9.3332999999999999E-2</v>
      </c>
      <c r="H1485" s="50">
        <v>0.38367658861999998</v>
      </c>
      <c r="I1485" s="50">
        <v>0.48705178652499997</v>
      </c>
      <c r="J1485" s="50">
        <v>0.28030139071499999</v>
      </c>
      <c r="K1485" s="50">
        <v>1999.31</v>
      </c>
      <c r="L1485" s="50">
        <v>1871.91</v>
      </c>
      <c r="M1485" s="50">
        <v>1995.83</v>
      </c>
      <c r="N1485" s="66">
        <f t="shared" ref="N1485:N1548" si="184">(M1486-M1485)/M1485</f>
        <v>-7.9666103826474103E-4</v>
      </c>
      <c r="O1485" s="66">
        <f t="shared" ref="O1485:O1548" si="185">(M1489-M1485)/M1485</f>
        <v>5.3351237329832712E-2</v>
      </c>
      <c r="P1485" s="4">
        <f t="shared" si="178"/>
        <v>9.3332999999999999E-2</v>
      </c>
      <c r="Q1485" s="4">
        <f t="shared" si="179"/>
        <v>1.2697749999999994E-2</v>
      </c>
      <c r="R1485" s="66">
        <f t="shared" si="180"/>
        <v>-7.9666103826474103E-4</v>
      </c>
      <c r="S1485" s="66">
        <f t="shared" si="181"/>
        <v>5.3351237329832712E-2</v>
      </c>
      <c r="T1485" s="50" t="str">
        <f t="shared" si="182"/>
        <v/>
      </c>
      <c r="U1485" s="50">
        <f t="shared" si="183"/>
        <v>1</v>
      </c>
    </row>
    <row r="1486" spans="1:21" x14ac:dyDescent="0.2">
      <c r="A1486" s="38">
        <v>42292</v>
      </c>
      <c r="B1486" s="4">
        <v>0.34081600000000001</v>
      </c>
      <c r="C1486" s="4">
        <v>0.38775500000000002</v>
      </c>
      <c r="D1486" s="4">
        <v>0.27142899999999998</v>
      </c>
      <c r="E1486" s="50">
        <v>1</v>
      </c>
      <c r="F1486" s="50">
        <v>0.33078737499999999</v>
      </c>
      <c r="G1486" s="50">
        <v>6.9387000000000004E-2</v>
      </c>
      <c r="H1486" s="50">
        <v>0.38378719333799999</v>
      </c>
      <c r="I1486" s="50">
        <v>0.48714600709</v>
      </c>
      <c r="J1486" s="50">
        <v>0.28042837958599998</v>
      </c>
      <c r="K1486" s="50">
        <v>2022.34</v>
      </c>
      <c r="L1486" s="50">
        <v>1971.99</v>
      </c>
      <c r="M1486" s="50">
        <v>1994.24</v>
      </c>
      <c r="N1486" s="66">
        <f t="shared" si="184"/>
        <v>1.238567073170734E-2</v>
      </c>
      <c r="O1486" s="66">
        <f t="shared" si="185"/>
        <v>4.0496630295250316E-2</v>
      </c>
      <c r="P1486" s="4">
        <f t="shared" ref="P1486:P1549" si="186">B1486-D1486</f>
        <v>6.9387000000000032E-2</v>
      </c>
      <c r="Q1486" s="4">
        <f t="shared" si="179"/>
        <v>1.9713750000000002E-2</v>
      </c>
      <c r="R1486" s="66">
        <f t="shared" si="180"/>
        <v>1.238567073170734E-2</v>
      </c>
      <c r="S1486" s="66">
        <f t="shared" si="181"/>
        <v>4.0496630295250316E-2</v>
      </c>
      <c r="T1486" s="50">
        <f t="shared" si="182"/>
        <v>1</v>
      </c>
      <c r="U1486" s="50">
        <f t="shared" si="183"/>
        <v>1</v>
      </c>
    </row>
    <row r="1487" spans="1:21" x14ac:dyDescent="0.2">
      <c r="A1487" s="38">
        <v>42299</v>
      </c>
      <c r="B1487" s="4">
        <v>0.34765600000000002</v>
      </c>
      <c r="C1487" s="4">
        <v>0.412109</v>
      </c>
      <c r="D1487" s="4">
        <v>0.240234</v>
      </c>
      <c r="E1487" s="50">
        <v>0.99999899999999997</v>
      </c>
      <c r="F1487" s="50">
        <v>0.333619375</v>
      </c>
      <c r="G1487" s="50">
        <v>0.107422</v>
      </c>
      <c r="H1487" s="50">
        <v>0.38378719333799999</v>
      </c>
      <c r="I1487" s="50">
        <v>0.48714600709</v>
      </c>
      <c r="J1487" s="50">
        <v>0.28042837958599998</v>
      </c>
      <c r="K1487" s="50">
        <v>2039.12</v>
      </c>
      <c r="L1487" s="50">
        <v>1990.73</v>
      </c>
      <c r="M1487" s="50">
        <v>2018.94</v>
      </c>
      <c r="N1487" s="66">
        <f t="shared" si="184"/>
        <v>3.5370045667528431E-2</v>
      </c>
      <c r="O1487" s="66">
        <f t="shared" si="185"/>
        <v>3.2016800895519365E-2</v>
      </c>
      <c r="P1487" s="4">
        <f t="shared" si="186"/>
        <v>0.10742200000000002</v>
      </c>
      <c r="Q1487" s="4">
        <f t="shared" si="179"/>
        <v>3.800400000000001E-2</v>
      </c>
      <c r="R1487" s="66">
        <f t="shared" si="180"/>
        <v>3.5370045667528431E-2</v>
      </c>
      <c r="S1487" s="66">
        <f t="shared" si="181"/>
        <v>3.2016800895519365E-2</v>
      </c>
      <c r="T1487" s="50">
        <f t="shared" si="182"/>
        <v>1</v>
      </c>
      <c r="U1487" s="50">
        <f t="shared" si="183"/>
        <v>1</v>
      </c>
    </row>
    <row r="1488" spans="1:21" x14ac:dyDescent="0.2">
      <c r="A1488" s="38">
        <v>42306</v>
      </c>
      <c r="B1488" s="4">
        <v>0.403922</v>
      </c>
      <c r="C1488" s="4">
        <v>0.39019599999999999</v>
      </c>
      <c r="D1488" s="4">
        <v>0.20588200000000001</v>
      </c>
      <c r="E1488" s="50">
        <v>1</v>
      </c>
      <c r="F1488" s="50">
        <v>0.34362925</v>
      </c>
      <c r="G1488" s="50">
        <v>0.19803999999999999</v>
      </c>
      <c r="H1488" s="50">
        <v>0.383859086106</v>
      </c>
      <c r="I1488" s="50">
        <v>0.487169947155</v>
      </c>
      <c r="J1488" s="50">
        <v>0.280548225057</v>
      </c>
      <c r="K1488" s="50">
        <v>2090.35</v>
      </c>
      <c r="L1488" s="50">
        <v>2017.22</v>
      </c>
      <c r="M1488" s="50">
        <v>2090.35</v>
      </c>
      <c r="N1488" s="66">
        <f t="shared" si="184"/>
        <v>5.7215298873394584E-3</v>
      </c>
      <c r="O1488" s="66">
        <f t="shared" si="185"/>
        <v>-1.1481330877593787E-4</v>
      </c>
      <c r="P1488" s="4">
        <f t="shared" si="186"/>
        <v>0.19803999999999999</v>
      </c>
      <c r="Q1488" s="4">
        <f t="shared" si="179"/>
        <v>0.11704550000000001</v>
      </c>
      <c r="R1488" s="66">
        <f t="shared" si="180"/>
        <v>5.7215298873394584E-3</v>
      </c>
      <c r="S1488" s="66">
        <f t="shared" si="181"/>
        <v>-1.1481330877593787E-4</v>
      </c>
      <c r="T1488" s="50">
        <f t="shared" si="182"/>
        <v>1</v>
      </c>
      <c r="U1488" s="50" t="str">
        <f t="shared" si="183"/>
        <v/>
      </c>
    </row>
    <row r="1489" spans="1:21" x14ac:dyDescent="0.2">
      <c r="A1489" s="38">
        <v>42313</v>
      </c>
      <c r="B1489" s="4">
        <v>0.39</v>
      </c>
      <c r="C1489" s="4">
        <v>0.42399999999999999</v>
      </c>
      <c r="D1489" s="4">
        <v>0.186</v>
      </c>
      <c r="E1489" s="50">
        <v>1</v>
      </c>
      <c r="F1489" s="50">
        <v>0.349066875</v>
      </c>
      <c r="G1489" s="50">
        <v>0.20399999999999999</v>
      </c>
      <c r="H1489" s="50">
        <v>0.38389963689700002</v>
      </c>
      <c r="I1489" s="50">
        <v>0.48718900816100003</v>
      </c>
      <c r="J1489" s="50">
        <v>0.28061026563300001</v>
      </c>
      <c r="K1489" s="50">
        <v>2116.48</v>
      </c>
      <c r="L1489" s="50">
        <v>2058.84</v>
      </c>
      <c r="M1489" s="50">
        <v>2102.31</v>
      </c>
      <c r="N1489" s="66">
        <f t="shared" si="184"/>
        <v>-1.2990472385138226E-2</v>
      </c>
      <c r="O1489" s="66">
        <f t="shared" si="185"/>
        <v>-1.084521312270775E-2</v>
      </c>
      <c r="P1489" s="4">
        <f t="shared" si="186"/>
        <v>0.20400000000000001</v>
      </c>
      <c r="Q1489" s="4">
        <f t="shared" ref="Q1489:Q1552" si="187">AVERAGE(P1486:P1489)</f>
        <v>0.14471225000000001</v>
      </c>
      <c r="R1489" s="66">
        <f t="shared" ref="R1489:R1552" si="188">(M1490-M1489)/M1489</f>
        <v>-1.2990472385138226E-2</v>
      </c>
      <c r="S1489" s="66">
        <f t="shared" ref="S1489:S1552" si="189">(M1493-M1489)/M1489</f>
        <v>-1.084521312270775E-2</v>
      </c>
      <c r="T1489" s="50" t="str">
        <f t="shared" ref="T1489:T1552" si="190">IF(R1489&gt;0,1,"")</f>
        <v/>
      </c>
      <c r="U1489" s="50" t="str">
        <f t="shared" ref="U1489:U1552" si="191">IF(S1489&gt;0,1,"")</f>
        <v/>
      </c>
    </row>
    <row r="1490" spans="1:21" x14ac:dyDescent="0.2">
      <c r="A1490" s="38">
        <v>42320</v>
      </c>
      <c r="B1490" s="4">
        <v>0.342723</v>
      </c>
      <c r="C1490" s="4">
        <v>0.42723</v>
      </c>
      <c r="D1490" s="4">
        <v>0.230047</v>
      </c>
      <c r="E1490" s="50">
        <v>1</v>
      </c>
      <c r="F1490" s="50">
        <v>0.350326625</v>
      </c>
      <c r="G1490" s="50">
        <v>0.112676</v>
      </c>
      <c r="H1490" s="50">
        <v>0.38394640977200001</v>
      </c>
      <c r="I1490" s="50">
        <v>0.48721836878399999</v>
      </c>
      <c r="J1490" s="50">
        <v>0.28067445076000003</v>
      </c>
      <c r="K1490" s="50">
        <v>2116.48</v>
      </c>
      <c r="L1490" s="50">
        <v>2068.2399999999998</v>
      </c>
      <c r="M1490" s="50">
        <v>2075</v>
      </c>
      <c r="N1490" s="66">
        <f t="shared" si="184"/>
        <v>4.1349397590361098E-3</v>
      </c>
      <c r="O1490" s="66">
        <f t="shared" si="185"/>
        <v>-1.3195180722891619E-2</v>
      </c>
      <c r="P1490" s="4">
        <f t="shared" si="186"/>
        <v>0.112676</v>
      </c>
      <c r="Q1490" s="4">
        <f t="shared" si="187"/>
        <v>0.15553450000000002</v>
      </c>
      <c r="R1490" s="66">
        <f t="shared" si="188"/>
        <v>4.1349397590361098E-3</v>
      </c>
      <c r="S1490" s="66">
        <f t="shared" si="189"/>
        <v>-1.3195180722891619E-2</v>
      </c>
      <c r="T1490" s="50">
        <f t="shared" si="190"/>
        <v>1</v>
      </c>
      <c r="U1490" s="50" t="str">
        <f t="shared" si="191"/>
        <v/>
      </c>
    </row>
    <row r="1491" spans="1:21" x14ac:dyDescent="0.2">
      <c r="A1491" s="38">
        <v>42327</v>
      </c>
      <c r="B1491" s="4">
        <v>0.30769200000000002</v>
      </c>
      <c r="C1491" s="4">
        <v>0.38681300000000002</v>
      </c>
      <c r="D1491" s="4">
        <v>0.30549500000000002</v>
      </c>
      <c r="E1491" s="50">
        <v>1</v>
      </c>
      <c r="F1491" s="50">
        <v>0.34863824999999998</v>
      </c>
      <c r="G1491" s="50">
        <v>2.1970000000000002E-3</v>
      </c>
      <c r="H1491" s="50">
        <v>0.383997229818</v>
      </c>
      <c r="I1491" s="50">
        <v>0.48725475527599998</v>
      </c>
      <c r="J1491" s="50">
        <v>0.28073970435899998</v>
      </c>
      <c r="K1491" s="50">
        <v>2086.94</v>
      </c>
      <c r="L1491" s="50">
        <v>2019.39</v>
      </c>
      <c r="M1491" s="50">
        <v>2083.58</v>
      </c>
      <c r="N1491" s="66">
        <f t="shared" si="184"/>
        <v>3.134028930974669E-3</v>
      </c>
      <c r="O1491" s="66">
        <f t="shared" si="185"/>
        <v>-5.0442027663923457E-3</v>
      </c>
      <c r="P1491" s="4">
        <f t="shared" si="186"/>
        <v>2.1970000000000045E-3</v>
      </c>
      <c r="Q1491" s="4">
        <f t="shared" si="187"/>
        <v>0.12922824999999999</v>
      </c>
      <c r="R1491" s="66">
        <f t="shared" si="188"/>
        <v>3.134028930974669E-3</v>
      </c>
      <c r="S1491" s="66">
        <f t="shared" si="189"/>
        <v>-5.0442027663923457E-3</v>
      </c>
      <c r="T1491" s="50">
        <f t="shared" si="190"/>
        <v>1</v>
      </c>
      <c r="U1491" s="50" t="str">
        <f t="shared" si="191"/>
        <v/>
      </c>
    </row>
    <row r="1492" spans="1:21" x14ac:dyDescent="0.2">
      <c r="A1492" s="38">
        <v>42334</v>
      </c>
      <c r="B1492" s="4">
        <v>0.32360100000000003</v>
      </c>
      <c r="C1492" s="4">
        <v>0.41605799999999998</v>
      </c>
      <c r="D1492" s="4">
        <v>0.26034099999999999</v>
      </c>
      <c r="E1492" s="50">
        <v>1</v>
      </c>
      <c r="F1492" s="50">
        <v>0.35395599999999999</v>
      </c>
      <c r="G1492" s="50">
        <v>6.3259999999999997E-2</v>
      </c>
      <c r="H1492" s="50">
        <v>0.38403130058599999</v>
      </c>
      <c r="I1492" s="50">
        <v>0.48726384999599998</v>
      </c>
      <c r="J1492" s="50">
        <v>0.28079875117500003</v>
      </c>
      <c r="K1492" s="50">
        <v>2097.06</v>
      </c>
      <c r="L1492" s="50">
        <v>2051.9899999999998</v>
      </c>
      <c r="M1492" s="50">
        <v>2090.11</v>
      </c>
      <c r="N1492" s="66">
        <f t="shared" si="184"/>
        <v>-5.0715034136958864E-3</v>
      </c>
      <c r="O1492" s="66">
        <f t="shared" si="185"/>
        <v>-1.2353416805814126E-2</v>
      </c>
      <c r="P1492" s="4">
        <f t="shared" si="186"/>
        <v>6.3260000000000038E-2</v>
      </c>
      <c r="Q1492" s="4">
        <f t="shared" si="187"/>
        <v>9.5533250000000014E-2</v>
      </c>
      <c r="R1492" s="66">
        <f t="shared" si="188"/>
        <v>-5.0715034136958864E-3</v>
      </c>
      <c r="S1492" s="66">
        <f t="shared" si="189"/>
        <v>-1.2353416805814126E-2</v>
      </c>
      <c r="T1492" s="50" t="str">
        <f t="shared" si="190"/>
        <v/>
      </c>
      <c r="U1492" s="50" t="str">
        <f t="shared" si="191"/>
        <v/>
      </c>
    </row>
    <row r="1493" spans="1:21" x14ac:dyDescent="0.2">
      <c r="A1493" s="38">
        <v>42341</v>
      </c>
      <c r="B1493" s="4">
        <v>0.294931</v>
      </c>
      <c r="C1493" s="4">
        <v>0.49308800000000003</v>
      </c>
      <c r="D1493" s="4">
        <v>0.211982</v>
      </c>
      <c r="E1493" s="50">
        <v>1.0000009999999999</v>
      </c>
      <c r="F1493" s="50">
        <v>0.343917625</v>
      </c>
      <c r="G1493" s="50">
        <v>8.2948999999999995E-2</v>
      </c>
      <c r="H1493" s="50">
        <v>0.384022228869</v>
      </c>
      <c r="I1493" s="50">
        <v>0.48722180357099998</v>
      </c>
      <c r="J1493" s="50">
        <v>0.28082265416699997</v>
      </c>
      <c r="K1493" s="50">
        <v>2104.27</v>
      </c>
      <c r="L1493" s="50">
        <v>2070.29</v>
      </c>
      <c r="M1493" s="50">
        <v>2079.5100000000002</v>
      </c>
      <c r="N1493" s="66">
        <f t="shared" si="184"/>
        <v>-1.5335343422248666E-2</v>
      </c>
      <c r="O1493" s="66">
        <f t="shared" si="185"/>
        <v>-7.766252626820784E-3</v>
      </c>
      <c r="P1493" s="4">
        <f t="shared" si="186"/>
        <v>8.2948999999999995E-2</v>
      </c>
      <c r="Q1493" s="4">
        <f t="shared" si="187"/>
        <v>6.5270500000000009E-2</v>
      </c>
      <c r="R1493" s="66">
        <f t="shared" si="188"/>
        <v>-1.5335343422248666E-2</v>
      </c>
      <c r="S1493" s="66">
        <f t="shared" si="189"/>
        <v>-7.766252626820784E-3</v>
      </c>
      <c r="T1493" s="50" t="str">
        <f t="shared" si="190"/>
        <v/>
      </c>
      <c r="U1493" s="50" t="str">
        <f t="shared" si="191"/>
        <v/>
      </c>
    </row>
    <row r="1494" spans="1:21" x14ac:dyDescent="0.2">
      <c r="A1494" s="38">
        <v>42348</v>
      </c>
      <c r="B1494" s="4">
        <v>0.285057</v>
      </c>
      <c r="C1494" s="4">
        <v>0.41609200000000002</v>
      </c>
      <c r="D1494" s="4">
        <v>0.29885099999999998</v>
      </c>
      <c r="E1494" s="50">
        <v>1</v>
      </c>
      <c r="F1494" s="50">
        <v>0.33694774999999999</v>
      </c>
      <c r="G1494" s="50">
        <v>-1.3794000000000001E-2</v>
      </c>
      <c r="H1494" s="50">
        <v>0.38397789278799999</v>
      </c>
      <c r="I1494" s="50">
        <v>0.487158572841</v>
      </c>
      <c r="J1494" s="50">
        <v>0.28079721273399999</v>
      </c>
      <c r="K1494" s="50">
        <v>2104.27</v>
      </c>
      <c r="L1494" s="50">
        <v>2036.53</v>
      </c>
      <c r="M1494" s="50">
        <v>2047.62</v>
      </c>
      <c r="N1494" s="66">
        <f t="shared" si="184"/>
        <v>1.2429063986482001E-2</v>
      </c>
      <c r="O1494" s="66">
        <f t="shared" si="185"/>
        <v>-2.8013010226506825E-2</v>
      </c>
      <c r="P1494" s="4">
        <f t="shared" si="186"/>
        <v>-1.3793999999999973E-2</v>
      </c>
      <c r="Q1494" s="4">
        <f t="shared" si="187"/>
        <v>3.3653000000000016E-2</v>
      </c>
      <c r="R1494" s="66">
        <f t="shared" si="188"/>
        <v>1.2429063986482001E-2</v>
      </c>
      <c r="S1494" s="66">
        <f t="shared" si="189"/>
        <v>-2.8013010226506825E-2</v>
      </c>
      <c r="T1494" s="50">
        <f t="shared" si="190"/>
        <v>1</v>
      </c>
      <c r="U1494" s="50" t="str">
        <f t="shared" si="191"/>
        <v/>
      </c>
    </row>
    <row r="1495" spans="1:21" x14ac:dyDescent="0.2">
      <c r="A1495" s="38">
        <v>42355</v>
      </c>
      <c r="B1495" s="4">
        <v>0.23866299999999999</v>
      </c>
      <c r="C1495" s="4">
        <v>0.36754199999999998</v>
      </c>
      <c r="D1495" s="4">
        <v>0.39379500000000001</v>
      </c>
      <c r="E1495" s="50">
        <v>1</v>
      </c>
      <c r="F1495" s="50">
        <v>0.323323625</v>
      </c>
      <c r="G1495" s="50">
        <v>-0.15513199999999999</v>
      </c>
      <c r="H1495" s="50">
        <v>0.383941531818</v>
      </c>
      <c r="I1495" s="50">
        <v>0.48709855367400001</v>
      </c>
      <c r="J1495" s="50">
        <v>0.280784509962</v>
      </c>
      <c r="K1495" s="50">
        <v>2080.33</v>
      </c>
      <c r="L1495" s="50">
        <v>1993.26</v>
      </c>
      <c r="M1495" s="50">
        <v>2073.0700000000002</v>
      </c>
      <c r="N1495" s="66">
        <f t="shared" si="184"/>
        <v>-4.2352646075627933E-3</v>
      </c>
      <c r="O1495" s="66">
        <f t="shared" si="185"/>
        <v>-8.8173578316217097E-2</v>
      </c>
      <c r="P1495" s="4">
        <f t="shared" si="186"/>
        <v>-0.15513200000000002</v>
      </c>
      <c r="Q1495" s="4">
        <f t="shared" si="187"/>
        <v>-5.6792499999999899E-3</v>
      </c>
      <c r="R1495" s="66">
        <f t="shared" si="188"/>
        <v>-4.2352646075627933E-3</v>
      </c>
      <c r="S1495" s="66">
        <f t="shared" si="189"/>
        <v>-8.8173578316217097E-2</v>
      </c>
      <c r="T1495" s="50" t="str">
        <f t="shared" si="190"/>
        <v/>
      </c>
      <c r="U1495" s="50" t="str">
        <f t="shared" si="191"/>
        <v/>
      </c>
    </row>
    <row r="1496" spans="1:21" x14ac:dyDescent="0.2">
      <c r="A1496" s="38">
        <v>42362</v>
      </c>
      <c r="B1496" s="4">
        <v>0.26380399999999998</v>
      </c>
      <c r="C1496" s="4">
        <v>0.42126799999999998</v>
      </c>
      <c r="D1496" s="4">
        <v>0.31492799999999999</v>
      </c>
      <c r="E1496" s="50">
        <v>1</v>
      </c>
      <c r="F1496" s="50">
        <v>0.30580887499999998</v>
      </c>
      <c r="G1496" s="50">
        <v>-5.1124000000000003E-2</v>
      </c>
      <c r="H1496" s="50">
        <v>0.383924713822</v>
      </c>
      <c r="I1496" s="50">
        <v>0.48705035098900001</v>
      </c>
      <c r="J1496" s="50">
        <v>0.28079907665600001</v>
      </c>
      <c r="K1496" s="50">
        <v>2076.7199999999998</v>
      </c>
      <c r="L1496" s="50">
        <v>1993.26</v>
      </c>
      <c r="M1496" s="50">
        <v>2064.29</v>
      </c>
      <c r="N1496" s="66">
        <f t="shared" si="184"/>
        <v>-4.5051809581010243E-4</v>
      </c>
      <c r="O1496" s="66">
        <f t="shared" si="185"/>
        <v>-9.9288375179843943E-2</v>
      </c>
      <c r="P1496" s="4">
        <f t="shared" si="186"/>
        <v>-5.1124000000000003E-2</v>
      </c>
      <c r="Q1496" s="4">
        <f t="shared" si="187"/>
        <v>-3.427525E-2</v>
      </c>
      <c r="R1496" s="66">
        <f t="shared" si="188"/>
        <v>-4.5051809581010243E-4</v>
      </c>
      <c r="S1496" s="66">
        <f t="shared" si="189"/>
        <v>-9.9288375179843943E-2</v>
      </c>
      <c r="T1496" s="50" t="str">
        <f t="shared" si="190"/>
        <v/>
      </c>
      <c r="U1496" s="50" t="str">
        <f t="shared" si="191"/>
        <v/>
      </c>
    </row>
    <row r="1497" spans="1:21" x14ac:dyDescent="0.2">
      <c r="A1497" s="38">
        <v>42369</v>
      </c>
      <c r="B1497" s="4">
        <v>0.25072899999999998</v>
      </c>
      <c r="C1497" s="4">
        <v>0.51312000000000002</v>
      </c>
      <c r="D1497" s="4">
        <v>0.236152</v>
      </c>
      <c r="E1497" s="50">
        <v>1.0000009999999999</v>
      </c>
      <c r="F1497" s="50">
        <v>0.28839999999999999</v>
      </c>
      <c r="G1497" s="50">
        <v>1.4577E-2</v>
      </c>
      <c r="H1497" s="50">
        <v>0.383924713822</v>
      </c>
      <c r="I1497" s="50">
        <v>0.48705035098900001</v>
      </c>
      <c r="J1497" s="50">
        <v>0.28079907665600001</v>
      </c>
      <c r="K1497" s="50">
        <v>2081.56</v>
      </c>
      <c r="L1497" s="50">
        <v>2005.93</v>
      </c>
      <c r="M1497" s="50">
        <v>2063.36</v>
      </c>
      <c r="N1497" s="66">
        <f t="shared" si="184"/>
        <v>-3.5427651985111726E-2</v>
      </c>
      <c r="O1497" s="66">
        <f t="shared" si="185"/>
        <v>-8.7435057382134029E-2</v>
      </c>
      <c r="P1497" s="4">
        <f t="shared" si="186"/>
        <v>1.4576999999999979E-2</v>
      </c>
      <c r="Q1497" s="4">
        <f t="shared" si="187"/>
        <v>-5.1368250000000004E-2</v>
      </c>
      <c r="R1497" s="66">
        <f t="shared" si="188"/>
        <v>-3.5427651985111726E-2</v>
      </c>
      <c r="S1497" s="66">
        <f t="shared" si="189"/>
        <v>-8.7435057382134029E-2</v>
      </c>
      <c r="T1497" s="50" t="str">
        <f t="shared" si="190"/>
        <v/>
      </c>
      <c r="U1497" s="50" t="str">
        <f t="shared" si="191"/>
        <v/>
      </c>
    </row>
    <row r="1498" spans="1:21" x14ac:dyDescent="0.2">
      <c r="A1498" s="38">
        <v>42376</v>
      </c>
      <c r="B1498" s="4">
        <v>0.22173899999999999</v>
      </c>
      <c r="C1498" s="4">
        <v>0.395652</v>
      </c>
      <c r="D1498" s="4">
        <v>0.38260899999999998</v>
      </c>
      <c r="E1498" s="50">
        <v>1</v>
      </c>
      <c r="F1498" s="50">
        <v>0.27327699999999999</v>
      </c>
      <c r="G1498" s="50">
        <v>-0.16087000000000001</v>
      </c>
      <c r="H1498" s="50">
        <v>0.38389080233299999</v>
      </c>
      <c r="I1498" s="50">
        <v>0.48695837870399999</v>
      </c>
      <c r="J1498" s="50">
        <v>0.28082322596199999</v>
      </c>
      <c r="K1498" s="50">
        <v>2081.56</v>
      </c>
      <c r="L1498" s="50">
        <v>1979.05</v>
      </c>
      <c r="M1498" s="50">
        <v>1990.26</v>
      </c>
      <c r="N1498" s="66">
        <f t="shared" si="184"/>
        <v>-5.0234642709997696E-2</v>
      </c>
      <c r="O1498" s="66">
        <f t="shared" si="185"/>
        <v>-3.905519881824486E-2</v>
      </c>
      <c r="P1498" s="4">
        <f t="shared" si="186"/>
        <v>-0.16086999999999999</v>
      </c>
      <c r="Q1498" s="4">
        <f t="shared" si="187"/>
        <v>-8.813725E-2</v>
      </c>
      <c r="R1498" s="66">
        <f t="shared" si="188"/>
        <v>-5.0234642709997696E-2</v>
      </c>
      <c r="S1498" s="66">
        <f t="shared" si="189"/>
        <v>-3.905519881824486E-2</v>
      </c>
      <c r="T1498" s="50" t="str">
        <f t="shared" si="190"/>
        <v/>
      </c>
      <c r="U1498" s="50" t="str">
        <f t="shared" si="191"/>
        <v/>
      </c>
    </row>
    <row r="1499" spans="1:21" x14ac:dyDescent="0.2">
      <c r="A1499" s="38">
        <v>42383</v>
      </c>
      <c r="B1499" s="4">
        <v>0.17898800000000001</v>
      </c>
      <c r="C1499" s="4">
        <v>0.365759</v>
      </c>
      <c r="D1499" s="4">
        <v>0.45525300000000002</v>
      </c>
      <c r="E1499" s="50">
        <v>1</v>
      </c>
      <c r="F1499" s="50">
        <v>0.257189</v>
      </c>
      <c r="G1499" s="50">
        <v>-0.27626499999999998</v>
      </c>
      <c r="H1499" s="50">
        <v>0.383887689767</v>
      </c>
      <c r="I1499" s="50">
        <v>0.48692193487699997</v>
      </c>
      <c r="J1499" s="50">
        <v>0.28085344465599998</v>
      </c>
      <c r="K1499" s="50">
        <v>2021.94</v>
      </c>
      <c r="L1499" s="50">
        <v>1886.41</v>
      </c>
      <c r="M1499" s="50">
        <v>1890.28</v>
      </c>
      <c r="N1499" s="66">
        <f t="shared" si="184"/>
        <v>-1.6373235711111607E-2</v>
      </c>
      <c r="O1499" s="66">
        <f t="shared" si="185"/>
        <v>-2.032503121230721E-2</v>
      </c>
      <c r="P1499" s="4">
        <f t="shared" si="186"/>
        <v>-0.27626499999999998</v>
      </c>
      <c r="Q1499" s="4">
        <f t="shared" si="187"/>
        <v>-0.1184205</v>
      </c>
      <c r="R1499" s="66">
        <f t="shared" si="188"/>
        <v>-1.6373235711111607E-2</v>
      </c>
      <c r="S1499" s="66">
        <f t="shared" si="189"/>
        <v>-2.032503121230721E-2</v>
      </c>
      <c r="T1499" s="50" t="str">
        <f t="shared" si="190"/>
        <v/>
      </c>
      <c r="U1499" s="50" t="str">
        <f t="shared" si="191"/>
        <v/>
      </c>
    </row>
    <row r="1500" spans="1:21" x14ac:dyDescent="0.2">
      <c r="A1500" s="38">
        <v>42390</v>
      </c>
      <c r="B1500" s="4">
        <v>0.21521000000000001</v>
      </c>
      <c r="C1500" s="4">
        <v>0.29773500000000003</v>
      </c>
      <c r="D1500" s="4">
        <v>0.48705500000000002</v>
      </c>
      <c r="E1500" s="50">
        <v>1</v>
      </c>
      <c r="F1500" s="50">
        <v>0.24364012500000001</v>
      </c>
      <c r="G1500" s="50">
        <v>-0.271845</v>
      </c>
      <c r="H1500" s="50">
        <v>0.383833393528</v>
      </c>
      <c r="I1500" s="50">
        <v>0.486856375274</v>
      </c>
      <c r="J1500" s="50">
        <v>0.28081041178100002</v>
      </c>
      <c r="K1500" s="50">
        <v>1950.33</v>
      </c>
      <c r="L1500" s="50">
        <v>1812.29</v>
      </c>
      <c r="M1500" s="50">
        <v>1859.33</v>
      </c>
      <c r="N1500" s="66">
        <f t="shared" si="184"/>
        <v>1.2703500723378915E-2</v>
      </c>
      <c r="O1500" s="66">
        <f t="shared" si="185"/>
        <v>3.6298021330264135E-2</v>
      </c>
      <c r="P1500" s="4">
        <f t="shared" si="186"/>
        <v>-0.271845</v>
      </c>
      <c r="Q1500" s="4">
        <f t="shared" si="187"/>
        <v>-0.17360075</v>
      </c>
      <c r="R1500" s="66">
        <f t="shared" si="188"/>
        <v>1.2703500723378915E-2</v>
      </c>
      <c r="S1500" s="66">
        <f t="shared" si="189"/>
        <v>3.6298021330264135E-2</v>
      </c>
      <c r="T1500" s="50">
        <f t="shared" si="190"/>
        <v>1</v>
      </c>
      <c r="U1500" s="50">
        <f t="shared" si="191"/>
        <v>1</v>
      </c>
    </row>
    <row r="1501" spans="1:21" x14ac:dyDescent="0.2">
      <c r="A1501" s="38">
        <v>42397</v>
      </c>
      <c r="B1501" s="4">
        <v>0.29753499999999999</v>
      </c>
      <c r="C1501" s="4">
        <v>0.302817</v>
      </c>
      <c r="D1501" s="4">
        <v>0.399648</v>
      </c>
      <c r="E1501" s="50">
        <v>1</v>
      </c>
      <c r="F1501" s="50">
        <v>0.24396562499999999</v>
      </c>
      <c r="G1501" s="50">
        <v>-0.102113</v>
      </c>
      <c r="H1501" s="50">
        <v>0.38378672768400002</v>
      </c>
      <c r="I1501" s="50">
        <v>0.48679270693900001</v>
      </c>
      <c r="J1501" s="50">
        <v>0.28078074843</v>
      </c>
      <c r="K1501" s="50">
        <v>1916.99</v>
      </c>
      <c r="L1501" s="50">
        <v>1812.29</v>
      </c>
      <c r="M1501" s="50">
        <v>1882.95</v>
      </c>
      <c r="N1501" s="66">
        <f t="shared" si="184"/>
        <v>1.5709392177168765E-2</v>
      </c>
      <c r="O1501" s="66">
        <f t="shared" si="185"/>
        <v>2.4881170503730798E-2</v>
      </c>
      <c r="P1501" s="4">
        <f t="shared" si="186"/>
        <v>-0.10211300000000001</v>
      </c>
      <c r="Q1501" s="4">
        <f t="shared" si="187"/>
        <v>-0.20277324999999999</v>
      </c>
      <c r="R1501" s="66">
        <f t="shared" si="188"/>
        <v>1.5709392177168765E-2</v>
      </c>
      <c r="S1501" s="66">
        <f t="shared" si="189"/>
        <v>2.4881170503730798E-2</v>
      </c>
      <c r="T1501" s="50">
        <f t="shared" si="190"/>
        <v>1</v>
      </c>
      <c r="U1501" s="50">
        <f t="shared" si="191"/>
        <v>1</v>
      </c>
    </row>
    <row r="1502" spans="1:21" x14ac:dyDescent="0.2">
      <c r="A1502" s="38">
        <v>42404</v>
      </c>
      <c r="B1502" s="4">
        <v>0.27547199999999999</v>
      </c>
      <c r="C1502" s="4">
        <v>0.37735800000000003</v>
      </c>
      <c r="D1502" s="4">
        <v>0.34716999999999998</v>
      </c>
      <c r="E1502" s="50">
        <v>1</v>
      </c>
      <c r="F1502" s="50">
        <v>0.2427675</v>
      </c>
      <c r="G1502" s="50">
        <v>-7.1697999999999998E-2</v>
      </c>
      <c r="H1502" s="50">
        <v>0.38376668778299999</v>
      </c>
      <c r="I1502" s="50">
        <v>0.48674236458100001</v>
      </c>
      <c r="J1502" s="50">
        <v>0.28079101098499998</v>
      </c>
      <c r="K1502" s="50">
        <v>1947.2</v>
      </c>
      <c r="L1502" s="50">
        <v>1872.23</v>
      </c>
      <c r="M1502" s="50">
        <v>1912.53</v>
      </c>
      <c r="N1502" s="66">
        <f t="shared" si="184"/>
        <v>-3.1722378211060782E-2</v>
      </c>
      <c r="O1502" s="66">
        <f t="shared" si="185"/>
        <v>3.8650374111778678E-2</v>
      </c>
      <c r="P1502" s="4">
        <f t="shared" si="186"/>
        <v>-7.1697999999999984E-2</v>
      </c>
      <c r="Q1502" s="4">
        <f t="shared" si="187"/>
        <v>-0.18048025000000001</v>
      </c>
      <c r="R1502" s="66">
        <f t="shared" si="188"/>
        <v>-3.1722378211060782E-2</v>
      </c>
      <c r="S1502" s="66">
        <f t="shared" si="189"/>
        <v>3.8650374111778678E-2</v>
      </c>
      <c r="T1502" s="50" t="str">
        <f t="shared" si="190"/>
        <v/>
      </c>
      <c r="U1502" s="50">
        <f t="shared" si="191"/>
        <v>1</v>
      </c>
    </row>
    <row r="1503" spans="1:21" x14ac:dyDescent="0.2">
      <c r="A1503" s="38">
        <v>42411</v>
      </c>
      <c r="B1503" s="4">
        <v>0.192385</v>
      </c>
      <c r="C1503" s="4">
        <v>0.32064100000000001</v>
      </c>
      <c r="D1503" s="4">
        <v>0.48697400000000002</v>
      </c>
      <c r="E1503" s="50">
        <v>1</v>
      </c>
      <c r="F1503" s="50">
        <v>0.23698274999999999</v>
      </c>
      <c r="G1503" s="50">
        <v>-0.29458899999999999</v>
      </c>
      <c r="H1503" s="50">
        <v>0.38371398385</v>
      </c>
      <c r="I1503" s="50">
        <v>0.486677255689</v>
      </c>
      <c r="J1503" s="50">
        <v>0.28075071201099999</v>
      </c>
      <c r="K1503" s="50">
        <v>1935.26</v>
      </c>
      <c r="L1503" s="50">
        <v>1828.46</v>
      </c>
      <c r="M1503" s="50">
        <v>1851.86</v>
      </c>
      <c r="N1503" s="66">
        <f t="shared" si="184"/>
        <v>4.0478221895823681E-2</v>
      </c>
      <c r="O1503" s="66">
        <f t="shared" si="185"/>
        <v>7.4195673539036486E-2</v>
      </c>
      <c r="P1503" s="4">
        <f t="shared" si="186"/>
        <v>-0.29458899999999999</v>
      </c>
      <c r="Q1503" s="4">
        <f t="shared" si="187"/>
        <v>-0.18506125000000001</v>
      </c>
      <c r="R1503" s="66">
        <f t="shared" si="188"/>
        <v>4.0478221895823681E-2</v>
      </c>
      <c r="S1503" s="66">
        <f t="shared" si="189"/>
        <v>7.4195673539036486E-2</v>
      </c>
      <c r="T1503" s="50">
        <f t="shared" si="190"/>
        <v>1</v>
      </c>
      <c r="U1503" s="50">
        <f t="shared" si="191"/>
        <v>1</v>
      </c>
    </row>
    <row r="1504" spans="1:21" x14ac:dyDescent="0.2">
      <c r="A1504" s="38">
        <v>42418</v>
      </c>
      <c r="B1504" s="4">
        <v>0.27560499999999999</v>
      </c>
      <c r="C1504" s="4">
        <v>0.34636899999999998</v>
      </c>
      <c r="D1504" s="4">
        <v>0.37802599999999997</v>
      </c>
      <c r="E1504" s="50">
        <v>1</v>
      </c>
      <c r="F1504" s="50">
        <v>0.23845787500000001</v>
      </c>
      <c r="G1504" s="50">
        <v>-0.102421</v>
      </c>
      <c r="H1504" s="50">
        <v>0.38371398385</v>
      </c>
      <c r="I1504" s="50">
        <v>0.486677255689</v>
      </c>
      <c r="J1504" s="50">
        <v>0.28075071201099999</v>
      </c>
      <c r="K1504" s="50">
        <v>1930.68</v>
      </c>
      <c r="L1504" s="50">
        <v>1810.1</v>
      </c>
      <c r="M1504" s="50">
        <v>1926.82</v>
      </c>
      <c r="N1504" s="66">
        <f t="shared" si="184"/>
        <v>1.5465897177733355E-3</v>
      </c>
      <c r="O1504" s="66">
        <f t="shared" si="185"/>
        <v>5.2106060763330318E-2</v>
      </c>
      <c r="P1504" s="4">
        <f t="shared" si="186"/>
        <v>-0.10242099999999998</v>
      </c>
      <c r="Q1504" s="4">
        <f t="shared" si="187"/>
        <v>-0.14270525000000001</v>
      </c>
      <c r="R1504" s="66">
        <f t="shared" si="188"/>
        <v>1.5465897177733355E-3</v>
      </c>
      <c r="S1504" s="66">
        <f t="shared" si="189"/>
        <v>5.2106060763330318E-2</v>
      </c>
      <c r="T1504" s="50">
        <f t="shared" si="190"/>
        <v>1</v>
      </c>
      <c r="U1504" s="50">
        <f t="shared" si="191"/>
        <v>1</v>
      </c>
    </row>
    <row r="1505" spans="1:21" x14ac:dyDescent="0.2">
      <c r="A1505" s="38">
        <v>42425</v>
      </c>
      <c r="B1505" s="4">
        <v>0.31194699999999997</v>
      </c>
      <c r="C1505" s="4">
        <v>0.373894</v>
      </c>
      <c r="D1505" s="4">
        <v>0.31415900000000002</v>
      </c>
      <c r="E1505" s="50">
        <v>1</v>
      </c>
      <c r="F1505" s="50">
        <v>0.24611012500000001</v>
      </c>
      <c r="G1505" s="50">
        <v>-2.212E-3</v>
      </c>
      <c r="H1505" s="50">
        <v>0.38358837806500001</v>
      </c>
      <c r="I1505" s="50">
        <v>0.48654458660299998</v>
      </c>
      <c r="J1505" s="50">
        <v>0.28063216952600001</v>
      </c>
      <c r="K1505" s="50">
        <v>1946.7</v>
      </c>
      <c r="L1505" s="50">
        <v>1871.44</v>
      </c>
      <c r="M1505" s="50">
        <v>1929.8</v>
      </c>
      <c r="N1505" s="66">
        <f t="shared" si="184"/>
        <v>2.9355373613846041E-2</v>
      </c>
      <c r="O1505" s="66">
        <f t="shared" si="185"/>
        <v>5.5399503057311672E-2</v>
      </c>
      <c r="P1505" s="4">
        <f t="shared" si="186"/>
        <v>-2.2120000000000473E-3</v>
      </c>
      <c r="Q1505" s="4">
        <f t="shared" si="187"/>
        <v>-0.11773</v>
      </c>
      <c r="R1505" s="66">
        <f t="shared" si="188"/>
        <v>2.9355373613846041E-2</v>
      </c>
      <c r="S1505" s="66">
        <f t="shared" si="189"/>
        <v>5.5399503057311672E-2</v>
      </c>
      <c r="T1505" s="50">
        <f t="shared" si="190"/>
        <v>1</v>
      </c>
      <c r="U1505" s="50">
        <f t="shared" si="191"/>
        <v>1</v>
      </c>
    </row>
    <row r="1506" spans="1:21" x14ac:dyDescent="0.2">
      <c r="A1506" s="38">
        <v>42432</v>
      </c>
      <c r="B1506" s="4">
        <v>0.320158</v>
      </c>
      <c r="C1506" s="4">
        <v>0.38735199999999997</v>
      </c>
      <c r="D1506" s="4">
        <v>0.29249000000000003</v>
      </c>
      <c r="E1506" s="50">
        <v>1</v>
      </c>
      <c r="F1506" s="50">
        <v>0.25841249999999999</v>
      </c>
      <c r="G1506" s="50">
        <v>2.7668000000000002E-2</v>
      </c>
      <c r="H1506" s="50">
        <v>0.38350680077400001</v>
      </c>
      <c r="I1506" s="50">
        <v>0.48647992279300001</v>
      </c>
      <c r="J1506" s="50">
        <v>0.28053367875500002</v>
      </c>
      <c r="K1506" s="50">
        <v>1986.51</v>
      </c>
      <c r="L1506" s="50">
        <v>1891</v>
      </c>
      <c r="M1506" s="50">
        <v>1986.45</v>
      </c>
      <c r="N1506" s="66">
        <f t="shared" si="184"/>
        <v>1.4145838052807497E-3</v>
      </c>
      <c r="O1506" s="66">
        <f t="shared" si="185"/>
        <v>3.9014297364645477E-2</v>
      </c>
      <c r="P1506" s="4">
        <f t="shared" si="186"/>
        <v>2.766799999999997E-2</v>
      </c>
      <c r="Q1506" s="4">
        <f t="shared" si="187"/>
        <v>-9.2888500000000013E-2</v>
      </c>
      <c r="R1506" s="66">
        <f t="shared" si="188"/>
        <v>1.4145838052807497E-3</v>
      </c>
      <c r="S1506" s="66">
        <f t="shared" si="189"/>
        <v>3.9014297364645477E-2</v>
      </c>
      <c r="T1506" s="50">
        <f t="shared" si="190"/>
        <v>1</v>
      </c>
      <c r="U1506" s="50">
        <f t="shared" si="191"/>
        <v>1</v>
      </c>
    </row>
    <row r="1507" spans="1:21" x14ac:dyDescent="0.2">
      <c r="A1507" s="38">
        <v>42439</v>
      </c>
      <c r="B1507" s="4">
        <v>0.37357600000000002</v>
      </c>
      <c r="C1507" s="4">
        <v>0.38268799999999997</v>
      </c>
      <c r="D1507" s="4">
        <v>0.24373600000000001</v>
      </c>
      <c r="E1507" s="50">
        <v>1</v>
      </c>
      <c r="F1507" s="50">
        <v>0.28273599999999999</v>
      </c>
      <c r="G1507" s="50">
        <v>0.12984000000000001</v>
      </c>
      <c r="H1507" s="50">
        <v>0.38350485566999998</v>
      </c>
      <c r="I1507" s="50">
        <v>0.48644480513799998</v>
      </c>
      <c r="J1507" s="50">
        <v>0.28056490620199998</v>
      </c>
      <c r="K1507" s="50">
        <v>2009.13</v>
      </c>
      <c r="L1507" s="50">
        <v>1968.8</v>
      </c>
      <c r="M1507" s="50">
        <v>1989.26</v>
      </c>
      <c r="N1507" s="66">
        <f t="shared" si="184"/>
        <v>1.9081970179865911E-2</v>
      </c>
      <c r="O1507" s="66">
        <f t="shared" si="185"/>
        <v>3.8908896775685473E-2</v>
      </c>
      <c r="P1507" s="4">
        <f t="shared" si="186"/>
        <v>0.12984000000000001</v>
      </c>
      <c r="Q1507" s="4">
        <f t="shared" si="187"/>
        <v>1.3218749999999987E-2</v>
      </c>
      <c r="R1507" s="66">
        <f t="shared" si="188"/>
        <v>1.9081970179865911E-2</v>
      </c>
      <c r="S1507" s="66">
        <f t="shared" si="189"/>
        <v>3.8908896775685473E-2</v>
      </c>
      <c r="T1507" s="50">
        <f t="shared" si="190"/>
        <v>1</v>
      </c>
      <c r="U1507" s="50">
        <f t="shared" si="191"/>
        <v>1</v>
      </c>
    </row>
    <row r="1508" spans="1:21" x14ac:dyDescent="0.2">
      <c r="A1508" s="38">
        <v>42446</v>
      </c>
      <c r="B1508" s="4">
        <v>0.29958699999999999</v>
      </c>
      <c r="C1508" s="4">
        <v>0.43181799999999998</v>
      </c>
      <c r="D1508" s="4">
        <v>0.26859499999999997</v>
      </c>
      <c r="E1508" s="50">
        <v>1</v>
      </c>
      <c r="F1508" s="50">
        <v>0.29328312499999998</v>
      </c>
      <c r="G1508" s="50">
        <v>3.0991999999999999E-2</v>
      </c>
      <c r="H1508" s="50">
        <v>0.38350305666500001</v>
      </c>
      <c r="I1508" s="50">
        <v>0.48640986156600002</v>
      </c>
      <c r="J1508" s="50">
        <v>0.28059625176300002</v>
      </c>
      <c r="K1508" s="50">
        <v>2032.0200199999999</v>
      </c>
      <c r="L1508" s="50">
        <v>1969.25</v>
      </c>
      <c r="M1508" s="50">
        <v>2027.2190000000001</v>
      </c>
      <c r="N1508" s="66">
        <f t="shared" si="184"/>
        <v>4.6817640324010234E-3</v>
      </c>
      <c r="O1508" s="66">
        <f t="shared" si="185"/>
        <v>2.7229876002543382E-2</v>
      </c>
      <c r="P1508" s="4">
        <f t="shared" si="186"/>
        <v>3.099200000000002E-2</v>
      </c>
      <c r="Q1508" s="4">
        <f t="shared" si="187"/>
        <v>4.6571999999999988E-2</v>
      </c>
      <c r="R1508" s="66">
        <f t="shared" si="188"/>
        <v>4.6817640324010234E-3</v>
      </c>
      <c r="S1508" s="66">
        <f t="shared" si="189"/>
        <v>2.7229876002543382E-2</v>
      </c>
      <c r="T1508" s="50">
        <f t="shared" si="190"/>
        <v>1</v>
      </c>
      <c r="U1508" s="50">
        <f t="shared" si="191"/>
        <v>1</v>
      </c>
    </row>
    <row r="1509" spans="1:21" x14ac:dyDescent="0.2">
      <c r="A1509" s="38">
        <v>42453</v>
      </c>
      <c r="B1509" s="4">
        <v>0.337808</v>
      </c>
      <c r="C1509" s="4">
        <v>0.42505599999999999</v>
      </c>
      <c r="D1509" s="4">
        <v>0.23713600000000001</v>
      </c>
      <c r="E1509" s="50">
        <v>1</v>
      </c>
      <c r="F1509" s="50">
        <v>0.29831724999999998</v>
      </c>
      <c r="G1509" s="50">
        <v>0.100672</v>
      </c>
      <c r="H1509" s="50">
        <v>0.38346691441399999</v>
      </c>
      <c r="I1509" s="50">
        <v>0.48635044802799998</v>
      </c>
      <c r="J1509" s="50">
        <v>0.28058338080099998</v>
      </c>
      <c r="K1509" s="50">
        <v>2056.6000979999999</v>
      </c>
      <c r="L1509" s="50">
        <v>2010.040039</v>
      </c>
      <c r="M1509" s="50">
        <v>2036.709961</v>
      </c>
      <c r="N1509" s="66">
        <f t="shared" si="184"/>
        <v>1.3374506199510866E-2</v>
      </c>
      <c r="O1509" s="66">
        <f t="shared" si="185"/>
        <v>3.2252967903072034E-2</v>
      </c>
      <c r="P1509" s="4">
        <f t="shared" si="186"/>
        <v>0.10067199999999998</v>
      </c>
      <c r="Q1509" s="4">
        <f t="shared" si="187"/>
        <v>7.2292999999999996E-2</v>
      </c>
      <c r="R1509" s="66">
        <f t="shared" si="188"/>
        <v>1.3374506199510866E-2</v>
      </c>
      <c r="S1509" s="66">
        <f t="shared" si="189"/>
        <v>3.2252967903072034E-2</v>
      </c>
      <c r="T1509" s="50">
        <f t="shared" si="190"/>
        <v>1</v>
      </c>
      <c r="U1509" s="50">
        <f t="shared" si="191"/>
        <v>1</v>
      </c>
    </row>
    <row r="1510" spans="1:21" x14ac:dyDescent="0.2">
      <c r="A1510" s="38">
        <v>42460</v>
      </c>
      <c r="B1510" s="4">
        <v>0.27180500000000002</v>
      </c>
      <c r="C1510" s="4">
        <v>0.47058800000000001</v>
      </c>
      <c r="D1510" s="4">
        <v>0.257606</v>
      </c>
      <c r="E1510" s="50">
        <v>0.99999899999999997</v>
      </c>
      <c r="F1510" s="50">
        <v>0.29785887500000002</v>
      </c>
      <c r="G1510" s="50">
        <v>1.4199E-2</v>
      </c>
      <c r="H1510" s="50">
        <v>0.38337370868199999</v>
      </c>
      <c r="I1510" s="50">
        <v>0.48628978510100002</v>
      </c>
      <c r="J1510" s="50">
        <v>0.28045763226300002</v>
      </c>
      <c r="K1510" s="50">
        <v>2072.209961</v>
      </c>
      <c r="L1510" s="50">
        <v>2022.48999</v>
      </c>
      <c r="M1510" s="50">
        <v>2063.9499510000001</v>
      </c>
      <c r="N1510" s="66">
        <f t="shared" si="184"/>
        <v>1.3129974390546746E-3</v>
      </c>
      <c r="O1510" s="66">
        <f t="shared" si="185"/>
        <v>1.5116621885566282E-2</v>
      </c>
      <c r="P1510" s="4">
        <f t="shared" si="186"/>
        <v>1.4199000000000017E-2</v>
      </c>
      <c r="Q1510" s="4">
        <f t="shared" si="187"/>
        <v>6.8925750000000008E-2</v>
      </c>
      <c r="R1510" s="66">
        <f t="shared" si="188"/>
        <v>1.3129974390546746E-3</v>
      </c>
      <c r="S1510" s="66">
        <f t="shared" si="189"/>
        <v>1.5116621885566282E-2</v>
      </c>
      <c r="T1510" s="50">
        <f t="shared" si="190"/>
        <v>1</v>
      </c>
      <c r="U1510" s="50">
        <f t="shared" si="191"/>
        <v>1</v>
      </c>
    </row>
    <row r="1511" spans="1:21" x14ac:dyDescent="0.2">
      <c r="A1511" s="38">
        <v>42467</v>
      </c>
      <c r="B1511" s="4">
        <v>0.32191799999999998</v>
      </c>
      <c r="C1511" s="4">
        <v>0.46346999999999999</v>
      </c>
      <c r="D1511" s="4">
        <v>0.214612</v>
      </c>
      <c r="E1511" s="50">
        <v>1</v>
      </c>
      <c r="F1511" s="50">
        <v>0.31405050000000001</v>
      </c>
      <c r="G1511" s="50">
        <v>0.107306</v>
      </c>
      <c r="H1511" s="50">
        <v>0.38333848843200002</v>
      </c>
      <c r="I1511" s="50">
        <v>0.48623084750599999</v>
      </c>
      <c r="J1511" s="50">
        <v>0.28044612935800001</v>
      </c>
      <c r="K1511" s="50">
        <v>2075.070068</v>
      </c>
      <c r="L1511" s="50">
        <v>2042.5600589999999</v>
      </c>
      <c r="M1511" s="50">
        <v>2066.6599120000001</v>
      </c>
      <c r="N1511" s="66">
        <f t="shared" si="184"/>
        <v>7.6258362145072492E-3</v>
      </c>
      <c r="O1511" s="66">
        <f t="shared" si="185"/>
        <v>-7.5192802210798096E-3</v>
      </c>
      <c r="P1511" s="4">
        <f t="shared" si="186"/>
        <v>0.10730599999999998</v>
      </c>
      <c r="Q1511" s="4">
        <f t="shared" si="187"/>
        <v>6.3292249999999994E-2</v>
      </c>
      <c r="R1511" s="66">
        <f t="shared" si="188"/>
        <v>7.6258362145072492E-3</v>
      </c>
      <c r="S1511" s="66">
        <f t="shared" si="189"/>
        <v>-7.5192802210798096E-3</v>
      </c>
      <c r="T1511" s="50">
        <f t="shared" si="190"/>
        <v>1</v>
      </c>
      <c r="U1511" s="50" t="str">
        <f t="shared" si="191"/>
        <v/>
      </c>
    </row>
    <row r="1512" spans="1:21" x14ac:dyDescent="0.2">
      <c r="A1512" s="38">
        <v>42474</v>
      </c>
      <c r="B1512" s="4">
        <v>0.27848099999999998</v>
      </c>
      <c r="C1512" s="4">
        <v>0.47257399999999999</v>
      </c>
      <c r="D1512" s="4">
        <v>0.248945</v>
      </c>
      <c r="E1512" s="50">
        <v>1</v>
      </c>
      <c r="F1512" s="50">
        <v>0.31441000000000002</v>
      </c>
      <c r="G1512" s="50">
        <v>2.9536E-2</v>
      </c>
      <c r="H1512" s="50">
        <v>0.38326520167</v>
      </c>
      <c r="I1512" s="50">
        <v>0.486165134828</v>
      </c>
      <c r="J1512" s="50">
        <v>0.28036526851100002</v>
      </c>
      <c r="K1512" s="50">
        <v>2083.179932</v>
      </c>
      <c r="L1512" s="50">
        <v>2033.8000489999999</v>
      </c>
      <c r="M1512" s="50">
        <v>2082.419922</v>
      </c>
      <c r="N1512" s="66">
        <f t="shared" si="184"/>
        <v>9.5945970305599433E-3</v>
      </c>
      <c r="O1512" s="66">
        <f t="shared" si="185"/>
        <v>-8.6245626111523636E-3</v>
      </c>
      <c r="P1512" s="4">
        <f t="shared" si="186"/>
        <v>2.9535999999999979E-2</v>
      </c>
      <c r="Q1512" s="4">
        <f t="shared" si="187"/>
        <v>6.2928249999999991E-2</v>
      </c>
      <c r="R1512" s="66">
        <f t="shared" si="188"/>
        <v>9.5945970305599433E-3</v>
      </c>
      <c r="S1512" s="66">
        <f t="shared" si="189"/>
        <v>-8.6245626111523636E-3</v>
      </c>
      <c r="T1512" s="50">
        <f t="shared" si="190"/>
        <v>1</v>
      </c>
      <c r="U1512" s="50" t="str">
        <f t="shared" si="191"/>
        <v/>
      </c>
    </row>
    <row r="1513" spans="1:21" x14ac:dyDescent="0.2">
      <c r="A1513" s="38">
        <v>42481</v>
      </c>
      <c r="B1513" s="4">
        <v>0.33405200000000002</v>
      </c>
      <c r="C1513" s="4">
        <v>0.42672399999999999</v>
      </c>
      <c r="D1513" s="4">
        <v>0.23922399999999999</v>
      </c>
      <c r="E1513" s="50">
        <v>1</v>
      </c>
      <c r="F1513" s="50">
        <v>0.317173125</v>
      </c>
      <c r="G1513" s="50">
        <v>9.4827999999999996E-2</v>
      </c>
      <c r="H1513" s="50">
        <v>0.383246630295</v>
      </c>
      <c r="I1513" s="50">
        <v>0.48611612567899998</v>
      </c>
      <c r="J1513" s="50">
        <v>0.28037713491100003</v>
      </c>
      <c r="K1513" s="50">
        <v>2111.0500489999999</v>
      </c>
      <c r="L1513" s="50">
        <v>2065.919922</v>
      </c>
      <c r="M1513" s="50">
        <v>2102.3999020000001</v>
      </c>
      <c r="N1513" s="66">
        <f t="shared" si="184"/>
        <v>-3.4484400389778935E-3</v>
      </c>
      <c r="O1513" s="66">
        <f t="shared" si="185"/>
        <v>-2.6051131826964918E-2</v>
      </c>
      <c r="P1513" s="4">
        <f t="shared" si="186"/>
        <v>9.4828000000000023E-2</v>
      </c>
      <c r="Q1513" s="4">
        <f t="shared" si="187"/>
        <v>6.1467250000000001E-2</v>
      </c>
      <c r="R1513" s="66">
        <f t="shared" si="188"/>
        <v>-3.4484400389778935E-3</v>
      </c>
      <c r="S1513" s="66">
        <f t="shared" si="189"/>
        <v>-2.6051131826964918E-2</v>
      </c>
      <c r="T1513" s="50" t="str">
        <f t="shared" si="190"/>
        <v/>
      </c>
      <c r="U1513" s="50" t="str">
        <f t="shared" si="191"/>
        <v/>
      </c>
    </row>
    <row r="1514" spans="1:21" x14ac:dyDescent="0.2">
      <c r="A1514" s="38">
        <v>42488</v>
      </c>
      <c r="B1514" s="4">
        <v>0.27366299999999999</v>
      </c>
      <c r="C1514" s="4">
        <v>0.44032900000000003</v>
      </c>
      <c r="D1514" s="4">
        <v>0.28600799999999998</v>
      </c>
      <c r="E1514" s="50">
        <v>1</v>
      </c>
      <c r="F1514" s="50">
        <v>0.31136124999999998</v>
      </c>
      <c r="G1514" s="50">
        <v>-1.2345E-2</v>
      </c>
      <c r="H1514" s="50">
        <v>0.38320779922999998</v>
      </c>
      <c r="I1514" s="50">
        <v>0.48605570487100003</v>
      </c>
      <c r="J1514" s="50">
        <v>0.28035989358899999</v>
      </c>
      <c r="K1514" s="50">
        <v>2111.0500489999999</v>
      </c>
      <c r="L1514" s="50">
        <v>2077.5200199999999</v>
      </c>
      <c r="M1514" s="50">
        <v>2095.1499020000001</v>
      </c>
      <c r="N1514" s="66">
        <f t="shared" si="184"/>
        <v>-2.1015100140553175E-2</v>
      </c>
      <c r="O1514" s="66">
        <f t="shared" si="185"/>
        <v>-2.2002544999761703E-3</v>
      </c>
      <c r="P1514" s="4">
        <f t="shared" si="186"/>
        <v>-1.2344999999999995E-2</v>
      </c>
      <c r="Q1514" s="4">
        <f t="shared" si="187"/>
        <v>5.4831249999999998E-2</v>
      </c>
      <c r="R1514" s="66">
        <f t="shared" si="188"/>
        <v>-2.1015100140553175E-2</v>
      </c>
      <c r="S1514" s="66">
        <f t="shared" si="189"/>
        <v>-2.2002544999761703E-3</v>
      </c>
      <c r="T1514" s="50" t="str">
        <f t="shared" si="190"/>
        <v/>
      </c>
      <c r="U1514" s="50" t="str">
        <f t="shared" si="191"/>
        <v/>
      </c>
    </row>
    <row r="1515" spans="1:21" x14ac:dyDescent="0.2">
      <c r="A1515" s="38">
        <v>42495</v>
      </c>
      <c r="B1515" s="4">
        <v>0.223301</v>
      </c>
      <c r="C1515" s="4">
        <v>0.47330100000000003</v>
      </c>
      <c r="D1515" s="4">
        <v>0.303398</v>
      </c>
      <c r="E1515" s="50">
        <v>1</v>
      </c>
      <c r="F1515" s="50">
        <v>0.29257687500000001</v>
      </c>
      <c r="G1515" s="50">
        <v>-8.0097000000000002E-2</v>
      </c>
      <c r="H1515" s="50">
        <v>0.38317146794899998</v>
      </c>
      <c r="I1515" s="50">
        <v>0.48599639641699999</v>
      </c>
      <c r="J1515" s="50">
        <v>0.28034653947999999</v>
      </c>
      <c r="K1515" s="50">
        <v>2099.889893</v>
      </c>
      <c r="L1515" s="50">
        <v>2045.5500489999999</v>
      </c>
      <c r="M1515" s="50">
        <v>2051.1201169999999</v>
      </c>
      <c r="N1515" s="66">
        <f t="shared" si="184"/>
        <v>6.5036873703482306E-3</v>
      </c>
      <c r="O1515" s="66">
        <f t="shared" si="185"/>
        <v>2.3504211479585434E-2</v>
      </c>
      <c r="P1515" s="4">
        <f t="shared" si="186"/>
        <v>-8.0097000000000002E-2</v>
      </c>
      <c r="Q1515" s="4">
        <f t="shared" si="187"/>
        <v>7.9805000000000015E-3</v>
      </c>
      <c r="R1515" s="66">
        <f t="shared" si="188"/>
        <v>6.5036873703482306E-3</v>
      </c>
      <c r="S1515" s="66">
        <f t="shared" si="189"/>
        <v>2.3504211479585434E-2</v>
      </c>
      <c r="T1515" s="50">
        <f t="shared" si="190"/>
        <v>1</v>
      </c>
      <c r="U1515" s="50">
        <f t="shared" si="191"/>
        <v>1</v>
      </c>
    </row>
    <row r="1516" spans="1:21" x14ac:dyDescent="0.2">
      <c r="A1516" s="38">
        <v>42502</v>
      </c>
      <c r="B1516" s="4">
        <v>0.20408200000000001</v>
      </c>
      <c r="C1516" s="4">
        <v>0.48299300000000001</v>
      </c>
      <c r="D1516" s="4">
        <v>0.31292500000000001</v>
      </c>
      <c r="E1516" s="50">
        <v>1</v>
      </c>
      <c r="F1516" s="50">
        <v>0.28063874999999999</v>
      </c>
      <c r="G1516" s="50">
        <v>-0.108843</v>
      </c>
      <c r="H1516" s="50">
        <v>0.38311635682299999</v>
      </c>
      <c r="I1516" s="50">
        <v>0.48593138246599998</v>
      </c>
      <c r="J1516" s="50">
        <v>0.28030133117900002</v>
      </c>
      <c r="K1516" s="50">
        <v>2084.8701169999999</v>
      </c>
      <c r="L1516" s="50">
        <v>2039.4499510000001</v>
      </c>
      <c r="M1516" s="50">
        <v>2064.459961</v>
      </c>
      <c r="N1516" s="66">
        <f t="shared" si="184"/>
        <v>-8.1522317303009389E-3</v>
      </c>
      <c r="O1516" s="66">
        <f t="shared" si="185"/>
        <v>2.3090746684624144E-2</v>
      </c>
      <c r="P1516" s="4">
        <f t="shared" si="186"/>
        <v>-0.108843</v>
      </c>
      <c r="Q1516" s="4">
        <f t="shared" si="187"/>
        <v>-2.6614249999999992E-2</v>
      </c>
      <c r="R1516" s="66">
        <f t="shared" si="188"/>
        <v>-8.1522317303009389E-3</v>
      </c>
      <c r="S1516" s="66">
        <f t="shared" si="189"/>
        <v>2.3090746684624144E-2</v>
      </c>
      <c r="T1516" s="50" t="str">
        <f t="shared" si="190"/>
        <v/>
      </c>
      <c r="U1516" s="50">
        <f t="shared" si="191"/>
        <v>1</v>
      </c>
    </row>
    <row r="1517" spans="1:21" x14ac:dyDescent="0.2">
      <c r="A1517" s="38">
        <v>42509</v>
      </c>
      <c r="B1517" s="4">
        <v>0.193384</v>
      </c>
      <c r="C1517" s="4">
        <v>0.46564899999999998</v>
      </c>
      <c r="D1517" s="4">
        <v>0.34096700000000002</v>
      </c>
      <c r="E1517" s="50">
        <v>1</v>
      </c>
      <c r="F1517" s="50">
        <v>0.26258575000000001</v>
      </c>
      <c r="G1517" s="50">
        <v>-0.14758299999999999</v>
      </c>
      <c r="H1517" s="50">
        <v>0.38306044046100002</v>
      </c>
      <c r="I1517" s="50">
        <v>0.485866283743</v>
      </c>
      <c r="J1517" s="50">
        <v>0.280254597178</v>
      </c>
      <c r="K1517" s="50">
        <v>2083.290039</v>
      </c>
      <c r="L1517" s="50">
        <v>2034.48999</v>
      </c>
      <c r="M1517" s="50">
        <v>2047.630005</v>
      </c>
      <c r="N1517" s="66">
        <f t="shared" si="184"/>
        <v>2.0955950975137229E-2</v>
      </c>
      <c r="O1517" s="66">
        <f t="shared" si="185"/>
        <v>1.1657377036726915E-2</v>
      </c>
      <c r="P1517" s="4">
        <f t="shared" si="186"/>
        <v>-0.14758300000000002</v>
      </c>
      <c r="Q1517" s="4">
        <f t="shared" si="187"/>
        <v>-8.7217000000000003E-2</v>
      </c>
      <c r="R1517" s="66">
        <f t="shared" si="188"/>
        <v>2.0955950975137229E-2</v>
      </c>
      <c r="S1517" s="66">
        <f t="shared" si="189"/>
        <v>1.1657377036726915E-2</v>
      </c>
      <c r="T1517" s="50">
        <f t="shared" si="190"/>
        <v>1</v>
      </c>
      <c r="U1517" s="50">
        <f t="shared" si="191"/>
        <v>1</v>
      </c>
    </row>
    <row r="1518" spans="1:21" x14ac:dyDescent="0.2">
      <c r="A1518" s="38">
        <v>42516</v>
      </c>
      <c r="B1518" s="4">
        <v>0.17751500000000001</v>
      </c>
      <c r="C1518" s="4">
        <v>0.52859999999999996</v>
      </c>
      <c r="D1518" s="4">
        <v>0.29388599999999998</v>
      </c>
      <c r="E1518" s="50">
        <v>1.0000009999999999</v>
      </c>
      <c r="F1518" s="50">
        <v>0.25079950000000001</v>
      </c>
      <c r="G1518" s="50">
        <v>-0.116371</v>
      </c>
      <c r="H1518" s="50">
        <v>0.38299604286599997</v>
      </c>
      <c r="I1518" s="50">
        <v>0.48580050240400002</v>
      </c>
      <c r="J1518" s="50">
        <v>0.28019158332900002</v>
      </c>
      <c r="K1518" s="50">
        <v>2094.7299800000001</v>
      </c>
      <c r="L1518" s="50">
        <v>2025.910034</v>
      </c>
      <c r="M1518" s="50">
        <v>2090.540039</v>
      </c>
      <c r="N1518" s="66">
        <f t="shared" si="184"/>
        <v>4.2046738335634335E-3</v>
      </c>
      <c r="O1518" s="66">
        <f t="shared" si="185"/>
        <v>-2.4348196662307138E-3</v>
      </c>
      <c r="P1518" s="4">
        <f t="shared" si="186"/>
        <v>-0.11637099999999997</v>
      </c>
      <c r="Q1518" s="4">
        <f t="shared" si="187"/>
        <v>-0.1132235</v>
      </c>
      <c r="R1518" s="66">
        <f t="shared" si="188"/>
        <v>4.2046738335634335E-3</v>
      </c>
      <c r="S1518" s="66">
        <f t="shared" si="189"/>
        <v>-2.4348196662307138E-3</v>
      </c>
      <c r="T1518" s="50">
        <f t="shared" si="190"/>
        <v>1</v>
      </c>
      <c r="U1518" s="50" t="str">
        <f t="shared" si="191"/>
        <v/>
      </c>
    </row>
    <row r="1519" spans="1:21" x14ac:dyDescent="0.2">
      <c r="A1519" s="38">
        <v>42523</v>
      </c>
      <c r="B1519" s="4">
        <v>0.301676</v>
      </c>
      <c r="C1519" s="4">
        <v>0.40782099999999999</v>
      </c>
      <c r="D1519" s="4">
        <v>0.29050300000000001</v>
      </c>
      <c r="E1519" s="50">
        <v>1</v>
      </c>
      <c r="F1519" s="50">
        <v>0.24826925</v>
      </c>
      <c r="G1519" s="50">
        <v>1.1173000000000001E-2</v>
      </c>
      <c r="H1519" s="50">
        <v>0.382978039642</v>
      </c>
      <c r="I1519" s="50">
        <v>0.48575207321899999</v>
      </c>
      <c r="J1519" s="50">
        <v>0.28020400606500001</v>
      </c>
      <c r="K1519" s="50">
        <v>2103.4799800000001</v>
      </c>
      <c r="L1519" s="50">
        <v>2078.929932</v>
      </c>
      <c r="M1519" s="50">
        <v>2099.330078</v>
      </c>
      <c r="N1519" s="66">
        <f t="shared" si="184"/>
        <v>6.0970902737668992E-3</v>
      </c>
      <c r="O1519" s="66">
        <f t="shared" si="185"/>
        <v>-1.3604377081668229E-2</v>
      </c>
      <c r="P1519" s="4">
        <f t="shared" si="186"/>
        <v>1.1172999999999988E-2</v>
      </c>
      <c r="Q1519" s="4">
        <f t="shared" si="187"/>
        <v>-9.0406000000000014E-2</v>
      </c>
      <c r="R1519" s="66">
        <f t="shared" si="188"/>
        <v>6.0970902737668992E-3</v>
      </c>
      <c r="S1519" s="66">
        <f t="shared" si="189"/>
        <v>-1.3604377081668229E-2</v>
      </c>
      <c r="T1519" s="50">
        <f t="shared" si="190"/>
        <v>1</v>
      </c>
      <c r="U1519" s="50" t="str">
        <f t="shared" si="191"/>
        <v/>
      </c>
    </row>
    <row r="1520" spans="1:21" x14ac:dyDescent="0.2">
      <c r="A1520" s="38">
        <v>42530</v>
      </c>
      <c r="B1520" s="4">
        <v>0.27831699999999998</v>
      </c>
      <c r="C1520" s="4">
        <v>0.44336599999999998</v>
      </c>
      <c r="D1520" s="4">
        <v>0.27831699999999998</v>
      </c>
      <c r="E1520" s="50">
        <v>1</v>
      </c>
      <c r="F1520" s="50">
        <v>0.24824874999999999</v>
      </c>
      <c r="G1520" s="50">
        <v>0</v>
      </c>
      <c r="H1520" s="50">
        <v>0.38295351373800002</v>
      </c>
      <c r="I1520" s="50">
        <v>0.48569926712200001</v>
      </c>
      <c r="J1520" s="50">
        <v>0.28020776035400002</v>
      </c>
      <c r="K1520" s="50">
        <v>2119.219971</v>
      </c>
      <c r="L1520" s="50">
        <v>2085.1000979999999</v>
      </c>
      <c r="M1520" s="50">
        <v>2112.1298830000001</v>
      </c>
      <c r="N1520" s="66">
        <f t="shared" si="184"/>
        <v>-1.9236451000016488E-2</v>
      </c>
      <c r="O1520" s="66">
        <f t="shared" si="185"/>
        <v>-5.8708051525636195E-3</v>
      </c>
      <c r="P1520" s="4">
        <f t="shared" si="186"/>
        <v>0</v>
      </c>
      <c r="Q1520" s="4">
        <f t="shared" si="187"/>
        <v>-6.3195250000000008E-2</v>
      </c>
      <c r="R1520" s="66">
        <f t="shared" si="188"/>
        <v>-1.9236451000016488E-2</v>
      </c>
      <c r="S1520" s="66">
        <f t="shared" si="189"/>
        <v>-5.8708051525636195E-3</v>
      </c>
      <c r="T1520" s="50" t="str">
        <f t="shared" si="190"/>
        <v/>
      </c>
      <c r="U1520" s="50" t="str">
        <f t="shared" si="191"/>
        <v/>
      </c>
    </row>
    <row r="1521" spans="1:21" x14ac:dyDescent="0.2">
      <c r="A1521" s="38">
        <v>42537</v>
      </c>
      <c r="B1521" s="4">
        <v>0.25347199999999998</v>
      </c>
      <c r="C1521" s="4">
        <v>0.37152800000000002</v>
      </c>
      <c r="D1521" s="4">
        <v>0.375</v>
      </c>
      <c r="E1521" s="50">
        <v>1</v>
      </c>
      <c r="F1521" s="50">
        <v>0.23817625000000001</v>
      </c>
      <c r="G1521" s="50">
        <v>-0.121528</v>
      </c>
      <c r="H1521" s="50">
        <v>0.38293956577299998</v>
      </c>
      <c r="I1521" s="50">
        <v>0.48565397084099998</v>
      </c>
      <c r="J1521" s="50">
        <v>0.28022516070499998</v>
      </c>
      <c r="K1521" s="50">
        <v>2120.5500489999999</v>
      </c>
      <c r="L1521" s="50">
        <v>2064.1000979999999</v>
      </c>
      <c r="M1521" s="50">
        <v>2071.5</v>
      </c>
      <c r="N1521" s="66">
        <f t="shared" si="184"/>
        <v>6.7342268887280021E-3</v>
      </c>
      <c r="O1521" s="66">
        <f t="shared" si="185"/>
        <v>3.9068275162925423E-2</v>
      </c>
      <c r="P1521" s="4">
        <f t="shared" si="186"/>
        <v>-0.12152800000000002</v>
      </c>
      <c r="Q1521" s="4">
        <f t="shared" si="187"/>
        <v>-5.6681500000000003E-2</v>
      </c>
      <c r="R1521" s="66">
        <f t="shared" si="188"/>
        <v>6.7342268887280021E-3</v>
      </c>
      <c r="S1521" s="66">
        <f t="shared" si="189"/>
        <v>3.9068275162925423E-2</v>
      </c>
      <c r="T1521" s="50">
        <f t="shared" si="190"/>
        <v>1</v>
      </c>
      <c r="U1521" s="50">
        <f t="shared" si="191"/>
        <v>1</v>
      </c>
    </row>
    <row r="1522" spans="1:21" x14ac:dyDescent="0.2">
      <c r="A1522" s="38">
        <v>42544</v>
      </c>
      <c r="B1522" s="4">
        <v>0.219697</v>
      </c>
      <c r="C1522" s="4">
        <v>0.42803000000000002</v>
      </c>
      <c r="D1522" s="4">
        <v>0.352273</v>
      </c>
      <c r="E1522" s="50">
        <v>1</v>
      </c>
      <c r="F1522" s="50">
        <v>0.23143050000000001</v>
      </c>
      <c r="G1522" s="50">
        <v>-0.132576</v>
      </c>
      <c r="H1522" s="50">
        <v>0.38291003637499998</v>
      </c>
      <c r="I1522" s="50">
        <v>0.48559829442399999</v>
      </c>
      <c r="J1522" s="50">
        <v>0.28022177832599998</v>
      </c>
      <c r="K1522" s="50">
        <v>2100.6599120000001</v>
      </c>
      <c r="L1522" s="50">
        <v>2050.3701169999999</v>
      </c>
      <c r="M1522" s="50">
        <v>2085.4499510000001</v>
      </c>
      <c r="N1522" s="66">
        <f t="shared" si="184"/>
        <v>-7.0392247931727386E-3</v>
      </c>
      <c r="O1522" s="66">
        <f t="shared" si="185"/>
        <v>4.1990961690549784E-2</v>
      </c>
      <c r="P1522" s="4">
        <f t="shared" si="186"/>
        <v>-0.132576</v>
      </c>
      <c r="Q1522" s="4">
        <f t="shared" si="187"/>
        <v>-6.0732750000000009E-2</v>
      </c>
      <c r="R1522" s="66">
        <f t="shared" si="188"/>
        <v>-7.0392247931727386E-3</v>
      </c>
      <c r="S1522" s="66">
        <f t="shared" si="189"/>
        <v>4.1990961690549784E-2</v>
      </c>
      <c r="T1522" s="50" t="str">
        <f t="shared" si="190"/>
        <v/>
      </c>
      <c r="U1522" s="50">
        <f t="shared" si="191"/>
        <v>1</v>
      </c>
    </row>
    <row r="1523" spans="1:21" x14ac:dyDescent="0.2">
      <c r="A1523" s="38">
        <v>42551</v>
      </c>
      <c r="B1523" s="4">
        <v>0.28912500000000002</v>
      </c>
      <c r="C1523" s="4">
        <v>0.37665799999999999</v>
      </c>
      <c r="D1523" s="4">
        <v>0.33421800000000002</v>
      </c>
      <c r="E1523" s="50">
        <v>1.0000009999999999</v>
      </c>
      <c r="F1523" s="50">
        <v>0.2396585</v>
      </c>
      <c r="G1523" s="50">
        <v>-4.5093000000000001E-2</v>
      </c>
      <c r="H1523" s="50">
        <v>0.38288378188799999</v>
      </c>
      <c r="I1523" s="50">
        <v>0.485544533</v>
      </c>
      <c r="J1523" s="50">
        <v>0.28022303077600003</v>
      </c>
      <c r="K1523" s="50">
        <v>2113.3200000000002</v>
      </c>
      <c r="L1523" s="50">
        <v>1991.68</v>
      </c>
      <c r="M1523" s="50">
        <v>2070.77</v>
      </c>
      <c r="N1523" s="66">
        <f t="shared" si="184"/>
        <v>1.3985126305673777E-2</v>
      </c>
      <c r="O1523" s="66">
        <f t="shared" si="185"/>
        <v>4.6267851089208348E-2</v>
      </c>
      <c r="P1523" s="4">
        <f t="shared" si="186"/>
        <v>-4.5092999999999994E-2</v>
      </c>
      <c r="Q1523" s="4">
        <f t="shared" si="187"/>
        <v>-7.4799249999999998E-2</v>
      </c>
      <c r="R1523" s="66">
        <f t="shared" si="188"/>
        <v>1.3985126305673777E-2</v>
      </c>
      <c r="S1523" s="66">
        <f t="shared" si="189"/>
        <v>4.6267851089208348E-2</v>
      </c>
      <c r="T1523" s="50">
        <f t="shared" si="190"/>
        <v>1</v>
      </c>
      <c r="U1523" s="50">
        <f t="shared" si="191"/>
        <v>1</v>
      </c>
    </row>
    <row r="1524" spans="1:21" x14ac:dyDescent="0.2">
      <c r="A1524" s="38">
        <v>42558</v>
      </c>
      <c r="B1524" s="4">
        <v>0.31057299999999999</v>
      </c>
      <c r="C1524" s="4">
        <v>0.42290699999999998</v>
      </c>
      <c r="D1524" s="4">
        <v>0.26651999999999998</v>
      </c>
      <c r="E1524" s="50">
        <v>1</v>
      </c>
      <c r="F1524" s="50">
        <v>0.25296987500000001</v>
      </c>
      <c r="G1524" s="50">
        <v>4.4053000000000002E-2</v>
      </c>
      <c r="H1524" s="50">
        <v>0.38281884129999999</v>
      </c>
      <c r="I1524" s="50">
        <v>0.48547908328099998</v>
      </c>
      <c r="J1524" s="50">
        <v>0.28015859931999998</v>
      </c>
      <c r="K1524" s="50">
        <v>2108.709961</v>
      </c>
      <c r="L1524" s="50">
        <v>2042.6899410000001</v>
      </c>
      <c r="M1524" s="50">
        <v>2099.7299800000001</v>
      </c>
      <c r="N1524" s="66">
        <f t="shared" si="184"/>
        <v>2.5098442419724816E-2</v>
      </c>
      <c r="O1524" s="66">
        <f t="shared" si="185"/>
        <v>3.050869426553594E-2</v>
      </c>
      <c r="P1524" s="4">
        <f t="shared" si="186"/>
        <v>4.4053000000000009E-2</v>
      </c>
      <c r="Q1524" s="4">
        <f t="shared" si="187"/>
        <v>-6.3785999999999995E-2</v>
      </c>
      <c r="R1524" s="66">
        <f t="shared" si="188"/>
        <v>2.5098442419724816E-2</v>
      </c>
      <c r="S1524" s="66">
        <f t="shared" si="189"/>
        <v>3.050869426553594E-2</v>
      </c>
      <c r="T1524" s="50">
        <f t="shared" si="190"/>
        <v>1</v>
      </c>
      <c r="U1524" s="50">
        <f t="shared" si="191"/>
        <v>1</v>
      </c>
    </row>
    <row r="1525" spans="1:21" x14ac:dyDescent="0.2">
      <c r="A1525" s="38">
        <v>42565</v>
      </c>
      <c r="B1525" s="4">
        <v>0.36866399999999999</v>
      </c>
      <c r="C1525" s="4">
        <v>0.38709700000000002</v>
      </c>
      <c r="D1525" s="4">
        <v>0.24424000000000001</v>
      </c>
      <c r="E1525" s="50">
        <v>1.0000009999999999</v>
      </c>
      <c r="F1525" s="50">
        <v>0.274879875</v>
      </c>
      <c r="G1525" s="50">
        <v>0.12442400000000001</v>
      </c>
      <c r="H1525" s="50">
        <v>0.38273424331200001</v>
      </c>
      <c r="I1525" s="50">
        <v>0.48541649296200001</v>
      </c>
      <c r="J1525" s="50">
        <v>0.28005199366200001</v>
      </c>
      <c r="K1525" s="50">
        <v>2156.4499510000001</v>
      </c>
      <c r="L1525" s="50">
        <v>2074.0200199999999</v>
      </c>
      <c r="M1525" s="50">
        <v>2152.429932</v>
      </c>
      <c r="N1525" s="66">
        <f t="shared" si="184"/>
        <v>9.5659643521441122E-3</v>
      </c>
      <c r="O1525" s="66">
        <f t="shared" si="185"/>
        <v>1.0713504610379008E-2</v>
      </c>
      <c r="P1525" s="4">
        <f t="shared" si="186"/>
        <v>0.12442399999999998</v>
      </c>
      <c r="Q1525" s="4">
        <f t="shared" si="187"/>
        <v>-2.2980000000000014E-3</v>
      </c>
      <c r="R1525" s="66">
        <f t="shared" si="188"/>
        <v>9.5659643521441122E-3</v>
      </c>
      <c r="S1525" s="66">
        <f t="shared" si="189"/>
        <v>1.0713504610379008E-2</v>
      </c>
      <c r="T1525" s="50">
        <f t="shared" si="190"/>
        <v>1</v>
      </c>
      <c r="U1525" s="50">
        <f t="shared" si="191"/>
        <v>1</v>
      </c>
    </row>
    <row r="1526" spans="1:21" x14ac:dyDescent="0.2">
      <c r="A1526" s="38">
        <v>42572</v>
      </c>
      <c r="B1526" s="4">
        <v>0.35425099999999998</v>
      </c>
      <c r="C1526" s="4">
        <v>0.37854300000000002</v>
      </c>
      <c r="D1526" s="4">
        <v>0.267206</v>
      </c>
      <c r="E1526" s="50">
        <v>1</v>
      </c>
      <c r="F1526" s="50">
        <v>0.296971875</v>
      </c>
      <c r="G1526" s="50">
        <v>8.7044999999999997E-2</v>
      </c>
      <c r="H1526" s="50">
        <v>0.38267698154000002</v>
      </c>
      <c r="I1526" s="50">
        <v>0.48535161260600002</v>
      </c>
      <c r="J1526" s="50">
        <v>0.28000235047400002</v>
      </c>
      <c r="K1526" s="50">
        <v>2175.63</v>
      </c>
      <c r="L1526" s="50">
        <v>2146.21</v>
      </c>
      <c r="M1526" s="50">
        <v>2173.02</v>
      </c>
      <c r="N1526" s="66">
        <f t="shared" si="184"/>
        <v>-2.9635815593045734E-3</v>
      </c>
      <c r="O1526" s="66">
        <f t="shared" si="185"/>
        <v>4.233739220071522E-3</v>
      </c>
      <c r="P1526" s="4">
        <f t="shared" si="186"/>
        <v>8.7044999999999983E-2</v>
      </c>
      <c r="Q1526" s="4">
        <f t="shared" si="187"/>
        <v>5.2607249999999994E-2</v>
      </c>
      <c r="R1526" s="66">
        <f t="shared" si="188"/>
        <v>-2.9635815593045734E-3</v>
      </c>
      <c r="S1526" s="66">
        <f t="shared" si="189"/>
        <v>4.233739220071522E-3</v>
      </c>
      <c r="T1526" s="50" t="str">
        <f t="shared" si="190"/>
        <v/>
      </c>
      <c r="U1526" s="50">
        <f t="shared" si="191"/>
        <v>1</v>
      </c>
    </row>
    <row r="1527" spans="1:21" x14ac:dyDescent="0.2">
      <c r="A1527" s="38">
        <v>42579</v>
      </c>
      <c r="B1527" s="4">
        <v>0.3125</v>
      </c>
      <c r="C1527" s="4">
        <v>0.40340900000000002</v>
      </c>
      <c r="D1527" s="4">
        <v>0.28409099999999998</v>
      </c>
      <c r="E1527" s="50">
        <v>1</v>
      </c>
      <c r="F1527" s="50">
        <v>0.29832487499999999</v>
      </c>
      <c r="G1527" s="50">
        <v>2.8409E-2</v>
      </c>
      <c r="H1527" s="50">
        <v>0.38269619401999999</v>
      </c>
      <c r="I1527" s="50">
        <v>0.48534096833399998</v>
      </c>
      <c r="J1527" s="50">
        <v>0.28005141970699998</v>
      </c>
      <c r="K1527" s="50">
        <v>2175.6298830000001</v>
      </c>
      <c r="L1527" s="50">
        <v>2159.070068</v>
      </c>
      <c r="M1527" s="50">
        <v>2166.580078</v>
      </c>
      <c r="N1527" s="66">
        <f t="shared" si="184"/>
        <v>-1.2877797725231342E-3</v>
      </c>
      <c r="O1527" s="66">
        <f t="shared" si="185"/>
        <v>4.0893581963417722E-3</v>
      </c>
      <c r="P1527" s="4">
        <f t="shared" si="186"/>
        <v>2.8409000000000018E-2</v>
      </c>
      <c r="Q1527" s="4">
        <f t="shared" si="187"/>
        <v>7.0982749999999997E-2</v>
      </c>
      <c r="R1527" s="66">
        <f t="shared" si="188"/>
        <v>-1.2877797725231342E-3</v>
      </c>
      <c r="S1527" s="66">
        <f t="shared" si="189"/>
        <v>4.0893581963417722E-3</v>
      </c>
      <c r="T1527" s="50" t="str">
        <f t="shared" si="190"/>
        <v/>
      </c>
      <c r="U1527" s="50">
        <f t="shared" si="191"/>
        <v>1</v>
      </c>
    </row>
    <row r="1528" spans="1:21" x14ac:dyDescent="0.2">
      <c r="A1528" s="38">
        <v>42586</v>
      </c>
      <c r="B1528" s="4">
        <v>0.29787200000000003</v>
      </c>
      <c r="C1528" s="4">
        <v>0.43439699999999998</v>
      </c>
      <c r="D1528" s="4">
        <v>0.26773000000000002</v>
      </c>
      <c r="E1528" s="50">
        <v>0.99999899999999997</v>
      </c>
      <c r="F1528" s="50">
        <v>0.30076924999999999</v>
      </c>
      <c r="G1528" s="50">
        <v>3.0141999999999999E-2</v>
      </c>
      <c r="H1528" s="50">
        <v>0.38270805975799999</v>
      </c>
      <c r="I1528" s="50">
        <v>0.48532126021299998</v>
      </c>
      <c r="J1528" s="50">
        <v>0.28009485930400002</v>
      </c>
      <c r="K1528" s="50">
        <v>2178.29</v>
      </c>
      <c r="L1528" s="50">
        <v>2147.58</v>
      </c>
      <c r="M1528" s="50">
        <v>2163.79</v>
      </c>
      <c r="N1528" s="66">
        <f t="shared" si="184"/>
        <v>5.4071790700575464E-3</v>
      </c>
      <c r="O1528" s="66">
        <f t="shared" si="185"/>
        <v>3.2674150448981482E-3</v>
      </c>
      <c r="P1528" s="4">
        <f t="shared" si="186"/>
        <v>3.0142000000000002E-2</v>
      </c>
      <c r="Q1528" s="4">
        <f t="shared" si="187"/>
        <v>6.7504999999999996E-2</v>
      </c>
      <c r="R1528" s="66">
        <f t="shared" si="188"/>
        <v>5.4071790700575464E-3</v>
      </c>
      <c r="S1528" s="66">
        <f t="shared" si="189"/>
        <v>3.2674150448981482E-3</v>
      </c>
      <c r="T1528" s="50">
        <f t="shared" si="190"/>
        <v>1</v>
      </c>
      <c r="U1528" s="50">
        <f t="shared" si="191"/>
        <v>1</v>
      </c>
    </row>
    <row r="1529" spans="1:21" x14ac:dyDescent="0.2">
      <c r="A1529" s="38">
        <v>42593</v>
      </c>
      <c r="B1529" s="4">
        <v>0.31292500000000001</v>
      </c>
      <c r="C1529" s="4">
        <v>0.41950100000000001</v>
      </c>
      <c r="D1529" s="4">
        <v>0.26757399999999998</v>
      </c>
      <c r="E1529" s="50">
        <v>1</v>
      </c>
      <c r="F1529" s="50">
        <v>0.30820087499999999</v>
      </c>
      <c r="G1529" s="50">
        <v>4.5351000000000002E-2</v>
      </c>
      <c r="H1529" s="50">
        <v>0.38267669059699999</v>
      </c>
      <c r="I1529" s="50">
        <v>0.485264818002</v>
      </c>
      <c r="J1529" s="50">
        <v>0.28008856319300002</v>
      </c>
      <c r="K1529" s="50">
        <v>2187.66</v>
      </c>
      <c r="L1529" s="50">
        <v>2152.56</v>
      </c>
      <c r="M1529" s="50">
        <v>2175.4899999999998</v>
      </c>
      <c r="N1529" s="66">
        <f t="shared" si="184"/>
        <v>3.093555934525104E-3</v>
      </c>
      <c r="O1529" s="66">
        <f t="shared" si="185"/>
        <v>4.9046017219110619E-3</v>
      </c>
      <c r="P1529" s="4">
        <f t="shared" si="186"/>
        <v>4.535100000000003E-2</v>
      </c>
      <c r="Q1529" s="4">
        <f t="shared" si="187"/>
        <v>4.7736750000000008E-2</v>
      </c>
      <c r="R1529" s="66">
        <f t="shared" si="188"/>
        <v>3.093555934525104E-3</v>
      </c>
      <c r="S1529" s="66">
        <f t="shared" si="189"/>
        <v>4.9046017219110619E-3</v>
      </c>
      <c r="T1529" s="50">
        <f t="shared" si="190"/>
        <v>1</v>
      </c>
      <c r="U1529" s="50">
        <f t="shared" si="191"/>
        <v>1</v>
      </c>
    </row>
    <row r="1530" spans="1:21" x14ac:dyDescent="0.2">
      <c r="A1530" s="38">
        <v>42600</v>
      </c>
      <c r="B1530" s="4">
        <v>0.35564899999999999</v>
      </c>
      <c r="C1530" s="4">
        <v>0.38075300000000001</v>
      </c>
      <c r="D1530" s="4">
        <v>0.263598</v>
      </c>
      <c r="E1530" s="50">
        <v>1</v>
      </c>
      <c r="F1530" s="50">
        <v>0.32519487499999999</v>
      </c>
      <c r="G1530" s="50">
        <v>9.2050999999999994E-2</v>
      </c>
      <c r="H1530" s="50">
        <v>0.38265975301600003</v>
      </c>
      <c r="I1530" s="50">
        <v>0.48521748976599999</v>
      </c>
      <c r="J1530" s="50">
        <v>0.28010201626600001</v>
      </c>
      <c r="K1530" s="50">
        <v>2193.81</v>
      </c>
      <c r="L1530" s="50">
        <v>2168.5</v>
      </c>
      <c r="M1530" s="50">
        <v>2182.2199999999998</v>
      </c>
      <c r="N1530" s="66">
        <f t="shared" si="184"/>
        <v>-3.1069278074620094E-3</v>
      </c>
      <c r="O1530" s="66">
        <f t="shared" si="185"/>
        <v>-2.5868143450247856E-2</v>
      </c>
      <c r="P1530" s="4">
        <f t="shared" si="186"/>
        <v>9.2050999999999994E-2</v>
      </c>
      <c r="Q1530" s="4">
        <f t="shared" si="187"/>
        <v>4.8988250000000011E-2</v>
      </c>
      <c r="R1530" s="66">
        <f t="shared" si="188"/>
        <v>-3.1069278074620094E-3</v>
      </c>
      <c r="S1530" s="66">
        <f t="shared" si="189"/>
        <v>-2.5868143450247856E-2</v>
      </c>
      <c r="T1530" s="50" t="str">
        <f t="shared" si="190"/>
        <v/>
      </c>
      <c r="U1530" s="50" t="str">
        <f t="shared" si="191"/>
        <v/>
      </c>
    </row>
    <row r="1531" spans="1:21" x14ac:dyDescent="0.2">
      <c r="A1531" s="38">
        <v>42607</v>
      </c>
      <c r="B1531" s="4">
        <v>0.29424299999999998</v>
      </c>
      <c r="C1531" s="4">
        <v>0.40938200000000002</v>
      </c>
      <c r="D1531" s="4">
        <v>0.296375</v>
      </c>
      <c r="E1531" s="50">
        <v>1</v>
      </c>
      <c r="F1531" s="50">
        <v>0.32583462499999999</v>
      </c>
      <c r="G1531" s="50">
        <v>-2.1320000000000002E-3</v>
      </c>
      <c r="H1531" s="50">
        <v>0.38266927157399999</v>
      </c>
      <c r="I1531" s="50">
        <v>0.48519514150699999</v>
      </c>
      <c r="J1531" s="50">
        <v>0.28014340164000001</v>
      </c>
      <c r="K1531" s="50">
        <v>2193.42</v>
      </c>
      <c r="L1531" s="50">
        <v>2168.5</v>
      </c>
      <c r="M1531" s="50">
        <v>2175.44</v>
      </c>
      <c r="N1531" s="66">
        <f t="shared" si="184"/>
        <v>-2.1053212223733713E-3</v>
      </c>
      <c r="O1531" s="66">
        <f t="shared" si="185"/>
        <v>-5.6631683705365889E-3</v>
      </c>
      <c r="P1531" s="4">
        <f t="shared" si="186"/>
        <v>-2.1320000000000228E-3</v>
      </c>
      <c r="Q1531" s="4">
        <f t="shared" si="187"/>
        <v>4.1353000000000001E-2</v>
      </c>
      <c r="R1531" s="66">
        <f t="shared" si="188"/>
        <v>-2.1053212223733713E-3</v>
      </c>
      <c r="S1531" s="66">
        <f t="shared" si="189"/>
        <v>-5.6631683705365889E-3</v>
      </c>
      <c r="T1531" s="50" t="str">
        <f t="shared" si="190"/>
        <v/>
      </c>
      <c r="U1531" s="50" t="str">
        <f t="shared" si="191"/>
        <v/>
      </c>
    </row>
    <row r="1532" spans="1:21" x14ac:dyDescent="0.2">
      <c r="A1532" s="38">
        <v>42614</v>
      </c>
      <c r="B1532" s="4">
        <v>0.28599999999999998</v>
      </c>
      <c r="C1532" s="4">
        <v>0.3987</v>
      </c>
      <c r="D1532" s="4">
        <v>0.31519999999999998</v>
      </c>
      <c r="E1532" s="50">
        <v>0.99990000000000001</v>
      </c>
      <c r="F1532" s="50">
        <v>0.32276300000000002</v>
      </c>
      <c r="G1532" s="50">
        <v>-2.92E-2</v>
      </c>
      <c r="H1532" s="50">
        <v>0.38266714140800001</v>
      </c>
      <c r="I1532" s="50">
        <v>0.48516051384499997</v>
      </c>
      <c r="J1532" s="50">
        <v>0.28017376897000001</v>
      </c>
      <c r="K1532" s="50">
        <v>2187.94</v>
      </c>
      <c r="L1532" s="50">
        <v>2157.09</v>
      </c>
      <c r="M1532" s="50">
        <v>2170.86</v>
      </c>
      <c r="N1532" s="66">
        <f t="shared" si="184"/>
        <v>7.0478575311166769E-3</v>
      </c>
      <c r="O1532" s="66">
        <f t="shared" si="185"/>
        <v>2.349838312925795E-4</v>
      </c>
      <c r="P1532" s="4">
        <f t="shared" si="186"/>
        <v>-2.9200000000000004E-2</v>
      </c>
      <c r="Q1532" s="4">
        <f t="shared" si="187"/>
        <v>2.6517499999999999E-2</v>
      </c>
      <c r="R1532" s="66">
        <f t="shared" si="188"/>
        <v>7.0478575311166769E-3</v>
      </c>
      <c r="S1532" s="66">
        <f t="shared" si="189"/>
        <v>2.349838312925795E-4</v>
      </c>
      <c r="T1532" s="50">
        <f t="shared" si="190"/>
        <v>1</v>
      </c>
      <c r="U1532" s="50">
        <f t="shared" si="191"/>
        <v>1</v>
      </c>
    </row>
    <row r="1533" spans="1:21" x14ac:dyDescent="0.2">
      <c r="A1533" s="38">
        <v>42621</v>
      </c>
      <c r="B1533" s="4">
        <v>0.29746800000000001</v>
      </c>
      <c r="C1533" s="4">
        <v>0.41772199999999998</v>
      </c>
      <c r="D1533" s="4">
        <v>0.28481000000000001</v>
      </c>
      <c r="E1533" s="50">
        <v>1</v>
      </c>
      <c r="F1533" s="50">
        <v>0.31386350000000002</v>
      </c>
      <c r="G1533" s="50">
        <v>1.2658000000000001E-2</v>
      </c>
      <c r="H1533" s="50">
        <v>0.38267584157200002</v>
      </c>
      <c r="I1533" s="50">
        <v>0.48513729541400002</v>
      </c>
      <c r="J1533" s="50">
        <v>0.28021438773000001</v>
      </c>
      <c r="K1533" s="50">
        <v>2187.8701169999999</v>
      </c>
      <c r="L1533" s="50">
        <v>2157.0900879999999</v>
      </c>
      <c r="M1533" s="50">
        <v>2186.1599120000001</v>
      </c>
      <c r="N1533" s="66">
        <f t="shared" si="184"/>
        <v>-2.7623730390679738E-2</v>
      </c>
      <c r="O1533" s="66">
        <f t="shared" si="185"/>
        <v>-1.2089660895767082E-2</v>
      </c>
      <c r="P1533" s="4">
        <f t="shared" si="186"/>
        <v>1.2658000000000003E-2</v>
      </c>
      <c r="Q1533" s="4">
        <f t="shared" si="187"/>
        <v>1.8344249999999993E-2</v>
      </c>
      <c r="R1533" s="66">
        <f t="shared" si="188"/>
        <v>-2.7623730390679738E-2</v>
      </c>
      <c r="S1533" s="66">
        <f t="shared" si="189"/>
        <v>-1.2089660895767082E-2</v>
      </c>
      <c r="T1533" s="50" t="str">
        <f t="shared" si="190"/>
        <v/>
      </c>
      <c r="U1533" s="50" t="str">
        <f t="shared" si="191"/>
        <v/>
      </c>
    </row>
    <row r="1534" spans="1:21" x14ac:dyDescent="0.2">
      <c r="A1534" s="38">
        <v>42628</v>
      </c>
      <c r="B1534" s="4">
        <v>0.27937899999999999</v>
      </c>
      <c r="C1534" s="4">
        <v>0.36141899999999999</v>
      </c>
      <c r="D1534" s="4">
        <v>0.35920200000000002</v>
      </c>
      <c r="E1534" s="50">
        <v>1</v>
      </c>
      <c r="F1534" s="50">
        <v>0.30450450000000001</v>
      </c>
      <c r="G1534" s="50">
        <v>-7.9823000000000005E-2</v>
      </c>
      <c r="H1534" s="50">
        <v>0.38271882647200001</v>
      </c>
      <c r="I1534" s="50">
        <v>0.48516205024999998</v>
      </c>
      <c r="J1534" s="50">
        <v>0.28027560269500001</v>
      </c>
      <c r="K1534" s="50">
        <v>2187.8701169999999</v>
      </c>
      <c r="L1534" s="50">
        <v>2119.1201169999999</v>
      </c>
      <c r="M1534" s="50">
        <v>2125.7700199999999</v>
      </c>
      <c r="N1534" s="66">
        <f t="shared" si="184"/>
        <v>1.7570149474588979E-2</v>
      </c>
      <c r="O1534" s="66">
        <f t="shared" si="185"/>
        <v>6.3082609472496359E-3</v>
      </c>
      <c r="P1534" s="4">
        <f t="shared" si="186"/>
        <v>-7.9823000000000033E-2</v>
      </c>
      <c r="Q1534" s="4">
        <f t="shared" si="187"/>
        <v>-2.4624250000000014E-2</v>
      </c>
      <c r="R1534" s="66">
        <f t="shared" si="188"/>
        <v>1.7570149474588979E-2</v>
      </c>
      <c r="S1534" s="66">
        <f t="shared" si="189"/>
        <v>6.3082609472496359E-3</v>
      </c>
      <c r="T1534" s="50">
        <f t="shared" si="190"/>
        <v>1</v>
      </c>
      <c r="U1534" s="50">
        <f t="shared" si="191"/>
        <v>1</v>
      </c>
    </row>
    <row r="1535" spans="1:21" x14ac:dyDescent="0.2">
      <c r="A1535" s="38">
        <v>42635</v>
      </c>
      <c r="B1535" s="4">
        <v>0.24826000000000001</v>
      </c>
      <c r="C1535" s="4">
        <v>0.36891000000000002</v>
      </c>
      <c r="D1535" s="4">
        <v>0.38283099999999998</v>
      </c>
      <c r="E1535" s="50">
        <v>1.0000009999999999</v>
      </c>
      <c r="F1535" s="50">
        <v>0.29647449999999997</v>
      </c>
      <c r="G1535" s="50">
        <v>-0.134571</v>
      </c>
      <c r="H1535" s="50">
        <v>0.382762073418</v>
      </c>
      <c r="I1535" s="50">
        <v>0.48518727930900002</v>
      </c>
      <c r="J1535" s="50">
        <v>0.28033686752699999</v>
      </c>
      <c r="K1535" s="50">
        <v>2165.110107</v>
      </c>
      <c r="L1535" s="50">
        <v>2119.8999020000001</v>
      </c>
      <c r="M1535" s="50">
        <v>2163.1201169999999</v>
      </c>
      <c r="N1535" s="66">
        <f t="shared" si="184"/>
        <v>3.8139352203158308E-3</v>
      </c>
      <c r="O1535" s="66">
        <f t="shared" si="185"/>
        <v>-8.7050542649083767E-3</v>
      </c>
      <c r="P1535" s="4">
        <f t="shared" si="186"/>
        <v>-0.13457099999999997</v>
      </c>
      <c r="Q1535" s="4">
        <f t="shared" si="187"/>
        <v>-5.7734000000000001E-2</v>
      </c>
      <c r="R1535" s="66">
        <f t="shared" si="188"/>
        <v>3.8139352203158308E-3</v>
      </c>
      <c r="S1535" s="66">
        <f t="shared" si="189"/>
        <v>-8.7050542649083767E-3</v>
      </c>
      <c r="T1535" s="50">
        <f t="shared" si="190"/>
        <v>1</v>
      </c>
      <c r="U1535" s="50" t="str">
        <f t="shared" si="191"/>
        <v/>
      </c>
    </row>
    <row r="1536" spans="1:21" x14ac:dyDescent="0.2">
      <c r="A1536" s="38">
        <v>42642</v>
      </c>
      <c r="B1536" s="4">
        <v>0.24</v>
      </c>
      <c r="C1536" s="4">
        <v>0.38888899999999998</v>
      </c>
      <c r="D1536" s="4">
        <v>0.37111100000000002</v>
      </c>
      <c r="E1536" s="50">
        <v>1</v>
      </c>
      <c r="F1536" s="50">
        <v>0.28924050000000001</v>
      </c>
      <c r="G1536" s="50">
        <v>-0.13111100000000001</v>
      </c>
      <c r="H1536" s="50">
        <v>0.38270560025299999</v>
      </c>
      <c r="I1536" s="50">
        <v>0.48512300664199998</v>
      </c>
      <c r="J1536" s="50">
        <v>0.280288193864</v>
      </c>
      <c r="K1536" s="50">
        <v>2179.98999</v>
      </c>
      <c r="L1536" s="50">
        <v>2139.570068</v>
      </c>
      <c r="M1536" s="50">
        <v>2171.3701169999999</v>
      </c>
      <c r="N1536" s="66">
        <f t="shared" si="184"/>
        <v>-5.3607337177883196E-3</v>
      </c>
      <c r="O1536" s="66">
        <f t="shared" si="185"/>
        <v>-1.4709691705681666E-2</v>
      </c>
      <c r="P1536" s="4">
        <f t="shared" si="186"/>
        <v>-0.13111100000000003</v>
      </c>
      <c r="Q1536" s="4">
        <f t="shared" si="187"/>
        <v>-8.3211750000000001E-2</v>
      </c>
      <c r="R1536" s="66">
        <f t="shared" si="188"/>
        <v>-5.3607337177883196E-3</v>
      </c>
      <c r="S1536" s="66">
        <f t="shared" si="189"/>
        <v>-1.4709691705681666E-2</v>
      </c>
      <c r="T1536" s="50" t="str">
        <f t="shared" si="190"/>
        <v/>
      </c>
      <c r="U1536" s="50" t="str">
        <f t="shared" si="191"/>
        <v/>
      </c>
    </row>
    <row r="1537" spans="1:21" x14ac:dyDescent="0.2">
      <c r="A1537" s="38">
        <v>42649</v>
      </c>
      <c r="B1537" s="4">
        <v>0.28794599999999998</v>
      </c>
      <c r="C1537" s="4">
        <v>0.43303599999999998</v>
      </c>
      <c r="D1537" s="4">
        <v>0.27901799999999999</v>
      </c>
      <c r="E1537" s="50">
        <v>1</v>
      </c>
      <c r="F1537" s="50">
        <v>0.286118125</v>
      </c>
      <c r="G1537" s="50">
        <v>8.9280000000000002E-3</v>
      </c>
      <c r="H1537" s="50">
        <v>0.38270560025299999</v>
      </c>
      <c r="I1537" s="50">
        <v>0.48512300664199998</v>
      </c>
      <c r="J1537" s="50">
        <v>0.280288193864</v>
      </c>
      <c r="K1537" s="50">
        <v>2175.3000489999999</v>
      </c>
      <c r="L1537" s="50">
        <v>2144.01001</v>
      </c>
      <c r="M1537" s="50">
        <v>2159.7299800000001</v>
      </c>
      <c r="N1537" s="66">
        <f t="shared" si="184"/>
        <v>-9.5151005867872701E-3</v>
      </c>
      <c r="O1537" s="66">
        <f t="shared" si="185"/>
        <v>-2.8610048743222989E-2</v>
      </c>
      <c r="P1537" s="4">
        <f t="shared" si="186"/>
        <v>8.9279999999999915E-3</v>
      </c>
      <c r="Q1537" s="4">
        <f t="shared" si="187"/>
        <v>-8.4144250000000018E-2</v>
      </c>
      <c r="R1537" s="66">
        <f t="shared" si="188"/>
        <v>-9.5151005867872701E-3</v>
      </c>
      <c r="S1537" s="66">
        <f t="shared" si="189"/>
        <v>-2.8610048743222989E-2</v>
      </c>
      <c r="T1537" s="50" t="str">
        <f t="shared" si="190"/>
        <v/>
      </c>
      <c r="U1537" s="50" t="str">
        <f t="shared" si="191"/>
        <v/>
      </c>
    </row>
    <row r="1538" spans="1:21" x14ac:dyDescent="0.2">
      <c r="A1538" s="38">
        <v>42656</v>
      </c>
      <c r="B1538" s="4">
        <v>0.25471700000000003</v>
      </c>
      <c r="C1538" s="4">
        <v>0.40801900000000002</v>
      </c>
      <c r="D1538" s="4">
        <v>0.33726400000000001</v>
      </c>
      <c r="E1538" s="50">
        <v>1</v>
      </c>
      <c r="F1538" s="50">
        <v>0.27350162500000003</v>
      </c>
      <c r="G1538" s="50">
        <v>-8.2546999999999995E-2</v>
      </c>
      <c r="H1538" s="50">
        <v>0.38267336891999998</v>
      </c>
      <c r="I1538" s="50">
        <v>0.48503006147299998</v>
      </c>
      <c r="J1538" s="50">
        <v>0.28031667636599999</v>
      </c>
      <c r="K1538" s="50">
        <v>2169.6000979999999</v>
      </c>
      <c r="L1538" s="50">
        <v>2128.8400879999999</v>
      </c>
      <c r="M1538" s="50">
        <v>2139.179932</v>
      </c>
      <c r="N1538" s="66">
        <f t="shared" si="184"/>
        <v>2.388815883861784E-3</v>
      </c>
      <c r="O1538" s="66">
        <f t="shared" si="185"/>
        <v>1.1256681890002047E-2</v>
      </c>
      <c r="P1538" s="4">
        <f t="shared" si="186"/>
        <v>-8.2546999999999982E-2</v>
      </c>
      <c r="Q1538" s="4">
        <f t="shared" si="187"/>
        <v>-8.4825249999999991E-2</v>
      </c>
      <c r="R1538" s="66">
        <f t="shared" si="188"/>
        <v>2.388815883861784E-3</v>
      </c>
      <c r="S1538" s="66">
        <f t="shared" si="189"/>
        <v>1.1256681890002047E-2</v>
      </c>
      <c r="T1538" s="50">
        <f t="shared" si="190"/>
        <v>1</v>
      </c>
      <c r="U1538" s="50">
        <f t="shared" si="191"/>
        <v>1</v>
      </c>
    </row>
    <row r="1539" spans="1:21" x14ac:dyDescent="0.2">
      <c r="A1539" s="38">
        <v>42663</v>
      </c>
      <c r="B1539" s="4">
        <v>0.23739499999999999</v>
      </c>
      <c r="C1539" s="4">
        <v>0.38445400000000002</v>
      </c>
      <c r="D1539" s="4">
        <v>0.37815100000000001</v>
      </c>
      <c r="E1539" s="50">
        <v>1</v>
      </c>
      <c r="F1539" s="50">
        <v>0.26639562500000002</v>
      </c>
      <c r="G1539" s="50">
        <v>-0.14075599999999999</v>
      </c>
      <c r="H1539" s="50">
        <v>0.382664592172</v>
      </c>
      <c r="I1539" s="50">
        <v>0.48498954587300003</v>
      </c>
      <c r="J1539" s="50">
        <v>0.28033963846999999</v>
      </c>
      <c r="K1539" s="50">
        <v>2149.1899410000001</v>
      </c>
      <c r="L1539" s="50">
        <v>2114.719971</v>
      </c>
      <c r="M1539" s="50">
        <v>2144.290039</v>
      </c>
      <c r="N1539" s="66">
        <f t="shared" si="184"/>
        <v>-2.2665343361229738E-3</v>
      </c>
      <c r="O1539" s="66">
        <f t="shared" si="185"/>
        <v>9.2851063232495101E-3</v>
      </c>
      <c r="P1539" s="4">
        <f t="shared" si="186"/>
        <v>-0.14075600000000002</v>
      </c>
      <c r="Q1539" s="4">
        <f t="shared" si="187"/>
        <v>-8.6371500000000018E-2</v>
      </c>
      <c r="R1539" s="66">
        <f t="shared" si="188"/>
        <v>-2.2665343361229738E-3</v>
      </c>
      <c r="S1539" s="66">
        <f t="shared" si="189"/>
        <v>9.2851063232495101E-3</v>
      </c>
      <c r="T1539" s="50" t="str">
        <f t="shared" si="190"/>
        <v/>
      </c>
      <c r="U1539" s="50">
        <f t="shared" si="191"/>
        <v>1</v>
      </c>
    </row>
    <row r="1540" spans="1:21" x14ac:dyDescent="0.2">
      <c r="A1540" s="38">
        <v>42670</v>
      </c>
      <c r="B1540" s="4">
        <v>0.24754899999999999</v>
      </c>
      <c r="C1540" s="4">
        <v>0.41176499999999999</v>
      </c>
      <c r="D1540" s="4">
        <v>0.34068599999999999</v>
      </c>
      <c r="E1540" s="50">
        <v>1</v>
      </c>
      <c r="F1540" s="50">
        <v>0.26158925</v>
      </c>
      <c r="G1540" s="50">
        <v>-9.3136999999999998E-2</v>
      </c>
      <c r="H1540" s="50">
        <v>0.38270707507899998</v>
      </c>
      <c r="I1540" s="50">
        <v>0.485013705633</v>
      </c>
      <c r="J1540" s="50">
        <v>0.28040044452500001</v>
      </c>
      <c r="K1540" s="50">
        <v>2154.790039</v>
      </c>
      <c r="L1540" s="50">
        <v>2130.0900879999999</v>
      </c>
      <c r="M1540" s="50">
        <v>2139.429932</v>
      </c>
      <c r="N1540" s="66">
        <f t="shared" si="184"/>
        <v>-1.9392984728980576E-2</v>
      </c>
      <c r="O1540" s="66">
        <f t="shared" si="185"/>
        <v>3.0517507034672913E-2</v>
      </c>
      <c r="P1540" s="4">
        <f t="shared" si="186"/>
        <v>-9.3136999999999998E-2</v>
      </c>
      <c r="Q1540" s="4">
        <f t="shared" si="187"/>
        <v>-7.6878000000000002E-2</v>
      </c>
      <c r="R1540" s="66">
        <f t="shared" si="188"/>
        <v>-1.9392984728980576E-2</v>
      </c>
      <c r="S1540" s="66">
        <f t="shared" si="189"/>
        <v>3.0517507034672913E-2</v>
      </c>
      <c r="T1540" s="50" t="str">
        <f t="shared" si="190"/>
        <v/>
      </c>
      <c r="U1540" s="50">
        <f t="shared" si="191"/>
        <v>1</v>
      </c>
    </row>
    <row r="1541" spans="1:21" x14ac:dyDescent="0.2">
      <c r="A1541" s="38">
        <v>42677</v>
      </c>
      <c r="B1541" s="4">
        <v>0.23636399999999999</v>
      </c>
      <c r="C1541" s="4">
        <v>0.42045500000000002</v>
      </c>
      <c r="D1541" s="4">
        <v>0.34318199999999999</v>
      </c>
      <c r="E1541" s="50">
        <v>1.0000009999999999</v>
      </c>
      <c r="F1541" s="50">
        <v>0.25395125000000002</v>
      </c>
      <c r="G1541" s="50">
        <v>-0.106818</v>
      </c>
      <c r="H1541" s="50">
        <v>0.38278416708700003</v>
      </c>
      <c r="I1541" s="50">
        <v>0.48510459013399998</v>
      </c>
      <c r="J1541" s="50">
        <v>0.28046374404000002</v>
      </c>
      <c r="K1541" s="50">
        <v>2147.13</v>
      </c>
      <c r="L1541" s="50">
        <v>2094</v>
      </c>
      <c r="M1541" s="50">
        <v>2097.94</v>
      </c>
      <c r="N1541" s="66">
        <f t="shared" si="184"/>
        <v>3.1135304155505E-2</v>
      </c>
      <c r="O1541" s="66">
        <f t="shared" si="185"/>
        <v>4.8080498012335854E-2</v>
      </c>
      <c r="P1541" s="4">
        <f t="shared" si="186"/>
        <v>-0.106818</v>
      </c>
      <c r="Q1541" s="4">
        <f t="shared" si="187"/>
        <v>-0.10581450000000001</v>
      </c>
      <c r="R1541" s="66">
        <f t="shared" si="188"/>
        <v>3.1135304155505E-2</v>
      </c>
      <c r="S1541" s="66">
        <f t="shared" si="189"/>
        <v>4.8080498012335854E-2</v>
      </c>
      <c r="T1541" s="50">
        <f t="shared" si="190"/>
        <v>1</v>
      </c>
      <c r="U1541" s="50">
        <f t="shared" si="191"/>
        <v>1</v>
      </c>
    </row>
    <row r="1542" spans="1:21" x14ac:dyDescent="0.2">
      <c r="A1542" s="38">
        <v>42684</v>
      </c>
      <c r="B1542" s="4">
        <v>0.38888899999999998</v>
      </c>
      <c r="C1542" s="4">
        <v>0.317778</v>
      </c>
      <c r="D1542" s="4">
        <v>0.29333300000000001</v>
      </c>
      <c r="E1542" s="50">
        <v>1</v>
      </c>
      <c r="F1542" s="50">
        <v>0.26763999999999999</v>
      </c>
      <c r="G1542" s="50">
        <v>9.5556000000000002E-2</v>
      </c>
      <c r="H1542" s="50">
        <v>0.38287469691199999</v>
      </c>
      <c r="I1542" s="50">
        <v>0.48522641546</v>
      </c>
      <c r="J1542" s="50">
        <v>0.28052297836500001</v>
      </c>
      <c r="K1542" s="50">
        <v>2170.1</v>
      </c>
      <c r="L1542" s="50">
        <v>2083.79</v>
      </c>
      <c r="M1542" s="50">
        <v>2163.2600000000002</v>
      </c>
      <c r="N1542" s="66">
        <f t="shared" si="184"/>
        <v>4.3452936771335842E-4</v>
      </c>
      <c r="O1542" s="66">
        <f t="shared" si="185"/>
        <v>3.6098296090160076E-2</v>
      </c>
      <c r="P1542" s="4">
        <f t="shared" si="186"/>
        <v>9.5555999999999974E-2</v>
      </c>
      <c r="Q1542" s="4">
        <f t="shared" si="187"/>
        <v>-6.1288750000000003E-2</v>
      </c>
      <c r="R1542" s="66">
        <f t="shared" si="188"/>
        <v>4.3452936771335842E-4</v>
      </c>
      <c r="S1542" s="66">
        <f t="shared" si="189"/>
        <v>3.6098296090160076E-2</v>
      </c>
      <c r="T1542" s="50">
        <f t="shared" si="190"/>
        <v>1</v>
      </c>
      <c r="U1542" s="50">
        <f t="shared" si="191"/>
        <v>1</v>
      </c>
    </row>
    <row r="1543" spans="1:21" x14ac:dyDescent="0.2">
      <c r="A1543" s="38">
        <v>42691</v>
      </c>
      <c r="B1543" s="4">
        <v>0.46653099999999997</v>
      </c>
      <c r="C1543" s="4">
        <v>0.26774799999999999</v>
      </c>
      <c r="D1543" s="4">
        <v>0.26572000000000001</v>
      </c>
      <c r="E1543" s="50">
        <v>0.99999899999999997</v>
      </c>
      <c r="F1543" s="50">
        <v>0.294923875</v>
      </c>
      <c r="G1543" s="50">
        <v>0.20081099999999999</v>
      </c>
      <c r="H1543" s="50">
        <v>0.38300987090700001</v>
      </c>
      <c r="I1543" s="50">
        <v>0.48547103030099997</v>
      </c>
      <c r="J1543" s="50">
        <v>0.280548711512</v>
      </c>
      <c r="K1543" s="50">
        <v>2182.3000000000002</v>
      </c>
      <c r="L1543" s="50">
        <v>2100.59</v>
      </c>
      <c r="M1543" s="50">
        <v>2164.1999999999998</v>
      </c>
      <c r="N1543" s="66">
        <f t="shared" si="184"/>
        <v>1.8722853710377962E-2</v>
      </c>
      <c r="O1543" s="66">
        <f t="shared" si="185"/>
        <v>4.1160706034562608E-2</v>
      </c>
      <c r="P1543" s="4">
        <f t="shared" si="186"/>
        <v>0.20081099999999996</v>
      </c>
      <c r="Q1543" s="4">
        <f t="shared" si="187"/>
        <v>2.4102999999999986E-2</v>
      </c>
      <c r="R1543" s="66">
        <f t="shared" si="188"/>
        <v>1.8722853710377962E-2</v>
      </c>
      <c r="S1543" s="66">
        <f t="shared" si="189"/>
        <v>4.1160706034562608E-2</v>
      </c>
      <c r="T1543" s="50">
        <f t="shared" si="190"/>
        <v>1</v>
      </c>
      <c r="U1543" s="50">
        <f t="shared" si="191"/>
        <v>1</v>
      </c>
    </row>
    <row r="1544" spans="1:21" x14ac:dyDescent="0.2">
      <c r="A1544" s="38">
        <v>42698</v>
      </c>
      <c r="B1544" s="4">
        <v>0.49893799999999999</v>
      </c>
      <c r="C1544" s="4">
        <v>0.28025499999999998</v>
      </c>
      <c r="D1544" s="4">
        <v>0.220807</v>
      </c>
      <c r="E1544" s="50">
        <v>1</v>
      </c>
      <c r="F1544" s="50">
        <v>0.32729112500000002</v>
      </c>
      <c r="G1544" s="50">
        <v>0.27813100000000002</v>
      </c>
      <c r="H1544" s="50">
        <v>0.38307514222799999</v>
      </c>
      <c r="I1544" s="50">
        <v>0.48553707593899997</v>
      </c>
      <c r="J1544" s="50">
        <v>0.28061320851600002</v>
      </c>
      <c r="K1544" s="50">
        <v>2204.8000000000002</v>
      </c>
      <c r="L1544" s="50">
        <v>2172.1999999999998</v>
      </c>
      <c r="M1544" s="50">
        <v>2204.7199999999998</v>
      </c>
      <c r="N1544" s="66">
        <f t="shared" si="184"/>
        <v>-2.6806125040820853E-3</v>
      </c>
      <c r="O1544" s="66">
        <f t="shared" si="185"/>
        <v>2.4465691788526461E-2</v>
      </c>
      <c r="P1544" s="4">
        <f t="shared" si="186"/>
        <v>0.27813100000000002</v>
      </c>
      <c r="Q1544" s="4">
        <f t="shared" si="187"/>
        <v>0.11692</v>
      </c>
      <c r="R1544" s="66">
        <f t="shared" si="188"/>
        <v>-2.6806125040820853E-3</v>
      </c>
      <c r="S1544" s="66">
        <f t="shared" si="189"/>
        <v>2.4465691788526461E-2</v>
      </c>
      <c r="T1544" s="50" t="str">
        <f t="shared" si="190"/>
        <v/>
      </c>
      <c r="U1544" s="50">
        <f t="shared" si="191"/>
        <v>1</v>
      </c>
    </row>
    <row r="1545" spans="1:21" x14ac:dyDescent="0.2">
      <c r="A1545" s="38">
        <v>42705</v>
      </c>
      <c r="B1545" s="4">
        <v>0.437751</v>
      </c>
      <c r="C1545" s="4">
        <v>0.31124499999999999</v>
      </c>
      <c r="D1545" s="4">
        <v>0.251004</v>
      </c>
      <c r="E1545" s="50">
        <v>1</v>
      </c>
      <c r="F1545" s="50">
        <v>0.34601674999999998</v>
      </c>
      <c r="G1545" s="50">
        <v>0.186747</v>
      </c>
      <c r="H1545" s="50">
        <v>0.38317454968600001</v>
      </c>
      <c r="I1545" s="50">
        <v>0.48568090576700002</v>
      </c>
      <c r="J1545" s="50">
        <v>0.280668193605</v>
      </c>
      <c r="K1545" s="50">
        <v>2214.1</v>
      </c>
      <c r="L1545" s="50">
        <v>2194.5100000000002</v>
      </c>
      <c r="M1545" s="50">
        <v>2198.81</v>
      </c>
      <c r="N1545" s="66">
        <f t="shared" si="184"/>
        <v>1.9346828511785905E-2</v>
      </c>
      <c r="O1545" s="66">
        <f t="shared" si="185"/>
        <v>2.3244391284376609E-2</v>
      </c>
      <c r="P1545" s="4">
        <f t="shared" si="186"/>
        <v>0.186747</v>
      </c>
      <c r="Q1545" s="4">
        <f t="shared" si="187"/>
        <v>0.19031124999999999</v>
      </c>
      <c r="R1545" s="66">
        <f t="shared" si="188"/>
        <v>1.9346828511785905E-2</v>
      </c>
      <c r="S1545" s="66">
        <f t="shared" si="189"/>
        <v>2.3244391284376609E-2</v>
      </c>
      <c r="T1545" s="50">
        <f t="shared" si="190"/>
        <v>1</v>
      </c>
      <c r="U1545" s="50">
        <f t="shared" si="191"/>
        <v>1</v>
      </c>
    </row>
    <row r="1546" spans="1:21" x14ac:dyDescent="0.2">
      <c r="A1546" s="38">
        <v>42712</v>
      </c>
      <c r="B1546" s="4">
        <v>0.43121100000000001</v>
      </c>
      <c r="C1546" s="4">
        <v>0.30390099999999998</v>
      </c>
      <c r="D1546" s="4">
        <v>0.26488699999999998</v>
      </c>
      <c r="E1546" s="50">
        <v>0.99999899999999997</v>
      </c>
      <c r="F1546" s="50">
        <v>0.36807849999999998</v>
      </c>
      <c r="G1546" s="50">
        <v>0.166324</v>
      </c>
      <c r="H1546" s="50">
        <v>0.38321940854800002</v>
      </c>
      <c r="I1546" s="50">
        <v>0.48570914515800001</v>
      </c>
      <c r="J1546" s="50">
        <v>0.28072967193800002</v>
      </c>
      <c r="K1546" s="50">
        <v>2241.63</v>
      </c>
      <c r="L1546" s="50">
        <v>2187.44</v>
      </c>
      <c r="M1546" s="50">
        <v>2241.35</v>
      </c>
      <c r="N1546" s="66">
        <f t="shared" si="184"/>
        <v>5.3226849889576782E-3</v>
      </c>
      <c r="O1546" s="66">
        <f t="shared" si="185"/>
        <v>1.3117094608160301E-2</v>
      </c>
      <c r="P1546" s="4">
        <f t="shared" si="186"/>
        <v>0.16632400000000003</v>
      </c>
      <c r="Q1546" s="4">
        <f t="shared" si="187"/>
        <v>0.20800325</v>
      </c>
      <c r="R1546" s="66">
        <f t="shared" si="188"/>
        <v>5.3226849889576782E-3</v>
      </c>
      <c r="S1546" s="66">
        <f t="shared" si="189"/>
        <v>1.3117094608160301E-2</v>
      </c>
      <c r="T1546" s="50">
        <f t="shared" si="190"/>
        <v>1</v>
      </c>
      <c r="U1546" s="50">
        <f t="shared" si="191"/>
        <v>1</v>
      </c>
    </row>
    <row r="1547" spans="1:21" x14ac:dyDescent="0.2">
      <c r="A1547" s="38">
        <v>42719</v>
      </c>
      <c r="B1547" s="4">
        <v>0.446575</v>
      </c>
      <c r="C1547" s="4">
        <v>0.23013700000000001</v>
      </c>
      <c r="D1547" s="4">
        <v>0.32328800000000002</v>
      </c>
      <c r="E1547" s="50">
        <v>1</v>
      </c>
      <c r="F1547" s="50">
        <v>0.39422600000000002</v>
      </c>
      <c r="G1547" s="50">
        <v>0.12328699999999999</v>
      </c>
      <c r="H1547" s="50">
        <v>0.38325991897</v>
      </c>
      <c r="I1547" s="50">
        <v>0.48573019028600001</v>
      </c>
      <c r="J1547" s="50">
        <v>0.280789647654</v>
      </c>
      <c r="K1547" s="50">
        <v>2277.5300000000002</v>
      </c>
      <c r="L1547" s="50">
        <v>2208.9299999999998</v>
      </c>
      <c r="M1547" s="50">
        <v>2253.2800000000002</v>
      </c>
      <c r="N1547" s="66">
        <f t="shared" si="184"/>
        <v>2.3876304764608278E-3</v>
      </c>
      <c r="O1547" s="66">
        <f t="shared" si="185"/>
        <v>9.7812965987360469E-3</v>
      </c>
      <c r="P1547" s="4">
        <f t="shared" si="186"/>
        <v>0.12328699999999998</v>
      </c>
      <c r="Q1547" s="4">
        <f t="shared" si="187"/>
        <v>0.18862224999999999</v>
      </c>
      <c r="R1547" s="66">
        <f t="shared" si="188"/>
        <v>2.3876304764608278E-3</v>
      </c>
      <c r="S1547" s="66">
        <f t="shared" si="189"/>
        <v>9.7812965987360469E-3</v>
      </c>
      <c r="T1547" s="50">
        <f t="shared" si="190"/>
        <v>1</v>
      </c>
      <c r="U1547" s="50">
        <f t="shared" si="191"/>
        <v>1</v>
      </c>
    </row>
    <row r="1548" spans="1:21" x14ac:dyDescent="0.2">
      <c r="A1548" s="38">
        <v>42726</v>
      </c>
      <c r="B1548" s="4">
        <v>0.44606400000000002</v>
      </c>
      <c r="C1548" s="4">
        <v>0.26239099999999999</v>
      </c>
      <c r="D1548" s="4">
        <v>0.291545</v>
      </c>
      <c r="E1548" s="50">
        <v>1</v>
      </c>
      <c r="F1548" s="50">
        <v>0.41904037500000002</v>
      </c>
      <c r="G1548" s="50">
        <v>0.15451899999999999</v>
      </c>
      <c r="H1548" s="50">
        <v>0.38325176898899999</v>
      </c>
      <c r="I1548" s="50">
        <v>0.485690368835</v>
      </c>
      <c r="J1548" s="50">
        <v>0.28081316914400001</v>
      </c>
      <c r="K1548" s="50">
        <v>2272.56</v>
      </c>
      <c r="L1548" s="50">
        <v>2253.77</v>
      </c>
      <c r="M1548" s="50">
        <v>2258.66</v>
      </c>
      <c r="N1548" s="66">
        <f t="shared" si="184"/>
        <v>-3.8695509727005315E-3</v>
      </c>
      <c r="O1548" s="66">
        <f t="shared" si="185"/>
        <v>5.8574553053580523E-3</v>
      </c>
      <c r="P1548" s="4">
        <f t="shared" si="186"/>
        <v>0.15451900000000002</v>
      </c>
      <c r="Q1548" s="4">
        <f t="shared" si="187"/>
        <v>0.15771925000000001</v>
      </c>
      <c r="R1548" s="66">
        <f t="shared" si="188"/>
        <v>-3.8695509727005315E-3</v>
      </c>
      <c r="S1548" s="66">
        <f t="shared" si="189"/>
        <v>5.8574553053580523E-3</v>
      </c>
      <c r="T1548" s="50" t="str">
        <f t="shared" si="190"/>
        <v/>
      </c>
      <c r="U1548" s="50">
        <f t="shared" si="191"/>
        <v>1</v>
      </c>
    </row>
    <row r="1549" spans="1:21" x14ac:dyDescent="0.2">
      <c r="A1549" s="38">
        <v>42733</v>
      </c>
      <c r="B1549" s="4">
        <v>0.45569599999999999</v>
      </c>
      <c r="C1549" s="4">
        <v>0.28692000000000001</v>
      </c>
      <c r="D1549" s="4">
        <v>0.257384</v>
      </c>
      <c r="E1549" s="50">
        <v>1</v>
      </c>
      <c r="F1549" s="50">
        <v>0.44645687499999998</v>
      </c>
      <c r="G1549" s="50">
        <v>0.19831199999999999</v>
      </c>
      <c r="H1549" s="50">
        <v>0.38331572270999997</v>
      </c>
      <c r="I1549" s="50">
        <v>0.48575399174099998</v>
      </c>
      <c r="J1549" s="50">
        <v>0.28087745368</v>
      </c>
      <c r="K1549" s="50">
        <v>2273.8200000000002</v>
      </c>
      <c r="L1549" s="50">
        <v>2249.11</v>
      </c>
      <c r="M1549" s="50">
        <v>2249.92</v>
      </c>
      <c r="N1549" s="66">
        <f t="shared" ref="N1549:N1612" si="192">(M1550-M1549)/M1549</f>
        <v>9.2581069549139191E-3</v>
      </c>
      <c r="O1549" s="66">
        <f t="shared" ref="O1549:O1612" si="193">(M1553-M1549)/M1549</f>
        <v>2.1534098990186237E-2</v>
      </c>
      <c r="P1549" s="4">
        <f t="shared" si="186"/>
        <v>0.19831199999999999</v>
      </c>
      <c r="Q1549" s="4">
        <f t="shared" si="187"/>
        <v>0.16061049999999999</v>
      </c>
      <c r="R1549" s="66">
        <f t="shared" si="188"/>
        <v>9.2581069549139191E-3</v>
      </c>
      <c r="S1549" s="66">
        <f t="shared" si="189"/>
        <v>2.1534098990186237E-2</v>
      </c>
      <c r="T1549" s="50">
        <f t="shared" si="190"/>
        <v>1</v>
      </c>
      <c r="U1549" s="50">
        <f t="shared" si="191"/>
        <v>1</v>
      </c>
    </row>
    <row r="1550" spans="1:21" x14ac:dyDescent="0.2">
      <c r="A1550" s="38">
        <v>42740</v>
      </c>
      <c r="B1550" s="4">
        <v>0.46200600000000003</v>
      </c>
      <c r="C1550" s="4">
        <v>0.28571400000000002</v>
      </c>
      <c r="D1550" s="4">
        <v>0.25228</v>
      </c>
      <c r="E1550" s="50">
        <v>1</v>
      </c>
      <c r="F1550" s="50">
        <v>0.45559650000000002</v>
      </c>
      <c r="G1550" s="50">
        <v>0.209726</v>
      </c>
      <c r="H1550" s="50">
        <v>0.38335534420099998</v>
      </c>
      <c r="I1550" s="50">
        <v>0.48577370049599999</v>
      </c>
      <c r="J1550" s="50">
        <v>0.28093698790499999</v>
      </c>
      <c r="K1550" s="50">
        <v>2273.8200000000002</v>
      </c>
      <c r="L1550" s="50">
        <v>2233.62</v>
      </c>
      <c r="M1550" s="50">
        <v>2270.75</v>
      </c>
      <c r="N1550" s="66">
        <f t="shared" si="192"/>
        <v>2.0125509192998629E-3</v>
      </c>
      <c r="O1550" s="66">
        <f t="shared" si="193"/>
        <v>3.8753715732688238E-3</v>
      </c>
      <c r="P1550" s="4">
        <f t="shared" ref="P1550:P1613" si="194">B1550-D1550</f>
        <v>0.20972600000000002</v>
      </c>
      <c r="Q1550" s="4">
        <f t="shared" si="187"/>
        <v>0.171461</v>
      </c>
      <c r="R1550" s="66">
        <f t="shared" si="188"/>
        <v>2.0125509192998629E-3</v>
      </c>
      <c r="S1550" s="66">
        <f t="shared" si="189"/>
        <v>3.8753715732688238E-3</v>
      </c>
      <c r="T1550" s="50">
        <f t="shared" si="190"/>
        <v>1</v>
      </c>
      <c r="U1550" s="50">
        <f t="shared" si="191"/>
        <v>1</v>
      </c>
    </row>
    <row r="1551" spans="1:21" x14ac:dyDescent="0.2">
      <c r="A1551" s="38">
        <v>42747</v>
      </c>
      <c r="B1551" s="4">
        <v>0.43636399999999997</v>
      </c>
      <c r="C1551" s="4">
        <v>0.29393900000000001</v>
      </c>
      <c r="D1551" s="4">
        <v>0.26969700000000002</v>
      </c>
      <c r="E1551" s="50">
        <v>1</v>
      </c>
      <c r="F1551" s="50">
        <v>0.45182562500000001</v>
      </c>
      <c r="G1551" s="50">
        <v>0.16666700000000001</v>
      </c>
      <c r="H1551" s="50">
        <v>0.38334875062700002</v>
      </c>
      <c r="I1551" s="50">
        <v>0.48573533466699997</v>
      </c>
      <c r="J1551" s="50">
        <v>0.28096216658599998</v>
      </c>
      <c r="K1551" s="50">
        <v>2282.1</v>
      </c>
      <c r="L1551" s="50">
        <v>2260.4499999999998</v>
      </c>
      <c r="M1551" s="50">
        <v>2275.3200000000002</v>
      </c>
      <c r="N1551" s="66">
        <f t="shared" si="192"/>
        <v>-1.5074802665120909E-3</v>
      </c>
      <c r="O1551" s="66">
        <f t="shared" si="193"/>
        <v>8.5042982965033084E-3</v>
      </c>
      <c r="P1551" s="4">
        <f t="shared" si="194"/>
        <v>0.16666699999999995</v>
      </c>
      <c r="Q1551" s="4">
        <f t="shared" si="187"/>
        <v>0.18230599999999997</v>
      </c>
      <c r="R1551" s="66">
        <f t="shared" si="188"/>
        <v>-1.5074802665120909E-3</v>
      </c>
      <c r="S1551" s="66">
        <f t="shared" si="189"/>
        <v>8.5042982965033084E-3</v>
      </c>
      <c r="T1551" s="50" t="str">
        <f t="shared" si="190"/>
        <v/>
      </c>
      <c r="U1551" s="50">
        <f t="shared" si="191"/>
        <v>1</v>
      </c>
    </row>
    <row r="1552" spans="1:21" x14ac:dyDescent="0.2">
      <c r="A1552" s="38">
        <v>42754</v>
      </c>
      <c r="B1552" s="4">
        <v>0.37007899999999999</v>
      </c>
      <c r="C1552" s="4">
        <v>0.30314999999999998</v>
      </c>
      <c r="D1552" s="4">
        <v>0.32677200000000001</v>
      </c>
      <c r="E1552" s="50">
        <v>1.0000009999999999</v>
      </c>
      <c r="F1552" s="50">
        <v>0.43571824999999997</v>
      </c>
      <c r="G1552" s="50">
        <v>4.3306999999999998E-2</v>
      </c>
      <c r="H1552" s="50">
        <v>0.38327403381300001</v>
      </c>
      <c r="I1552" s="50">
        <v>0.48567207922200001</v>
      </c>
      <c r="J1552" s="50">
        <v>0.280875988405</v>
      </c>
      <c r="K1552" s="50">
        <v>2279.27</v>
      </c>
      <c r="L1552" s="50">
        <v>2254.25</v>
      </c>
      <c r="M1552" s="50">
        <v>2271.89</v>
      </c>
      <c r="N1552" s="66">
        <f t="shared" si="192"/>
        <v>1.1655493883946854E-2</v>
      </c>
      <c r="O1552" s="66">
        <f t="shared" si="193"/>
        <v>3.3157415191756613E-2</v>
      </c>
      <c r="P1552" s="4">
        <f t="shared" si="194"/>
        <v>4.3306999999999984E-2</v>
      </c>
      <c r="Q1552" s="4">
        <f t="shared" si="187"/>
        <v>0.154503</v>
      </c>
      <c r="R1552" s="66">
        <f t="shared" si="188"/>
        <v>1.1655493883946854E-2</v>
      </c>
      <c r="S1552" s="66">
        <f t="shared" si="189"/>
        <v>3.3157415191756613E-2</v>
      </c>
      <c r="T1552" s="50">
        <f t="shared" si="190"/>
        <v>1</v>
      </c>
      <c r="U1552" s="50">
        <f t="shared" si="191"/>
        <v>1</v>
      </c>
    </row>
    <row r="1553" spans="1:21" x14ac:dyDescent="0.2">
      <c r="A1553" s="38">
        <v>42761</v>
      </c>
      <c r="B1553" s="4">
        <v>0.31578899999999999</v>
      </c>
      <c r="C1553" s="4">
        <v>0.34928199999999998</v>
      </c>
      <c r="D1553" s="4">
        <v>0.334928</v>
      </c>
      <c r="E1553" s="50">
        <v>0.99999899999999997</v>
      </c>
      <c r="F1553" s="50">
        <v>0.42047299999999999</v>
      </c>
      <c r="G1553" s="50">
        <v>-1.9139E-2</v>
      </c>
      <c r="H1553" s="50">
        <v>0.38326473904899999</v>
      </c>
      <c r="I1553" s="50">
        <v>0.48563139425700003</v>
      </c>
      <c r="J1553" s="50">
        <v>0.28089808384100001</v>
      </c>
      <c r="K1553" s="50">
        <v>2299.5500000000002</v>
      </c>
      <c r="L1553" s="50">
        <v>2257.02</v>
      </c>
      <c r="M1553" s="50">
        <v>2298.37</v>
      </c>
      <c r="N1553" s="66">
        <f t="shared" si="192"/>
        <v>-8.1884117874840481E-3</v>
      </c>
      <c r="O1553" s="66">
        <f t="shared" si="193"/>
        <v>2.8041612099009419E-2</v>
      </c>
      <c r="P1553" s="4">
        <f t="shared" si="194"/>
        <v>-1.9139000000000017E-2</v>
      </c>
      <c r="Q1553" s="4">
        <f t="shared" ref="Q1553:Q1616" si="195">AVERAGE(P1550:P1553)</f>
        <v>0.10014024999999999</v>
      </c>
      <c r="R1553" s="66">
        <f t="shared" ref="R1553:R1616" si="196">(M1554-M1553)/M1553</f>
        <v>-8.1884117874840481E-3</v>
      </c>
      <c r="S1553" s="66">
        <f t="shared" ref="S1553:S1616" si="197">(M1557-M1553)/M1553</f>
        <v>2.8041612099009419E-2</v>
      </c>
      <c r="T1553" s="50" t="str">
        <f t="shared" ref="T1553:T1616" si="198">IF(R1553&gt;0,1,"")</f>
        <v/>
      </c>
      <c r="U1553" s="50">
        <f t="shared" ref="U1553:U1616" si="199">IF(S1553&gt;0,1,"")</f>
        <v>1</v>
      </c>
    </row>
    <row r="1554" spans="1:21" x14ac:dyDescent="0.2">
      <c r="A1554" s="38">
        <v>42768</v>
      </c>
      <c r="B1554" s="4">
        <v>0.327982</v>
      </c>
      <c r="C1554" s="4">
        <v>0.33027499999999999</v>
      </c>
      <c r="D1554" s="4">
        <v>0.34174300000000002</v>
      </c>
      <c r="E1554" s="50">
        <v>1</v>
      </c>
      <c r="F1554" s="50">
        <v>0.40756937500000001</v>
      </c>
      <c r="G1554" s="50">
        <v>-1.3761000000000001E-2</v>
      </c>
      <c r="H1554" s="50">
        <v>0.38323289368399999</v>
      </c>
      <c r="I1554" s="50">
        <v>0.485575436932</v>
      </c>
      <c r="J1554" s="50">
        <v>0.28089035043499999</v>
      </c>
      <c r="K1554" s="50">
        <v>2300.9899999999998</v>
      </c>
      <c r="L1554" s="50">
        <v>2267.21</v>
      </c>
      <c r="M1554" s="50">
        <v>2279.5500000000002</v>
      </c>
      <c r="N1554" s="66">
        <f t="shared" si="192"/>
        <v>6.6328880700137699E-3</v>
      </c>
      <c r="O1554" s="66">
        <f t="shared" si="193"/>
        <v>5.1067096576078545E-2</v>
      </c>
      <c r="P1554" s="4">
        <f t="shared" si="194"/>
        <v>-1.3761000000000023E-2</v>
      </c>
      <c r="Q1554" s="4">
        <f t="shared" si="195"/>
        <v>4.4268499999999975E-2</v>
      </c>
      <c r="R1554" s="66">
        <f t="shared" si="196"/>
        <v>6.6328880700137699E-3</v>
      </c>
      <c r="S1554" s="66">
        <f t="shared" si="197"/>
        <v>5.1067096576078545E-2</v>
      </c>
      <c r="T1554" s="50">
        <f t="shared" si="198"/>
        <v>1</v>
      </c>
      <c r="U1554" s="50">
        <f t="shared" si="199"/>
        <v>1</v>
      </c>
    </row>
    <row r="1555" spans="1:21" x14ac:dyDescent="0.2">
      <c r="A1555" s="38">
        <v>42775</v>
      </c>
      <c r="B1555" s="4">
        <v>0.35802499999999998</v>
      </c>
      <c r="C1555" s="4">
        <v>0.36543199999999998</v>
      </c>
      <c r="D1555" s="4">
        <v>0.27654299999999998</v>
      </c>
      <c r="E1555" s="50">
        <v>1</v>
      </c>
      <c r="F1555" s="50">
        <v>0.396500625</v>
      </c>
      <c r="G1555" s="50">
        <v>8.1481999999999999E-2</v>
      </c>
      <c r="H1555" s="50">
        <v>0.38319297375</v>
      </c>
      <c r="I1555" s="50">
        <v>0.48551597008399999</v>
      </c>
      <c r="J1555" s="50">
        <v>0.28086997741600001</v>
      </c>
      <c r="K1555" s="50">
        <v>2299.4</v>
      </c>
      <c r="L1555" s="50">
        <v>2271.65</v>
      </c>
      <c r="M1555" s="50">
        <v>2294.67</v>
      </c>
      <c r="N1555" s="66">
        <f t="shared" si="192"/>
        <v>2.2900896425193919E-2</v>
      </c>
      <c r="O1555" s="66">
        <f t="shared" si="193"/>
        <v>2.9768986390199873E-2</v>
      </c>
      <c r="P1555" s="4">
        <f t="shared" si="194"/>
        <v>8.1481999999999999E-2</v>
      </c>
      <c r="Q1555" s="4">
        <f t="shared" si="195"/>
        <v>2.2972249999999986E-2</v>
      </c>
      <c r="R1555" s="66">
        <f t="shared" si="196"/>
        <v>2.2900896425193919E-2</v>
      </c>
      <c r="S1555" s="66">
        <f t="shared" si="197"/>
        <v>2.9768986390199873E-2</v>
      </c>
      <c r="T1555" s="50">
        <f t="shared" si="198"/>
        <v>1</v>
      </c>
      <c r="U1555" s="50">
        <f t="shared" si="199"/>
        <v>1</v>
      </c>
    </row>
    <row r="1556" spans="1:21" x14ac:dyDescent="0.2">
      <c r="A1556" s="38">
        <v>42782</v>
      </c>
      <c r="B1556" s="4">
        <v>0.33090900000000001</v>
      </c>
      <c r="C1556" s="4">
        <v>0.34545500000000001</v>
      </c>
      <c r="D1556" s="4">
        <v>0.32363599999999998</v>
      </c>
      <c r="E1556" s="50">
        <v>1</v>
      </c>
      <c r="F1556" s="50">
        <v>0.38210624999999998</v>
      </c>
      <c r="G1556" s="50">
        <v>7.273E-3</v>
      </c>
      <c r="H1556" s="50">
        <v>0.38315285696399998</v>
      </c>
      <c r="I1556" s="50">
        <v>0.48545646594899999</v>
      </c>
      <c r="J1556" s="50">
        <v>0.28084924797999999</v>
      </c>
      <c r="K1556" s="50">
        <v>2351.31</v>
      </c>
      <c r="L1556" s="50">
        <v>2296.61</v>
      </c>
      <c r="M1556" s="50">
        <v>2347.2199999999998</v>
      </c>
      <c r="N1556" s="66">
        <f t="shared" si="192"/>
        <v>6.6461601383766182E-3</v>
      </c>
      <c r="O1556" s="66">
        <f t="shared" si="193"/>
        <v>1.6206405875887401E-2</v>
      </c>
      <c r="P1556" s="4">
        <f t="shared" si="194"/>
        <v>7.2730000000000294E-3</v>
      </c>
      <c r="Q1556" s="4">
        <f t="shared" si="195"/>
        <v>1.3963749999999997E-2</v>
      </c>
      <c r="R1556" s="66">
        <f t="shared" si="196"/>
        <v>6.6461601383766182E-3</v>
      </c>
      <c r="S1556" s="66">
        <f t="shared" si="197"/>
        <v>1.6206405875887401E-2</v>
      </c>
      <c r="T1556" s="50">
        <f t="shared" si="198"/>
        <v>1</v>
      </c>
      <c r="U1556" s="50">
        <f t="shared" si="199"/>
        <v>1</v>
      </c>
    </row>
    <row r="1557" spans="1:21" x14ac:dyDescent="0.2">
      <c r="A1557" s="38">
        <v>42789</v>
      </c>
      <c r="B1557" s="4">
        <v>0.38461499999999998</v>
      </c>
      <c r="C1557" s="4">
        <v>0.29230800000000001</v>
      </c>
      <c r="D1557" s="4">
        <v>0.323077</v>
      </c>
      <c r="E1557" s="50">
        <v>1</v>
      </c>
      <c r="F1557" s="50">
        <v>0.37322112499999999</v>
      </c>
      <c r="G1557" s="50">
        <v>6.1538000000000002E-2</v>
      </c>
      <c r="H1557" s="50">
        <v>0.38307652559299998</v>
      </c>
      <c r="I1557" s="50">
        <v>0.485393802958</v>
      </c>
      <c r="J1557" s="50">
        <v>0.28075924822800002</v>
      </c>
      <c r="K1557" s="50">
        <v>2366.71</v>
      </c>
      <c r="L1557" s="50">
        <v>2322.17</v>
      </c>
      <c r="M1557" s="50">
        <v>2362.8200000000002</v>
      </c>
      <c r="N1557" s="66">
        <f t="shared" si="192"/>
        <v>1.402561346188024E-2</v>
      </c>
      <c r="O1557" s="66">
        <f t="shared" si="193"/>
        <v>-6.0817159157279628E-3</v>
      </c>
      <c r="P1557" s="4">
        <f t="shared" si="194"/>
        <v>6.1537999999999982E-2</v>
      </c>
      <c r="Q1557" s="4">
        <f t="shared" si="195"/>
        <v>3.4132999999999997E-2</v>
      </c>
      <c r="R1557" s="66">
        <f t="shared" si="196"/>
        <v>1.402561346188024E-2</v>
      </c>
      <c r="S1557" s="66">
        <f t="shared" si="197"/>
        <v>-6.0817159157279628E-3</v>
      </c>
      <c r="T1557" s="50">
        <f t="shared" si="198"/>
        <v>1</v>
      </c>
      <c r="U1557" s="50" t="str">
        <f t="shared" si="199"/>
        <v/>
      </c>
    </row>
    <row r="1558" spans="1:21" x14ac:dyDescent="0.2">
      <c r="A1558" s="38">
        <v>42796</v>
      </c>
      <c r="B1558" s="4">
        <v>0.37908500000000001</v>
      </c>
      <c r="C1558" s="4">
        <v>0.264706</v>
      </c>
      <c r="D1558" s="4">
        <v>0.356209</v>
      </c>
      <c r="E1558" s="50">
        <v>1</v>
      </c>
      <c r="F1558" s="50">
        <v>0.36285600000000001</v>
      </c>
      <c r="G1558" s="50">
        <v>2.2876000000000001E-2</v>
      </c>
      <c r="H1558" s="50">
        <v>0.38307325514700002</v>
      </c>
      <c r="I1558" s="50">
        <v>0.48535867710699998</v>
      </c>
      <c r="J1558" s="50">
        <v>0.28078783318700001</v>
      </c>
      <c r="K1558" s="50">
        <v>2400.98</v>
      </c>
      <c r="L1558" s="50">
        <v>2352.87</v>
      </c>
      <c r="M1558" s="50">
        <v>2395.96</v>
      </c>
      <c r="N1558" s="66">
        <f t="shared" si="192"/>
        <v>-1.3764837476418646E-2</v>
      </c>
      <c r="O1558" s="66">
        <f t="shared" si="193"/>
        <v>-1.4536970567121291E-2</v>
      </c>
      <c r="P1558" s="4">
        <f t="shared" si="194"/>
        <v>2.2876000000000007E-2</v>
      </c>
      <c r="Q1558" s="4">
        <f t="shared" si="195"/>
        <v>4.3292250000000004E-2</v>
      </c>
      <c r="R1558" s="66">
        <f t="shared" si="196"/>
        <v>-1.3764837476418646E-2</v>
      </c>
      <c r="S1558" s="66">
        <f t="shared" si="197"/>
        <v>-1.4536970567121291E-2</v>
      </c>
      <c r="T1558" s="50" t="str">
        <f t="shared" si="198"/>
        <v/>
      </c>
      <c r="U1558" s="50" t="str">
        <f t="shared" si="199"/>
        <v/>
      </c>
    </row>
    <row r="1559" spans="1:21" x14ac:dyDescent="0.2">
      <c r="A1559" s="38">
        <v>42803</v>
      </c>
      <c r="B1559" s="4">
        <v>0.3</v>
      </c>
      <c r="C1559" s="4">
        <v>0.23499999999999999</v>
      </c>
      <c r="D1559" s="4">
        <v>0.46500000000000002</v>
      </c>
      <c r="E1559" s="50">
        <v>1</v>
      </c>
      <c r="F1559" s="50">
        <v>0.34581050000000002</v>
      </c>
      <c r="G1559" s="50">
        <v>-0.16500000000000001</v>
      </c>
      <c r="H1559" s="50">
        <v>0.383064534289</v>
      </c>
      <c r="I1559" s="50">
        <v>0.48531864340199998</v>
      </c>
      <c r="J1559" s="50">
        <v>0.28081042517600002</v>
      </c>
      <c r="K1559" s="50">
        <v>2400.98</v>
      </c>
      <c r="L1559" s="50">
        <v>2361.0100000000002</v>
      </c>
      <c r="M1559" s="50">
        <v>2362.98</v>
      </c>
      <c r="N1559" s="66">
        <f t="shared" si="192"/>
        <v>9.4287721436492056E-3</v>
      </c>
      <c r="O1559" s="66">
        <f t="shared" si="193"/>
        <v>-4.2446402424058602E-3</v>
      </c>
      <c r="P1559" s="4">
        <f t="shared" si="194"/>
        <v>-0.16500000000000004</v>
      </c>
      <c r="Q1559" s="4">
        <f t="shared" si="195"/>
        <v>-1.8328250000000004E-2</v>
      </c>
      <c r="R1559" s="66">
        <f t="shared" si="196"/>
        <v>9.4287721436492056E-3</v>
      </c>
      <c r="S1559" s="66">
        <f t="shared" si="197"/>
        <v>-4.2446402424058602E-3</v>
      </c>
      <c r="T1559" s="50">
        <f t="shared" si="198"/>
        <v>1</v>
      </c>
      <c r="U1559" s="50" t="str">
        <f t="shared" si="199"/>
        <v/>
      </c>
    </row>
    <row r="1560" spans="1:21" x14ac:dyDescent="0.2">
      <c r="A1560" s="38">
        <v>42810</v>
      </c>
      <c r="B1560" s="4">
        <v>0.31168800000000002</v>
      </c>
      <c r="C1560" s="4">
        <v>0.30129899999999998</v>
      </c>
      <c r="D1560" s="4">
        <v>0.387013</v>
      </c>
      <c r="E1560" s="50">
        <v>1</v>
      </c>
      <c r="F1560" s="50">
        <v>0.33851162499999998</v>
      </c>
      <c r="G1560" s="50">
        <v>-7.5325000000000003E-2</v>
      </c>
      <c r="H1560" s="50">
        <v>0.38300278130799997</v>
      </c>
      <c r="I1560" s="50">
        <v>0.485254943848</v>
      </c>
      <c r="J1560" s="50">
        <v>0.28075061876899998</v>
      </c>
      <c r="K1560" s="50">
        <v>2390.0100000000002</v>
      </c>
      <c r="L1560" s="50">
        <v>2354.54</v>
      </c>
      <c r="M1560" s="50">
        <v>2385.2600000000002</v>
      </c>
      <c r="N1560" s="66">
        <f t="shared" si="192"/>
        <v>-1.5432279919170403E-2</v>
      </c>
      <c r="O1560" s="66">
        <f t="shared" si="193"/>
        <v>-1.6908010028257037E-2</v>
      </c>
      <c r="P1560" s="4">
        <f t="shared" si="194"/>
        <v>-7.5324999999999975E-2</v>
      </c>
      <c r="Q1560" s="4">
        <f t="shared" si="195"/>
        <v>-3.8977750000000005E-2</v>
      </c>
      <c r="R1560" s="66">
        <f t="shared" si="196"/>
        <v>-1.5432279919170403E-2</v>
      </c>
      <c r="S1560" s="66">
        <f t="shared" si="197"/>
        <v>-1.6908010028257037E-2</v>
      </c>
      <c r="T1560" s="50" t="str">
        <f t="shared" si="198"/>
        <v/>
      </c>
      <c r="U1560" s="50" t="str">
        <f t="shared" si="199"/>
        <v/>
      </c>
    </row>
    <row r="1561" spans="1:21" x14ac:dyDescent="0.2">
      <c r="A1561" s="38">
        <v>42817</v>
      </c>
      <c r="B1561" s="4">
        <v>0.35278500000000002</v>
      </c>
      <c r="C1561" s="4">
        <v>0.34217500000000001</v>
      </c>
      <c r="D1561" s="4">
        <v>0.30503999999999998</v>
      </c>
      <c r="E1561" s="50">
        <v>1</v>
      </c>
      <c r="F1561" s="50">
        <v>0.34313612500000001</v>
      </c>
      <c r="G1561" s="50">
        <v>4.7745000000000003E-2</v>
      </c>
      <c r="H1561" s="50">
        <v>0.38297295765877998</v>
      </c>
      <c r="I1561" s="50">
        <v>0.48520024788818999</v>
      </c>
      <c r="J1561" s="50">
        <v>0.28074566742937002</v>
      </c>
      <c r="K1561" s="50">
        <v>2390.0100000000002</v>
      </c>
      <c r="L1561" s="50">
        <v>2336.4499999999998</v>
      </c>
      <c r="M1561" s="50">
        <v>2348.4499999999998</v>
      </c>
      <c r="N1561" s="66">
        <f t="shared" si="192"/>
        <v>5.3993059251848203E-3</v>
      </c>
      <c r="O1561" s="66">
        <f t="shared" si="193"/>
        <v>-4.3773552768846457E-3</v>
      </c>
      <c r="P1561" s="4">
        <f t="shared" si="194"/>
        <v>4.7745000000000037E-2</v>
      </c>
      <c r="Q1561" s="4">
        <f t="shared" si="195"/>
        <v>-4.2425999999999991E-2</v>
      </c>
      <c r="R1561" s="66">
        <f t="shared" si="196"/>
        <v>5.3993059251848203E-3</v>
      </c>
      <c r="S1561" s="66">
        <f t="shared" si="197"/>
        <v>-4.3773552768846457E-3</v>
      </c>
      <c r="T1561" s="50">
        <f t="shared" si="198"/>
        <v>1</v>
      </c>
      <c r="U1561" s="50" t="str">
        <f t="shared" si="199"/>
        <v/>
      </c>
    </row>
    <row r="1562" spans="1:21" x14ac:dyDescent="0.2">
      <c r="A1562" s="38">
        <v>42824</v>
      </c>
      <c r="B1562" s="4">
        <v>0.30218099999999998</v>
      </c>
      <c r="C1562" s="4">
        <v>0.323988</v>
      </c>
      <c r="D1562" s="4">
        <v>0.373832</v>
      </c>
      <c r="E1562" s="50">
        <v>1.0000009999999999</v>
      </c>
      <c r="F1562" s="50">
        <v>0.33991100000000002</v>
      </c>
      <c r="G1562" s="50">
        <v>-7.1651000000000006E-2</v>
      </c>
      <c r="H1562" s="50">
        <v>0.38296286558804998</v>
      </c>
      <c r="I1562" s="50">
        <v>0.48515912496330998</v>
      </c>
      <c r="J1562" s="50">
        <v>0.28076660621279997</v>
      </c>
      <c r="K1562" s="50">
        <v>2363.7800000000002</v>
      </c>
      <c r="L1562" s="50">
        <v>2322.25</v>
      </c>
      <c r="M1562" s="50">
        <v>2361.13</v>
      </c>
      <c r="N1562" s="66">
        <f t="shared" si="192"/>
        <v>-3.4644428726924355E-3</v>
      </c>
      <c r="O1562" s="66">
        <f t="shared" si="193"/>
        <v>1.1147204940007415E-2</v>
      </c>
      <c r="P1562" s="4">
        <f t="shared" si="194"/>
        <v>-7.165100000000002E-2</v>
      </c>
      <c r="Q1562" s="4">
        <f t="shared" si="195"/>
        <v>-6.6057749999999998E-2</v>
      </c>
      <c r="R1562" s="66">
        <f t="shared" si="196"/>
        <v>-3.4644428726924355E-3</v>
      </c>
      <c r="S1562" s="66">
        <f t="shared" si="197"/>
        <v>1.1147204940007415E-2</v>
      </c>
      <c r="T1562" s="50" t="str">
        <f t="shared" si="198"/>
        <v/>
      </c>
      <c r="U1562" s="50">
        <f t="shared" si="199"/>
        <v>1</v>
      </c>
    </row>
    <row r="1563" spans="1:21" x14ac:dyDescent="0.2">
      <c r="A1563" s="38">
        <v>42831</v>
      </c>
      <c r="B1563" s="4">
        <v>0.28301900000000002</v>
      </c>
      <c r="C1563" s="4">
        <v>0.32075500000000001</v>
      </c>
      <c r="D1563" s="4">
        <v>0.39622600000000002</v>
      </c>
      <c r="E1563" s="50">
        <v>1</v>
      </c>
      <c r="F1563" s="50">
        <v>0.33053525</v>
      </c>
      <c r="G1563" s="50">
        <v>-0.113207</v>
      </c>
      <c r="H1563" s="50">
        <v>0.38296451865671999</v>
      </c>
      <c r="I1563" s="50">
        <v>0.48512899737046</v>
      </c>
      <c r="J1563" s="50">
        <v>0.28080003994296998</v>
      </c>
      <c r="K1563" s="50">
        <v>2378.36</v>
      </c>
      <c r="L1563" s="50">
        <v>2344.73</v>
      </c>
      <c r="M1563" s="50">
        <v>2352.9499999999998</v>
      </c>
      <c r="N1563" s="66">
        <f t="shared" si="192"/>
        <v>-3.4084872181729246E-3</v>
      </c>
      <c r="O1563" s="66">
        <f t="shared" si="193"/>
        <v>1.4951443932085379E-2</v>
      </c>
      <c r="P1563" s="4">
        <f t="shared" si="194"/>
        <v>-0.113207</v>
      </c>
      <c r="Q1563" s="4">
        <f t="shared" si="195"/>
        <v>-5.310949999999999E-2</v>
      </c>
      <c r="R1563" s="66">
        <f t="shared" si="196"/>
        <v>-3.4084872181729246E-3</v>
      </c>
      <c r="S1563" s="66">
        <f t="shared" si="197"/>
        <v>1.4951443932085379E-2</v>
      </c>
      <c r="T1563" s="50" t="str">
        <f t="shared" si="198"/>
        <v/>
      </c>
      <c r="U1563" s="50">
        <f t="shared" si="199"/>
        <v>1</v>
      </c>
    </row>
    <row r="1564" spans="1:21" x14ac:dyDescent="0.2">
      <c r="A1564" s="38">
        <v>42838</v>
      </c>
      <c r="B1564" s="4">
        <v>0.28971999999999998</v>
      </c>
      <c r="C1564" s="4">
        <v>0.336449</v>
      </c>
      <c r="D1564" s="4">
        <v>0.373832</v>
      </c>
      <c r="E1564" s="50">
        <v>1.0000009999999999</v>
      </c>
      <c r="F1564" s="50">
        <v>0.32538662499999998</v>
      </c>
      <c r="G1564" s="50">
        <v>-8.4112000000000006E-2</v>
      </c>
      <c r="H1564" s="50">
        <v>0.38294414356743001</v>
      </c>
      <c r="I1564" s="50">
        <v>0.48508011982061999</v>
      </c>
      <c r="J1564" s="50">
        <v>0.28080816731425001</v>
      </c>
      <c r="K1564" s="50">
        <v>2378.36</v>
      </c>
      <c r="L1564" s="50">
        <v>2337.25</v>
      </c>
      <c r="M1564" s="50">
        <v>2344.9299999999998</v>
      </c>
      <c r="N1564" s="66">
        <f t="shared" si="192"/>
        <v>-2.8828152652743424E-3</v>
      </c>
      <c r="O1564" s="66">
        <f t="shared" si="193"/>
        <v>2.332692233883326E-2</v>
      </c>
      <c r="P1564" s="4">
        <f t="shared" si="194"/>
        <v>-8.411200000000002E-2</v>
      </c>
      <c r="Q1564" s="4">
        <f t="shared" si="195"/>
        <v>-5.5306250000000001E-2</v>
      </c>
      <c r="R1564" s="66">
        <f t="shared" si="196"/>
        <v>-2.8828152652743424E-3</v>
      </c>
      <c r="S1564" s="66">
        <f t="shared" si="197"/>
        <v>2.332692233883326E-2</v>
      </c>
      <c r="T1564" s="50" t="str">
        <f t="shared" si="198"/>
        <v/>
      </c>
      <c r="U1564" s="50">
        <f t="shared" si="199"/>
        <v>1</v>
      </c>
    </row>
    <row r="1565" spans="1:21" x14ac:dyDescent="0.2">
      <c r="A1565" s="38">
        <v>42845</v>
      </c>
      <c r="B1565" s="4">
        <v>0.25706200000000001</v>
      </c>
      <c r="C1565" s="4">
        <v>0.35593200000000003</v>
      </c>
      <c r="D1565" s="4">
        <v>0.38700600000000002</v>
      </c>
      <c r="E1565" s="50">
        <v>1</v>
      </c>
      <c r="F1565" s="50">
        <v>0.30944250000000001</v>
      </c>
      <c r="G1565" s="50">
        <v>-0.129944</v>
      </c>
      <c r="H1565" s="50">
        <v>0.38294809937888002</v>
      </c>
      <c r="I1565" s="50">
        <v>0.48505245511195999</v>
      </c>
      <c r="J1565" s="50">
        <v>0.2808437436458</v>
      </c>
      <c r="K1565" s="50">
        <v>2355.2199999999998</v>
      </c>
      <c r="L1565" s="50">
        <v>2328.9499999999998</v>
      </c>
      <c r="M1565" s="50">
        <v>2338.17</v>
      </c>
      <c r="N1565" s="66">
        <f t="shared" si="192"/>
        <v>2.107631181650596E-2</v>
      </c>
      <c r="O1565" s="66">
        <f t="shared" si="193"/>
        <v>8.0661371927619151E-3</v>
      </c>
      <c r="P1565" s="4">
        <f t="shared" si="194"/>
        <v>-0.129944</v>
      </c>
      <c r="Q1565" s="4">
        <f t="shared" si="195"/>
        <v>-9.9728500000000012E-2</v>
      </c>
      <c r="R1565" s="66">
        <f t="shared" si="196"/>
        <v>2.107631181650596E-2</v>
      </c>
      <c r="S1565" s="66">
        <f t="shared" si="197"/>
        <v>8.0661371927619151E-3</v>
      </c>
      <c r="T1565" s="50">
        <f t="shared" si="198"/>
        <v>1</v>
      </c>
      <c r="U1565" s="50">
        <f t="shared" si="199"/>
        <v>1</v>
      </c>
    </row>
    <row r="1566" spans="1:21" x14ac:dyDescent="0.2">
      <c r="A1566" s="38">
        <v>42852</v>
      </c>
      <c r="B1566" s="4">
        <v>0.38048799999999999</v>
      </c>
      <c r="C1566" s="4">
        <v>0.30243900000000001</v>
      </c>
      <c r="D1566" s="4">
        <v>0.31707299999999999</v>
      </c>
      <c r="E1566" s="50">
        <v>1</v>
      </c>
      <c r="F1566" s="50">
        <v>0.30961787499999999</v>
      </c>
      <c r="G1566" s="50">
        <v>6.3414999999999999E-2</v>
      </c>
      <c r="H1566" s="50">
        <v>0.38298835630043998</v>
      </c>
      <c r="I1566" s="50">
        <v>0.48507378590123001</v>
      </c>
      <c r="J1566" s="50">
        <v>0.28090292669965</v>
      </c>
      <c r="K1566" s="50">
        <v>2398.16</v>
      </c>
      <c r="L1566" s="50">
        <v>2335.0500000000002</v>
      </c>
      <c r="M1566" s="50">
        <v>2387.4499999999998</v>
      </c>
      <c r="N1566" s="66">
        <f t="shared" si="192"/>
        <v>2.8482271880051564E-4</v>
      </c>
      <c r="O1566" s="66">
        <f t="shared" si="193"/>
        <v>7.0954365536451255E-3</v>
      </c>
      <c r="P1566" s="4">
        <f t="shared" si="194"/>
        <v>6.3414999999999999E-2</v>
      </c>
      <c r="Q1566" s="4">
        <f t="shared" si="195"/>
        <v>-6.5962000000000007E-2</v>
      </c>
      <c r="R1566" s="66">
        <f t="shared" si="196"/>
        <v>2.8482271880051564E-4</v>
      </c>
      <c r="S1566" s="66">
        <f t="shared" si="197"/>
        <v>7.0954365536451255E-3</v>
      </c>
      <c r="T1566" s="50">
        <f t="shared" si="198"/>
        <v>1</v>
      </c>
      <c r="U1566" s="50">
        <f t="shared" si="199"/>
        <v>1</v>
      </c>
    </row>
    <row r="1567" spans="1:21" x14ac:dyDescent="0.2">
      <c r="A1567" s="38">
        <v>42859</v>
      </c>
      <c r="B1567" s="4">
        <v>0.38071100000000002</v>
      </c>
      <c r="C1567" s="4">
        <v>0.319797</v>
      </c>
      <c r="D1567" s="4">
        <v>0.29949199999999998</v>
      </c>
      <c r="E1567" s="50">
        <v>1</v>
      </c>
      <c r="F1567" s="50">
        <v>0.31970674999999998</v>
      </c>
      <c r="G1567" s="50">
        <v>8.1219E-2</v>
      </c>
      <c r="H1567" s="50">
        <v>0.38299096091812002</v>
      </c>
      <c r="I1567" s="50">
        <v>0.48504475530934998</v>
      </c>
      <c r="J1567" s="50">
        <v>0.28093716652688</v>
      </c>
      <c r="K1567" s="50">
        <v>2398.16</v>
      </c>
      <c r="L1567" s="50">
        <v>2379.75</v>
      </c>
      <c r="M1567" s="50">
        <v>2388.13</v>
      </c>
      <c r="N1567" s="66">
        <f t="shared" si="192"/>
        <v>4.8154832442119985E-3</v>
      </c>
      <c r="O1567" s="66">
        <f t="shared" si="193"/>
        <v>9.9115207296085524E-3</v>
      </c>
      <c r="P1567" s="4">
        <f t="shared" si="194"/>
        <v>8.1219000000000041E-2</v>
      </c>
      <c r="Q1567" s="4">
        <f t="shared" si="195"/>
        <v>-1.7355499999999996E-2</v>
      </c>
      <c r="R1567" s="66">
        <f t="shared" si="196"/>
        <v>4.8154832442119985E-3</v>
      </c>
      <c r="S1567" s="66">
        <f t="shared" si="197"/>
        <v>9.9115207296085524E-3</v>
      </c>
      <c r="T1567" s="50">
        <f t="shared" si="198"/>
        <v>1</v>
      </c>
      <c r="U1567" s="50">
        <f t="shared" si="199"/>
        <v>1</v>
      </c>
    </row>
    <row r="1568" spans="1:21" x14ac:dyDescent="0.2">
      <c r="A1568" s="38">
        <v>42866</v>
      </c>
      <c r="B1568" s="4">
        <v>0.32733800000000002</v>
      </c>
      <c r="C1568" s="4">
        <v>0.370504</v>
      </c>
      <c r="D1568" s="4">
        <v>0.30215799999999998</v>
      </c>
      <c r="E1568" s="50">
        <v>1</v>
      </c>
      <c r="F1568" s="50">
        <v>0.32166299999999998</v>
      </c>
      <c r="G1568" s="50">
        <v>2.5180000000000001E-2</v>
      </c>
      <c r="H1568" s="50">
        <v>0.38292988964662</v>
      </c>
      <c r="I1568" s="50">
        <v>0.48498150429460002</v>
      </c>
      <c r="J1568" s="50">
        <v>0.28087827499863999</v>
      </c>
      <c r="K1568" s="50">
        <v>2403.87</v>
      </c>
      <c r="L1568" s="50">
        <v>2379.75</v>
      </c>
      <c r="M1568" s="50">
        <v>2399.63</v>
      </c>
      <c r="N1568" s="66">
        <f t="shared" si="192"/>
        <v>-1.7752736880269002E-2</v>
      </c>
      <c r="O1568" s="66">
        <f t="shared" si="193"/>
        <v>1.3964652883986182E-2</v>
      </c>
      <c r="P1568" s="4">
        <f t="shared" si="194"/>
        <v>2.5180000000000036E-2</v>
      </c>
      <c r="Q1568" s="4">
        <f t="shared" si="195"/>
        <v>9.967500000000018E-3</v>
      </c>
      <c r="R1568" s="66">
        <f t="shared" si="196"/>
        <v>-1.7752736880269002E-2</v>
      </c>
      <c r="S1568" s="66">
        <f t="shared" si="197"/>
        <v>1.3964652883986182E-2</v>
      </c>
      <c r="T1568" s="50" t="str">
        <f t="shared" si="198"/>
        <v/>
      </c>
      <c r="U1568" s="50">
        <f t="shared" si="199"/>
        <v>1</v>
      </c>
    </row>
    <row r="1569" spans="1:21" x14ac:dyDescent="0.2">
      <c r="A1569" s="38">
        <v>42873</v>
      </c>
      <c r="B1569" s="4">
        <v>0.23853199999999999</v>
      </c>
      <c r="C1569" s="4">
        <v>0.41896</v>
      </c>
      <c r="D1569" s="4">
        <v>0.34250799999999998</v>
      </c>
      <c r="E1569" s="50">
        <v>1</v>
      </c>
      <c r="F1569" s="50">
        <v>0.30738137500000001</v>
      </c>
      <c r="G1569" s="50">
        <v>-0.103976</v>
      </c>
      <c r="H1569" s="50">
        <v>0.38286521933085998</v>
      </c>
      <c r="I1569" s="50">
        <v>0.48491827210668997</v>
      </c>
      <c r="J1569" s="50">
        <v>0.28081216655502</v>
      </c>
      <c r="K1569" s="50">
        <v>2405.77</v>
      </c>
      <c r="L1569" s="50">
        <v>2356.21</v>
      </c>
      <c r="M1569" s="50">
        <v>2357.0300000000002</v>
      </c>
      <c r="N1569" s="66">
        <f t="shared" si="192"/>
        <v>2.009308324459157E-2</v>
      </c>
      <c r="O1569" s="66">
        <f t="shared" si="193"/>
        <v>3.4318612830553645E-2</v>
      </c>
      <c r="P1569" s="4">
        <f t="shared" si="194"/>
        <v>-0.10397599999999999</v>
      </c>
      <c r="Q1569" s="4">
        <f t="shared" si="195"/>
        <v>1.6459500000000023E-2</v>
      </c>
      <c r="R1569" s="66">
        <f t="shared" si="196"/>
        <v>2.009308324459157E-2</v>
      </c>
      <c r="S1569" s="66">
        <f t="shared" si="197"/>
        <v>3.4318612830553645E-2</v>
      </c>
      <c r="T1569" s="50">
        <f t="shared" si="198"/>
        <v>1</v>
      </c>
      <c r="U1569" s="50">
        <f t="shared" si="199"/>
        <v>1</v>
      </c>
    </row>
    <row r="1570" spans="1:21" x14ac:dyDescent="0.2">
      <c r="A1570" s="38">
        <v>42880</v>
      </c>
      <c r="B1570" s="4">
        <v>0.328571</v>
      </c>
      <c r="C1570" s="4">
        <v>0.37142900000000001</v>
      </c>
      <c r="D1570" s="4">
        <v>0.3</v>
      </c>
      <c r="E1570" s="50">
        <v>1</v>
      </c>
      <c r="F1570" s="50">
        <v>0.31068012499999997</v>
      </c>
      <c r="G1570" s="50">
        <v>2.8570999999999999E-2</v>
      </c>
      <c r="H1570" s="50">
        <v>0.38289471950464998</v>
      </c>
      <c r="I1570" s="50">
        <v>0.48492304031423</v>
      </c>
      <c r="J1570" s="50">
        <v>0.28086639869506003</v>
      </c>
      <c r="K1570" s="50">
        <v>2405.58</v>
      </c>
      <c r="L1570" s="50">
        <v>2352.7199999999998</v>
      </c>
      <c r="M1570" s="50">
        <v>2404.39</v>
      </c>
      <c r="N1570" s="66">
        <f t="shared" si="192"/>
        <v>3.0818627593694491E-3</v>
      </c>
      <c r="O1570" s="66">
        <f t="shared" si="193"/>
        <v>1.2984582368085151E-2</v>
      </c>
      <c r="P1570" s="4">
        <f t="shared" si="194"/>
        <v>2.8571000000000013E-2</v>
      </c>
      <c r="Q1570" s="4">
        <f t="shared" si="195"/>
        <v>7.7485000000000262E-3</v>
      </c>
      <c r="R1570" s="66">
        <f t="shared" si="196"/>
        <v>3.0818627593694491E-3</v>
      </c>
      <c r="S1570" s="66">
        <f t="shared" si="197"/>
        <v>1.2984582368085151E-2</v>
      </c>
      <c r="T1570" s="50">
        <f t="shared" si="198"/>
        <v>1</v>
      </c>
      <c r="U1570" s="50">
        <f t="shared" si="199"/>
        <v>1</v>
      </c>
    </row>
    <row r="1571" spans="1:21" x14ac:dyDescent="0.2">
      <c r="A1571" s="38">
        <v>42887</v>
      </c>
      <c r="B1571" s="4">
        <v>0.269231</v>
      </c>
      <c r="C1571" s="4">
        <v>0.415385</v>
      </c>
      <c r="D1571" s="4">
        <v>0.31538500000000003</v>
      </c>
      <c r="E1571" s="50">
        <v>1.0000009999999999</v>
      </c>
      <c r="F1571" s="50">
        <v>0.30895662499999998</v>
      </c>
      <c r="G1571" s="50">
        <v>-4.6154000000000001E-2</v>
      </c>
      <c r="H1571" s="50">
        <v>0.38287228032178</v>
      </c>
      <c r="I1571" s="50">
        <v>0.48487299721853999</v>
      </c>
      <c r="J1571" s="50">
        <v>0.28087156342502001</v>
      </c>
      <c r="K1571" s="50">
        <v>2418.71</v>
      </c>
      <c r="L1571" s="50">
        <v>2393.88</v>
      </c>
      <c r="M1571" s="50">
        <v>2411.8000000000002</v>
      </c>
      <c r="N1571" s="66">
        <f t="shared" si="192"/>
        <v>8.8481631976116137E-3</v>
      </c>
      <c r="O1571" s="66">
        <f t="shared" si="193"/>
        <v>1.197860519114349E-2</v>
      </c>
      <c r="P1571" s="4">
        <f t="shared" si="194"/>
        <v>-4.6154000000000028E-2</v>
      </c>
      <c r="Q1571" s="4">
        <f t="shared" si="195"/>
        <v>-2.4094749999999991E-2</v>
      </c>
      <c r="R1571" s="66">
        <f t="shared" si="196"/>
        <v>8.8481631976116137E-3</v>
      </c>
      <c r="S1571" s="66">
        <f t="shared" si="197"/>
        <v>1.197860519114349E-2</v>
      </c>
      <c r="T1571" s="50">
        <f t="shared" si="198"/>
        <v>1</v>
      </c>
      <c r="U1571" s="50">
        <f t="shared" si="199"/>
        <v>1</v>
      </c>
    </row>
    <row r="1572" spans="1:21" x14ac:dyDescent="0.2">
      <c r="A1572" s="38">
        <v>42894</v>
      </c>
      <c r="B1572" s="4">
        <v>0.35433100000000001</v>
      </c>
      <c r="C1572" s="4">
        <v>0.35039399999999998</v>
      </c>
      <c r="D1572" s="4">
        <v>0.29527599999999998</v>
      </c>
      <c r="E1572" s="50">
        <v>1.0000009999999999</v>
      </c>
      <c r="F1572" s="50">
        <v>0.31703300000000001</v>
      </c>
      <c r="G1572" s="50">
        <v>5.9055000000000003E-2</v>
      </c>
      <c r="H1572" s="50">
        <v>0.38283044032157998</v>
      </c>
      <c r="I1572" s="50">
        <v>0.4848134719253</v>
      </c>
      <c r="J1572" s="50">
        <v>0.28084740871787001</v>
      </c>
      <c r="K1572" s="50">
        <v>2440.23</v>
      </c>
      <c r="L1572" s="50">
        <v>2403.59</v>
      </c>
      <c r="M1572" s="50">
        <v>2433.14</v>
      </c>
      <c r="N1572" s="66">
        <f t="shared" si="192"/>
        <v>1.964539648355705E-3</v>
      </c>
      <c r="O1572" s="66">
        <f t="shared" si="193"/>
        <v>-2.4659493493999895E-4</v>
      </c>
      <c r="P1572" s="4">
        <f t="shared" si="194"/>
        <v>5.9055000000000024E-2</v>
      </c>
      <c r="Q1572" s="4">
        <f t="shared" si="195"/>
        <v>-1.5625999999999994E-2</v>
      </c>
      <c r="R1572" s="66">
        <f t="shared" si="196"/>
        <v>1.964539648355705E-3</v>
      </c>
      <c r="S1572" s="66">
        <f t="shared" si="197"/>
        <v>-2.4659493493999895E-4</v>
      </c>
      <c r="T1572" s="50">
        <f t="shared" si="198"/>
        <v>1</v>
      </c>
      <c r="U1572" s="50" t="str">
        <f t="shared" si="199"/>
        <v/>
      </c>
    </row>
    <row r="1573" spans="1:21" x14ac:dyDescent="0.2">
      <c r="A1573" s="38">
        <v>42901</v>
      </c>
      <c r="B1573" s="4">
        <v>0.32270900000000002</v>
      </c>
      <c r="C1573" s="4">
        <v>0.38246999999999998</v>
      </c>
      <c r="D1573" s="4">
        <v>0.294821</v>
      </c>
      <c r="E1573" s="50">
        <v>1</v>
      </c>
      <c r="F1573" s="50">
        <v>0.32523887499999998</v>
      </c>
      <c r="G1573" s="50">
        <v>2.7888E-2</v>
      </c>
      <c r="H1573" s="50">
        <v>0.38277374969097999</v>
      </c>
      <c r="I1573" s="50">
        <v>0.48475074077913999</v>
      </c>
      <c r="J1573" s="50">
        <v>0.28079675860282</v>
      </c>
      <c r="K1573" s="50">
        <v>2446.1999999999998</v>
      </c>
      <c r="L1573" s="50">
        <v>2415.6999999999998</v>
      </c>
      <c r="M1573" s="50">
        <v>2437.92</v>
      </c>
      <c r="N1573" s="66">
        <f t="shared" si="192"/>
        <v>-9.4752904114981024E-4</v>
      </c>
      <c r="O1573" s="66">
        <f t="shared" si="193"/>
        <v>2.1862899520902765E-3</v>
      </c>
      <c r="P1573" s="4">
        <f t="shared" si="194"/>
        <v>2.7888000000000024E-2</v>
      </c>
      <c r="Q1573" s="4">
        <f t="shared" si="195"/>
        <v>1.7340000000000008E-2</v>
      </c>
      <c r="R1573" s="66">
        <f t="shared" si="196"/>
        <v>-9.4752904114981024E-4</v>
      </c>
      <c r="S1573" s="66">
        <f t="shared" si="197"/>
        <v>2.1862899520902765E-3</v>
      </c>
      <c r="T1573" s="50" t="str">
        <f t="shared" si="198"/>
        <v/>
      </c>
      <c r="U1573" s="50">
        <f t="shared" si="199"/>
        <v>1</v>
      </c>
    </row>
    <row r="1574" spans="1:21" x14ac:dyDescent="0.2">
      <c r="A1574" s="38">
        <v>42908</v>
      </c>
      <c r="B1574" s="4">
        <v>0.32653100000000002</v>
      </c>
      <c r="C1574" s="4">
        <v>0.38435399999999997</v>
      </c>
      <c r="D1574" s="4">
        <v>0.28911599999999998</v>
      </c>
      <c r="E1574" s="50">
        <v>1.0000009999999999</v>
      </c>
      <c r="F1574" s="50">
        <v>0.31849424999999998</v>
      </c>
      <c r="G1574" s="50">
        <v>3.7414999999999997E-2</v>
      </c>
      <c r="H1574" s="50">
        <v>0.38276192896849998</v>
      </c>
      <c r="I1574" s="50">
        <v>0.48470851141931998</v>
      </c>
      <c r="J1574" s="50">
        <v>0.28081534651767998</v>
      </c>
      <c r="K1574" s="50">
        <v>2453.8200000000002</v>
      </c>
      <c r="L1574" s="50">
        <v>2418.5300000000002</v>
      </c>
      <c r="M1574" s="50">
        <v>2435.61</v>
      </c>
      <c r="N1574" s="66">
        <f t="shared" si="192"/>
        <v>2.0857197991467958E-3</v>
      </c>
      <c r="O1574" s="66">
        <f t="shared" si="193"/>
        <v>1.56921674652345E-2</v>
      </c>
      <c r="P1574" s="4">
        <f t="shared" si="194"/>
        <v>3.7415000000000032E-2</v>
      </c>
      <c r="Q1574" s="4">
        <f t="shared" si="195"/>
        <v>1.9551000000000013E-2</v>
      </c>
      <c r="R1574" s="66">
        <f t="shared" si="196"/>
        <v>2.0857197991467958E-3</v>
      </c>
      <c r="S1574" s="66">
        <f t="shared" si="197"/>
        <v>1.56921674652345E-2</v>
      </c>
      <c r="T1574" s="50">
        <f t="shared" si="198"/>
        <v>1</v>
      </c>
      <c r="U1574" s="50">
        <f t="shared" si="199"/>
        <v>1</v>
      </c>
    </row>
    <row r="1575" spans="1:21" x14ac:dyDescent="0.2">
      <c r="A1575" s="38">
        <v>42915</v>
      </c>
      <c r="B1575" s="4">
        <v>0.29714299999999999</v>
      </c>
      <c r="C1575" s="4">
        <v>0.43428600000000001</v>
      </c>
      <c r="D1575" s="4">
        <v>0.268571</v>
      </c>
      <c r="E1575" s="50">
        <v>1</v>
      </c>
      <c r="F1575" s="50">
        <v>0.30804825000000002</v>
      </c>
      <c r="G1575" s="50">
        <v>2.8572E-2</v>
      </c>
      <c r="H1575" s="50">
        <v>0.38274892901235003</v>
      </c>
      <c r="I1575" s="50">
        <v>0.48466536532954002</v>
      </c>
      <c r="J1575" s="50">
        <v>0.28083249269514998</v>
      </c>
      <c r="K1575" s="50">
        <v>2450.42</v>
      </c>
      <c r="L1575" s="50">
        <v>2419.38</v>
      </c>
      <c r="M1575" s="50">
        <v>2440.69</v>
      </c>
      <c r="N1575" s="66">
        <f t="shared" si="192"/>
        <v>-3.3392196469031669E-3</v>
      </c>
      <c r="O1575" s="66">
        <f t="shared" si="193"/>
        <v>1.5217008305028444E-2</v>
      </c>
      <c r="P1575" s="4">
        <f t="shared" si="194"/>
        <v>2.8571999999999986E-2</v>
      </c>
      <c r="Q1575" s="4">
        <f t="shared" si="195"/>
        <v>3.8232500000000016E-2</v>
      </c>
      <c r="R1575" s="66">
        <f t="shared" si="196"/>
        <v>-3.3392196469031669E-3</v>
      </c>
      <c r="S1575" s="66">
        <f t="shared" si="197"/>
        <v>1.5217008305028444E-2</v>
      </c>
      <c r="T1575" s="50" t="str">
        <f t="shared" si="198"/>
        <v/>
      </c>
      <c r="U1575" s="50">
        <f t="shared" si="199"/>
        <v>1</v>
      </c>
    </row>
    <row r="1576" spans="1:21" x14ac:dyDescent="0.2">
      <c r="A1576" s="38">
        <v>42922</v>
      </c>
      <c r="B1576" s="4">
        <v>0.29577500000000001</v>
      </c>
      <c r="C1576" s="4">
        <v>0.40563399999999999</v>
      </c>
      <c r="D1576" s="4">
        <v>0.29859200000000002</v>
      </c>
      <c r="E1576" s="50">
        <v>1.0000009999999999</v>
      </c>
      <c r="F1576" s="50">
        <v>0.30410287499999999</v>
      </c>
      <c r="G1576" s="50">
        <v>-2.8170000000000001E-3</v>
      </c>
      <c r="H1576" s="50">
        <v>0.38275008019741003</v>
      </c>
      <c r="I1576" s="50">
        <v>0.48463506651086002</v>
      </c>
      <c r="J1576" s="50">
        <v>0.28086509388396003</v>
      </c>
      <c r="K1576" s="50">
        <v>2442.9699999999998</v>
      </c>
      <c r="L1576" s="50">
        <v>2405.6999999999998</v>
      </c>
      <c r="M1576" s="50">
        <v>2432.54</v>
      </c>
      <c r="N1576" s="66">
        <f t="shared" si="192"/>
        <v>4.4028052981657188E-3</v>
      </c>
      <c r="O1576" s="66">
        <f t="shared" si="193"/>
        <v>1.8511514713016108E-2</v>
      </c>
      <c r="P1576" s="4">
        <f t="shared" si="194"/>
        <v>-2.8170000000000139E-3</v>
      </c>
      <c r="Q1576" s="4">
        <f t="shared" si="195"/>
        <v>2.2764500000000007E-2</v>
      </c>
      <c r="R1576" s="66">
        <f t="shared" si="196"/>
        <v>4.4028052981657188E-3</v>
      </c>
      <c r="S1576" s="66">
        <f t="shared" si="197"/>
        <v>1.8511514713016108E-2</v>
      </c>
      <c r="T1576" s="50">
        <f t="shared" si="198"/>
        <v>1</v>
      </c>
      <c r="U1576" s="50">
        <f t="shared" si="199"/>
        <v>1</v>
      </c>
    </row>
    <row r="1577" spans="1:21" x14ac:dyDescent="0.2">
      <c r="A1577" s="38">
        <v>42929</v>
      </c>
      <c r="B1577" s="4">
        <v>0.28240700000000002</v>
      </c>
      <c r="C1577" s="4">
        <v>0.421296</v>
      </c>
      <c r="D1577" s="4">
        <v>0.296296</v>
      </c>
      <c r="E1577" s="50">
        <v>0.99999899999999997</v>
      </c>
      <c r="F1577" s="50">
        <v>0.30958724999999998</v>
      </c>
      <c r="G1577" s="50">
        <v>-1.3889E-2</v>
      </c>
      <c r="H1577" s="50">
        <v>0.38278226818742001</v>
      </c>
      <c r="I1577" s="50">
        <v>0.48464407232449003</v>
      </c>
      <c r="J1577" s="50">
        <v>0.28092046405035997</v>
      </c>
      <c r="K1577" s="50">
        <v>2445.7600000000002</v>
      </c>
      <c r="L1577" s="50">
        <v>2407.6999999999998</v>
      </c>
      <c r="M1577" s="50">
        <v>2443.25</v>
      </c>
      <c r="N1577" s="66">
        <f t="shared" si="192"/>
        <v>1.2516115829325663E-2</v>
      </c>
      <c r="O1577" s="66">
        <f t="shared" si="193"/>
        <v>1.2593881100992523E-2</v>
      </c>
      <c r="P1577" s="4">
        <f t="shared" si="194"/>
        <v>-1.3888999999999985E-2</v>
      </c>
      <c r="Q1577" s="4">
        <f t="shared" si="195"/>
        <v>1.2320250000000005E-2</v>
      </c>
      <c r="R1577" s="66">
        <f t="shared" si="196"/>
        <v>1.2516115829325663E-2</v>
      </c>
      <c r="S1577" s="66">
        <f t="shared" si="197"/>
        <v>1.2593881100992523E-2</v>
      </c>
      <c r="T1577" s="50">
        <f t="shared" si="198"/>
        <v>1</v>
      </c>
      <c r="U1577" s="50">
        <f t="shared" si="199"/>
        <v>1</v>
      </c>
    </row>
    <row r="1578" spans="1:21" x14ac:dyDescent="0.2">
      <c r="A1578" s="38">
        <v>42936</v>
      </c>
      <c r="B1578" s="4">
        <v>0.35483900000000002</v>
      </c>
      <c r="C1578" s="4">
        <v>0.38709700000000002</v>
      </c>
      <c r="D1578" s="4">
        <v>0.25806499999999999</v>
      </c>
      <c r="E1578" s="50">
        <v>1.0000009999999999</v>
      </c>
      <c r="F1578" s="50">
        <v>0.31287074999999998</v>
      </c>
      <c r="G1578" s="50">
        <v>9.6773999999999999E-2</v>
      </c>
      <c r="H1578" s="50">
        <v>0.38280656869994001</v>
      </c>
      <c r="I1578" s="50">
        <v>0.48464167371601002</v>
      </c>
      <c r="J1578" s="50">
        <v>0.28097146368386999</v>
      </c>
      <c r="K1578" s="50">
        <v>2473.83</v>
      </c>
      <c r="L1578" s="50">
        <v>2435.75</v>
      </c>
      <c r="M1578" s="50">
        <v>2473.83</v>
      </c>
      <c r="N1578" s="66">
        <f t="shared" si="192"/>
        <v>1.6169259811708971E-3</v>
      </c>
      <c r="O1578" s="66">
        <f t="shared" si="193"/>
        <v>-2.3122041530743019E-3</v>
      </c>
      <c r="P1578" s="4">
        <f t="shared" si="194"/>
        <v>9.6774000000000027E-2</v>
      </c>
      <c r="Q1578" s="4">
        <f t="shared" si="195"/>
        <v>2.7160000000000004E-2</v>
      </c>
      <c r="R1578" s="66">
        <f t="shared" si="196"/>
        <v>1.6169259811708971E-3</v>
      </c>
      <c r="S1578" s="66">
        <f t="shared" si="197"/>
        <v>-2.3122041530743019E-3</v>
      </c>
      <c r="T1578" s="50">
        <f t="shared" si="198"/>
        <v>1</v>
      </c>
      <c r="U1578" s="50" t="str">
        <f t="shared" si="199"/>
        <v/>
      </c>
    </row>
    <row r="1579" spans="1:21" x14ac:dyDescent="0.2">
      <c r="A1579" s="38">
        <v>42943</v>
      </c>
      <c r="B1579" s="4">
        <v>0.34459499999999998</v>
      </c>
      <c r="C1579" s="4">
        <v>0.41216199999999997</v>
      </c>
      <c r="D1579" s="4">
        <v>0.24324299999999999</v>
      </c>
      <c r="E1579" s="50">
        <v>1</v>
      </c>
      <c r="F1579" s="50">
        <v>0.32229124999999997</v>
      </c>
      <c r="G1579" s="50">
        <v>0.101352</v>
      </c>
      <c r="H1579" s="50">
        <v>0.38276844642857</v>
      </c>
      <c r="I1579" s="50">
        <v>0.48458376523350999</v>
      </c>
      <c r="J1579" s="50">
        <v>0.28095312762363001</v>
      </c>
      <c r="K1579" s="50">
        <v>2481.69</v>
      </c>
      <c r="L1579" s="50">
        <v>2463.85</v>
      </c>
      <c r="M1579" s="50">
        <v>2477.83</v>
      </c>
      <c r="N1579" s="66">
        <f t="shared" si="192"/>
        <v>-1.0493052388572401E-4</v>
      </c>
      <c r="O1579" s="66">
        <f t="shared" si="193"/>
        <v>-1.363693231577629E-2</v>
      </c>
      <c r="P1579" s="4">
        <f t="shared" si="194"/>
        <v>0.101352</v>
      </c>
      <c r="Q1579" s="4">
        <f t="shared" si="195"/>
        <v>4.5355000000000006E-2</v>
      </c>
      <c r="R1579" s="66">
        <f t="shared" si="196"/>
        <v>-1.0493052388572401E-4</v>
      </c>
      <c r="S1579" s="66">
        <f t="shared" si="197"/>
        <v>-1.363693231577629E-2</v>
      </c>
      <c r="T1579" s="50" t="str">
        <f t="shared" si="198"/>
        <v/>
      </c>
      <c r="U1579" s="50" t="str">
        <f t="shared" si="199"/>
        <v/>
      </c>
    </row>
    <row r="1580" spans="1:21" x14ac:dyDescent="0.2">
      <c r="A1580" s="38">
        <v>42950</v>
      </c>
      <c r="B1580" s="4">
        <v>0.36111100000000002</v>
      </c>
      <c r="C1580" s="4">
        <v>0.31790099999999999</v>
      </c>
      <c r="D1580" s="4">
        <v>0.320988</v>
      </c>
      <c r="E1580" s="50">
        <v>1</v>
      </c>
      <c r="F1580" s="50">
        <v>0.32313874999999997</v>
      </c>
      <c r="G1580" s="50">
        <v>4.0122999999999999E-2</v>
      </c>
      <c r="H1580" s="50">
        <v>0.38276844642857</v>
      </c>
      <c r="I1580" s="50">
        <v>0.48458376523350999</v>
      </c>
      <c r="J1580" s="50">
        <v>0.28095312762363001</v>
      </c>
      <c r="K1580" s="50">
        <v>2484.04</v>
      </c>
      <c r="L1580" s="50">
        <v>2470.3000000000002</v>
      </c>
      <c r="M1580" s="50">
        <v>2477.5700000000002</v>
      </c>
      <c r="N1580" s="66">
        <f t="shared" si="192"/>
        <v>-1.4328555802662212E-3</v>
      </c>
      <c r="O1580" s="66">
        <f t="shared" si="193"/>
        <v>-8.0643533785120167E-3</v>
      </c>
      <c r="P1580" s="4">
        <f t="shared" si="194"/>
        <v>4.012300000000002E-2</v>
      </c>
      <c r="Q1580" s="4">
        <f t="shared" si="195"/>
        <v>5.6090000000000015E-2</v>
      </c>
      <c r="R1580" s="66">
        <f t="shared" si="196"/>
        <v>-1.4328555802662212E-3</v>
      </c>
      <c r="S1580" s="66">
        <f t="shared" si="197"/>
        <v>-8.0643533785120167E-3</v>
      </c>
      <c r="T1580" s="50" t="str">
        <f t="shared" si="198"/>
        <v/>
      </c>
      <c r="U1580" s="50" t="str">
        <f t="shared" si="199"/>
        <v/>
      </c>
    </row>
    <row r="1581" spans="1:21" x14ac:dyDescent="0.2">
      <c r="A1581" s="38">
        <v>42957</v>
      </c>
      <c r="B1581" s="4">
        <v>0.33666699999999999</v>
      </c>
      <c r="C1581" s="4">
        <v>0.34</v>
      </c>
      <c r="D1581" s="4">
        <v>0.32333299999999998</v>
      </c>
      <c r="E1581" s="50">
        <v>1</v>
      </c>
      <c r="F1581" s="50">
        <v>0.32488349999999999</v>
      </c>
      <c r="G1581" s="50">
        <v>1.3334E-2</v>
      </c>
      <c r="H1581" s="50">
        <v>0.38271745694956999</v>
      </c>
      <c r="I1581" s="50">
        <v>0.48448311980663</v>
      </c>
      <c r="J1581" s="50">
        <v>0.28095179409250998</v>
      </c>
      <c r="K1581" s="50">
        <v>2490.87</v>
      </c>
      <c r="L1581" s="50">
        <v>2462.08</v>
      </c>
      <c r="M1581" s="50">
        <v>2474.02</v>
      </c>
      <c r="N1581" s="66">
        <f t="shared" si="192"/>
        <v>-2.3888246659282686E-3</v>
      </c>
      <c r="O1581" s="66">
        <f t="shared" si="193"/>
        <v>-3.4276198252237325E-3</v>
      </c>
      <c r="P1581" s="4">
        <f t="shared" si="194"/>
        <v>1.3334000000000013E-2</v>
      </c>
      <c r="Q1581" s="4">
        <f t="shared" si="195"/>
        <v>6.2895750000000014E-2</v>
      </c>
      <c r="R1581" s="66">
        <f t="shared" si="196"/>
        <v>-2.3888246659282686E-3</v>
      </c>
      <c r="S1581" s="66">
        <f t="shared" si="197"/>
        <v>-3.4276198252237325E-3</v>
      </c>
      <c r="T1581" s="50" t="str">
        <f t="shared" si="198"/>
        <v/>
      </c>
      <c r="U1581" s="50" t="str">
        <f t="shared" si="199"/>
        <v/>
      </c>
    </row>
    <row r="1582" spans="1:21" x14ac:dyDescent="0.2">
      <c r="A1582" s="38">
        <v>42964</v>
      </c>
      <c r="B1582" s="4">
        <v>0.34174300000000002</v>
      </c>
      <c r="C1582" s="4">
        <v>0.33027499999999999</v>
      </c>
      <c r="D1582" s="4">
        <v>0.327982</v>
      </c>
      <c r="E1582" s="50">
        <v>1</v>
      </c>
      <c r="F1582" s="50">
        <v>0.32678499999999999</v>
      </c>
      <c r="G1582" s="50">
        <v>1.3761000000000001E-2</v>
      </c>
      <c r="H1582" s="50">
        <v>0.38276288014750998</v>
      </c>
      <c r="I1582" s="50">
        <v>0.48451374213145998</v>
      </c>
      <c r="J1582" s="50">
        <v>0.28101201816357002</v>
      </c>
      <c r="K1582" s="50">
        <v>2474.9299999999998</v>
      </c>
      <c r="L1582" s="50">
        <v>2437.75</v>
      </c>
      <c r="M1582" s="50">
        <v>2468.11</v>
      </c>
      <c r="N1582" s="66">
        <f t="shared" si="192"/>
        <v>-9.7524016352594344E-3</v>
      </c>
      <c r="O1582" s="66">
        <f t="shared" si="193"/>
        <v>1.2260393580512927E-2</v>
      </c>
      <c r="P1582" s="4">
        <f t="shared" si="194"/>
        <v>1.3761000000000023E-2</v>
      </c>
      <c r="Q1582" s="4">
        <f t="shared" si="195"/>
        <v>4.2142500000000013E-2</v>
      </c>
      <c r="R1582" s="66">
        <f t="shared" si="196"/>
        <v>-9.7524016352594344E-3</v>
      </c>
      <c r="S1582" s="66">
        <f t="shared" si="197"/>
        <v>1.2260393580512927E-2</v>
      </c>
      <c r="T1582" s="50" t="str">
        <f t="shared" si="198"/>
        <v/>
      </c>
      <c r="U1582" s="50">
        <f t="shared" si="199"/>
        <v>1</v>
      </c>
    </row>
    <row r="1583" spans="1:21" x14ac:dyDescent="0.2">
      <c r="A1583" s="38">
        <v>42971</v>
      </c>
      <c r="B1583" s="4">
        <v>0.28099200000000002</v>
      </c>
      <c r="C1583" s="4">
        <v>0.336088</v>
      </c>
      <c r="D1583" s="4">
        <v>0.38291999999999998</v>
      </c>
      <c r="E1583" s="50">
        <v>1</v>
      </c>
      <c r="F1583" s="50">
        <v>0.32476612500000002</v>
      </c>
      <c r="G1583" s="50">
        <v>-0.101928</v>
      </c>
      <c r="H1583" s="50">
        <v>0.38271576597051998</v>
      </c>
      <c r="I1583" s="50">
        <v>0.48445311540015001</v>
      </c>
      <c r="J1583" s="50">
        <v>0.28097841654088002</v>
      </c>
      <c r="K1583" s="50">
        <v>2474.9299999999998</v>
      </c>
      <c r="L1583" s="50">
        <v>2417.35</v>
      </c>
      <c r="M1583" s="50">
        <v>2444.04</v>
      </c>
      <c r="N1583" s="66">
        <f t="shared" si="192"/>
        <v>5.5440991145808503E-3</v>
      </c>
      <c r="O1583" s="66">
        <f t="shared" si="193"/>
        <v>2.6267982520744266E-2</v>
      </c>
      <c r="P1583" s="4">
        <f t="shared" si="194"/>
        <v>-0.10192799999999996</v>
      </c>
      <c r="Q1583" s="4">
        <f t="shared" si="195"/>
        <v>-8.6774999999999769E-3</v>
      </c>
      <c r="R1583" s="66">
        <f t="shared" si="196"/>
        <v>5.5440991145808503E-3</v>
      </c>
      <c r="S1583" s="66">
        <f t="shared" si="197"/>
        <v>2.6267982520744266E-2</v>
      </c>
      <c r="T1583" s="50">
        <f t="shared" si="198"/>
        <v>1</v>
      </c>
      <c r="U1583" s="50">
        <f t="shared" si="199"/>
        <v>1</v>
      </c>
    </row>
    <row r="1584" spans="1:21" x14ac:dyDescent="0.2">
      <c r="A1584" s="38">
        <v>42978</v>
      </c>
      <c r="B1584" s="4">
        <v>0.25</v>
      </c>
      <c r="C1584" s="4">
        <v>0.35106399999999999</v>
      </c>
      <c r="D1584" s="4">
        <v>0.39893600000000001</v>
      </c>
      <c r="E1584" s="50">
        <v>1</v>
      </c>
      <c r="F1584" s="50">
        <v>0.31904424999999997</v>
      </c>
      <c r="G1584" s="50">
        <v>-0.14893600000000001</v>
      </c>
      <c r="H1584" s="50">
        <v>0.38268914487416</v>
      </c>
      <c r="I1584" s="50">
        <v>0.48440091862441997</v>
      </c>
      <c r="J1584" s="50">
        <v>0.28097737112388999</v>
      </c>
      <c r="K1584" s="50">
        <v>2460.31</v>
      </c>
      <c r="L1584" s="50">
        <v>2428.1999999999998</v>
      </c>
      <c r="M1584" s="50">
        <v>2457.59</v>
      </c>
      <c r="N1584" s="66">
        <f t="shared" si="192"/>
        <v>3.2348764439958729E-3</v>
      </c>
      <c r="O1584" s="66">
        <f t="shared" si="193"/>
        <v>2.0121338384352074E-2</v>
      </c>
      <c r="P1584" s="4">
        <f t="shared" si="194"/>
        <v>-0.14893600000000001</v>
      </c>
      <c r="Q1584" s="4">
        <f t="shared" si="195"/>
        <v>-5.5942249999999985E-2</v>
      </c>
      <c r="R1584" s="66">
        <f t="shared" si="196"/>
        <v>3.2348764439958729E-3</v>
      </c>
      <c r="S1584" s="66">
        <f t="shared" si="197"/>
        <v>2.0121338384352074E-2</v>
      </c>
      <c r="T1584" s="50">
        <f t="shared" si="198"/>
        <v>1</v>
      </c>
      <c r="U1584" s="50">
        <f t="shared" si="199"/>
        <v>1</v>
      </c>
    </row>
    <row r="1585" spans="1:21" x14ac:dyDescent="0.2">
      <c r="A1585" s="38">
        <v>42985</v>
      </c>
      <c r="B1585" s="4">
        <v>0.29277599999999998</v>
      </c>
      <c r="C1585" s="4">
        <v>0.34981000000000001</v>
      </c>
      <c r="D1585" s="4">
        <v>0.35741400000000001</v>
      </c>
      <c r="E1585" s="50">
        <v>1</v>
      </c>
      <c r="F1585" s="50">
        <v>0.32034037500000001</v>
      </c>
      <c r="G1585" s="50">
        <v>-6.4638000000000001E-2</v>
      </c>
      <c r="H1585" s="50">
        <v>0.38262595705522001</v>
      </c>
      <c r="I1585" s="50">
        <v>0.48433850458246003</v>
      </c>
      <c r="J1585" s="50">
        <v>0.28091340952797</v>
      </c>
      <c r="K1585" s="50">
        <v>2480.38</v>
      </c>
      <c r="L1585" s="50">
        <v>2428.1999999999998</v>
      </c>
      <c r="M1585" s="50">
        <v>2465.54</v>
      </c>
      <c r="N1585" s="66">
        <f t="shared" si="192"/>
        <v>1.3315541422974248E-2</v>
      </c>
      <c r="O1585" s="66">
        <f t="shared" si="193"/>
        <v>2.9283645773339643E-2</v>
      </c>
      <c r="P1585" s="4">
        <f t="shared" si="194"/>
        <v>-6.4638000000000029E-2</v>
      </c>
      <c r="Q1585" s="4">
        <f t="shared" si="195"/>
        <v>-7.5435249999999995E-2</v>
      </c>
      <c r="R1585" s="66">
        <f t="shared" si="196"/>
        <v>1.3315541422974248E-2</v>
      </c>
      <c r="S1585" s="66">
        <f t="shared" si="197"/>
        <v>2.9283645773339643E-2</v>
      </c>
      <c r="T1585" s="50">
        <f t="shared" si="198"/>
        <v>1</v>
      </c>
      <c r="U1585" s="50">
        <f t="shared" si="199"/>
        <v>1</v>
      </c>
    </row>
    <row r="1586" spans="1:21" x14ac:dyDescent="0.2">
      <c r="A1586" s="38">
        <v>42992</v>
      </c>
      <c r="B1586" s="4">
        <v>0.412879</v>
      </c>
      <c r="C1586" s="4">
        <v>0.36742399999999997</v>
      </c>
      <c r="D1586" s="4">
        <v>0.219697</v>
      </c>
      <c r="E1586" s="50">
        <v>1</v>
      </c>
      <c r="F1586" s="50">
        <v>0.32759537500000002</v>
      </c>
      <c r="G1586" s="50">
        <v>0.19318199999999999</v>
      </c>
      <c r="H1586" s="50">
        <v>0.38262392397301997</v>
      </c>
      <c r="I1586" s="50">
        <v>0.48430529969622998</v>
      </c>
      <c r="J1586" s="50">
        <v>0.28094254824982001</v>
      </c>
      <c r="K1586" s="50">
        <v>2498.37</v>
      </c>
      <c r="L1586" s="50">
        <v>2459.1999999999998</v>
      </c>
      <c r="M1586" s="50">
        <v>2498.37</v>
      </c>
      <c r="N1586" s="66">
        <f t="shared" si="192"/>
        <v>3.9505757754055206E-3</v>
      </c>
      <c r="O1586" s="66">
        <f t="shared" si="193"/>
        <v>2.2762841372574876E-2</v>
      </c>
      <c r="P1586" s="4">
        <f t="shared" si="194"/>
        <v>0.19318199999999999</v>
      </c>
      <c r="Q1586" s="4">
        <f t="shared" si="195"/>
        <v>-3.0580000000000003E-2</v>
      </c>
      <c r="R1586" s="66">
        <f t="shared" si="196"/>
        <v>3.9505757754055206E-3</v>
      </c>
      <c r="S1586" s="66">
        <f t="shared" si="197"/>
        <v>2.2762841372574876E-2</v>
      </c>
      <c r="T1586" s="50">
        <f t="shared" si="198"/>
        <v>1</v>
      </c>
      <c r="U1586" s="50">
        <f t="shared" si="199"/>
        <v>1</v>
      </c>
    </row>
    <row r="1587" spans="1:21" x14ac:dyDescent="0.2">
      <c r="A1587" s="38">
        <v>42999</v>
      </c>
      <c r="B1587" s="4">
        <v>0.40136100000000002</v>
      </c>
      <c r="C1587" s="4">
        <v>0.32653100000000002</v>
      </c>
      <c r="D1587" s="4">
        <v>0.27210899999999999</v>
      </c>
      <c r="E1587" s="50">
        <v>1.0000009999999999</v>
      </c>
      <c r="F1587" s="50">
        <v>0.33469112499999998</v>
      </c>
      <c r="G1587" s="50">
        <v>0.12925200000000001</v>
      </c>
      <c r="H1587" s="50">
        <v>0.38264244117647001</v>
      </c>
      <c r="I1587" s="50">
        <v>0.48429539313470998</v>
      </c>
      <c r="J1587" s="50">
        <v>0.28098948921823003</v>
      </c>
      <c r="K1587" s="50">
        <v>2508.85</v>
      </c>
      <c r="L1587" s="50">
        <v>2491.35</v>
      </c>
      <c r="M1587" s="50">
        <v>2508.2399999999998</v>
      </c>
      <c r="N1587" s="66">
        <f t="shared" si="192"/>
        <v>-4.7842311740496055E-4</v>
      </c>
      <c r="O1587" s="66">
        <f t="shared" si="193"/>
        <v>2.1138328070679217E-2</v>
      </c>
      <c r="P1587" s="4">
        <f t="shared" si="194"/>
        <v>0.12925200000000003</v>
      </c>
      <c r="Q1587" s="4">
        <f t="shared" si="195"/>
        <v>2.7214999999999996E-2</v>
      </c>
      <c r="R1587" s="66">
        <f t="shared" si="196"/>
        <v>-4.7842311740496055E-4</v>
      </c>
      <c r="S1587" s="66">
        <f t="shared" si="197"/>
        <v>2.1138328070679217E-2</v>
      </c>
      <c r="T1587" s="50" t="str">
        <f t="shared" si="198"/>
        <v/>
      </c>
      <c r="U1587" s="50">
        <f t="shared" si="199"/>
        <v>1</v>
      </c>
    </row>
    <row r="1588" spans="1:21" x14ac:dyDescent="0.2">
      <c r="A1588" s="38">
        <v>43006</v>
      </c>
      <c r="B1588" s="4">
        <v>0.33333299999999999</v>
      </c>
      <c r="C1588" s="4">
        <v>0.37930999999999998</v>
      </c>
      <c r="D1588" s="4">
        <v>0.287356</v>
      </c>
      <c r="E1588" s="50">
        <v>0.99999899999999997</v>
      </c>
      <c r="F1588" s="50">
        <v>0.33121887500000002</v>
      </c>
      <c r="G1588" s="50">
        <v>4.5976999999999997E-2</v>
      </c>
      <c r="H1588" s="50">
        <v>0.38262298897733998</v>
      </c>
      <c r="I1588" s="50">
        <v>0.48424783267569999</v>
      </c>
      <c r="J1588" s="50">
        <v>0.28099814527897998</v>
      </c>
      <c r="K1588" s="50">
        <v>2511.75</v>
      </c>
      <c r="L1588" s="50">
        <v>2488.0300000000002</v>
      </c>
      <c r="M1588" s="50">
        <v>2507.04</v>
      </c>
      <c r="N1588" s="66">
        <f t="shared" si="192"/>
        <v>1.2245516625183412E-2</v>
      </c>
      <c r="O1588" s="66">
        <f t="shared" si="193"/>
        <v>1.9987714595698564E-2</v>
      </c>
      <c r="P1588" s="4">
        <f t="shared" si="194"/>
        <v>4.597699999999999E-2</v>
      </c>
      <c r="Q1588" s="4">
        <f t="shared" si="195"/>
        <v>7.5943250000000004E-2</v>
      </c>
      <c r="R1588" s="66">
        <f t="shared" si="196"/>
        <v>1.2245516625183412E-2</v>
      </c>
      <c r="S1588" s="66">
        <f t="shared" si="197"/>
        <v>1.9987714595698564E-2</v>
      </c>
      <c r="T1588" s="50">
        <f t="shared" si="198"/>
        <v>1</v>
      </c>
      <c r="U1588" s="50">
        <f t="shared" si="199"/>
        <v>1</v>
      </c>
    </row>
    <row r="1589" spans="1:21" x14ac:dyDescent="0.2">
      <c r="A1589" s="38">
        <v>43013</v>
      </c>
      <c r="B1589" s="4">
        <v>0.35599999999999998</v>
      </c>
      <c r="C1589" s="4">
        <v>0.316</v>
      </c>
      <c r="D1589" s="4">
        <v>0.32800000000000001</v>
      </c>
      <c r="E1589" s="50">
        <v>1</v>
      </c>
      <c r="F1589" s="50">
        <v>0.33363549999999997</v>
      </c>
      <c r="G1589" s="50">
        <v>2.8000000000000001E-2</v>
      </c>
      <c r="H1589" s="50">
        <v>0.38254336964503999</v>
      </c>
      <c r="I1589" s="50">
        <v>0.48418805890731997</v>
      </c>
      <c r="J1589" s="50">
        <v>0.28089868038276999</v>
      </c>
      <c r="K1589" s="50">
        <v>2540.5300000000002</v>
      </c>
      <c r="L1589" s="50">
        <v>2495.91</v>
      </c>
      <c r="M1589" s="50">
        <v>2537.7399999999998</v>
      </c>
      <c r="N1589" s="66">
        <f t="shared" si="192"/>
        <v>6.895899501130928E-3</v>
      </c>
      <c r="O1589" s="66">
        <f t="shared" si="193"/>
        <v>1.6400419270689807E-2</v>
      </c>
      <c r="P1589" s="4">
        <f t="shared" si="194"/>
        <v>2.7999999999999969E-2</v>
      </c>
      <c r="Q1589" s="4">
        <f t="shared" si="195"/>
        <v>9.9102749999999989E-2</v>
      </c>
      <c r="R1589" s="66">
        <f t="shared" si="196"/>
        <v>6.895899501130928E-3</v>
      </c>
      <c r="S1589" s="66">
        <f t="shared" si="197"/>
        <v>1.6400419270689807E-2</v>
      </c>
      <c r="T1589" s="50">
        <f t="shared" si="198"/>
        <v>1</v>
      </c>
      <c r="U1589" s="50">
        <f t="shared" si="199"/>
        <v>1</v>
      </c>
    </row>
    <row r="1590" spans="1:21" x14ac:dyDescent="0.2">
      <c r="A1590" s="38">
        <v>43020</v>
      </c>
      <c r="B1590" s="4">
        <v>0.39766099999999999</v>
      </c>
      <c r="C1590" s="4">
        <v>0.33333299999999999</v>
      </c>
      <c r="D1590" s="4">
        <v>0.26900600000000002</v>
      </c>
      <c r="E1590" s="50">
        <v>1</v>
      </c>
      <c r="F1590" s="50">
        <v>0.34062524999999999</v>
      </c>
      <c r="G1590" s="50">
        <v>0.12865499999999999</v>
      </c>
      <c r="H1590" s="50">
        <v>0.38254336964503999</v>
      </c>
      <c r="I1590" s="50">
        <v>0.48418805890731997</v>
      </c>
      <c r="J1590" s="50">
        <v>0.28089868038276999</v>
      </c>
      <c r="K1590" s="50">
        <v>2555.2399999999998</v>
      </c>
      <c r="L1590" s="50">
        <v>2531.8000000000002</v>
      </c>
      <c r="M1590" s="50">
        <v>2555.2399999999998</v>
      </c>
      <c r="N1590" s="66">
        <f t="shared" si="192"/>
        <v>2.3559430816676467E-3</v>
      </c>
      <c r="O1590" s="66">
        <f t="shared" si="193"/>
        <v>1.5317543557552453E-2</v>
      </c>
      <c r="P1590" s="4">
        <f t="shared" si="194"/>
        <v>0.12865499999999996</v>
      </c>
      <c r="Q1590" s="4">
        <f t="shared" si="195"/>
        <v>8.2970999999999989E-2</v>
      </c>
      <c r="R1590" s="66">
        <f t="shared" si="196"/>
        <v>2.3559430816676467E-3</v>
      </c>
      <c r="S1590" s="66">
        <f t="shared" si="197"/>
        <v>1.5317543557552453E-2</v>
      </c>
      <c r="T1590" s="50">
        <f t="shared" si="198"/>
        <v>1</v>
      </c>
      <c r="U1590" s="50">
        <f t="shared" si="199"/>
        <v>1</v>
      </c>
    </row>
    <row r="1591" spans="1:21" x14ac:dyDescent="0.2">
      <c r="A1591" s="38">
        <v>43027</v>
      </c>
      <c r="B1591" s="4">
        <v>0.37930999999999998</v>
      </c>
      <c r="C1591" s="4">
        <v>0.34137899999999999</v>
      </c>
      <c r="D1591" s="4">
        <v>0.27931</v>
      </c>
      <c r="E1591" s="50">
        <v>0.99999899999999997</v>
      </c>
      <c r="F1591" s="50">
        <v>0.35291499999999998</v>
      </c>
      <c r="G1591" s="50">
        <v>0.1</v>
      </c>
      <c r="H1591" s="50">
        <v>0.38251474022005</v>
      </c>
      <c r="I1591" s="50">
        <v>0.48410302363178997</v>
      </c>
      <c r="J1591" s="50">
        <v>0.28092645680831002</v>
      </c>
      <c r="K1591" s="50">
        <v>2564.11</v>
      </c>
      <c r="L1591" s="50">
        <v>2547.9499999999998</v>
      </c>
      <c r="M1591" s="50">
        <v>2561.2600000000002</v>
      </c>
      <c r="N1591" s="66">
        <f t="shared" si="192"/>
        <v>-1.6046789470807834E-3</v>
      </c>
      <c r="O1591" s="66">
        <f t="shared" si="193"/>
        <v>1.3118543217009097E-3</v>
      </c>
      <c r="P1591" s="4">
        <f t="shared" si="194"/>
        <v>9.9999999999999978E-2</v>
      </c>
      <c r="Q1591" s="4">
        <f t="shared" si="195"/>
        <v>7.5657999999999975E-2</v>
      </c>
      <c r="R1591" s="66">
        <f t="shared" si="196"/>
        <v>-1.6046789470807834E-3</v>
      </c>
      <c r="S1591" s="66">
        <f t="shared" si="197"/>
        <v>1.3118543217009097E-3</v>
      </c>
      <c r="T1591" s="50" t="str">
        <f t="shared" si="198"/>
        <v/>
      </c>
      <c r="U1591" s="50">
        <f t="shared" si="199"/>
        <v>1</v>
      </c>
    </row>
    <row r="1592" spans="1:21" x14ac:dyDescent="0.2">
      <c r="A1592" s="38">
        <v>43034</v>
      </c>
      <c r="B1592" s="4">
        <v>0.39639600000000003</v>
      </c>
      <c r="C1592" s="4">
        <v>0.27327299999999999</v>
      </c>
      <c r="D1592" s="4">
        <v>0.33033000000000001</v>
      </c>
      <c r="E1592" s="50">
        <v>0.99999899999999997</v>
      </c>
      <c r="F1592" s="50">
        <v>0.3712145</v>
      </c>
      <c r="G1592" s="50">
        <v>6.6066E-2</v>
      </c>
      <c r="H1592" s="50">
        <v>0.38240876908979998</v>
      </c>
      <c r="I1592" s="50">
        <v>0.48405646686384002</v>
      </c>
      <c r="J1592" s="50">
        <v>0.28076107131576</v>
      </c>
      <c r="K1592" s="50">
        <v>2578.29</v>
      </c>
      <c r="L1592" s="50">
        <v>2544</v>
      </c>
      <c r="M1592" s="50">
        <v>2557.15</v>
      </c>
      <c r="N1592" s="66">
        <f t="shared" si="192"/>
        <v>8.6854505993000167E-3</v>
      </c>
      <c r="O1592" s="66">
        <f t="shared" si="193"/>
        <v>1.77033025047416E-2</v>
      </c>
      <c r="P1592" s="4">
        <f t="shared" si="194"/>
        <v>6.6066000000000014E-2</v>
      </c>
      <c r="Q1592" s="4">
        <f t="shared" si="195"/>
        <v>8.0680249999999981E-2</v>
      </c>
      <c r="R1592" s="66">
        <f t="shared" si="196"/>
        <v>8.6854505993000167E-3</v>
      </c>
      <c r="S1592" s="66">
        <f t="shared" si="197"/>
        <v>1.77033025047416E-2</v>
      </c>
      <c r="T1592" s="50">
        <f t="shared" si="198"/>
        <v>1</v>
      </c>
      <c r="U1592" s="50">
        <f t="shared" si="199"/>
        <v>1</v>
      </c>
    </row>
    <row r="1593" spans="1:21" x14ac:dyDescent="0.2">
      <c r="A1593" s="38">
        <v>43041</v>
      </c>
      <c r="B1593" s="4">
        <v>0.45054899999999998</v>
      </c>
      <c r="C1593" s="4">
        <v>0.26373600000000003</v>
      </c>
      <c r="D1593" s="4">
        <v>0.28571400000000002</v>
      </c>
      <c r="E1593" s="50">
        <v>0.99999899999999997</v>
      </c>
      <c r="F1593" s="50">
        <v>0.39093612500000002</v>
      </c>
      <c r="G1593" s="50">
        <v>0.16483500000000001</v>
      </c>
      <c r="H1593" s="50">
        <v>0.38232710866911002</v>
      </c>
      <c r="I1593" s="50">
        <v>0.48399748606991999</v>
      </c>
      <c r="J1593" s="50">
        <v>0.28065673126829999</v>
      </c>
      <c r="K1593" s="50">
        <v>2588.4</v>
      </c>
      <c r="L1593" s="50">
        <v>2544</v>
      </c>
      <c r="M1593" s="50">
        <v>2579.36</v>
      </c>
      <c r="N1593" s="66">
        <f t="shared" si="192"/>
        <v>5.8231499286644679E-3</v>
      </c>
      <c r="O1593" s="66">
        <f t="shared" si="193"/>
        <v>1.8109143353390002E-2</v>
      </c>
      <c r="P1593" s="4">
        <f t="shared" si="194"/>
        <v>0.16483499999999995</v>
      </c>
      <c r="Q1593" s="4">
        <f t="shared" si="195"/>
        <v>0.11488899999999998</v>
      </c>
      <c r="R1593" s="66">
        <f t="shared" si="196"/>
        <v>5.8231499286644679E-3</v>
      </c>
      <c r="S1593" s="66">
        <f t="shared" si="197"/>
        <v>1.8109143353390002E-2</v>
      </c>
      <c r="T1593" s="50">
        <f t="shared" si="198"/>
        <v>1</v>
      </c>
      <c r="U1593" s="50">
        <f t="shared" si="199"/>
        <v>1</v>
      </c>
    </row>
    <row r="1594" spans="1:21" x14ac:dyDescent="0.2">
      <c r="A1594" s="38">
        <v>43048</v>
      </c>
      <c r="B1594" s="4">
        <v>0.45104899999999998</v>
      </c>
      <c r="C1594" s="4">
        <v>0.31818200000000002</v>
      </c>
      <c r="D1594" s="4">
        <v>0.230769</v>
      </c>
      <c r="E1594" s="50">
        <v>1</v>
      </c>
      <c r="F1594" s="50">
        <v>0.39570737499999997</v>
      </c>
      <c r="G1594" s="50">
        <v>0.22028</v>
      </c>
      <c r="H1594" s="50">
        <v>0.3822863209274</v>
      </c>
      <c r="I1594" s="50">
        <v>0.48393907142532</v>
      </c>
      <c r="J1594" s="50">
        <v>0.28063357042948001</v>
      </c>
      <c r="K1594" s="50">
        <v>2597.02</v>
      </c>
      <c r="L1594" s="50">
        <v>2566.17</v>
      </c>
      <c r="M1594" s="50">
        <v>2594.38</v>
      </c>
      <c r="N1594" s="66">
        <f t="shared" si="192"/>
        <v>-1.1470948743052373E-2</v>
      </c>
      <c r="O1594" s="66">
        <f t="shared" si="193"/>
        <v>1.3448299786461455E-2</v>
      </c>
      <c r="P1594" s="4">
        <f t="shared" si="194"/>
        <v>0.22027999999999998</v>
      </c>
      <c r="Q1594" s="4">
        <f t="shared" si="195"/>
        <v>0.13779524999999998</v>
      </c>
      <c r="R1594" s="66">
        <f t="shared" si="196"/>
        <v>-1.1470948743052373E-2</v>
      </c>
      <c r="S1594" s="66">
        <f t="shared" si="197"/>
        <v>1.3448299786461455E-2</v>
      </c>
      <c r="T1594" s="50" t="str">
        <f t="shared" si="198"/>
        <v/>
      </c>
      <c r="U1594" s="50">
        <f t="shared" si="199"/>
        <v>1</v>
      </c>
    </row>
    <row r="1595" spans="1:21" x14ac:dyDescent="0.2">
      <c r="A1595" s="38">
        <v>43055</v>
      </c>
      <c r="B1595" s="4">
        <v>0.29347800000000002</v>
      </c>
      <c r="C1595" s="4">
        <v>0.354348</v>
      </c>
      <c r="D1595" s="4">
        <v>0.35217399999999999</v>
      </c>
      <c r="E1595" s="50">
        <v>1</v>
      </c>
      <c r="F1595" s="50">
        <v>0.38222200000000001</v>
      </c>
      <c r="G1595" s="50">
        <v>-5.8695999999999998E-2</v>
      </c>
      <c r="H1595" s="50">
        <v>0.38225455426829003</v>
      </c>
      <c r="I1595" s="50">
        <v>0.48388443184288998</v>
      </c>
      <c r="J1595" s="50">
        <v>0.2806246766937</v>
      </c>
      <c r="K1595" s="50">
        <v>2595.4699999999998</v>
      </c>
      <c r="L1595" s="50">
        <v>2557.4499999999998</v>
      </c>
      <c r="M1595" s="50">
        <v>2564.62</v>
      </c>
      <c r="N1595" s="66">
        <f t="shared" si="192"/>
        <v>1.4739025664620951E-2</v>
      </c>
      <c r="O1595" s="66">
        <f t="shared" si="193"/>
        <v>3.8301970662320349E-2</v>
      </c>
      <c r="P1595" s="4">
        <f t="shared" si="194"/>
        <v>-5.869599999999997E-2</v>
      </c>
      <c r="Q1595" s="4">
        <f t="shared" si="195"/>
        <v>9.8121249999999993E-2</v>
      </c>
      <c r="R1595" s="66">
        <f t="shared" si="196"/>
        <v>1.4739025664620951E-2</v>
      </c>
      <c r="S1595" s="66">
        <f t="shared" si="197"/>
        <v>3.8301970662320349E-2</v>
      </c>
      <c r="T1595" s="50">
        <f t="shared" si="198"/>
        <v>1</v>
      </c>
      <c r="U1595" s="50">
        <f t="shared" si="199"/>
        <v>1</v>
      </c>
    </row>
    <row r="1596" spans="1:21" x14ac:dyDescent="0.2">
      <c r="A1596" s="38">
        <v>43062</v>
      </c>
      <c r="B1596" s="4">
        <v>0.35493000000000002</v>
      </c>
      <c r="C1596" s="4">
        <v>0.35493000000000002</v>
      </c>
      <c r="D1596" s="4">
        <v>0.29014099999999998</v>
      </c>
      <c r="E1596" s="50">
        <v>1.0000009999999999</v>
      </c>
      <c r="F1596" s="50">
        <v>0.38492162499999999</v>
      </c>
      <c r="G1596" s="50">
        <v>6.4788999999999999E-2</v>
      </c>
      <c r="H1596" s="50">
        <v>0.38225599268739002</v>
      </c>
      <c r="I1596" s="50">
        <v>0.48385489752788002</v>
      </c>
      <c r="J1596" s="50">
        <v>0.28065708784690002</v>
      </c>
      <c r="K1596" s="50">
        <v>2601.19</v>
      </c>
      <c r="L1596" s="50">
        <v>2557.4499999999998</v>
      </c>
      <c r="M1596" s="50">
        <v>2602.42</v>
      </c>
      <c r="N1596" s="66">
        <f t="shared" si="192"/>
        <v>9.0876952989909741E-3</v>
      </c>
      <c r="O1596" s="66">
        <f t="shared" si="193"/>
        <v>2.9522521345516837E-2</v>
      </c>
      <c r="P1596" s="4">
        <f t="shared" si="194"/>
        <v>6.4789000000000041E-2</v>
      </c>
      <c r="Q1596" s="4">
        <f t="shared" si="195"/>
        <v>9.7802E-2</v>
      </c>
      <c r="R1596" s="66">
        <f t="shared" si="196"/>
        <v>9.0876952989909741E-3</v>
      </c>
      <c r="S1596" s="66">
        <f t="shared" si="197"/>
        <v>2.9522521345516837E-2</v>
      </c>
      <c r="T1596" s="50">
        <f t="shared" si="198"/>
        <v>1</v>
      </c>
      <c r="U1596" s="50">
        <f t="shared" si="199"/>
        <v>1</v>
      </c>
    </row>
    <row r="1597" spans="1:21" x14ac:dyDescent="0.2">
      <c r="A1597" s="38">
        <v>43069</v>
      </c>
      <c r="B1597" s="4">
        <v>0.35945899999999997</v>
      </c>
      <c r="C1597" s="4">
        <v>0.324324</v>
      </c>
      <c r="D1597" s="4">
        <v>0.316216</v>
      </c>
      <c r="E1597" s="50">
        <v>0.99999899999999997</v>
      </c>
      <c r="F1597" s="50">
        <v>0.38535399999999997</v>
      </c>
      <c r="G1597" s="50">
        <v>4.3242999999999997E-2</v>
      </c>
      <c r="H1597" s="50">
        <v>0.38222742448233998</v>
      </c>
      <c r="I1597" s="50">
        <v>0.48380196508100998</v>
      </c>
      <c r="J1597" s="50">
        <v>0.28065288388366999</v>
      </c>
      <c r="K1597" s="50">
        <v>2634.89</v>
      </c>
      <c r="L1597" s="50">
        <v>2589.17</v>
      </c>
      <c r="M1597" s="50">
        <v>2626.07</v>
      </c>
      <c r="N1597" s="66">
        <f t="shared" si="192"/>
        <v>1.2185509144843122E-3</v>
      </c>
      <c r="O1597" s="66">
        <f t="shared" si="193"/>
        <v>2.1534079441903577E-2</v>
      </c>
      <c r="P1597" s="4">
        <f t="shared" si="194"/>
        <v>4.3242999999999976E-2</v>
      </c>
      <c r="Q1597" s="4">
        <f t="shared" si="195"/>
        <v>6.7404000000000006E-2</v>
      </c>
      <c r="R1597" s="66">
        <f t="shared" si="196"/>
        <v>1.2185509144843122E-3</v>
      </c>
      <c r="S1597" s="66">
        <f t="shared" si="197"/>
        <v>2.1534079441903577E-2</v>
      </c>
      <c r="T1597" s="50">
        <f t="shared" si="198"/>
        <v>1</v>
      </c>
      <c r="U1597" s="50">
        <f t="shared" si="199"/>
        <v>1</v>
      </c>
    </row>
    <row r="1598" spans="1:21" x14ac:dyDescent="0.2">
      <c r="A1598" s="38">
        <v>43076</v>
      </c>
      <c r="B1598" s="4">
        <v>0.36877100000000002</v>
      </c>
      <c r="C1598" s="4">
        <v>0.28903699999999999</v>
      </c>
      <c r="D1598" s="4">
        <v>0.34219300000000002</v>
      </c>
      <c r="E1598" s="50">
        <v>1.0000009999999999</v>
      </c>
      <c r="F1598" s="50">
        <v>0.38174275000000002</v>
      </c>
      <c r="G1598" s="50">
        <v>2.6578000000000001E-2</v>
      </c>
      <c r="H1598" s="50">
        <v>0.38222399330493001</v>
      </c>
      <c r="I1598" s="50">
        <v>0.48376769430964001</v>
      </c>
      <c r="J1598" s="50">
        <v>0.28068029230022001</v>
      </c>
      <c r="K1598" s="50">
        <v>2665.19</v>
      </c>
      <c r="L1598" s="50">
        <v>2620.3200000000002</v>
      </c>
      <c r="M1598" s="50">
        <v>2629.27</v>
      </c>
      <c r="N1598" s="66">
        <f t="shared" si="192"/>
        <v>1.2771605806934977E-2</v>
      </c>
      <c r="O1598" s="66">
        <f t="shared" si="193"/>
        <v>3.1868161124570686E-2</v>
      </c>
      <c r="P1598" s="4">
        <f t="shared" si="194"/>
        <v>2.6577999999999991E-2</v>
      </c>
      <c r="Q1598" s="4">
        <f t="shared" si="195"/>
        <v>1.8978500000000009E-2</v>
      </c>
      <c r="R1598" s="66">
        <f t="shared" si="196"/>
        <v>1.2771605806934977E-2</v>
      </c>
      <c r="S1598" s="66">
        <f t="shared" si="197"/>
        <v>3.1868161124570686E-2</v>
      </c>
      <c r="T1598" s="50">
        <f t="shared" si="198"/>
        <v>1</v>
      </c>
      <c r="U1598" s="50">
        <f t="shared" si="199"/>
        <v>1</v>
      </c>
    </row>
    <row r="1599" spans="1:21" x14ac:dyDescent="0.2">
      <c r="A1599" s="38">
        <v>43083</v>
      </c>
      <c r="B1599" s="4">
        <v>0.45</v>
      </c>
      <c r="C1599" s="4">
        <v>0.26874999999999999</v>
      </c>
      <c r="D1599" s="4">
        <v>0.28125</v>
      </c>
      <c r="E1599" s="50">
        <v>1</v>
      </c>
      <c r="F1599" s="50">
        <v>0.39057900000000001</v>
      </c>
      <c r="G1599" s="50">
        <v>0.16875000000000001</v>
      </c>
      <c r="H1599" s="50">
        <v>0.38218466484184999</v>
      </c>
      <c r="I1599" s="50">
        <v>0.48370998308529001</v>
      </c>
      <c r="J1599" s="50">
        <v>0.28065934659841002</v>
      </c>
      <c r="K1599" s="50">
        <v>2671.88</v>
      </c>
      <c r="L1599" s="50">
        <v>2624.75</v>
      </c>
      <c r="M1599" s="50">
        <v>2662.85</v>
      </c>
      <c r="N1599" s="66">
        <f t="shared" si="192"/>
        <v>6.1588148036878128E-3</v>
      </c>
      <c r="O1599" s="66">
        <f t="shared" si="193"/>
        <v>3.2063390727979466E-2</v>
      </c>
      <c r="P1599" s="4">
        <f t="shared" si="194"/>
        <v>0.16875000000000001</v>
      </c>
      <c r="Q1599" s="4">
        <f t="shared" si="195"/>
        <v>7.5840000000000005E-2</v>
      </c>
      <c r="R1599" s="66">
        <f t="shared" si="196"/>
        <v>6.1588148036878128E-3</v>
      </c>
      <c r="S1599" s="66">
        <f t="shared" si="197"/>
        <v>3.2063390727979466E-2</v>
      </c>
      <c r="T1599" s="50">
        <f t="shared" si="198"/>
        <v>1</v>
      </c>
      <c r="U1599" s="50">
        <f t="shared" si="199"/>
        <v>1</v>
      </c>
    </row>
    <row r="1600" spans="1:21" x14ac:dyDescent="0.2">
      <c r="A1600" s="38">
        <v>43090</v>
      </c>
      <c r="B1600" s="4">
        <v>0.50497499999999995</v>
      </c>
      <c r="C1600" s="4">
        <v>0.23880599999999999</v>
      </c>
      <c r="D1600" s="4">
        <v>0.25621899999999997</v>
      </c>
      <c r="E1600" s="50">
        <v>1</v>
      </c>
      <c r="F1600" s="50">
        <v>0.40415137499999998</v>
      </c>
      <c r="G1600" s="50">
        <v>0.248756</v>
      </c>
      <c r="H1600" s="50">
        <v>0.38219472522796</v>
      </c>
      <c r="I1600" s="50">
        <v>0.48368998144734998</v>
      </c>
      <c r="J1600" s="50">
        <v>0.28069946900858</v>
      </c>
      <c r="K1600" s="50">
        <v>2694.97</v>
      </c>
      <c r="L1600" s="50">
        <v>2652.01</v>
      </c>
      <c r="M1600" s="50">
        <v>2679.25</v>
      </c>
      <c r="N1600" s="66">
        <f t="shared" si="192"/>
        <v>1.257814686945933E-3</v>
      </c>
      <c r="O1600" s="66">
        <f t="shared" si="193"/>
        <v>4.6024073901278321E-2</v>
      </c>
      <c r="P1600" s="4">
        <f t="shared" si="194"/>
        <v>0.24875599999999998</v>
      </c>
      <c r="Q1600" s="4">
        <f t="shared" si="195"/>
        <v>0.12183174999999999</v>
      </c>
      <c r="R1600" s="66">
        <f t="shared" si="196"/>
        <v>1.257814686945933E-3</v>
      </c>
      <c r="S1600" s="66">
        <f t="shared" si="197"/>
        <v>4.6024073901278321E-2</v>
      </c>
      <c r="T1600" s="50">
        <f t="shared" si="198"/>
        <v>1</v>
      </c>
      <c r="U1600" s="50">
        <f t="shared" si="199"/>
        <v>1</v>
      </c>
    </row>
    <row r="1601" spans="1:21" x14ac:dyDescent="0.2">
      <c r="A1601" s="38">
        <v>43097</v>
      </c>
      <c r="B1601" s="4">
        <v>0.52645500000000001</v>
      </c>
      <c r="C1601" s="4">
        <v>0.26719599999999999</v>
      </c>
      <c r="D1601" s="4">
        <v>0.206349</v>
      </c>
      <c r="E1601" s="50">
        <v>1</v>
      </c>
      <c r="F1601" s="50">
        <v>0.41363962500000001</v>
      </c>
      <c r="G1601" s="50">
        <v>0.320106</v>
      </c>
      <c r="H1601" s="50">
        <v>0.38217579283110997</v>
      </c>
      <c r="I1601" s="50">
        <v>0.48364310204717997</v>
      </c>
      <c r="J1601" s="50">
        <v>0.28070848361502998</v>
      </c>
      <c r="K1601" s="50">
        <v>2694.44</v>
      </c>
      <c r="L1601" s="50">
        <v>2676.11</v>
      </c>
      <c r="M1601" s="50">
        <v>2682.62</v>
      </c>
      <c r="N1601" s="66">
        <f t="shared" si="192"/>
        <v>1.1347115879252393E-2</v>
      </c>
      <c r="O1601" s="66">
        <f t="shared" si="193"/>
        <v>5.7749513535275243E-2</v>
      </c>
      <c r="P1601" s="4">
        <f t="shared" si="194"/>
        <v>0.320106</v>
      </c>
      <c r="Q1601" s="4">
        <f t="shared" si="195"/>
        <v>0.19104749999999998</v>
      </c>
      <c r="R1601" s="66">
        <f t="shared" si="196"/>
        <v>1.1347115879252393E-2</v>
      </c>
      <c r="S1601" s="66">
        <f t="shared" si="197"/>
        <v>5.7749513535275243E-2</v>
      </c>
      <c r="T1601" s="50">
        <f t="shared" si="198"/>
        <v>1</v>
      </c>
      <c r="U1601" s="50">
        <f t="shared" si="199"/>
        <v>1</v>
      </c>
    </row>
    <row r="1602" spans="1:21" x14ac:dyDescent="0.2">
      <c r="A1602" s="38">
        <v>43104</v>
      </c>
      <c r="B1602" s="4">
        <v>0.59753100000000003</v>
      </c>
      <c r="C1602" s="4">
        <v>0.24691399999999999</v>
      </c>
      <c r="D1602" s="4">
        <v>0.155556</v>
      </c>
      <c r="E1602" s="50">
        <v>1.0000009999999999</v>
      </c>
      <c r="F1602" s="50">
        <v>0.43194987499999998</v>
      </c>
      <c r="G1602" s="50">
        <v>0.44197500000000001</v>
      </c>
      <c r="H1602" s="50">
        <v>0.38218247965999003</v>
      </c>
      <c r="I1602" s="50">
        <v>0.48361932480487002</v>
      </c>
      <c r="J1602" s="50">
        <v>0.28074563451510998</v>
      </c>
      <c r="K1602" s="50">
        <v>2714.37</v>
      </c>
      <c r="L1602" s="50">
        <v>2673.61</v>
      </c>
      <c r="M1602" s="50">
        <v>2713.06</v>
      </c>
      <c r="N1602" s="66">
        <f t="shared" si="192"/>
        <v>1.2963222339351165E-2</v>
      </c>
      <c r="O1602" s="66">
        <f t="shared" si="193"/>
        <v>4.0821065512742068E-2</v>
      </c>
      <c r="P1602" s="4">
        <f t="shared" si="194"/>
        <v>0.44197500000000001</v>
      </c>
      <c r="Q1602" s="4">
        <f t="shared" si="195"/>
        <v>0.29489674999999999</v>
      </c>
      <c r="R1602" s="66">
        <f t="shared" si="196"/>
        <v>1.2963222339351165E-2</v>
      </c>
      <c r="S1602" s="66">
        <f t="shared" si="197"/>
        <v>4.0821065512742068E-2</v>
      </c>
      <c r="T1602" s="50">
        <f t="shared" si="198"/>
        <v>1</v>
      </c>
      <c r="U1602" s="50">
        <f t="shared" si="199"/>
        <v>1</v>
      </c>
    </row>
    <row r="1603" spans="1:21" x14ac:dyDescent="0.2">
      <c r="A1603" s="38">
        <v>43111</v>
      </c>
      <c r="B1603" s="4">
        <v>0.48672599999999999</v>
      </c>
      <c r="C1603" s="4">
        <v>0.26253700000000002</v>
      </c>
      <c r="D1603" s="4">
        <v>0.25073699999999999</v>
      </c>
      <c r="E1603" s="50">
        <v>1</v>
      </c>
      <c r="F1603" s="50">
        <v>0.45610587499999999</v>
      </c>
      <c r="G1603" s="50">
        <v>0.235989</v>
      </c>
      <c r="H1603" s="50">
        <v>0.38220319842233003</v>
      </c>
      <c r="I1603" s="50">
        <v>0.48361273252018</v>
      </c>
      <c r="J1603" s="50">
        <v>0.28079366432448999</v>
      </c>
      <c r="K1603" s="50">
        <v>2759.14</v>
      </c>
      <c r="L1603" s="50">
        <v>2697.77</v>
      </c>
      <c r="M1603" s="50">
        <v>2748.23</v>
      </c>
      <c r="N1603" s="66">
        <f t="shared" si="192"/>
        <v>1.9769087740109062E-2</v>
      </c>
      <c r="O1603" s="66">
        <f t="shared" si="193"/>
        <v>-2.4222863443016111E-2</v>
      </c>
      <c r="P1603" s="4">
        <f t="shared" si="194"/>
        <v>0.235989</v>
      </c>
      <c r="Q1603" s="4">
        <f t="shared" si="195"/>
        <v>0.3117065</v>
      </c>
      <c r="R1603" s="66">
        <f t="shared" si="196"/>
        <v>1.9769087740109062E-2</v>
      </c>
      <c r="S1603" s="66">
        <f t="shared" si="197"/>
        <v>-2.4222863443016111E-2</v>
      </c>
      <c r="T1603" s="50">
        <f t="shared" si="198"/>
        <v>1</v>
      </c>
      <c r="U1603" s="50" t="str">
        <f t="shared" si="199"/>
        <v/>
      </c>
    </row>
    <row r="1604" spans="1:21" x14ac:dyDescent="0.2">
      <c r="A1604" s="38">
        <v>43118</v>
      </c>
      <c r="B1604" s="4">
        <v>0.54113299999999998</v>
      </c>
      <c r="C1604" s="4">
        <v>0.244973</v>
      </c>
      <c r="D1604" s="4">
        <v>0.213894</v>
      </c>
      <c r="E1604" s="50">
        <v>1</v>
      </c>
      <c r="F1604" s="50">
        <v>0.47938124999999998</v>
      </c>
      <c r="G1604" s="50">
        <v>0.327239</v>
      </c>
      <c r="H1604" s="50">
        <v>0.38219813887204002</v>
      </c>
      <c r="I1604" s="50">
        <v>0.48357710903880002</v>
      </c>
      <c r="J1604" s="50">
        <v>0.28081916870529</v>
      </c>
      <c r="K1604" s="50">
        <v>2807.54</v>
      </c>
      <c r="L1604" s="50">
        <v>2736.06</v>
      </c>
      <c r="M1604" s="50">
        <v>2802.56</v>
      </c>
      <c r="N1604" s="66">
        <f t="shared" si="192"/>
        <v>1.2481445535510397E-2</v>
      </c>
      <c r="O1604" s="66">
        <f t="shared" si="193"/>
        <v>-3.7083951815482928E-2</v>
      </c>
      <c r="P1604" s="4">
        <f t="shared" si="194"/>
        <v>0.32723899999999995</v>
      </c>
      <c r="Q1604" s="4">
        <f t="shared" si="195"/>
        <v>0.33132724999999996</v>
      </c>
      <c r="R1604" s="66">
        <f t="shared" si="196"/>
        <v>1.2481445535510397E-2</v>
      </c>
      <c r="S1604" s="66">
        <f t="shared" si="197"/>
        <v>-3.7083951815482928E-2</v>
      </c>
      <c r="T1604" s="50">
        <f t="shared" si="198"/>
        <v>1</v>
      </c>
      <c r="U1604" s="50" t="str">
        <f t="shared" si="199"/>
        <v/>
      </c>
    </row>
    <row r="1605" spans="1:21" x14ac:dyDescent="0.2">
      <c r="A1605" s="38">
        <v>43125</v>
      </c>
      <c r="B1605" s="4">
        <v>0.45454499999999998</v>
      </c>
      <c r="C1605" s="4">
        <v>0.30519499999999999</v>
      </c>
      <c r="D1605" s="4">
        <v>0.24026</v>
      </c>
      <c r="E1605" s="50">
        <v>1</v>
      </c>
      <c r="F1605" s="50">
        <v>0.49126700000000001</v>
      </c>
      <c r="G1605" s="50">
        <v>0.214285</v>
      </c>
      <c r="H1605" s="50">
        <v>0.38216300787878998</v>
      </c>
      <c r="I1605" s="50">
        <v>0.48352127994527</v>
      </c>
      <c r="J1605" s="50">
        <v>0.28080473581231002</v>
      </c>
      <c r="K1605" s="50">
        <v>2852.97</v>
      </c>
      <c r="L1605" s="50">
        <v>2778.38</v>
      </c>
      <c r="M1605" s="50">
        <v>2837.54</v>
      </c>
      <c r="N1605" s="66">
        <f t="shared" si="192"/>
        <v>-4.8386983090987325E-3</v>
      </c>
      <c r="O1605" s="66">
        <f t="shared" si="193"/>
        <v>-4.8002847536951034E-2</v>
      </c>
      <c r="P1605" s="4">
        <f t="shared" si="194"/>
        <v>0.21428499999999998</v>
      </c>
      <c r="Q1605" s="4">
        <f t="shared" si="195"/>
        <v>0.30487199999999998</v>
      </c>
      <c r="R1605" s="66">
        <f t="shared" si="196"/>
        <v>-4.8386983090987325E-3</v>
      </c>
      <c r="S1605" s="66">
        <f t="shared" si="197"/>
        <v>-4.8002847536951034E-2</v>
      </c>
      <c r="T1605" s="50" t="str">
        <f t="shared" si="198"/>
        <v/>
      </c>
      <c r="U1605" s="50" t="str">
        <f t="shared" si="199"/>
        <v/>
      </c>
    </row>
    <row r="1606" spans="1:21" x14ac:dyDescent="0.2">
      <c r="A1606" s="38">
        <v>43132</v>
      </c>
      <c r="B1606" s="4">
        <v>0.447712</v>
      </c>
      <c r="C1606" s="4">
        <v>0.264706</v>
      </c>
      <c r="D1606" s="4">
        <v>0.287582</v>
      </c>
      <c r="E1606" s="50">
        <v>1</v>
      </c>
      <c r="F1606" s="50">
        <v>0.50113462499999994</v>
      </c>
      <c r="G1606" s="50">
        <v>0.16012999999999999</v>
      </c>
      <c r="H1606" s="50">
        <v>0.38215746759539998</v>
      </c>
      <c r="I1606" s="50">
        <v>0.48348527044384998</v>
      </c>
      <c r="J1606" s="50">
        <v>0.28082966474693999</v>
      </c>
      <c r="K1606" s="50">
        <v>2872.87</v>
      </c>
      <c r="L1606" s="50">
        <v>2813.04</v>
      </c>
      <c r="M1606" s="50">
        <v>2823.81</v>
      </c>
      <c r="N1606" s="66">
        <f t="shared" si="192"/>
        <v>-5.0339789150119905E-2</v>
      </c>
      <c r="O1606" s="66">
        <f t="shared" si="193"/>
        <v>-3.8947379604151844E-2</v>
      </c>
      <c r="P1606" s="4">
        <f t="shared" si="194"/>
        <v>0.16012999999999999</v>
      </c>
      <c r="Q1606" s="4">
        <f t="shared" si="195"/>
        <v>0.23441074999999997</v>
      </c>
      <c r="R1606" s="66">
        <f t="shared" si="196"/>
        <v>-5.0339789150119905E-2</v>
      </c>
      <c r="S1606" s="66">
        <f t="shared" si="197"/>
        <v>-3.8947379604151844E-2</v>
      </c>
      <c r="T1606" s="50" t="str">
        <f t="shared" si="198"/>
        <v/>
      </c>
      <c r="U1606" s="50" t="str">
        <f t="shared" si="199"/>
        <v/>
      </c>
    </row>
    <row r="1607" spans="1:21" x14ac:dyDescent="0.2">
      <c r="A1607" s="38">
        <v>43139</v>
      </c>
      <c r="B1607" s="4">
        <v>0.37027700000000002</v>
      </c>
      <c r="C1607" s="4">
        <v>0.27959699999999998</v>
      </c>
      <c r="D1607" s="4">
        <v>0.35012599999999999</v>
      </c>
      <c r="E1607" s="50">
        <v>1</v>
      </c>
      <c r="F1607" s="50">
        <v>0.49116925</v>
      </c>
      <c r="G1607" s="50">
        <v>2.0150999999999999E-2</v>
      </c>
      <c r="H1607" s="50">
        <v>0.38212710593220001</v>
      </c>
      <c r="I1607" s="50">
        <v>0.48343173387610999</v>
      </c>
      <c r="J1607" s="50">
        <v>0.28082247798830001</v>
      </c>
      <c r="K1607" s="50">
        <v>2839.26</v>
      </c>
      <c r="L1607" s="50">
        <v>2593.0700000000002</v>
      </c>
      <c r="M1607" s="50">
        <v>2681.66</v>
      </c>
      <c r="N1607" s="66">
        <f t="shared" si="192"/>
        <v>6.3281698649345014E-3</v>
      </c>
      <c r="O1607" s="66">
        <f t="shared" si="193"/>
        <v>1.6832857260055463E-2</v>
      </c>
      <c r="P1607" s="4">
        <f t="shared" si="194"/>
        <v>2.015100000000003E-2</v>
      </c>
      <c r="Q1607" s="4">
        <f t="shared" si="195"/>
        <v>0.18045124999999998</v>
      </c>
      <c r="R1607" s="66">
        <f t="shared" si="196"/>
        <v>6.3281698649345014E-3</v>
      </c>
      <c r="S1607" s="66">
        <f t="shared" si="197"/>
        <v>1.6832857260055463E-2</v>
      </c>
      <c r="T1607" s="50">
        <f t="shared" si="198"/>
        <v>1</v>
      </c>
      <c r="U1607" s="50">
        <f t="shared" si="199"/>
        <v>1</v>
      </c>
    </row>
    <row r="1608" spans="1:21" x14ac:dyDescent="0.2">
      <c r="A1608" s="38">
        <v>43146</v>
      </c>
      <c r="B1608" s="4">
        <v>0.48519400000000001</v>
      </c>
      <c r="C1608" s="4">
        <v>0.30068299999999998</v>
      </c>
      <c r="D1608" s="4">
        <v>0.21412300000000001</v>
      </c>
      <c r="E1608" s="50">
        <v>1</v>
      </c>
      <c r="F1608" s="50">
        <v>0.488696625</v>
      </c>
      <c r="G1608" s="50">
        <v>0.27107100000000001</v>
      </c>
      <c r="H1608" s="50">
        <v>0.38210779794312999</v>
      </c>
      <c r="I1608" s="50">
        <v>0.48338480241276</v>
      </c>
      <c r="J1608" s="50">
        <v>0.28083079347350998</v>
      </c>
      <c r="K1608" s="50">
        <v>2727.67</v>
      </c>
      <c r="L1608" s="50">
        <v>2532.69</v>
      </c>
      <c r="M1608" s="50">
        <v>2698.63</v>
      </c>
      <c r="N1608" s="66">
        <f t="shared" si="192"/>
        <v>1.0005076650003216E-3</v>
      </c>
      <c r="O1608" s="66">
        <f t="shared" si="193"/>
        <v>1.8842894357507294E-2</v>
      </c>
      <c r="P1608" s="4">
        <f t="shared" si="194"/>
        <v>0.27107100000000001</v>
      </c>
      <c r="Q1608" s="4">
        <f t="shared" si="195"/>
        <v>0.16640925000000001</v>
      </c>
      <c r="R1608" s="66">
        <f t="shared" si="196"/>
        <v>1.0005076650003216E-3</v>
      </c>
      <c r="S1608" s="66">
        <f t="shared" si="197"/>
        <v>1.8842894357507294E-2</v>
      </c>
      <c r="T1608" s="50">
        <f t="shared" si="198"/>
        <v>1</v>
      </c>
      <c r="U1608" s="50">
        <f t="shared" si="199"/>
        <v>1</v>
      </c>
    </row>
    <row r="1609" spans="1:21" x14ac:dyDescent="0.2">
      <c r="A1609" s="38">
        <v>43153</v>
      </c>
      <c r="B1609" s="4">
        <v>0.44651200000000002</v>
      </c>
      <c r="C1609" s="4">
        <v>0.32558100000000001</v>
      </c>
      <c r="D1609" s="4">
        <v>0.227907</v>
      </c>
      <c r="E1609" s="50">
        <v>1</v>
      </c>
      <c r="F1609" s="50">
        <v>0.47870374999999998</v>
      </c>
      <c r="G1609" s="50">
        <v>0.21860499999999999</v>
      </c>
      <c r="H1609" s="50">
        <v>0.38212035550182</v>
      </c>
      <c r="I1609" s="50">
        <v>0.48336800908729</v>
      </c>
      <c r="J1609" s="50">
        <v>0.28087270191634001</v>
      </c>
      <c r="K1609" s="50">
        <v>2754.42</v>
      </c>
      <c r="L1609" s="50">
        <v>2637.08</v>
      </c>
      <c r="M1609" s="50">
        <v>2701.33</v>
      </c>
      <c r="N1609" s="66">
        <f t="shared" si="192"/>
        <v>4.6273502311824175E-3</v>
      </c>
      <c r="O1609" s="66">
        <f t="shared" si="193"/>
        <v>3.9239929960426566E-3</v>
      </c>
      <c r="P1609" s="4">
        <f t="shared" si="194"/>
        <v>0.21860500000000002</v>
      </c>
      <c r="Q1609" s="4">
        <f t="shared" si="195"/>
        <v>0.16748925000000001</v>
      </c>
      <c r="R1609" s="66">
        <f t="shared" si="196"/>
        <v>4.6273502311824175E-3</v>
      </c>
      <c r="S1609" s="66">
        <f t="shared" si="197"/>
        <v>3.9239929960426566E-3</v>
      </c>
      <c r="T1609" s="50">
        <f t="shared" si="198"/>
        <v>1</v>
      </c>
      <c r="U1609" s="50">
        <f t="shared" si="199"/>
        <v>1</v>
      </c>
    </row>
    <row r="1610" spans="1:21" x14ac:dyDescent="0.2">
      <c r="A1610" s="38">
        <v>43160</v>
      </c>
      <c r="B1610" s="4">
        <v>0.372832</v>
      </c>
      <c r="C1610" s="4">
        <v>0.39306400000000002</v>
      </c>
      <c r="D1610" s="4">
        <v>0.23410400000000001</v>
      </c>
      <c r="E1610" s="50">
        <v>1</v>
      </c>
      <c r="F1610" s="50">
        <v>0.45061637500000001</v>
      </c>
      <c r="G1610" s="50">
        <v>0.13872799999999999</v>
      </c>
      <c r="H1610" s="50">
        <v>0.38211643685801</v>
      </c>
      <c r="I1610" s="50">
        <v>0.48333360444833001</v>
      </c>
      <c r="J1610" s="50">
        <v>0.28089926926768</v>
      </c>
      <c r="K1610" s="50">
        <v>2789.15</v>
      </c>
      <c r="L1610" s="50">
        <v>2697.77</v>
      </c>
      <c r="M1610" s="50">
        <v>2713.83</v>
      </c>
      <c r="N1610" s="66">
        <f t="shared" si="192"/>
        <v>4.7792234590966478E-3</v>
      </c>
      <c r="O1610" s="66">
        <f t="shared" si="193"/>
        <v>-4.0101996071972061E-2</v>
      </c>
      <c r="P1610" s="4">
        <f t="shared" si="194"/>
        <v>0.13872799999999999</v>
      </c>
      <c r="Q1610" s="4">
        <f t="shared" si="195"/>
        <v>0.16213875</v>
      </c>
      <c r="R1610" s="66">
        <f t="shared" si="196"/>
        <v>4.7792234590966478E-3</v>
      </c>
      <c r="S1610" s="66">
        <f t="shared" si="197"/>
        <v>-4.0101996071972061E-2</v>
      </c>
      <c r="T1610" s="50">
        <f t="shared" si="198"/>
        <v>1</v>
      </c>
      <c r="U1610" s="50" t="str">
        <f t="shared" si="199"/>
        <v/>
      </c>
    </row>
    <row r="1611" spans="1:21" x14ac:dyDescent="0.2">
      <c r="A1611" s="38">
        <v>43167</v>
      </c>
      <c r="B1611" s="4">
        <v>0.26402599999999998</v>
      </c>
      <c r="C1611" s="4">
        <v>0.45214500000000002</v>
      </c>
      <c r="D1611" s="4">
        <v>0.28382800000000002</v>
      </c>
      <c r="E1611" s="50">
        <v>0.99999899999999997</v>
      </c>
      <c r="F1611" s="50">
        <v>0.422778875</v>
      </c>
      <c r="G1611" s="50">
        <v>-1.9802E-2</v>
      </c>
      <c r="H1611" s="50">
        <v>0.38208812198067998</v>
      </c>
      <c r="I1611" s="50">
        <v>0.48328126603048999</v>
      </c>
      <c r="J1611" s="50">
        <v>0.28089497793086998</v>
      </c>
      <c r="K1611" s="50">
        <v>2761.52</v>
      </c>
      <c r="L1611" s="50">
        <v>2647.32</v>
      </c>
      <c r="M1611" s="50">
        <v>2726.8</v>
      </c>
      <c r="N1611" s="66">
        <f t="shared" si="192"/>
        <v>8.3174416898928547E-3</v>
      </c>
      <c r="O1611" s="66">
        <f t="shared" si="193"/>
        <v>-3.0112219451371616E-2</v>
      </c>
      <c r="P1611" s="4">
        <f t="shared" si="194"/>
        <v>-1.9802000000000042E-2</v>
      </c>
      <c r="Q1611" s="4">
        <f t="shared" si="195"/>
        <v>0.15215049999999997</v>
      </c>
      <c r="R1611" s="66">
        <f t="shared" si="196"/>
        <v>8.3174416898928547E-3</v>
      </c>
      <c r="S1611" s="66">
        <f t="shared" si="197"/>
        <v>-3.0112219451371616E-2</v>
      </c>
      <c r="T1611" s="50">
        <f t="shared" si="198"/>
        <v>1</v>
      </c>
      <c r="U1611" s="50" t="str">
        <f t="shared" si="199"/>
        <v/>
      </c>
    </row>
    <row r="1612" spans="1:21" x14ac:dyDescent="0.2">
      <c r="A1612" s="38">
        <v>43174</v>
      </c>
      <c r="B1612" s="4">
        <v>0.368421</v>
      </c>
      <c r="C1612" s="4">
        <v>0.41828300000000002</v>
      </c>
      <c r="D1612" s="4">
        <v>0.21329600000000001</v>
      </c>
      <c r="E1612" s="50">
        <v>1</v>
      </c>
      <c r="F1612" s="50">
        <v>0.40118987499999997</v>
      </c>
      <c r="G1612" s="50">
        <v>0.15512500000000001</v>
      </c>
      <c r="H1612" s="50">
        <v>0.38209304405552003</v>
      </c>
      <c r="I1612" s="50">
        <v>0.48325582841817</v>
      </c>
      <c r="J1612" s="50">
        <v>0.28093025969287</v>
      </c>
      <c r="K1612" s="50">
        <v>2801.9</v>
      </c>
      <c r="L1612" s="50">
        <v>2701.74</v>
      </c>
      <c r="M1612" s="50">
        <v>2749.48</v>
      </c>
      <c r="N1612" s="66">
        <f t="shared" si="192"/>
        <v>-1.365712789327443E-2</v>
      </c>
      <c r="O1612" s="66">
        <f t="shared" si="193"/>
        <v>-3.9021924145656618E-2</v>
      </c>
      <c r="P1612" s="4">
        <f t="shared" si="194"/>
        <v>0.15512499999999999</v>
      </c>
      <c r="Q1612" s="4">
        <f t="shared" si="195"/>
        <v>0.123164</v>
      </c>
      <c r="R1612" s="66">
        <f t="shared" si="196"/>
        <v>-1.365712789327443E-2</v>
      </c>
      <c r="S1612" s="66">
        <f t="shared" si="197"/>
        <v>-3.9021924145656618E-2</v>
      </c>
      <c r="T1612" s="50" t="str">
        <f t="shared" si="198"/>
        <v/>
      </c>
      <c r="U1612" s="50" t="str">
        <f t="shared" si="199"/>
        <v/>
      </c>
    </row>
    <row r="1613" spans="1:21" x14ac:dyDescent="0.2">
      <c r="A1613" s="38">
        <v>43181</v>
      </c>
      <c r="B1613" s="4">
        <v>0.33234399999999997</v>
      </c>
      <c r="C1613" s="4">
        <v>0.38278899999999999</v>
      </c>
      <c r="D1613" s="4">
        <v>0.28486600000000001</v>
      </c>
      <c r="E1613" s="50">
        <v>0.99999899999999997</v>
      </c>
      <c r="F1613" s="50">
        <v>0.38591474999999997</v>
      </c>
      <c r="G1613" s="50">
        <v>4.7477999999999999E-2</v>
      </c>
      <c r="H1613" s="50">
        <v>0.38212263751508002</v>
      </c>
      <c r="I1613" s="50">
        <v>0.48326207000436</v>
      </c>
      <c r="J1613" s="50">
        <v>0.28098320502579999</v>
      </c>
      <c r="K1613" s="50">
        <v>2777.11</v>
      </c>
      <c r="L1613" s="50">
        <v>2694.59</v>
      </c>
      <c r="M1613" s="50">
        <v>2711.93</v>
      </c>
      <c r="N1613" s="66">
        <f t="shared" ref="N1613:N1676" si="200">(M1614-M1613)/M1613</f>
        <v>-3.9429483799360544E-2</v>
      </c>
      <c r="O1613" s="66">
        <f t="shared" ref="O1613:O1676" si="201">(M1617-M1613)/M1613</f>
        <v>-1.2131581567370706E-3</v>
      </c>
      <c r="P1613" s="4">
        <f t="shared" si="194"/>
        <v>4.7477999999999965E-2</v>
      </c>
      <c r="Q1613" s="4">
        <f t="shared" si="195"/>
        <v>8.0382249999999975E-2</v>
      </c>
      <c r="R1613" s="66">
        <f t="shared" si="196"/>
        <v>-3.9429483799360544E-2</v>
      </c>
      <c r="S1613" s="66">
        <f t="shared" si="197"/>
        <v>-1.2131581567370706E-3</v>
      </c>
      <c r="T1613" s="50" t="str">
        <f t="shared" si="198"/>
        <v/>
      </c>
      <c r="U1613" s="50" t="str">
        <f t="shared" si="199"/>
        <v/>
      </c>
    </row>
    <row r="1614" spans="1:21" x14ac:dyDescent="0.2">
      <c r="A1614" s="38">
        <v>43188</v>
      </c>
      <c r="B1614" s="4">
        <v>0.31936100000000001</v>
      </c>
      <c r="C1614" s="4">
        <v>0.327345</v>
      </c>
      <c r="D1614" s="4">
        <v>0.35329300000000002</v>
      </c>
      <c r="E1614" s="50">
        <v>0.99999899999999997</v>
      </c>
      <c r="F1614" s="50">
        <v>0.36987087499999999</v>
      </c>
      <c r="G1614" s="50">
        <v>-3.3931999999999997E-2</v>
      </c>
      <c r="H1614" s="50">
        <v>0.38207207896322998</v>
      </c>
      <c r="I1614" s="50">
        <v>0.48320197510090002</v>
      </c>
      <c r="J1614" s="50">
        <v>0.28094218282556999</v>
      </c>
      <c r="K1614" s="50">
        <v>2739.14</v>
      </c>
      <c r="L1614" s="50">
        <v>2585.89</v>
      </c>
      <c r="M1614" s="50">
        <v>2605</v>
      </c>
      <c r="N1614" s="66">
        <f t="shared" si="200"/>
        <v>1.5236084452975069E-2</v>
      </c>
      <c r="O1614" s="66">
        <f t="shared" si="201"/>
        <v>1.320537428023036E-2</v>
      </c>
      <c r="P1614" s="4">
        <f t="shared" ref="P1614:P1677" si="202">B1614-D1614</f>
        <v>-3.3932000000000018E-2</v>
      </c>
      <c r="Q1614" s="4">
        <f t="shared" si="195"/>
        <v>3.7217249999999973E-2</v>
      </c>
      <c r="R1614" s="66">
        <f t="shared" si="196"/>
        <v>1.5236084452975069E-2</v>
      </c>
      <c r="S1614" s="66">
        <f t="shared" si="197"/>
        <v>1.320537428023036E-2</v>
      </c>
      <c r="T1614" s="50">
        <f t="shared" si="198"/>
        <v>1</v>
      </c>
      <c r="U1614" s="50">
        <f t="shared" si="199"/>
        <v>1</v>
      </c>
    </row>
    <row r="1615" spans="1:21" x14ac:dyDescent="0.2">
      <c r="A1615" s="38">
        <v>43195</v>
      </c>
      <c r="B1615" s="4">
        <v>0.31896600000000003</v>
      </c>
      <c r="C1615" s="4">
        <v>0.31465500000000002</v>
      </c>
      <c r="D1615" s="4">
        <v>0.36637900000000001</v>
      </c>
      <c r="E1615" s="50">
        <v>1</v>
      </c>
      <c r="F1615" s="50">
        <v>0.36345699999999997</v>
      </c>
      <c r="G1615" s="50">
        <v>-4.7412999999999997E-2</v>
      </c>
      <c r="H1615" s="50">
        <v>0.38199074578313003</v>
      </c>
      <c r="I1615" s="50">
        <v>0.48314445171956999</v>
      </c>
      <c r="J1615" s="50">
        <v>0.2808370398467</v>
      </c>
      <c r="K1615" s="50">
        <v>2674.78</v>
      </c>
      <c r="L1615" s="50">
        <v>2553.8000000000002</v>
      </c>
      <c r="M1615" s="50">
        <v>2644.69</v>
      </c>
      <c r="N1615" s="66">
        <f t="shared" si="200"/>
        <v>-9.4529037429717658E-4</v>
      </c>
      <c r="O1615" s="66">
        <f t="shared" si="201"/>
        <v>-3.4106076704642063E-3</v>
      </c>
      <c r="P1615" s="4">
        <f t="shared" si="202"/>
        <v>-4.7412999999999983E-2</v>
      </c>
      <c r="Q1615" s="4">
        <f t="shared" si="195"/>
        <v>3.0314499999999987E-2</v>
      </c>
      <c r="R1615" s="66">
        <f t="shared" si="196"/>
        <v>-9.4529037429717658E-4</v>
      </c>
      <c r="S1615" s="66">
        <f t="shared" si="197"/>
        <v>-3.4106076704642063E-3</v>
      </c>
      <c r="T1615" s="50" t="str">
        <f t="shared" si="198"/>
        <v/>
      </c>
      <c r="U1615" s="50" t="str">
        <f t="shared" si="199"/>
        <v/>
      </c>
    </row>
    <row r="1616" spans="1:21" x14ac:dyDescent="0.2">
      <c r="A1616" s="38">
        <v>43202</v>
      </c>
      <c r="B1616" s="4">
        <v>0.26086999999999999</v>
      </c>
      <c r="C1616" s="4">
        <v>0.31159399999999998</v>
      </c>
      <c r="D1616" s="4">
        <v>0.42753600000000003</v>
      </c>
      <c r="E1616" s="50">
        <v>1</v>
      </c>
      <c r="F1616" s="50">
        <v>0.33541650000000001</v>
      </c>
      <c r="G1616" s="50">
        <v>-0.16666600000000001</v>
      </c>
      <c r="H1616" s="50">
        <v>0.38191003732690998</v>
      </c>
      <c r="I1616" s="50">
        <v>0.48308675321917</v>
      </c>
      <c r="J1616" s="50">
        <v>0.28073332143466001</v>
      </c>
      <c r="K1616" s="50">
        <v>2672.08</v>
      </c>
      <c r="L1616" s="50">
        <v>2573.61</v>
      </c>
      <c r="M1616" s="50">
        <v>2642.19</v>
      </c>
      <c r="N1616" s="66">
        <f t="shared" si="200"/>
        <v>2.5149591815879939E-2</v>
      </c>
      <c r="O1616" s="66">
        <f t="shared" si="201"/>
        <v>2.1043149811330718E-2</v>
      </c>
      <c r="P1616" s="4">
        <f t="shared" si="202"/>
        <v>-0.16666600000000004</v>
      </c>
      <c r="Q1616" s="4">
        <f t="shared" si="195"/>
        <v>-5.0133250000000018E-2</v>
      </c>
      <c r="R1616" s="66">
        <f t="shared" si="196"/>
        <v>2.5149591815879939E-2</v>
      </c>
      <c r="S1616" s="66">
        <f t="shared" si="197"/>
        <v>2.1043149811330718E-2</v>
      </c>
      <c r="T1616" s="50">
        <f t="shared" si="198"/>
        <v>1</v>
      </c>
      <c r="U1616" s="50">
        <f t="shared" si="199"/>
        <v>1</v>
      </c>
    </row>
    <row r="1617" spans="1:21" x14ac:dyDescent="0.2">
      <c r="A1617" s="38">
        <v>43209</v>
      </c>
      <c r="B1617" s="4">
        <v>0.377834</v>
      </c>
      <c r="C1617" s="4">
        <v>0.32997500000000002</v>
      </c>
      <c r="D1617" s="4">
        <v>0.29219099999999998</v>
      </c>
      <c r="E1617" s="50">
        <v>1</v>
      </c>
      <c r="F1617" s="50">
        <v>0.32683174999999998</v>
      </c>
      <c r="G1617" s="50">
        <v>8.5642999999999997E-2</v>
      </c>
      <c r="H1617" s="50">
        <v>0.38181579241877001</v>
      </c>
      <c r="I1617" s="50">
        <v>0.48303499466111</v>
      </c>
      <c r="J1617" s="50">
        <v>0.28059659017644001</v>
      </c>
      <c r="K1617" s="50">
        <v>2717.49</v>
      </c>
      <c r="L1617" s="50">
        <v>2639.25</v>
      </c>
      <c r="M1617" s="50">
        <v>2708.64</v>
      </c>
      <c r="N1617" s="66">
        <f t="shared" si="200"/>
        <v>-2.5562643983696537E-2</v>
      </c>
      <c r="O1617" s="66">
        <f t="shared" si="201"/>
        <v>5.1021915057003382E-3</v>
      </c>
      <c r="P1617" s="4">
        <f t="shared" si="202"/>
        <v>8.5643000000000025E-2</v>
      </c>
      <c r="Q1617" s="4">
        <f t="shared" ref="Q1617:Q1680" si="203">AVERAGE(P1614:P1617)</f>
        <v>-4.0592000000000003E-2</v>
      </c>
      <c r="R1617" s="66">
        <f t="shared" ref="R1617:R1680" si="204">(M1618-M1617)/M1617</f>
        <v>-2.5562643983696537E-2</v>
      </c>
      <c r="S1617" s="66">
        <f t="shared" ref="S1617:S1680" si="205">(M1621-M1617)/M1617</f>
        <v>5.1021915057003382E-3</v>
      </c>
      <c r="T1617" s="50" t="str">
        <f t="shared" ref="T1617:T1680" si="206">IF(R1617&gt;0,1,"")</f>
        <v/>
      </c>
      <c r="U1617" s="50">
        <f t="shared" ref="U1617:U1680" si="207">IF(S1617&gt;0,1,"")</f>
        <v>1</v>
      </c>
    </row>
    <row r="1618" spans="1:21" x14ac:dyDescent="0.2">
      <c r="A1618" s="38">
        <v>43216</v>
      </c>
      <c r="B1618" s="4">
        <v>0.369085</v>
      </c>
      <c r="C1618" s="4">
        <v>0.37539400000000001</v>
      </c>
      <c r="D1618" s="4">
        <v>0.255521</v>
      </c>
      <c r="E1618" s="50">
        <v>1</v>
      </c>
      <c r="F1618" s="50">
        <v>0.32636337500000001</v>
      </c>
      <c r="G1618" s="50">
        <v>0.113564</v>
      </c>
      <c r="H1618" s="50">
        <v>0.38174759170174999</v>
      </c>
      <c r="I1618" s="50">
        <v>0.48297455263964001</v>
      </c>
      <c r="J1618" s="50">
        <v>0.28052063076386002</v>
      </c>
      <c r="K1618" s="50">
        <v>2717.49</v>
      </c>
      <c r="L1618" s="50">
        <v>2612.67</v>
      </c>
      <c r="M1618" s="50">
        <v>2639.4</v>
      </c>
      <c r="N1618" s="66">
        <f t="shared" si="200"/>
        <v>-1.413199969690088E-3</v>
      </c>
      <c r="O1618" s="66">
        <f t="shared" si="201"/>
        <v>3.5572478593619714E-2</v>
      </c>
      <c r="P1618" s="4">
        <f t="shared" si="202"/>
        <v>0.113564</v>
      </c>
      <c r="Q1618" s="4">
        <f t="shared" si="203"/>
        <v>-3.7179999999999991E-3</v>
      </c>
      <c r="R1618" s="66">
        <f t="shared" si="204"/>
        <v>-1.413199969690088E-3</v>
      </c>
      <c r="S1618" s="66">
        <f t="shared" si="205"/>
        <v>3.5572478593619714E-2</v>
      </c>
      <c r="T1618" s="50" t="str">
        <f t="shared" si="206"/>
        <v/>
      </c>
      <c r="U1618" s="50">
        <f t="shared" si="207"/>
        <v>1</v>
      </c>
    </row>
    <row r="1619" spans="1:21" x14ac:dyDescent="0.2">
      <c r="A1619" s="38">
        <v>43223</v>
      </c>
      <c r="B1619" s="4">
        <v>0.28395100000000001</v>
      </c>
      <c r="C1619" s="4">
        <v>0.41358</v>
      </c>
      <c r="D1619" s="4">
        <v>0.30246899999999999</v>
      </c>
      <c r="E1619" s="50">
        <v>1</v>
      </c>
      <c r="F1619" s="50">
        <v>0.32885399999999998</v>
      </c>
      <c r="G1619" s="50">
        <v>-1.8518E-2</v>
      </c>
      <c r="H1619" s="50">
        <v>0.38169550901442001</v>
      </c>
      <c r="I1619" s="50">
        <v>0.48291432990923</v>
      </c>
      <c r="J1619" s="50">
        <v>0.28047668811962001</v>
      </c>
      <c r="K1619" s="50">
        <v>2682.87</v>
      </c>
      <c r="L1619" s="50">
        <v>2612.67</v>
      </c>
      <c r="M1619" s="50">
        <v>2635.67</v>
      </c>
      <c r="N1619" s="66">
        <f t="shared" si="200"/>
        <v>2.3568959695257709E-2</v>
      </c>
      <c r="O1619" s="66">
        <f t="shared" si="201"/>
        <v>3.3517094325162158E-2</v>
      </c>
      <c r="P1619" s="4">
        <f t="shared" si="202"/>
        <v>-1.8517999999999979E-2</v>
      </c>
      <c r="Q1619" s="4">
        <f t="shared" si="203"/>
        <v>3.5057500000000019E-3</v>
      </c>
      <c r="R1619" s="66">
        <f t="shared" si="204"/>
        <v>2.3568959695257709E-2</v>
      </c>
      <c r="S1619" s="66">
        <f t="shared" si="205"/>
        <v>3.3517094325162158E-2</v>
      </c>
      <c r="T1619" s="50">
        <f t="shared" si="206"/>
        <v>1</v>
      </c>
      <c r="U1619" s="50">
        <f t="shared" si="207"/>
        <v>1</v>
      </c>
    </row>
    <row r="1620" spans="1:21" x14ac:dyDescent="0.2">
      <c r="A1620" s="38">
        <v>43230</v>
      </c>
      <c r="B1620" s="4">
        <v>0.33510600000000001</v>
      </c>
      <c r="C1620" s="4">
        <v>0.40957399999999999</v>
      </c>
      <c r="D1620" s="4">
        <v>0.25531900000000002</v>
      </c>
      <c r="E1620" s="50">
        <v>0.99999899999999997</v>
      </c>
      <c r="F1620" s="50">
        <v>0.32468962499999998</v>
      </c>
      <c r="G1620" s="50">
        <v>7.9786999999999997E-2</v>
      </c>
      <c r="H1620" s="50">
        <v>0.38164397417418</v>
      </c>
      <c r="I1620" s="50">
        <v>0.48285422402819</v>
      </c>
      <c r="J1620" s="50">
        <v>0.28043372432017</v>
      </c>
      <c r="K1620" s="50">
        <v>2701.27</v>
      </c>
      <c r="L1620" s="50">
        <v>2594.62</v>
      </c>
      <c r="M1620" s="50">
        <v>2697.79</v>
      </c>
      <c r="N1620" s="66">
        <f t="shared" si="200"/>
        <v>9.1445219976351282E-3</v>
      </c>
      <c r="O1620" s="66">
        <f t="shared" si="201"/>
        <v>2.7637436568450451E-2</v>
      </c>
      <c r="P1620" s="4">
        <f t="shared" si="202"/>
        <v>7.9786999999999997E-2</v>
      </c>
      <c r="Q1620" s="4">
        <f t="shared" si="203"/>
        <v>6.511900000000001E-2</v>
      </c>
      <c r="R1620" s="66">
        <f t="shared" si="204"/>
        <v>9.1445219976351282E-3</v>
      </c>
      <c r="S1620" s="66">
        <f t="shared" si="205"/>
        <v>2.7637436568450451E-2</v>
      </c>
      <c r="T1620" s="50">
        <f t="shared" si="206"/>
        <v>1</v>
      </c>
      <c r="U1620" s="50">
        <f t="shared" si="207"/>
        <v>1</v>
      </c>
    </row>
    <row r="1621" spans="1:21" x14ac:dyDescent="0.2">
      <c r="A1621" s="38">
        <v>43237</v>
      </c>
      <c r="B1621" s="4">
        <v>0.366755</v>
      </c>
      <c r="C1621" s="4">
        <v>0.42744100000000002</v>
      </c>
      <c r="D1621" s="4">
        <v>0.20580499999999999</v>
      </c>
      <c r="E1621" s="50">
        <v>1.0000009999999999</v>
      </c>
      <c r="F1621" s="50">
        <v>0.32899099999999998</v>
      </c>
      <c r="G1621" s="50">
        <v>0.16095000000000001</v>
      </c>
      <c r="H1621" s="50">
        <v>0.38164397417418</v>
      </c>
      <c r="I1621" s="50">
        <v>0.48285422402819</v>
      </c>
      <c r="J1621" s="50">
        <v>0.28043372432017</v>
      </c>
      <c r="K1621" s="50">
        <v>2742.1</v>
      </c>
      <c r="L1621" s="50">
        <v>2674.14</v>
      </c>
      <c r="M1621" s="50">
        <v>2722.46</v>
      </c>
      <c r="N1621" s="66">
        <f t="shared" si="200"/>
        <v>3.9780198790799227E-3</v>
      </c>
      <c r="O1621" s="66">
        <f t="shared" si="201"/>
        <v>1.9530130837551358E-2</v>
      </c>
      <c r="P1621" s="4">
        <f t="shared" si="202"/>
        <v>0.16095000000000001</v>
      </c>
      <c r="Q1621" s="4">
        <f t="shared" si="203"/>
        <v>8.3945750000000013E-2</v>
      </c>
      <c r="R1621" s="66">
        <f t="shared" si="204"/>
        <v>3.9780198790799227E-3</v>
      </c>
      <c r="S1621" s="66">
        <f t="shared" si="205"/>
        <v>1.9530130837551358E-2</v>
      </c>
      <c r="T1621" s="50">
        <f t="shared" si="206"/>
        <v>1</v>
      </c>
      <c r="U1621" s="50">
        <f t="shared" si="207"/>
        <v>1</v>
      </c>
    </row>
    <row r="1622" spans="1:21" x14ac:dyDescent="0.2">
      <c r="A1622" s="38">
        <v>43244</v>
      </c>
      <c r="B1622" s="4">
        <v>0.38562099999999999</v>
      </c>
      <c r="C1622" s="4">
        <v>0.36274499999999998</v>
      </c>
      <c r="D1622" s="4">
        <v>0.25163400000000002</v>
      </c>
      <c r="E1622" s="50">
        <v>1</v>
      </c>
      <c r="F1622" s="50">
        <v>0.3372735</v>
      </c>
      <c r="G1622" s="50">
        <v>0.13398699999999999</v>
      </c>
      <c r="H1622" s="50">
        <v>0.38158661007799</v>
      </c>
      <c r="I1622" s="50">
        <v>0.48274967093206</v>
      </c>
      <c r="J1622" s="50">
        <v>0.28042354922391</v>
      </c>
      <c r="K1622" s="50">
        <v>2742.24</v>
      </c>
      <c r="L1622" s="50">
        <v>2709.18</v>
      </c>
      <c r="M1622" s="50">
        <v>2733.29</v>
      </c>
      <c r="N1622" s="66">
        <f t="shared" si="200"/>
        <v>-3.3951757771768622E-3</v>
      </c>
      <c r="O1622" s="66">
        <f t="shared" si="201"/>
        <v>1.2450197381178068E-2</v>
      </c>
      <c r="P1622" s="4">
        <f t="shared" si="202"/>
        <v>0.13398699999999997</v>
      </c>
      <c r="Q1622" s="4">
        <f t="shared" si="203"/>
        <v>8.9051500000000006E-2</v>
      </c>
      <c r="R1622" s="66">
        <f t="shared" si="204"/>
        <v>-3.3951757771768622E-3</v>
      </c>
      <c r="S1622" s="66">
        <f t="shared" si="205"/>
        <v>1.2450197381178068E-2</v>
      </c>
      <c r="T1622" s="50" t="str">
        <f t="shared" si="206"/>
        <v/>
      </c>
      <c r="U1622" s="50">
        <f t="shared" si="207"/>
        <v>1</v>
      </c>
    </row>
    <row r="1623" spans="1:21" x14ac:dyDescent="0.2">
      <c r="A1623" s="38">
        <v>43251</v>
      </c>
      <c r="B1623" s="4">
        <v>0.35018100000000002</v>
      </c>
      <c r="C1623" s="4">
        <v>0.38628200000000001</v>
      </c>
      <c r="D1623" s="4">
        <v>0.26353799999999999</v>
      </c>
      <c r="E1623" s="50">
        <v>1.0000009999999999</v>
      </c>
      <c r="F1623" s="50">
        <v>0.341175375</v>
      </c>
      <c r="G1623" s="50">
        <v>8.6642999999999998E-2</v>
      </c>
      <c r="H1623" s="50">
        <v>0.38157324640287998</v>
      </c>
      <c r="I1623" s="50">
        <v>0.48270743258507998</v>
      </c>
      <c r="J1623" s="50">
        <v>0.28043906022067</v>
      </c>
      <c r="K1623" s="50">
        <v>2742.24</v>
      </c>
      <c r="L1623" s="50">
        <v>2676.81</v>
      </c>
      <c r="M1623" s="50">
        <v>2724.01</v>
      </c>
      <c r="N1623" s="66">
        <f t="shared" si="200"/>
        <v>1.7745896674388011E-2</v>
      </c>
      <c r="O1623" s="66">
        <f t="shared" si="201"/>
        <v>-8.9500405651962017E-3</v>
      </c>
      <c r="P1623" s="4">
        <f t="shared" si="202"/>
        <v>8.6643000000000026E-2</v>
      </c>
      <c r="Q1623" s="4">
        <f t="shared" si="203"/>
        <v>0.11534174999999999</v>
      </c>
      <c r="R1623" s="66">
        <f t="shared" si="204"/>
        <v>1.7745896674388011E-2</v>
      </c>
      <c r="S1623" s="66">
        <f t="shared" si="205"/>
        <v>-8.9500405651962017E-3</v>
      </c>
      <c r="T1623" s="50">
        <f t="shared" si="206"/>
        <v>1</v>
      </c>
      <c r="U1623" s="50" t="str">
        <f t="shared" si="207"/>
        <v/>
      </c>
    </row>
    <row r="1624" spans="1:21" x14ac:dyDescent="0.2">
      <c r="A1624" s="38">
        <v>43258</v>
      </c>
      <c r="B1624" s="4">
        <v>0.38931300000000002</v>
      </c>
      <c r="C1624" s="4">
        <v>0.34351100000000001</v>
      </c>
      <c r="D1624" s="4">
        <v>0.26717600000000002</v>
      </c>
      <c r="E1624" s="50">
        <v>1</v>
      </c>
      <c r="F1624" s="50">
        <v>0.35723074999999999</v>
      </c>
      <c r="G1624" s="50">
        <v>0.122137</v>
      </c>
      <c r="H1624" s="50">
        <v>0.38153480587178001</v>
      </c>
      <c r="I1624" s="50">
        <v>0.48265086732973</v>
      </c>
      <c r="J1624" s="50">
        <v>0.28041874441383002</v>
      </c>
      <c r="K1624" s="50">
        <v>2772.39</v>
      </c>
      <c r="L1624" s="50">
        <v>2700.68</v>
      </c>
      <c r="M1624" s="50">
        <v>2772.35</v>
      </c>
      <c r="N1624" s="66">
        <f t="shared" si="200"/>
        <v>1.1831118004581673E-3</v>
      </c>
      <c r="O1624" s="66">
        <f t="shared" si="201"/>
        <v>-2.1328475841794908E-2</v>
      </c>
      <c r="P1624" s="4">
        <f t="shared" si="202"/>
        <v>0.122137</v>
      </c>
      <c r="Q1624" s="4">
        <f t="shared" si="203"/>
        <v>0.12592924999999999</v>
      </c>
      <c r="R1624" s="66">
        <f t="shared" si="204"/>
        <v>1.1831118004581673E-3</v>
      </c>
      <c r="S1624" s="66">
        <f t="shared" si="205"/>
        <v>-2.1328475841794908E-2</v>
      </c>
      <c r="T1624" s="50">
        <f t="shared" si="206"/>
        <v>1</v>
      </c>
      <c r="U1624" s="50" t="str">
        <f t="shared" si="207"/>
        <v/>
      </c>
    </row>
    <row r="1625" spans="1:21" x14ac:dyDescent="0.2">
      <c r="A1625" s="38">
        <v>43265</v>
      </c>
      <c r="B1625" s="4">
        <v>0.44780199999999998</v>
      </c>
      <c r="C1625" s="4">
        <v>0.33516499999999999</v>
      </c>
      <c r="D1625" s="4">
        <v>0.217033</v>
      </c>
      <c r="E1625" s="50">
        <v>1</v>
      </c>
      <c r="F1625" s="50">
        <v>0.36597675000000002</v>
      </c>
      <c r="G1625" s="50">
        <v>0.230769</v>
      </c>
      <c r="H1625" s="50">
        <v>0.38153650658683003</v>
      </c>
      <c r="I1625" s="50">
        <v>0.48262229498922998</v>
      </c>
      <c r="J1625" s="50">
        <v>0.28045071818442002</v>
      </c>
      <c r="K1625" s="50">
        <v>2791.47</v>
      </c>
      <c r="L1625" s="50">
        <v>2748.46</v>
      </c>
      <c r="M1625" s="50">
        <v>2775.63</v>
      </c>
      <c r="N1625" s="66">
        <f t="shared" si="200"/>
        <v>-2.9939148949967918E-3</v>
      </c>
      <c r="O1625" s="66">
        <f t="shared" si="201"/>
        <v>-5.8004849349521626E-4</v>
      </c>
      <c r="P1625" s="4">
        <f t="shared" si="202"/>
        <v>0.23076899999999997</v>
      </c>
      <c r="Q1625" s="4">
        <f t="shared" si="203"/>
        <v>0.14338399999999998</v>
      </c>
      <c r="R1625" s="66">
        <f t="shared" si="204"/>
        <v>-2.9939148949967918E-3</v>
      </c>
      <c r="S1625" s="66">
        <f t="shared" si="205"/>
        <v>-5.8004849349521626E-4</v>
      </c>
      <c r="T1625" s="50" t="str">
        <f t="shared" si="206"/>
        <v/>
      </c>
      <c r="U1625" s="50" t="str">
        <f t="shared" si="207"/>
        <v/>
      </c>
    </row>
    <row r="1626" spans="1:21" x14ac:dyDescent="0.2">
      <c r="A1626" s="38">
        <v>43272</v>
      </c>
      <c r="B1626" s="4">
        <v>0.387187</v>
      </c>
      <c r="C1626" s="4">
        <v>0.35097499999999998</v>
      </c>
      <c r="D1626" s="4">
        <v>0.26183800000000002</v>
      </c>
      <c r="E1626" s="50">
        <v>1</v>
      </c>
      <c r="F1626" s="50">
        <v>0.3682395</v>
      </c>
      <c r="G1626" s="50">
        <v>0.12534899999999999</v>
      </c>
      <c r="H1626" s="50">
        <v>0.38143777797725997</v>
      </c>
      <c r="I1626" s="50">
        <v>0.48257385292024002</v>
      </c>
      <c r="J1626" s="50">
        <v>0.28030170303427998</v>
      </c>
      <c r="K1626" s="50">
        <v>2791.47</v>
      </c>
      <c r="L1626" s="50">
        <v>2743.19</v>
      </c>
      <c r="M1626" s="50">
        <v>2767.32</v>
      </c>
      <c r="N1626" s="66">
        <f t="shared" si="200"/>
        <v>-2.4460488848416537E-2</v>
      </c>
      <c r="O1626" s="66">
        <f t="shared" si="201"/>
        <v>1.7453709726377768E-2</v>
      </c>
      <c r="P1626" s="4">
        <f t="shared" si="202"/>
        <v>0.12534899999999999</v>
      </c>
      <c r="Q1626" s="4">
        <f t="shared" si="203"/>
        <v>0.14122449999999998</v>
      </c>
      <c r="R1626" s="66">
        <f t="shared" si="204"/>
        <v>-2.4460488848416537E-2</v>
      </c>
      <c r="S1626" s="66">
        <f t="shared" si="205"/>
        <v>1.7453709726377768E-2</v>
      </c>
      <c r="T1626" s="50" t="str">
        <f t="shared" si="206"/>
        <v/>
      </c>
      <c r="U1626" s="50">
        <f t="shared" si="207"/>
        <v>1</v>
      </c>
    </row>
    <row r="1627" spans="1:21" x14ac:dyDescent="0.2">
      <c r="A1627" s="38">
        <v>43279</v>
      </c>
      <c r="B1627" s="4">
        <v>0.28448299999999999</v>
      </c>
      <c r="C1627" s="4">
        <v>0.30747099999999999</v>
      </c>
      <c r="D1627" s="4">
        <v>0.40804600000000002</v>
      </c>
      <c r="E1627" s="50">
        <v>1</v>
      </c>
      <c r="F1627" s="50">
        <v>0.36830600000000002</v>
      </c>
      <c r="G1627" s="50">
        <v>-0.12356300000000001</v>
      </c>
      <c r="H1627" s="50">
        <v>0.38134825777511999</v>
      </c>
      <c r="I1627" s="50">
        <v>0.48252030752954</v>
      </c>
      <c r="J1627" s="50">
        <v>0.28017620802071003</v>
      </c>
      <c r="K1627" s="50">
        <v>2774.86</v>
      </c>
      <c r="L1627" s="50">
        <v>2698.67</v>
      </c>
      <c r="M1627" s="50">
        <v>2699.63</v>
      </c>
      <c r="N1627" s="66">
        <f t="shared" si="200"/>
        <v>5.0340231809543126E-3</v>
      </c>
      <c r="O1627" s="66">
        <f t="shared" si="201"/>
        <v>5.4244470538555301E-2</v>
      </c>
      <c r="P1627" s="4">
        <f t="shared" si="202"/>
        <v>-0.12356300000000003</v>
      </c>
      <c r="Q1627" s="4">
        <f t="shared" si="203"/>
        <v>8.8672999999999974E-2</v>
      </c>
      <c r="R1627" s="66">
        <f t="shared" si="204"/>
        <v>5.0340231809543126E-3</v>
      </c>
      <c r="S1627" s="66">
        <f t="shared" si="205"/>
        <v>5.4244470538555301E-2</v>
      </c>
      <c r="T1627" s="50">
        <f t="shared" si="206"/>
        <v>1</v>
      </c>
      <c r="U1627" s="50">
        <f t="shared" si="207"/>
        <v>1</v>
      </c>
    </row>
    <row r="1628" spans="1:21" x14ac:dyDescent="0.2">
      <c r="A1628" s="38">
        <v>43286</v>
      </c>
      <c r="B1628" s="4">
        <v>0.27855200000000002</v>
      </c>
      <c r="C1628" s="4">
        <v>0.32869100000000001</v>
      </c>
      <c r="D1628" s="4">
        <v>0.392758</v>
      </c>
      <c r="E1628" s="50">
        <v>1.0000009999999999</v>
      </c>
      <c r="F1628" s="50">
        <v>0.36123675</v>
      </c>
      <c r="G1628" s="50">
        <v>-0.114206</v>
      </c>
      <c r="H1628" s="50">
        <v>0.38134825777511999</v>
      </c>
      <c r="I1628" s="50">
        <v>0.48252030752954</v>
      </c>
      <c r="J1628" s="50">
        <v>0.28017620802071003</v>
      </c>
      <c r="K1628" s="50">
        <v>2746.09</v>
      </c>
      <c r="L1628" s="50">
        <v>2691.99</v>
      </c>
      <c r="M1628" s="50">
        <v>2713.22</v>
      </c>
      <c r="N1628" s="66">
        <f t="shared" si="200"/>
        <v>2.2408798401898921E-2</v>
      </c>
      <c r="O1628" s="66">
        <f t="shared" si="201"/>
        <v>3.6908175525759188E-2</v>
      </c>
      <c r="P1628" s="4">
        <f t="shared" si="202"/>
        <v>-0.11420599999999997</v>
      </c>
      <c r="Q1628" s="4">
        <f t="shared" si="203"/>
        <v>2.9587249999999982E-2</v>
      </c>
      <c r="R1628" s="66">
        <f t="shared" si="204"/>
        <v>2.2408798401898921E-2</v>
      </c>
      <c r="S1628" s="66">
        <f t="shared" si="205"/>
        <v>3.6908175525759188E-2</v>
      </c>
      <c r="T1628" s="50">
        <f t="shared" si="206"/>
        <v>1</v>
      </c>
      <c r="U1628" s="50">
        <f t="shared" si="207"/>
        <v>1</v>
      </c>
    </row>
    <row r="1629" spans="1:21" x14ac:dyDescent="0.2">
      <c r="A1629" s="38">
        <v>43293</v>
      </c>
      <c r="B1629" s="4">
        <v>0.430508</v>
      </c>
      <c r="C1629" s="4">
        <v>0.27796599999999999</v>
      </c>
      <c r="D1629" s="4">
        <v>0.29152499999999998</v>
      </c>
      <c r="E1629" s="50">
        <v>0.99999899999999997</v>
      </c>
      <c r="F1629" s="50">
        <v>0.36920587500000002</v>
      </c>
      <c r="G1629" s="50">
        <v>0.138983</v>
      </c>
      <c r="H1629" s="50">
        <v>0.38134825777511999</v>
      </c>
      <c r="I1629" s="50">
        <v>0.48252030752954</v>
      </c>
      <c r="J1629" s="50">
        <v>0.28017620802071003</v>
      </c>
      <c r="K1629" s="50">
        <v>2795.58</v>
      </c>
      <c r="L1629" s="50">
        <v>2711.16</v>
      </c>
      <c r="M1629" s="50">
        <v>2774.02</v>
      </c>
      <c r="N1629" s="66">
        <f t="shared" si="200"/>
        <v>1.4996286977022483E-2</v>
      </c>
      <c r="O1629" s="66">
        <f t="shared" si="201"/>
        <v>3.0165608034549079E-2</v>
      </c>
      <c r="P1629" s="4">
        <f t="shared" si="202"/>
        <v>0.13898300000000002</v>
      </c>
      <c r="Q1629" s="4">
        <f t="shared" si="203"/>
        <v>6.6407500000000008E-3</v>
      </c>
      <c r="R1629" s="66">
        <f t="shared" si="204"/>
        <v>1.4996286977022483E-2</v>
      </c>
      <c r="S1629" s="66">
        <f t="shared" si="205"/>
        <v>3.0165608034549079E-2</v>
      </c>
      <c r="T1629" s="50">
        <f t="shared" si="206"/>
        <v>1</v>
      </c>
      <c r="U1629" s="50">
        <f t="shared" si="207"/>
        <v>1</v>
      </c>
    </row>
    <row r="1630" spans="1:21" x14ac:dyDescent="0.2">
      <c r="A1630" s="38">
        <v>43300</v>
      </c>
      <c r="B1630" s="4">
        <v>0.34663300000000002</v>
      </c>
      <c r="C1630" s="4">
        <v>0.40399000000000002</v>
      </c>
      <c r="D1630" s="4">
        <v>0.24937699999999999</v>
      </c>
      <c r="E1630" s="50">
        <v>1</v>
      </c>
      <c r="F1630" s="50">
        <v>0.36433237499999999</v>
      </c>
      <c r="G1630" s="50">
        <v>9.7255999999999995E-2</v>
      </c>
      <c r="H1630" s="50">
        <v>0.38134825777511999</v>
      </c>
      <c r="I1630" s="50">
        <v>0.48252030752954</v>
      </c>
      <c r="J1630" s="50">
        <v>0.28017620802071003</v>
      </c>
      <c r="K1630" s="50">
        <v>2816.76</v>
      </c>
      <c r="L1630" s="50">
        <v>2770.77</v>
      </c>
      <c r="M1630" s="50">
        <v>2815.62</v>
      </c>
      <c r="N1630" s="66">
        <f t="shared" si="200"/>
        <v>1.0814669593198043E-2</v>
      </c>
      <c r="O1630" s="66">
        <f t="shared" si="201"/>
        <v>9.7669429823626767E-4</v>
      </c>
      <c r="P1630" s="4">
        <f t="shared" si="202"/>
        <v>9.7256000000000037E-2</v>
      </c>
      <c r="Q1630" s="4">
        <f t="shared" si="203"/>
        <v>-3.8249999999998702E-4</v>
      </c>
      <c r="R1630" s="66">
        <f t="shared" si="204"/>
        <v>1.0814669593198043E-2</v>
      </c>
      <c r="S1630" s="66">
        <f t="shared" si="205"/>
        <v>9.7669429823626767E-4</v>
      </c>
      <c r="T1630" s="50">
        <f t="shared" si="206"/>
        <v>1</v>
      </c>
      <c r="U1630" s="50">
        <f t="shared" si="207"/>
        <v>1</v>
      </c>
    </row>
    <row r="1631" spans="1:21" x14ac:dyDescent="0.2">
      <c r="A1631" s="38">
        <v>43307</v>
      </c>
      <c r="B1631" s="4">
        <v>0.31521700000000002</v>
      </c>
      <c r="C1631" s="4">
        <v>0.41576099999999999</v>
      </c>
      <c r="D1631" s="4">
        <v>0.26902199999999998</v>
      </c>
      <c r="E1631" s="50">
        <v>1</v>
      </c>
      <c r="F1631" s="50">
        <v>0.35996187499999999</v>
      </c>
      <c r="G1631" s="50">
        <v>4.6195E-2</v>
      </c>
      <c r="H1631" s="50">
        <v>0.38134825777511999</v>
      </c>
      <c r="I1631" s="50">
        <v>0.48252030752954</v>
      </c>
      <c r="J1631" s="50">
        <v>0.28017620802071003</v>
      </c>
      <c r="K1631" s="50">
        <v>2848.03</v>
      </c>
      <c r="L1631" s="50">
        <v>2795.14</v>
      </c>
      <c r="M1631" s="50">
        <v>2846.07</v>
      </c>
      <c r="N1631" s="66">
        <f t="shared" si="200"/>
        <v>-1.1493041281486413E-2</v>
      </c>
      <c r="O1631" s="66">
        <f t="shared" si="201"/>
        <v>5.5339468108655089E-3</v>
      </c>
      <c r="P1631" s="4">
        <f t="shared" si="202"/>
        <v>4.6195000000000042E-2</v>
      </c>
      <c r="Q1631" s="4">
        <f t="shared" si="203"/>
        <v>4.2057000000000032E-2</v>
      </c>
      <c r="R1631" s="66">
        <f t="shared" si="204"/>
        <v>-1.1493041281486413E-2</v>
      </c>
      <c r="S1631" s="66">
        <f t="shared" si="205"/>
        <v>5.5339468108655089E-3</v>
      </c>
      <c r="T1631" s="50" t="str">
        <f t="shared" si="206"/>
        <v/>
      </c>
      <c r="U1631" s="50">
        <f t="shared" si="207"/>
        <v>1</v>
      </c>
    </row>
    <row r="1632" spans="1:21" x14ac:dyDescent="0.2">
      <c r="A1632" s="38">
        <v>43314</v>
      </c>
      <c r="B1632" s="4">
        <v>0.291105</v>
      </c>
      <c r="C1632" s="4">
        <v>0.38813999999999999</v>
      </c>
      <c r="D1632" s="4">
        <v>0.32075500000000001</v>
      </c>
      <c r="E1632" s="50">
        <v>1</v>
      </c>
      <c r="F1632" s="50">
        <v>0.34768587499999998</v>
      </c>
      <c r="G1632" s="50">
        <v>-2.9649999999999999E-2</v>
      </c>
      <c r="H1632" s="50">
        <v>0.38134825777511999</v>
      </c>
      <c r="I1632" s="50">
        <v>0.48252030752954</v>
      </c>
      <c r="J1632" s="50">
        <v>0.28017620802071003</v>
      </c>
      <c r="K1632" s="50">
        <v>2848.03</v>
      </c>
      <c r="L1632" s="50">
        <v>2798.11</v>
      </c>
      <c r="M1632" s="50">
        <v>2813.36</v>
      </c>
      <c r="N1632" s="66">
        <f t="shared" si="200"/>
        <v>1.5760514118349479E-2</v>
      </c>
      <c r="O1632" s="66">
        <f t="shared" si="201"/>
        <v>3.5786390650325531E-2</v>
      </c>
      <c r="P1632" s="4">
        <f t="shared" si="202"/>
        <v>-2.965000000000001E-2</v>
      </c>
      <c r="Q1632" s="4">
        <f t="shared" si="203"/>
        <v>6.3196000000000016E-2</v>
      </c>
      <c r="R1632" s="66">
        <f t="shared" si="204"/>
        <v>1.5760514118349479E-2</v>
      </c>
      <c r="S1632" s="66">
        <f t="shared" si="205"/>
        <v>3.5786390650325531E-2</v>
      </c>
      <c r="T1632" s="50">
        <f t="shared" si="206"/>
        <v>1</v>
      </c>
      <c r="U1632" s="50">
        <f t="shared" si="207"/>
        <v>1</v>
      </c>
    </row>
    <row r="1633" spans="1:21" x14ac:dyDescent="0.2">
      <c r="A1633" s="38">
        <v>43321</v>
      </c>
      <c r="B1633" s="4">
        <v>0.36363600000000001</v>
      </c>
      <c r="C1633" s="4">
        <v>0.326019</v>
      </c>
      <c r="D1633" s="4">
        <v>0.31034499999999998</v>
      </c>
      <c r="E1633" s="50">
        <v>1</v>
      </c>
      <c r="F1633" s="50">
        <v>0.33716512500000001</v>
      </c>
      <c r="G1633" s="50">
        <v>5.3290999999999998E-2</v>
      </c>
      <c r="H1633" s="50">
        <v>0.38134825777511999</v>
      </c>
      <c r="I1633" s="50">
        <v>0.48252030752954</v>
      </c>
      <c r="J1633" s="50">
        <v>0.28017620802071003</v>
      </c>
      <c r="K1633" s="50">
        <v>2863.43</v>
      </c>
      <c r="L1633" s="50">
        <v>2796.34</v>
      </c>
      <c r="M1633" s="50">
        <v>2857.7</v>
      </c>
      <c r="N1633" s="66">
        <f t="shared" si="200"/>
        <v>-1.3762816250831063E-2</v>
      </c>
      <c r="O1633" s="66">
        <f t="shared" si="201"/>
        <v>1.0812891486160232E-2</v>
      </c>
      <c r="P1633" s="4">
        <f t="shared" si="202"/>
        <v>5.3291000000000033E-2</v>
      </c>
      <c r="Q1633" s="4">
        <f t="shared" si="203"/>
        <v>4.1773000000000025E-2</v>
      </c>
      <c r="R1633" s="66">
        <f t="shared" si="204"/>
        <v>-1.3762816250831063E-2</v>
      </c>
      <c r="S1633" s="66">
        <f t="shared" si="205"/>
        <v>1.0812891486160232E-2</v>
      </c>
      <c r="T1633" s="50" t="str">
        <f t="shared" si="206"/>
        <v/>
      </c>
      <c r="U1633" s="50">
        <f t="shared" si="207"/>
        <v>1</v>
      </c>
    </row>
    <row r="1634" spans="1:21" x14ac:dyDescent="0.2">
      <c r="A1634" s="38">
        <v>43328</v>
      </c>
      <c r="B1634" s="4">
        <v>0.36170200000000002</v>
      </c>
      <c r="C1634" s="4">
        <v>0.34751799999999999</v>
      </c>
      <c r="D1634" s="4">
        <v>0.29077999999999998</v>
      </c>
      <c r="E1634" s="50">
        <v>1</v>
      </c>
      <c r="F1634" s="50">
        <v>0.33397949999999998</v>
      </c>
      <c r="G1634" s="50">
        <v>7.0921999999999999E-2</v>
      </c>
      <c r="H1634" s="50">
        <v>0.38134825777511999</v>
      </c>
      <c r="I1634" s="50">
        <v>0.48252030752954</v>
      </c>
      <c r="J1634" s="50">
        <v>0.28017620802071003</v>
      </c>
      <c r="K1634" s="50">
        <v>2862.48</v>
      </c>
      <c r="L1634" s="50">
        <v>2802.49</v>
      </c>
      <c r="M1634" s="50">
        <v>2818.37</v>
      </c>
      <c r="N1634" s="66">
        <f t="shared" si="200"/>
        <v>1.5416712496939818E-2</v>
      </c>
      <c r="O1634" s="66">
        <f t="shared" si="201"/>
        <v>2.5032199462810129E-2</v>
      </c>
      <c r="P1634" s="4">
        <f t="shared" si="202"/>
        <v>7.0922000000000041E-2</v>
      </c>
      <c r="Q1634" s="4">
        <f t="shared" si="203"/>
        <v>3.5189500000000026E-2</v>
      </c>
      <c r="R1634" s="66">
        <f t="shared" si="204"/>
        <v>1.5416712496939818E-2</v>
      </c>
      <c r="S1634" s="66">
        <f t="shared" si="205"/>
        <v>2.5032199462810129E-2</v>
      </c>
      <c r="T1634" s="50">
        <f t="shared" si="206"/>
        <v>1</v>
      </c>
      <c r="U1634" s="50">
        <f t="shared" si="207"/>
        <v>1</v>
      </c>
    </row>
    <row r="1635" spans="1:21" x14ac:dyDescent="0.2">
      <c r="A1635" s="38">
        <v>43335</v>
      </c>
      <c r="B1635" s="4">
        <v>0.38461499999999998</v>
      </c>
      <c r="C1635" s="4">
        <v>0.34472900000000001</v>
      </c>
      <c r="D1635" s="4">
        <v>0.27065499999999998</v>
      </c>
      <c r="E1635" s="50">
        <v>0.99999899999999997</v>
      </c>
      <c r="F1635" s="50">
        <v>0.34649600000000003</v>
      </c>
      <c r="G1635" s="50">
        <v>0.11396000000000001</v>
      </c>
      <c r="H1635" s="50">
        <v>0.38134825777511999</v>
      </c>
      <c r="I1635" s="50">
        <v>0.48252030752954</v>
      </c>
      <c r="J1635" s="50">
        <v>0.28017620802071003</v>
      </c>
      <c r="K1635" s="50">
        <v>2873.23</v>
      </c>
      <c r="L1635" s="50">
        <v>2802.49</v>
      </c>
      <c r="M1635" s="50">
        <v>2861.82</v>
      </c>
      <c r="N1635" s="66">
        <f t="shared" si="200"/>
        <v>1.8247129449091765E-2</v>
      </c>
      <c r="O1635" s="66">
        <f t="shared" si="201"/>
        <v>1.6119113011999236E-2</v>
      </c>
      <c r="P1635" s="4">
        <f t="shared" si="202"/>
        <v>0.11396000000000001</v>
      </c>
      <c r="Q1635" s="4">
        <f t="shared" si="203"/>
        <v>5.2130750000000017E-2</v>
      </c>
      <c r="R1635" s="66">
        <f t="shared" si="204"/>
        <v>1.8247129449091765E-2</v>
      </c>
      <c r="S1635" s="66">
        <f t="shared" si="205"/>
        <v>1.6119113011999236E-2</v>
      </c>
      <c r="T1635" s="50">
        <f t="shared" si="206"/>
        <v>1</v>
      </c>
      <c r="U1635" s="50">
        <f t="shared" si="207"/>
        <v>1</v>
      </c>
    </row>
    <row r="1636" spans="1:21" x14ac:dyDescent="0.2">
      <c r="A1636" s="38">
        <v>43342</v>
      </c>
      <c r="B1636" s="4">
        <v>0.43495899999999998</v>
      </c>
      <c r="C1636" s="4">
        <v>0.32113799999999998</v>
      </c>
      <c r="D1636" s="4">
        <v>0.24390200000000001</v>
      </c>
      <c r="E1636" s="50">
        <v>0.99999899999999997</v>
      </c>
      <c r="F1636" s="50">
        <v>0.36604687499999999</v>
      </c>
      <c r="G1636" s="50">
        <v>0.191057</v>
      </c>
      <c r="H1636" s="50">
        <v>0.38134825777511999</v>
      </c>
      <c r="I1636" s="50">
        <v>0.48252030752954</v>
      </c>
      <c r="J1636" s="50">
        <v>0.28017620802071003</v>
      </c>
      <c r="K1636" s="50">
        <v>2916.5</v>
      </c>
      <c r="L1636" s="50">
        <v>2854.03</v>
      </c>
      <c r="M1636" s="50">
        <v>2914.04</v>
      </c>
      <c r="N1636" s="66">
        <f t="shared" si="200"/>
        <v>-8.7301478359940333E-3</v>
      </c>
      <c r="O1636" s="66">
        <f t="shared" si="201"/>
        <v>-2.7693511413707994E-3</v>
      </c>
      <c r="P1636" s="4">
        <f t="shared" si="202"/>
        <v>0.19105699999999998</v>
      </c>
      <c r="Q1636" s="4">
        <f t="shared" si="203"/>
        <v>0.10730750000000001</v>
      </c>
      <c r="R1636" s="66">
        <f t="shared" si="204"/>
        <v>-8.7301478359940333E-3</v>
      </c>
      <c r="S1636" s="66">
        <f t="shared" si="205"/>
        <v>-2.7693511413707994E-3</v>
      </c>
      <c r="T1636" s="50" t="str">
        <f t="shared" si="206"/>
        <v/>
      </c>
      <c r="U1636" s="50" t="str">
        <f t="shared" si="207"/>
        <v/>
      </c>
    </row>
    <row r="1637" spans="1:21" x14ac:dyDescent="0.2">
      <c r="A1637" s="38">
        <v>43349</v>
      </c>
      <c r="B1637" s="4">
        <v>0.42222199999999999</v>
      </c>
      <c r="C1637" s="4">
        <v>0.31481500000000001</v>
      </c>
      <c r="D1637" s="4">
        <v>0.262963</v>
      </c>
      <c r="E1637" s="50">
        <v>1</v>
      </c>
      <c r="F1637" s="50">
        <v>0.36501112499999999</v>
      </c>
      <c r="G1637" s="50">
        <v>0.15925900000000001</v>
      </c>
      <c r="H1637" s="50">
        <v>0.38134825777511999</v>
      </c>
      <c r="I1637" s="50">
        <v>0.48252030752954</v>
      </c>
      <c r="J1637" s="50">
        <v>0.28017620802071003</v>
      </c>
      <c r="K1637" s="50">
        <v>2916.5</v>
      </c>
      <c r="L1637" s="50">
        <v>2876.92</v>
      </c>
      <c r="M1637" s="50">
        <v>2888.6</v>
      </c>
      <c r="N1637" s="66">
        <f t="shared" si="200"/>
        <v>1.1078030880016746E-4</v>
      </c>
      <c r="O1637" s="66">
        <f t="shared" si="201"/>
        <v>1.2777816243162885E-2</v>
      </c>
      <c r="P1637" s="4">
        <f t="shared" si="202"/>
        <v>0.15925899999999998</v>
      </c>
      <c r="Q1637" s="4">
        <f t="shared" si="203"/>
        <v>0.13379950000000002</v>
      </c>
      <c r="R1637" s="66">
        <f t="shared" si="204"/>
        <v>1.1078030880016746E-4</v>
      </c>
      <c r="S1637" s="66">
        <f t="shared" si="205"/>
        <v>1.2777816243162885E-2</v>
      </c>
      <c r="T1637" s="50">
        <f t="shared" si="206"/>
        <v>1</v>
      </c>
      <c r="U1637" s="50">
        <f t="shared" si="207"/>
        <v>1</v>
      </c>
    </row>
    <row r="1638" spans="1:21" x14ac:dyDescent="0.2">
      <c r="A1638" s="38">
        <v>43356</v>
      </c>
      <c r="B1638" s="4">
        <v>0.32089600000000001</v>
      </c>
      <c r="C1638" s="4">
        <v>0.350746</v>
      </c>
      <c r="D1638" s="4">
        <v>0.32835799999999998</v>
      </c>
      <c r="E1638" s="50">
        <v>1</v>
      </c>
      <c r="F1638" s="50">
        <v>0.361794</v>
      </c>
      <c r="G1638" s="50">
        <v>-7.4619999999999999E-3</v>
      </c>
      <c r="H1638" s="50">
        <v>0.38134825777511999</v>
      </c>
      <c r="I1638" s="50">
        <v>0.48252030752954</v>
      </c>
      <c r="J1638" s="50">
        <v>0.28017620802071003</v>
      </c>
      <c r="K1638" s="50">
        <v>2894.65</v>
      </c>
      <c r="L1638" s="50">
        <v>2864.12</v>
      </c>
      <c r="M1638" s="50">
        <v>2888.92</v>
      </c>
      <c r="N1638" s="66">
        <f t="shared" si="200"/>
        <v>6.587236752834881E-3</v>
      </c>
      <c r="O1638" s="66">
        <f t="shared" si="201"/>
        <v>-3.5736538221896152E-2</v>
      </c>
      <c r="P1638" s="4">
        <f t="shared" si="202"/>
        <v>-7.4619999999999687E-3</v>
      </c>
      <c r="Q1638" s="4">
        <f t="shared" si="203"/>
        <v>0.1142035</v>
      </c>
      <c r="R1638" s="66">
        <f t="shared" si="204"/>
        <v>6.587236752834881E-3</v>
      </c>
      <c r="S1638" s="66">
        <f t="shared" si="205"/>
        <v>-3.5736538221896152E-2</v>
      </c>
      <c r="T1638" s="50">
        <f t="shared" si="206"/>
        <v>1</v>
      </c>
      <c r="U1638" s="50" t="str">
        <f t="shared" si="207"/>
        <v/>
      </c>
    </row>
    <row r="1639" spans="1:21" x14ac:dyDescent="0.2">
      <c r="A1639" s="38">
        <v>43363</v>
      </c>
      <c r="B1639" s="4">
        <v>0.32042300000000001</v>
      </c>
      <c r="C1639" s="4">
        <v>0.359155</v>
      </c>
      <c r="D1639" s="4">
        <v>0.32042300000000001</v>
      </c>
      <c r="E1639" s="50">
        <v>1.0000009999999999</v>
      </c>
      <c r="F1639" s="50">
        <v>0.36244474999999998</v>
      </c>
      <c r="G1639" s="50">
        <v>0</v>
      </c>
      <c r="H1639" s="50">
        <v>0.38134825777511999</v>
      </c>
      <c r="I1639" s="50">
        <v>0.48252030752954</v>
      </c>
      <c r="J1639" s="50">
        <v>0.28017620802071003</v>
      </c>
      <c r="K1639" s="50">
        <v>2912.36</v>
      </c>
      <c r="L1639" s="50">
        <v>2879.2</v>
      </c>
      <c r="M1639" s="50">
        <v>2907.95</v>
      </c>
      <c r="N1639" s="66">
        <f t="shared" si="200"/>
        <v>-6.8089203734590284E-4</v>
      </c>
      <c r="O1639" s="66">
        <f t="shared" si="201"/>
        <v>-3.395519180178469E-2</v>
      </c>
      <c r="P1639" s="4">
        <f t="shared" si="202"/>
        <v>0</v>
      </c>
      <c r="Q1639" s="4">
        <f t="shared" si="203"/>
        <v>8.5713499999999998E-2</v>
      </c>
      <c r="R1639" s="66">
        <f t="shared" si="204"/>
        <v>-6.8089203734590284E-4</v>
      </c>
      <c r="S1639" s="66">
        <f t="shared" si="205"/>
        <v>-3.395519180178469E-2</v>
      </c>
      <c r="T1639" s="50" t="str">
        <f t="shared" si="206"/>
        <v/>
      </c>
      <c r="U1639" s="50" t="str">
        <f t="shared" si="207"/>
        <v/>
      </c>
    </row>
    <row r="1640" spans="1:21" x14ac:dyDescent="0.2">
      <c r="A1640" s="38">
        <v>43370</v>
      </c>
      <c r="B1640" s="4">
        <v>0.362205</v>
      </c>
      <c r="C1640" s="4">
        <v>0.32677200000000001</v>
      </c>
      <c r="D1640" s="4">
        <v>0.31102400000000002</v>
      </c>
      <c r="E1640" s="50">
        <v>1.0000009999999999</v>
      </c>
      <c r="F1640" s="50">
        <v>0.37133224999999997</v>
      </c>
      <c r="G1640" s="50">
        <v>5.1180999999999997E-2</v>
      </c>
      <c r="H1640" s="50">
        <v>0.38134825777511999</v>
      </c>
      <c r="I1640" s="50">
        <v>0.48252030752954</v>
      </c>
      <c r="J1640" s="50">
        <v>0.28017620802071003</v>
      </c>
      <c r="K1640" s="50">
        <v>2940.91</v>
      </c>
      <c r="L1640" s="50">
        <v>2903.28</v>
      </c>
      <c r="M1640" s="50">
        <v>2905.97</v>
      </c>
      <c r="N1640" s="66">
        <f t="shared" si="200"/>
        <v>6.7240886863940167E-3</v>
      </c>
      <c r="O1640" s="66">
        <f t="shared" si="201"/>
        <v>-8.5985058345406151E-2</v>
      </c>
      <c r="P1640" s="4">
        <f t="shared" si="202"/>
        <v>5.1180999999999977E-2</v>
      </c>
      <c r="Q1640" s="4">
        <f t="shared" si="203"/>
        <v>5.0744499999999998E-2</v>
      </c>
      <c r="R1640" s="66">
        <f t="shared" si="204"/>
        <v>6.7240886863940167E-3</v>
      </c>
      <c r="S1640" s="66">
        <f t="shared" si="205"/>
        <v>-8.5985058345406151E-2</v>
      </c>
      <c r="T1640" s="50">
        <f t="shared" si="206"/>
        <v>1</v>
      </c>
      <c r="U1640" s="50" t="str">
        <f t="shared" si="207"/>
        <v/>
      </c>
    </row>
    <row r="1641" spans="1:21" x14ac:dyDescent="0.2">
      <c r="A1641" s="38">
        <v>43377</v>
      </c>
      <c r="B1641" s="4">
        <v>0.456621</v>
      </c>
      <c r="C1641" s="4">
        <v>0.29223700000000002</v>
      </c>
      <c r="D1641" s="4">
        <v>0.25114199999999998</v>
      </c>
      <c r="E1641" s="50">
        <v>1</v>
      </c>
      <c r="F1641" s="50">
        <v>0.38295537499999999</v>
      </c>
      <c r="G1641" s="50">
        <v>0.20547899999999999</v>
      </c>
      <c r="H1641" s="50">
        <v>0.38134825777511999</v>
      </c>
      <c r="I1641" s="50">
        <v>0.48252030752954</v>
      </c>
      <c r="J1641" s="50">
        <v>0.28017620802071003</v>
      </c>
      <c r="K1641" s="50">
        <v>2939.86</v>
      </c>
      <c r="L1641" s="50">
        <v>2903.28</v>
      </c>
      <c r="M1641" s="50">
        <v>2925.51</v>
      </c>
      <c r="N1641" s="66">
        <f t="shared" si="200"/>
        <v>-4.7796794405078218E-2</v>
      </c>
      <c r="O1641" s="66">
        <f t="shared" si="201"/>
        <v>-7.3071020095641592E-2</v>
      </c>
      <c r="P1641" s="4">
        <f t="shared" si="202"/>
        <v>0.20547900000000002</v>
      </c>
      <c r="Q1641" s="4">
        <f t="shared" si="203"/>
        <v>6.2299500000000008E-2</v>
      </c>
      <c r="R1641" s="66">
        <f t="shared" si="204"/>
        <v>-4.7796794405078218E-2</v>
      </c>
      <c r="S1641" s="66">
        <f t="shared" si="205"/>
        <v>-7.3071020095641592E-2</v>
      </c>
      <c r="T1641" s="50" t="str">
        <f t="shared" si="206"/>
        <v/>
      </c>
      <c r="U1641" s="50" t="str">
        <f t="shared" si="207"/>
        <v/>
      </c>
    </row>
    <row r="1642" spans="1:21" x14ac:dyDescent="0.2">
      <c r="A1642" s="38">
        <v>43384</v>
      </c>
      <c r="B1642" s="4">
        <v>0.30606100000000003</v>
      </c>
      <c r="C1642" s="4">
        <v>0.33939399999999997</v>
      </c>
      <c r="D1642" s="4">
        <v>0.354545</v>
      </c>
      <c r="E1642" s="50">
        <v>1</v>
      </c>
      <c r="F1642" s="50">
        <v>0.37600024999999998</v>
      </c>
      <c r="G1642" s="50">
        <v>-4.8483999999999999E-2</v>
      </c>
      <c r="H1642" s="50">
        <v>0.38134825777511999</v>
      </c>
      <c r="I1642" s="50">
        <v>0.48252030752954</v>
      </c>
      <c r="J1642" s="50">
        <v>0.28017620802071003</v>
      </c>
      <c r="K1642" s="50">
        <v>2939.86</v>
      </c>
      <c r="L1642" s="50">
        <v>2784.86</v>
      </c>
      <c r="M1642" s="50">
        <v>2785.68</v>
      </c>
      <c r="N1642" s="66">
        <f t="shared" si="200"/>
        <v>8.4467706269206085E-3</v>
      </c>
      <c r="O1642" s="66">
        <f t="shared" si="201"/>
        <v>1.0126791304098116E-2</v>
      </c>
      <c r="P1642" s="4">
        <f t="shared" si="202"/>
        <v>-4.8483999999999972E-2</v>
      </c>
      <c r="Q1642" s="4">
        <f t="shared" si="203"/>
        <v>5.2044000000000007E-2</v>
      </c>
      <c r="R1642" s="66">
        <f t="shared" si="204"/>
        <v>8.4467706269206085E-3</v>
      </c>
      <c r="S1642" s="66">
        <f t="shared" si="205"/>
        <v>1.0126791304098116E-2</v>
      </c>
      <c r="T1642" s="50">
        <f t="shared" si="206"/>
        <v>1</v>
      </c>
      <c r="U1642" s="50">
        <f t="shared" si="207"/>
        <v>1</v>
      </c>
    </row>
    <row r="1643" spans="1:21" x14ac:dyDescent="0.2">
      <c r="A1643" s="38">
        <v>43391</v>
      </c>
      <c r="B1643" s="4">
        <v>0.33934999999999998</v>
      </c>
      <c r="C1643" s="4">
        <v>0.31046899999999999</v>
      </c>
      <c r="D1643" s="4">
        <v>0.35018100000000002</v>
      </c>
      <c r="E1643" s="50">
        <v>1</v>
      </c>
      <c r="F1643" s="50">
        <v>0.37034212500000002</v>
      </c>
      <c r="G1643" s="50">
        <v>-1.0831E-2</v>
      </c>
      <c r="H1643" s="50">
        <v>0.38134825777511999</v>
      </c>
      <c r="I1643" s="50">
        <v>0.48252030752954</v>
      </c>
      <c r="J1643" s="50">
        <v>0.28017620802071003</v>
      </c>
      <c r="K1643" s="50">
        <v>2874.02</v>
      </c>
      <c r="L1643" s="50">
        <v>2710.51</v>
      </c>
      <c r="M1643" s="50">
        <v>2809.21</v>
      </c>
      <c r="N1643" s="66">
        <f t="shared" si="200"/>
        <v>-5.4502867354167234E-2</v>
      </c>
      <c r="O1643" s="66">
        <f t="shared" si="201"/>
        <v>-3.8313262447449675E-2</v>
      </c>
      <c r="P1643" s="4">
        <f t="shared" si="202"/>
        <v>-1.0831000000000035E-2</v>
      </c>
      <c r="Q1643" s="4">
        <f t="shared" si="203"/>
        <v>4.9336249999999998E-2</v>
      </c>
      <c r="R1643" s="66">
        <f t="shared" si="204"/>
        <v>-5.4502867354167234E-2</v>
      </c>
      <c r="S1643" s="66">
        <f t="shared" si="205"/>
        <v>-3.8313262447449675E-2</v>
      </c>
      <c r="T1643" s="50" t="str">
        <f t="shared" si="206"/>
        <v/>
      </c>
      <c r="U1643" s="50" t="str">
        <f t="shared" si="207"/>
        <v/>
      </c>
    </row>
    <row r="1644" spans="1:21" x14ac:dyDescent="0.2">
      <c r="A1644" s="38">
        <v>43398</v>
      </c>
      <c r="B1644" s="4">
        <v>0.27969300000000002</v>
      </c>
      <c r="C1644" s="4">
        <v>0.31034499999999998</v>
      </c>
      <c r="D1644" s="4">
        <v>0.40996199999999999</v>
      </c>
      <c r="E1644" s="50">
        <v>1</v>
      </c>
      <c r="F1644" s="50">
        <v>0.35093387500000001</v>
      </c>
      <c r="G1644" s="50">
        <v>-0.130269</v>
      </c>
      <c r="H1644" s="50">
        <v>0.38134825777511999</v>
      </c>
      <c r="I1644" s="50">
        <v>0.48252030752954</v>
      </c>
      <c r="J1644" s="50">
        <v>0.28017620802071003</v>
      </c>
      <c r="K1644" s="50">
        <v>2816.94</v>
      </c>
      <c r="L1644" s="50">
        <v>2651.89</v>
      </c>
      <c r="M1644" s="50">
        <v>2656.1</v>
      </c>
      <c r="N1644" s="66">
        <f t="shared" si="200"/>
        <v>2.0948006475659756E-2</v>
      </c>
      <c r="O1644" s="66">
        <f t="shared" si="201"/>
        <v>-2.3229547080305985E-3</v>
      </c>
      <c r="P1644" s="4">
        <f t="shared" si="202"/>
        <v>-0.13026899999999997</v>
      </c>
      <c r="Q1644" s="4">
        <f t="shared" si="203"/>
        <v>3.973750000000012E-3</v>
      </c>
      <c r="R1644" s="66">
        <f t="shared" si="204"/>
        <v>2.0948006475659756E-2</v>
      </c>
      <c r="S1644" s="66">
        <f t="shared" si="205"/>
        <v>-2.3229547080305985E-3</v>
      </c>
      <c r="T1644" s="50">
        <f t="shared" si="206"/>
        <v>1</v>
      </c>
      <c r="U1644" s="50" t="str">
        <f t="shared" si="207"/>
        <v/>
      </c>
    </row>
    <row r="1645" spans="1:21" x14ac:dyDescent="0.2">
      <c r="A1645" s="38">
        <v>43405</v>
      </c>
      <c r="B1645" s="4">
        <v>0.37930999999999998</v>
      </c>
      <c r="C1645" s="4">
        <v>0.275862</v>
      </c>
      <c r="D1645" s="4">
        <v>0.34482800000000002</v>
      </c>
      <c r="E1645" s="50">
        <v>1</v>
      </c>
      <c r="F1645" s="50">
        <v>0.34556987500000003</v>
      </c>
      <c r="G1645" s="50">
        <v>3.4481999999999999E-2</v>
      </c>
      <c r="H1645" s="50">
        <v>0.38134825777511999</v>
      </c>
      <c r="I1645" s="50">
        <v>0.48252030752954</v>
      </c>
      <c r="J1645" s="50">
        <v>0.28017620802071003</v>
      </c>
      <c r="K1645" s="50">
        <v>2742.59</v>
      </c>
      <c r="L1645" s="50">
        <v>2603.54</v>
      </c>
      <c r="M1645" s="50">
        <v>2711.74</v>
      </c>
      <c r="N1645" s="66">
        <f t="shared" si="200"/>
        <v>3.7669540590174612E-2</v>
      </c>
      <c r="O1645" s="66">
        <f t="shared" si="201"/>
        <v>1.1818979695693607E-2</v>
      </c>
      <c r="P1645" s="4">
        <f t="shared" si="202"/>
        <v>3.4481999999999957E-2</v>
      </c>
      <c r="Q1645" s="4">
        <f t="shared" si="203"/>
        <v>-3.8775500000000004E-2</v>
      </c>
      <c r="R1645" s="66">
        <f t="shared" si="204"/>
        <v>3.7669540590174612E-2</v>
      </c>
      <c r="S1645" s="66">
        <f t="shared" si="205"/>
        <v>1.1818979695693607E-2</v>
      </c>
      <c r="T1645" s="50">
        <f t="shared" si="206"/>
        <v>1</v>
      </c>
      <c r="U1645" s="50">
        <f t="shared" si="207"/>
        <v>1</v>
      </c>
    </row>
    <row r="1646" spans="1:21" x14ac:dyDescent="0.2">
      <c r="A1646" s="38">
        <v>43412</v>
      </c>
      <c r="B1646" s="4">
        <v>0.41284399999999999</v>
      </c>
      <c r="C1646" s="4">
        <v>0.275229</v>
      </c>
      <c r="D1646" s="4">
        <v>0.31192700000000001</v>
      </c>
      <c r="E1646" s="50">
        <v>1</v>
      </c>
      <c r="F1646" s="50">
        <v>0.35706337500000002</v>
      </c>
      <c r="G1646" s="50">
        <v>0.10091700000000001</v>
      </c>
      <c r="H1646" s="50">
        <v>0.38134825777511999</v>
      </c>
      <c r="I1646" s="50">
        <v>0.48252030752954</v>
      </c>
      <c r="J1646" s="50">
        <v>0.28017620802071003</v>
      </c>
      <c r="K1646" s="50">
        <v>2815.15</v>
      </c>
      <c r="L1646" s="50">
        <v>2700.44</v>
      </c>
      <c r="M1646" s="50">
        <v>2813.89</v>
      </c>
      <c r="N1646" s="66">
        <f t="shared" si="200"/>
        <v>-3.9912718691917579E-2</v>
      </c>
      <c r="O1646" s="66">
        <f t="shared" si="201"/>
        <v>-4.0452896168649069E-2</v>
      </c>
      <c r="P1646" s="4">
        <f t="shared" si="202"/>
        <v>0.10091699999999998</v>
      </c>
      <c r="Q1646" s="4">
        <f t="shared" si="203"/>
        <v>-1.4252500000000168E-3</v>
      </c>
      <c r="R1646" s="66">
        <f t="shared" si="204"/>
        <v>-3.9912718691917579E-2</v>
      </c>
      <c r="S1646" s="66">
        <f t="shared" si="205"/>
        <v>-4.0452896168649069E-2</v>
      </c>
      <c r="T1646" s="50" t="str">
        <f t="shared" si="206"/>
        <v/>
      </c>
      <c r="U1646" s="50" t="str">
        <f t="shared" si="207"/>
        <v/>
      </c>
    </row>
    <row r="1647" spans="1:21" x14ac:dyDescent="0.2">
      <c r="A1647" s="38">
        <v>43419</v>
      </c>
      <c r="B1647" s="4">
        <v>0.35087699999999999</v>
      </c>
      <c r="C1647" s="4">
        <v>0.28947400000000001</v>
      </c>
      <c r="D1647" s="4">
        <v>0.359649</v>
      </c>
      <c r="E1647" s="50">
        <v>1</v>
      </c>
      <c r="F1647" s="50">
        <v>0.36087012499999999</v>
      </c>
      <c r="G1647" s="50">
        <v>-8.7720000000000003E-3</v>
      </c>
      <c r="H1647" s="50">
        <v>0.38134825777511999</v>
      </c>
      <c r="I1647" s="50">
        <v>0.48252030752954</v>
      </c>
      <c r="J1647" s="50">
        <v>0.28017620802071003</v>
      </c>
      <c r="K1647" s="50">
        <v>2815.15</v>
      </c>
      <c r="L1647" s="50">
        <v>2685.75</v>
      </c>
      <c r="M1647" s="50">
        <v>2701.58</v>
      </c>
      <c r="N1647" s="66">
        <f t="shared" si="200"/>
        <v>-1.9118441800724056E-2</v>
      </c>
      <c r="O1647" s="66">
        <f t="shared" si="201"/>
        <v>-1.8696466512189078E-2</v>
      </c>
      <c r="P1647" s="4">
        <f t="shared" si="202"/>
        <v>-8.772000000000002E-3</v>
      </c>
      <c r="Q1647" s="4">
        <f t="shared" si="203"/>
        <v>-9.1050000000000852E-4</v>
      </c>
      <c r="R1647" s="66">
        <f t="shared" si="204"/>
        <v>-1.9118441800724056E-2</v>
      </c>
      <c r="S1647" s="66">
        <f t="shared" si="205"/>
        <v>-1.8696466512189078E-2</v>
      </c>
      <c r="T1647" s="50" t="str">
        <f t="shared" si="206"/>
        <v/>
      </c>
      <c r="U1647" s="50" t="str">
        <f t="shared" si="207"/>
        <v/>
      </c>
    </row>
    <row r="1648" spans="1:21" x14ac:dyDescent="0.2">
      <c r="A1648" s="38">
        <v>43426</v>
      </c>
      <c r="B1648" s="4">
        <v>0.252525</v>
      </c>
      <c r="C1648" s="4">
        <v>0.27609400000000001</v>
      </c>
      <c r="D1648" s="4">
        <v>0.47138000000000002</v>
      </c>
      <c r="E1648" s="50">
        <v>0.99999899999999997</v>
      </c>
      <c r="F1648" s="50">
        <v>0.34716012499999999</v>
      </c>
      <c r="G1648" s="50">
        <v>-0.21885499999999999</v>
      </c>
      <c r="H1648" s="50">
        <v>0.38134825777511999</v>
      </c>
      <c r="I1648" s="50">
        <v>0.48252030752954</v>
      </c>
      <c r="J1648" s="50">
        <v>0.28017620802071003</v>
      </c>
      <c r="K1648" s="50">
        <v>2746.8</v>
      </c>
      <c r="L1648" s="50">
        <v>2631.52</v>
      </c>
      <c r="M1648" s="50">
        <v>2649.93</v>
      </c>
      <c r="N1648" s="66">
        <f t="shared" si="200"/>
        <v>3.5419803541980405E-2</v>
      </c>
      <c r="O1648" s="66">
        <f t="shared" si="201"/>
        <v>-5.395236855313152E-2</v>
      </c>
      <c r="P1648" s="4">
        <f t="shared" si="202"/>
        <v>-0.21885500000000002</v>
      </c>
      <c r="Q1648" s="4">
        <f t="shared" si="203"/>
        <v>-2.3057000000000022E-2</v>
      </c>
      <c r="R1648" s="66">
        <f t="shared" si="204"/>
        <v>3.5419803541980405E-2</v>
      </c>
      <c r="S1648" s="66">
        <f t="shared" si="205"/>
        <v>-5.395236855313152E-2</v>
      </c>
      <c r="T1648" s="50">
        <f t="shared" si="206"/>
        <v>1</v>
      </c>
      <c r="U1648" s="50" t="str">
        <f t="shared" si="207"/>
        <v/>
      </c>
    </row>
    <row r="1649" spans="1:21" x14ac:dyDescent="0.2">
      <c r="A1649" s="38">
        <v>43433</v>
      </c>
      <c r="B1649" s="4">
        <v>0.33881600000000001</v>
      </c>
      <c r="C1649" s="4">
        <v>0.26644699999999999</v>
      </c>
      <c r="D1649" s="4">
        <v>0.394737</v>
      </c>
      <c r="E1649" s="50">
        <v>1</v>
      </c>
      <c r="F1649" s="50">
        <v>0.33243450000000002</v>
      </c>
      <c r="G1649" s="50">
        <v>-5.5920999999999998E-2</v>
      </c>
      <c r="H1649" s="50">
        <v>0.38134825777511999</v>
      </c>
      <c r="I1649" s="50">
        <v>0.48252030752954</v>
      </c>
      <c r="J1649" s="50">
        <v>0.28017620802071003</v>
      </c>
      <c r="K1649" s="50">
        <v>2744</v>
      </c>
      <c r="L1649" s="50">
        <v>2631.09</v>
      </c>
      <c r="M1649" s="50">
        <v>2743.79</v>
      </c>
      <c r="N1649" s="66">
        <f t="shared" si="200"/>
        <v>-1.5937808651536749E-2</v>
      </c>
      <c r="O1649" s="66">
        <f t="shared" si="201"/>
        <v>-0.10062358999777685</v>
      </c>
      <c r="P1649" s="4">
        <f t="shared" si="202"/>
        <v>-5.5920999999999998E-2</v>
      </c>
      <c r="Q1649" s="4">
        <f t="shared" si="203"/>
        <v>-4.5657750000000011E-2</v>
      </c>
      <c r="R1649" s="66">
        <f t="shared" si="204"/>
        <v>-1.5937808651536749E-2</v>
      </c>
      <c r="S1649" s="66">
        <f t="shared" si="205"/>
        <v>-0.10062358999777685</v>
      </c>
      <c r="T1649" s="50" t="str">
        <f t="shared" si="206"/>
        <v/>
      </c>
      <c r="U1649" s="50" t="str">
        <f t="shared" si="207"/>
        <v/>
      </c>
    </row>
    <row r="1650" spans="1:21" x14ac:dyDescent="0.2">
      <c r="A1650" s="38">
        <v>43440</v>
      </c>
      <c r="B1650" s="4">
        <v>0.37943300000000002</v>
      </c>
      <c r="C1650" s="4">
        <v>0.31560300000000002</v>
      </c>
      <c r="D1650" s="4">
        <v>0.30496499999999999</v>
      </c>
      <c r="E1650" s="50">
        <v>1.0000009999999999</v>
      </c>
      <c r="F1650" s="50">
        <v>0.34160600000000002</v>
      </c>
      <c r="G1650" s="50">
        <v>7.4468000000000006E-2</v>
      </c>
      <c r="H1650" s="50">
        <v>0.38134825777511999</v>
      </c>
      <c r="I1650" s="50">
        <v>0.48252030752954</v>
      </c>
      <c r="J1650" s="50">
        <v>0.28017620802071003</v>
      </c>
      <c r="K1650" s="50">
        <v>2800.18</v>
      </c>
      <c r="L1650" s="50">
        <v>2655.89</v>
      </c>
      <c r="M1650" s="50">
        <v>2700.06</v>
      </c>
      <c r="N1650" s="66">
        <f t="shared" si="200"/>
        <v>-1.814404124352784E-2</v>
      </c>
      <c r="O1650" s="66">
        <f t="shared" si="201"/>
        <v>-7.0379917483315096E-2</v>
      </c>
      <c r="P1650" s="4">
        <f t="shared" si="202"/>
        <v>7.4468000000000034E-2</v>
      </c>
      <c r="Q1650" s="4">
        <f t="shared" si="203"/>
        <v>-5.2269999999999997E-2</v>
      </c>
      <c r="R1650" s="66">
        <f t="shared" si="204"/>
        <v>-1.814404124352784E-2</v>
      </c>
      <c r="S1650" s="66">
        <f t="shared" si="205"/>
        <v>-7.0379917483315096E-2</v>
      </c>
      <c r="T1650" s="50" t="str">
        <f t="shared" si="206"/>
        <v/>
      </c>
      <c r="U1650" s="50" t="str">
        <f t="shared" si="207"/>
        <v/>
      </c>
    </row>
    <row r="1651" spans="1:21" x14ac:dyDescent="0.2">
      <c r="A1651" s="38">
        <v>43447</v>
      </c>
      <c r="B1651" s="4">
        <v>0.20904</v>
      </c>
      <c r="C1651" s="4">
        <v>0.30225999999999997</v>
      </c>
      <c r="D1651" s="4">
        <v>0.488701</v>
      </c>
      <c r="E1651" s="50">
        <v>1.0000009999999999</v>
      </c>
      <c r="F1651" s="50">
        <v>0.32531725</v>
      </c>
      <c r="G1651" s="50">
        <v>-0.27966099999999999</v>
      </c>
      <c r="H1651" s="50">
        <v>0.38134825777511999</v>
      </c>
      <c r="I1651" s="50">
        <v>0.48252030752954</v>
      </c>
      <c r="J1651" s="50">
        <v>0.28017620802071003</v>
      </c>
      <c r="K1651" s="50">
        <v>2785.93</v>
      </c>
      <c r="L1651" s="50">
        <v>2583.23</v>
      </c>
      <c r="M1651" s="50">
        <v>2651.07</v>
      </c>
      <c r="N1651" s="66">
        <f t="shared" si="200"/>
        <v>-5.4359183273168993E-2</v>
      </c>
      <c r="O1651" s="66">
        <f t="shared" si="201"/>
        <v>-2.4937100868705889E-2</v>
      </c>
      <c r="P1651" s="4">
        <f t="shared" si="202"/>
        <v>-0.27966099999999999</v>
      </c>
      <c r="Q1651" s="4">
        <f t="shared" si="203"/>
        <v>-0.11999224999999999</v>
      </c>
      <c r="R1651" s="66">
        <f t="shared" si="204"/>
        <v>-5.4359183273168993E-2</v>
      </c>
      <c r="S1651" s="66">
        <f t="shared" si="205"/>
        <v>-2.4937100868705889E-2</v>
      </c>
      <c r="T1651" s="50" t="str">
        <f t="shared" si="206"/>
        <v/>
      </c>
      <c r="U1651" s="50" t="str">
        <f t="shared" si="207"/>
        <v/>
      </c>
    </row>
    <row r="1652" spans="1:21" x14ac:dyDescent="0.2">
      <c r="A1652" s="38">
        <v>43454</v>
      </c>
      <c r="B1652" s="4">
        <v>0.24864900000000001</v>
      </c>
      <c r="C1652" s="4">
        <v>0.27837800000000001</v>
      </c>
      <c r="D1652" s="4">
        <v>0.47297299999999998</v>
      </c>
      <c r="E1652" s="50">
        <v>1</v>
      </c>
      <c r="F1652" s="50">
        <v>0.32143674999999999</v>
      </c>
      <c r="G1652" s="50">
        <v>-0.224324</v>
      </c>
      <c r="H1652" s="50">
        <v>0.38134825777511999</v>
      </c>
      <c r="I1652" s="50">
        <v>0.48252030752954</v>
      </c>
      <c r="J1652" s="50">
        <v>0.28017620802071003</v>
      </c>
      <c r="K1652" s="50">
        <v>2685.44</v>
      </c>
      <c r="L1652" s="50">
        <v>2488.96</v>
      </c>
      <c r="M1652" s="50">
        <v>2506.96</v>
      </c>
      <c r="N1652" s="66">
        <f t="shared" si="200"/>
        <v>-1.5660401442384488E-2</v>
      </c>
      <c r="O1652" s="66">
        <f t="shared" si="201"/>
        <v>4.3534799119251948E-2</v>
      </c>
      <c r="P1652" s="4">
        <f t="shared" si="202"/>
        <v>-0.22432399999999997</v>
      </c>
      <c r="Q1652" s="4">
        <f t="shared" si="203"/>
        <v>-0.12135949999999998</v>
      </c>
      <c r="R1652" s="66">
        <f t="shared" si="204"/>
        <v>-1.5660401442384488E-2</v>
      </c>
      <c r="S1652" s="66">
        <f t="shared" si="205"/>
        <v>4.3534799119251948E-2</v>
      </c>
      <c r="T1652" s="50" t="str">
        <f t="shared" si="206"/>
        <v/>
      </c>
      <c r="U1652" s="50">
        <f t="shared" si="207"/>
        <v>1</v>
      </c>
    </row>
    <row r="1653" spans="1:21" x14ac:dyDescent="0.2">
      <c r="A1653" s="38">
        <v>43461</v>
      </c>
      <c r="B1653" s="4">
        <v>0.31547599999999998</v>
      </c>
      <c r="C1653" s="4">
        <v>0.18154799999999999</v>
      </c>
      <c r="D1653" s="4">
        <v>0.50297599999999998</v>
      </c>
      <c r="E1653" s="50">
        <v>1</v>
      </c>
      <c r="F1653" s="50">
        <v>0.3134575</v>
      </c>
      <c r="G1653" s="50">
        <v>-0.1875</v>
      </c>
      <c r="H1653" s="50">
        <v>0.38134825777511999</v>
      </c>
      <c r="I1653" s="50">
        <v>0.48252030752954</v>
      </c>
      <c r="J1653" s="50">
        <v>0.28017620802071003</v>
      </c>
      <c r="K1653" s="50">
        <v>2585.29</v>
      </c>
      <c r="L1653" s="50">
        <v>2346.58</v>
      </c>
      <c r="M1653" s="50">
        <v>2467.6999999999998</v>
      </c>
      <c r="N1653" s="66">
        <f t="shared" si="200"/>
        <v>1.7153624832840452E-2</v>
      </c>
      <c r="O1653" s="66">
        <f t="shared" si="201"/>
        <v>6.9295295214167038E-2</v>
      </c>
      <c r="P1653" s="4">
        <f t="shared" si="202"/>
        <v>-0.1875</v>
      </c>
      <c r="Q1653" s="4">
        <f t="shared" si="203"/>
        <v>-0.15425424999999998</v>
      </c>
      <c r="R1653" s="66">
        <f t="shared" si="204"/>
        <v>1.7153624832840452E-2</v>
      </c>
      <c r="S1653" s="66">
        <f t="shared" si="205"/>
        <v>6.9295295214167038E-2</v>
      </c>
      <c r="T1653" s="50">
        <f t="shared" si="206"/>
        <v>1</v>
      </c>
      <c r="U1653" s="50">
        <f t="shared" si="207"/>
        <v>1</v>
      </c>
    </row>
    <row r="1654" spans="1:21" x14ac:dyDescent="0.2">
      <c r="A1654" s="38">
        <v>43468</v>
      </c>
      <c r="B1654" s="4">
        <v>0.33018900000000001</v>
      </c>
      <c r="C1654" s="4">
        <v>0.24213799999999999</v>
      </c>
      <c r="D1654" s="4">
        <v>0.42767300000000003</v>
      </c>
      <c r="E1654" s="50">
        <v>1</v>
      </c>
      <c r="F1654" s="50">
        <v>0.30312562500000001</v>
      </c>
      <c r="G1654" s="50">
        <v>-9.7484000000000001E-2</v>
      </c>
      <c r="H1654" s="50">
        <v>0.38134825777511999</v>
      </c>
      <c r="I1654" s="50">
        <v>0.48252030752954</v>
      </c>
      <c r="J1654" s="50">
        <v>0.28017620802071003</v>
      </c>
      <c r="K1654" s="50">
        <v>2520.27</v>
      </c>
      <c r="L1654" s="50">
        <v>2346.58</v>
      </c>
      <c r="M1654" s="50">
        <v>2510.0300000000002</v>
      </c>
      <c r="N1654" s="66">
        <f t="shared" si="200"/>
        <v>2.9852232841838477E-2</v>
      </c>
      <c r="O1654" s="66">
        <f t="shared" si="201"/>
        <v>6.8134643809038123E-2</v>
      </c>
      <c r="P1654" s="4">
        <f t="shared" si="202"/>
        <v>-9.7484000000000015E-2</v>
      </c>
      <c r="Q1654" s="4">
        <f t="shared" si="203"/>
        <v>-0.19724224999999998</v>
      </c>
      <c r="R1654" s="66">
        <f t="shared" si="204"/>
        <v>2.9852232841838477E-2</v>
      </c>
      <c r="S1654" s="66">
        <f t="shared" si="205"/>
        <v>6.8134643809038123E-2</v>
      </c>
      <c r="T1654" s="50">
        <f t="shared" si="206"/>
        <v>1</v>
      </c>
      <c r="U1654" s="50">
        <f t="shared" si="207"/>
        <v>1</v>
      </c>
    </row>
    <row r="1655" spans="1:21" x14ac:dyDescent="0.2">
      <c r="A1655" s="38">
        <v>43475</v>
      </c>
      <c r="B1655" s="4">
        <v>0.38461499999999998</v>
      </c>
      <c r="C1655" s="4">
        <v>0.32167800000000002</v>
      </c>
      <c r="D1655" s="4">
        <v>0.29370600000000002</v>
      </c>
      <c r="E1655" s="50">
        <v>0.99999899999999997</v>
      </c>
      <c r="F1655" s="50">
        <v>0.30734287500000002</v>
      </c>
      <c r="G1655" s="50">
        <v>9.0909000000000004E-2</v>
      </c>
      <c r="H1655" s="50">
        <v>0.38134825777511999</v>
      </c>
      <c r="I1655" s="50">
        <v>0.48252030752954</v>
      </c>
      <c r="J1655" s="50">
        <v>0.28017620802071003</v>
      </c>
      <c r="K1655" s="50">
        <v>2595.3200000000002</v>
      </c>
      <c r="L1655" s="50">
        <v>2443.96</v>
      </c>
      <c r="M1655" s="50">
        <v>2584.96</v>
      </c>
      <c r="N1655" s="66">
        <f t="shared" si="200"/>
        <v>1.204660807130473E-2</v>
      </c>
      <c r="O1655" s="66">
        <f t="shared" si="201"/>
        <v>5.6732019064124818E-2</v>
      </c>
      <c r="P1655" s="4">
        <f t="shared" si="202"/>
        <v>9.0908999999999962E-2</v>
      </c>
      <c r="Q1655" s="4">
        <f t="shared" si="203"/>
        <v>-0.10459975000000001</v>
      </c>
      <c r="R1655" s="66">
        <f t="shared" si="204"/>
        <v>1.204660807130473E-2</v>
      </c>
      <c r="S1655" s="66">
        <f t="shared" si="205"/>
        <v>5.6732019064124818E-2</v>
      </c>
      <c r="T1655" s="50">
        <f t="shared" si="206"/>
        <v>1</v>
      </c>
      <c r="U1655" s="50">
        <f t="shared" si="207"/>
        <v>1</v>
      </c>
    </row>
    <row r="1656" spans="1:21" x14ac:dyDescent="0.2">
      <c r="A1656" s="38">
        <v>43482</v>
      </c>
      <c r="B1656" s="4">
        <v>0.33534700000000001</v>
      </c>
      <c r="C1656" s="4">
        <v>0.30211500000000002</v>
      </c>
      <c r="D1656" s="4">
        <v>0.36253800000000003</v>
      </c>
      <c r="E1656" s="50">
        <v>1</v>
      </c>
      <c r="F1656" s="50">
        <v>0.31769562499999998</v>
      </c>
      <c r="G1656" s="50">
        <v>-2.7191E-2</v>
      </c>
      <c r="H1656" s="50">
        <v>0.38134825777511999</v>
      </c>
      <c r="I1656" s="50">
        <v>0.48252030752954</v>
      </c>
      <c r="J1656" s="50">
        <v>0.28017620802071003</v>
      </c>
      <c r="K1656" s="50">
        <v>2625.76</v>
      </c>
      <c r="L1656" s="50">
        <v>2562.02</v>
      </c>
      <c r="M1656" s="50">
        <v>2616.1</v>
      </c>
      <c r="N1656" s="66">
        <f t="shared" si="200"/>
        <v>8.6388135010129243E-3</v>
      </c>
      <c r="O1656" s="66">
        <f t="shared" si="201"/>
        <v>5.2341271358128626E-2</v>
      </c>
      <c r="P1656" s="4">
        <f t="shared" si="202"/>
        <v>-2.7191000000000021E-2</v>
      </c>
      <c r="Q1656" s="4">
        <f t="shared" si="203"/>
        <v>-5.5316500000000018E-2</v>
      </c>
      <c r="R1656" s="66">
        <f t="shared" si="204"/>
        <v>8.6388135010129243E-3</v>
      </c>
      <c r="S1656" s="66">
        <f t="shared" si="205"/>
        <v>5.2341271358128626E-2</v>
      </c>
      <c r="T1656" s="50">
        <f t="shared" si="206"/>
        <v>1</v>
      </c>
      <c r="U1656" s="50">
        <f t="shared" si="207"/>
        <v>1</v>
      </c>
    </row>
    <row r="1657" spans="1:21" x14ac:dyDescent="0.2">
      <c r="A1657" s="38">
        <v>43489</v>
      </c>
      <c r="B1657" s="4">
        <v>0.37658999999999998</v>
      </c>
      <c r="C1657" s="4">
        <v>0.30025400000000002</v>
      </c>
      <c r="D1657" s="4">
        <v>0.32315500000000003</v>
      </c>
      <c r="E1657" s="50">
        <v>0.99999899999999997</v>
      </c>
      <c r="F1657" s="50">
        <v>0.32241737500000001</v>
      </c>
      <c r="G1657" s="50">
        <v>5.3435000000000003E-2</v>
      </c>
      <c r="H1657" s="50">
        <v>0.38134825777511999</v>
      </c>
      <c r="I1657" s="50">
        <v>0.48252030752954</v>
      </c>
      <c r="J1657" s="50">
        <v>0.28017620802071003</v>
      </c>
      <c r="K1657" s="50">
        <v>2675.47</v>
      </c>
      <c r="L1657" s="50">
        <v>2585.1</v>
      </c>
      <c r="M1657" s="50">
        <v>2638.7</v>
      </c>
      <c r="N1657" s="66">
        <f t="shared" si="200"/>
        <v>1.6049569863948294E-2</v>
      </c>
      <c r="O1657" s="66">
        <f t="shared" si="201"/>
        <v>5.3458142267025582E-2</v>
      </c>
      <c r="P1657" s="4">
        <f t="shared" si="202"/>
        <v>5.3434999999999955E-2</v>
      </c>
      <c r="Q1657" s="4">
        <f t="shared" si="203"/>
        <v>4.9172499999999703E-3</v>
      </c>
      <c r="R1657" s="66">
        <f t="shared" si="204"/>
        <v>1.6049569863948294E-2</v>
      </c>
      <c r="S1657" s="66">
        <f t="shared" si="205"/>
        <v>5.3458142267025582E-2</v>
      </c>
      <c r="T1657" s="50">
        <f t="shared" si="206"/>
        <v>1</v>
      </c>
      <c r="U1657" s="50">
        <f t="shared" si="207"/>
        <v>1</v>
      </c>
    </row>
    <row r="1658" spans="1:21" x14ac:dyDescent="0.2">
      <c r="A1658" s="38">
        <v>43496</v>
      </c>
      <c r="B1658" s="4">
        <v>0.31756800000000002</v>
      </c>
      <c r="C1658" s="4">
        <v>0.36486499999999999</v>
      </c>
      <c r="D1658" s="4">
        <v>0.31756800000000002</v>
      </c>
      <c r="E1658" s="50">
        <v>1.0000009999999999</v>
      </c>
      <c r="F1658" s="50">
        <v>0.31468425</v>
      </c>
      <c r="G1658" s="50">
        <v>0</v>
      </c>
      <c r="H1658" s="50">
        <v>0.38134825777511999</v>
      </c>
      <c r="I1658" s="50">
        <v>0.48252030752954</v>
      </c>
      <c r="J1658" s="50">
        <v>0.28017620802071003</v>
      </c>
      <c r="K1658" s="50">
        <v>2690.44</v>
      </c>
      <c r="L1658" s="50">
        <v>2612.86</v>
      </c>
      <c r="M1658" s="50">
        <v>2681.05</v>
      </c>
      <c r="N1658" s="66">
        <f t="shared" si="200"/>
        <v>1.8858283135338744E-2</v>
      </c>
      <c r="O1658" s="66">
        <f t="shared" si="201"/>
        <v>4.1524775740847772E-2</v>
      </c>
      <c r="P1658" s="4">
        <f t="shared" si="202"/>
        <v>0</v>
      </c>
      <c r="Q1658" s="4">
        <f t="shared" si="203"/>
        <v>2.9288249999999974E-2</v>
      </c>
      <c r="R1658" s="66">
        <f t="shared" si="204"/>
        <v>1.8858283135338744E-2</v>
      </c>
      <c r="S1658" s="66">
        <f t="shared" si="205"/>
        <v>4.1524775740847772E-2</v>
      </c>
      <c r="T1658" s="50">
        <f t="shared" si="206"/>
        <v>1</v>
      </c>
      <c r="U1658" s="50">
        <f t="shared" si="207"/>
        <v>1</v>
      </c>
    </row>
    <row r="1659" spans="1:21" x14ac:dyDescent="0.2">
      <c r="A1659" s="38">
        <v>43503</v>
      </c>
      <c r="B1659" s="4">
        <v>0.39873399999999998</v>
      </c>
      <c r="C1659" s="4">
        <v>0.37341800000000003</v>
      </c>
      <c r="D1659" s="4">
        <v>0.22784799999999999</v>
      </c>
      <c r="E1659" s="50">
        <v>1</v>
      </c>
      <c r="F1659" s="50">
        <v>0.33839599999999997</v>
      </c>
      <c r="G1659" s="50">
        <v>0.17088600000000001</v>
      </c>
      <c r="H1659" s="50">
        <v>0.38134825777511999</v>
      </c>
      <c r="I1659" s="50">
        <v>0.48252030752954</v>
      </c>
      <c r="J1659" s="50">
        <v>0.28017620802071003</v>
      </c>
      <c r="K1659" s="50">
        <v>2738.98</v>
      </c>
      <c r="L1659" s="50">
        <v>2648.34</v>
      </c>
      <c r="M1659" s="50">
        <v>2731.61</v>
      </c>
      <c r="N1659" s="66">
        <f t="shared" si="200"/>
        <v>7.8415293544832794E-3</v>
      </c>
      <c r="O1659" s="66">
        <f t="shared" si="201"/>
        <v>1.4584805297974341E-2</v>
      </c>
      <c r="P1659" s="4">
        <f t="shared" si="202"/>
        <v>0.17088599999999998</v>
      </c>
      <c r="Q1659" s="4">
        <f t="shared" si="203"/>
        <v>4.9282499999999979E-2</v>
      </c>
      <c r="R1659" s="66">
        <f t="shared" si="204"/>
        <v>7.8415293544832794E-3</v>
      </c>
      <c r="S1659" s="66">
        <f t="shared" si="205"/>
        <v>1.4584805297974341E-2</v>
      </c>
      <c r="T1659" s="50">
        <f t="shared" si="206"/>
        <v>1</v>
      </c>
      <c r="U1659" s="50">
        <f t="shared" si="207"/>
        <v>1</v>
      </c>
    </row>
    <row r="1660" spans="1:21" x14ac:dyDescent="0.2">
      <c r="A1660" s="38">
        <v>43510</v>
      </c>
      <c r="B1660" s="4">
        <v>0.35103200000000001</v>
      </c>
      <c r="C1660" s="4">
        <v>0.39822999999999997</v>
      </c>
      <c r="D1660" s="4">
        <v>0.25073699999999999</v>
      </c>
      <c r="E1660" s="50">
        <v>0.99999899999999997</v>
      </c>
      <c r="F1660" s="50">
        <v>0.35119387499999999</v>
      </c>
      <c r="G1660" s="50">
        <v>0.100295</v>
      </c>
      <c r="H1660" s="50">
        <v>0.38134825777511999</v>
      </c>
      <c r="I1660" s="50">
        <v>0.48252030752954</v>
      </c>
      <c r="J1660" s="50">
        <v>0.28017620802071003</v>
      </c>
      <c r="K1660" s="50">
        <v>2761.85</v>
      </c>
      <c r="L1660" s="50">
        <v>2681.83</v>
      </c>
      <c r="M1660" s="50">
        <v>2753.03</v>
      </c>
      <c r="N1660" s="66">
        <f t="shared" si="200"/>
        <v>9.7093021143975968E-3</v>
      </c>
      <c r="O1660" s="66">
        <f t="shared" si="201"/>
        <v>2.102774034427517E-2</v>
      </c>
      <c r="P1660" s="4">
        <f t="shared" si="202"/>
        <v>0.10029500000000002</v>
      </c>
      <c r="Q1660" s="4">
        <f t="shared" si="203"/>
        <v>8.115399999999999E-2</v>
      </c>
      <c r="R1660" s="66">
        <f t="shared" si="204"/>
        <v>9.7093021143975968E-3</v>
      </c>
      <c r="S1660" s="66">
        <f t="shared" si="205"/>
        <v>2.102774034427517E-2</v>
      </c>
      <c r="T1660" s="50">
        <f t="shared" si="206"/>
        <v>1</v>
      </c>
      <c r="U1660" s="50">
        <f t="shared" si="207"/>
        <v>1</v>
      </c>
    </row>
    <row r="1661" spans="1:21" x14ac:dyDescent="0.2">
      <c r="A1661" s="38">
        <v>43517</v>
      </c>
      <c r="B1661" s="4">
        <v>0.39318900000000001</v>
      </c>
      <c r="C1661" s="4">
        <v>0.352941</v>
      </c>
      <c r="D1661" s="4">
        <v>0.25386999999999998</v>
      </c>
      <c r="E1661" s="50">
        <v>1</v>
      </c>
      <c r="F1661" s="50">
        <v>0.36090800000000001</v>
      </c>
      <c r="G1661" s="50">
        <v>0.139319</v>
      </c>
      <c r="H1661" s="50">
        <v>0.38134825777511999</v>
      </c>
      <c r="I1661" s="50">
        <v>0.48252030752954</v>
      </c>
      <c r="J1661" s="50">
        <v>0.28017620802071003</v>
      </c>
      <c r="K1661" s="50">
        <v>2787.33</v>
      </c>
      <c r="L1661" s="50">
        <v>2703.79</v>
      </c>
      <c r="M1661" s="50">
        <v>2779.76</v>
      </c>
      <c r="N1661" s="66">
        <f t="shared" si="200"/>
        <v>4.5399602843410542E-3</v>
      </c>
      <c r="O1661" s="66">
        <f t="shared" si="201"/>
        <v>1.5997783981350835E-2</v>
      </c>
      <c r="P1661" s="4">
        <f t="shared" si="202"/>
        <v>0.13931900000000003</v>
      </c>
      <c r="Q1661" s="4">
        <f t="shared" si="203"/>
        <v>0.10262500000000001</v>
      </c>
      <c r="R1661" s="66">
        <f t="shared" si="204"/>
        <v>4.5399602843410542E-3</v>
      </c>
      <c r="S1661" s="66">
        <f t="shared" si="205"/>
        <v>1.5997783981350835E-2</v>
      </c>
      <c r="T1661" s="50">
        <f t="shared" si="206"/>
        <v>1</v>
      </c>
      <c r="U1661" s="50">
        <f t="shared" si="207"/>
        <v>1</v>
      </c>
    </row>
    <row r="1662" spans="1:21" x14ac:dyDescent="0.2">
      <c r="A1662" s="38">
        <v>43524</v>
      </c>
      <c r="B1662" s="4">
        <v>0.416327</v>
      </c>
      <c r="C1662" s="4">
        <v>0.38367299999999999</v>
      </c>
      <c r="D1662" s="4">
        <v>0.2</v>
      </c>
      <c r="E1662" s="50">
        <v>1</v>
      </c>
      <c r="F1662" s="50">
        <v>0.37167525000000001</v>
      </c>
      <c r="G1662" s="50">
        <v>0.21632699999999999</v>
      </c>
      <c r="H1662" s="50">
        <v>0.38134825777511999</v>
      </c>
      <c r="I1662" s="50">
        <v>0.48252030752954</v>
      </c>
      <c r="J1662" s="50">
        <v>0.28017620802071003</v>
      </c>
      <c r="K1662" s="50">
        <v>2795.76</v>
      </c>
      <c r="L1662" s="50">
        <v>2764.55</v>
      </c>
      <c r="M1662" s="50">
        <v>2792.38</v>
      </c>
      <c r="N1662" s="66">
        <f t="shared" si="200"/>
        <v>-7.4953981907907559E-3</v>
      </c>
      <c r="O1662" s="66">
        <f t="shared" si="201"/>
        <v>4.6519456520959833E-3</v>
      </c>
      <c r="P1662" s="4">
        <f t="shared" si="202"/>
        <v>0.21632699999999999</v>
      </c>
      <c r="Q1662" s="4">
        <f t="shared" si="203"/>
        <v>0.15670675000000001</v>
      </c>
      <c r="R1662" s="66">
        <f t="shared" si="204"/>
        <v>-7.4953981907907559E-3</v>
      </c>
      <c r="S1662" s="66">
        <f t="shared" si="205"/>
        <v>4.6519456520959833E-3</v>
      </c>
      <c r="T1662" s="50" t="str">
        <f t="shared" si="206"/>
        <v/>
      </c>
      <c r="U1662" s="50">
        <f t="shared" si="207"/>
        <v>1</v>
      </c>
    </row>
    <row r="1663" spans="1:21" x14ac:dyDescent="0.2">
      <c r="A1663" s="38">
        <v>43531</v>
      </c>
      <c r="B1663" s="4">
        <v>0.37386000000000003</v>
      </c>
      <c r="C1663" s="4">
        <v>0.35866300000000001</v>
      </c>
      <c r="D1663" s="4">
        <v>0.26747700000000002</v>
      </c>
      <c r="E1663" s="50">
        <v>1</v>
      </c>
      <c r="F1663" s="50">
        <v>0.370330875</v>
      </c>
      <c r="G1663" s="50">
        <v>0.10638300000000001</v>
      </c>
      <c r="H1663" s="50">
        <v>0.38134825777511999</v>
      </c>
      <c r="I1663" s="50">
        <v>0.48252030752954</v>
      </c>
      <c r="J1663" s="50">
        <v>0.28017620802071003</v>
      </c>
      <c r="K1663" s="50">
        <v>2816.88</v>
      </c>
      <c r="L1663" s="50">
        <v>2767.66</v>
      </c>
      <c r="M1663" s="50">
        <v>2771.45</v>
      </c>
      <c r="N1663" s="66">
        <f t="shared" si="200"/>
        <v>1.4241642461527452E-2</v>
      </c>
      <c r="O1663" s="66">
        <f t="shared" si="201"/>
        <v>3.6785798047953337E-2</v>
      </c>
      <c r="P1663" s="4">
        <f t="shared" si="202"/>
        <v>0.10638300000000001</v>
      </c>
      <c r="Q1663" s="4">
        <f t="shared" si="203"/>
        <v>0.14058100000000001</v>
      </c>
      <c r="R1663" s="66">
        <f t="shared" si="204"/>
        <v>1.4241642461527452E-2</v>
      </c>
      <c r="S1663" s="66">
        <f t="shared" si="205"/>
        <v>3.6785798047953337E-2</v>
      </c>
      <c r="T1663" s="50">
        <f t="shared" si="206"/>
        <v>1</v>
      </c>
      <c r="U1663" s="50">
        <f t="shared" si="207"/>
        <v>1</v>
      </c>
    </row>
    <row r="1664" spans="1:21" x14ac:dyDescent="0.2">
      <c r="A1664" s="38">
        <v>43538</v>
      </c>
      <c r="B1664" s="4">
        <v>0.32423200000000002</v>
      </c>
      <c r="C1664" s="4">
        <v>0.36518800000000001</v>
      </c>
      <c r="D1664" s="4">
        <v>0.31058000000000002</v>
      </c>
      <c r="E1664" s="50">
        <v>1</v>
      </c>
      <c r="F1664" s="50">
        <v>0.36894149999999998</v>
      </c>
      <c r="G1664" s="50">
        <v>1.3651999999999999E-2</v>
      </c>
      <c r="H1664" s="50">
        <v>0.38134825777511999</v>
      </c>
      <c r="I1664" s="50">
        <v>0.48252030752954</v>
      </c>
      <c r="J1664" s="50">
        <v>0.28017620802071003</v>
      </c>
      <c r="K1664" s="50">
        <v>2821.24</v>
      </c>
      <c r="L1664" s="50">
        <v>2722.27</v>
      </c>
      <c r="M1664" s="50">
        <v>2810.92</v>
      </c>
      <c r="N1664" s="66">
        <f t="shared" si="200"/>
        <v>4.735104520939744E-3</v>
      </c>
      <c r="O1664" s="66">
        <f t="shared" si="201"/>
        <v>2.7496335719266275E-2</v>
      </c>
      <c r="P1664" s="4">
        <f t="shared" si="202"/>
        <v>1.3651999999999997E-2</v>
      </c>
      <c r="Q1664" s="4">
        <f t="shared" si="203"/>
        <v>0.11892025000000001</v>
      </c>
      <c r="R1664" s="66">
        <f t="shared" si="204"/>
        <v>4.735104520939744E-3</v>
      </c>
      <c r="S1664" s="66">
        <f t="shared" si="205"/>
        <v>2.7496335719266275E-2</v>
      </c>
      <c r="T1664" s="50">
        <f t="shared" si="206"/>
        <v>1</v>
      </c>
      <c r="U1664" s="50">
        <f t="shared" si="207"/>
        <v>1</v>
      </c>
    </row>
    <row r="1665" spans="1:21" x14ac:dyDescent="0.2">
      <c r="A1665" s="38">
        <v>43545</v>
      </c>
      <c r="B1665" s="4">
        <v>0.37301600000000001</v>
      </c>
      <c r="C1665" s="4">
        <v>0.39285700000000001</v>
      </c>
      <c r="D1665" s="4">
        <v>0.234127</v>
      </c>
      <c r="E1665" s="50">
        <v>1</v>
      </c>
      <c r="F1665" s="50">
        <v>0.36849474999999998</v>
      </c>
      <c r="G1665" s="50">
        <v>0.13888900000000001</v>
      </c>
      <c r="H1665" s="50">
        <v>0.38134825777511999</v>
      </c>
      <c r="I1665" s="50">
        <v>0.48252030752954</v>
      </c>
      <c r="J1665" s="50">
        <v>0.28017620802071003</v>
      </c>
      <c r="K1665" s="50">
        <v>2852.42</v>
      </c>
      <c r="L1665" s="50">
        <v>2799.78</v>
      </c>
      <c r="M1665" s="50">
        <v>2824.23</v>
      </c>
      <c r="N1665" s="66">
        <f t="shared" si="200"/>
        <v>-6.6779263728521145E-3</v>
      </c>
      <c r="O1665" s="66">
        <f t="shared" si="201"/>
        <v>2.698788696388035E-2</v>
      </c>
      <c r="P1665" s="4">
        <f t="shared" si="202"/>
        <v>0.13888900000000001</v>
      </c>
      <c r="Q1665" s="4">
        <f t="shared" si="203"/>
        <v>0.11881274999999999</v>
      </c>
      <c r="R1665" s="66">
        <f t="shared" si="204"/>
        <v>-6.6779263728521145E-3</v>
      </c>
      <c r="S1665" s="66">
        <f t="shared" si="205"/>
        <v>2.698788696388035E-2</v>
      </c>
      <c r="T1665" s="50" t="str">
        <f t="shared" si="206"/>
        <v/>
      </c>
      <c r="U1665" s="50">
        <f t="shared" si="207"/>
        <v>1</v>
      </c>
    </row>
    <row r="1666" spans="1:21" x14ac:dyDescent="0.2">
      <c r="A1666" s="38">
        <v>43552</v>
      </c>
      <c r="B1666" s="4">
        <v>0.33200000000000002</v>
      </c>
      <c r="C1666" s="4">
        <v>0.39600000000000002</v>
      </c>
      <c r="D1666" s="4">
        <v>0.27200000000000002</v>
      </c>
      <c r="E1666" s="50">
        <v>1</v>
      </c>
      <c r="F1666" s="50">
        <v>0.37029875000000001</v>
      </c>
      <c r="G1666" s="50">
        <v>0.06</v>
      </c>
      <c r="H1666" s="50">
        <v>0.38134825777511999</v>
      </c>
      <c r="I1666" s="50">
        <v>0.48252030752954</v>
      </c>
      <c r="J1666" s="50">
        <v>0.28017620802071003</v>
      </c>
      <c r="K1666" s="50">
        <v>2860.31</v>
      </c>
      <c r="L1666" s="50">
        <v>2785.02</v>
      </c>
      <c r="M1666" s="50">
        <v>2805.37</v>
      </c>
      <c r="N1666" s="66">
        <f t="shared" si="200"/>
        <v>2.4249920687823782E-2</v>
      </c>
      <c r="O1666" s="66">
        <f t="shared" si="201"/>
        <v>4.3445249646214268E-2</v>
      </c>
      <c r="P1666" s="4">
        <f t="shared" si="202"/>
        <v>0.06</v>
      </c>
      <c r="Q1666" s="4">
        <f t="shared" si="203"/>
        <v>7.973100000000001E-2</v>
      </c>
      <c r="R1666" s="66">
        <f t="shared" si="204"/>
        <v>2.4249920687823782E-2</v>
      </c>
      <c r="S1666" s="66">
        <f t="shared" si="205"/>
        <v>4.3445249646214268E-2</v>
      </c>
      <c r="T1666" s="50">
        <f t="shared" si="206"/>
        <v>1</v>
      </c>
      <c r="U1666" s="50">
        <f t="shared" si="207"/>
        <v>1</v>
      </c>
    </row>
    <row r="1667" spans="1:21" x14ac:dyDescent="0.2">
      <c r="A1667" s="38">
        <v>43559</v>
      </c>
      <c r="B1667" s="4">
        <v>0.35021099999999999</v>
      </c>
      <c r="C1667" s="4">
        <v>0.367089</v>
      </c>
      <c r="D1667" s="4">
        <v>0.28270000000000001</v>
      </c>
      <c r="E1667" s="50">
        <v>1</v>
      </c>
      <c r="F1667" s="50">
        <v>0.36423337500000003</v>
      </c>
      <c r="G1667" s="50">
        <v>6.7511000000000002E-2</v>
      </c>
      <c r="H1667" s="50">
        <v>0.38134825777511999</v>
      </c>
      <c r="I1667" s="50">
        <v>0.48252030752954</v>
      </c>
      <c r="J1667" s="50">
        <v>0.28017620802071003</v>
      </c>
      <c r="K1667" s="50">
        <v>2885.25</v>
      </c>
      <c r="L1667" s="50">
        <v>2787.72</v>
      </c>
      <c r="M1667" s="50">
        <v>2873.4</v>
      </c>
      <c r="N1667" s="66">
        <f t="shared" si="200"/>
        <v>5.1541727570125788E-3</v>
      </c>
      <c r="O1667" s="66">
        <f t="shared" si="201"/>
        <v>1.751583489942226E-2</v>
      </c>
      <c r="P1667" s="4">
        <f t="shared" si="202"/>
        <v>6.7510999999999988E-2</v>
      </c>
      <c r="Q1667" s="4">
        <f t="shared" si="203"/>
        <v>7.0012999999999992E-2</v>
      </c>
      <c r="R1667" s="66">
        <f t="shared" si="204"/>
        <v>5.1541727570125788E-3</v>
      </c>
      <c r="S1667" s="66">
        <f t="shared" si="205"/>
        <v>1.751583489942226E-2</v>
      </c>
      <c r="T1667" s="50">
        <f t="shared" si="206"/>
        <v>1</v>
      </c>
      <c r="U1667" s="50">
        <f t="shared" si="207"/>
        <v>1</v>
      </c>
    </row>
    <row r="1668" spans="1:21" x14ac:dyDescent="0.2">
      <c r="A1668" s="38">
        <v>43566</v>
      </c>
      <c r="B1668" s="4">
        <v>0.40287800000000001</v>
      </c>
      <c r="C1668" s="4">
        <v>0.393285</v>
      </c>
      <c r="D1668" s="4">
        <v>0.20383699999999999</v>
      </c>
      <c r="E1668" s="50">
        <v>1</v>
      </c>
      <c r="F1668" s="50">
        <v>0.37071412500000001</v>
      </c>
      <c r="G1668" s="50">
        <v>0.199041</v>
      </c>
      <c r="H1668" s="50">
        <v>0.38134825777511999</v>
      </c>
      <c r="I1668" s="50">
        <v>0.48252030752954</v>
      </c>
      <c r="J1668" s="50">
        <v>0.28017620802071003</v>
      </c>
      <c r="K1668" s="50">
        <v>2895.95</v>
      </c>
      <c r="L1668" s="50">
        <v>2865.17</v>
      </c>
      <c r="M1668" s="50">
        <v>2888.21</v>
      </c>
      <c r="N1668" s="66">
        <f t="shared" si="200"/>
        <v>4.2379189878851541E-3</v>
      </c>
      <c r="O1668" s="66">
        <f t="shared" si="201"/>
        <v>-3.0434075084567825E-3</v>
      </c>
      <c r="P1668" s="4">
        <f t="shared" si="202"/>
        <v>0.19904100000000002</v>
      </c>
      <c r="Q1668" s="4">
        <f t="shared" si="203"/>
        <v>0.11636025</v>
      </c>
      <c r="R1668" s="66">
        <f t="shared" si="204"/>
        <v>4.2379189878851541E-3</v>
      </c>
      <c r="S1668" s="66">
        <f t="shared" si="205"/>
        <v>-3.0434075084567825E-3</v>
      </c>
      <c r="T1668" s="50">
        <f t="shared" si="206"/>
        <v>1</v>
      </c>
      <c r="U1668" s="50" t="str">
        <f t="shared" si="207"/>
        <v/>
      </c>
    </row>
    <row r="1669" spans="1:21" x14ac:dyDescent="0.2">
      <c r="A1669" s="38">
        <v>43573</v>
      </c>
      <c r="B1669" s="4">
        <v>0.375635</v>
      </c>
      <c r="C1669" s="4">
        <v>0.40609099999999998</v>
      </c>
      <c r="D1669" s="4">
        <v>0.218274</v>
      </c>
      <c r="E1669" s="50">
        <v>1</v>
      </c>
      <c r="F1669" s="50">
        <v>0.368519875</v>
      </c>
      <c r="G1669" s="50">
        <v>0.157361</v>
      </c>
      <c r="H1669" s="50">
        <v>0.38134825777511999</v>
      </c>
      <c r="I1669" s="50">
        <v>0.48252030752954</v>
      </c>
      <c r="J1669" s="50">
        <v>0.28017620802071003</v>
      </c>
      <c r="K1669" s="50">
        <v>2918</v>
      </c>
      <c r="L1669" s="50">
        <v>2879.13</v>
      </c>
      <c r="M1669" s="50">
        <v>2900.45</v>
      </c>
      <c r="N1669" s="66">
        <f t="shared" si="200"/>
        <v>9.239945525694352E-3</v>
      </c>
      <c r="O1669" s="66">
        <f t="shared" si="201"/>
        <v>-1.7062869554724192E-2</v>
      </c>
      <c r="P1669" s="4">
        <f t="shared" si="202"/>
        <v>0.157361</v>
      </c>
      <c r="Q1669" s="4">
        <f t="shared" si="203"/>
        <v>0.12097825000000001</v>
      </c>
      <c r="R1669" s="66">
        <f t="shared" si="204"/>
        <v>9.239945525694352E-3</v>
      </c>
      <c r="S1669" s="66">
        <f t="shared" si="205"/>
        <v>-1.7062869554724192E-2</v>
      </c>
      <c r="T1669" s="50">
        <f t="shared" si="206"/>
        <v>1</v>
      </c>
      <c r="U1669" s="50" t="str">
        <f t="shared" si="207"/>
        <v/>
      </c>
    </row>
    <row r="1670" spans="1:21" x14ac:dyDescent="0.2">
      <c r="A1670" s="38">
        <v>43580</v>
      </c>
      <c r="B1670" s="4">
        <v>0.335227</v>
      </c>
      <c r="C1670" s="4">
        <v>0.46306799999999998</v>
      </c>
      <c r="D1670" s="4">
        <v>0.201705</v>
      </c>
      <c r="E1670" s="50">
        <v>1</v>
      </c>
      <c r="F1670" s="50">
        <v>0.35838237499999998</v>
      </c>
      <c r="G1670" s="50">
        <v>0.133522</v>
      </c>
      <c r="H1670" s="50">
        <v>0.38134825777511999</v>
      </c>
      <c r="I1670" s="50">
        <v>0.48252030752954</v>
      </c>
      <c r="J1670" s="50">
        <v>0.28017620802071003</v>
      </c>
      <c r="K1670" s="50">
        <v>2936.83</v>
      </c>
      <c r="L1670" s="50">
        <v>2891.9</v>
      </c>
      <c r="M1670" s="50">
        <v>2927.25</v>
      </c>
      <c r="N1670" s="66">
        <f t="shared" si="200"/>
        <v>-1.2024938081817344E-3</v>
      </c>
      <c r="O1670" s="66">
        <f t="shared" si="201"/>
        <v>-2.424801434793749E-2</v>
      </c>
      <c r="P1670" s="4">
        <f t="shared" si="202"/>
        <v>0.133522</v>
      </c>
      <c r="Q1670" s="4">
        <f t="shared" si="203"/>
        <v>0.13935875</v>
      </c>
      <c r="R1670" s="66">
        <f t="shared" si="204"/>
        <v>-1.2024938081817344E-3</v>
      </c>
      <c r="S1670" s="66">
        <f t="shared" si="205"/>
        <v>-2.424801434793749E-2</v>
      </c>
      <c r="T1670" s="50" t="str">
        <f t="shared" si="206"/>
        <v/>
      </c>
      <c r="U1670" s="50" t="str">
        <f t="shared" si="207"/>
        <v/>
      </c>
    </row>
    <row r="1671" spans="1:21" x14ac:dyDescent="0.2">
      <c r="A1671" s="38">
        <v>43587</v>
      </c>
      <c r="B1671" s="4">
        <v>0.39024399999999998</v>
      </c>
      <c r="C1671" s="4">
        <v>0.396341</v>
      </c>
      <c r="D1671" s="4">
        <v>0.21341499999999999</v>
      </c>
      <c r="E1671" s="50">
        <v>1</v>
      </c>
      <c r="F1671" s="50">
        <v>0.36043037500000003</v>
      </c>
      <c r="G1671" s="50">
        <v>0.17682899999999999</v>
      </c>
      <c r="H1671" s="50">
        <v>0.38134825777511999</v>
      </c>
      <c r="I1671" s="50">
        <v>0.48252030752954</v>
      </c>
      <c r="J1671" s="50">
        <v>0.28017620802071003</v>
      </c>
      <c r="K1671" s="50">
        <v>2954.13</v>
      </c>
      <c r="L1671" s="50">
        <v>2912.84</v>
      </c>
      <c r="M1671" s="50">
        <v>2923.73</v>
      </c>
      <c r="N1671" s="66">
        <f t="shared" si="200"/>
        <v>-1.5155298197849987E-2</v>
      </c>
      <c r="O1671" s="66">
        <f t="shared" si="201"/>
        <v>-4.8126879020976641E-2</v>
      </c>
      <c r="P1671" s="4">
        <f t="shared" si="202"/>
        <v>0.17682899999999999</v>
      </c>
      <c r="Q1671" s="4">
        <f t="shared" si="203"/>
        <v>0.16668825000000001</v>
      </c>
      <c r="R1671" s="66">
        <f t="shared" si="204"/>
        <v>-1.5155298197849987E-2</v>
      </c>
      <c r="S1671" s="66">
        <f t="shared" si="205"/>
        <v>-4.8126879020976641E-2</v>
      </c>
      <c r="T1671" s="50" t="str">
        <f t="shared" si="206"/>
        <v/>
      </c>
      <c r="U1671" s="50" t="str">
        <f t="shared" si="207"/>
        <v/>
      </c>
    </row>
    <row r="1672" spans="1:21" x14ac:dyDescent="0.2">
      <c r="A1672" s="38">
        <v>43594</v>
      </c>
      <c r="B1672" s="4">
        <v>0.43115900000000001</v>
      </c>
      <c r="C1672" s="4">
        <v>0.33695700000000001</v>
      </c>
      <c r="D1672" s="4">
        <v>0.23188400000000001</v>
      </c>
      <c r="E1672" s="50">
        <v>1</v>
      </c>
      <c r="F1672" s="50">
        <v>0.37379625</v>
      </c>
      <c r="G1672" s="50">
        <v>0.19927500000000001</v>
      </c>
      <c r="H1672" s="50">
        <v>0.38134825777511999</v>
      </c>
      <c r="I1672" s="50">
        <v>0.48252030752954</v>
      </c>
      <c r="J1672" s="50">
        <v>0.28017620802071003</v>
      </c>
      <c r="K1672" s="50">
        <v>2954.13</v>
      </c>
      <c r="L1672" s="50">
        <v>2862.6</v>
      </c>
      <c r="M1672" s="50">
        <v>2879.42</v>
      </c>
      <c r="N1672" s="66">
        <f t="shared" si="200"/>
        <v>-9.8839349591237254E-3</v>
      </c>
      <c r="O1672" s="66">
        <f t="shared" si="201"/>
        <v>-1.8500253523278987E-2</v>
      </c>
      <c r="P1672" s="4">
        <f t="shared" si="202"/>
        <v>0.19927500000000001</v>
      </c>
      <c r="Q1672" s="4">
        <f t="shared" si="203"/>
        <v>0.16674675</v>
      </c>
      <c r="R1672" s="66">
        <f t="shared" si="204"/>
        <v>-9.8839349591237254E-3</v>
      </c>
      <c r="S1672" s="66">
        <f t="shared" si="205"/>
        <v>-1.8500253523278987E-2</v>
      </c>
      <c r="T1672" s="50" t="str">
        <f t="shared" si="206"/>
        <v/>
      </c>
      <c r="U1672" s="50" t="str">
        <f t="shared" si="207"/>
        <v/>
      </c>
    </row>
    <row r="1673" spans="1:21" x14ac:dyDescent="0.2">
      <c r="A1673" s="38">
        <v>43601</v>
      </c>
      <c r="B1673" s="4">
        <v>0.29824600000000001</v>
      </c>
      <c r="C1673" s="4">
        <v>0.30877199999999999</v>
      </c>
      <c r="D1673" s="4">
        <v>0.392982</v>
      </c>
      <c r="E1673" s="50">
        <v>1</v>
      </c>
      <c r="F1673" s="50">
        <v>0.36445</v>
      </c>
      <c r="G1673" s="50">
        <v>-9.4736000000000001E-2</v>
      </c>
      <c r="H1673" s="50">
        <v>0.38134825777511999</v>
      </c>
      <c r="I1673" s="50">
        <v>0.48252030752954</v>
      </c>
      <c r="J1673" s="50">
        <v>0.28017620802071003</v>
      </c>
      <c r="K1673" s="50">
        <v>2897.96</v>
      </c>
      <c r="L1673" s="50">
        <v>2801.43</v>
      </c>
      <c r="M1673" s="50">
        <v>2850.96</v>
      </c>
      <c r="N1673" s="66">
        <f t="shared" si="200"/>
        <v>1.8625305160366843E-3</v>
      </c>
      <c r="O1673" s="66">
        <f t="shared" si="201"/>
        <v>1.0129921149367269E-2</v>
      </c>
      <c r="P1673" s="4">
        <f t="shared" si="202"/>
        <v>-9.4735999999999987E-2</v>
      </c>
      <c r="Q1673" s="4">
        <f t="shared" si="203"/>
        <v>0.10372250000000001</v>
      </c>
      <c r="R1673" s="66">
        <f t="shared" si="204"/>
        <v>1.8625305160366843E-3</v>
      </c>
      <c r="S1673" s="66">
        <f t="shared" si="205"/>
        <v>1.0129921149367269E-2</v>
      </c>
      <c r="T1673" s="50">
        <f t="shared" si="206"/>
        <v>1</v>
      </c>
      <c r="U1673" s="50">
        <f t="shared" si="207"/>
        <v>1</v>
      </c>
    </row>
    <row r="1674" spans="1:21" x14ac:dyDescent="0.2">
      <c r="A1674" s="38">
        <v>43608</v>
      </c>
      <c r="B1674" s="4">
        <v>0.247059</v>
      </c>
      <c r="C1674" s="4">
        <v>0.39215699999999998</v>
      </c>
      <c r="D1674" s="4">
        <v>0.36078399999999999</v>
      </c>
      <c r="E1674" s="50">
        <v>1</v>
      </c>
      <c r="F1674" s="50">
        <v>0.35383237499999998</v>
      </c>
      <c r="G1674" s="50">
        <v>-0.11372500000000001</v>
      </c>
      <c r="H1674" s="50">
        <v>0.38134825777511999</v>
      </c>
      <c r="I1674" s="50">
        <v>0.48252030752954</v>
      </c>
      <c r="J1674" s="50">
        <v>0.28017620802071003</v>
      </c>
      <c r="K1674" s="50">
        <v>2892.15</v>
      </c>
      <c r="L1674" s="50">
        <v>2815.08</v>
      </c>
      <c r="M1674" s="50">
        <v>2856.27</v>
      </c>
      <c r="N1674" s="66">
        <f t="shared" si="200"/>
        <v>-2.5645334649735493E-2</v>
      </c>
      <c r="O1674" s="66">
        <f t="shared" si="201"/>
        <v>2.4574007359248268E-2</v>
      </c>
      <c r="P1674" s="4">
        <f t="shared" si="202"/>
        <v>-0.11372499999999999</v>
      </c>
      <c r="Q1674" s="4">
        <f t="shared" si="203"/>
        <v>4.1910750000000004E-2</v>
      </c>
      <c r="R1674" s="66">
        <f t="shared" si="204"/>
        <v>-2.5645334649735493E-2</v>
      </c>
      <c r="S1674" s="66">
        <f t="shared" si="205"/>
        <v>2.4574007359248268E-2</v>
      </c>
      <c r="T1674" s="50" t="str">
        <f t="shared" si="206"/>
        <v/>
      </c>
      <c r="U1674" s="50">
        <f t="shared" si="207"/>
        <v>1</v>
      </c>
    </row>
    <row r="1675" spans="1:21" x14ac:dyDescent="0.2">
      <c r="A1675" s="38">
        <v>43615</v>
      </c>
      <c r="B1675" s="4">
        <v>0.24793399999999999</v>
      </c>
      <c r="C1675" s="4">
        <v>0.35124</v>
      </c>
      <c r="D1675" s="4">
        <v>0.40082600000000002</v>
      </c>
      <c r="E1675" s="50">
        <v>1</v>
      </c>
      <c r="F1675" s="50">
        <v>0.34104774999999998</v>
      </c>
      <c r="G1675" s="50">
        <v>-0.152892</v>
      </c>
      <c r="H1675" s="50">
        <v>0.38134825777511999</v>
      </c>
      <c r="I1675" s="50">
        <v>0.48252030752954</v>
      </c>
      <c r="J1675" s="50">
        <v>0.28017620802071003</v>
      </c>
      <c r="K1675" s="50">
        <v>2868.88</v>
      </c>
      <c r="L1675" s="50">
        <v>2766.06</v>
      </c>
      <c r="M1675" s="50">
        <v>2783.02</v>
      </c>
      <c r="N1675" s="66">
        <f t="shared" si="200"/>
        <v>1.5497553017944574E-2</v>
      </c>
      <c r="O1675" s="66">
        <f t="shared" si="201"/>
        <v>4.6984930040028537E-2</v>
      </c>
      <c r="P1675" s="4">
        <f t="shared" si="202"/>
        <v>-0.15289200000000003</v>
      </c>
      <c r="Q1675" s="4">
        <f t="shared" si="203"/>
        <v>-4.05195E-2</v>
      </c>
      <c r="R1675" s="66">
        <f t="shared" si="204"/>
        <v>1.5497553017944574E-2</v>
      </c>
      <c r="S1675" s="66">
        <f t="shared" si="205"/>
        <v>4.6984930040028537E-2</v>
      </c>
      <c r="T1675" s="50">
        <f t="shared" si="206"/>
        <v>1</v>
      </c>
      <c r="U1675" s="50">
        <f t="shared" si="207"/>
        <v>1</v>
      </c>
    </row>
    <row r="1676" spans="1:21" x14ac:dyDescent="0.2">
      <c r="A1676" s="38">
        <v>43622</v>
      </c>
      <c r="B1676" s="4">
        <v>0.225275</v>
      </c>
      <c r="C1676" s="4">
        <v>0.34890100000000002</v>
      </c>
      <c r="D1676" s="4">
        <v>0.42582399999999998</v>
      </c>
      <c r="E1676" s="50">
        <v>1</v>
      </c>
      <c r="F1676" s="50">
        <v>0.31884737499999999</v>
      </c>
      <c r="G1676" s="50">
        <v>-0.20054900000000001</v>
      </c>
      <c r="H1676" s="50">
        <v>0.38134825777511999</v>
      </c>
      <c r="I1676" s="50">
        <v>0.48252030752954</v>
      </c>
      <c r="J1676" s="50">
        <v>0.28017620802071003</v>
      </c>
      <c r="K1676" s="50">
        <v>2827.28</v>
      </c>
      <c r="L1676" s="50">
        <v>2728.81</v>
      </c>
      <c r="M1676" s="50">
        <v>2826.15</v>
      </c>
      <c r="N1676" s="66">
        <f t="shared" si="200"/>
        <v>1.8997576207915381E-2</v>
      </c>
      <c r="O1676" s="66">
        <f t="shared" si="201"/>
        <v>6.0035737664313665E-2</v>
      </c>
      <c r="P1676" s="4">
        <f t="shared" si="202"/>
        <v>-0.20054899999999998</v>
      </c>
      <c r="Q1676" s="4">
        <f t="shared" si="203"/>
        <v>-0.1404755</v>
      </c>
      <c r="R1676" s="66">
        <f t="shared" si="204"/>
        <v>1.8997576207915381E-2</v>
      </c>
      <c r="S1676" s="66">
        <f t="shared" si="205"/>
        <v>6.0035737664313665E-2</v>
      </c>
      <c r="T1676" s="50">
        <f t="shared" si="206"/>
        <v>1</v>
      </c>
      <c r="U1676" s="50">
        <f t="shared" si="207"/>
        <v>1</v>
      </c>
    </row>
    <row r="1677" spans="1:21" x14ac:dyDescent="0.2">
      <c r="A1677" s="38">
        <v>43629</v>
      </c>
      <c r="B1677" s="4">
        <v>0.26839800000000003</v>
      </c>
      <c r="C1677" s="4">
        <v>0.38961000000000001</v>
      </c>
      <c r="D1677" s="4">
        <v>0.34199099999999999</v>
      </c>
      <c r="E1677" s="50">
        <v>0.99999899999999997</v>
      </c>
      <c r="F1677" s="50">
        <v>0.30544274999999999</v>
      </c>
      <c r="G1677" s="50">
        <v>-7.3593000000000006E-2</v>
      </c>
      <c r="H1677" s="50">
        <v>0.38134825777511999</v>
      </c>
      <c r="I1677" s="50">
        <v>0.48252030752954</v>
      </c>
      <c r="J1677" s="50">
        <v>0.28017620802071003</v>
      </c>
      <c r="K1677" s="50">
        <v>2910.61</v>
      </c>
      <c r="L1677" s="50">
        <v>2800.92</v>
      </c>
      <c r="M1677" s="50">
        <v>2879.84</v>
      </c>
      <c r="N1677" s="66">
        <f t="shared" ref="N1677:N1740" si="208">(M1678-M1677)/M1677</f>
        <v>1.6188399355519714E-2</v>
      </c>
      <c r="O1677" s="66">
        <f t="shared" ref="O1677:O1740" si="209">(M1681-M1677)/M1677</f>
        <v>3.9318156564253574E-2</v>
      </c>
      <c r="P1677" s="4">
        <f t="shared" si="202"/>
        <v>-7.3592999999999964E-2</v>
      </c>
      <c r="Q1677" s="4">
        <f t="shared" si="203"/>
        <v>-0.13518975</v>
      </c>
      <c r="R1677" s="66">
        <f t="shared" si="204"/>
        <v>1.6188399355519714E-2</v>
      </c>
      <c r="S1677" s="66">
        <f t="shared" si="205"/>
        <v>3.9318156564253574E-2</v>
      </c>
      <c r="T1677" s="50">
        <f t="shared" si="206"/>
        <v>1</v>
      </c>
      <c r="U1677" s="50">
        <f t="shared" si="207"/>
        <v>1</v>
      </c>
    </row>
    <row r="1678" spans="1:21" x14ac:dyDescent="0.2">
      <c r="A1678" s="38">
        <v>43636</v>
      </c>
      <c r="B1678" s="4">
        <v>0.29508200000000001</v>
      </c>
      <c r="C1678" s="4">
        <v>0.38360699999999998</v>
      </c>
      <c r="D1678" s="4">
        <v>0.32131100000000001</v>
      </c>
      <c r="E1678" s="50">
        <v>1</v>
      </c>
      <c r="F1678" s="50">
        <v>0.300424625</v>
      </c>
      <c r="G1678" s="50">
        <v>-2.6228999999999999E-2</v>
      </c>
      <c r="H1678" s="50">
        <v>0.38134825777511999</v>
      </c>
      <c r="I1678" s="50">
        <v>0.48252030752954</v>
      </c>
      <c r="J1678" s="50">
        <v>0.28017620802071003</v>
      </c>
      <c r="K1678" s="50">
        <v>2931.74</v>
      </c>
      <c r="L1678" s="50">
        <v>2874.68</v>
      </c>
      <c r="M1678" s="50">
        <v>2926.46</v>
      </c>
      <c r="N1678" s="66">
        <f t="shared" si="208"/>
        <v>-4.3328799983597373E-3</v>
      </c>
      <c r="O1678" s="66">
        <f t="shared" si="209"/>
        <v>1.9805498793764493E-2</v>
      </c>
      <c r="P1678" s="4">
        <f t="shared" ref="P1678:P1686" si="210">B1678-D1678</f>
        <v>-2.6229000000000002E-2</v>
      </c>
      <c r="Q1678" s="4">
        <f t="shared" si="203"/>
        <v>-0.11331574999999999</v>
      </c>
      <c r="R1678" s="66">
        <f t="shared" si="204"/>
        <v>-4.3328799983597373E-3</v>
      </c>
      <c r="S1678" s="66">
        <f t="shared" si="205"/>
        <v>1.9805498793764493E-2</v>
      </c>
      <c r="T1678" s="50" t="str">
        <f t="shared" si="206"/>
        <v/>
      </c>
      <c r="U1678" s="50">
        <f t="shared" si="207"/>
        <v>1</v>
      </c>
    </row>
    <row r="1679" spans="1:21" x14ac:dyDescent="0.2">
      <c r="A1679" s="38">
        <v>43643</v>
      </c>
      <c r="B1679" s="4">
        <v>0.29588999999999999</v>
      </c>
      <c r="C1679" s="4">
        <v>0.38356200000000001</v>
      </c>
      <c r="D1679" s="4">
        <v>0.320548</v>
      </c>
      <c r="E1679" s="50">
        <v>1</v>
      </c>
      <c r="F1679" s="50">
        <v>0.28863037499999999</v>
      </c>
      <c r="G1679" s="50">
        <v>-2.4657999999999999E-2</v>
      </c>
      <c r="H1679" s="50">
        <v>0.38134825777511999</v>
      </c>
      <c r="I1679" s="50">
        <v>0.48252030752954</v>
      </c>
      <c r="J1679" s="50">
        <v>0.28017620802071003</v>
      </c>
      <c r="K1679" s="50">
        <v>2964.15</v>
      </c>
      <c r="L1679" s="50">
        <v>2911.43</v>
      </c>
      <c r="M1679" s="50">
        <v>2913.78</v>
      </c>
      <c r="N1679" s="66">
        <f t="shared" si="208"/>
        <v>2.8155866263067205E-2</v>
      </c>
      <c r="O1679" s="66">
        <f t="shared" si="209"/>
        <v>3.6303358523979069E-2</v>
      </c>
      <c r="P1679" s="4">
        <f t="shared" si="210"/>
        <v>-2.4658000000000013E-2</v>
      </c>
      <c r="Q1679" s="4">
        <f t="shared" si="203"/>
        <v>-8.1257249999999989E-2</v>
      </c>
      <c r="R1679" s="66">
        <f t="shared" si="204"/>
        <v>2.8155866263067205E-2</v>
      </c>
      <c r="S1679" s="66">
        <f t="shared" si="205"/>
        <v>3.6303358523979069E-2</v>
      </c>
      <c r="T1679" s="50">
        <f t="shared" si="206"/>
        <v>1</v>
      </c>
      <c r="U1679" s="50">
        <f t="shared" si="207"/>
        <v>1</v>
      </c>
    </row>
    <row r="1680" spans="1:21" x14ac:dyDescent="0.2">
      <c r="A1680" s="38">
        <v>43649</v>
      </c>
      <c r="B1680" s="4">
        <v>0.33155099999999998</v>
      </c>
      <c r="C1680" s="4">
        <v>0.34492</v>
      </c>
      <c r="D1680" s="4">
        <v>0.32352900000000001</v>
      </c>
      <c r="E1680" s="50">
        <v>1</v>
      </c>
      <c r="F1680" s="50">
        <v>0.276179375</v>
      </c>
      <c r="G1680" s="50">
        <v>8.0219999999999996E-3</v>
      </c>
      <c r="H1680" s="50">
        <v>0.38134825777511999</v>
      </c>
      <c r="I1680" s="50">
        <v>0.48252030752954</v>
      </c>
      <c r="J1680" s="50">
        <v>0.28017620802071003</v>
      </c>
      <c r="K1680" s="50">
        <v>2995.84</v>
      </c>
      <c r="L1680" s="50">
        <v>2912.99</v>
      </c>
      <c r="M1680" s="50">
        <v>2995.82</v>
      </c>
      <c r="N1680" s="66">
        <f t="shared" si="208"/>
        <v>-9.1794567096821565E-4</v>
      </c>
      <c r="O1680" s="66">
        <f t="shared" si="209"/>
        <v>-5.1538476944542905E-3</v>
      </c>
      <c r="P1680" s="4">
        <f t="shared" si="210"/>
        <v>8.0219999999999736E-3</v>
      </c>
      <c r="Q1680" s="4">
        <f t="shared" si="203"/>
        <v>-2.9114500000000001E-2</v>
      </c>
      <c r="R1680" s="66">
        <f t="shared" si="204"/>
        <v>-9.1794567096821565E-4</v>
      </c>
      <c r="S1680" s="66">
        <f t="shared" si="205"/>
        <v>-5.1538476944542905E-3</v>
      </c>
      <c r="T1680" s="50" t="str">
        <f t="shared" si="206"/>
        <v/>
      </c>
      <c r="U1680" s="50" t="str">
        <f t="shared" si="207"/>
        <v/>
      </c>
    </row>
    <row r="1681" spans="1:21" x14ac:dyDescent="0.2">
      <c r="A1681" s="38">
        <v>43657</v>
      </c>
      <c r="B1681" s="4">
        <v>0.33611099999999999</v>
      </c>
      <c r="C1681" s="4">
        <v>0.38888899999999998</v>
      </c>
      <c r="D1681" s="4">
        <v>0.27500000000000002</v>
      </c>
      <c r="E1681" s="50">
        <v>1</v>
      </c>
      <c r="F1681" s="50">
        <v>0.28091250000000001</v>
      </c>
      <c r="G1681" s="50">
        <v>6.1110999999999999E-2</v>
      </c>
      <c r="H1681" s="50">
        <v>0.38134825777511999</v>
      </c>
      <c r="I1681" s="50">
        <v>0.48252030752954</v>
      </c>
      <c r="J1681" s="50">
        <v>0.28017620802071003</v>
      </c>
      <c r="K1681" s="50">
        <v>3002.98</v>
      </c>
      <c r="L1681" s="50">
        <v>2955.92</v>
      </c>
      <c r="M1681" s="50">
        <v>2993.07</v>
      </c>
      <c r="N1681" s="66">
        <f t="shared" si="208"/>
        <v>-2.8900092547117476E-3</v>
      </c>
      <c r="O1681" s="66">
        <f t="shared" si="209"/>
        <v>-3.6447527120982849E-2</v>
      </c>
      <c r="P1681" s="4">
        <f t="shared" si="210"/>
        <v>6.1110999999999971E-2</v>
      </c>
      <c r="Q1681" s="4">
        <f t="shared" ref="Q1681:Q1744" si="211">AVERAGE(P1678:P1681)</f>
        <v>4.5614999999999822E-3</v>
      </c>
      <c r="R1681" s="66">
        <f t="shared" ref="R1681:R1686" si="212">(M1682-M1681)/M1681</f>
        <v>-2.8900092547117476E-3</v>
      </c>
      <c r="S1681" s="66">
        <f t="shared" ref="S1681:S1744" si="213">(M1685-M1681)/M1681</f>
        <v>-3.6447527120982849E-2</v>
      </c>
      <c r="T1681" s="50" t="str">
        <f t="shared" ref="T1681:T1686" si="214">IF(R1681&gt;0,1,"")</f>
        <v/>
      </c>
      <c r="U1681" s="50" t="str">
        <f t="shared" ref="U1681:U1686" si="215">IF(S1681&gt;0,1,"")</f>
        <v/>
      </c>
    </row>
    <row r="1682" spans="1:21" x14ac:dyDescent="0.2">
      <c r="A1682" s="38">
        <v>43664</v>
      </c>
      <c r="B1682" s="4">
        <v>0.359296</v>
      </c>
      <c r="C1682" s="4">
        <v>0.354271</v>
      </c>
      <c r="D1682" s="4">
        <v>0.28643200000000002</v>
      </c>
      <c r="E1682" s="50">
        <v>0.99999899999999997</v>
      </c>
      <c r="F1682" s="50">
        <v>0.294942125</v>
      </c>
      <c r="G1682" s="50">
        <v>7.2863999999999998E-2</v>
      </c>
      <c r="H1682" s="50">
        <v>0.38134825777511999</v>
      </c>
      <c r="I1682" s="50">
        <v>0.48252030752954</v>
      </c>
      <c r="J1682" s="50">
        <v>0.28017620802071003</v>
      </c>
      <c r="K1682" s="50">
        <v>3017.8</v>
      </c>
      <c r="L1682" s="50">
        <v>2984.25</v>
      </c>
      <c r="M1682" s="50">
        <v>2984.42</v>
      </c>
      <c r="N1682" s="66">
        <f t="shared" si="208"/>
        <v>1.1774482143934123E-2</v>
      </c>
      <c r="O1682" s="66">
        <f t="shared" si="209"/>
        <v>-4.8190268125800038E-2</v>
      </c>
      <c r="P1682" s="4">
        <f t="shared" si="210"/>
        <v>7.2863999999999984E-2</v>
      </c>
      <c r="Q1682" s="4">
        <f t="shared" si="211"/>
        <v>2.9334749999999979E-2</v>
      </c>
      <c r="R1682" s="66">
        <f t="shared" si="212"/>
        <v>1.1774482143934123E-2</v>
      </c>
      <c r="S1682" s="66">
        <f t="shared" si="213"/>
        <v>-4.8190268125800038E-2</v>
      </c>
      <c r="T1682" s="50">
        <f t="shared" si="214"/>
        <v>1</v>
      </c>
      <c r="U1682" s="50" t="str">
        <f t="shared" si="215"/>
        <v/>
      </c>
    </row>
    <row r="1683" spans="1:21" x14ac:dyDescent="0.2">
      <c r="A1683" s="38">
        <v>43671</v>
      </c>
      <c r="B1683" s="4">
        <v>0.31741599999999998</v>
      </c>
      <c r="C1683" s="4">
        <v>0.36236000000000002</v>
      </c>
      <c r="D1683" s="4">
        <v>0.32022499999999998</v>
      </c>
      <c r="E1683" s="50">
        <v>1.0000009999999999</v>
      </c>
      <c r="F1683" s="50">
        <v>0.30362737499999998</v>
      </c>
      <c r="G1683" s="50">
        <v>-2.8089999999999999E-3</v>
      </c>
      <c r="H1683" s="50">
        <v>0.38134825777511999</v>
      </c>
      <c r="I1683" s="50">
        <v>0.48252030752954</v>
      </c>
      <c r="J1683" s="50">
        <v>0.28017620802071003</v>
      </c>
      <c r="K1683" s="50">
        <v>3019.59</v>
      </c>
      <c r="L1683" s="50">
        <v>2973.09</v>
      </c>
      <c r="M1683" s="50">
        <v>3019.56</v>
      </c>
      <c r="N1683" s="66">
        <f t="shared" si="208"/>
        <v>-1.2975400389460661E-2</v>
      </c>
      <c r="O1683" s="66">
        <f t="shared" si="209"/>
        <v>-1</v>
      </c>
      <c r="P1683" s="4">
        <f t="shared" si="210"/>
        <v>-2.8090000000000059E-3</v>
      </c>
      <c r="Q1683" s="4">
        <f t="shared" si="211"/>
        <v>3.4796999999999981E-2</v>
      </c>
      <c r="R1683" s="66">
        <f t="shared" si="212"/>
        <v>-1.2975400389460661E-2</v>
      </c>
      <c r="S1683" s="66">
        <f t="shared" si="213"/>
        <v>-1</v>
      </c>
      <c r="T1683" s="50" t="str">
        <f t="shared" si="214"/>
        <v/>
      </c>
      <c r="U1683" s="50" t="str">
        <f t="shared" si="215"/>
        <v/>
      </c>
    </row>
    <row r="1684" spans="1:21" x14ac:dyDescent="0.2">
      <c r="A1684" s="38">
        <v>43678</v>
      </c>
      <c r="B1684" s="4">
        <v>0.38437500000000002</v>
      </c>
      <c r="C1684" s="4">
        <v>0.375</v>
      </c>
      <c r="D1684" s="4">
        <v>0.24062500000000001</v>
      </c>
      <c r="E1684" s="50">
        <v>1</v>
      </c>
      <c r="F1684" s="50">
        <v>0.32351487499999998</v>
      </c>
      <c r="G1684" s="50">
        <v>0.14374999999999999</v>
      </c>
      <c r="H1684" s="50">
        <v>0.38134825777511999</v>
      </c>
      <c r="I1684" s="50">
        <v>0.48252030752954</v>
      </c>
      <c r="J1684" s="50">
        <v>0.28017620802071003</v>
      </c>
      <c r="K1684" s="50">
        <v>3027.98</v>
      </c>
      <c r="L1684" s="50">
        <v>2958.08</v>
      </c>
      <c r="M1684" s="50">
        <v>2980.38</v>
      </c>
      <c r="N1684" s="66">
        <f t="shared" si="208"/>
        <v>-3.2344868775122666E-2</v>
      </c>
      <c r="O1684" s="66">
        <f t="shared" si="209"/>
        <v>-1</v>
      </c>
      <c r="P1684" s="4">
        <f t="shared" si="210"/>
        <v>0.14375000000000002</v>
      </c>
      <c r="Q1684" s="4">
        <f t="shared" si="211"/>
        <v>6.8728999999999985E-2</v>
      </c>
      <c r="R1684" s="66">
        <f t="shared" si="212"/>
        <v>-3.2344868775122666E-2</v>
      </c>
      <c r="S1684" s="66">
        <f t="shared" si="213"/>
        <v>-1</v>
      </c>
      <c r="T1684" s="50" t="str">
        <f t="shared" si="214"/>
        <v/>
      </c>
      <c r="U1684" s="50" t="str">
        <f t="shared" si="215"/>
        <v/>
      </c>
    </row>
    <row r="1685" spans="1:21" x14ac:dyDescent="0.2">
      <c r="A1685" s="38">
        <v>43685</v>
      </c>
      <c r="B1685" s="4">
        <v>0.216561</v>
      </c>
      <c r="C1685" s="4">
        <v>0.30148599999999998</v>
      </c>
      <c r="D1685" s="4">
        <v>0.48195300000000002</v>
      </c>
      <c r="E1685" s="50">
        <v>1</v>
      </c>
      <c r="F1685" s="50">
        <v>0.31703524999999999</v>
      </c>
      <c r="G1685" s="50">
        <v>-0.26539200000000002</v>
      </c>
      <c r="H1685" s="50">
        <v>0.38134825777511999</v>
      </c>
      <c r="I1685" s="50">
        <v>0.48252030752954</v>
      </c>
      <c r="J1685" s="50">
        <v>0.28017620802071003</v>
      </c>
      <c r="K1685" s="50">
        <v>3017.4</v>
      </c>
      <c r="L1685" s="50">
        <v>2822.12</v>
      </c>
      <c r="M1685" s="50">
        <v>2883.98</v>
      </c>
      <c r="N1685" s="66">
        <f t="shared" si="208"/>
        <v>-1.504171318802492E-2</v>
      </c>
      <c r="O1685" s="66">
        <f t="shared" si="209"/>
        <v>-1</v>
      </c>
      <c r="P1685" s="4">
        <f t="shared" si="210"/>
        <v>-0.26539200000000002</v>
      </c>
      <c r="Q1685" s="4">
        <f t="shared" si="211"/>
        <v>-1.2896750000000005E-2</v>
      </c>
      <c r="R1685" s="66">
        <f t="shared" si="212"/>
        <v>-1.504171318802492E-2</v>
      </c>
      <c r="S1685" s="66">
        <f t="shared" si="213"/>
        <v>-1</v>
      </c>
      <c r="T1685" s="50" t="str">
        <f t="shared" si="214"/>
        <v/>
      </c>
      <c r="U1685" s="50" t="str">
        <f t="shared" si="215"/>
        <v/>
      </c>
    </row>
    <row r="1686" spans="1:21" x14ac:dyDescent="0.2">
      <c r="A1686" s="38">
        <v>43692</v>
      </c>
      <c r="B1686" s="4">
        <v>0.23175999999999999</v>
      </c>
      <c r="C1686" s="4">
        <v>0.31974200000000003</v>
      </c>
      <c r="D1686" s="4">
        <v>0.44849800000000001</v>
      </c>
      <c r="E1686" s="50">
        <v>1</v>
      </c>
      <c r="F1686" s="50">
        <v>0.30912000000000001</v>
      </c>
      <c r="G1686" s="50">
        <v>-0.21673799999999999</v>
      </c>
      <c r="H1686" s="50">
        <v>0.38134825777511999</v>
      </c>
      <c r="I1686" s="50">
        <v>0.48252030752954</v>
      </c>
      <c r="J1686" s="50">
        <v>0.28017620802071003</v>
      </c>
      <c r="K1686" s="50">
        <v>2943.31</v>
      </c>
      <c r="L1686" s="50">
        <v>2825.71</v>
      </c>
      <c r="M1686" s="50">
        <v>2840.6</v>
      </c>
      <c r="N1686" s="66">
        <f t="shared" si="208"/>
        <v>-1</v>
      </c>
      <c r="O1686" s="66">
        <f t="shared" si="209"/>
        <v>-1</v>
      </c>
      <c r="P1686" s="4">
        <f t="shared" si="210"/>
        <v>-0.21673800000000001</v>
      </c>
      <c r="Q1686" s="4">
        <f t="shared" si="211"/>
        <v>-8.5297250000000005E-2</v>
      </c>
      <c r="R1686" s="66">
        <f t="shared" si="212"/>
        <v>-1</v>
      </c>
      <c r="S1686" s="66">
        <f t="shared" si="213"/>
        <v>-1</v>
      </c>
      <c r="T1686" s="50" t="str">
        <f t="shared" si="214"/>
        <v/>
      </c>
      <c r="U1686" s="50" t="str">
        <f t="shared" si="215"/>
        <v/>
      </c>
    </row>
  </sheetData>
  <conditionalFormatting sqref="B14:B168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Note</vt:lpstr>
      <vt:lpstr>Spin Off</vt:lpstr>
      <vt:lpstr>Economic Calendar</vt:lpstr>
      <vt:lpstr>Earnings Calendar OLD</vt:lpstr>
      <vt:lpstr>Earnings Calendar</vt:lpstr>
      <vt:lpstr>FCF year</vt:lpstr>
      <vt:lpstr>Earnings</vt:lpstr>
      <vt:lpstr>Sales</vt:lpstr>
      <vt:lpstr>ROE</vt:lpstr>
      <vt:lpstr>AAII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2018-07-12T06:25:51Z</dcterms:created>
  <dcterms:modified xsi:type="dcterms:W3CDTF">2022-09-19T12:57:05Z</dcterms:modified>
</cp:coreProperties>
</file>